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s Number" sheetId="1" r:id="rId5"/>
    <sheet state="visible" name="CBK Students" sheetId="2" r:id="rId6"/>
    <sheet state="visible" name="Replacement" sheetId="3" r:id="rId7"/>
    <sheet state="visible" name="Project Showcase" sheetId="4" r:id="rId8"/>
    <sheet state="visible" name="Attendance Summary" sheetId="5" r:id="rId9"/>
    <sheet state="visible" name="Remark" sheetId="6" r:id="rId10"/>
    <sheet state="visible" name="Student Update" sheetId="7" r:id="rId11"/>
    <sheet state="visible" name="Students Quit" sheetId="8" r:id="rId12"/>
    <sheet state="visible" name="Students Progress" sheetId="9" r:id="rId13"/>
    <sheet state="visible" name="System Dashboard Link" sheetId="10" r:id="rId14"/>
    <sheet state="visible" name="Scores" sheetId="11" r:id="rId15"/>
    <sheet state="visible" name="Students Attendance Log" sheetId="12" r:id="rId16"/>
    <sheet state="visible" name="Class Structure" sheetId="13" r:id="rId17"/>
  </sheets>
  <definedNames>
    <definedName hidden="1" localSheetId="1" name="_xlnm._FilterDatabase">'CBK Students'!$A$1:$AA$1252</definedName>
    <definedName hidden="1" localSheetId="3" name="_xlnm._FilterDatabase">'Project Showcase'!$A$1:$S$1</definedName>
  </definedNames>
  <calcPr/>
  <pivotCaches>
    <pivotCache cacheId="0" r:id="rId18"/>
    <pivotCache cacheId="1" r:id="rId1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tc={0984faa5-5f4d-4c33-b29d-6a6e1f4be966}</author>
    <author>tc={108da776-b66c-42b6-8f6c-d41315472b65}</author>
    <author>tc={2df4e1d9-df77-4e99-951a-3466df00e764}</author>
    <author>tc={408ae795-42f9-40ef-a73c-af40c0e3bef3}</author>
    <author>tc={410ef0a3-002e-44d3-9bcc-a9ac17514443}</author>
    <author>tc={52b8c15c-0635-4cf9-84d9-8b9e9f514b15}</author>
    <author>tc={6a8836b2-16d0-40e4-b1c3-c48af902f8ba}</author>
    <author>tc={6b038421-5464-4aae-8b7d-854552d334fc}</author>
    <author>tc={6e6e894b-5f2e-4e12-9cdd-785c9e453ec3}</author>
    <author>tc={6f5af820-2eee-4077-83c7-d9e37c05a3d2}</author>
    <author>tc={75e97e26-a3e9-422b-b167-2bc227b58fd0}</author>
    <author>tc={7fe4ed99-d17c-40a4-a17f-822b97d3df5a}</author>
    <author>tc={8c9aec9f-e59b-435b-99bd-659d26161028}</author>
    <author>tc={9277a18b-68c4-4a36-bfe0-25f288a3f5e6}</author>
    <author>tc={b1faf49e-2792-4cba-8906-369d462231b0}</author>
    <author>tc={ba2ea757-4c74-455b-a2fb-11dc741c268c}</author>
    <author>tc={bce6873c-1546-4a32-a4f8-124abb1f12ce}</author>
    <author>tc={c1cd87ed-5a6f-4afb-96bf-2e75b2ca89cd}</author>
    <author>tc={c3693231-1e4b-4d0b-a18f-2668a582bcad}</author>
    <author>tc={cd9d562b-d71c-4515-93b5-58e13a7a071c}</author>
    <author>tc={d1cbe043-2244-48d4-9d50-7bda5300f2d5}</author>
    <author>tc={d48194af-9c6d-47b2-a8fb-cb7b117d2322}</author>
    <author>tc={dc063332-71ef-4770-a0a1-475d91c737b5}</author>
    <author>tc={dc27a958-6cc2-4b72-9042-8611774fa73d}</author>
    <author>tc={f1c05d63-85f1-47f8-9c8a-7e9c6cebc46c}</author>
    <author>tc={f99cfaa0-66cf-4946-8d4b-4895b186f9ac}</author>
    <author>tc={fa695c05-9329-4f35-b47c-666613647678}</author>
  </authors>
  <commentList>
    <comment authorId="0" xr:uid="{0984faa5-5f4d-4c33-b29d-6a6e1f4be966}" ref="L191">
      <text>
        <t xml:space="preserve">[Threaded comment]
 Your version of Excel allows you to read this threaded comment; however, any edits to it will get removed if the file is opened in a newer version of Excel. Learn more: https://go.microsoft.com/fwlink/?linkid=870924
Comment:
	@limcaleb0114@gmail.com 
new student
</t>
      </text>
    </comment>
    <comment authorId="1" xr:uid="{108da776-b66c-42b6-8f6c-d41315472b65}" ref="L10">
      <text>
        <t xml:space="preserve">[Threaded comment]
 Your version of Excel allows you to read this threaded comment; however, any edits to it will get removed if the file is opened in a newer version of Excel. Learn more: https://go.microsoft.com/fwlink/?linkid=870924
Comment:
	@mandyszl0315@gmail.com 
change timeslot
</t>
      </text>
    </comment>
    <comment authorId="2" xr:uid="{2df4e1d9-df77-4e99-951a-3466df00e764}" ref="L39">
      <text>
        <t xml:space="preserve">[Threaded comment]
 Your version of Excel allows you to read this threaded comment; however, any edits to it will get removed if the file is opened in a newer version of Excel. Learn more: https://go.microsoft.com/fwlink/?linkid=870924
Comment:
	@mandyszl0315@gmail.com
</t>
      </text>
    </comment>
    <comment authorId="3" xr:uid="{408ae795-42f9-40ef-a73c-af40c0e3bef3}" ref="L76">
      <text>
        <t xml:space="preserve">[Threaded comment]
 Your version of Excel allows you to read this threaded comment; however, any edits to it will get removed if the file is opened in a newer version of Excel. Learn more: https://go.microsoft.com/fwlink/?linkid=870924
Comment:
	@woeihan1999@gmail.com
Assigned to woeihan1999@gmail.com
</t>
      </text>
    </comment>
    <comment authorId="4" xr:uid="{410ef0a3-002e-44d3-9bcc-a9ac17514443}" ref="L119">
      <text>
        <t xml:space="preserve">[Threaded comment]
 Your version of Excel allows you to read this threaded comment; however, any edits to it will get removed if the file is opened in a newer version of Excel. Learn more: https://go.microsoft.com/fwlink/?linkid=870924
Comment:
	@kerryliong97@gmail.com 
@limcaleb4110@gmail.com 
student change timeslot
</t>
      </text>
    </comment>
    <comment authorId="5" xr:uid="{52b8c15c-0635-4cf9-84d9-8b9e9f514b15}" ref="F29">
      <text>
        <t xml:space="preserve">[Threaded comment]
 Your version of Excel allows you to read this threaded comment; however, any edits to it will get removed if the file is opened in a newer version of Excel. Learn more: https://go.microsoft.com/fwlink/?linkid=870924
Comment:
	will change to 10am to 11am timeslot in 2026
</t>
      </text>
    </comment>
    <comment authorId="6" xr:uid="{6a8836b2-16d0-40e4-b1c3-c48af902f8ba}" ref="L58">
      <text>
        <t xml:space="preserve">[Threaded comment]
 Your version of Excel allows you to read this threaded comment; however, any edits to it will get removed if the file is opened in a newer version of Excel. Learn more: https://go.microsoft.com/fwlink/?linkid=870924
Comment:
	@kerryliong97@gmail.com 
new student
</t>
      </text>
    </comment>
    <comment authorId="7" xr:uid="{6b038421-5464-4aae-8b7d-854552d334fc}" ref="L234">
      <text>
        <t xml:space="preserve">[Threaded comment]
 Your version of Excel allows you to read this threaded comment; however, any edits to it will get removed if the file is opened in a newer version of Excel. Learn more: https://go.microsoft.com/fwlink/?linkid=870924
Comment:
	@reagantongzilik@gmail.com 
changing timeslot
</t>
      </text>
    </comment>
    <comment authorId="8" xr:uid="{6e6e894b-5f2e-4e12-9cdd-785c9e453ec3}" ref="L236">
      <text>
        <t xml:space="preserve">[Threaded comment]
 Your version of Excel allows you to read this threaded comment; however, any edits to it will get removed if the file is opened in a newer version of Excel. Learn more: https://go.microsoft.com/fwlink/?linkid=870924
Comment:
	@kerryliong97@gmail.com
Assigned to kerryliong97@gmail.com
</t>
      </text>
    </comment>
    <comment authorId="9" xr:uid="{6f5af820-2eee-4077-83c7-d9e37c05a3d2}" ref="L118">
      <text>
        <t xml:space="preserve">[Threaded comment]
 Your version of Excel allows you to read this threaded comment; however, any edits to it will get removed if the file is opened in a newer version of Excel. Learn more: https://go.microsoft.com/fwlink/?linkid=870924
Comment:
	@reagantongzilik@gmail.com
</t>
      </text>
    </comment>
    <comment authorId="10" xr:uid="{75e97e26-a3e9-422b-b167-2bc227b58fd0}" ref="L3">
      <text>
        <t xml:space="preserve">[Threaded comment]
 Your version of Excel allows you to read this threaded comment; however, any edits to it will get removed if the file is opened in a newer version of Excel. Learn more: https://go.microsoft.com/fwlink/?linkid=870924
Comment:
	@lime6199@gmail.com 
changing timeslot
</t>
      </text>
    </comment>
    <comment authorId="11" xr:uid="{7fe4ed99-d17c-40a4-a17f-822b97d3df5a}" ref="L114">
      <text>
        <t xml:space="preserve">[Threaded comment]
 Your version of Excel allows you to read this threaded comment; however, any edits to it will get removed if the file is opened in a newer version of Excel. Learn more: https://go.microsoft.com/fwlink/?linkid=870924
Comment:
	@gohkiong87@gmail.com Update Reminder
Assigned to gohkiong87@gmail.com
</t>
      </text>
    </comment>
    <comment authorId="12" xr:uid="{8c9aec9f-e59b-435b-99bd-659d26161028}" ref="L236">
      <text>
        <t xml:space="preserve">[Threaded comment]
 Your version of Excel allows you to read this threaded comment; however, any edits to it will get removed if the file is opened in a newer version of Excel. Learn more: https://go.microsoft.com/fwlink/?linkid=870924
Comment:
	@kerryliong97@gmail.com
Assigned to kerryliong97@gmail.com
</t>
      </text>
    </comment>
    <comment authorId="13" xr:uid="{9277a18b-68c4-4a36-bfe0-25f288a3f5e6}" ref="L250">
      <text>
        <t xml:space="preserve">[Threaded comment]
 Your version of Excel allows you to read this threaded comment; however, any edits to it will get removed if the file is opened in a newer version of Excel. Learn more: https://go.microsoft.com/fwlink/?linkid=870924
Comment:
	@mandyszl0315@gmail.com @limcaleb4110@gmail.com
</t>
      </text>
    </comment>
    <comment authorId="14" xr:uid="{b1faf49e-2792-4cba-8906-369d462231b0}" ref="L3">
      <text>
        <t xml:space="preserve">[Threaded comment]
 Your version of Excel allows you to read this threaded comment; however, any edits to it will get removed if the file is opened in a newer version of Excel. Learn more: https://go.microsoft.com/fwlink/?linkid=870924
Comment:
	@lime6199@gmail.com
Assigned to lime6199@gmail.com
</t>
      </text>
    </comment>
    <comment authorId="15" xr:uid="{ba2ea757-4c74-455b-a2fb-11dc741c268c}" ref="L17">
      <text>
        <t xml:space="preserve">[Threaded comment]
 Your version of Excel allows you to read this threaded comment; however, any edits to it will get removed if the file is opened in a newer version of Excel. Learn more: https://go.microsoft.com/fwlink/?linkid=870924
Comment:
	@kerryliong97@gmail.com 
changing timeslot
</t>
      </text>
    </comment>
    <comment authorId="16" xr:uid="{bce6873c-1546-4a32-a4f8-124abb1f12ce}" ref="L263">
      <text>
        <t xml:space="preserve">[Threaded comment]
 Your version of Excel allows you to read this threaded comment; however, any edits to it will get removed if the file is opened in a newer version of Excel. Learn more: https://go.microsoft.com/fwlink/?linkid=870924
Comment:
	@limcaleb4110@gmail.com @evelynwongyuyan06@gmail.com 
new student
</t>
      </text>
    </comment>
    <comment authorId="17" xr:uid="{c1cd87ed-5a6f-4afb-96bf-2e75b2ca89cd}" ref="L173">
      <text>
        <t xml:space="preserve">[Threaded comment]
 Your version of Excel allows you to read this threaded comment; however, any edits to it will get removed if the file is opened in a newer version of Excel. Learn more: https://go.microsoft.com/fwlink/?linkid=870924
Comment:
	@mandyszl0315@gmail.com @lime6199@gmail.com
</t>
      </text>
    </comment>
    <comment authorId="18" xr:uid="{c3693231-1e4b-4d0b-a18f-2668a582bcad}" ref="L120">
      <text>
        <t xml:space="preserve">[Threaded comment]
 Your version of Excel allows you to read this threaded comment; however, any edits to it will get removed if the file is opened in a newer version of Excel. Learn more: https://go.microsoft.com/fwlink/?linkid=870924
Comment:
	@kerryliong97@gmail.com 
@limcaleb4110@gmail.com 
student change timeslot
</t>
      </text>
    </comment>
    <comment authorId="19" xr:uid="{cd9d562b-d71c-4515-93b5-58e13a7a071c}" ref="L75">
      <text>
        <t xml:space="preserve">[Threaded comment]
 Your version of Excel allows you to read this threaded comment; however, any edits to it will get removed if the file is opened in a newer version of Excel. Learn more: https://go.microsoft.com/fwlink/?linkid=870924
Comment:
	@mandyszl0315@gmail.com 
@limcaleb4110@gmail.com
</t>
      </text>
    </comment>
    <comment authorId="20" xr:uid="{d1cbe043-2244-48d4-9d50-7bda5300f2d5}" ref="L127">
      <text>
        <t xml:space="preserve">[Threaded comment]
 Your version of Excel allows you to read this threaded comment; however, any edits to it will get removed if the file is opened in a newer version of Excel. Learn more: https://go.microsoft.com/fwlink/?linkid=870924
Comment:
	@limcaleb4110@gmail.com 
Evelyn is having difficulty guiding this student, as he does not follow the mentor’s guidance and prefers to work on his own or watch YouTube videos
</t>
      </text>
    </comment>
    <comment authorId="21" xr:uid="{d48194af-9c6d-47b2-a8fb-cb7b117d2322}" ref="L140">
      <text>
        <t xml:space="preserve">[Threaded comment]
 Your version of Excel allows you to read this threaded comment; however, any edits to it will get removed if the file is opened in a newer version of Excel. Learn more: https://go.microsoft.com/fwlink/?linkid=870924
Comment:
	@lime6199@gmail.com 
Is this solved?
</t>
      </text>
    </comment>
    <comment authorId="22" xr:uid="{dc063332-71ef-4770-a0a1-475d91c737b5}" ref="L4">
      <text>
        <t xml:space="preserve">[Threaded comment]
 Your version of Excel allows you to read this threaded comment; however, any edits to it will get removed if the file is opened in a newer version of Excel. Learn more: https://go.microsoft.com/fwlink/?linkid=870924
Comment:
	@lime6199@gmail.com
</t>
      </text>
    </comment>
    <comment authorId="23" xr:uid="{dc27a958-6cc2-4b72-9042-8611774fa73d}" ref="L233">
      <text>
        <t xml:space="preserve">[Threaded comment]
 Your version of Excel allows you to read this threaded comment; however, any edits to it will get removed if the file is opened in a newer version of Excel. Learn more: https://go.microsoft.com/fwlink/?linkid=870924
Comment:
	@reagantongzilik@gmail.com 
changing timeslot
</t>
      </text>
    </comment>
    <comment authorId="24" xr:uid="{f1c05d63-85f1-47f8-9c8a-7e9c6cebc46c}" ref="L232">
      <text>
        <t xml:space="preserve">[Threaded comment]
 Your version of Excel allows you to read this threaded comment; however, any edits to it will get removed if the file is opened in a newer version of Excel. Learn more: https://go.microsoft.com/fwlink/?linkid=870924
Comment:
	@reagantongzilik@gmail.com 
changing timeslot
</t>
      </text>
    </comment>
    <comment authorId="25" xr:uid="{f99cfaa0-66cf-4946-8d4b-4895b186f9ac}" ref="L29">
      <text>
        <t xml:space="preserve">[Threaded comment]
 Your version of Excel allows you to read this threaded comment; however, any edits to it will get removed if the file is opened in a newer version of Excel. Learn more: https://go.microsoft.com/fwlink/?linkid=870924
Comment:
	@mandyszl0315@gmail.com 
@limcaleb4110@gmail.com 
student change timeslot
</t>
      </text>
    </comment>
    <comment authorId="26" xr:uid="{fa695c05-9329-4f35-b47c-666613647678}" ref="L54">
      <text>
        <t xml:space="preserve">[Threaded comment]
 Your version of Excel allows you to read this threaded comment; however, any edits to it will get removed if the file is opened in a newer version of Excel. Learn more: https://go.microsoft.com/fwlink/?linkid=870924
Comment:
	@vincenttiongw@gmail.com
new student
</t>
      </text>
    </comment>
  </commentList>
</comments>
</file>

<file path=xl/sharedStrings.xml><?xml version="1.0" encoding="utf-8"?>
<sst xmlns="http://schemas.openxmlformats.org/spreadsheetml/2006/main" count="12384" uniqueCount="913">
  <si>
    <t>Veritas</t>
  </si>
  <si>
    <t>PTK</t>
  </si>
  <si>
    <t>SJK(C) Tung hua</t>
  </si>
  <si>
    <t>SJK(C) Chung hua</t>
  </si>
  <si>
    <t>SJK(C) Chung Sing</t>
  </si>
  <si>
    <t>SJK(C) Su Lai</t>
  </si>
  <si>
    <t>SMK Sacred Heart</t>
  </si>
  <si>
    <t>Woodlands</t>
  </si>
  <si>
    <t>SJK(C) Thai Kwang</t>
  </si>
  <si>
    <t>Suspened</t>
  </si>
  <si>
    <t>Total</t>
  </si>
  <si>
    <t>Monday</t>
  </si>
  <si>
    <t>Wednesday</t>
  </si>
  <si>
    <t>Thursday</t>
  </si>
  <si>
    <t>Saturday (9-10)</t>
  </si>
  <si>
    <t>Saturday (10-11)</t>
  </si>
  <si>
    <t>Saturday (11-12)</t>
  </si>
  <si>
    <t>Saturday (2-3)</t>
  </si>
  <si>
    <t>Saturday (3-4)</t>
  </si>
  <si>
    <t>Saturday (4-5)</t>
  </si>
  <si>
    <t>Month (2026)</t>
  </si>
  <si>
    <t>March</t>
  </si>
  <si>
    <t>April</t>
  </si>
  <si>
    <t>May</t>
  </si>
  <si>
    <t>Jun</t>
  </si>
  <si>
    <t>Jul</t>
  </si>
  <si>
    <t>Aug</t>
  </si>
  <si>
    <t>Sep</t>
  </si>
  <si>
    <t>Oct</t>
  </si>
  <si>
    <t>Nov</t>
  </si>
  <si>
    <t>Dec</t>
  </si>
  <si>
    <t>Current Student Number</t>
  </si>
  <si>
    <t>New Students</t>
  </si>
  <si>
    <t>Student Quit</t>
  </si>
  <si>
    <t>Marcus Tiang Tew Hann</t>
  </si>
  <si>
    <t>Gavin Tiong Hai Liang</t>
  </si>
  <si>
    <t>Mercury Wong Lun Chein</t>
  </si>
  <si>
    <t>Jee Wyn Swan</t>
  </si>
  <si>
    <t>Adrian Tong Duo You</t>
  </si>
  <si>
    <t>Kathlyn Wong</t>
  </si>
  <si>
    <t>Adam Naqiudin Ahmad bin Saziran</t>
  </si>
  <si>
    <t>Louis Wong</t>
  </si>
  <si>
    <t>Zion Shi Nian Xi</t>
  </si>
  <si>
    <t xml:space="preserve">David Kee Zu Guo </t>
  </si>
  <si>
    <t xml:space="preserve">Jolene Kee Zu Lin </t>
  </si>
  <si>
    <t>Wong Jing Shang</t>
  </si>
  <si>
    <t>Wong Jing Yu</t>
  </si>
  <si>
    <t>Wong Jing Xiu</t>
  </si>
  <si>
    <t>No</t>
  </si>
  <si>
    <t>Student Name</t>
  </si>
  <si>
    <t>Status</t>
  </si>
  <si>
    <t>Date Active</t>
  </si>
  <si>
    <t>Date Deactivated</t>
  </si>
  <si>
    <t>Timeslot</t>
  </si>
  <si>
    <t>Location</t>
  </si>
  <si>
    <t>Mentor</t>
  </si>
  <si>
    <t>Date Activated</t>
  </si>
  <si>
    <t>Current Course</t>
  </si>
  <si>
    <t>Reflected</t>
  </si>
  <si>
    <t>Issue</t>
  </si>
  <si>
    <t>Week Since 
Course Started</t>
  </si>
  <si>
    <t>Previous Course</t>
  </si>
  <si>
    <t>Remark</t>
  </si>
  <si>
    <t>History Log</t>
  </si>
  <si>
    <t>No Problem</t>
  </si>
  <si>
    <t>Estimated End</t>
  </si>
  <si>
    <t>Jun Showcase</t>
  </si>
  <si>
    <t>Whatsapp Group Name</t>
  </si>
  <si>
    <t>2025 Update #</t>
  </si>
  <si>
    <t>Jan Update #</t>
  </si>
  <si>
    <t>Feb Update #</t>
  </si>
  <si>
    <t>Mar Update</t>
  </si>
  <si>
    <t>Apr Update</t>
  </si>
  <si>
    <t>#</t>
  </si>
  <si>
    <t>2026 Update #</t>
  </si>
  <si>
    <t>Jane Wong Xin Yue</t>
  </si>
  <si>
    <t>Active</t>
  </si>
  <si>
    <t>1 Mon 7:30-8:30pm</t>
  </si>
  <si>
    <t>Damian</t>
  </si>
  <si>
    <t>Game Development</t>
  </si>
  <si>
    <t>Joanna/Jane/Janice - Chumbaka</t>
  </si>
  <si>
    <t>Aidan Siaw Min Le</t>
  </si>
  <si>
    <t>3D Design for AR and VR</t>
  </si>
  <si>
    <t>Changing Timeslot</t>
  </si>
  <si>
    <t>Aidan Siaw - CHUMBAKA</t>
  </si>
  <si>
    <t>Elina Kong Zhe En</t>
  </si>
  <si>
    <t>Elina Kong(TH) - Chumbaka</t>
  </si>
  <si>
    <t>Eileen Wong Hui Qing</t>
  </si>
  <si>
    <t>Changing Timeslot, Changing Mentor</t>
  </si>
  <si>
    <t>Eileen/Eunice (TH) - Chumbaka</t>
  </si>
  <si>
    <t>Jabez Huan Ngieng Hung</t>
  </si>
  <si>
    <t>Enouch</t>
  </si>
  <si>
    <t>Physical Computing</t>
  </si>
  <si>
    <t>Jabez - CHUMBAKA</t>
  </si>
  <si>
    <t>Lucas Lau Yee Ming</t>
  </si>
  <si>
    <t>Lucas/Marcus - Chumbaka</t>
  </si>
  <si>
    <t>Clexter Cheng Kwong Yong</t>
  </si>
  <si>
    <t>Clexter/Hillary - Chumbaka</t>
  </si>
  <si>
    <t>Hillary Yong</t>
  </si>
  <si>
    <t>Janice Wong Xiao Yue</t>
  </si>
  <si>
    <t>Evelyn</t>
  </si>
  <si>
    <t>Creative Computing</t>
  </si>
  <si>
    <t>Digital Animation Showcase</t>
  </si>
  <si>
    <t>Kyan Ling Tian Xiang</t>
  </si>
  <si>
    <t>Mobile Coding Showcase</t>
  </si>
  <si>
    <t>Kyan Ling - Chumbaka</t>
  </si>
  <si>
    <t>Gabriel Hung Tuan Zhi</t>
  </si>
  <si>
    <t>Gabriel Hung - Chumbaka</t>
  </si>
  <si>
    <t>Josh Ting Sie Jun</t>
  </si>
  <si>
    <t>Kerry</t>
  </si>
  <si>
    <t>Mobile Coding</t>
  </si>
  <si>
    <t>Josh Ting - Chumbaka</t>
  </si>
  <si>
    <t>Eeson Wong bin Mohammad Hisham</t>
  </si>
  <si>
    <t>Eeson Wong - Chumbaka</t>
  </si>
  <si>
    <t>Isaac Lau Li Sheng</t>
  </si>
  <si>
    <t>Isaac Lau - Chumbaka</t>
  </si>
  <si>
    <t>Yong Feng Kai</t>
  </si>
  <si>
    <t>Feng Kai - Chumbaka</t>
  </si>
  <si>
    <t>Ezra Ling Sing Yi</t>
  </si>
  <si>
    <t>Lam</t>
  </si>
  <si>
    <t>AI with Python</t>
  </si>
  <si>
    <t>Ezra Ling - CHUMBAKA</t>
  </si>
  <si>
    <t>Ting Zhi Xin</t>
  </si>
  <si>
    <t>Mandy</t>
  </si>
  <si>
    <t>Zhi En/Zhi Xin - Chumbaka</t>
  </si>
  <si>
    <t>Marcus Lau Yee Ho</t>
  </si>
  <si>
    <t>Coding and Algorithm</t>
  </si>
  <si>
    <t>Oscar Khiew Jian Lyn</t>
  </si>
  <si>
    <t>Oscar Khiew(TH) - Chumbaka</t>
  </si>
  <si>
    <t>Jerry Yong Ching Hwa</t>
  </si>
  <si>
    <t>Jerry Yong - Chumbaka</t>
  </si>
  <si>
    <t>Ting Zhi En</t>
  </si>
  <si>
    <t>2 Wed 7:30-8:30pm</t>
  </si>
  <si>
    <t>Chuan</t>
  </si>
  <si>
    <t>Embedded System</t>
  </si>
  <si>
    <t>Joelle Lau Lik Ying</t>
  </si>
  <si>
    <t>Joelle/Eugene - Chumbaka</t>
  </si>
  <si>
    <t>Eugene Lau Lik Yang</t>
  </si>
  <si>
    <t>Max Yong Seng Jing</t>
  </si>
  <si>
    <t>Ivan/Max - Chumbaka</t>
  </si>
  <si>
    <t>Aaron Ting Kuan Siang</t>
  </si>
  <si>
    <t>Yes</t>
  </si>
  <si>
    <t>Testing</t>
  </si>
  <si>
    <t>Kyle Ling Zhong You</t>
  </si>
  <si>
    <t>Boey/Kyle Ling - Chumbaka</t>
  </si>
  <si>
    <t>Benjamin Lee Zhe Ming</t>
  </si>
  <si>
    <t>Benjamin - Chumbaka</t>
  </si>
  <si>
    <t>Amarion Hii Lu Ong</t>
  </si>
  <si>
    <t>Amarion - Chumbaka</t>
  </si>
  <si>
    <t>Noelle Wong Jing Yan</t>
  </si>
  <si>
    <t>Noelle/Faye/Amos - Chumbaka</t>
  </si>
  <si>
    <t>Javier Hii Wei Wen</t>
  </si>
  <si>
    <t>Javier - CHUMBAKA</t>
  </si>
  <si>
    <t>Evan Sim Teck Yang</t>
  </si>
  <si>
    <t>Evan Sim - Chumbaka</t>
  </si>
  <si>
    <t>Boey Ling</t>
  </si>
  <si>
    <t>Ngu Hieng Sing</t>
  </si>
  <si>
    <t>Hieng Sing - Chumbaka</t>
  </si>
  <si>
    <t>Amos Wong Jun Ren</t>
  </si>
  <si>
    <t>Digital Animation</t>
  </si>
  <si>
    <t>Ivan Yong Seng Feng</t>
  </si>
  <si>
    <t>Richie Louis Chieng Jin Jie</t>
  </si>
  <si>
    <t>Richie Louis - Chumbaka</t>
  </si>
  <si>
    <t>Faye Wong Jing Tong</t>
  </si>
  <si>
    <t>Ethan Tan Jun Han</t>
  </si>
  <si>
    <t>New Student</t>
  </si>
  <si>
    <t>Ethan Tan - Chumbaka</t>
  </si>
  <si>
    <t>Ian Yung Yi En</t>
  </si>
  <si>
    <t>Ian/Abigail - Chumbaka</t>
  </si>
  <si>
    <t>Abigail Yung Qi En</t>
  </si>
  <si>
    <t>Joanna Ling Zhi Hui</t>
  </si>
  <si>
    <t>Joanna Ling - Chumbaka</t>
  </si>
  <si>
    <t>Eunice Tiong Jia Yi</t>
  </si>
  <si>
    <t>Max</t>
  </si>
  <si>
    <t>Gavin/Eunice - Chumbaka</t>
  </si>
  <si>
    <t xml:space="preserve">Owen  Huong Ke Xiang </t>
  </si>
  <si>
    <t>Owen Huong - Chumbaka</t>
  </si>
  <si>
    <t>Ian lee Jing Ming</t>
  </si>
  <si>
    <t>Ian Lee - Chumbaka</t>
  </si>
  <si>
    <t>John Sia Wee Yan</t>
  </si>
  <si>
    <t>3 Thu 7:30-8:30pm</t>
  </si>
  <si>
    <t>Caleb</t>
  </si>
  <si>
    <t>John/Tiffany - Chumbaka</t>
  </si>
  <si>
    <t>Tiffany Sia SIiu Yee</t>
  </si>
  <si>
    <t>Kingsley Kiing Kiu Yik</t>
  </si>
  <si>
    <t>4 Sat 9:00-10:00am</t>
  </si>
  <si>
    <t>Mobile Apps Development</t>
  </si>
  <si>
    <t>Kingsley - Chumbaka</t>
  </si>
  <si>
    <t>Melvin Tiong Meng Han</t>
  </si>
  <si>
    <t>Melvin - Chumbaka</t>
  </si>
  <si>
    <t>Ethan Lau Hui Hong</t>
  </si>
  <si>
    <t>Ethan Lau - CHUMBAKA</t>
  </si>
  <si>
    <t>Jayden Ling Xian Yang</t>
  </si>
  <si>
    <t>Jayden Ling - Chumbaka</t>
  </si>
  <si>
    <t>Arielle Lee Zeng See</t>
  </si>
  <si>
    <t>Arielle/Ayden - Chumbaka</t>
  </si>
  <si>
    <t>Clarence Ting Yong Wei</t>
  </si>
  <si>
    <t>Clement/Clarence - Chumbaka</t>
  </si>
  <si>
    <t>Isaac Tiong Yong Yi</t>
  </si>
  <si>
    <t>Ethan Tiong/Isaac Tiong - Chumbaka</t>
  </si>
  <si>
    <t xml:space="preserve">Noah Tiong Xun Rong </t>
  </si>
  <si>
    <t>Noah Tiong - Chumbaka</t>
  </si>
  <si>
    <t>Clement Ting Yong Rui</t>
  </si>
  <si>
    <t>HCI and Machine Learning</t>
  </si>
  <si>
    <t>Gia Lim Jia En</t>
  </si>
  <si>
    <t>Gia - Chumbaka</t>
  </si>
  <si>
    <t>Ethan Tiong Yong Xin</t>
  </si>
  <si>
    <t>Cody Chan Shan Yu</t>
  </si>
  <si>
    <t>Cody Chan - Chumbaka</t>
  </si>
  <si>
    <t>Jonas Wong Qin En</t>
  </si>
  <si>
    <t>5 Sat 10:00-11:00am</t>
  </si>
  <si>
    <t>Joyce/Jonas (TH) - CHUMBAKA</t>
  </si>
  <si>
    <t>Asher Lim Zhong Jie</t>
  </si>
  <si>
    <t>Mobile Apps Development Showcase</t>
  </si>
  <si>
    <t>Asher/Nigel -CHUMBAKA</t>
  </si>
  <si>
    <t>Lau Yong</t>
  </si>
  <si>
    <t>Lau Yong/Lau Jyi Xian - Chumbaka</t>
  </si>
  <si>
    <t>Lau Jyi Xian</t>
  </si>
  <si>
    <t>Abraham Anak Francis Engkala</t>
  </si>
  <si>
    <t>Abraham - Chumbaka</t>
  </si>
  <si>
    <t>Ko King Wei</t>
  </si>
  <si>
    <t>King Wei/King Hui - Chumbaka</t>
  </si>
  <si>
    <t>Ko King Hui</t>
  </si>
  <si>
    <t>Abraham Ting Lik Yue</t>
  </si>
  <si>
    <t>IOT Control with ESP32</t>
  </si>
  <si>
    <t>Abraham Ting - Chumbaka</t>
  </si>
  <si>
    <t>Ryan Wong Bak Chen</t>
  </si>
  <si>
    <t>Ryan/Gladys (TH) - Chumbak</t>
  </si>
  <si>
    <t>Oscar Wong Kwang Minhai</t>
  </si>
  <si>
    <t>Sophia/Oscar - Chumbaka</t>
  </si>
  <si>
    <t>Peso Yang Ming Yu</t>
  </si>
  <si>
    <t>Peso Yang (WINS) - Chumbak</t>
  </si>
  <si>
    <t>Jayden Ting Ri Bin</t>
  </si>
  <si>
    <t>Jayden Ting - Chumbaka</t>
  </si>
  <si>
    <t>Derrick Ling Ning Seng</t>
  </si>
  <si>
    <t>Derrick Ling - Chumbaka</t>
  </si>
  <si>
    <t>Amber Wong Yun Qi</t>
  </si>
  <si>
    <t>Amber - Chumbaka</t>
  </si>
  <si>
    <t>Josh Law Wen Jun</t>
  </si>
  <si>
    <t>6 Sat 11:00-12:00pm</t>
  </si>
  <si>
    <t>Josh Law - Chumbaka</t>
  </si>
  <si>
    <t>Edric Yong Tian Jun</t>
  </si>
  <si>
    <t>Edric Yong - Chumbaka</t>
  </si>
  <si>
    <t>Herman Kong Kerk Xiang</t>
  </si>
  <si>
    <t>Herman/Harper - CHUMBAKA</t>
  </si>
  <si>
    <t>Harper Kong Xuen</t>
  </si>
  <si>
    <t>Dylan Ling Hung Fan</t>
  </si>
  <si>
    <t>Dylan/Gabby - Chumbaka</t>
  </si>
  <si>
    <t>Teo Kah Wei</t>
  </si>
  <si>
    <t>Kah Wei - CHUMBAKA</t>
  </si>
  <si>
    <t>Alston Chan Yu Han</t>
  </si>
  <si>
    <t>Alston Chan - Chumbaka</t>
  </si>
  <si>
    <t>Joshua Tong Tze Cheng</t>
  </si>
  <si>
    <t>Joshua Tong - Chumbaka</t>
  </si>
  <si>
    <t>Clovis Low Zhao Ming</t>
  </si>
  <si>
    <t>Clovis Low - CHUMBAKA</t>
  </si>
  <si>
    <t>Ayden Lee Zeng Hsu</t>
  </si>
  <si>
    <t>Emily Wong Mon Rong</t>
  </si>
  <si>
    <t>Mercury/Emily - CHUMBAKA</t>
  </si>
  <si>
    <t>Julius Chiew Zhen Hao</t>
  </si>
  <si>
    <t>Julius - Chumbaka</t>
  </si>
  <si>
    <t>Samuel Moh Nian Quan</t>
  </si>
  <si>
    <t>Samuel Moh - Chumbaka</t>
  </si>
  <si>
    <t>Rachelle Teh Ern Cher</t>
  </si>
  <si>
    <t>Rachelle (WINS) - Chumbaka</t>
  </si>
  <si>
    <t>Daphne Wong</t>
  </si>
  <si>
    <t>Daphne (WINS) - Chumbaka</t>
  </si>
  <si>
    <t>Howard Ling Hong Ern</t>
  </si>
  <si>
    <t>Howard - Chumbaka</t>
  </si>
  <si>
    <t>Kong Ming Yi</t>
  </si>
  <si>
    <t>Ming Yi - Chumbaka</t>
  </si>
  <si>
    <t>Anselm Chiong Chan Sung</t>
  </si>
  <si>
    <t>Anselm Chiong (TH) - Chumbaka</t>
  </si>
  <si>
    <t>Alfred Koo Yi Xiang</t>
  </si>
  <si>
    <t>Alfred Koo - Chumbaka</t>
  </si>
  <si>
    <t>Jarvis Ningkan Anak Henry</t>
  </si>
  <si>
    <t>Jarvis Ningkan - Chumbaka</t>
  </si>
  <si>
    <t>Gabby Ling Hung Yu</t>
  </si>
  <si>
    <t>Tang Xu Wen</t>
  </si>
  <si>
    <t>Xu Wen/Shue Yean/Yun Sey - Chumbaka</t>
  </si>
  <si>
    <t>Tang Shue Yean</t>
  </si>
  <si>
    <t>Tang Yun Sey</t>
  </si>
  <si>
    <t>Feliz Loh Li Fei</t>
  </si>
  <si>
    <t>7 Sat 2:00-3:00pm</t>
  </si>
  <si>
    <t>Feliz Loh - CHUMBAKA</t>
  </si>
  <si>
    <t>Wallance Wong Chung Yiu</t>
  </si>
  <si>
    <t>Physical Computing Showcase</t>
  </si>
  <si>
    <t>Wensley/Wallance - Chumbaka</t>
  </si>
  <si>
    <t>Ayden Lee Tai Yu</t>
  </si>
  <si>
    <t>Laptop</t>
  </si>
  <si>
    <t>Ayden Lee - Chumbaka</t>
  </si>
  <si>
    <t>Aryssa Sofea binti Mohd Ahmadi</t>
  </si>
  <si>
    <t>Arysaa Sofea/Ammar Yusof/Auf Zayyan - Chumbaka</t>
  </si>
  <si>
    <t>Muhammad Ammar Yusof bin Mohd Ahmadi</t>
  </si>
  <si>
    <t>Muhammad Auf Zayyan bin Mohd Ahmadi</t>
  </si>
  <si>
    <t>Nicholas Yong Yi Hua</t>
  </si>
  <si>
    <t>Gab/Luke/Nic - Chumbaka</t>
  </si>
  <si>
    <t>Luke Yong Nuo Hua</t>
  </si>
  <si>
    <t>Constantine Tiong Wei Heng</t>
  </si>
  <si>
    <t>Constantine/Frederick CBK</t>
  </si>
  <si>
    <t>Frederick Tiong Wei Xiang</t>
  </si>
  <si>
    <t>Ethan Sia Kee Rong</t>
  </si>
  <si>
    <t>Ethan Sia - Chumbaka</t>
  </si>
  <si>
    <t>Aisy Aryan bin Ali Harris</t>
  </si>
  <si>
    <t xml:space="preserve"> </t>
  </si>
  <si>
    <t>Aisy Aryan - Chumbaka</t>
  </si>
  <si>
    <t>Wensley Wong Chung Ze</t>
  </si>
  <si>
    <t>Oscar Sia Chen Hong</t>
  </si>
  <si>
    <t>Oliver/Oscar - CHUMBAKA</t>
  </si>
  <si>
    <t>Vionetta Injang Anak Engan</t>
  </si>
  <si>
    <t>Veeyyai/Vionetta - Chumbaka</t>
  </si>
  <si>
    <t>Aria Tong Yun Fann</t>
  </si>
  <si>
    <t>Aria Tong - Chumbaka</t>
  </si>
  <si>
    <t>Oliver Sia Chen Jun</t>
  </si>
  <si>
    <t>Update Needed</t>
  </si>
  <si>
    <t>Leon Thien Jun Siang</t>
  </si>
  <si>
    <t>Leon Thien - Chumbaka</t>
  </si>
  <si>
    <t>Alfred Lau Ke Yi</t>
  </si>
  <si>
    <t>Casper Lau/Alfred Lau - Chumbaka</t>
  </si>
  <si>
    <t>Casper Lau Ke Qing</t>
  </si>
  <si>
    <t xml:space="preserve">Cloudius Tay Lik Kung </t>
  </si>
  <si>
    <t>Cloudius Tay - Chumbaka</t>
  </si>
  <si>
    <t>Jvan Tan Jun Yik</t>
  </si>
  <si>
    <t>8 Sat 3:00-4:00pm</t>
  </si>
  <si>
    <t>Jvan/Ivan - CHUMBAKA</t>
  </si>
  <si>
    <t>Ivan Tan Jun Haw</t>
  </si>
  <si>
    <t>Evonne Cheng Xin Ning</t>
  </si>
  <si>
    <t>Evonne - Chumbaka</t>
  </si>
  <si>
    <t>Andrew Chai Kai Jun</t>
  </si>
  <si>
    <t>Andrew Chai - Chumbaka</t>
  </si>
  <si>
    <t>Veeyyai Anak Engan</t>
  </si>
  <si>
    <t>Dalinda Anak Felix Soul</t>
  </si>
  <si>
    <t>Dalinda - CHUMBAKA</t>
  </si>
  <si>
    <t>Hng Khar Jun</t>
  </si>
  <si>
    <t>Khar Jun (TH) - Chumbaka</t>
  </si>
  <si>
    <t>Jayden Siaw Cun En</t>
  </si>
  <si>
    <t>Jayden Siaw (TH) - Chumbaka</t>
  </si>
  <si>
    <t>Ethan Koh Chya Bing</t>
  </si>
  <si>
    <t>9 Sat 4:00-5:00pm</t>
  </si>
  <si>
    <t>Discipline</t>
  </si>
  <si>
    <t>Ethan Koh - CHUMBAKA</t>
  </si>
  <si>
    <t>Anson Ling Jia Le</t>
  </si>
  <si>
    <t>Anson - Chumbaka</t>
  </si>
  <si>
    <t>Benson Tiong Guang Rui</t>
  </si>
  <si>
    <t>Phyical Computing showcase</t>
  </si>
  <si>
    <t>Benson - Chumbaka</t>
  </si>
  <si>
    <t>Erika Ong Jing Rong</t>
  </si>
  <si>
    <t>Erika/Eugenia - Chumbaka</t>
  </si>
  <si>
    <t>Tiffany Ling Yun Ting</t>
  </si>
  <si>
    <t>Tiffany Ling - Chumbaka</t>
  </si>
  <si>
    <t>Quentin Law Yen Yan</t>
  </si>
  <si>
    <t>Quentin - Chumbaka</t>
  </si>
  <si>
    <t>Wong Shi Yaw</t>
  </si>
  <si>
    <t>Shi Yaw - Chumbaka</t>
  </si>
  <si>
    <t>Iessabelle Rayeanna Billie Tami</t>
  </si>
  <si>
    <t>Iessabelle - Chumbaka</t>
  </si>
  <si>
    <t>Teoh Wei kai</t>
  </si>
  <si>
    <t>Wei Kai - Chumbaka</t>
  </si>
  <si>
    <t>Anderson Sui Shuen Hon</t>
  </si>
  <si>
    <t>Anderson - CHUMBAKA</t>
  </si>
  <si>
    <t>Sarah Wong Jing Lin</t>
  </si>
  <si>
    <t>Sarah (TH) - Chumbaka</t>
  </si>
  <si>
    <t>Ivanna Ling Yirou</t>
  </si>
  <si>
    <t>Ivanna - Chumbaka</t>
  </si>
  <si>
    <t>Eugenia Ong Jing Xuan</t>
  </si>
  <si>
    <t>Royson Sandah Tan Kee Lim</t>
  </si>
  <si>
    <t>CH 12:00-1:00pm</t>
  </si>
  <si>
    <t>SJK(C) Chung Hua</t>
  </si>
  <si>
    <t>Royson (CH) - Chumbaka</t>
  </si>
  <si>
    <t>Ramssey Bin Raymand</t>
  </si>
  <si>
    <t>Ramssey (CH) - Chumbaka</t>
  </si>
  <si>
    <t>Nathanael Lee Yi Yang</t>
  </si>
  <si>
    <t>Nathanael (CH) - Chumbaka</t>
  </si>
  <si>
    <t>Desmond Chai Kai Ze</t>
  </si>
  <si>
    <t>Desmond Chai(CH) - Chumbaka</t>
  </si>
  <si>
    <t>Tolber Lee Jun Han</t>
  </si>
  <si>
    <t>Tolber Lee (CH) - Chumbak</t>
  </si>
  <si>
    <t>Marcus Moh Nien Yi</t>
  </si>
  <si>
    <t>Marcus Moh (CH) - Chumbaka</t>
  </si>
  <si>
    <t>Jayden Huan Kah Hang</t>
  </si>
  <si>
    <t>CS 1:20-3:30pm</t>
  </si>
  <si>
    <t>Jayden Huan (CS) - Chumbaka</t>
  </si>
  <si>
    <t>Samson Moh Nian Hui</t>
  </si>
  <si>
    <t>Samson Moh (CS) - Chumbaka</t>
  </si>
  <si>
    <t>Simeon Shu Zhong Sheng</t>
  </si>
  <si>
    <t>Simeon Shu (CS) - Chumbaka</t>
  </si>
  <si>
    <t xml:space="preserve">Ling Zi Heng </t>
  </si>
  <si>
    <t>Zi Heng (CS) - Chumbaka</t>
  </si>
  <si>
    <t>Ling Yii Xiong</t>
  </si>
  <si>
    <t>Yii Xiong (CS) - Chumbaka</t>
  </si>
  <si>
    <t>Elvis Yek Zhu Xiang</t>
  </si>
  <si>
    <t>Elvis Yek (CS) - Chumbaka</t>
  </si>
  <si>
    <t>Elson Low Zhen Quan</t>
  </si>
  <si>
    <t>PTK 9:00-10:00am</t>
  </si>
  <si>
    <t>Pusat Tuisyen Kampus</t>
  </si>
  <si>
    <t>Elson/Carson - Chumbaka</t>
  </si>
  <si>
    <t>Carson Low Zhen Shen</t>
  </si>
  <si>
    <t>Ling Yong Jing</t>
  </si>
  <si>
    <t>Yong Jing (PTK) - Chumbaka</t>
  </si>
  <si>
    <t>Ann Wong Sie Eng</t>
  </si>
  <si>
    <t>Anne/Leo (PTK) - Chumbaka</t>
  </si>
  <si>
    <t>Leo Wong Sie Siong</t>
  </si>
  <si>
    <t>Kristian Low Ming Ruy</t>
  </si>
  <si>
    <t>Kristian (PTK) - Chumbaka</t>
  </si>
  <si>
    <t>Elnathan Ryan Anak David</t>
  </si>
  <si>
    <t>SHS 2:00-3:00pm</t>
  </si>
  <si>
    <t>Elnathan (SHS) - Chumbaka</t>
  </si>
  <si>
    <t>Samuel Bryan Donny</t>
  </si>
  <si>
    <t>Benedict/Samuel (SHS) - Chumbaka</t>
  </si>
  <si>
    <t>Clayton Chieng Zhu Rui</t>
  </si>
  <si>
    <t>Clayton (SHS) - Chumbaka</t>
  </si>
  <si>
    <t>Wong Pak Ung</t>
  </si>
  <si>
    <t>Pak Ung (SHS) - Chumbaka</t>
  </si>
  <si>
    <t>Benaiah Ethan Ling</t>
  </si>
  <si>
    <t>SL 1:00-2:00pm</t>
  </si>
  <si>
    <t>Benaiah - Chumbaka</t>
  </si>
  <si>
    <t>Dalton Yik Haw Xuan</t>
  </si>
  <si>
    <t>Dalton Yik (SL) - Chumbaka</t>
  </si>
  <si>
    <t>Aidan Hii Sing Hong</t>
  </si>
  <si>
    <t>Aidan (SL) - Chumbaka</t>
  </si>
  <si>
    <t>Lewin Lau Bik Liang</t>
  </si>
  <si>
    <t>Lewin Lau (SL) - Chumbaka</t>
  </si>
  <si>
    <t>Aston Wong Yi Zuen</t>
  </si>
  <si>
    <t>Aston Wong (SL) - Chumbaka</t>
  </si>
  <si>
    <t>Austin Yek Xuan Rui</t>
  </si>
  <si>
    <t>Austin Yek (SL) - Chumbaka</t>
  </si>
  <si>
    <t>Liong Zi Yang</t>
  </si>
  <si>
    <t>Zi Yang (SL) - Chumbaka</t>
  </si>
  <si>
    <t>Edric Sia Ting Chen</t>
  </si>
  <si>
    <t>Edric Sia (SL) - Chumbaka</t>
  </si>
  <si>
    <t>Cayla Loh Yu Xuan</t>
  </si>
  <si>
    <t>Cayla Loh (SL) - Chumbaka</t>
  </si>
  <si>
    <t>Phoebe Yeo Kai Lu</t>
  </si>
  <si>
    <t>Phoebe Yeo (SL) - Chumbaka</t>
  </si>
  <si>
    <t>Chong Xue Wen</t>
  </si>
  <si>
    <t>TH 12:45-1:45pm</t>
  </si>
  <si>
    <t>SJK(C) Tung Hua</t>
  </si>
  <si>
    <t>Chong Xue Wen(TH) - Chumbaka</t>
  </si>
  <si>
    <t>Sophia Wong Kwang Yuchin</t>
  </si>
  <si>
    <t>Elroy Wong Yee Haw</t>
  </si>
  <si>
    <t>Elroy Wong (TH) - Chumbaka</t>
  </si>
  <si>
    <t>Hailley Chee Yee JIe</t>
  </si>
  <si>
    <t>Hailey Chee (TH) - Chumbaka</t>
  </si>
  <si>
    <t>Thomas Tiong Wei Hao</t>
  </si>
  <si>
    <t>Thomas/Morgan Tiong(TH) - Chumbaka</t>
  </si>
  <si>
    <t>Rexlee Ngu Shu Jing</t>
  </si>
  <si>
    <t>Rexlee (TH) - Chumbaka</t>
  </si>
  <si>
    <t>Daniel Lee Meng Ze</t>
  </si>
  <si>
    <t>Daniel Lee (TH) - Chumbaka</t>
  </si>
  <si>
    <t>Jerald Wong Xiang Zhe</t>
  </si>
  <si>
    <t>Jerald Wong (TH) - Chumbaka</t>
  </si>
  <si>
    <t>Morgan Tiong Wei Han</t>
  </si>
  <si>
    <t>Joyce Wong Qin Ai</t>
  </si>
  <si>
    <t>Ryan Sia Rui Eng</t>
  </si>
  <si>
    <t>Coding &amp; Algorithm showcase</t>
  </si>
  <si>
    <t>Ryan Sia(TH) - Chumbaka</t>
  </si>
  <si>
    <t>Rochester Lee Eu Jyun</t>
  </si>
  <si>
    <t>Rochester(TH) - Chumbaka</t>
  </si>
  <si>
    <t>Osmund Tiong Zhen En</t>
  </si>
  <si>
    <t>Osmund (TH) - Chumbaka</t>
  </si>
  <si>
    <t>Charlene Ting Yan Jin</t>
  </si>
  <si>
    <t>Charlene (TH) - Chumbaka</t>
  </si>
  <si>
    <t>Lucas Chiew Wei Han</t>
  </si>
  <si>
    <t>Lucas Chiew (TH) - Chumbaka</t>
  </si>
  <si>
    <t>Giselda Kong Le En</t>
  </si>
  <si>
    <t>Giselda (TH) - Chumbaka</t>
  </si>
  <si>
    <t>Wilfred Lau Jun Rui</t>
  </si>
  <si>
    <t>Wilfred (TH) - Chumbaka</t>
  </si>
  <si>
    <t>Eunice Wong Shi Qing</t>
  </si>
  <si>
    <t>Gladys Wong Jing Wen</t>
  </si>
  <si>
    <t>Lucas Ting Ker Jun</t>
  </si>
  <si>
    <t>TK Fri 11:30-12:30pm</t>
  </si>
  <si>
    <t>Lucas Ting - Chumbaka</t>
  </si>
  <si>
    <t>Harden Moh Heng Leong</t>
  </si>
  <si>
    <t>Harden Moh (TK) - Chumbaka</t>
  </si>
  <si>
    <t>Jonathan Ramiel anak Richard Nyaru</t>
  </si>
  <si>
    <t>Jonathan Ramiel (TK) - Chumbaka</t>
  </si>
  <si>
    <t>Fong Kah Lok</t>
  </si>
  <si>
    <t>Kah Lok (TK) - Chumbaka</t>
  </si>
  <si>
    <t>Jayden Lee Kang Cheng</t>
  </si>
  <si>
    <t>Jayden Lee (TK) - Chumbaka</t>
  </si>
  <si>
    <t>Wyn Chan Kai Yuan</t>
  </si>
  <si>
    <t>Wyn Chan (TK) - Chumbaka</t>
  </si>
  <si>
    <t>Isabelle ee Chii Sonn</t>
  </si>
  <si>
    <t>Isabelle Ee (TK) - Chumbaka</t>
  </si>
  <si>
    <t xml:space="preserve">Ryan Ngu Shu Hao </t>
  </si>
  <si>
    <t>Ryan Ngu (TK) - Chumbaka</t>
  </si>
  <si>
    <t>Elsa Wong Yun Xi</t>
  </si>
  <si>
    <t>Elsa/Enoch (TK) - Chumbaka</t>
  </si>
  <si>
    <t>Enoch Wong Khung Nokh</t>
  </si>
  <si>
    <t>Ling Li Ying</t>
  </si>
  <si>
    <t>Li Ying (TK) - Chumbaka</t>
  </si>
  <si>
    <t xml:space="preserve">Effie Wong Choo Hsin </t>
  </si>
  <si>
    <t>Effie Wong (TK) - Chumbaka</t>
  </si>
  <si>
    <t>Felix Law Meng Hao</t>
  </si>
  <si>
    <t>Felix Law (TK) - Chumbaka</t>
  </si>
  <si>
    <t>Daphne Chieng En Qing</t>
  </si>
  <si>
    <t>Daphne Chieng (TK) - Chumbaka</t>
  </si>
  <si>
    <t>Iffia Thong Zhi Yuan</t>
  </si>
  <si>
    <t>Iffia/Aldrich (TK) - Chumbaka</t>
  </si>
  <si>
    <t>Gordon Choo Wen Xue</t>
  </si>
  <si>
    <t>Leo/Gordon (TK) - Chumbaka</t>
  </si>
  <si>
    <t>Leo Choo Jun Xue</t>
  </si>
  <si>
    <t>Aldrich Thong Qin Fu</t>
  </si>
  <si>
    <t>Inez Teng Zi Ning</t>
  </si>
  <si>
    <t>Inez Teng (TK) - Chumbaka</t>
  </si>
  <si>
    <t>Isabel Lim Xin Lin</t>
  </si>
  <si>
    <t>Isabel Lim (TK) - Chumbaka</t>
  </si>
  <si>
    <t>Rose Wong Xin Huey</t>
  </si>
  <si>
    <t>Rose Wong (TK) - Chumbaka</t>
  </si>
  <si>
    <t>Jayvis Kueh Xu Kiet</t>
  </si>
  <si>
    <t>Amy Ting Rou Jun</t>
  </si>
  <si>
    <t>TK Wed 12:20-1:20pm</t>
  </si>
  <si>
    <t>Amy/Fiona (TK) - Chumbaka</t>
  </si>
  <si>
    <t>Fiona Ting Si Ying</t>
  </si>
  <si>
    <t>Nathan Ling Zhen Hong</t>
  </si>
  <si>
    <t>Nathan/Sheldon (TK) - Chumbaka</t>
  </si>
  <si>
    <t>Sheldon Ling Zhen Jun</t>
  </si>
  <si>
    <t>Samuel Chu Yang Yi</t>
  </si>
  <si>
    <t>Samuel Chu (TK) - Chumbaka</t>
  </si>
  <si>
    <t>Neon Hii</t>
  </si>
  <si>
    <t>Neon Hii (TK) - Chumbaka</t>
  </si>
  <si>
    <t>Eunice Tang Zhi Qian</t>
  </si>
  <si>
    <t>Eunice Tang (TK) - Chumbaka</t>
  </si>
  <si>
    <t>Aiden Yii Tiew Xu</t>
  </si>
  <si>
    <t>Aiden Yii (TK) - Chumbaka</t>
  </si>
  <si>
    <t>Ho Yu Chen</t>
  </si>
  <si>
    <t>Yu Chen/Yu Han (TK) - Chumbaka</t>
  </si>
  <si>
    <t>Ho Yu Han</t>
  </si>
  <si>
    <t>Lucas ting zheng rui</t>
  </si>
  <si>
    <t>Lucas Ting (TK) - Chumbaka</t>
  </si>
  <si>
    <t>Owen Ting Chong Ung</t>
  </si>
  <si>
    <t>Owen Ting (TK) - Chumbaka</t>
  </si>
  <si>
    <t>Abby Wong Lew Xuen</t>
  </si>
  <si>
    <t>Abby Wong (TK) - Chumbaka</t>
  </si>
  <si>
    <t xml:space="preserve">Charis Kong En Xi </t>
  </si>
  <si>
    <t>Charis Kong (TK) - Chumbaka</t>
  </si>
  <si>
    <t>Triston Ting Guan Zhang</t>
  </si>
  <si>
    <t>Triston Ting (TK) - Chumbaka</t>
  </si>
  <si>
    <t>Sofea Alyna</t>
  </si>
  <si>
    <t>WIN 2:30-3:30pm</t>
  </si>
  <si>
    <t>Sofea Alyna (WINS) - Chumbaka</t>
  </si>
  <si>
    <t>Jayden Pang Zhen Xiang</t>
  </si>
  <si>
    <t>Jayden Pang (WINS) - Chumbaka</t>
  </si>
  <si>
    <t>Ryan Hung</t>
  </si>
  <si>
    <t>Yvonne/Ryan (WINS) - Chumbaka</t>
  </si>
  <si>
    <t>Inactive</t>
  </si>
  <si>
    <t>1 Mon 7.30-8.30pm</t>
  </si>
  <si>
    <t>Zion Shi - Chumbaka</t>
  </si>
  <si>
    <t>Jing Xiu/Jing Yu/Jing Shang - Chumbaka</t>
  </si>
  <si>
    <t>Joanna Wong Xuan Yue</t>
  </si>
  <si>
    <t>David</t>
  </si>
  <si>
    <t>Clement Ling Ke Ming</t>
  </si>
  <si>
    <t>Database and API with App Inventor</t>
  </si>
  <si>
    <t>Joshua Ting Xuan Eng</t>
  </si>
  <si>
    <t>Xing yi Law</t>
  </si>
  <si>
    <t>Eason Toh</t>
  </si>
  <si>
    <t>2 Wed 7.30-8.30pm</t>
  </si>
  <si>
    <t>Max Chieng Xin Yi</t>
  </si>
  <si>
    <t>Patrick Sia Kee Tao</t>
  </si>
  <si>
    <t>3 Sat 9.00-10.00am</t>
  </si>
  <si>
    <t>Jonathan Loh Hao Jie</t>
  </si>
  <si>
    <t>Aldrich Wong Zun Kai</t>
  </si>
  <si>
    <t>Aldrich - Chumbaka</t>
  </si>
  <si>
    <t>Eunice Yong Pei Hua</t>
  </si>
  <si>
    <t>4 Sat 10.00-11.00am</t>
  </si>
  <si>
    <t>Darence Kiung Eezer</t>
  </si>
  <si>
    <t>Nigel Lim Zhong Xi</t>
  </si>
  <si>
    <t>Reanna Ting Yie Jing</t>
  </si>
  <si>
    <t>Jeremy Kong Yu Yong</t>
  </si>
  <si>
    <t>Jeremy - Chumbaka</t>
  </si>
  <si>
    <t>Haura Amani</t>
  </si>
  <si>
    <t>5 Sat 11.00-12.00pm</t>
  </si>
  <si>
    <t>Marcus - Chumbaka</t>
  </si>
  <si>
    <t>Allen Ng Wei Hong</t>
  </si>
  <si>
    <t>Adrian Tong - Chumbaka</t>
  </si>
  <si>
    <t>Vladimir Nanang Casimir</t>
  </si>
  <si>
    <t>Nea Hairani Binti Hairul Hairi</t>
  </si>
  <si>
    <t>Amaan Nur Hayyan</t>
  </si>
  <si>
    <t>Nathan Tang Liang Jie</t>
  </si>
  <si>
    <t>6 Sat 2.00-3.00pm</t>
  </si>
  <si>
    <t>Tony</t>
  </si>
  <si>
    <t>Adam Naqiudin - Chumbaka</t>
  </si>
  <si>
    <t>Nicholas Too Kah Hee</t>
  </si>
  <si>
    <t>Nicholas Too - Chumbaka</t>
  </si>
  <si>
    <t>Cornelius Wong Guang Ming</t>
  </si>
  <si>
    <t>Adeline Wong Guang Li</t>
  </si>
  <si>
    <t>Ivan Wong Hong Yi</t>
  </si>
  <si>
    <t>Gabriel Yong Shu Hua</t>
  </si>
  <si>
    <t>Ance Lin Liu Xin</t>
  </si>
  <si>
    <t>7 Sat 3.00-4.00pm</t>
  </si>
  <si>
    <t>Arduino</t>
  </si>
  <si>
    <t>Isaachar Hii De Cheng</t>
  </si>
  <si>
    <t>Jason Sia Jun Hui</t>
  </si>
  <si>
    <t>Aidan Rhychand Onchin Bin Winston</t>
  </si>
  <si>
    <t>Benedict Darren Donny</t>
  </si>
  <si>
    <t>Isaac Cham Zi Xuan</t>
  </si>
  <si>
    <t>Casper Tan Ee Jie</t>
  </si>
  <si>
    <t>SJK (C) Tung Hua</t>
  </si>
  <si>
    <t>Delicia Lau Yee Qian</t>
  </si>
  <si>
    <t>Elena Yeu Shu Wen</t>
  </si>
  <si>
    <t>Attendance, Email Issues</t>
  </si>
  <si>
    <t>Bernard Choo Chong Seng</t>
  </si>
  <si>
    <t>Benjamin Choo Chong Wei</t>
  </si>
  <si>
    <t>Hii Nai Cheng</t>
  </si>
  <si>
    <t>Jonathan Lee Cheng Guan</t>
  </si>
  <si>
    <t>Jordan Ling Chan Ho</t>
  </si>
  <si>
    <t>Reagan</t>
  </si>
  <si>
    <t>Jordan/Joshua (TH) - Chumbaka</t>
  </si>
  <si>
    <t>Joshua Ling Chan Kee</t>
  </si>
  <si>
    <t>Esme Ling Ruicy</t>
  </si>
  <si>
    <t>Suspended</t>
  </si>
  <si>
    <t>Esme Ling (TH) - Chumbaka</t>
  </si>
  <si>
    <t>Jee Wyn Swan (WINS) - Chumbaka</t>
  </si>
  <si>
    <t>Jonathan Toh Yi Ong</t>
  </si>
  <si>
    <t>Kathlyn wong Qiu Ling</t>
  </si>
  <si>
    <t>Kathlyn Wong (TK) - Chumbaka</t>
  </si>
  <si>
    <t>Orlando Kho Yu Xuan</t>
  </si>
  <si>
    <t>Kayden Wong Toh Xun</t>
  </si>
  <si>
    <t>Grace Goh Eu Zhen</t>
  </si>
  <si>
    <t>Num</t>
  </si>
  <si>
    <t>Students</t>
  </si>
  <si>
    <t>Column 2</t>
  </si>
  <si>
    <t>Sessions</t>
  </si>
  <si>
    <t>Column 3</t>
  </si>
  <si>
    <t>Project Showcase Course</t>
  </si>
  <si>
    <t>Invitation Sent?</t>
  </si>
  <si>
    <t>Sent Date</t>
  </si>
  <si>
    <t>Will Attend</t>
  </si>
  <si>
    <t xml:space="preserve">Reason </t>
  </si>
  <si>
    <t>Cert</t>
  </si>
  <si>
    <t>Rehearsal Sent?</t>
  </si>
  <si>
    <t>Can attend rehearsal?</t>
  </si>
  <si>
    <t>Reasons</t>
  </si>
  <si>
    <t>Column 19</t>
  </si>
  <si>
    <r>
      <rPr>
        <rFont val="Calibri"/>
        <color rgb="FF000000"/>
        <sz val="12.0"/>
      </rPr>
      <t>*Press [</t>
    </r>
    <r>
      <rPr>
        <rFont val="Calibri"/>
        <b/>
        <color rgb="FFFF0000"/>
        <sz val="36.0"/>
      </rPr>
      <t>Ctrl + ;</t>
    </r>
    <r>
      <rPr>
        <rFont val="Calibri"/>
        <color rgb="FF000000"/>
        <sz val="12.0"/>
      </rPr>
      <t xml:space="preserve">] to add the date directly
</t>
    </r>
    <r>
      <rPr>
        <rFont val="Calibri"/>
        <color rgb="FFFF0000"/>
        <sz val="12.0"/>
      </rPr>
      <t>Windows OS =&gt; [Ctrl + ;]
MacOS =&gt; [Cmd + ;]</t>
    </r>
  </si>
  <si>
    <t>Coding &amp; Algorithm Showcase</t>
  </si>
  <si>
    <t>Clement Ling - Chumbaka</t>
  </si>
  <si>
    <t>Database and API with App Inventor Showcase</t>
  </si>
  <si>
    <t>Embedded System Showcase</t>
  </si>
  <si>
    <t>AI with Python Showcase</t>
  </si>
  <si>
    <t>Joshua Ting - CHUMBAKA</t>
  </si>
  <si>
    <t>Game Development Showcase</t>
  </si>
  <si>
    <t>Travelling</t>
  </si>
  <si>
    <t>Traveling</t>
  </si>
  <si>
    <t>Coding and Algorithms Showcase</t>
  </si>
  <si>
    <t>Creative Computing Showcase</t>
  </si>
  <si>
    <t>Darence - Chumbaka</t>
  </si>
  <si>
    <t>8 Sat 4.00-5.00pm</t>
  </si>
  <si>
    <t>Traveling/Attend next year June Showcase</t>
  </si>
  <si>
    <t>Nea Hairani - Chumbaka</t>
  </si>
  <si>
    <t>Vladimir - CHUMBAKA</t>
  </si>
  <si>
    <t>Isaac (SHS) - Chumbaka</t>
  </si>
  <si>
    <t>School Event</t>
  </si>
  <si>
    <t>Amaan - Chumbaka</t>
  </si>
  <si>
    <t>3D Design for AR and VR Showcase</t>
  </si>
  <si>
    <t>COUNTA of Attendance Status</t>
  </si>
  <si>
    <t>Attendance Status</t>
  </si>
  <si>
    <t>Absent</t>
  </si>
  <si>
    <t>Attend/Replace</t>
  </si>
  <si>
    <t>Late</t>
  </si>
  <si>
    <t>Replacement</t>
  </si>
  <si>
    <t>Ayden Lee</t>
  </si>
  <si>
    <t>Grand Total</t>
  </si>
  <si>
    <t>Timestamp</t>
  </si>
  <si>
    <t>Name</t>
  </si>
  <si>
    <t>Aidan siaw min le</t>
  </si>
  <si>
    <t>[Caleb]
It was a bit dragging because the method inside the LMS no longer works and now requires a subscription fee.
Aidan is having issues with using his phone in class. In my view, the mentor should have informed the parents earlier, even though we are already working on helping him improve this.</t>
  </si>
  <si>
    <t>AMARION HII LU ONG</t>
  </si>
  <si>
    <t>[Caleb]
Initially, due to a change of mentor, he tended to remain silent for a period of time.
He is easily distracted by friends, especially when Benaiah joins the class.
The mentor did not provide a specific timeline."</t>
  </si>
  <si>
    <t xml:space="preserve">CONSTANTINE TIONG WEI HENG </t>
  </si>
  <si>
    <t>[Caleb]
due to a change of mentor, difficult to trace back.
The mentor did not provide a specific timeline.</t>
  </si>
  <si>
    <t>[Caleb]
Few projects are done but havent been submit yet
Being absence for too many times, mentor are suggested to report to the parents to make sure parents are aware of this risks.</t>
  </si>
  <si>
    <t xml:space="preserve">Cornelius Wong Guang Ming </t>
  </si>
  <si>
    <t>[Caleb]
Absence is too frequent.
Mentor suggested checking in with the student to understand why attendance is inconsistent and to identify any difficulties in learning progress.
Mentor needs to discuss and agree on a timeline with the student for final project submission.</t>
  </si>
  <si>
    <t>[Caleb]
Progress has already reached Level D, but the student has not submitted the previous project, so the system has no record.
The student often pursues personal interests instead of following the syllabus.
Frequently absent, and tends to replace multiple classes in one go.
Mentor is advised to set a timeline together with the student.
Ask the student to submit all the projects that had been done and receive comments for improvement from mentor.
While students are allowed to explore their own interests, we sometimes need to set limits to bring their focus back.</t>
  </si>
  <si>
    <t>ABRAHAM ANAK FRANCIS ENGKALA</t>
  </si>
  <si>
    <t xml:space="preserve">[Caleb]
Absent for too often, need follow up with Lam what is happening here
</t>
  </si>
  <si>
    <t>AIDAN RHYCHAND ONCHIN BIN WINSTON</t>
  </si>
  <si>
    <t>[Caleb]
No replacement classes are available for SHS.
Student shows a weak foundation, frequently copying Elnathan’s work; therefore, the mentor team separated them.
Mentor was suggested to discuss the student’s progress issues with the student and requiring them to complete at least one page per session.</t>
  </si>
  <si>
    <t>[Caleb]
Issue with mentor changes.
Student tends to skip pages without fully understanding the content. When the mentor is not around, the student often randomly presses buttons in Scratch.
Mentor is given suggested ways to ensure the student fully understands the content before moving forward.
Mentor also advised to talk to the student personally about the observed issues to help the student build awareness and practice self-reflection.</t>
  </si>
  <si>
    <t>[Caleb]
Student is working on the final project.
Inconsistent attendance makes it difficult to recap progress.
Friends quitting has caused a loss of motivation.
Mentor is advised to understand why the student is demotivated.</t>
  </si>
  <si>
    <t>[Caleb]
Improved after the mentor spoke to the student personally; the next challenge is to maintain consistent performance.</t>
  </si>
  <si>
    <t>[Caleb]
Slow learner, often needs to watch twice.
Tends to help friends after learning something.
Mentor is advised to update the parents and explain the milestones and how we plan to support the student.</t>
  </si>
  <si>
    <t>[Caleb]
Absent for the last class, 27th Sep 2025</t>
  </si>
  <si>
    <t>[Caleb]
Attendance issue.
Kits are not always with her, despite mentors and management having contacted multiple times.</t>
  </si>
  <si>
    <t xml:space="preserve">[Vincent] lack of arduino knowledge, it may delay project showcase. </t>
  </si>
  <si>
    <t>AYDEN LEE ZENG HSU</t>
  </si>
  <si>
    <t>[Caleb]
The student has completed the final project for the current course, L232A Game Development, but still has missing submissions — fewer than the required six projects. These need to be completed before progressing to the next course.
Technical skills and project quality are good; the student is capable of producing quality work.
However, there are attitude issues that need attention. Mentor is advised to discuss the student’s attitude concerns with the parents.</t>
  </si>
  <si>
    <t>[Caleb]
The student has a special condition, which causes a slower learning pace compared to other students.
However, there has been significant improvement — previously, it was difficult for him to express his needs, but now he is able to communicate more clearly.
Mentor is advised to continue challenging him to maintain consistent progress and to set a clear timeline each time he moves on to a new page.</t>
  </si>
  <si>
    <t>JOANNA WONG XUAN YUE</t>
  </si>
  <si>
    <t>[Caleb]
Right now, only the final project is left. Previously, there was an issue with Unity, and after a discussion between the mentor and student, they decided to use a different approach with Scratch instead.</t>
  </si>
  <si>
    <t>[Caleb]
Right now he is doing the final project dy and almost finish.</t>
  </si>
  <si>
    <t>[Caleb]
Has begun his final project.
Mentor was advised to set a timeline together with student to ensure there is sufficient time for preparation before the year-end showcase.</t>
  </si>
  <si>
    <t>[Caleb]
Parents agreed to use temporary kits, also the original kits is on the way back.</t>
  </si>
  <si>
    <t>[Caleb]
Device (tablet) issue — for example, difficulty with copy and paste.
No major issues observed; maintains a positive attitude</t>
  </si>
  <si>
    <t>[Caleb]
(42th week) The student is currently working on his final project with no progress issues. The course consists of three parts, each lasting six months, with additional time allocated for six project submissions. He is now aiming to join the year-end showcase.</t>
  </si>
  <si>
    <t>[Caleb]
Previously, the student spent some time working on competition projects, but the focus is now back on regular learning.
Some of her projects have been completed but not yet submitted.
The mentor is advised to remind the student to submit all completed projects and to update the parents on her progress.</t>
  </si>
  <si>
    <t>[Caleb]
Shy and hesitant to ask the mentor when having questions.
Faces a language barrier when using the LMS.</t>
  </si>
  <si>
    <t>[Caleb]
Often needs to help his younger brother communicate with the mentor or ask questions.
Easily gets distracted when sitting with Bernard.</t>
  </si>
  <si>
    <t>[Caleb]
The student has already begun preparations for the 2025 Year-End Showcase.
A high-quality project has been created based on a self-designed story, with only the subtitles remaining to be completed.
A timeline has been provided, including rehearsal sessions for the year-end showcase.</t>
  </si>
  <si>
    <t>[Caleb]
Mentor’s Comment: Esme has many ideas to work on during the learning process.
My Comment: This is great, as it shows that the student has a positive learning attitude. However, the mentor is advised to help Esme stay focused on her progress while still allowing her creativity to shine during each project submission.</t>
  </si>
  <si>
    <t>[Caleb]
The Imaginary Pet project file is missing, and the student is required to redo the project.
The mentor is advised to explain to the student the importance of file backup and introduce how to use Google Drive for saving and backing up project files.
Additionally, the mentor should update the parents about the situation and value student learnt from the experience on the importance of maintaining backups.</t>
  </si>
  <si>
    <t>[Caleb]
The student has already started preparing for the final project.
Reminder for mentor: Once the student completes the project, provide feedback for improvement and enhancement to help the student refine the final outcome.</t>
  </si>
  <si>
    <t>ARIELLE LEE ZENG SEE</t>
  </si>
  <si>
    <t>[Caleb]
The student has a missing project from B2 and is currently working on the C2 project.
The mentor is advised to follow up on the missing project to ensure completion.
Additionally, the student is a bit shy to communicate.</t>
  </si>
  <si>
    <t>BOEY LING</t>
  </si>
  <si>
    <t>[Caleb]
The student previously used the mentor’s laptop during class and was unable to continue progress at home.
There were also issues with the student’s MacBook, but the student has recently switched to a Windows laptop last week, which should help improve learning continuity and project progress.</t>
  </si>
  <si>
    <t>ETHAN KOH CHYA BING</t>
  </si>
  <si>
    <t>[Caleb]
The student is easily distracted.
Mentor is advised to guide the student with clear, direct instructions and help build small, consistent habits first.
The student has already started preparing for the final project.</t>
  </si>
  <si>
    <t>[Caleb]
Inconsistent attendance.
Facing challenges with student learning behaviour.
Currently working on his S-Journey slide.
Will be challenged to complete his final project before the year-end showcase.</t>
  </si>
  <si>
    <t>[Caleb]
Requires occasional mentor support to keep moving forward.
Spent quite some time getting used to Pencil2D.</t>
  </si>
  <si>
    <t>AMAAN NUR HAYYAN</t>
  </si>
  <si>
    <t>[Caleb]
The student is now more well-behaved and serious in class.
Previously, he used to watch unrelated content instead of following the learning materials.
Improvement has been observed as before class begins, the mentor now asks him a few questions to help him stay focused and prepared.</t>
  </si>
  <si>
    <t>JONATHAN LOH HAO JIE</t>
  </si>
  <si>
    <t>[Caleb]
Progress is on track with no major issues.
Attitude is generally good and shows no significant concerns.</t>
  </si>
  <si>
    <t>[Caleb]
The mentor has already updated the parents.</t>
  </si>
  <si>
    <t>[Caleb]
Some projects were skipped; mentor is advised to update the parents regarding this matter.
Student is a slow learner, has progressed up to Project D2.</t>
  </si>
  <si>
    <t>Jonas Wong qin en</t>
  </si>
  <si>
    <t>[Caleb]
Having attitude issue and frequently leaves the class with various reasons (e.g., finding food, taking items) and often returns late.
Focus issue: Easily distracted and often chats with friends during class.</t>
  </si>
  <si>
    <t>[Caleb]
Having attitude issue, and frequently leaves the class with various reasons (e.g., finding food, taking items) and often returns late.</t>
  </si>
  <si>
    <t>[Caleb]
Distracts other students by chatting and playing games during class.</t>
  </si>
  <si>
    <t>ADRIAN TONG DUO YOU</t>
  </si>
  <si>
    <t>[Caleb]
The student has progressed up to Stage D with no issues in progress.
The mentor is reminded to evaluate the student’s project before allowing them to move on to the next stage.</t>
  </si>
  <si>
    <t>[Caleb]
The student is currently preparing for the showcase.
Demonstrates great initiative and a positive learning attitude, though self-learning skills still need improvement.
The mentor team has discussed strategies to support his growth. We will begin by asking guiding questions to stimulate critical thinking and help him build problem-solving skills both in Chumbaka and beyond.</t>
  </si>
  <si>
    <t xml:space="preserve">FREDERICK TIONG WEI XIANG </t>
  </si>
  <si>
    <t>[Caleb]
The project is progressing slowly due to a lack of proper timeline planning.
The mentor is advised to guide the student by asking questions that help them visualize the completed project and plan it in smaller parts, such as weekly or per-class milestones.</t>
  </si>
  <si>
    <t>IESSABELLE RAYEANNA BILLIE TAMI</t>
  </si>
  <si>
    <t>-building monoploy game (since learning dice)</t>
  </si>
  <si>
    <t>Speak softly</t>
  </si>
  <si>
    <t>Aaron is creating a Pong game 🎮. His progress is slow because he likes to teach his friend Benjamin 🌟, and he sometimes needs to watch the tutorial video twice to understand it 💻🚀.</t>
  </si>
  <si>
    <t>THOMAS TIONG WEI HAO</t>
  </si>
  <si>
    <t>Hi parents,
Thomas is still working on his showcase project. He has made great progress and is trying his best to solve the problems independently. We are proud of his effort and perseverance.
For Morgan, he is learning the basic understanding of coding and programming. This helps him build a strong foundation and develop logical thinking skills. He is showing steady improvement in class.</t>
  </si>
  <si>
    <t xml:space="preserve"> Aaron is creating a Pong game 🎮. His progress is slow because he likes to teach his friend Benjamin 🌟, and he sometimes needs to watch the tutorial video twice to understand it 💻🚀</t>
  </si>
  <si>
    <t>https://drive.google.com/file/d/1vJcIm5EX-hKghNryRO8ol7iMbyYg428P/view?usp=drivesdk</t>
  </si>
  <si>
    <t>So far, his progress is generally okay. He is progressing slightly slower as he is still learning to understand the instructions on the LMS. Mentor is guiding him step by step on how to read and interpret the instructions independently</t>
  </si>
  <si>
    <t>Aaron is a careful learner 📚 who often benefits from reviewing instructional materials more than once to ensure a thorough understanding of the concepts. 💡 He demonstrates a helpful nature by assisting his peers after he has mastered a new topic. 🤝 💻 We will provide regular updates regarding his milestones 🌟 and our plan to support his continued growth. 🚀</t>
  </si>
  <si>
    <t>https://drive.google.com/file/d/1n5ZL84FT4jAlYcWyhkiYWoY1YHnn2vvL/view?usp=drivesdk</t>
  </si>
  <si>
    <t>Jan</t>
  </si>
  <si>
    <t>Feb</t>
  </si>
  <si>
    <t>Mar</t>
  </si>
  <si>
    <t>Apr</t>
  </si>
  <si>
    <t/>
  </si>
  <si>
    <t>Reason</t>
  </si>
  <si>
    <t>go to yayasan school the student is living there</t>
  </si>
  <si>
    <t>parent no reply</t>
  </si>
  <si>
    <t>form 5 need focus SPM</t>
  </si>
  <si>
    <t>need focus exam</t>
  </si>
  <si>
    <t>schedule too peak</t>
  </si>
  <si>
    <t>student no interest</t>
  </si>
  <si>
    <t>university</t>
  </si>
  <si>
    <t>move to bintulu</t>
  </si>
  <si>
    <t>the parent wont let her come because her macbook is missing</t>
  </si>
  <si>
    <t>friend relationship issue</t>
  </si>
  <si>
    <t>parent no reply even though we try to contact them</t>
  </si>
  <si>
    <t>move to kuching</t>
  </si>
  <si>
    <t>no longer at sjkc chung sing, move to smk sacred heart the schedule need reaarange</t>
  </si>
  <si>
    <t>form 4 need focus on study</t>
  </si>
  <si>
    <t>no longer at sjkc tung hua, move to smk tung hua the parent let him focus in secondary</t>
  </si>
  <si>
    <t>schedule too peak, parent too busy</t>
  </si>
  <si>
    <t>seen like no interest parent no reply</t>
  </si>
  <si>
    <t>no longer at sjkc tung hua,  move to smk tung hua the schedule need reaarange</t>
  </si>
  <si>
    <t>no interest</t>
  </si>
  <si>
    <t>full of tuition cannot insert anymore</t>
  </si>
  <si>
    <t>Ethelina Yeu Shu Ting</t>
  </si>
  <si>
    <t>Depression medical condition</t>
  </si>
  <si>
    <t>no longer at sjkc tung hua, schedule need reaarange</t>
  </si>
  <si>
    <t>try the STEM first at Woodlands</t>
  </si>
  <si>
    <t>change to another CCA at Woodlands</t>
  </si>
  <si>
    <t>parent say student will come back and attend at Woodlands Chumbaka, still following up parent havent reply</t>
  </si>
  <si>
    <t>full schedule need reaarange</t>
  </si>
  <si>
    <t>form 5 need focus exam, student feel tired because of study</t>
  </si>
  <si>
    <t>health issue (insomnia and higher functioning autism)</t>
  </si>
  <si>
    <t>went back to China</t>
  </si>
  <si>
    <t>student no interest always play game, then parents wont let him come</t>
  </si>
  <si>
    <t>therapy sessions</t>
  </si>
  <si>
    <t>student_name</t>
  </si>
  <si>
    <t>course_name</t>
  </si>
  <si>
    <t>Part I - Submission_score</t>
  </si>
  <si>
    <t>Part II - Submission_score</t>
  </si>
  <si>
    <t>Part III - Submission_score</t>
  </si>
  <si>
    <t>A2 Lab - Submit Project_score</t>
  </si>
  <si>
    <t>B2 Lab - Submit Project_score</t>
  </si>
  <si>
    <t>C2 Lab - Submit Project_score</t>
  </si>
  <si>
    <t>D2 Lab - Submit Project_score</t>
  </si>
  <si>
    <t>E2 Lab - Submit Project_score</t>
  </si>
  <si>
    <t>F2 Lab - Submit Project_score</t>
  </si>
  <si>
    <t>G2 Lab - Submit Project_score</t>
  </si>
  <si>
    <t>H2 Lab - Submit Project_score</t>
  </si>
  <si>
    <t>Closing - Submit final project 🔗_score</t>
  </si>
  <si>
    <t>Project A - Submission_score</t>
  </si>
  <si>
    <t>Project B - Submission_score</t>
  </si>
  <si>
    <t>Project C - Submission_score</t>
  </si>
  <si>
    <t xml:space="preserve"> Showcase - Submit your Showcase Project 🔗 _score</t>
  </si>
  <si>
    <t>Section</t>
  </si>
  <si>
    <t>Week</t>
  </si>
  <si>
    <t>Current Status</t>
  </si>
  <si>
    <t>Expecting</t>
  </si>
  <si>
    <t>Risk</t>
  </si>
  <si>
    <t>L250A Physical Computing</t>
  </si>
  <si>
    <t>E130C Mobile Coding</t>
  </si>
  <si>
    <t>E331C Game Development I</t>
  </si>
  <si>
    <t>E451C Embedded System with IoT I</t>
  </si>
  <si>
    <t>L232A Game Development</t>
  </si>
  <si>
    <t>L321B 3D Design for AR and VR</t>
  </si>
  <si>
    <t>ALSTON CHAN YU HAN</t>
  </si>
  <si>
    <t>L220B Digital Animation</t>
  </si>
  <si>
    <t>E251C Physical Computing I</t>
  </si>
  <si>
    <t>ANDREW CHAI KAI JUN</t>
  </si>
  <si>
    <t>L370A HCI and Machine Learning</t>
  </si>
  <si>
    <t>ANN WONG SIE ENG</t>
  </si>
  <si>
    <t>E221C Creative Computing I</t>
  </si>
  <si>
    <t>L221B Creative Computing</t>
  </si>
  <si>
    <t>ANSON LING JIA LE</t>
  </si>
  <si>
    <t>Aryssa sofea binti mohd Ahmadi</t>
  </si>
  <si>
    <t>L330A Mobile Apps Development</t>
  </si>
  <si>
    <t>Austin yek xuan rui</t>
  </si>
  <si>
    <t>BENSON TIONG GUANG RUI</t>
  </si>
  <si>
    <t>CARSON LOW ZHEN SHEN</t>
  </si>
  <si>
    <t>CHARLENE TING YAN JIN</t>
  </si>
  <si>
    <t>CHONG XUE WEN</t>
  </si>
  <si>
    <t xml:space="preserve">L230B Coding and Algorithm </t>
  </si>
  <si>
    <t>E371C AI with Python I</t>
  </si>
  <si>
    <t>CLEXTER CHENG KWONG YONG</t>
  </si>
  <si>
    <t>Cloudius Tay Lik Kung</t>
  </si>
  <si>
    <t>CLOVIS LOW ZHAO MING</t>
  </si>
  <si>
    <t>CODY CHAN SHAN YU</t>
  </si>
  <si>
    <t>DALINDA ANAK FELIX SOUL</t>
  </si>
  <si>
    <t>DALTON YIK HAW XUAN</t>
  </si>
  <si>
    <t>DAPHNE WONG</t>
  </si>
  <si>
    <t>DERRICK LING NING SENG</t>
  </si>
  <si>
    <t>DESMOND CHAI KAI ZE</t>
  </si>
  <si>
    <t>EDRIC YONG TIAN JUN</t>
  </si>
  <si>
    <t>Eeson wong bin Mohammad hisham</t>
  </si>
  <si>
    <t>ELINA KONG ZHE EN</t>
  </si>
  <si>
    <t>ELNATHAN RYAN ANAK DAVID</t>
  </si>
  <si>
    <t>ELROY WONG YEE HAW</t>
  </si>
  <si>
    <t>ELSON LOW ZHEN QUAN</t>
  </si>
  <si>
    <t>ELVIS YEK ZHU XIANG</t>
  </si>
  <si>
    <t>Eric Tiong Yiong Jiun</t>
  </si>
  <si>
    <t>ETHAN LAU HUI HONG</t>
  </si>
  <si>
    <t>E431C Mobile Apps Development I</t>
  </si>
  <si>
    <t>EUNICE TIONG JIA YI</t>
  </si>
  <si>
    <t>EVAN SIM TECK YANG</t>
  </si>
  <si>
    <t>EZRA LING SING YI</t>
  </si>
  <si>
    <t>FELIZ LOH LI FEI</t>
  </si>
  <si>
    <t>GISELDA KONG LE EN</t>
  </si>
  <si>
    <t>HARPER KONG XUEN</t>
  </si>
  <si>
    <t>HERMAN KONG KERK XIANG</t>
  </si>
  <si>
    <t>HILLARY YONG</t>
  </si>
  <si>
    <t>hng khar jun</t>
  </si>
  <si>
    <t>ISAAC CHAM ZI XUAN</t>
  </si>
  <si>
    <t>ISAAC LEONG YON JIE</t>
  </si>
  <si>
    <t>L350A Embedded System</t>
  </si>
  <si>
    <t>ISAAC TIONG YONG YI</t>
  </si>
  <si>
    <t>IVAN YONG SENG FENG</t>
  </si>
  <si>
    <t>JANE WONG XIN YUE</t>
  </si>
  <si>
    <t>JANICE WONG XIAO YUE</t>
  </si>
  <si>
    <t>JAYDEN HUAN KAH HANG</t>
  </si>
  <si>
    <t>JAYDEN SIAW CUN EN</t>
  </si>
  <si>
    <t>Jayden ting ri bin</t>
  </si>
  <si>
    <t>JERRY YONG CHING HWA</t>
  </si>
  <si>
    <t>JOSH LAW WEN JUN</t>
  </si>
  <si>
    <t>Joshua ting xuan eng</t>
  </si>
  <si>
    <t xml:space="preserve">JOSHUA TONG TZE CHENG </t>
  </si>
  <si>
    <t>KINGSLEY KIING KIU YIK</t>
  </si>
  <si>
    <t>KONG MING YI</t>
  </si>
  <si>
    <t>KRISTIAN LOW MING RUY</t>
  </si>
  <si>
    <t>KYAN LING TIAN XIANG</t>
  </si>
  <si>
    <t>KYLE LING ZHONG YOU</t>
  </si>
  <si>
    <t>LAU JYI XIAN</t>
  </si>
  <si>
    <t>LAU YONG</t>
  </si>
  <si>
    <t>LEO WONG SIE SIONG</t>
  </si>
  <si>
    <t>Ling Zi Heng</t>
  </si>
  <si>
    <t>LUCAS CHIEW WEI HAN</t>
  </si>
  <si>
    <t>LUCAS TING KER JUN</t>
  </si>
  <si>
    <t xml:space="preserve">LUKE YONG NUO HUA </t>
  </si>
  <si>
    <t>MARCUS MOH NIEN YI</t>
  </si>
  <si>
    <t>MAX YONG SENG JING</t>
  </si>
  <si>
    <t>MELVIN TIONG MENG HAN</t>
  </si>
  <si>
    <t>NICHOLAS TOO KAH HEE</t>
  </si>
  <si>
    <t>Noah Tiong Xun Rong</t>
  </si>
  <si>
    <t>OLIVER SIA CHEN JUN</t>
  </si>
  <si>
    <t>Oscar Khiew Jian  Lyn</t>
  </si>
  <si>
    <t>OSCAR SIA CHEN HONG</t>
  </si>
  <si>
    <t>OWEN HUONG KE XIANG</t>
  </si>
  <si>
    <t>Phoebe Yeo kai Lu</t>
  </si>
  <si>
    <t>QUENTIN LAW YEN YAN</t>
  </si>
  <si>
    <t>richie louis chieng jin jie</t>
  </si>
  <si>
    <t>ROCHESTER LEE EU JYUN</t>
  </si>
  <si>
    <t>SAMUEL BRYAN DONNY</t>
  </si>
  <si>
    <t>E231C Coding and Algorithm I</t>
  </si>
  <si>
    <t>SIMEON SHU ZHONG SHENG</t>
  </si>
  <si>
    <t>SOPHIA WONG KWANG YUCHIN</t>
  </si>
  <si>
    <t>E120C Digital Animation</t>
  </si>
  <si>
    <t>TIFFANY LING YUN TING</t>
  </si>
  <si>
    <t>VEEYYAI ANAK ENGAN</t>
  </si>
  <si>
    <t>VIONETTA INJANG ANAK ENGAN</t>
  </si>
  <si>
    <t>VLADIMIR NANANG CASIMIR</t>
  </si>
  <si>
    <t>Attendance Tracker</t>
  </si>
  <si>
    <t>https://script.google.com/macros/s/AKfycbwvXLG3ru42tvp2Se-AS5E0ltkeTmeoAa0LoEPTHBBD76iMDhR92kKwg4jAvvZVoolU/exec</t>
  </si>
  <si>
    <t>Student Dashboard</t>
  </si>
  <si>
    <t>https://script.google.com/macros/s/AKfycbwzd_Dg5jgUf3YwlxZ-YLV7-bqefN7K8W7eqvMKriKtZlV_S2tO75poosHzK-GKJiGm/exec</t>
  </si>
  <si>
    <t>course_id</t>
  </si>
  <si>
    <t>student_id</t>
  </si>
  <si>
    <t>Date</t>
  </si>
  <si>
    <t>Table 1</t>
  </si>
  <si>
    <t>Mentor's Contact</t>
  </si>
  <si>
    <t>Mentor Course</t>
  </si>
  <si>
    <t>Table 2</t>
  </si>
  <si>
    <t>Table 3</t>
  </si>
  <si>
    <t>Table 4</t>
  </si>
  <si>
    <t>Table 5</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</si>
</sst>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 mmm yyyy"/>
    <numFmt numFmtId="165" formatCode="yy&quot;-&quot;mmm&quot;-&quot;"/>
    <numFmt numFmtId="166" formatCode="d mmm yyyy"/>
    <numFmt numFmtId="167" formatCode="dd mmmm yyyy"/>
    <numFmt numFmtId="168" formatCode="d mmmm yyyy"/>
    <numFmt numFmtId="169" formatCode="m/d/yyyy h:mm:ss"/>
    <numFmt numFmtId="170" formatCode="yyyy-mm-dd"/>
  </numFmts>
  <fonts count="18">
    <font>
      <sz val="10.0"/>
      <color rgb="FF000000"/>
      <name val="Calibri"/>
      <scheme val="minor"/>
    </font>
    <font>
      <color theme="1"/>
      <name val="Calibri"/>
      <scheme val="minor"/>
    </font>
    <font>
      <color theme="1"/>
      <name val="Arial"/>
    </font>
    <font>
      <color rgb="FF000000"/>
      <name val="Roboto"/>
    </font>
    <font>
      <color theme="1"/>
      <name val="Montserrat"/>
    </font>
    <font>
      <color theme="1"/>
      <name val="Roboto"/>
    </font>
    <font>
      <sz val="10.0"/>
      <color rgb="FF434343"/>
      <name val="Roboto"/>
    </font>
    <font>
      <color rgb="FF434343"/>
      <name val="Roboto"/>
    </font>
    <font>
      <color rgb="FF000000"/>
      <name val="Calibri"/>
      <scheme val="minor"/>
    </font>
    <font>
      <b/>
      <color theme="1"/>
      <name val="Calibri"/>
      <scheme val="minor"/>
    </font>
    <font>
      <b/>
      <sz val="10.0"/>
      <color theme="1"/>
      <name val="Calibri"/>
      <scheme val="minor"/>
    </font>
    <font>
      <sz val="18.0"/>
      <color rgb="FFFF0000"/>
      <name val="Calibri"/>
      <scheme val="minor"/>
    </font>
    <font>
      <sz val="11.0"/>
      <color rgb="FF212121"/>
      <name val="Roboto"/>
    </font>
    <font>
      <u/>
      <color rgb="FF0000FF"/>
    </font>
    <font>
      <color theme="1"/>
      <name val="Calibri"/>
    </font>
    <font>
      <u/>
      <color rgb="FF0000FF"/>
    </font>
    <font>
      <b/>
      <color rgb="FF000000"/>
      <name val="Calibri"/>
      <scheme val="minor"/>
    </font>
    <font/>
  </fonts>
  <fills count="20">
    <fill>
      <patternFill patternType="none"/>
    </fill>
    <fill>
      <patternFill patternType="lightGray"/>
    </fill>
    <fill>
      <patternFill patternType="solid">
        <fgColor rgb="FFD9EAD3"/>
        <bgColor rgb="FFD9EAD3"/>
      </patternFill>
    </fill>
    <fill>
      <patternFill patternType="solid">
        <fgColor rgb="FFF9CB9C"/>
        <bgColor rgb="FFF9CB9C"/>
      </patternFill>
    </fill>
    <fill>
      <patternFill patternType="solid">
        <fgColor rgb="FF00FF00"/>
        <bgColor rgb="FF00FF00"/>
      </patternFill>
    </fill>
    <fill>
      <patternFill patternType="solid">
        <fgColor rgb="FFFFFFFF"/>
        <bgColor rgb="FFFFFFFF"/>
      </patternFill>
    </fill>
    <fill>
      <patternFill patternType="solid">
        <fgColor rgb="FF4A86E8"/>
        <bgColor rgb="FF4A86E8"/>
      </patternFill>
    </fill>
    <fill>
      <patternFill patternType="solid">
        <fgColor rgb="FFFF0000"/>
        <bgColor rgb="FFFF0000"/>
      </patternFill>
    </fill>
    <fill>
      <patternFill patternType="solid">
        <fgColor rgb="FFB6D7A8"/>
        <bgColor rgb="FFB6D7A8"/>
      </patternFill>
    </fill>
    <fill>
      <patternFill patternType="solid">
        <fgColor rgb="FFEAD1DC"/>
        <bgColor rgb="FFEAD1DC"/>
      </patternFill>
    </fill>
    <fill>
      <patternFill patternType="solid">
        <fgColor rgb="FFD9D2E9"/>
        <bgColor rgb="FFD9D2E9"/>
      </patternFill>
    </fill>
    <fill>
      <patternFill patternType="solid">
        <fgColor rgb="FFFF9900"/>
        <bgColor rgb="FFFF9900"/>
      </patternFill>
    </fill>
    <fill>
      <patternFill patternType="solid">
        <fgColor rgb="FFCFE2F3"/>
        <bgColor rgb="FFCFE2F3"/>
      </patternFill>
    </fill>
    <fill>
      <patternFill patternType="solid">
        <fgColor rgb="FFC9DAF8"/>
        <bgColor rgb="FFC9DAF8"/>
      </patternFill>
    </fill>
    <fill>
      <patternFill patternType="solid">
        <fgColor rgb="FFD0E0E3"/>
        <bgColor rgb="FFD0E0E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93C47D"/>
        <bgColor rgb="FF93C47D"/>
      </patternFill>
    </fill>
    <fill>
      <patternFill patternType="solid">
        <fgColor rgb="FFF3F3F3"/>
        <bgColor rgb="FFF3F3F3"/>
      </patternFill>
    </fill>
  </fills>
  <borders count="6">
    <border/>
    <border>
      <left style="thin">
        <color rgb="FFFFFFFF"/>
      </left>
      <right style="thin">
        <color rgb="FFFFFFFF"/>
      </right>
      <top style="thin">
        <color rgb="FFFFFFFF"/>
      </top>
      <bottom style="thin">
        <color rgb="FFFFFFFF"/>
      </bottom>
    </border>
    <border>
      <top style="thin">
        <color rgb="FF000000"/>
      </top>
      <bottom style="medium">
        <color rgb="FF000000"/>
      </bottom>
    </border>
    <border>
      <left style="thin">
        <color rgb="FFFFFFFF"/>
      </left>
      <right style="thin">
        <color rgb="FFFFFFFF"/>
      </right>
      <top style="thin">
        <color rgb="FFFFFFFF"/>
      </top>
      <bottom style="thin">
        <color rgb="FFEFEFEF"/>
      </bottom>
    </border>
    <border>
      <left style="thin">
        <color rgb="FFFFFFFF"/>
      </left>
      <right style="thin">
        <color rgb="FFFFFFFF"/>
      </right>
      <top style="thin">
        <color rgb="FFEFEFEF"/>
      </top>
      <bottom style="thin">
        <color rgb="FFEFEFEF"/>
      </bottom>
    </border>
    <border>
      <left style="thin">
        <color rgb="FFFFFFFF"/>
      </left>
      <right style="thin">
        <color rgb="FFFFFFFF"/>
      </right>
      <bottom style="thin">
        <color rgb="FFFFFFFF"/>
      </bottom>
    </border>
  </borders>
  <cellStyleXfs count="1">
    <xf borderId="0" fillId="0" fontId="0" numFmtId="0" applyAlignment="1" applyFont="1"/>
  </cellStyleXfs>
  <cellXfs count="25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readingOrder="0"/>
    </xf>
    <xf borderId="0" fillId="4" fontId="1" numFmtId="0" xfId="0" applyAlignment="1" applyFill="1" applyFont="1">
      <alignment readingOrder="0"/>
    </xf>
    <xf borderId="0" fillId="0" fontId="1" numFmtId="0" xfId="0" applyFont="1"/>
    <xf borderId="0" fillId="0" fontId="1" numFmtId="0" xfId="0" applyFont="1"/>
    <xf borderId="0" fillId="0" fontId="1" numFmtId="0" xfId="0" applyAlignment="1" applyFont="1">
      <alignment horizontal="center" readingOrder="0"/>
    </xf>
    <xf borderId="0" fillId="5" fontId="1" numFmtId="0" xfId="0" applyAlignment="1" applyFill="1" applyFont="1">
      <alignment horizontal="center"/>
    </xf>
    <xf borderId="0" fillId="5" fontId="1" numFmtId="0" xfId="0" applyFont="1"/>
    <xf borderId="0" fillId="5" fontId="1" numFmtId="0" xfId="0" applyAlignment="1" applyFont="1">
      <alignment horizontal="center" readingOrder="0"/>
    </xf>
    <xf borderId="0" fillId="5" fontId="1" numFmtId="0" xfId="0" applyAlignment="1" applyFont="1">
      <alignment readingOrder="0"/>
    </xf>
    <xf borderId="0" fillId="6" fontId="2" numFmtId="0" xfId="0" applyAlignment="1" applyFill="1" applyFont="1">
      <alignment readingOrder="0" vertical="bottom"/>
    </xf>
    <xf borderId="0" fillId="6" fontId="2" numFmtId="0" xfId="0" applyAlignment="1" applyFont="1">
      <alignment vertical="bottom"/>
    </xf>
    <xf borderId="0" fillId="5" fontId="2" numFmtId="0" xfId="0" applyAlignment="1" applyFont="1">
      <alignment readingOrder="0" vertical="bottom"/>
    </xf>
    <xf borderId="0" fillId="5" fontId="2" numFmtId="0" xfId="0" applyAlignment="1" applyFont="1">
      <alignment horizontal="right" readingOrder="0" vertical="bottom"/>
    </xf>
    <xf borderId="0" fillId="4" fontId="2" numFmtId="0" xfId="0" applyAlignment="1" applyFont="1">
      <alignment vertical="bottom"/>
    </xf>
    <xf borderId="0" fillId="4" fontId="2" numFmtId="49" xfId="0" applyAlignment="1" applyFont="1" applyNumberFormat="1">
      <alignment horizontal="right" vertical="bottom"/>
    </xf>
    <xf borderId="0" fillId="0" fontId="1" numFmtId="49" xfId="0" applyFont="1" applyNumberFormat="1"/>
    <xf borderId="0" fillId="7" fontId="2" numFmtId="0" xfId="0" applyAlignment="1" applyFill="1" applyFont="1">
      <alignment vertical="bottom"/>
    </xf>
    <xf borderId="0" fillId="7" fontId="2" numFmtId="0" xfId="0" applyAlignment="1" applyFont="1">
      <alignment horizontal="right" vertical="bottom"/>
    </xf>
    <xf borderId="0" fillId="7" fontId="2" numFmtId="49" xfId="0" applyAlignment="1" applyFont="1" applyNumberFormat="1">
      <alignment horizontal="right" vertical="bottom"/>
    </xf>
    <xf borderId="0" fillId="0" fontId="2" numFmtId="0" xfId="0" applyAlignment="1" applyFont="1">
      <alignment vertical="bottom"/>
    </xf>
    <xf borderId="0" fillId="0" fontId="2" numFmtId="49" xfId="0" applyAlignment="1" applyFont="1" applyNumberFormat="1">
      <alignment vertical="bottom"/>
    </xf>
    <xf borderId="0" fillId="5" fontId="3" numFmtId="0" xfId="0" applyAlignment="1" applyFont="1">
      <alignment shrinkToFit="0" vertical="bottom" wrapText="0"/>
    </xf>
    <xf borderId="0" fillId="5" fontId="3" numFmtId="0" xfId="0" applyAlignment="1" applyFont="1">
      <alignment vertical="bottom"/>
    </xf>
    <xf borderId="0" fillId="5" fontId="3" numFmtId="49" xfId="0" applyAlignment="1" applyFont="1" applyNumberFormat="1">
      <alignment vertical="bottom"/>
    </xf>
    <xf borderId="0" fillId="5" fontId="3" numFmtId="49" xfId="0" applyAlignment="1" applyFont="1" applyNumberFormat="1">
      <alignment readingOrder="0" vertical="bottom"/>
    </xf>
    <xf borderId="0" fillId="5" fontId="3" numFmtId="49" xfId="0" applyAlignment="1" applyFont="1" applyNumberFormat="1">
      <alignment shrinkToFit="0" vertical="bottom" wrapText="0"/>
    </xf>
    <xf borderId="0" fillId="5" fontId="4" numFmtId="49" xfId="0" applyAlignment="1" applyFont="1" applyNumberFormat="1">
      <alignment shrinkToFit="0" vertical="bottom" wrapText="0"/>
    </xf>
    <xf borderId="0" fillId="0" fontId="1" numFmtId="49" xfId="0" applyAlignment="1" applyFont="1" applyNumberFormat="1">
      <alignment horizontal="right" readingOrder="0"/>
    </xf>
    <xf borderId="0" fillId="5" fontId="4" numFmtId="0" xfId="0" applyAlignment="1" applyFont="1">
      <alignment vertical="bottom"/>
    </xf>
    <xf borderId="0" fillId="0" fontId="5" numFmtId="0" xfId="0" applyAlignment="1" applyFont="1">
      <alignment horizontal="right" readingOrder="0" shrinkToFit="0" vertical="center" wrapText="0"/>
    </xf>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1"/>
    </xf>
    <xf borderId="0" fillId="0" fontId="5" numFmtId="0" xfId="0" applyAlignment="1" applyFont="1">
      <alignment horizontal="right" shrinkToFit="0" vertical="center" wrapText="0"/>
    </xf>
    <xf borderId="0" fillId="0" fontId="5" numFmtId="49" xfId="0" applyAlignment="1" applyFont="1" applyNumberFormat="1">
      <alignment readingOrder="0" shrinkToFit="0" vertical="center" wrapText="0"/>
    </xf>
    <xf borderId="0" fillId="0" fontId="5" numFmtId="0" xfId="0" applyAlignment="1" applyFont="1">
      <alignment shrinkToFit="0" vertical="center" wrapText="0"/>
    </xf>
    <xf borderId="0" fillId="0" fontId="5" numFmtId="164" xfId="0" applyAlignment="1" applyFont="1" applyNumberFormat="1">
      <alignment horizontal="right" shrinkToFit="0" vertical="center" wrapText="0"/>
    </xf>
    <xf borderId="0" fillId="0" fontId="5" numFmtId="0" xfId="0" applyAlignment="1" applyFont="1">
      <alignment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5" numFmtId="165" xfId="0" applyAlignment="1" applyFont="1" applyNumberFormat="1">
      <alignment readingOrder="0" shrinkToFit="0" vertical="center" wrapText="0"/>
    </xf>
    <xf borderId="0" fillId="0" fontId="5" numFmtId="0" xfId="0" applyAlignment="1" applyFont="1">
      <alignment horizontal="center" readingOrder="0" shrinkToFit="0" vertical="center" wrapText="0"/>
    </xf>
    <xf borderId="0" fillId="0" fontId="5" numFmtId="0" xfId="0" applyAlignment="1" applyFont="1">
      <alignment readingOrder="0" shrinkToFit="0" vertical="center" wrapText="1"/>
    </xf>
    <xf borderId="0" fillId="0" fontId="5" numFmtId="0" xfId="0" applyAlignment="1" applyFont="1">
      <alignment shrinkToFit="0" vertical="center" wrapText="0"/>
    </xf>
    <xf borderId="0" fillId="0" fontId="5" numFmtId="0" xfId="0" applyAlignment="1" applyFont="1">
      <alignment shrinkToFit="0" vertical="center" wrapText="0"/>
    </xf>
    <xf borderId="0" fillId="0" fontId="5" numFmtId="0" xfId="0" applyAlignment="1" applyFont="1">
      <alignment horizontal="center" shrinkToFit="0" vertical="center" wrapText="0"/>
    </xf>
    <xf borderId="0" fillId="0" fontId="5"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49" xfId="0" applyAlignment="1" applyFont="1" applyNumberFormat="1">
      <alignment shrinkToFit="0" vertical="center" wrapText="0"/>
    </xf>
    <xf borderId="0" fillId="0" fontId="5"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49" xfId="0" applyAlignment="1" applyFont="1" applyNumberFormat="1">
      <alignment horizontal="right" shrinkToFit="0" vertical="center" wrapText="0"/>
    </xf>
    <xf borderId="0" fillId="0" fontId="5" numFmtId="166" xfId="0" applyAlignment="1" applyFont="1" applyNumberFormat="1">
      <alignment horizontal="right" shrinkToFit="0" vertical="center" wrapText="0"/>
    </xf>
    <xf borderId="0" fillId="0" fontId="5" numFmtId="165" xfId="0" applyAlignment="1" applyFont="1" applyNumberFormat="1">
      <alignment shrinkToFit="0" vertical="center" wrapText="0"/>
    </xf>
    <xf borderId="0" fillId="0" fontId="5" numFmtId="0" xfId="0" applyAlignment="1" applyFont="1">
      <alignment shrinkToFit="0" vertical="center" wrapText="0"/>
    </xf>
    <xf borderId="0" fillId="0" fontId="5" numFmtId="0" xfId="0" applyAlignment="1" applyFont="1">
      <alignment readingOrder="0" shrinkToFit="0" vertical="center" wrapText="0"/>
    </xf>
    <xf borderId="0" fillId="0" fontId="5" numFmtId="165" xfId="0" applyAlignment="1" applyFont="1" applyNumberFormat="1">
      <alignment readingOrder="0" shrinkToFit="0" vertical="center" wrapText="0"/>
    </xf>
    <xf borderId="0" fillId="0" fontId="5" numFmtId="0" xfId="0" applyAlignment="1" applyFont="1">
      <alignment horizontal="center" readingOrder="0" shrinkToFit="0" vertical="center" wrapText="0"/>
    </xf>
    <xf borderId="0" fillId="0" fontId="5" numFmtId="0" xfId="0" applyAlignment="1" applyFont="1">
      <alignment readingOrder="0" shrinkToFit="0" vertical="center" wrapText="1"/>
    </xf>
    <xf borderId="0" fillId="0" fontId="5" numFmtId="0" xfId="0" applyAlignment="1" applyFont="1">
      <alignment shrinkToFit="0" vertical="center" wrapText="0"/>
    </xf>
    <xf borderId="0" fillId="0" fontId="5" numFmtId="0" xfId="0" applyAlignment="1" applyFont="1">
      <alignment readingOrder="0" shrinkToFit="0" vertical="center" wrapText="0"/>
    </xf>
    <xf borderId="0" fillId="5" fontId="5" numFmtId="0" xfId="0" applyAlignment="1" applyFont="1">
      <alignment horizontal="right" shrinkToFit="0" vertical="center" wrapText="0"/>
    </xf>
    <xf borderId="0" fillId="5" fontId="5" numFmtId="49" xfId="0" applyAlignment="1" applyFont="1" applyNumberFormat="1">
      <alignment shrinkToFit="0" vertical="center" wrapText="0"/>
    </xf>
    <xf borderId="0" fillId="0" fontId="5" numFmtId="164" xfId="0" applyAlignment="1" applyFont="1" applyNumberFormat="1">
      <alignment horizontal="right" readingOrder="0" shrinkToFit="0" vertical="center" wrapText="0"/>
    </xf>
    <xf borderId="0" fillId="0" fontId="5" numFmtId="0" xfId="0" applyAlignment="1" applyFont="1">
      <alignment horizontal="right" readingOrder="0" shrinkToFit="0" vertical="center" wrapText="0"/>
    </xf>
    <xf borderId="0" fillId="0" fontId="6" numFmtId="49" xfId="0" applyAlignment="1" applyFont="1" applyNumberFormat="1">
      <alignment horizontal="left" readingOrder="0" shrinkToFit="0" vertical="center" wrapText="0"/>
    </xf>
    <xf borderId="0" fillId="0" fontId="5" numFmtId="167" xfId="0" applyAlignment="1" applyFont="1" applyNumberFormat="1">
      <alignment horizontal="right" shrinkToFit="0" vertical="center" wrapText="0"/>
    </xf>
    <xf borderId="0" fillId="0" fontId="5" numFmtId="166" xfId="0" applyAlignment="1" applyFont="1" applyNumberFormat="1">
      <alignment horizontal="right" readingOrder="0" shrinkToFit="0" vertical="center" wrapText="0"/>
    </xf>
    <xf borderId="0" fillId="5" fontId="5" numFmtId="49"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5" fontId="3" numFmtId="0" xfId="0" applyAlignment="1" applyFont="1">
      <alignment horizontal="right" shrinkToFit="0" vertical="center" wrapText="0"/>
    </xf>
    <xf borderId="0" fillId="5" fontId="3" numFmtId="49" xfId="0" applyAlignment="1" applyFont="1" applyNumberFormat="1">
      <alignment shrinkToFit="0" vertical="center" wrapText="0"/>
    </xf>
    <xf borderId="0" fillId="0" fontId="5" numFmtId="168" xfId="0" applyAlignment="1" applyFont="1" applyNumberFormat="1">
      <alignment horizontal="right" shrinkToFit="0" vertical="center" wrapText="0"/>
    </xf>
    <xf borderId="0" fillId="5" fontId="7" numFmtId="49" xfId="0" applyAlignment="1" applyFont="1" applyNumberFormat="1">
      <alignment shrinkToFit="0" vertical="center" wrapText="0"/>
    </xf>
    <xf borderId="0" fillId="0" fontId="5" numFmtId="0" xfId="0" applyAlignment="1" applyFont="1">
      <alignment shrinkToFit="0" vertical="center" wrapText="1"/>
    </xf>
    <xf borderId="0" fillId="0" fontId="1" numFmtId="0" xfId="0" applyAlignment="1" applyFont="1">
      <alignment horizontal="righ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horizontal="center"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5" numFmtId="166" xfId="0" applyAlignment="1" applyFont="1" applyNumberFormat="1">
      <alignment readingOrder="0" shrinkToFit="0" vertical="center" wrapText="0"/>
    </xf>
    <xf borderId="0" fillId="5" fontId="5" numFmtId="0" xfId="0" applyAlignment="1" applyFont="1">
      <alignment horizontal="right" readingOrder="0" shrinkToFit="0" vertical="center" wrapText="0"/>
    </xf>
    <xf borderId="0" fillId="5" fontId="7" numFmtId="0" xfId="0" applyAlignment="1" applyFont="1">
      <alignment horizontal="righ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1"/>
    </xf>
    <xf borderId="0" fillId="5" fontId="7" numFmtId="0" xfId="0" applyAlignment="1" applyFont="1">
      <alignment horizontal="right" readingOrder="0" shrinkToFit="0" vertical="center" wrapText="0"/>
    </xf>
    <xf borderId="0" fillId="5" fontId="7" numFmtId="49" xfId="0" applyAlignment="1" applyFont="1" applyNumberFormat="1">
      <alignment readingOrder="0" shrinkToFit="0" vertical="center" wrapText="0"/>
    </xf>
    <xf borderId="0" fillId="5" fontId="2" numFmtId="0" xfId="0" applyAlignment="1" applyFont="1">
      <alignment horizontal="right" shrinkToFit="0" vertical="center" wrapText="0"/>
    </xf>
    <xf borderId="0" fillId="0" fontId="2" numFmtId="166" xfId="0" applyAlignment="1" applyFont="1" applyNumberFormat="1">
      <alignment horizontal="right" shrinkToFit="0" vertical="center" wrapText="0"/>
    </xf>
    <xf borderId="0" fillId="0" fontId="2" numFmtId="166" xfId="0" applyAlignment="1" applyFont="1" applyNumberFormat="1">
      <alignment horizontal="righ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5" xfId="0" applyAlignment="1" applyFont="1" applyNumberFormat="1">
      <alignment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shrinkToFit="0" vertical="center" wrapText="0"/>
    </xf>
    <xf borderId="0" fillId="0" fontId="1" numFmtId="0" xfId="0" applyAlignment="1" applyFont="1">
      <alignment shrinkToFit="0" vertical="center" wrapText="0"/>
    </xf>
    <xf borderId="0" fillId="0" fontId="8" numFmtId="0" xfId="0" applyAlignment="1" applyFont="1">
      <alignment readingOrder="0" shrinkToFit="0" vertical="center" wrapText="0"/>
    </xf>
    <xf borderId="0" fillId="0" fontId="1" numFmtId="0" xfId="0" applyAlignment="1" applyFont="1">
      <alignment shrinkToFit="0" vertical="center" wrapText="0"/>
    </xf>
    <xf borderId="0" fillId="0" fontId="2" numFmtId="164" xfId="0" applyAlignment="1" applyFont="1" applyNumberFormat="1">
      <alignment horizontal="right" shrinkToFit="0" vertical="center" wrapText="0"/>
    </xf>
    <xf borderId="0" fillId="0" fontId="1" numFmtId="49" xfId="0" applyAlignment="1" applyFont="1" applyNumberFormat="1">
      <alignment horizontal="right"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shrinkToFit="0" vertical="center" wrapText="0"/>
    </xf>
    <xf borderId="0" fillId="8" fontId="1" numFmtId="0" xfId="0" applyFill="1" applyFont="1"/>
    <xf borderId="0" fillId="8" fontId="1" numFmtId="0" xfId="0" applyFont="1"/>
    <xf borderId="0" fillId="0" fontId="1" numFmtId="14" xfId="0" applyFont="1" applyNumberFormat="1"/>
    <xf borderId="0" fillId="0" fontId="1" numFmtId="169" xfId="0" applyFont="1" applyNumberFormat="1"/>
    <xf borderId="0" fillId="7" fontId="1" numFmtId="0" xfId="0" applyFont="1"/>
    <xf borderId="0" fillId="7" fontId="1" numFmtId="14" xfId="0" applyFont="1" applyNumberFormat="1"/>
    <xf borderId="0" fillId="7" fontId="1" numFmtId="169" xfId="0" applyFont="1" applyNumberFormat="1"/>
    <xf borderId="0" fillId="0" fontId="9" numFmtId="0" xfId="0" applyAlignment="1" applyFont="1">
      <alignment horizontal="center" readingOrder="0" shrinkToFit="0" vertical="center" wrapText="0"/>
    </xf>
    <xf borderId="0" fillId="0" fontId="9" numFmtId="49" xfId="0" applyAlignment="1" applyFont="1" applyNumberFormat="1">
      <alignment horizontal="center" readingOrder="0" shrinkToFit="0" vertical="center" wrapText="0"/>
    </xf>
    <xf borderId="0" fillId="0" fontId="9" numFmtId="0" xfId="0" applyAlignment="1" applyFont="1">
      <alignment horizontal="center" readingOrder="0" shrinkToFit="0" vertical="center" wrapText="0"/>
    </xf>
    <xf borderId="0" fillId="0" fontId="10" numFmtId="0" xfId="0" applyAlignment="1" applyFont="1">
      <alignment horizontal="center" readingOrder="0" shrinkToFit="0" vertical="center" wrapText="0"/>
    </xf>
    <xf borderId="0" fillId="0" fontId="11" numFmtId="0" xfId="0" applyAlignment="1" applyFont="1">
      <alignment readingOrder="0" shrinkToFit="0" wrapText="0"/>
    </xf>
    <xf borderId="0" fillId="9" fontId="1" numFmtId="0" xfId="0" applyAlignment="1" applyFill="1" applyFont="1">
      <alignment readingOrder="0"/>
    </xf>
    <xf borderId="0" fillId="9" fontId="1" numFmtId="0" xfId="0" applyFont="1"/>
    <xf borderId="0" fillId="9" fontId="1" numFmtId="0" xfId="0" applyFont="1"/>
    <xf borderId="0" fillId="0" fontId="1" numFmtId="0" xfId="0" applyAlignment="1" applyFont="1">
      <alignment readingOrder="0"/>
    </xf>
    <xf borderId="0" fillId="9" fontId="1" numFmtId="0" xfId="0" applyAlignment="1" applyFont="1">
      <alignment readingOrder="0"/>
    </xf>
    <xf borderId="0" fillId="9" fontId="1" numFmtId="14" xfId="0" applyAlignment="1" applyFont="1" applyNumberFormat="1">
      <alignment readingOrder="0"/>
    </xf>
    <xf borderId="0" fillId="9" fontId="0" numFmtId="0" xfId="0" applyAlignment="1" applyFont="1">
      <alignment readingOrder="0" shrinkToFit="0" wrapText="0"/>
    </xf>
    <xf borderId="0" fillId="0" fontId="1" numFmtId="0" xfId="0" applyFont="1"/>
    <xf borderId="0" fillId="6" fontId="1" numFmtId="0" xfId="0" applyAlignment="1" applyFont="1">
      <alignment readingOrder="0"/>
    </xf>
    <xf borderId="0" fillId="6" fontId="1" numFmtId="0" xfId="0" applyFont="1"/>
    <xf borderId="0" fillId="6" fontId="1" numFmtId="0" xfId="0" applyFont="1"/>
    <xf borderId="0" fillId="6" fontId="1" numFmtId="0" xfId="0" applyAlignment="1" applyFont="1">
      <alignment readingOrder="0"/>
    </xf>
    <xf borderId="0" fillId="6" fontId="1" numFmtId="14" xfId="0" applyAlignment="1" applyFont="1" applyNumberFormat="1">
      <alignment readingOrder="0"/>
    </xf>
    <xf borderId="0" fillId="6" fontId="0" numFmtId="0" xfId="0" applyAlignment="1" applyFont="1">
      <alignment readingOrder="0" shrinkToFit="0" wrapText="0"/>
    </xf>
    <xf borderId="0" fillId="6" fontId="1" numFmtId="0" xfId="0" applyFont="1"/>
    <xf borderId="0" fillId="10" fontId="1" numFmtId="0" xfId="0" applyAlignment="1" applyFill="1" applyFont="1">
      <alignment readingOrder="0"/>
    </xf>
    <xf borderId="0" fillId="10" fontId="1" numFmtId="0" xfId="0" applyAlignment="1" applyFont="1">
      <alignment readingOrder="0"/>
    </xf>
    <xf borderId="0" fillId="10" fontId="1" numFmtId="0" xfId="0" applyAlignment="1" applyFont="1">
      <alignment readingOrder="0"/>
    </xf>
    <xf borderId="0" fillId="10" fontId="1" numFmtId="14" xfId="0" applyAlignment="1" applyFont="1" applyNumberFormat="1">
      <alignment readingOrder="0"/>
    </xf>
    <xf borderId="0" fillId="10" fontId="0" numFmtId="0" xfId="0" applyAlignment="1" applyFont="1">
      <alignment readingOrder="0" shrinkToFit="0" wrapText="0"/>
    </xf>
    <xf borderId="0" fillId="10" fontId="8" numFmtId="0" xfId="0" applyFont="1"/>
    <xf borderId="0" fillId="10" fontId="1" numFmtId="0" xfId="0" applyFont="1"/>
    <xf borderId="0" fillId="10" fontId="1" numFmtId="0" xfId="0" applyFont="1"/>
    <xf borderId="0" fillId="11" fontId="1" numFmtId="49" xfId="0" applyFill="1" applyFont="1" applyNumberFormat="1"/>
    <xf borderId="0" fillId="11" fontId="1" numFmtId="0" xfId="0" applyFont="1"/>
    <xf borderId="0" fillId="11" fontId="1" numFmtId="0" xfId="0" applyAlignment="1" applyFont="1">
      <alignment readingOrder="0"/>
    </xf>
    <xf borderId="0" fillId="11" fontId="1" numFmtId="0" xfId="0" applyAlignment="1" applyFont="1">
      <alignment readingOrder="0"/>
    </xf>
    <xf borderId="0" fillId="11" fontId="1" numFmtId="14" xfId="0" applyAlignment="1" applyFont="1" applyNumberFormat="1">
      <alignment readingOrder="0"/>
    </xf>
    <xf borderId="0" fillId="11" fontId="0" numFmtId="0" xfId="0" applyAlignment="1" applyFont="1">
      <alignment readingOrder="0" shrinkToFit="0" wrapText="0"/>
    </xf>
    <xf borderId="0" fillId="11" fontId="8" numFmtId="0" xfId="0" applyAlignment="1" applyFont="1">
      <alignment readingOrder="0"/>
    </xf>
    <xf borderId="0" fillId="11" fontId="1" numFmtId="0" xfId="0" applyFont="1"/>
    <xf borderId="0" fillId="12" fontId="1" numFmtId="0" xfId="0" applyFill="1" applyFont="1"/>
    <xf borderId="0" fillId="12" fontId="1" numFmtId="0" xfId="0" applyAlignment="1" applyFont="1">
      <alignment readingOrder="0"/>
    </xf>
    <xf borderId="0" fillId="12" fontId="1" numFmtId="0" xfId="0" applyAlignment="1" applyFont="1">
      <alignment readingOrder="0"/>
    </xf>
    <xf borderId="0" fillId="12" fontId="1" numFmtId="14" xfId="0" applyAlignment="1" applyFont="1" applyNumberFormat="1">
      <alignment readingOrder="0"/>
    </xf>
    <xf borderId="0" fillId="12" fontId="0" numFmtId="0" xfId="0" applyAlignment="1" applyFont="1">
      <alignment readingOrder="0" shrinkToFit="0" wrapText="0"/>
    </xf>
    <xf borderId="0" fillId="12" fontId="1" numFmtId="0" xfId="0" applyFont="1"/>
    <xf borderId="0" fillId="12" fontId="1" numFmtId="0" xfId="0" applyAlignment="1" applyFont="1">
      <alignment readingOrder="0"/>
    </xf>
    <xf borderId="0" fillId="12" fontId="8" numFmtId="0" xfId="0" applyFont="1"/>
    <xf borderId="0" fillId="12" fontId="1" numFmtId="49" xfId="0" applyFont="1" applyNumberFormat="1"/>
    <xf borderId="0" fillId="12" fontId="1" numFmtId="49" xfId="0" applyAlignment="1" applyFont="1" applyNumberFormat="1">
      <alignment readingOrder="0"/>
    </xf>
    <xf borderId="0" fillId="13" fontId="1" numFmtId="0" xfId="0" applyFill="1" applyFont="1"/>
    <xf borderId="0" fillId="13" fontId="1" numFmtId="0" xfId="0" applyAlignment="1" applyFont="1">
      <alignment readingOrder="0"/>
    </xf>
    <xf borderId="0" fillId="13" fontId="1" numFmtId="0" xfId="0" applyFont="1"/>
    <xf borderId="0" fillId="13" fontId="1" numFmtId="0" xfId="0" applyAlignment="1" applyFont="1">
      <alignment readingOrder="0"/>
    </xf>
    <xf borderId="0" fillId="13" fontId="1" numFmtId="14" xfId="0" applyAlignment="1" applyFont="1" applyNumberFormat="1">
      <alignment readingOrder="0"/>
    </xf>
    <xf borderId="0" fillId="13" fontId="0" numFmtId="0" xfId="0" applyAlignment="1" applyFont="1">
      <alignment readingOrder="0" shrinkToFit="0" wrapText="0"/>
    </xf>
    <xf borderId="0" fillId="13" fontId="8" numFmtId="0" xfId="0" applyFont="1"/>
    <xf borderId="0" fillId="13" fontId="1" numFmtId="49" xfId="0" applyAlignment="1" applyFont="1" applyNumberFormat="1">
      <alignment readingOrder="0"/>
    </xf>
    <xf borderId="0" fillId="0" fontId="1" numFmtId="0" xfId="0" applyAlignment="1" applyFont="1">
      <alignment readingOrder="0"/>
    </xf>
    <xf borderId="0" fillId="13" fontId="1" numFmtId="0" xfId="0" applyAlignment="1" applyFont="1">
      <alignment readingOrder="0"/>
    </xf>
    <xf borderId="0" fillId="11" fontId="1" numFmtId="0" xfId="0" applyAlignment="1" applyFont="1">
      <alignment readingOrder="0"/>
    </xf>
    <xf borderId="0" fillId="11" fontId="1" numFmtId="0" xfId="0" applyFont="1"/>
    <xf borderId="0" fillId="14" fontId="1" numFmtId="0" xfId="0" applyFill="1" applyFont="1"/>
    <xf borderId="0" fillId="14" fontId="1" numFmtId="0" xfId="0" applyAlignment="1" applyFont="1">
      <alignment readingOrder="0"/>
    </xf>
    <xf borderId="0" fillId="14" fontId="1" numFmtId="0" xfId="0" applyFont="1"/>
    <xf borderId="0" fillId="14" fontId="1" numFmtId="0" xfId="0" applyAlignment="1" applyFont="1">
      <alignment readingOrder="0"/>
    </xf>
    <xf borderId="0" fillId="14" fontId="1" numFmtId="14" xfId="0" applyAlignment="1" applyFont="1" applyNumberFormat="1">
      <alignment readingOrder="0"/>
    </xf>
    <xf borderId="0" fillId="14" fontId="0" numFmtId="0" xfId="0" applyAlignment="1" applyFont="1">
      <alignment readingOrder="0" shrinkToFit="0" wrapText="0"/>
    </xf>
    <xf borderId="0" fillId="14" fontId="8" numFmtId="0" xfId="0" applyFont="1"/>
    <xf borderId="0" fillId="14" fontId="1" numFmtId="0" xfId="0" applyAlignment="1" applyFont="1">
      <alignment readingOrder="0"/>
    </xf>
    <xf borderId="0" fillId="6" fontId="1" numFmtId="49" xfId="0" applyFont="1" applyNumberFormat="1"/>
    <xf borderId="0" fillId="14" fontId="1" numFmtId="49" xfId="0" applyFont="1" applyNumberFormat="1"/>
    <xf borderId="0" fillId="14" fontId="1" numFmtId="49" xfId="0" applyAlignment="1" applyFont="1" applyNumberFormat="1">
      <alignment readingOrder="0"/>
    </xf>
    <xf borderId="0" fillId="11" fontId="1" numFmtId="49" xfId="0" applyAlignment="1" applyFont="1" applyNumberFormat="1">
      <alignment readingOrder="0"/>
    </xf>
    <xf borderId="0" fillId="2" fontId="1" numFmtId="0" xfId="0" applyAlignment="1" applyFont="1">
      <alignment readingOrder="0"/>
    </xf>
    <xf borderId="0" fillId="2" fontId="1" numFmtId="0" xfId="0" applyAlignment="1" applyFont="1">
      <alignment readingOrder="0"/>
    </xf>
    <xf borderId="0" fillId="2" fontId="1" numFmtId="0" xfId="0" applyFont="1"/>
    <xf borderId="0" fillId="2" fontId="1" numFmtId="0" xfId="0" applyFont="1"/>
    <xf borderId="0" fillId="2" fontId="1" numFmtId="0" xfId="0" applyAlignment="1" applyFont="1">
      <alignment readingOrder="0"/>
    </xf>
    <xf borderId="0" fillId="2" fontId="1" numFmtId="14" xfId="0" applyAlignment="1" applyFont="1" applyNumberFormat="1">
      <alignment readingOrder="0"/>
    </xf>
    <xf borderId="0" fillId="2" fontId="0" numFmtId="0" xfId="0" applyAlignment="1" applyFont="1">
      <alignment readingOrder="0" shrinkToFit="0" wrapText="0"/>
    </xf>
    <xf borderId="0" fillId="2" fontId="8" numFmtId="0" xfId="0" applyFont="1"/>
    <xf borderId="0" fillId="2" fontId="1" numFmtId="49" xfId="0" applyFont="1" applyNumberFormat="1"/>
    <xf borderId="0" fillId="2" fontId="1" numFmtId="49" xfId="0" applyAlignment="1" applyFont="1" applyNumberFormat="1">
      <alignment readingOrder="0"/>
    </xf>
    <xf borderId="0" fillId="15" fontId="1" numFmtId="0" xfId="0" applyFill="1" applyFont="1"/>
    <xf borderId="0" fillId="15" fontId="1" numFmtId="0" xfId="0" applyAlignment="1" applyFont="1">
      <alignment readingOrder="0"/>
    </xf>
    <xf borderId="0" fillId="15" fontId="1" numFmtId="0" xfId="0" applyFont="1"/>
    <xf borderId="0" fillId="15" fontId="1" numFmtId="0" xfId="0" applyAlignment="1" applyFont="1">
      <alignment readingOrder="0"/>
    </xf>
    <xf borderId="0" fillId="15" fontId="1" numFmtId="14" xfId="0" applyAlignment="1" applyFont="1" applyNumberFormat="1">
      <alignment readingOrder="0"/>
    </xf>
    <xf borderId="0" fillId="15" fontId="0" numFmtId="0" xfId="0" applyAlignment="1" applyFont="1">
      <alignment readingOrder="0" shrinkToFit="0" wrapText="0"/>
    </xf>
    <xf borderId="0" fillId="15" fontId="8" numFmtId="0" xfId="0" applyFont="1"/>
    <xf borderId="0" fillId="15" fontId="1" numFmtId="49" xfId="0" applyAlignment="1" applyFont="1" applyNumberFormat="1">
      <alignment readingOrder="0"/>
    </xf>
    <xf borderId="0" fillId="15" fontId="8" numFmtId="0" xfId="0" applyAlignment="1" applyFont="1">
      <alignment readingOrder="0"/>
    </xf>
    <xf borderId="0" fillId="0" fontId="1" numFmtId="14" xfId="0" applyAlignment="1" applyFont="1" applyNumberFormat="1">
      <alignment readingOrder="0"/>
    </xf>
    <xf borderId="0" fillId="16" fontId="1" numFmtId="49" xfId="0" applyAlignment="1" applyFill="1" applyFont="1" applyNumberFormat="1">
      <alignment readingOrder="0"/>
    </xf>
    <xf borderId="0" fillId="16" fontId="1" numFmtId="0" xfId="0" applyAlignment="1" applyFont="1">
      <alignment readingOrder="0"/>
    </xf>
    <xf borderId="0" fillId="16" fontId="1" numFmtId="0" xfId="0" applyAlignment="1" applyFont="1">
      <alignment readingOrder="0"/>
    </xf>
    <xf borderId="0" fillId="16" fontId="1" numFmtId="14" xfId="0" applyAlignment="1" applyFont="1" applyNumberFormat="1">
      <alignment readingOrder="0"/>
    </xf>
    <xf borderId="0" fillId="16" fontId="0" numFmtId="0" xfId="0" applyAlignment="1" applyFont="1">
      <alignment readingOrder="0" shrinkToFit="0" wrapText="0"/>
    </xf>
    <xf borderId="0" fillId="16" fontId="8" numFmtId="0" xfId="0" applyFont="1"/>
    <xf borderId="0" fillId="17" fontId="1" numFmtId="0" xfId="0" applyFill="1" applyFont="1"/>
    <xf borderId="0" fillId="17" fontId="1" numFmtId="0" xfId="0" applyAlignment="1" applyFont="1">
      <alignment readingOrder="0"/>
    </xf>
    <xf borderId="0" fillId="17" fontId="1" numFmtId="0" xfId="0" applyFont="1"/>
    <xf borderId="0" fillId="17" fontId="1" numFmtId="0" xfId="0" applyAlignment="1" applyFont="1">
      <alignment readingOrder="0"/>
    </xf>
    <xf borderId="0" fillId="17" fontId="1" numFmtId="14" xfId="0" applyAlignment="1" applyFont="1" applyNumberFormat="1">
      <alignment readingOrder="0"/>
    </xf>
    <xf borderId="0" fillId="17" fontId="0" numFmtId="0" xfId="0" applyAlignment="1" applyFont="1">
      <alignment readingOrder="0" shrinkToFit="0" wrapText="0"/>
    </xf>
    <xf borderId="0" fillId="17" fontId="8" numFmtId="0" xfId="0" applyFont="1"/>
    <xf borderId="0" fillId="17" fontId="1" numFmtId="49" xfId="0" applyAlignment="1" applyFont="1" applyNumberFormat="1">
      <alignment readingOrder="0"/>
    </xf>
    <xf borderId="0" fillId="5" fontId="12" numFmtId="0" xfId="0" applyAlignment="1" applyFont="1">
      <alignment readingOrder="0"/>
    </xf>
    <xf borderId="0" fillId="0" fontId="1" numFmtId="169" xfId="0" applyAlignment="1" applyFont="1" applyNumberFormat="1">
      <alignment readingOrder="0"/>
    </xf>
    <xf borderId="0" fillId="0" fontId="13" numFmtId="0" xfId="0" applyAlignment="1" applyFont="1">
      <alignment readingOrder="0"/>
    </xf>
    <xf borderId="0" fillId="18" fontId="1" numFmtId="0" xfId="0" applyFill="1" applyFont="1"/>
    <xf borderId="0" fillId="18" fontId="1" numFmtId="0" xfId="0" applyAlignment="1" applyFont="1">
      <alignment readingOrder="0"/>
    </xf>
    <xf borderId="0" fillId="8" fontId="1" numFmtId="0" xfId="0" applyAlignment="1" applyFont="1">
      <alignment readingOrder="0"/>
    </xf>
    <xf borderId="0" fillId="0" fontId="5" numFmtId="0" xfId="0" applyFont="1"/>
    <xf borderId="0" fillId="0" fontId="5" numFmtId="0" xfId="0" applyAlignment="1" applyFont="1">
      <alignment readingOrder="0"/>
    </xf>
    <xf borderId="0" fillId="0" fontId="5" numFmtId="0" xfId="0" applyFont="1"/>
    <xf borderId="0" fillId="0" fontId="5" numFmtId="49" xfId="0" applyFont="1" applyNumberFormat="1"/>
    <xf borderId="0" fillId="5" fontId="7" numFmtId="0" xfId="0" applyAlignment="1" applyFont="1">
      <alignment shrinkToFit="0" wrapText="0"/>
    </xf>
    <xf borderId="0" fillId="0" fontId="5" numFmtId="49" xfId="0" applyAlignment="1" applyFont="1" applyNumberFormat="1">
      <alignment readingOrder="0"/>
    </xf>
    <xf borderId="0" fillId="5" fontId="7" numFmtId="49" xfId="0" applyAlignment="1" applyFont="1" applyNumberFormat="1">
      <alignment shrinkToFit="0" wrapText="0"/>
    </xf>
    <xf borderId="0" fillId="0" fontId="14" numFmtId="0" xfId="0" applyAlignment="1" applyFont="1">
      <alignment readingOrder="0" vertical="bottom"/>
    </xf>
    <xf borderId="0" fillId="0" fontId="14" numFmtId="0" xfId="0" applyAlignment="1" applyFont="1">
      <alignment vertical="bottom"/>
    </xf>
    <xf borderId="0" fillId="0" fontId="14" numFmtId="0" xfId="0" applyAlignment="1" applyFont="1">
      <alignment horizontal="center" vertical="bottom"/>
    </xf>
    <xf borderId="0" fillId="0" fontId="15" numFmtId="0" xfId="0" applyAlignment="1" applyFont="1">
      <alignment readingOrder="0"/>
    </xf>
    <xf borderId="0" fillId="0" fontId="1" numFmtId="0" xfId="0" applyAlignment="1" applyFont="1">
      <alignment readingOrder="0"/>
    </xf>
    <xf borderId="0" fillId="0" fontId="1" numFmtId="170" xfId="0" applyAlignment="1" applyFont="1" applyNumberFormat="1">
      <alignment readingOrder="0"/>
    </xf>
    <xf borderId="1" fillId="0" fontId="1" numFmtId="0" xfId="0" applyBorder="1" applyFont="1"/>
    <xf borderId="1" fillId="0" fontId="1" numFmtId="0" xfId="0" applyAlignment="1" applyBorder="1" applyFont="1">
      <alignment readingOrder="0"/>
    </xf>
    <xf borderId="2" fillId="19" fontId="16" numFmtId="0" xfId="0" applyAlignment="1" applyBorder="1" applyFill="1" applyFont="1">
      <alignment horizontal="center" readingOrder="0" vertical="center"/>
    </xf>
    <xf borderId="2" fillId="0" fontId="17" numFmtId="0" xfId="0" applyBorder="1" applyFont="1"/>
    <xf borderId="3" fillId="0" fontId="1" numFmtId="0" xfId="0" applyBorder="1" applyFont="1"/>
    <xf borderId="4" fillId="0" fontId="1" numFmtId="0" xfId="0" applyBorder="1" applyFont="1"/>
    <xf borderId="5" fillId="0" fontId="1" numFmtId="0" xfId="0" applyBorder="1" applyFont="1"/>
  </cellXfs>
  <cellStyles count="1">
    <cellStyle xfId="0" name="Normal" builtinId="0"/>
  </cellStyles>
  <dxfs count="11">
    <dxf>
      <font/>
      <fill>
        <patternFill patternType="none"/>
      </fill>
      <border/>
    </dxf>
    <dxf>
      <font/>
      <fill>
        <patternFill patternType="solid">
          <fgColor rgb="FFD0E0E3"/>
          <bgColor rgb="FFD0E0E3"/>
        </patternFill>
      </fill>
      <border/>
    </dxf>
    <dxf>
      <font/>
      <fill>
        <patternFill patternType="solid">
          <fgColor rgb="FFFFFFFF"/>
          <bgColor rgb="FFFFFFFF"/>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
      <font/>
      <fill>
        <patternFill patternType="solid">
          <fgColor rgb="FF00FF00"/>
          <bgColor rgb="FF00FF00"/>
        </patternFill>
      </fill>
      <border/>
    </dxf>
    <dxf>
      <font/>
      <fill>
        <patternFill patternType="solid">
          <fgColor rgb="FFFF9900"/>
          <bgColor rgb="FFFF9900"/>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rgb="FFF6F8F9"/>
          <bgColor rgb="FFF6F8F9"/>
        </patternFill>
      </fill>
      <border/>
    </dxf>
    <dxf>
      <font/>
      <fill>
        <patternFill patternType="solid">
          <fgColor rgb="FFF4C7C3"/>
          <bgColor rgb="FFF4C7C3"/>
        </patternFill>
      </fill>
      <border/>
    </dxf>
  </dxfs>
  <tableStyles count="5">
    <tableStyle count="2" pivot="0" name="Students Number-style">
      <tableStyleElement dxfId="1" type="firstRowStripe"/>
      <tableStyleElement dxfId="2" type="secondRowStripe"/>
    </tableStyle>
    <tableStyle count="4" pivot="0" name="CBK Students-style">
      <tableStyleElement dxfId="3" type="headerRow"/>
      <tableStyleElement dxfId="1" type="firstRowStripe"/>
      <tableStyleElement dxfId="2" type="secondRowStripe"/>
      <tableStyleElement dxfId="4" size="0" type="wholeTable"/>
    </tableStyle>
    <tableStyle count="4" pivot="0" name="Project Showcase-style">
      <tableStyleElement dxfId="3" type="headerRow"/>
      <tableStyleElement dxfId="2" type="firstRowStripe"/>
      <tableStyleElement dxfId="9" type="secondRowStripe"/>
      <tableStyleElement dxfId="4" size="0" type="wholeTable"/>
    </tableStyle>
    <tableStyle count="2" pivot="0" name="Project Showcase-style 2">
      <tableStyleElement dxfId="1" type="firstRowStripe"/>
      <tableStyleElement dxfId="2" type="secondRowStripe"/>
    </tableStyle>
    <tableStyle count="2" pivot="0" name="Project Showcase-style 3">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2.xml"/><Relationship Id="rId6" Type="http://schemas.openxmlformats.org/officeDocument/2006/relationships/worksheet" Target="worksheets/sheet2.xml"/><Relationship Id="rId18" Type="http://schemas.openxmlformats.org/officeDocument/2006/relationships/pivotCacheDefinition" Target="pivotCache/pivotCacheDefinition1.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f728f8a3-d326-42de-b5eb-0b655b1b70ad}">
    <Anchor>
      <Comment id="{7fe4ed99-d17c-40a4-a17f-822b97d3df5a}"/>
    </Anchor>
    <History>
      <Event time="2025-08-27T05:51:24.00" id="{e79a7e4a-2d2d-4b78-b355-d0f84472e936}">
        <Attribution userId="placeholder@email.com" userName="Caleb Lim" userProvider="google-sheets"/>
        <Anchor>
          <Comment id="{7fe4ed99-d17c-40a4-a17f-822b97d3df5a}"/>
        </Anchor>
        <Create/>
      </Event>
      <Event time="2025-08-27T05:51:24.00" id="{0e343585-7011-4f4b-ad4e-c03c2d6d6bbc}">
        <Attribution userId="placeholder@email.com" userName="Caleb Lim" userProvider="google-sheets"/>
        <Anchor>
          <Comment id="{7fe4ed99-d17c-40a4-a17f-822b97d3df5a}"/>
        </Anchor>
        <Assign userId="gohkiong87@gmail.com" userName="gohkiong87@gmail.com" userProvider="google-sheets"/>
      </Event>
    </History>
  </Task>
  <Task id="{380fb8f5-7612-4f2d-b7d7-b64e0f120c45}">
    <Anchor>
      <Comment id="{6e6e894b-5f2e-4e12-9cdd-785c9e453ec3}"/>
    </Anchor>
    <History>
      <Event time="2025-08-28T01:10:19.00" id="{7df786cc-52ee-425f-8a1b-d958aeef380f}">
        <Attribution userId="placeholder@email.com" userName="Caleb Lim" userProvider="google-sheets"/>
        <Anchor>
          <Comment id="{6e6e894b-5f2e-4e12-9cdd-785c9e453ec3}"/>
        </Anchor>
        <Create/>
      </Event>
      <Event time="2025-08-28T01:10:19.00" id="{382ee192-1b54-4e4b-8166-1144536fd199}">
        <Attribution userId="placeholder@email.com" userName="Caleb Lim" userProvider="google-sheets"/>
        <Anchor>
          <Comment id="{6e6e894b-5f2e-4e12-9cdd-785c9e453ec3}"/>
        </Anchor>
        <Assign userId="kerryliong97@gmail.com" userName="kerryliong97@gmail.com" userProvider="google-sheets"/>
      </Event>
    </History>
  </Task>
  <Task id="{2f2c1ae6-9178-41af-a62c-c77e4a1270a4}">
    <Anchor>
      <Comment id="{8c9aec9f-e59b-435b-99bd-659d26161028}"/>
    </Anchor>
    <History>
      <Event time="2025-08-27T06:24:57.00" id="{3b8933bf-2de5-4699-bd77-2cdc9cf19b5c}">
        <Attribution userId="placeholder@email.com" userName="Caleb Lim" userProvider="google-sheets"/>
        <Anchor>
          <Comment id="{8c9aec9f-e59b-435b-99bd-659d26161028}"/>
        </Anchor>
        <Create/>
      </Event>
      <Event time="2025-08-27T06:24:57.00" id="{14e28a78-50b4-4e1d-8250-ac8a52cb8694}">
        <Attribution userId="placeholder@email.com" userName="Caleb Lim" userProvider="google-sheets"/>
        <Anchor>
          <Comment id="{8c9aec9f-e59b-435b-99bd-659d26161028}"/>
        </Anchor>
        <Assign userId="kerryliong97@gmail.com" userName="kerryliong97@gmail.com" userProvider="google-sheets"/>
      </Event>
    </History>
  </Task>
  <Task id="{b627f04c-a264-4fe2-9055-e460bf8310da}">
    <Anchor>
      <Comment id="{408ae795-42f9-40ef-a73c-af40c0e3bef3}"/>
    </Anchor>
    <History>
      <Event time="2025-08-27T05:54:46.00" id="{12e8b4d0-4b89-437f-a8c0-ed7e261cc70d}">
        <Attribution userId="placeholder@email.com" userName="Caleb Lim" userProvider="google-sheets"/>
        <Anchor>
          <Comment id="{408ae795-42f9-40ef-a73c-af40c0e3bef3}"/>
        </Anchor>
        <Create/>
      </Event>
      <Event time="2025-08-27T05:54:46.00" id="{63151515-97d2-4d2f-b25a-14929514422e}">
        <Attribution userId="placeholder@email.com" userName="Caleb Lim" userProvider="google-sheets"/>
        <Anchor>
          <Comment id="{408ae795-42f9-40ef-a73c-af40c0e3bef3}"/>
        </Anchor>
        <Assign userId="woeihan1999@gmail.com" userName="woeihan1999@gmail.com" userProvider="google-sheets"/>
      </Event>
    </History>
  </Task>
  <Task id="{0074181d-1b6a-490e-b893-cd3b97af6207}">
    <Anchor>
      <Comment id="{b1faf49e-2792-4cba-8906-369d462231b0}"/>
    </Anchor>
    <History>
      <Event time="2025-08-30T04:23:35.00" id="{573aad88-d1e2-42f7-b19b-2e29eaddd934}">
        <Attribution userId="placeholder@email.com" userName="Lam Woei han" userProvider="google-sheets"/>
        <Anchor>
          <Comment id="{b1faf49e-2792-4cba-8906-369d462231b0}"/>
        </Anchor>
        <Create/>
      </Event>
      <Event time="2025-08-30T04:23:35.00" id="{58ef5a94-bea5-4d6a-baa8-434ca3d282e9}">
        <Attribution userId="placeholder@email.com" userName="Lam Woei han" userProvider="google-sheets"/>
        <Anchor>
          <Comment id="{b1faf49e-2792-4cba-8906-369d462231b0}"/>
        </Anchor>
        <Assign userId="lime6199@gmail.com" userName="lime6199@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imcaleb4110@gmail.com" id="{d1277a69-8fad-4027-8d7a-e9dad9523eba}" userId="limcaleb4110@gmail.com" providerId="google-sheets"/>
  <x18tc:person displayName="vincenttiongw@gmail.com" id="{23abb9d4-ddd5-47db-a0d1-d9ee8fd80a60}" userId="vincenttiongw@gmail.com" providerId="google-sheets"/>
  <x18tc:person displayName="Caleb Lim" id="{e2a449a1-8345-46e4-84bf-d1e9d7e8954e}" providerId="google-sheets"/>
  <x18tc:person displayName="gohkiong87@gmail.com" id="{5a40bedf-8850-45a0-8457-45989eaf5288}" userId="gohkiong87@gmail.com" providerId="google-sheets"/>
  <x18tc:person displayName="reagantongzilik@gmail.com" id="{36dc05e1-a212-4396-b3e5-940c7614ad05}" userId="reagantongzilik@gmail.com" providerId="google-sheets"/>
  <x18tc:person displayName="lime6199@gmail.com" id="{eed2cdd8-9ada-4d29-92e5-de6bacdbca30}" userId="lime6199@gmail.com" providerId="google-sheets"/>
  <x18tc:person displayName="Lam Woei han" id="{09fca50f-65ab-47c0-8e35-ca4e71c96ff4}" providerId="google-sheets"/>
  <x18tc:person displayName="woeihan1999@gmail.com" id="{07424251-5f2c-4876-839c-a422b9e6a7b0}" userId="woeihan1999@gmail.com" providerId="google-sheets"/>
  <x18tc:person displayName="mandyszl0315@gmail.com" id="{38247691-10cb-4735-8e46-4680669c4d45}" userId="mandyszl0315@gmail.com" providerId="google-sheets"/>
  <x18tc:person displayName="kerryliong97@gmail.com" id="{75652147-1624-4753-897f-974eb04201d3}" userId="kerryliong97@gmail.com" providerId="google-sheets"/>
  <x18tc:person displayName="limcaleb0114@gmail.com" id="{ce75027a-2d82-4861-a385-6cf500ece239}" userId="limcaleb0114@gmail.com" providerId="google-sheets"/>
  <x18tc:person displayName="evelynwongyuyan06@gmail.com" id="{2c76770a-2290-4518-980f-ead7129609cc}" userId="evelynwongyuyan06@gmail.com"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C994" sheet="Students Attendance Log"/>
  </cacheSource>
  <cacheFields>
    <cacheField name="Student Name" numFmtId="0">
      <sharedItems>
        <s v="Clement Ling Ke Ming"/>
        <s v="Ting Zhi Xin"/>
        <s v="Eunice Tiong Jia Yi"/>
        <s v="Jvan Tan Jun Yik"/>
        <s v="Ivan Tan Jun Haw"/>
        <s v="Faye Wong Jing Tong"/>
        <s v="Amos Wong Jun Ren"/>
        <s v="Ting Zhi En"/>
        <s v="Jabez Huan Ngieng Hung"/>
        <s v="Jerry Yong Ching Hwa"/>
        <s v="Amarion Hii Lu Ong"/>
        <s v="Evan Sim Teck Yang"/>
        <s v="Elena Yeu Shu Wen"/>
        <s v="Benjamin Choo Chong Wei"/>
        <s v="Oscar Khiew Jian Lyn"/>
        <s v="Elina Kong Zhe En"/>
        <s v="Eileen Wong Hui Qing"/>
        <s v="Gladys Wong Jing Wen"/>
        <s v="Giselda Kong Le En"/>
        <s v="Eunice Wong Shi Qing"/>
        <s v="Ezra Ling Sing Yi"/>
        <s v="Ethan Lau Hui Hong"/>
        <s v="Lau Yong"/>
        <s v="Lau Jyi Xian"/>
        <s v="Jonathan Loh Hao Jie"/>
        <s v="Joshua Ting Xuan Eng"/>
        <s v="Ko King Wei"/>
        <s v="Abraham Ting Lik Yue"/>
        <s v="Edric Yong Tian Jun"/>
        <s v="Haura Amani"/>
        <s v="Jeremy Kong Yu Yong"/>
        <s v="Nea Hairani Binti Hairul Hairi"/>
        <s v="Amaan Nur Hayyan"/>
        <s v="Darence Kiung Eezer"/>
        <s v="Nicholas Yong Yi Hua"/>
        <s v="Abraham Anak Francis Engkala"/>
        <s v="Allen Ng Wei Hong"/>
        <s v="Samuel Moh Nian Quan"/>
        <s v="Luke Yong Nuo Hua"/>
        <s v="Melvin Tiong Meng Han"/>
        <s v="Julius Chiew Zhen Hao"/>
        <s v="Gabriel Yong Shu Hua"/>
        <s v="Feliz Loh Li Fei"/>
        <s v="Aisy Aryan bin Ali Harris"/>
        <s v="Wallance Wong Chung Yiu"/>
        <s v="Dalinda Anak Felix Soul"/>
        <s v="Herman Kong Kerk Xiang"/>
        <s v="Harper Kong Xuen"/>
        <s v="Dylan Ling Hung Fan"/>
        <s v="Noelle Wong Jing Yan"/>
        <s v="Lucas Ting Ker Jun"/>
        <s v="Arielle Lee Zeng See"/>
        <s v="Benaiah Ethan Ling"/>
        <s v="Kyan Ling Tian Xiang"/>
        <s v="Joelle Lau Lik Ying"/>
        <s v="Thomas Tiong Wei Hao"/>
        <s v="Ryan Sia Rui Eng"/>
        <s v="Rochester Lee Eu Jyun"/>
        <s v="Ethan Sia Kee Rong"/>
        <s v="Joyce Wong Qin Ai"/>
        <s v="Jonas Wong Qin En"/>
        <s v="Asher Lim Zhong Jie"/>
        <s v="Marcus Tiang Tew Hann"/>
        <s v="Clovis Low Zhao Ming"/>
        <s v="Nicholas Too Kah Hee"/>
        <s v="Adam Naqiudin Ahmad bin Saziran"/>
        <s v="Quentin Law Yen Yan"/>
        <s v="Gavin Tiong Hai Liang"/>
        <s v="Chong Xue Wen"/>
        <s v="Clement Ting Yong Rui"/>
        <s v="Zion Shi Nian Xi"/>
        <s v="Josh Law Wen Jun"/>
        <s v="Amber Wong Yun Qi"/>
        <s v="Howard Ling Hong Ern"/>
        <s v="Evonne Cheng Xin Ning"/>
        <s v="Ayden Lee"/>
        <s v="Cornelius Wong Guang Ming"/>
        <s v="Ivan Wong Hong Yi"/>
        <s v="Vionetta Injang Anak Engan"/>
        <s v="Veeyyai Anak Engan"/>
        <s v="Ivanna Ling Yirou"/>
        <s v="Eason Toh"/>
        <s v="Ngu Hieng Sing"/>
        <s v="Jonathan Lee Cheng Guan"/>
        <s v="Patrick Sia Kee Tao"/>
        <s v="Vladimir Nanang Casimir"/>
        <s v="Clexter Cheng Kwong Yong"/>
        <s v="Hillary Yong"/>
        <s v="Josh Ting Sie Jun"/>
        <s v="Daniel Lee Meng Ze"/>
        <s v="Esme Ling Ruicy"/>
        <s v="Ryan Wong Bak Chen"/>
        <s v="Casper Tan Ee Jie"/>
        <s v="Desmond Chai Kai Ze"/>
        <s v="Kong Ming Yi"/>
        <s v="Alfred Koo Yi Xiang"/>
        <s v="Clarence Ting Yong Wei"/>
        <s v="Cody Chan Shan Yu"/>
        <s v="Jane Wong Xin Yue"/>
        <s v="Eugene Lau Lik Yang"/>
        <s v="Isaac Cham Zi Xuan"/>
        <s v="Aidan Siaw Min Le"/>
        <s v="Jarvis Ningkan Anak Henry"/>
        <s v="Nigel Lim Zhong Xi"/>
        <s v="Mercury Wong Lun Chein"/>
        <s v="Emily Wong Mon Rong"/>
        <s v="Teoh Wei kai"/>
        <s v="Gia Lim Jia En"/>
        <s v="Aryssa Sofea binti Mohd Ahmadi"/>
        <s v="Muhammad Ammar Yusof bin Mohd Ahmadi"/>
        <s v="Muhammad Auf Zayyan bin Mohd Ahmadi"/>
        <s v="Lucas Lau Yee Ming"/>
        <s v="Kyle Ling Zhong You"/>
        <s v="Benjamin Lee Zhe Ming"/>
        <s v="Bernard Choo Chong Seng"/>
        <s v="Tolber Lee Jun Han"/>
        <s v="Aldrich Wong Zun Kai"/>
        <s v="Jayden Ling Xian Yang"/>
        <s v="Benedict Darren Donny"/>
        <s v="Samuel Bryan Donny"/>
        <s v="Janice Wong Xiao Yue"/>
        <s v="Sophia Wong Kwang Yuchin"/>
        <s v="Marcus Lau Yee Ho"/>
        <s v="Boey Ling"/>
        <s v="Anderson Sui Shuen Hon"/>
        <s v="Max Yong Seng Jing"/>
        <s v="Ivan Yong Seng Feng"/>
        <s v="Oscar Wong Kwang Minhai"/>
        <s v="Joshua Tong Tze Cheng"/>
        <s v="Ance Lin Liu Xin"/>
        <s v="Sarah Wong Jing Lin"/>
        <s v="Jerald Wong Xiang Zhe"/>
        <s v="Hii Nai Cheng"/>
        <s v="Joshua Ling Chan Kee"/>
        <s v="Nathanael Lee Yi Yang"/>
        <s v="Ayden Lee Tai Yu"/>
        <s v="Andrew Chai Kai Jun"/>
        <s v="Kingsley Kiing Kiu Yik"/>
        <s v="Eeson Wong bin Mohammad Hisham"/>
        <s v="Hng Khar Jun"/>
        <s v="Jordan Ling Chan Ho"/>
        <s v="Daphne Wong"/>
        <s v="Wong Shi Yaw"/>
        <s v="Owen  Huong Ke Xiang "/>
        <s v="Carson Low Zhen Shen"/>
        <s v="Elson Low Zhen Quan"/>
        <s v="Gabby Ling Hung Yu"/>
        <s v="Ethan Koh Chya Bing"/>
        <s v="Ethan Tan Jun Han"/>
        <s v="Jee Wyn Swan"/>
        <s v="Ko King Hui"/>
        <s v="Peso Yang Ming Yu"/>
        <s v="Adrian Tong Duo You"/>
        <s v="Oscar Sia Chen Hong"/>
        <s v="Lucas Chiew Wei Han"/>
        <s v="Aria Tong Yun Fann"/>
        <s v="Casper Lau Ke Qing"/>
        <s v="Alfred Lau Ke Yi"/>
        <s v="Leon Thien Jun Siang"/>
        <s v="Oliver Sia Chen Jun"/>
        <s v="Wong Jing Xiu"/>
        <s v="Wong Jing Yu"/>
        <s v="Wong Jing Shang"/>
        <s v="Alston Chan Yu Han"/>
        <s v="Joanna Ling Zhi Hui"/>
        <s v="Elvis Yek Zhu Xiang"/>
        <s v="Jayden Siaw Cun En"/>
        <s v="Teo Kah Wei"/>
        <s v="Anson Ling Jia Le"/>
        <s v="Ayden Lee Zeng Hsu"/>
        <s v="Ethan Tiong Yong Xin"/>
        <s v="Charlene Ting Yan Jin"/>
        <s v="Wilfred Lau Jun Rui"/>
        <s v="Rexlee Ngu Shu Jing"/>
        <s v="Osmund Tiong Zhen En"/>
        <s v="Anselm Chiong Chan Sung"/>
        <s v="Elroy Wong Yee Haw"/>
        <s v="Hailley Chee Yee JIe"/>
        <s v="Morgan Tiong Wei Han"/>
        <s v="Elnathan Ryan Anak David"/>
        <s v="Clayton Chieng Zhu Rui"/>
        <s v="Wong Pak Ung"/>
        <s v="Royson Sandah Tan Kee Lim"/>
        <s v="Ramssey Bin Raymand"/>
        <s v="Marcus Moh Nien Yi"/>
        <s v="Wensley Wong Chung Ze"/>
        <s v="Cloudius Tay Lik Kung "/>
        <s v="Iessabelle Rayeanna Billie Tami"/>
        <s v="Benson Tiong Guang Rui"/>
        <s v="Tiffany Ling Yun Ting"/>
        <s v="Isaac Tiong Yong Yi"/>
        <s v="Derrick Ling Ning Seng"/>
        <s v="Javier Hii Wei Wen"/>
        <s v="Harden Moh Heng Leong"/>
        <s v="Isabel Lim Xin Lin"/>
        <s v="Leo Wong Sie Siong"/>
        <s v="Kristian Low Ming Ruy"/>
      </sharedItems>
    </cacheField>
    <cacheField name="Date" numFmtId="170">
      <sharedItems containsSemiMixedTypes="0" containsDate="1" containsString="0">
        <d v="2025-10-27T00:00:00Z"/>
        <d v="2025-10-29T00:00:00Z"/>
        <d v="2025-10-25T00:00:00Z"/>
        <d v="2025-10-30T00:00:00Z"/>
        <d v="2025-11-01T00:00:00Z"/>
        <d v="2025-11-03T00:00:00Z"/>
        <d v="2025-11-05T00:00:00Z"/>
        <d v="2025-11-06T00:00:00Z"/>
        <d v="2025-11-08T00:00:00Z"/>
        <d v="2025-11-10T00:00:00Z"/>
        <d v="2025-11-12T00:00:00Z"/>
        <d v="2025-11-13T00:00:00Z"/>
        <d v="2025-11-15T00:00:00Z"/>
        <d v="2025-11-17T00:00:00Z"/>
        <d v="2025-11-19T00:00:00Z"/>
        <d v="2025-11-20T00:00:00Z"/>
        <d v="2025-11-22T00:00:00Z"/>
        <d v="2025-11-24T00:00:00Z"/>
        <d v="2025-11-26T00:00:00Z"/>
        <d v="2025-11-27T00:00:00Z"/>
        <d v="2025-11-28T00:00:00Z"/>
        <d v="2025-11-29T00:00:00Z"/>
        <d v="2025-12-01T00:00:00Z"/>
        <d v="2025-12-03T00:00:00Z"/>
        <d v="2025-12-04T00:00:00Z"/>
        <d v="2025-12-06T00:00:00Z"/>
        <d v="2025-12-08T00:00:00Z"/>
        <d v="2025-12-09T00:00:00Z"/>
        <d v="2025-12-10T00:00:00Z"/>
        <d v="2025-12-11T00:00:00Z"/>
        <d v="2025-12-05T00:00:00Z"/>
        <d v="2025-12-13T00:00:00Z"/>
        <d v="2025-12-15T00:00:00Z"/>
        <d v="2025-12-17T00:00:00Z"/>
        <d v="2025-12-18T00:00:00Z"/>
        <d v="2026-01-05T00:00:00Z"/>
        <d v="2026-01-07T00:00:00Z"/>
        <d v="2026-01-10T00:00:00Z"/>
        <d v="2026-01-12T00:00:00Z"/>
        <d v="2026-01-14T00:00:00Z"/>
        <d v="2026-01-15T00:00:00Z"/>
        <d v="2026-01-16T00:00:00Z"/>
        <d v="2026-01-17T00:00:00Z"/>
        <d v="2026-01-19T00:00:00Z"/>
        <d v="2026-01-21T00:00:00Z"/>
        <d v="2026-01-22T00:00:00Z"/>
        <d v="2026-01-24T00:00:00Z"/>
        <d v="2026-01-26T00:00:00Z"/>
        <d v="2026-01-28T00:00:00Z"/>
        <d v="2026-01-29T00:00:00Z"/>
        <d v="2026-01-31T00:00:00Z"/>
        <d v="2026-02-02T00:00:00Z"/>
        <d v="2026-02-04T00:00:00Z"/>
        <d v="2026-02-05T00:00:00Z"/>
        <d v="2026-02-07T00:00:00Z"/>
        <d v="2026-02-09T00:00:00Z"/>
        <d v="2026-02-11T00:00:00Z"/>
        <d v="2026-02-12T00:00:00Z"/>
        <d v="2026-02-14T00:00:00Z"/>
        <d v="2026-02-23T00:00:00Z"/>
        <d v="2026-02-25T00:00:00Z"/>
        <d v="2026-02-26T00:00:00Z"/>
        <d v="2026-02-27T00:00:00Z"/>
        <d v="2026-02-28T00:00:00Z"/>
        <d v="2026-03-02T00:00:00Z"/>
        <d v="2026-03-04T00:00:00Z"/>
        <d v="2026-03-05T00:00:00Z"/>
        <d v="2026-03-07T00:00:00Z"/>
        <d v="2026-03-09T00:00:00Z"/>
        <d v="2026-03-10T00:00:00Z"/>
        <d v="2026-03-11T00:00:00Z"/>
        <d v="2026-03-12T00:00:00Z"/>
        <d v="2026-03-13T00:00:00Z"/>
        <d v="2026-03-14T00:00:00Z"/>
        <d v="2026-03-16T00:00:00Z"/>
        <d v="2026-03-18T00:00:00Z"/>
        <d v="2026-03-21T00:00:00Z"/>
        <d v="2026-03-19T00:00:00Z"/>
        <d v="2026-03-20T00:00:00Z"/>
        <d v="2026-03-28T00:00:00Z"/>
        <d v="2026-03-30T00:00:00Z"/>
        <d v="2026-04-01T00:00:00Z"/>
        <d v="2026-04-02T00:00:00Z"/>
        <d v="2026-04-04T00:00:00Z"/>
        <d v="2026-04-06T00:00:00Z"/>
        <d v="2026-04-08T00:00:00Z"/>
        <d v="2026-04-09T00:00:00Z"/>
        <d v="2026-04-11T00:00:00Z"/>
        <d v="2026-04-13T00:00:00Z"/>
        <d v="2026-04-15T00:00:00Z"/>
        <d v="2026-04-16T00:00:00Z"/>
        <d v="2026-04-17T00:00:00Z"/>
        <d v="2026-04-18T00:00:00Z"/>
      </sharedItems>
    </cacheField>
    <cacheField name="Attendance Status" numFmtId="0">
      <sharedItems containsBlank="1">
        <m/>
        <s v="Absent"/>
        <s v="Attend/Replace"/>
        <s v="Late"/>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00" sheet="Scores"/>
  </cacheSource>
  <cacheFields>
    <cacheField name="course_id" numFmtId="0">
      <sharedItems containsString="0" containsBlank="1" containsNumber="1" containsInteger="1">
        <n v="138.0"/>
        <n v="105.0"/>
        <n v="101.0"/>
        <n v="26.0"/>
        <n v="42.0"/>
        <n v="102.0"/>
        <n v="68.0"/>
        <n v="184.0"/>
        <n v="183.0"/>
        <n v="106.0"/>
        <n v="137.0"/>
        <n v="149.0"/>
        <n v="142.0"/>
        <n v="197.0"/>
        <n v="43.0"/>
        <n v="44.0"/>
        <n v="148.0"/>
        <n v="177.0"/>
        <m/>
      </sharedItems>
    </cacheField>
    <cacheField name="course_name" numFmtId="0">
      <sharedItems containsBlank="1">
        <s v="E130C Mobile Coding"/>
        <s v="L220B Digital Animation"/>
        <s v="L221B Creative Computing"/>
        <s v="L232A Game Development"/>
        <s v="L250A Physical Computing"/>
        <s v="L230B Coding and Algorithm "/>
        <s v="L330A Mobile Apps Development"/>
        <s v="E251C Physical Computing I"/>
        <s v="E231C Coding and Algorithm I"/>
        <s v="L321B 3D Design for AR and VR"/>
        <s v="E371C AI with Python I"/>
        <s v="E331C Game Development I"/>
        <s v="E431C Mobile Apps Development I"/>
        <s v="E221C Creative Computing I"/>
        <s v="L370A HCI and Machine Learning"/>
        <s v="L350A Embedded System"/>
        <s v="E451C Embedded System with IoT I"/>
        <s v="E120C Digital Animation"/>
        <m/>
      </sharedItems>
    </cacheField>
    <cacheField name="student_id" numFmtId="0">
      <sharedItems containsString="0" containsBlank="1" containsNumber="1" containsInteger="1">
        <n v="48980.0"/>
        <n v="48981.0"/>
        <n v="49599.0"/>
        <n v="49622.0"/>
        <n v="49294.0"/>
        <n v="42387.0"/>
        <n v="49624.0"/>
        <n v="47691.0"/>
        <n v="49843.0"/>
        <n v="42494.0"/>
        <n v="49625.0"/>
        <n v="45415.0"/>
        <n v="47860.0"/>
        <n v="49123.0"/>
        <n v="48983.0"/>
        <n v="49600.0"/>
        <n v="40993.0"/>
        <n v="48626.0"/>
        <n v="46948.0"/>
        <n v="47339.0"/>
        <n v="48984.0"/>
        <n v="48511.0"/>
        <n v="49301.0"/>
        <n v="19792.0"/>
        <n v="49161.0"/>
        <n v="49696.0"/>
        <n v="38405.0"/>
        <n v="32659.0"/>
        <n v="36832.0"/>
        <n v="37593.0"/>
        <n v="24276.0"/>
        <n v="49937.0"/>
        <n v="37635.0"/>
        <n v="49891.0"/>
        <n v="38416.0"/>
        <n v="40411.0"/>
        <n v="38432.0"/>
        <n v="50065.0"/>
        <n v="37637.0"/>
        <n v="38415.0"/>
        <n v="40994.0"/>
        <n v="38406.0"/>
        <n v="44988.0"/>
        <n v="49697.0"/>
        <n v="41115.0"/>
        <n v="23747.0"/>
        <n v="49842.0"/>
        <n v="38097.0"/>
        <n v="30981.0"/>
        <n v="37639.0"/>
        <n v="38077.0"/>
        <n v="39346.0"/>
        <n v="48979.0"/>
        <n v="23746.0"/>
        <n v="35792.0"/>
        <n v="38942.0"/>
        <n v="37338.0"/>
        <n v="38407.0"/>
        <n v="50216.0"/>
        <n v="31717.0"/>
        <n v="50243.0"/>
        <n v="38408.0"/>
        <n v="38370.0"/>
        <n v="30986.0"/>
        <n v="38459.0"/>
        <n v="35793.0"/>
        <n v="31164.0"/>
        <n v="35844.0"/>
        <n v="30985.0"/>
        <n v="50185.0"/>
        <n v="37418.0"/>
        <n v="36312.0"/>
        <n v="49623.0"/>
        <n v="23454.0"/>
        <n v="49119.0"/>
        <n v="50246.0"/>
        <n v="37526.0"/>
        <n v="49118.0"/>
        <n v="37412.0"/>
        <n v="38529.0"/>
        <n v="23460.0"/>
        <n v="49207.0"/>
        <n v="47314.0"/>
        <n v="22098.0"/>
        <n v="41116.0"/>
        <n v="48778.0"/>
        <n v="37339.0"/>
        <n v="35891.0"/>
        <n v="38371.0"/>
        <n v="35795.0"/>
        <n v="22548.0"/>
        <n v="39347.0"/>
        <n v="48969.0"/>
        <n v="45371.0"/>
        <n v="37449.0"/>
        <n v="38078.0"/>
        <n v="41210.0"/>
        <n v="38098.0"/>
        <n v="38937.0"/>
        <n v="6644.0"/>
        <n v="7462.0"/>
        <n v="40995.0"/>
        <n v="37524.0"/>
        <n v="10703.0"/>
        <n v="40058.0"/>
        <n v="18263.0"/>
        <n v="8248.0"/>
        <n v="15011.0"/>
        <n v="22756.0"/>
        <n v="10702.0"/>
        <n v="23755.0"/>
        <n v="6641.0"/>
        <n v="18081.0"/>
        <n v="23754.0"/>
        <n v="23456.0"/>
        <n v="14094.0"/>
        <n v="30840.0"/>
        <n v="34489.0"/>
        <n v="22549.0"/>
        <n v="30938.0"/>
        <n v="14108.0"/>
        <n v="20524.0"/>
        <n v="13895.0"/>
        <n v="16688.0"/>
        <n v="38372.0"/>
        <n v="10701.0"/>
        <n v="7253.0"/>
        <n v="22924.0"/>
        <n v="36071.0"/>
        <n v="36070.0"/>
        <n v="22034.0"/>
        <n v="22923.0"/>
        <n v="7182.0"/>
        <n v="7079.0"/>
        <n v="8097.0"/>
        <n v="7459.0"/>
        <n v="34564.0"/>
        <n v="39986.0"/>
        <n v="34563.0"/>
        <n v="35794.0"/>
        <n v="7256.0"/>
        <n v="37013.0"/>
        <n v="23826.0"/>
        <n v="8249.0"/>
        <n v="7259.0"/>
        <n v="7177.0"/>
        <n v="14107.0"/>
        <n v="22036.0"/>
        <n v="22918.0"/>
        <n v="22550.0"/>
        <n v="22919.0"/>
        <n v="36392.0"/>
        <n v="7178.0"/>
        <n v="22097.0"/>
        <n v="35054.0"/>
        <n v="11625.0"/>
        <n v="6645.0"/>
        <n v="7187.0"/>
        <n v="7172.0"/>
        <n v="7180.0"/>
        <n v="7113.0"/>
        <n v="35055.0"/>
        <n v="21231.0"/>
        <n v="20174.0"/>
        <n v="7165.0"/>
        <n v="21167.0"/>
        <n v="21162.0"/>
        <n v="21163.0"/>
        <n v="36414.0"/>
        <n v="37450.0"/>
        <n v="37425.0"/>
        <n v="22437.0"/>
        <n v="20553.0"/>
        <n v="14330.0"/>
        <n v="50378.0"/>
        <n v="16871.0"/>
        <n v="37154.0"/>
        <n v="50391.0"/>
        <n v="38096.0"/>
        <n v="50426.0"/>
        <n v="50425.0"/>
        <n v="7080.0"/>
        <n v="7168.0"/>
        <n v="50597.0"/>
        <n v="51533.0"/>
        <n v="51534.0"/>
        <n v="50475.0"/>
        <n v="51781.0"/>
        <n v="51532.0"/>
        <n v="51751.0"/>
        <n v="51214.0"/>
        <n v="50062.0"/>
        <n v="51653.0"/>
        <n v="50595.0"/>
        <n v="50596.0"/>
        <n v="50594.0"/>
        <n v="51784.0"/>
        <n v="51782.0"/>
        <n v="51935.0"/>
        <n v="51642.0"/>
        <n v="52087.0"/>
        <n v="52058.0"/>
        <n v="52057.0"/>
        <n v="52034.0"/>
        <n v="51752.0"/>
        <n v="51937.0"/>
        <n v="51726.0"/>
        <n v="52959.0"/>
        <n v="52709.0"/>
        <n v="52707.0"/>
        <n v="52708.0"/>
        <m/>
      </sharedItems>
    </cacheField>
    <cacheField name="student_name" numFmtId="0">
      <sharedItems containsBlank="1">
        <s v="Muhammad Ammar Yusof bin Mohd Ahmadi"/>
        <s v="Muhammad Auf Zayyan bin Mohd Ahmadi"/>
        <s v="Jayden ting ri bin"/>
        <s v="Ethan Tan Jun Han"/>
        <s v="Tolber Lee Jun Han"/>
        <s v="JAYDEN HUAN KAH HANG"/>
        <s v="ELROY WONG YEE HAW"/>
        <s v="Jarvis Ningkan Anak Henry"/>
        <s v="Eeson wong bin Mohammad hisham"/>
        <s v="Samson Moh Nian Hui"/>
        <s v="hng khar jun"/>
        <s v="Josh Ting Sie Jun"/>
        <s v="LUCAS TING KER JUN"/>
        <s v="Cloudius Tay Lik Kung"/>
        <s v="Casper Lau Ke Qing"/>
        <s v="DERRICK LING NING SENG"/>
        <s v="Faye Wong Jing Tong"/>
        <s v="Zion Shi Nian Xi"/>
        <s v="Alfred Koo Yi Xiang"/>
        <s v="KYAN LING TIAN XIANG"/>
        <s v="Alfred Lau Ke Yi"/>
        <s v="Ivan Wong Hong Yi"/>
        <s v="MARCUS MOH NIEN YI"/>
        <s v="DESMOND CHAI KAI ZE"/>
        <s v="Jerald Wong Xiang Zhe"/>
        <s v="Sofea Alyna"/>
        <s v="GISELDA KONG LE EN"/>
        <s v="VEEYYAI ANAK ENGAN"/>
        <s v="VIONETTA INJANG ANAK ENGAN"/>
        <s v="Dylan Ling Hung Fan"/>
        <s v="Nea Hairani Binti Hairul Hairi"/>
        <s v="ALSTON CHAN YU HAN"/>
        <s v="Ryan Hung"/>
        <s v="Hailley Chee Yee JIe"/>
        <s v="Rexlee Ngu Shu Jing"/>
        <s v="JOSH LAW WEN JUN"/>
        <s v="Sarah Wong Jing Lin"/>
        <s v="Ian lee Jing Ming"/>
        <s v="Jayden Pang Zhen Xiang"/>
        <s v="Eunice Wong Shi Qing"/>
        <s v="Amos Wong Jun Ren"/>
        <s v="Wilfred Lau Jun Rui"/>
        <s v="Esme Ling Ruicy"/>
        <s v="Jee Wyn Swan"/>
        <s v="Gladys Wong Jing Wen"/>
        <s v="DAPHNE WONG"/>
        <s v="OWEN HUONG KE XIANG"/>
        <s v="Wong Jing Xiu"/>
        <s v="HARPER KONG XUEN"/>
        <s v="Ayden Lee Tai Yu"/>
        <s v="SOPHIA WONG KWANG YUCHIN"/>
        <s v="JANICE WONG XIAO YUE"/>
        <s v="Aryssa sofea binti mohd Ahmadi"/>
        <s v="Rachelle Teh Ern Cher"/>
        <s v="ELINA KONG ZHE EN"/>
        <s v="Osmund Tiong Zhen En"/>
        <s v="Howard Ling Hong Ern"/>
        <s v="LUCAS CHIEW WEI HAN"/>
        <s v="Morgan Tiong Wei Han"/>
        <s v="AMAAN NUR HAYYAN"/>
        <s v="Ling Zi Heng"/>
        <s v="CHARLENE TING YAN JIN"/>
        <s v="MAX YONG SENG JING"/>
        <s v="Royson Sandah Tan Kee Lim"/>
        <s v="Benaiah Ethan Ling"/>
        <s v="Oscar Khiew Jian  Lyn"/>
        <s v="Evonne Cheng Xin Ning"/>
        <s v="Eileen Wong Hui Qing"/>
        <s v="Ramssey Bin Raymand"/>
        <s v="SIMEON SHU ZHONG SHENG"/>
        <s v="Leon Thien Jun Siang"/>
        <s v="DALINDA ANAK FELIX SOUL"/>
        <s v="Anselm Chiong Chan Sung"/>
        <s v="LAU JYI XIAN"/>
        <s v="Ethan Tiong Yong Xin"/>
        <s v="Ling Yii Xiong"/>
        <s v="EUNICE TIONG JIA YI"/>
        <s v="ISAAC TIONG YONG YI"/>
        <s v="KONG MING YI"/>
        <s v="Ivanna Ling Yirou"/>
        <s v="LAU YONG"/>
        <s v="CODY CHAN SHAN YU"/>
        <s v="Daniel Lee Meng Ze"/>
        <s v="Mercury Wong Lun Chein"/>
        <s v="Ryan Wong Bak Chen"/>
        <s v="SAMUEL BRYAN DONNY"/>
        <s v="Gia Lim Jia En"/>
        <s v="Ryan Sia Rui Eng"/>
        <s v="IVAN YONG SENG FENG"/>
        <s v="THOMAS TIONG WEI HAO"/>
        <s v="Marcus Lau Yee Ho"/>
        <s v="JERRY YONG CHING HWA"/>
        <s v="EDRIC YONG TIAN JUN"/>
        <s v="Teoh Wei kai"/>
        <s v="Gavin Tiong Hai Liang"/>
        <s v="Oscar Wong Kwang Minhai"/>
        <s v="Samuel Moh Nian Quan"/>
        <s v="Wong Jing Shang"/>
        <s v="IESSABELLE RAYEANNA BILLIE TAMI"/>
        <s v="Clarence Ting Yong Wei"/>
        <s v="Javier Hii Wei Wen"/>
        <s v="Noelle Wong Jing Yan"/>
        <s v="QUENTIN LAW YEN YAN"/>
        <s v="EZRA LING SING YI"/>
        <s v="Peso Yang Ming Yu"/>
        <s v="ETHAN KOH CHYA BING"/>
        <s v="Jonas Wong qin en"/>
        <s v="FELIZ LOH LI FEI"/>
        <s v="Aisy Aryan bin Ali Harris"/>
        <s v="Ivan Tan Jun Haw"/>
        <s v="OSCAR SIA CHEN HONG"/>
        <s v="Nicholas Yong Yi Hua"/>
        <s v="Jabez Huan Ngieng Hung"/>
        <s v="OLIVER SIA CHEN JUN"/>
        <s v="ROCHESTER LEE EU JYUN"/>
        <s v="Aidan siaw min le"/>
        <s v="ANSON LING JIA LE"/>
        <s v="Benjamin Lee Zhe Ming"/>
        <s v="Lucas Lau Yee Ming"/>
        <s v="BENSON TIONG GUANG RUI"/>
        <s v="ARIELLE LEE ZENG SEE"/>
        <s v="Aaron Ting Kuan Siang"/>
        <s v="Teo Kah Wei"/>
        <s v="HERMAN KONG KERK XIANG"/>
        <s v="Wong Shi Yaw"/>
        <s v="Jvan Tan Jun Yik"/>
        <s v="KINGSLEY KIING KIU YIK"/>
        <s v="Wallance Wong Chung Yiu"/>
        <s v="CLEXTER CHENG KWONG YONG"/>
        <s v="HILLARY YONG"/>
        <s v="KYLE LING ZHONG YOU"/>
        <s v="Wensley Wong Chung Ze"/>
        <s v="VLADIMIR NANANG CASIMIR"/>
        <s v="JOSHUA TONG TZE CHENG "/>
        <s v="Joshua ting xuan eng"/>
        <s v="JANE WONG XIN YUE"/>
        <s v="Clayton Chieng Zhu Rui"/>
        <s v="Adam Naqiudin Ahmad bin Saziran"/>
        <s v="Wong Pak Ung"/>
        <s v="CHONG XUE WEN"/>
        <s v="Ting Zhi Xin"/>
        <s v="Nathanael Lee Yi Yang"/>
        <s v="ADRIAN TONG DUO YOU"/>
        <s v="Joyce Wong Qin Ai"/>
        <s v="MELVIN TIONG MENG HAN"/>
        <s v="CONSTANTINE TIONG WEI HENG "/>
        <s v="AYDEN LEE ZENG HSU"/>
        <s v="BOEY LING"/>
        <s v="ELSON LOW ZHEN QUAN"/>
        <s v="Ethan Sia Kee Rong"/>
        <s v="CARSON LOW ZHEN SHEN"/>
        <s v="Ngu Hieng Sing"/>
        <s v="FREDERICK TIONG WEI XIANG "/>
        <s v="Emily Wong Mon Rong"/>
        <s v="Eugene Lau Lik Yang"/>
        <s v="ANDREW CHAI KAI JUN"/>
        <s v="Clement Ting Yong Rui"/>
        <s v="Ting Zhi En"/>
        <s v="Marcus Tiang Tew Hann"/>
        <s v="NICHOLAS TOO KAH HEE"/>
        <s v="ISAAC LEONG YON JIE"/>
        <s v="Joelle Lau Lik Ying"/>
        <s v="ELNATHAN RYAN ANAK DAVID"/>
        <s v="Asher Lim Zhong Jie"/>
        <s v="Ko King Wei"/>
        <s v="ISAAC CHAM ZI XUAN"/>
        <s v="EVAN SIM TECK YANG"/>
        <s v="Abraham Ting Lik Yue"/>
        <s v="ABRAHAM ANAK FRANCIS ENGKALA"/>
        <s v="Julius Chiew Zhen Hao"/>
        <s v="Amber Wong Yun Qi"/>
        <s v="Jayden Ling Xian Yang"/>
        <s v="ETHAN LAU HUI HONG"/>
        <s v="CLOVIS LOW ZHAO MING"/>
        <s v="Noah Tiong Xun Rong"/>
        <s v="Anderson Sui Shuen Hon"/>
        <s v="AMARION HII LU ONG"/>
        <s v="Isaac Lau Li Sheng"/>
        <s v="Wong Jing Yu"/>
        <s v="JAYDEN SIAW CUN EN"/>
        <s v="Aria Tong Yun Fann"/>
        <s v="LUKE YONG NUO HUA "/>
        <s v="Ko King Hui"/>
        <s v="Yong Feng Kai"/>
        <s v="Abigail Yung Qi En"/>
        <s v="Ian Yung Yi En"/>
        <s v="Gabby Ling Hung Yu"/>
        <s v="KRISTIAN LOW MING RUY"/>
        <s v="Lewin Lau Bik Liang"/>
        <s v="Austin yek xuan rui"/>
        <s v="Aidan Hii Sing Hong"/>
        <s v="DALTON YIK HAW XUAN"/>
        <s v="Aston Wong Yi Zuen"/>
        <s v="ANN WONG SIE ENG"/>
        <s v="Ling Yong Jing"/>
        <s v="LEO WONG SIE SIONG"/>
        <s v="Erika Ong Jing Rong"/>
        <s v="Eugenia Ong Jing Xuan"/>
        <s v="TIFFANY LING YUN TING"/>
        <s v="ELVIS YEK ZHU XIANG"/>
        <s v="Eric Tiong Yiong Jiun"/>
        <s v="Edric Sia Ting Chen"/>
        <s v="Cayla Loh Yu Xuan"/>
        <s v="Liong Zi Yang"/>
        <s v="richie louis chieng jin jie"/>
        <s v="Gabriel Hung Tuan Zhi"/>
        <s v="Joanna Ling Zhi Hui"/>
        <s v="Phoebe Yeo kai Lu"/>
        <s v="Tang Xu Wen"/>
        <s v="Tang Yun Sey"/>
        <s v="Tang Shue Yean"/>
        <m/>
      </sharedItems>
    </cacheField>
    <cacheField name="Part I - Submission_score" numFmtId="0">
      <sharedItems containsString="0" containsBlank="1" containsNumber="1" containsInteger="1">
        <m/>
        <n v="10.0"/>
        <n v="7.0"/>
        <n v="8.0"/>
        <n v="6.0"/>
        <n v="9.0"/>
      </sharedItems>
    </cacheField>
    <cacheField name="Part II - Submission_score" numFmtId="0">
      <sharedItems containsString="0" containsBlank="1" containsNumber="1">
        <m/>
        <n v="10.0"/>
        <n v="8.0"/>
        <n v="7.0"/>
        <n v="9.0"/>
        <n v="5.0"/>
        <n v="6.0"/>
        <n v="9.5"/>
      </sharedItems>
    </cacheField>
    <cacheField name="Part III - Submission_score" numFmtId="0">
      <sharedItems containsString="0" containsBlank="1" containsNumber="1" containsInteger="1">
        <m/>
        <n v="8.0"/>
        <n v="10.0"/>
        <n v="7.0"/>
        <n v="9.0"/>
      </sharedItems>
    </cacheField>
    <cacheField name="Closing - Submit final project 🔗_score" numFmtId="0">
      <sharedItems containsString="0" containsBlank="1" containsNumber="1" containsInteger="1">
        <m/>
        <n v="0.0"/>
      </sharedItems>
    </cacheField>
    <cacheField name="A2 Lab - Submit Project_score" numFmtId="0">
      <sharedItems containsString="0" containsBlank="1" containsNumber="1" containsInteger="1">
        <m/>
        <n v="10.0"/>
        <n v="8.0"/>
      </sharedItems>
    </cacheField>
    <cacheField name="B2 Lab - Submit Project_score" numFmtId="0">
      <sharedItems containsString="0" containsBlank="1" containsNumber="1" containsInteger="1">
        <m/>
        <n v="10.0"/>
        <n v="8.0"/>
      </sharedItems>
    </cacheField>
    <cacheField name="C2 Lab - Submit Project_score" numFmtId="0">
      <sharedItems containsString="0" containsBlank="1" containsNumber="1" containsInteger="1">
        <m/>
        <n v="10.0"/>
        <n v="7.0"/>
      </sharedItems>
    </cacheField>
    <cacheField name="D2 Lab - Submit Project_score" numFmtId="0">
      <sharedItems containsString="0" containsBlank="1" containsNumber="1" containsInteger="1">
        <m/>
        <n v="10.0"/>
        <n v="8.0"/>
        <n v="9.0"/>
      </sharedItems>
    </cacheField>
    <cacheField name="E2 Lab - Submit Project_score" numFmtId="0">
      <sharedItems containsString="0" containsBlank="1" containsNumber="1" containsInteger="1">
        <m/>
        <n v="10.0"/>
        <n v="8.0"/>
      </sharedItems>
    </cacheField>
    <cacheField name="F2 Lab - Submit Project_score" numFmtId="0">
      <sharedItems containsString="0" containsBlank="1" containsNumber="1" containsInteger="1">
        <m/>
        <n v="10.0"/>
      </sharedItems>
    </cacheField>
    <cacheField name="G2 Lab - Submit Project_score" numFmtId="0">
      <sharedItems containsString="0" containsBlank="1" containsNumber="1" containsInteger="1">
        <m/>
        <n v="10.0"/>
      </sharedItems>
    </cacheField>
    <cacheField name="H2 Lab - Submit Project_score" numFmtId="0">
      <sharedItems containsString="0" containsBlank="1">
        <m/>
      </sharedItems>
    </cacheField>
    <cacheField name="Project A - Submission_score" numFmtId="0">
      <sharedItems containsString="0" containsBlank="1" containsNumber="1" containsInteger="1">
        <m/>
        <n v="10.0"/>
      </sharedItems>
    </cacheField>
    <cacheField name="Project B - Submission_score" numFmtId="0">
      <sharedItems containsString="0" containsBlank="1" containsNumber="1" containsInteger="1">
        <m/>
        <n v="10.0"/>
      </sharedItems>
    </cacheField>
    <cacheField name="Project C - Submission_score" numFmtId="0">
      <sharedItems containsString="0" containsBlank="1" containsNumber="1" containsInteger="1">
        <m/>
        <n v="10.0"/>
      </sharedItems>
    </cacheField>
    <cacheField name=" Showcase - Submit your Showcase Project 🔗 _score" numFmtId="0">
      <sharedItems containsString="0" containsBlank="1">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Attendance Summary" cacheId="0" dataCaption="" colGrandTotals="0" compact="0" compactData="0">
  <location ref="A1:E200" firstHeaderRow="0" firstDataRow="1" firstDataCol="1"/>
  <pivotFields>
    <pivotField name="Student Name" axis="axisRow" compact="0" outline="0" multipleItemSelectionAllowed="1" showAll="0" sortType="ascending">
      <items>
        <item x="35"/>
        <item x="27"/>
        <item x="65"/>
        <item x="152"/>
        <item x="101"/>
        <item x="43"/>
        <item x="116"/>
        <item x="95"/>
        <item x="157"/>
        <item x="36"/>
        <item x="163"/>
        <item x="32"/>
        <item x="10"/>
        <item x="72"/>
        <item x="6"/>
        <item x="129"/>
        <item x="124"/>
        <item x="136"/>
        <item x="175"/>
        <item x="168"/>
        <item x="155"/>
        <item x="51"/>
        <item x="108"/>
        <item x="61"/>
        <item x="75"/>
        <item x="135"/>
        <item x="169"/>
        <item x="52"/>
        <item x="118"/>
        <item x="13"/>
        <item x="113"/>
        <item x="188"/>
        <item x="114"/>
        <item x="123"/>
        <item x="144"/>
        <item x="156"/>
        <item x="92"/>
        <item x="171"/>
        <item x="68"/>
        <item x="96"/>
        <item x="180"/>
        <item x="0"/>
        <item x="69"/>
        <item x="86"/>
        <item x="186"/>
        <item x="63"/>
        <item x="97"/>
        <item x="76"/>
        <item x="45"/>
        <item x="89"/>
        <item x="141"/>
        <item x="33"/>
        <item x="191"/>
        <item x="93"/>
        <item x="48"/>
        <item x="81"/>
        <item x="28"/>
        <item x="138"/>
        <item x="16"/>
        <item x="12"/>
        <item x="15"/>
        <item x="179"/>
        <item x="176"/>
        <item x="145"/>
        <item x="165"/>
        <item x="105"/>
        <item x="90"/>
        <item x="147"/>
        <item x="21"/>
        <item x="58"/>
        <item x="148"/>
        <item x="170"/>
        <item x="99"/>
        <item x="2"/>
        <item x="19"/>
        <item x="11"/>
        <item x="74"/>
        <item x="20"/>
        <item x="5"/>
        <item x="42"/>
        <item x="146"/>
        <item x="41"/>
        <item x="67"/>
        <item x="107"/>
        <item x="18"/>
        <item x="17"/>
        <item x="177"/>
        <item x="193"/>
        <item x="47"/>
        <item x="29"/>
        <item x="46"/>
        <item x="132"/>
        <item x="87"/>
        <item x="139"/>
        <item x="73"/>
        <item x="187"/>
        <item x="100"/>
        <item x="190"/>
        <item x="194"/>
        <item x="4"/>
        <item x="77"/>
        <item x="126"/>
        <item x="80"/>
        <item x="8"/>
        <item x="98"/>
        <item x="120"/>
        <item x="102"/>
        <item x="192"/>
        <item x="117"/>
        <item x="166"/>
        <item x="149"/>
        <item x="131"/>
        <item x="30"/>
        <item x="9"/>
        <item x="164"/>
        <item x="54"/>
        <item x="60"/>
        <item x="83"/>
        <item x="24"/>
        <item x="140"/>
        <item x="71"/>
        <item x="88"/>
        <item x="133"/>
        <item x="25"/>
        <item x="128"/>
        <item x="59"/>
        <item x="40"/>
        <item x="3"/>
        <item x="137"/>
        <item x="150"/>
        <item x="26"/>
        <item x="94"/>
        <item x="196"/>
        <item x="53"/>
        <item x="112"/>
        <item x="23"/>
        <item x="22"/>
        <item x="195"/>
        <item x="158"/>
        <item x="154"/>
        <item x="111"/>
        <item x="50"/>
        <item x="38"/>
        <item x="122"/>
        <item x="184"/>
        <item x="62"/>
        <item x="125"/>
        <item x="39"/>
        <item x="104"/>
        <item x="178"/>
        <item x="109"/>
        <item x="110"/>
        <item x="134"/>
        <item x="31"/>
        <item x="82"/>
        <item x="64"/>
        <item x="34"/>
        <item x="103"/>
        <item x="49"/>
        <item x="159"/>
        <item x="14"/>
        <item x="153"/>
        <item x="127"/>
        <item x="174"/>
        <item x="143"/>
        <item x="84"/>
        <item x="151"/>
        <item x="66"/>
        <item x="183"/>
        <item x="173"/>
        <item x="57"/>
        <item x="182"/>
        <item x="56"/>
        <item x="91"/>
        <item x="119"/>
        <item x="37"/>
        <item x="130"/>
        <item x="121"/>
        <item x="167"/>
        <item x="106"/>
        <item x="55"/>
        <item x="189"/>
        <item x="7"/>
        <item x="1"/>
        <item x="115"/>
        <item x="79"/>
        <item x="78"/>
        <item x="85"/>
        <item x="44"/>
        <item x="185"/>
        <item x="172"/>
        <item x="162"/>
        <item x="160"/>
        <item x="161"/>
        <item x="181"/>
        <item x="142"/>
        <item x="70"/>
        <item t="default"/>
      </items>
    </pivotField>
    <pivotField name="Date" compact="0" numFmtId="17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Attendance Status" axis="axisCol" dataField="1" compact="0" outline="0" multipleItemSelectionAllowed="1" showAll="0" sortType="ascending">
      <items>
        <item x="0"/>
        <item x="1"/>
        <item x="2"/>
        <item x="3"/>
        <item t="default"/>
      </items>
    </pivotField>
  </pivotFields>
  <rowFields>
    <field x="0"/>
  </rowFields>
  <colFields>
    <field x="2"/>
  </colFields>
  <dataFields>
    <dataField name="COUNTA of Attendance Status" fld="2" subtotal="count" baseField="0"/>
  </dataFields>
</pivotTableDefinition>
</file>

<file path=xl/pivotTables/pivotTable2.xml><?xml version="1.0" encoding="utf-8"?>
<pivotTableDefinition xmlns="http://schemas.openxmlformats.org/spreadsheetml/2006/main" name="Students Progress" cacheId="1" dataCaption="" rowGrandTotals="0" compact="0" compactData="0">
  <location ref="A1:S213" firstHeaderRow="0" firstDataRow="18" firstDataCol="0"/>
  <pivotFields>
    <pivotField name="course_id" compact="0" outline="0" multipleItemSelectionAllowed="1" showAll="0">
      <items>
        <item x="0"/>
        <item x="1"/>
        <item x="2"/>
        <item x="3"/>
        <item x="4"/>
        <item x="5"/>
        <item x="6"/>
        <item x="7"/>
        <item x="8"/>
        <item x="9"/>
        <item x="10"/>
        <item x="11"/>
        <item x="12"/>
        <item x="13"/>
        <item x="14"/>
        <item x="15"/>
        <item x="16"/>
        <item x="17"/>
        <item x="18"/>
        <item t="default"/>
      </items>
    </pivotField>
    <pivotField name="course_name" axis="axisRow" compact="0" outline="0" multipleItemSelectionAllowed="1" showAll="0" sortType="ascending" defaultSubtotal="0">
      <items>
        <item x="18"/>
        <item x="17"/>
        <item x="0"/>
        <item x="13"/>
        <item x="8"/>
        <item x="7"/>
        <item x="11"/>
        <item x="10"/>
        <item x="12"/>
        <item x="16"/>
        <item x="1"/>
        <item x="2"/>
        <item x="5"/>
        <item x="3"/>
        <item x="4"/>
        <item x="9"/>
        <item x="6"/>
        <item x="15"/>
        <item x="14"/>
      </items>
    </pivotField>
    <pivotField name="stud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name="student_name" axis="axisRow" compact="0" outline="0" multipleItemSelectionAllowed="1" showAll="0" sortType="ascending" defaultSubtotal="0">
      <items>
        <item x="211"/>
        <item x="121"/>
        <item x="184"/>
        <item x="168"/>
        <item x="167"/>
        <item x="137"/>
        <item x="142"/>
        <item x="190"/>
        <item x="115"/>
        <item x="108"/>
        <item x="18"/>
        <item x="20"/>
        <item x="31"/>
        <item x="59"/>
        <item x="176"/>
        <item x="170"/>
        <item x="40"/>
        <item x="175"/>
        <item x="155"/>
        <item x="193"/>
        <item x="72"/>
        <item x="116"/>
        <item x="180"/>
        <item x="120"/>
        <item x="52"/>
        <item x="163"/>
        <item x="192"/>
        <item x="189"/>
        <item x="49"/>
        <item x="146"/>
        <item x="64"/>
        <item x="117"/>
        <item x="119"/>
        <item x="147"/>
        <item x="150"/>
        <item x="14"/>
        <item x="202"/>
        <item x="61"/>
        <item x="139"/>
        <item x="99"/>
        <item x="136"/>
        <item x="156"/>
        <item x="128"/>
        <item x="13"/>
        <item x="173"/>
        <item x="81"/>
        <item x="145"/>
        <item x="71"/>
        <item x="191"/>
        <item x="82"/>
        <item x="45"/>
        <item x="15"/>
        <item x="23"/>
        <item x="29"/>
        <item x="201"/>
        <item x="92"/>
        <item x="8"/>
        <item x="67"/>
        <item x="54"/>
        <item x="162"/>
        <item x="6"/>
        <item x="148"/>
        <item x="199"/>
        <item x="153"/>
        <item x="200"/>
        <item x="196"/>
        <item x="42"/>
        <item x="105"/>
        <item x="172"/>
        <item x="149"/>
        <item x="3"/>
        <item x="74"/>
        <item x="154"/>
        <item x="197"/>
        <item x="76"/>
        <item x="39"/>
        <item x="166"/>
        <item x="66"/>
        <item x="103"/>
        <item x="16"/>
        <item x="107"/>
        <item x="152"/>
        <item x="186"/>
        <item x="205"/>
        <item x="94"/>
        <item x="86"/>
        <item x="26"/>
        <item x="44"/>
        <item x="33"/>
        <item x="48"/>
        <item x="123"/>
        <item x="129"/>
        <item x="10"/>
        <item x="56"/>
        <item x="37"/>
        <item x="185"/>
        <item x="98"/>
        <item x="165"/>
        <item x="177"/>
        <item x="160"/>
        <item x="77"/>
        <item x="109"/>
        <item x="21"/>
        <item x="88"/>
        <item x="79"/>
        <item x="112"/>
        <item x="135"/>
        <item x="51"/>
        <item x="7"/>
        <item x="100"/>
        <item x="5"/>
        <item x="171"/>
        <item x="38"/>
        <item x="179"/>
        <item x="2"/>
        <item x="43"/>
        <item x="24"/>
        <item x="91"/>
        <item x="206"/>
        <item x="161"/>
        <item x="106"/>
        <item x="35"/>
        <item x="11"/>
        <item x="134"/>
        <item x="133"/>
        <item x="143"/>
        <item x="169"/>
        <item x="125"/>
        <item x="126"/>
        <item x="182"/>
        <item x="164"/>
        <item x="78"/>
        <item x="187"/>
        <item x="19"/>
        <item x="130"/>
        <item x="73"/>
        <item x="80"/>
        <item x="195"/>
        <item x="70"/>
        <item x="188"/>
        <item x="75"/>
        <item x="194"/>
        <item x="60"/>
        <item x="203"/>
        <item x="57"/>
        <item x="118"/>
        <item x="12"/>
        <item x="181"/>
        <item x="90"/>
        <item x="22"/>
        <item x="158"/>
        <item x="62"/>
        <item x="144"/>
        <item x="83"/>
        <item x="58"/>
        <item x="0"/>
        <item x="1"/>
        <item x="141"/>
        <item x="30"/>
        <item x="151"/>
        <item x="159"/>
        <item x="111"/>
        <item x="174"/>
        <item x="101"/>
        <item x="113"/>
        <item x="65"/>
        <item x="110"/>
        <item x="95"/>
        <item x="55"/>
        <item x="46"/>
        <item x="104"/>
        <item x="207"/>
        <item x="102"/>
        <item x="53"/>
        <item x="68"/>
        <item x="34"/>
        <item x="204"/>
        <item x="114"/>
        <item x="63"/>
        <item x="32"/>
        <item x="87"/>
        <item x="84"/>
        <item x="9"/>
        <item x="85"/>
        <item x="96"/>
        <item x="36"/>
        <item x="69"/>
        <item x="25"/>
        <item x="50"/>
        <item x="210"/>
        <item x="208"/>
        <item x="209"/>
        <item x="122"/>
        <item x="93"/>
        <item x="89"/>
        <item x="198"/>
        <item x="157"/>
        <item x="140"/>
        <item x="4"/>
        <item x="27"/>
        <item x="28"/>
        <item x="132"/>
        <item x="127"/>
        <item x="131"/>
        <item x="41"/>
        <item x="97"/>
        <item x="47"/>
        <item x="178"/>
        <item x="138"/>
        <item x="124"/>
        <item x="183"/>
        <item x="17"/>
      </items>
    </pivotField>
    <pivotField name="Part I - Submission_score" axis="axisRow" compact="0" outline="0" multipleItemSelectionAllowed="1" showAll="0" sortType="ascending" defaultSubtotal="0">
      <items>
        <item x="0"/>
        <item x="4"/>
        <item x="2"/>
        <item x="3"/>
        <item x="5"/>
        <item x="1"/>
      </items>
    </pivotField>
    <pivotField name="Part II - Submission_score" axis="axisRow" compact="0" outline="0" multipleItemSelectionAllowed="1" showAll="0" sortType="ascending" defaultSubtotal="0">
      <items>
        <item x="0"/>
        <item x="5"/>
        <item x="6"/>
        <item x="3"/>
        <item x="2"/>
        <item x="4"/>
        <item x="7"/>
        <item x="1"/>
      </items>
    </pivotField>
    <pivotField name="Part III - Submission_score" axis="axisRow" compact="0" outline="0" multipleItemSelectionAllowed="1" showAll="0" sortType="ascending" defaultSubtotal="0">
      <items>
        <item x="0"/>
        <item x="3"/>
        <item x="1"/>
        <item x="4"/>
        <item x="2"/>
      </items>
    </pivotField>
    <pivotField name="Closing - Submit final project 🔗_score" axis="axisRow" compact="0" outline="0" multipleItemSelectionAllowed="1" showAll="0" sortType="ascending" defaultSubtotal="0">
      <items>
        <item x="0"/>
        <item x="1"/>
      </items>
    </pivotField>
    <pivotField name="A2 Lab - Submit Project_score" axis="axisRow" compact="0" outline="0" multipleItemSelectionAllowed="1" showAll="0" sortType="ascending" defaultSubtotal="0">
      <items>
        <item x="0"/>
        <item x="2"/>
        <item x="1"/>
      </items>
    </pivotField>
    <pivotField name="B2 Lab - Submit Project_score" axis="axisRow" compact="0" outline="0" multipleItemSelectionAllowed="1" showAll="0" sortType="ascending" defaultSubtotal="0">
      <items>
        <item x="0"/>
        <item x="2"/>
        <item x="1"/>
      </items>
    </pivotField>
    <pivotField name="C2 Lab - Submit Project_score" axis="axisRow" compact="0" outline="0" multipleItemSelectionAllowed="1" showAll="0" sortType="ascending" defaultSubtotal="0">
      <items>
        <item x="0"/>
        <item x="2"/>
        <item x="1"/>
      </items>
    </pivotField>
    <pivotField name="D2 Lab - Submit Project_score" axis="axisRow" compact="0" outline="0" multipleItemSelectionAllowed="1" showAll="0" sortType="ascending" defaultSubtotal="0">
      <items>
        <item x="0"/>
        <item x="2"/>
        <item x="3"/>
        <item x="1"/>
      </items>
    </pivotField>
    <pivotField name="E2 Lab - Submit Project_score" axis="axisRow" compact="0" outline="0" multipleItemSelectionAllowed="1" showAll="0" sortType="ascending" defaultSubtotal="0">
      <items>
        <item x="0"/>
        <item x="2"/>
        <item x="1"/>
      </items>
    </pivotField>
    <pivotField name="F2 Lab - Submit Project_score" axis="axisRow" compact="0" outline="0" multipleItemSelectionAllowed="1" showAll="0" sortType="ascending" defaultSubtotal="0">
      <items>
        <item x="0"/>
        <item x="1"/>
      </items>
    </pivotField>
    <pivotField name="G2 Lab - Submit Project_score" axis="axisRow" compact="0" outline="0" multipleItemSelectionAllowed="1" showAll="0" sortType="ascending" defaultSubtotal="0">
      <items>
        <item x="0"/>
        <item x="1"/>
      </items>
    </pivotField>
    <pivotField name="H2 Lab - Submit Project_score" axis="axisRow" compact="0" outline="0" multipleItemSelectionAllowed="1" showAll="0" sortType="ascending" defaultSubtotal="0">
      <items>
        <item x="0"/>
      </items>
    </pivotField>
    <pivotField name="Project A - Submission_score" axis="axisRow" compact="0" outline="0" multipleItemSelectionAllowed="1" showAll="0" sortType="ascending" defaultSubtotal="0">
      <items>
        <item x="0"/>
        <item x="1"/>
      </items>
    </pivotField>
    <pivotField name="Project B - Submission_score" axis="axisRow" compact="0" outline="0" multipleItemSelectionAllowed="1" showAll="0" sortType="ascending" defaultSubtotal="0">
      <items>
        <item x="0"/>
        <item x="1"/>
      </items>
    </pivotField>
    <pivotField name="Project C - Submission_score" axis="axisRow" compact="0" outline="0" multipleItemSelectionAllowed="1" showAll="0" sortType="ascending" defaultSubtotal="0">
      <items>
        <item x="0"/>
        <item x="1"/>
      </items>
    </pivotField>
    <pivotField name=" Showcase - Submit your Showcase Project 🔗 _score" axis="axisRow" compact="0" outline="0" multipleItemSelectionAllowed="1" showAll="0" sortType="ascending">
      <items>
        <item x="0"/>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s>
  <rowFields>
    <field x="3"/>
    <field x="1"/>
    <field x="4"/>
    <field x="5"/>
    <field x="6"/>
    <field x="8"/>
    <field x="9"/>
    <field x="10"/>
    <field x="11"/>
    <field x="12"/>
    <field x="13"/>
    <field x="14"/>
    <field x="15"/>
    <field x="7"/>
    <field x="16"/>
    <field x="17"/>
    <field x="18"/>
    <field x="19"/>
  </rowFields>
</pivotTableDefinition>
</file>

<file path=xl/tables/table1.xml><?xml version="1.0" encoding="utf-8"?>
<table xmlns="http://schemas.openxmlformats.org/spreadsheetml/2006/main" headerRowCount="0" ref="B14:C23" displayName="Table_1" name="Table_1" id="1">
  <tableColumns count="2">
    <tableColumn name="Column1" id="1"/>
    <tableColumn name="Column2" id="2"/>
  </tableColumns>
  <tableStyleInfo name="Students Number-style" showColumnStripes="0" showFirstColumn="1" showLastColumn="1" showRowStripes="1"/>
</table>
</file>

<file path=xl/tables/table2.xml><?xml version="1.0" encoding="utf-8"?>
<table xmlns="http://schemas.openxmlformats.org/spreadsheetml/2006/main" ref="A1:AA1252" displayName="Students_Details" name="Students_Details" id="2">
  <autoFilter ref="$A$1:$AA$1252">
    <filterColumn colId="2">
      <filters>
        <filter val="Active"/>
      </filters>
    </filterColumn>
  </autoFilter>
  <tableColumns count="27">
    <tableColumn name="No" id="1"/>
    <tableColumn name="Student Name" id="2"/>
    <tableColumn name="Status" id="3"/>
    <tableColumn name="Date Active" id="4"/>
    <tableColumn name="Date Deactivated" id="5"/>
    <tableColumn name="Timeslot" id="6"/>
    <tableColumn name="Location" id="7"/>
    <tableColumn name="Mentor" id="8"/>
    <tableColumn name="Date Activated" id="9"/>
    <tableColumn name="Current Course" id="10"/>
    <tableColumn name="Reflected" id="11"/>
    <tableColumn name="Issue" id="12"/>
    <tableColumn name="Week Since _x000a_Course Started" id="13"/>
    <tableColumn name="Previous Course" id="14"/>
    <tableColumn name="Remark" id="15"/>
    <tableColumn name="History Log" id="16"/>
    <tableColumn name="No Problem" id="17"/>
    <tableColumn name="Estimated End" id="18"/>
    <tableColumn name="Jun Showcase" id="19"/>
    <tableColumn name="Whatsapp Group Name" id="20"/>
    <tableColumn name="2025 Update #" id="21"/>
    <tableColumn name="Jan Update #" id="22"/>
    <tableColumn name="Feb Update #" id="23"/>
    <tableColumn name="Mar Update" id="24"/>
    <tableColumn name="Apr Update" id="25"/>
    <tableColumn name="#" id="26"/>
    <tableColumn name="2026 Update #" id="27"/>
  </tableColumns>
  <tableStyleInfo name="CBK Students-style" showColumnStripes="0" showFirstColumn="1" showLastColumn="1" showRowStripes="1"/>
</table>
</file>

<file path=xl/tables/table3.xml><?xml version="1.0" encoding="utf-8"?>
<table xmlns="http://schemas.openxmlformats.org/spreadsheetml/2006/main" headerRowCount="0" ref="A1:S1" displayName="Table1" name="Table1" id="3">
  <autoFilter ref="$A$1:$S$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Project Showcas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C63" displayName="Table_2" name="Table_2" id="4">
  <tableColumns count="3">
    <tableColumn name="Column1" id="1"/>
    <tableColumn name="Column2" id="2"/>
    <tableColumn name="Column3" id="3"/>
  </tableColumns>
  <tableStyleInfo name="Project Showcase-style 2" showColumnStripes="0" showFirstColumn="1" showLastColumn="1" showRowStripes="1"/>
</table>
</file>

<file path=xl/tables/table5.xml><?xml version="1.0" encoding="utf-8"?>
<table xmlns="http://schemas.openxmlformats.org/spreadsheetml/2006/main" headerRowCount="0" ref="G2:H63" displayName="Table_3" name="Table_3" id="5">
  <tableColumns count="2">
    <tableColumn name="Column1" id="1"/>
    <tableColumn name="Column2" id="2"/>
  </tableColumns>
  <tableStyleInfo name="Project Showcase-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14" dT="2025-08-27T05:51:24.00" personId="{e2a449a1-8345-46e4-84bf-d1e9d7e8954e}" id="{7fe4ed99-d17c-40a4-a17f-822b97d3df5a}" done="0">
    <x18tc:text xml:space="preserve">@gohkiong87@gmail.com Update Reminder
Assigned to gohkiong87@gmail.com</x18tc:text>
    <x18tc:mentions>
      <x18tc:mention mentionpersonId="{5a40bedf-8850-45a0-8457-45989eaf5288}" mentionId="{76daa78e-b087-4a9c-8c00-e2efd2569ab1}" startIndex="0" length="21"/>
    </x18tc:mentions>
  </x18tc:threadedComment>
  <x18tc:threadedComment ref="L140" dT="2025-08-25T02:16:54.00" personId="{09fca50f-65ab-47c0-8e35-ca4e71c96ff4}" id="{d48194af-9c6d-47b2-a8fb-cb7b117d2322}" done="1">
    <x18tc:text xml:space="preserve">@lime6199@gmail.com 
Is this solved?</x18tc:text>
    <x18tc:mentions>
      <x18tc:mention mentionpersonId="{eed2cdd8-9ada-4d29-92e5-de6bacdbca30}" mentionId="{46b6ca59-719e-49cb-bcda-ee101d89137f}" startIndex="0" length="19"/>
    </x18tc:mentions>
  </x18tc:threadedComment>
  <x18tc:threadedComment ref="L234" dT="2026-01-05T02:42:04.00" personId="{09fca50f-65ab-47c0-8e35-ca4e71c96ff4}" id="{6b038421-5464-4aae-8b7d-854552d334fc}" done="0">
    <x18tc:text xml:space="preserve">@reagantongzilik@gmail.com 
changing timeslot</x18tc:text>
    <x18tc:mentions>
      <x18tc:mention mentionpersonId="{36dc05e1-a212-4396-b3e5-940c7614ad05}" mentionId="{521eeda9-1d72-4c1d-84bd-b259fd989f56}" startIndex="0" length="26"/>
    </x18tc:mentions>
  </x18tc:threadedComment>
  <x18tc:threadedComment ref="L233" dT="2026-01-05T02:41:53.00" personId="{09fca50f-65ab-47c0-8e35-ca4e71c96ff4}" id="{dc27a958-6cc2-4b72-9042-8611774fa73d}" done="0">
    <x18tc:text xml:space="preserve">@reagantongzilik@gmail.com 
changing timeslot</x18tc:text>
    <x18tc:mentions>
      <x18tc:mention mentionpersonId="{36dc05e1-a212-4396-b3e5-940c7614ad05}" mentionId="{91dba703-932d-43a8-8f22-75df43542523}" startIndex="0" length="26"/>
    </x18tc:mentions>
  </x18tc:threadedComment>
  <x18tc:threadedComment ref="F29" dT="2025-11-25T02:56:22.00" personId="{09fca50f-65ab-47c0-8e35-ca4e71c96ff4}" id="{52b8c15c-0635-4cf9-84d9-8b9e9f514b15}" done="1">
    <x18tc:text xml:space="preserve">will change to 10am to 11am timeslot in 2026</x18tc:text>
  </x18tc:threadedComment>
  <x18tc:threadedComment ref="L3" dT="2026-01-02T01:53:44.00" personId="{09fca50f-65ab-47c0-8e35-ca4e71c96ff4}" id="{75e97e26-a3e9-422b-b167-2bc227b58fd0}" done="0">
    <x18tc:text xml:space="preserve">@lime6199@gmail.com 
changing timeslot</x18tc:text>
    <x18tc:mentions>
      <x18tc:mention mentionpersonId="{eed2cdd8-9ada-4d29-92e5-de6bacdbca30}" mentionId="{8191d851-35aa-40f0-8089-a751c821d807}" startIndex="0" length="19"/>
    </x18tc:mentions>
  </x18tc:threadedComment>
  <x18tc:threadedComment ref="L29" dT="2025-12-22T01:49:07.00" personId="{09fca50f-65ab-47c0-8e35-ca4e71c96ff4}" id="{f99cfaa0-66cf-4946-8d4b-4895b186f9ac}" done="1">
    <x18tc:text xml:space="preserve">@mandyszl0315@gmail.com 
@limcaleb4110@gmail.com 
student change timeslot</x18tc:text>
    <x18tc:mentions>
      <x18tc:mention mentionpersonId="{38247691-10cb-4735-8e46-4680669c4d45}" mentionId="{080653c9-96b8-4b8a-b56d-3141636cfdd5}" startIndex="0" length="23"/>
      <x18tc:mention mentionpersonId="{d1277a69-8fad-4027-8d7a-e9dad9523eba}" mentionId="{d81a9976-c6df-4c1e-9d70-5b7979e15bbc}" startIndex="25" length="23"/>
    </x18tc:mentions>
  </x18tc:threadedComment>
  <x18tc:threadedComment ref="L120" dT="2025-12-22T01:48:18.00" personId="{09fca50f-65ab-47c0-8e35-ca4e71c96ff4}" id="{c3693231-1e4b-4d0b-a18f-2668a582bcad}" done="0">
    <x18tc:text xml:space="preserve">@kerryliong97@gmail.com 
@limcaleb4110@gmail.com 
student change timeslot</x18tc:text>
    <x18tc:mentions>
      <x18tc:mention mentionpersonId="{75652147-1624-4753-897f-974eb04201d3}" mentionId="{3ee30163-2576-4811-a292-3c6270e8298b}" startIndex="0" length="23"/>
      <x18tc:mention mentionpersonId="{d1277a69-8fad-4027-8d7a-e9dad9523eba}" mentionId="{ba6f9c6b-eaac-4d82-b35d-8194f59d0314}" startIndex="25" length="23"/>
    </x18tc:mentions>
  </x18tc:threadedComment>
  <x18tc:threadedComment ref="L263" dT="2025-09-03T01:25:36.00" personId="{09fca50f-65ab-47c0-8e35-ca4e71c96ff4}" id="{bce6873c-1546-4a32-a4f8-124abb1f12ce}" done="1">
    <x18tc:text xml:space="preserve">@limcaleb4110@gmail.com @evelynwongyuyan06@gmail.com 
new student</x18tc:text>
    <x18tc:mentions>
      <x18tc:mention mentionpersonId="{d1277a69-8fad-4027-8d7a-e9dad9523eba}" mentionId="{fc75c913-bf03-468d-b8b8-113e60a52031}" startIndex="0" length="23"/>
      <x18tc:mention mentionpersonId="{2c76770a-2290-4518-980f-ead7129609cc}" mentionId="{024a89ac-9693-4b2c-996f-6eb1ae9a734c}" startIndex="24" length="28"/>
    </x18tc:mentions>
  </x18tc:threadedComment>
  <x18tc:threadedComment ref="L75" dT="2025-10-18T00:45:14.00" personId="{09fca50f-65ab-47c0-8e35-ca4e71c96ff4}" id="{cd9d562b-d71c-4515-93b5-58e13a7a071c}" done="1">
    <x18tc:text xml:space="preserve">@mandyszl0315@gmail.com 
@limcaleb4110@gmail.com</x18tc:text>
    <x18tc:mentions>
      <x18tc:mention mentionpersonId="{38247691-10cb-4735-8e46-4680669c4d45}" mentionId="{7de2e8ab-f088-4138-a555-e16eacd8ddcd}" startIndex="0" length="23"/>
      <x18tc:mention mentionpersonId="{d1277a69-8fad-4027-8d7a-e9dad9523eba}" mentionId="{ebc1f837-fe64-4c45-a576-07669fcfb449}" startIndex="25" length="23"/>
    </x18tc:mentions>
  </x18tc:threadedComment>
  <x18tc:threadedComment ref="L236" dT="2025-08-28T01:10:19.00" personId="{e2a449a1-8345-46e4-84bf-d1e9d7e8954e}" id="{6e6e894b-5f2e-4e12-9cdd-785c9e453ec3}" done="0">
    <x18tc:text xml:space="preserve">@kerryliong97@gmail.com
Assigned to kerryliong97@gmail.com</x18tc:text>
    <x18tc:mentions>
      <x18tc:mention mentionpersonId="{75652147-1624-4753-897f-974eb04201d3}" mentionId="{0e47ff3b-34e8-4f45-8862-bfd0b2fe0a13}" startIndex="0" length="23"/>
    </x18tc:mentions>
  </x18tc:threadedComment>
  <x18tc:threadedComment ref="L119" dT="2025-12-22T01:47:57.00" personId="{09fca50f-65ab-47c0-8e35-ca4e71c96ff4}" id="{410ef0a3-002e-44d3-9bcc-a9ac17514443}" done="0">
    <x18tc:text xml:space="preserve">@kerryliong97@gmail.com 
@limcaleb4110@gmail.com 
student change timeslot</x18tc:text>
    <x18tc:mentions>
      <x18tc:mention mentionpersonId="{75652147-1624-4753-897f-974eb04201d3}" mentionId="{97f2692d-1a73-43ff-afe3-ddd8317be1cb}" startIndex="0" length="23"/>
      <x18tc:mention mentionpersonId="{d1277a69-8fad-4027-8d7a-e9dad9523eba}" mentionId="{f6823284-ac54-4525-891c-fc0a6ec0e77b}" startIndex="25" length="23"/>
    </x18tc:mentions>
  </x18tc:threadedComment>
  <x18tc:threadedComment ref="L250" dT="2025-10-01T01:41:01.00" personId="{09fca50f-65ab-47c0-8e35-ca4e71c96ff4}" id="{9277a18b-68c4-4a36-bfe0-25f288a3f5e6}" done="1">
    <x18tc:text xml:space="preserve">@mandyszl0315@gmail.com @limcaleb4110@gmail.com</x18tc:text>
    <x18tc:mentions>
      <x18tc:mention mentionpersonId="{38247691-10cb-4735-8e46-4680669c4d45}" mentionId="{de3db350-bb80-459e-97b3-364f988a897f}" startIndex="0" length="23"/>
      <x18tc:mention mentionpersonId="{d1277a69-8fad-4027-8d7a-e9dad9523eba}" mentionId="{4185cc5b-dbf1-40ee-ae48-f81f87bdd9ab}" startIndex="24" length="23"/>
    </x18tc:mentions>
  </x18tc:threadedComment>
  <x18tc:threadedComment ref="L236" dT="2025-08-27T06:24:57.00" personId="{e2a449a1-8345-46e4-84bf-d1e9d7e8954e}" id="{8c9aec9f-e59b-435b-99bd-659d26161028}" done="1">
    <x18tc:text xml:space="preserve">@kerryliong97@gmail.com
Assigned to kerryliong97@gmail.com</x18tc:text>
    <x18tc:mentions>
      <x18tc:mention mentionpersonId="{75652147-1624-4753-897f-974eb04201d3}" mentionId="{6f91285b-9182-4c92-a815-99c1edcbcb71}" startIndex="0" length="23"/>
    </x18tc:mentions>
  </x18tc:threadedComment>
  <x18tc:threadedComment ref="L76" dT="2025-08-27T05:54:46.00" personId="{e2a449a1-8345-46e4-84bf-d1e9d7e8954e}" id="{408ae795-42f9-40ef-a73c-af40c0e3bef3}" done="1">
    <x18tc:text xml:space="preserve">@woeihan1999@gmail.com
Assigned to woeihan1999@gmail.com</x18tc:text>
    <x18tc:mentions>
      <x18tc:mention mentionpersonId="{07424251-5f2c-4876-839c-a422b9e6a7b0}" mentionId="{fe6af644-0cb0-466e-9c6f-b5646e80b60a}" startIndex="0" length="22"/>
    </x18tc:mentions>
  </x18tc:threadedComment>
  <x18tc:threadedComment ref="L39" dT="2026-01-12T02:17:17.00" personId="{09fca50f-65ab-47c0-8e35-ca4e71c96ff4}" id="{2df4e1d9-df77-4e99-951a-3466df00e764}" done="0">
    <x18tc:text xml:space="preserve">@mandyszl0315@gmail.com</x18tc:text>
    <x18tc:mentions>
      <x18tc:mention mentionpersonId="{38247691-10cb-4735-8e46-4680669c4d45}" mentionId="{3d8b77bf-4e03-459b-8edc-8ca9b261fd31}" startIndex="0" length="23"/>
    </x18tc:mentions>
  </x18tc:threadedComment>
  <x18tc:threadedComment ref="L118" dT="2025-11-07T02:35:44.00" personId="{09fca50f-65ab-47c0-8e35-ca4e71c96ff4}" id="{6f5af820-2eee-4077-83c7-d9e37c05a3d2}" done="1">
    <x18tc:text xml:space="preserve">@reagantongzilik@gmail.com</x18tc:text>
    <x18tc:mentions>
      <x18tc:mention mentionpersonId="{36dc05e1-a212-4396-b3e5-940c7614ad05}" mentionId="{c4177bf2-4807-41f9-ab8b-9a1a77f589f6}" startIndex="0" length="26"/>
    </x18tc:mentions>
  </x18tc:threadedComment>
  <x18tc:threadedComment ref="L54" dT="2025-11-06T01:20:25.00" personId="{09fca50f-65ab-47c0-8e35-ca4e71c96ff4}" id="{fa695c05-9329-4f35-b47c-666613647678}" done="1">
    <x18tc:text xml:space="preserve">@vincenttiongw@gmail.com
new student</x18tc:text>
    <x18tc:mentions>
      <x18tc:mention mentionpersonId="{23abb9d4-ddd5-47db-a0d1-d9ee8fd80a60}" mentionId="{0bff937e-f78d-4f82-accc-5cf429441a14}" startIndex="0" length="24"/>
    </x18tc:mentions>
  </x18tc:threadedComment>
  <x18tc:threadedComment ref="L3" dT="2025-08-30T04:23:35.00" personId="{09fca50f-65ab-47c0-8e35-ca4e71c96ff4}" id="{b1faf49e-2792-4cba-8906-369d462231b0}" done="1">
    <x18tc:text xml:space="preserve">@lime6199@gmail.com
Assigned to lime6199@gmail.com</x18tc:text>
    <x18tc:mentions>
      <x18tc:mention mentionpersonId="{eed2cdd8-9ada-4d29-92e5-de6bacdbca30}" mentionId="{b7ce2c1d-a4d9-4b11-8c7b-4ec37caa7888}" startIndex="0" length="19"/>
    </x18tc:mentions>
  </x18tc:threadedComment>
  <x18tc:threadedComment ref="L17" dT="2026-01-05T00:25:27.00" personId="{09fca50f-65ab-47c0-8e35-ca4e71c96ff4}" id="{ba2ea757-4c74-455b-a2fb-11dc741c268c}" done="0">
    <x18tc:text xml:space="preserve">@kerryliong97@gmail.com 
changing timeslot</x18tc:text>
    <x18tc:mentions>
      <x18tc:mention mentionpersonId="{75652147-1624-4753-897f-974eb04201d3}" mentionId="{0a794c8e-11af-4b93-a538-76a6cb9941aa}" startIndex="0" length="23"/>
    </x18tc:mentions>
  </x18tc:threadedComment>
  <x18tc:threadedComment ref="L58" dT="2025-11-06T01:20:17.00" personId="{09fca50f-65ab-47c0-8e35-ca4e71c96ff4}" id="{6a8836b2-16d0-40e4-b1c3-c48af902f8ba}" done="1">
    <x18tc:text xml:space="preserve">@kerryliong97@gmail.com 
new student</x18tc:text>
    <x18tc:mentions>
      <x18tc:mention mentionpersonId="{75652147-1624-4753-897f-974eb04201d3}" mentionId="{a09c575e-e734-444a-a0d9-1a8f492c0549}" startIndex="0" length="23"/>
    </x18tc:mentions>
  </x18tc:threadedComment>
  <x18tc:threadedComment ref="L191" dT="2025-08-12T02:24:48.00" personId="{09fca50f-65ab-47c0-8e35-ca4e71c96ff4}" id="{0984faa5-5f4d-4c33-b29d-6a6e1f4be966}" done="1">
    <x18tc:text xml:space="preserve">@limcaleb0114@gmail.com 
new student</x18tc:text>
    <x18tc:mentions>
      <x18tc:mention mentionpersonId="{ce75027a-2d82-4861-a385-6cf500ece239}" mentionId="{336e8668-bab8-4f48-8cfb-6dd4893b15f1}" startIndex="0" length="23"/>
    </x18tc:mentions>
  </x18tc:threadedComment>
  <x18tc:threadedComment ref="L173" dT="2025-11-12T01:25:54.00" personId="{09fca50f-65ab-47c0-8e35-ca4e71c96ff4}" id="{c1cd87ed-5a6f-4afb-96bf-2e75b2ca89cd}" done="1">
    <x18tc:text xml:space="preserve">@mandyszl0315@gmail.com @lime6199@gmail.com</x18tc:text>
    <x18tc:mentions>
      <x18tc:mention mentionpersonId="{38247691-10cb-4735-8e46-4680669c4d45}" mentionId="{833cd773-c3e0-4478-93a6-e4a42d2168bb}" startIndex="0" length="23"/>
      <x18tc:mention mentionpersonId="{eed2cdd8-9ada-4d29-92e5-de6bacdbca30}" mentionId="{236e6b05-2f3d-4c83-a164-7e0d807fc048}" startIndex="24" length="19"/>
    </x18tc:mentions>
  </x18tc:threadedComment>
  <x18tc:threadedComment ref="L4" dT="2025-12-23T06:32:11.00" personId="{09fca50f-65ab-47c0-8e35-ca4e71c96ff4}" id="{dc063332-71ef-4770-a0a1-475d91c737b5}" done="0">
    <x18tc:text xml:space="preserve">@lime6199@gmail.com</x18tc:text>
    <x18tc:mentions>
      <x18tc:mention mentionpersonId="{eed2cdd8-9ada-4d29-92e5-de6bacdbca30}" mentionId="{4a2bda53-f347-4e39-ab12-d27bd2c20d34}" startIndex="0" length="19"/>
    </x18tc:mentions>
  </x18tc:threadedComment>
  <x18tc:threadedComment ref="L232" dT="2026-01-05T02:42:09.00" personId="{09fca50f-65ab-47c0-8e35-ca4e71c96ff4}" id="{f1c05d63-85f1-47f8-9c8a-7e9c6cebc46c}" done="0">
    <x18tc:text xml:space="preserve">@reagantongzilik@gmail.com 
changing timeslot</x18tc:text>
    <x18tc:mentions>
      <x18tc:mention mentionpersonId="{36dc05e1-a212-4396-b3e5-940c7614ad05}" mentionId="{14781fb4-c737-4ec1-8e6a-3173854cb857}" startIndex="0" length="26"/>
    </x18tc:mentions>
  </x18tc:threadedComment>
  <x18tc:threadedComment ref="L127" dT="2025-08-25T02:16:12.00" personId="{09fca50f-65ab-47c0-8e35-ca4e71c96ff4}" id="{d1cbe043-2244-48d4-9d50-7bda5300f2d5}" done="0">
    <x18tc:text xml:space="preserve">@limcaleb4110@gmail.com 
Evelyn is having difficulty guiding this student, as he does not follow the mentor’s guidance and prefers to work on his own or watch YouTube videos</x18tc:text>
    <x18tc:mentions>
      <x18tc:mention mentionpersonId="{d1277a69-8fad-4027-8d7a-e9dad9523eba}" mentionId="{d3b8c005-5dd1-40ec-88c8-8792986a068d}" startIndex="0" length="23"/>
    </x18tc:mentions>
  </x18tc:threadedComment>
  <x18tc:threadedComment ref="L10" dT="2026-01-04T02:38:25.00" personId="{09fca50f-65ab-47c0-8e35-ca4e71c96ff4}" id="{108da776-b66c-42b6-8f6c-d41315472b65}" done="0">
    <x18tc:text xml:space="preserve">@mandyszl0315@gmail.com 
change timeslot</x18tc:text>
    <x18tc:mentions>
      <x18tc:mention mentionpersonId="{38247691-10cb-4735-8e46-4680669c4d45}" mentionId="{075ae7a1-7316-469b-a2e3-32c4c65291bc}" startIndex="0"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 Id="rId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vJcIm5EX-hKghNryRO8ol7iMbyYg428P/view?usp=drivesdk" TargetMode="External"/><Relationship Id="rId2" Type="http://schemas.openxmlformats.org/officeDocument/2006/relationships/hyperlink" Target="https://drive.google.com/file/d/1n5ZL84FT4jAlYcWyhkiYWoY1YHnn2vvL/view?usp=drivesdk"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script.google.com/macros/s/AKfycbwvXLG3ru42tvp2Se-AS5E0ltkeTmeoAa0LoEPTHBBD76iMDhR92kKwg4jAvvZVoolU/exec" TargetMode="External"/><Relationship Id="rId2" Type="http://schemas.openxmlformats.org/officeDocument/2006/relationships/hyperlink" Target="https://script.google.com/macros/s/AKfycbwzd_Dg5jgUf3YwlxZ-YLV7-bqefN7K8W7eqvMKriKtZlV_S2tO75poosHzK-GKJiGm/exec"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9.29"/>
    <col customWidth="1" min="2" max="11" width="16.71"/>
    <col customWidth="1" min="12" max="12" width="19.57"/>
    <col customWidth="1" min="15" max="15" width="38.43"/>
    <col customWidth="1" min="16" max="16" width="33.43"/>
    <col customWidth="1" min="17" max="17" width="28.29"/>
    <col customWidth="1" min="18" max="18" width="37.71"/>
  </cols>
  <sheetData>
    <row r="1">
      <c r="A1" s="1" t="s">
        <v>0</v>
      </c>
      <c r="B1" s="1" t="s">
        <v>1</v>
      </c>
      <c r="C1" s="1" t="s">
        <v>2</v>
      </c>
      <c r="D1" s="1" t="s">
        <v>3</v>
      </c>
      <c r="E1" s="1" t="s">
        <v>4</v>
      </c>
      <c r="F1" s="1" t="s">
        <v>5</v>
      </c>
      <c r="G1" s="1" t="s">
        <v>6</v>
      </c>
      <c r="H1" s="1" t="s">
        <v>7</v>
      </c>
      <c r="I1" s="1" t="s">
        <v>8</v>
      </c>
      <c r="J1" s="2" t="s">
        <v>9</v>
      </c>
      <c r="K1" s="3" t="s">
        <v>10</v>
      </c>
    </row>
    <row r="2">
      <c r="A2" s="4">
        <f>COUNTIFS('CBK Students'!C:C, "Active", 'CBK Students'!G:G, "Veritas")
</f>
        <v>138</v>
      </c>
      <c r="B2" s="4">
        <f>COUNTIFS('CBK Students'!C:C, "Active", 'CBK Students'!G:G, "Pusat Tuisyen Kampus")</f>
        <v>6</v>
      </c>
      <c r="C2" s="4">
        <f>COUNTIFS('CBK Students'!C:C, "Active", 'CBK Students'!G:G, "SJK(C) Tung Hua")
</f>
        <v>19</v>
      </c>
      <c r="D2" s="4">
        <f>COUNTIFS('CBK Students'!C:C, "Active", 'CBK Students'!G:G, "SJK(C) Chung Hua")</f>
        <v>6</v>
      </c>
      <c r="E2" s="4">
        <f>COUNTIFS('CBK Students'!C:C, "Active", 'CBK Students'!G:G, "SJK(C) Chung Sing")</f>
        <v>6</v>
      </c>
      <c r="F2" s="4">
        <f>COUNTIFS('CBK Students'!C:C, "Active", 'CBK Students'!G:G, "SJK(C) Su Lai")</f>
        <v>10</v>
      </c>
      <c r="G2" s="4">
        <f>COUNTIFS('CBK Students'!C:C, "Active", 'CBK Students'!G:G, "SMK Sacred Heart")</f>
        <v>4</v>
      </c>
      <c r="H2" s="4">
        <f>COUNTIFS('CBK Students'!C:C, "Active", 'CBK Students'!G:G, "Woodlands")</f>
        <v>3</v>
      </c>
      <c r="I2" s="4">
        <f>COUNTIFS('CBK Students'!C:C, "Active", 'CBK Students'!G:G, "SJK(C) Thai Kwang")</f>
        <v>37</v>
      </c>
      <c r="J2" s="4">
        <f>COUNTIFS('CBK Students'!C:C, "Suspended")</f>
        <v>7</v>
      </c>
      <c r="K2" s="4">
        <f>SUM(A2:I2)</f>
        <v>229</v>
      </c>
      <c r="Q2" s="5"/>
    </row>
    <row r="4">
      <c r="A4" s="6" t="s">
        <v>11</v>
      </c>
      <c r="B4" s="6" t="s">
        <v>12</v>
      </c>
      <c r="C4" s="6" t="s">
        <v>13</v>
      </c>
      <c r="D4" s="6" t="s">
        <v>14</v>
      </c>
      <c r="E4" s="6" t="s">
        <v>15</v>
      </c>
      <c r="F4" s="6" t="s">
        <v>16</v>
      </c>
      <c r="G4" s="6" t="s">
        <v>17</v>
      </c>
      <c r="H4" s="6" t="s">
        <v>18</v>
      </c>
      <c r="I4" s="6" t="s">
        <v>19</v>
      </c>
      <c r="J4" s="6"/>
    </row>
    <row r="5">
      <c r="A5" s="7">
        <f>COUNTIFS('CBK Students'!F:F, "1 Mon 7:30-8:30pm",'CBK Students'!C:C, "Active")</f>
        <v>20</v>
      </c>
      <c r="B5" s="7">
        <f>COUNTIFS('CBK Students'!F:F, "2 Wed 7:30-8:30pm",'CBK Students'!C:C, "Active")</f>
        <v>24</v>
      </c>
      <c r="C5" s="7">
        <f>COUNTIFS('CBK Students'!F:F, "3 Thu 7:30-8:30pm",'CBK Students'!C:C, "Active")</f>
        <v>2</v>
      </c>
      <c r="D5" s="7">
        <f>COUNTIFS('CBK Students'!F:F, "4 Sat 9:00-10:00am",'CBK Students'!C:C, "Active")</f>
        <v>12</v>
      </c>
      <c r="E5" s="7">
        <f>COUNTIFS('CBK Students'!F:F, "5 Sat 10:00-11:00am",'CBK Students'!C:C, "Active")</f>
        <v>15</v>
      </c>
      <c r="F5" s="7">
        <f>COUNTIFS('CBK Students'!F:F, "6 Sat 11:00-12:00pm",'CBK Students'!C:C, "Active")</f>
        <v>23</v>
      </c>
      <c r="G5" s="7">
        <f>COUNTIFS('CBK Students'!F:F, "7 Sat 2:00-3:00pm",'CBK Students'!C:C, "Active")</f>
        <v>21</v>
      </c>
      <c r="H5" s="7">
        <f>COUNTIFS('CBK Students'!F:F, "8 Sat 3:00-4:00pm",'CBK Students'!C:C, "Active")</f>
        <v>8</v>
      </c>
      <c r="I5" s="7">
        <f>COUNTIFS('CBK Students'!F:F, "9 Sat 4:00-5:00pm",'CBK Students'!C:C, "Active")</f>
        <v>13</v>
      </c>
      <c r="J5" s="7"/>
      <c r="L5" s="8"/>
    </row>
    <row r="6">
      <c r="A6" s="9"/>
      <c r="B6" s="9"/>
      <c r="C6" s="9"/>
      <c r="D6" s="9"/>
      <c r="E6" s="9"/>
      <c r="F6" s="9"/>
      <c r="G6" s="9"/>
      <c r="H6" s="9"/>
      <c r="I6" s="10"/>
      <c r="J6" s="10"/>
      <c r="Q6" s="5"/>
    </row>
    <row r="7">
      <c r="A7" s="10"/>
      <c r="B7" s="8"/>
      <c r="C7" s="10"/>
      <c r="D7" s="8"/>
      <c r="E7" s="6"/>
      <c r="F7" s="8"/>
      <c r="G7" s="8"/>
      <c r="H7" s="8"/>
      <c r="I7" s="8"/>
      <c r="J7" s="8"/>
    </row>
    <row r="8">
      <c r="E8" s="7"/>
    </row>
    <row r="9">
      <c r="A9" s="11" t="s">
        <v>20</v>
      </c>
      <c r="B9" s="12" t="s">
        <v>21</v>
      </c>
      <c r="C9" s="12" t="s">
        <v>22</v>
      </c>
      <c r="D9" s="12" t="s">
        <v>23</v>
      </c>
      <c r="E9" s="12" t="s">
        <v>24</v>
      </c>
      <c r="F9" s="12" t="s">
        <v>25</v>
      </c>
      <c r="G9" s="12" t="s">
        <v>26</v>
      </c>
      <c r="H9" s="12" t="s">
        <v>27</v>
      </c>
      <c r="I9" s="12" t="s">
        <v>28</v>
      </c>
      <c r="J9" s="12" t="s">
        <v>29</v>
      </c>
      <c r="K9" s="12" t="s">
        <v>30</v>
      </c>
    </row>
    <row r="10">
      <c r="A10" s="13" t="s">
        <v>31</v>
      </c>
      <c r="B10" s="14">
        <f>COUNTIFS(
'CBK Students'!D:D,"&lt;"&amp;DATE(2026,4,1),
'CBK Students'!C:C,"&lt;&gt;Inactive",
'CBK Students'!C:C,"&lt;&gt;Suspended"
)</f>
        <v>187</v>
      </c>
      <c r="C10" s="14">
        <f>COUNTIFS(
'CBK Students'!D:D,"&lt;"&amp;DATE(2026,5,1),
'CBK Students'!C:C,"&lt;&gt;Inactive",
'CBK Students'!C:C,"&lt;&gt;Suspended"
)</f>
        <v>229</v>
      </c>
      <c r="D10" s="14">
        <f>COUNTIFS(
'CBK Students'!D:D,"&lt;"&amp;DATE(2026,6,1),
'CBK Students'!C:C,"&lt;&gt;Inactive",
'CBK Students'!C:C,"&lt;&gt;Suspended"
)</f>
        <v>229</v>
      </c>
      <c r="E10" s="14">
        <f>COUNTIFS(
'CBK Students'!D:D,"&lt;"&amp;DATE(2026,7,1),
'CBK Students'!C:C,"&lt;&gt;Inactive",
'CBK Students'!C:C,"&lt;&gt;Suspended"
)</f>
        <v>229</v>
      </c>
      <c r="F10" s="14">
        <f>COUNTIFS(
'CBK Students'!D:D,"&lt;"&amp;DATE(2026,8,1),
'CBK Students'!C:C,"&lt;&gt;Inactive",
'CBK Students'!C:C,"&lt;&gt;Suspended"
)</f>
        <v>229</v>
      </c>
      <c r="G10" s="14">
        <f>COUNTIFS(
'CBK Students'!D:D,"&lt;"&amp;DATE(2026,9,1),
'CBK Students'!C:C,"&lt;&gt;Inactive",
'CBK Students'!C:C,"&lt;&gt;Suspended"
)</f>
        <v>229</v>
      </c>
      <c r="H10" s="14">
        <f>COUNTIFS(
'CBK Students'!D:D,"&lt;"&amp;DATE(2026,10,1),
'CBK Students'!C:C,"&lt;&gt;Inactive",
'CBK Students'!C:C,"&lt;&gt;Suspended"
)</f>
        <v>229</v>
      </c>
      <c r="I10" s="14">
        <f>COUNTIFS(
'CBK Students'!D:D,"&lt;"&amp;DATE(2026,11,1),
'CBK Students'!C:C,"&lt;&gt;Inactive",
'CBK Students'!C:C,"&lt;&gt;Suspended"
)</f>
        <v>229</v>
      </c>
      <c r="J10" s="14">
        <f>COUNTIFS(
'CBK Students'!D:D,"&lt;"&amp;DATE(2026,12,1),
'CBK Students'!C:C,"&lt;&gt;Inactive",
'CBK Students'!C:C,"&lt;&gt;Suspended"
)</f>
        <v>229</v>
      </c>
      <c r="K10" s="14">
        <f>COUNTIFS(
'CBK Students'!D:D,"&lt;"&amp;DATE(2027,1,1),
'CBK Students'!C:C,"&lt;&gt;Inactive",
'CBK Students'!C:C,"&lt;&gt;Suspended"
)</f>
        <v>229</v>
      </c>
      <c r="Q10" s="5"/>
    </row>
    <row r="11">
      <c r="A11" s="15" t="s">
        <v>32</v>
      </c>
      <c r="B11" s="16">
        <f>COUNTIFS('CBK Students'!D:D,"&gt;="&amp;DATE(2026,3,1),'CBK Students'!D:D,"&lt;"&amp;DATE(2026,4,1))</f>
        <v>20</v>
      </c>
      <c r="C11" s="16">
        <f>COUNTIFS('CBK Students'!D:D,"&gt;="&amp;DATE(2026,4,1),'CBK Students'!D:D,"&lt;"&amp;DATE(2026,5,1))</f>
        <v>44</v>
      </c>
      <c r="D11" s="16">
        <f>COUNTIFS('CBK Students'!D:D,"&gt;="&amp;DATE(2026,5,1),'CBK Students'!D:D,"&lt;"&amp;DATE(2026,6,1))</f>
        <v>0</v>
      </c>
      <c r="E11" s="16">
        <f>COUNTIFS('CBK Students'!D:D,"&gt;="&amp;DATE(2026,6,1),'CBK Students'!D:D,"&lt;"&amp;DATE(2026,7,1))</f>
        <v>0</v>
      </c>
      <c r="F11" s="16">
        <f>COUNTIFS('CBK Students'!D:D,"&gt;="&amp;DATE(2026,7,1),'CBK Students'!D:D,"&lt;"&amp;DATE(2026,8,1))</f>
        <v>0</v>
      </c>
      <c r="G11" s="16">
        <f>COUNTIFS('CBK Students'!D:D,"&gt;="&amp;DATE(2026,8,1),'CBK Students'!D:D,"&lt;"&amp;DATE(2026,9,1))</f>
        <v>0</v>
      </c>
      <c r="H11" s="16">
        <f>COUNTIFS('CBK Students'!D:D,"&gt;="&amp;DATE(2026,9,1),'CBK Students'!D:D,"&lt;"&amp;DATE(2026,10,1))</f>
        <v>0</v>
      </c>
      <c r="I11" s="16">
        <f>COUNTIFS('CBK Students'!D:D,"&gt;="&amp;DATE(2026,10,1),'CBK Students'!D:D,"&lt;"&amp;DATE(2026,11,1))</f>
        <v>0</v>
      </c>
      <c r="J11" s="16">
        <f>COUNTIFS('CBK Students'!D:D,"&gt;="&amp;DATE(2026,11,1),'CBK Students'!D:D,"&lt;"&amp;DATE(2026,12,1))</f>
        <v>0</v>
      </c>
      <c r="K11" s="16">
        <f>COUNTIFS('CBK Students'!D:D,"&gt;="&amp;DATE(2026,12,1),'CBK Students'!D:D,"&lt;"&amp;DATE(2027,1,1))</f>
        <v>0</v>
      </c>
      <c r="N11" s="17"/>
      <c r="Q11" s="5"/>
    </row>
    <row r="12">
      <c r="A12" s="18" t="s">
        <v>33</v>
      </c>
      <c r="B12" s="19">
        <f>COUNTIFS('CBK Students'!E:E,"&gt;="&amp;DATE(2026,3,1),'CBK Students'!E:E,"&lt;"&amp;DATE(2026,4,1))</f>
        <v>10</v>
      </c>
      <c r="C12" s="19">
        <f>COUNTIFS('CBK Students'!E:E,"&gt;="&amp;DATE(2026,4,1),'CBK Students'!E:E,"&lt;"&amp;DATE(2026,5,1))</f>
        <v>4</v>
      </c>
      <c r="D12" s="20">
        <f>COUNTIFS('CBK Students'!E:E,"&gt;="&amp;DATE(2026,5,1),'CBK Students'!E:E,"&lt;"&amp;DATE(2026,6,1))</f>
        <v>0</v>
      </c>
      <c r="E12" s="20">
        <f>COUNTIFS('CBK Students'!E:E,"&gt;="&amp;DATE(2026,6,1),'CBK Students'!E:E,"&lt;"&amp;DATE(2026,7,1))</f>
        <v>0</v>
      </c>
      <c r="F12" s="20">
        <f>COUNTIFS('CBK Students'!E:E,"&gt;="&amp;DATE(2026,7,1),'CBK Students'!E:E,"&lt;"&amp;DATE(2026,8,1))</f>
        <v>0</v>
      </c>
      <c r="G12" s="20">
        <f>COUNTIFS('CBK Students'!E:E,"&gt;="&amp;DATE(2026,8,1),'CBK Students'!E:E,"&lt;"&amp;DATE(2026,9,1))</f>
        <v>0</v>
      </c>
      <c r="H12" s="20">
        <f>COUNTIFS('CBK Students'!E:E,"&gt;="&amp;DATE(2026,9,1),'CBK Students'!E:E,"&lt;"&amp;DATE(2026,10,1))</f>
        <v>0</v>
      </c>
      <c r="I12" s="20">
        <f>COUNTIFS('CBK Students'!E:E,"&gt;="&amp;DATE(2026,10,1),'CBK Students'!E:E,"&lt;"&amp;DATE(2026,11,1))</f>
        <v>0</v>
      </c>
      <c r="J12" s="20">
        <f>COUNTIFS('CBK Students'!E:E,"&gt;="&amp;DATE(2026,11,1),'CBK Students'!E:E,"&lt;"&amp;DATE(2026,12,1))</f>
        <v>0</v>
      </c>
      <c r="K12" s="20">
        <f>COUNTIFS('CBK Students'!E:E,"&gt;="&amp;DATE(2026,12,1),'CBK Students'!E:E,"&lt;"&amp;DATE(2027,1,1))</f>
        <v>0</v>
      </c>
      <c r="N12" s="17"/>
    </row>
    <row r="13">
      <c r="A13" s="21"/>
      <c r="B13" s="21"/>
      <c r="C13" s="22"/>
      <c r="D13" s="21"/>
      <c r="E13" s="21"/>
      <c r="F13" s="21"/>
      <c r="G13" s="21"/>
      <c r="H13" s="21"/>
      <c r="I13" s="21"/>
      <c r="J13" s="21"/>
      <c r="K13" s="21"/>
      <c r="N13" s="17"/>
      <c r="Q13" s="5"/>
    </row>
    <row r="14">
      <c r="A14" s="21"/>
      <c r="B14" s="23" t="s">
        <v>34</v>
      </c>
      <c r="C14" s="24" t="s">
        <v>35</v>
      </c>
      <c r="D14" s="21"/>
      <c r="E14" s="21"/>
      <c r="F14" s="21"/>
      <c r="G14" s="21"/>
      <c r="H14" s="21"/>
      <c r="I14" s="21"/>
      <c r="J14" s="21"/>
      <c r="K14" s="21"/>
      <c r="N14" s="17"/>
    </row>
    <row r="15">
      <c r="A15" s="21"/>
      <c r="B15" s="23" t="s">
        <v>36</v>
      </c>
      <c r="C15" s="25" t="s">
        <v>37</v>
      </c>
      <c r="D15" s="21"/>
      <c r="E15" s="21"/>
      <c r="F15" s="21"/>
      <c r="G15" s="21"/>
      <c r="H15" s="21"/>
      <c r="I15" s="21"/>
      <c r="J15" s="21"/>
      <c r="K15" s="21"/>
      <c r="N15" s="17"/>
      <c r="Q15" s="5"/>
    </row>
    <row r="16">
      <c r="A16" s="21"/>
      <c r="B16" s="23" t="s">
        <v>38</v>
      </c>
      <c r="C16" s="26" t="s">
        <v>39</v>
      </c>
      <c r="D16" s="21"/>
      <c r="E16" s="21"/>
      <c r="F16" s="21"/>
      <c r="G16" s="21"/>
      <c r="H16" s="21"/>
      <c r="I16" s="21"/>
      <c r="J16" s="21"/>
      <c r="K16" s="21"/>
      <c r="L16" s="17"/>
      <c r="Q16" s="5"/>
    </row>
    <row r="17">
      <c r="A17" s="21"/>
      <c r="B17" s="23" t="s">
        <v>40</v>
      </c>
      <c r="C17" s="25" t="s">
        <v>41</v>
      </c>
      <c r="D17" s="21"/>
      <c r="E17" s="21"/>
      <c r="F17" s="21"/>
      <c r="G17" s="21"/>
      <c r="H17" s="21"/>
      <c r="I17" s="21"/>
      <c r="J17" s="21"/>
      <c r="K17" s="21"/>
      <c r="L17" s="17"/>
      <c r="N17" s="17"/>
      <c r="Q17" s="5"/>
    </row>
    <row r="18">
      <c r="A18" s="21"/>
      <c r="B18" s="27" t="s">
        <v>42</v>
      </c>
      <c r="C18" s="24"/>
      <c r="D18" s="21"/>
      <c r="E18" s="21"/>
      <c r="F18" s="21"/>
      <c r="G18" s="21"/>
      <c r="H18" s="21"/>
      <c r="I18" s="21"/>
      <c r="J18" s="21"/>
      <c r="K18" s="21"/>
      <c r="L18" s="17"/>
      <c r="N18" s="17"/>
    </row>
    <row r="19">
      <c r="A19" s="21"/>
      <c r="B19" s="27" t="s">
        <v>43</v>
      </c>
      <c r="C19" s="25"/>
      <c r="D19" s="21"/>
      <c r="E19" s="21"/>
      <c r="F19" s="21"/>
      <c r="G19" s="21"/>
      <c r="H19" s="21"/>
      <c r="I19" s="22"/>
      <c r="J19" s="21"/>
      <c r="K19" s="21"/>
      <c r="L19" s="17"/>
      <c r="N19" s="17"/>
      <c r="Q19" s="5"/>
    </row>
    <row r="20">
      <c r="A20" s="21"/>
      <c r="B20" s="27" t="s">
        <v>44</v>
      </c>
      <c r="C20" s="25"/>
      <c r="D20" s="21"/>
      <c r="E20" s="21"/>
      <c r="F20" s="21"/>
      <c r="G20" s="21"/>
      <c r="H20" s="21"/>
      <c r="I20" s="22"/>
      <c r="J20" s="21"/>
      <c r="K20" s="21"/>
      <c r="L20" s="17"/>
      <c r="N20" s="17"/>
    </row>
    <row r="21">
      <c r="A21" s="21"/>
      <c r="B21" s="27" t="s">
        <v>45</v>
      </c>
      <c r="C21" s="24"/>
      <c r="D21" s="21"/>
      <c r="E21" s="21"/>
      <c r="F21" s="21"/>
      <c r="G21" s="21"/>
      <c r="H21" s="21"/>
      <c r="I21" s="22"/>
      <c r="J21" s="21"/>
      <c r="K21" s="21"/>
      <c r="L21" s="17"/>
      <c r="N21" s="17"/>
    </row>
    <row r="22">
      <c r="A22" s="21"/>
      <c r="B22" s="27" t="s">
        <v>46</v>
      </c>
      <c r="C22" s="25"/>
      <c r="D22" s="21"/>
      <c r="E22" s="21"/>
      <c r="F22" s="21"/>
      <c r="G22" s="21"/>
      <c r="H22" s="21"/>
      <c r="I22" s="22"/>
      <c r="J22" s="21"/>
      <c r="K22" s="21"/>
      <c r="L22" s="17"/>
      <c r="N22" s="17"/>
    </row>
    <row r="23">
      <c r="A23" s="21"/>
      <c r="B23" s="27" t="s">
        <v>47</v>
      </c>
      <c r="C23" s="24"/>
      <c r="D23" s="21"/>
      <c r="E23" s="21"/>
      <c r="F23" s="21"/>
      <c r="G23" s="21"/>
      <c r="H23" s="21"/>
      <c r="I23" s="22"/>
      <c r="J23" s="21"/>
      <c r="K23" s="21"/>
      <c r="L23" s="17"/>
      <c r="N23" s="17"/>
      <c r="Q23" s="5"/>
    </row>
    <row r="24">
      <c r="I24" s="28"/>
      <c r="L24" s="17"/>
      <c r="Q24" s="5"/>
    </row>
    <row r="25">
      <c r="I25" s="28"/>
      <c r="L25" s="17"/>
      <c r="N25" s="17"/>
    </row>
    <row r="26">
      <c r="I26" s="28"/>
      <c r="L26" s="17"/>
      <c r="N26" s="17"/>
    </row>
    <row r="27">
      <c r="I27" s="28"/>
      <c r="L27" s="17"/>
      <c r="N27" s="17"/>
      <c r="Q27" s="5"/>
    </row>
    <row r="28">
      <c r="I28" s="28"/>
      <c r="N28" s="29"/>
    </row>
    <row r="29">
      <c r="C29" s="17"/>
      <c r="I29" s="28"/>
      <c r="L29" s="17"/>
      <c r="N29" s="17"/>
    </row>
    <row r="30">
      <c r="C30" s="17"/>
      <c r="I30" s="28"/>
      <c r="N30" s="17"/>
    </row>
    <row r="31">
      <c r="I31" s="28"/>
      <c r="N31" s="17"/>
    </row>
    <row r="32">
      <c r="C32" s="17"/>
      <c r="I32" s="28"/>
    </row>
    <row r="33">
      <c r="I33" s="28"/>
    </row>
    <row r="34">
      <c r="I34" s="28"/>
      <c r="Q34" s="17"/>
    </row>
    <row r="35">
      <c r="C35" s="17"/>
      <c r="I35" s="30"/>
      <c r="Q35" s="17"/>
    </row>
    <row r="36">
      <c r="C36" s="17"/>
      <c r="I36" s="30"/>
    </row>
    <row r="37">
      <c r="I37" s="30"/>
      <c r="Q37" s="5"/>
    </row>
    <row r="38">
      <c r="C38" s="17"/>
      <c r="I38" s="30"/>
      <c r="Q38" s="5"/>
    </row>
    <row r="39">
      <c r="Q39" s="5"/>
    </row>
    <row r="41">
      <c r="Q41" s="5"/>
    </row>
    <row r="42">
      <c r="Q42" s="5"/>
    </row>
    <row r="43">
      <c r="C43" s="17"/>
    </row>
    <row r="45">
      <c r="Q45" s="5"/>
    </row>
    <row r="46">
      <c r="Q46" s="5"/>
    </row>
    <row r="47">
      <c r="C47" s="17"/>
    </row>
    <row r="48">
      <c r="C48" s="17"/>
      <c r="Q48" s="5"/>
    </row>
    <row r="49">
      <c r="Q49" s="17"/>
    </row>
    <row r="50">
      <c r="C50" s="17"/>
      <c r="Q50" s="17"/>
    </row>
    <row r="51">
      <c r="C51" s="17"/>
      <c r="Q51" s="5"/>
    </row>
    <row r="52">
      <c r="C52" s="17"/>
      <c r="Q52" s="5"/>
    </row>
    <row r="53">
      <c r="Q53" s="5"/>
    </row>
    <row r="54">
      <c r="C54" s="17"/>
      <c r="Q54" s="5"/>
    </row>
    <row r="57">
      <c r="C57" s="17"/>
    </row>
    <row r="58">
      <c r="Q58" s="17"/>
    </row>
    <row r="59">
      <c r="Q59" s="17"/>
    </row>
    <row r="60">
      <c r="C60" s="17"/>
    </row>
    <row r="61">
      <c r="C61" s="17"/>
    </row>
    <row r="62">
      <c r="C62" s="17"/>
      <c r="Q62" s="17"/>
    </row>
    <row r="63">
      <c r="Q63" s="17"/>
    </row>
    <row r="64">
      <c r="Q64" s="5"/>
    </row>
    <row r="65">
      <c r="Q65" s="5"/>
    </row>
    <row r="66">
      <c r="C66" s="17"/>
      <c r="Q66" s="5"/>
    </row>
    <row r="67">
      <c r="C67" s="17"/>
      <c r="Q67" s="5"/>
    </row>
    <row r="69">
      <c r="C69" s="17"/>
    </row>
    <row r="70">
      <c r="Q70" s="17"/>
    </row>
    <row r="71">
      <c r="Q71" s="17"/>
    </row>
    <row r="72">
      <c r="Q72" s="17"/>
    </row>
    <row r="73">
      <c r="Q73" s="5"/>
    </row>
    <row r="74">
      <c r="C74" s="17"/>
      <c r="Q74" s="5"/>
    </row>
    <row r="75">
      <c r="C75" s="17"/>
      <c r="Q75" s="17"/>
    </row>
    <row r="76">
      <c r="C76" s="17"/>
      <c r="Q76" s="5"/>
    </row>
    <row r="79">
      <c r="Q79" s="5"/>
    </row>
    <row r="81">
      <c r="C81" s="17"/>
      <c r="Q81" s="17"/>
    </row>
    <row r="82">
      <c r="Q82" s="17"/>
    </row>
    <row r="83">
      <c r="C83" s="17"/>
      <c r="Q83" s="5"/>
    </row>
    <row r="84">
      <c r="C84" s="17"/>
      <c r="Q84" s="5"/>
    </row>
    <row r="85">
      <c r="Q85" s="5"/>
    </row>
    <row r="86">
      <c r="C86" s="17"/>
      <c r="Q86" s="5"/>
    </row>
    <row r="87">
      <c r="Q87" s="5"/>
    </row>
    <row r="88">
      <c r="C88" s="17"/>
      <c r="Q88" s="5"/>
    </row>
    <row r="89">
      <c r="Q89" s="5"/>
    </row>
    <row r="90">
      <c r="C90" s="17"/>
      <c r="H90" s="17"/>
      <c r="Q90" s="5"/>
    </row>
    <row r="91">
      <c r="H91" s="17"/>
      <c r="Q91" s="5"/>
    </row>
    <row r="92">
      <c r="C92" s="17"/>
      <c r="H92" s="17"/>
      <c r="Q92" s="17"/>
    </row>
    <row r="93">
      <c r="C93" s="17"/>
      <c r="O93" s="17"/>
      <c r="Q93" s="17"/>
    </row>
    <row r="94">
      <c r="H94" s="17"/>
      <c r="O94" s="17"/>
      <c r="Q94" s="17"/>
    </row>
    <row r="95">
      <c r="H95" s="17"/>
      <c r="O95" s="17"/>
      <c r="Q95" s="17"/>
    </row>
    <row r="96">
      <c r="H96" s="17"/>
    </row>
    <row r="97">
      <c r="H97" s="17"/>
      <c r="O97" s="17"/>
      <c r="Q97" s="17"/>
    </row>
    <row r="98">
      <c r="C98" s="17"/>
      <c r="H98" s="17"/>
      <c r="O98" s="17"/>
    </row>
    <row r="99">
      <c r="C99" s="17"/>
      <c r="H99" s="17"/>
      <c r="O99" s="17"/>
    </row>
    <row r="100">
      <c r="H100" s="17"/>
      <c r="O100" s="17"/>
      <c r="Q100" s="17"/>
    </row>
    <row r="101">
      <c r="H101" s="17"/>
      <c r="O101" s="17"/>
      <c r="Q101" s="17"/>
    </row>
    <row r="102">
      <c r="H102" s="17"/>
      <c r="O102" s="17"/>
      <c r="Q102" s="17"/>
    </row>
    <row r="103">
      <c r="C103" s="17"/>
      <c r="H103" s="17"/>
      <c r="O103" s="17"/>
      <c r="Q103" s="17"/>
    </row>
    <row r="104">
      <c r="C104" s="17"/>
      <c r="H104" s="17"/>
      <c r="O104" s="17"/>
      <c r="Q104" s="17"/>
    </row>
    <row r="105">
      <c r="H105" s="17"/>
      <c r="O105" s="17"/>
      <c r="Q105" s="17"/>
    </row>
    <row r="106">
      <c r="H106" s="17"/>
      <c r="O106" s="17"/>
      <c r="Q106" s="17"/>
    </row>
    <row r="107">
      <c r="H107" s="17"/>
      <c r="O107" s="17"/>
      <c r="Q107" s="17"/>
    </row>
    <row r="108">
      <c r="H108" s="17"/>
      <c r="O108" s="17"/>
      <c r="Q108" s="17"/>
    </row>
    <row r="109">
      <c r="H109" s="17"/>
      <c r="O109" s="17"/>
      <c r="Q109" s="17"/>
    </row>
    <row r="110">
      <c r="H110" s="17"/>
      <c r="O110" s="17"/>
      <c r="Q110" s="17"/>
    </row>
    <row r="111">
      <c r="H111" s="17"/>
      <c r="O111" s="17"/>
      <c r="Q111" s="17"/>
    </row>
    <row r="112">
      <c r="H112" s="17"/>
      <c r="O112" s="17"/>
      <c r="Q112" s="17"/>
    </row>
    <row r="113">
      <c r="H113" s="17"/>
      <c r="O113" s="17"/>
      <c r="Q113" s="17"/>
    </row>
    <row r="114">
      <c r="H114" s="17"/>
      <c r="O114" s="17"/>
      <c r="Q114" s="17"/>
    </row>
    <row r="115">
      <c r="H115" s="17"/>
      <c r="O115" s="17"/>
      <c r="Q115" s="17"/>
    </row>
    <row r="116">
      <c r="H116" s="17"/>
      <c r="O116" s="17"/>
      <c r="Q116" s="17"/>
    </row>
    <row r="117">
      <c r="H117" s="17"/>
      <c r="O117" s="17"/>
      <c r="Q117" s="17"/>
    </row>
    <row r="118">
      <c r="H118" s="17"/>
      <c r="O118" s="17"/>
      <c r="Q118" s="17"/>
    </row>
    <row r="119">
      <c r="H119" s="17"/>
      <c r="O119" s="17"/>
      <c r="Q119" s="17"/>
    </row>
    <row r="120">
      <c r="H120" s="17"/>
      <c r="O120" s="17"/>
      <c r="Q120" s="5"/>
    </row>
    <row r="121">
      <c r="H121" s="17"/>
      <c r="O121" s="17"/>
      <c r="Q121" s="17"/>
    </row>
    <row r="122">
      <c r="H122" s="17"/>
      <c r="O122" s="17"/>
      <c r="Q122" s="17"/>
    </row>
    <row r="123">
      <c r="C123" s="17"/>
      <c r="H123" s="17"/>
      <c r="O123" s="17"/>
      <c r="Q123" s="17"/>
    </row>
    <row r="124">
      <c r="H124" s="17"/>
      <c r="O124" s="17"/>
      <c r="Q124" s="17"/>
    </row>
    <row r="125">
      <c r="H125" s="17"/>
      <c r="O125" s="17"/>
      <c r="Q125" s="17"/>
    </row>
    <row r="126">
      <c r="H126" s="17"/>
      <c r="O126" s="17"/>
      <c r="Q126" s="17"/>
    </row>
    <row r="127">
      <c r="H127" s="17"/>
      <c r="O127" s="17"/>
      <c r="Q127" s="17"/>
    </row>
    <row r="128">
      <c r="C128" s="17"/>
      <c r="H128" s="17"/>
      <c r="O128" s="17"/>
      <c r="Q128" s="17"/>
    </row>
    <row r="129">
      <c r="H129" s="17"/>
      <c r="O129" s="17"/>
      <c r="Q129" s="17"/>
    </row>
    <row r="130">
      <c r="H130" s="17"/>
      <c r="O130" s="17"/>
      <c r="Q130" s="17"/>
    </row>
    <row r="131">
      <c r="C131" s="17"/>
      <c r="H131" s="17"/>
      <c r="O131" s="17"/>
      <c r="Q131" s="17"/>
    </row>
    <row r="132">
      <c r="H132" s="17"/>
      <c r="O132" s="17"/>
      <c r="Q132" s="17"/>
    </row>
    <row r="133">
      <c r="H133" s="17"/>
      <c r="O133" s="17"/>
      <c r="Q133" s="17"/>
    </row>
    <row r="134">
      <c r="H134" s="17"/>
      <c r="O134" s="17"/>
      <c r="Q134" s="17"/>
    </row>
    <row r="135">
      <c r="H135" s="17"/>
      <c r="O135" s="17"/>
      <c r="Q135" s="17"/>
    </row>
    <row r="136">
      <c r="C136" s="17"/>
      <c r="H136" s="17"/>
      <c r="O136" s="17"/>
      <c r="Q136" s="17"/>
    </row>
    <row r="137">
      <c r="C137" s="17"/>
      <c r="H137" s="17"/>
      <c r="O137" s="17"/>
      <c r="Q137" s="17"/>
    </row>
    <row r="138">
      <c r="C138" s="17"/>
      <c r="H138" s="17"/>
      <c r="O138" s="17"/>
      <c r="Q138" s="17"/>
    </row>
    <row r="139">
      <c r="C139" s="17"/>
      <c r="H139" s="17"/>
      <c r="O139" s="17"/>
      <c r="Q139" s="17"/>
    </row>
    <row r="140">
      <c r="C140" s="17"/>
      <c r="H140" s="17"/>
      <c r="O140" s="17"/>
      <c r="Q140" s="17"/>
    </row>
    <row r="141">
      <c r="H141" s="17"/>
      <c r="O141" s="17"/>
      <c r="Q141" s="17"/>
    </row>
    <row r="142">
      <c r="H142" s="17"/>
      <c r="O142" s="17"/>
      <c r="Q142" s="17"/>
    </row>
    <row r="143">
      <c r="H143" s="17"/>
      <c r="O143" s="17"/>
      <c r="Q143" s="17"/>
    </row>
    <row r="144">
      <c r="O144" s="17"/>
      <c r="Q144" s="17"/>
    </row>
    <row r="145">
      <c r="O145" s="17"/>
    </row>
    <row r="146">
      <c r="H146" s="17"/>
      <c r="O146" s="17"/>
    </row>
    <row r="147">
      <c r="O147" s="17"/>
      <c r="Q147" s="17"/>
    </row>
    <row r="148">
      <c r="O148" s="17"/>
      <c r="Q148" s="17"/>
    </row>
    <row r="149">
      <c r="O149" s="17"/>
      <c r="Q149" s="17"/>
    </row>
    <row r="150">
      <c r="O150" s="17"/>
    </row>
    <row r="151">
      <c r="O151" s="17"/>
      <c r="Q151" s="17"/>
    </row>
    <row r="152">
      <c r="O152" s="17"/>
      <c r="Q152" s="17"/>
    </row>
    <row r="153">
      <c r="O153" s="17"/>
      <c r="Q153" s="17"/>
    </row>
    <row r="154">
      <c r="O154" s="17"/>
      <c r="Q154" s="17"/>
    </row>
    <row r="155">
      <c r="O155" s="17"/>
      <c r="Q155" s="17"/>
    </row>
    <row r="156">
      <c r="O156" s="17"/>
      <c r="Q156" s="17"/>
    </row>
    <row r="157">
      <c r="O157" s="17"/>
    </row>
    <row r="158">
      <c r="O158" s="17"/>
      <c r="Q158" s="17"/>
    </row>
    <row r="159">
      <c r="O159" s="17"/>
      <c r="Q159" s="17"/>
    </row>
    <row r="160">
      <c r="O160" s="17"/>
      <c r="Q160" s="17"/>
    </row>
    <row r="161">
      <c r="O161" s="17"/>
      <c r="Q161" s="17"/>
    </row>
    <row r="162">
      <c r="O162" s="17"/>
      <c r="Q162" s="17"/>
    </row>
    <row r="163">
      <c r="O163" s="17"/>
      <c r="Q163" s="17"/>
    </row>
    <row r="164">
      <c r="O164" s="17"/>
      <c r="Q164" s="17"/>
    </row>
    <row r="166">
      <c r="Q166" s="17"/>
    </row>
    <row r="167">
      <c r="Q167" s="17"/>
    </row>
    <row r="168">
      <c r="Q168" s="17"/>
    </row>
    <row r="169">
      <c r="O169" s="17"/>
      <c r="Q169" s="17"/>
    </row>
    <row r="170">
      <c r="O170" s="17"/>
      <c r="Q170" s="17"/>
    </row>
    <row r="171">
      <c r="O171" s="17"/>
      <c r="Q171" s="17"/>
    </row>
    <row r="172">
      <c r="O172" s="17"/>
      <c r="Q172" s="17"/>
    </row>
    <row r="177">
      <c r="O177" s="17"/>
    </row>
    <row r="178">
      <c r="O178" s="17"/>
    </row>
    <row r="179">
      <c r="O179" s="17"/>
    </row>
    <row r="180">
      <c r="O180" s="17"/>
    </row>
    <row r="181">
      <c r="O181" s="17"/>
    </row>
    <row r="182">
      <c r="O182" s="17"/>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75"/>
  <cols>
    <col customWidth="1" min="1" max="1" width="6.29"/>
    <col customWidth="1" min="2" max="2" width="26.57"/>
    <col customWidth="1" min="3" max="3" width="19.14"/>
    <col customWidth="1" min="4" max="5" width="15.86"/>
    <col customWidth="1" min="6" max="6" width="26.14"/>
    <col customWidth="1" min="7" max="8" width="16.14"/>
    <col customWidth="1" min="9" max="9" width="13.43"/>
    <col customWidth="1" min="10" max="10" width="26.86"/>
    <col customWidth="1" min="11" max="11" width="13.57"/>
    <col customWidth="1" min="12" max="12" width="18.57"/>
    <col customWidth="1" min="13" max="13" width="22.71"/>
    <col customWidth="1" min="14" max="14" width="24.14"/>
    <col customWidth="1" min="15" max="15" width="22.57"/>
    <col customWidth="1" min="16" max="17" width="11.86"/>
    <col customWidth="1" min="18" max="18" width="20.86"/>
    <col customWidth="1" min="19" max="19" width="17.71"/>
    <col customWidth="1" min="20" max="20" width="23.86"/>
    <col customWidth="1" hidden="1" min="21" max="24" width="14.14"/>
    <col customWidth="1" min="25" max="25" width="14.14"/>
    <col customWidth="1" hidden="1" min="26" max="26" width="7.29"/>
    <col customWidth="1" min="27" max="27" width="14.14"/>
  </cols>
  <sheetData>
    <row r="1" ht="26.25" customHeight="1">
      <c r="A1" s="31" t="s">
        <v>48</v>
      </c>
      <c r="B1" s="32" t="s">
        <v>49</v>
      </c>
      <c r="C1" s="32" t="s">
        <v>50</v>
      </c>
      <c r="D1" s="32" t="s">
        <v>51</v>
      </c>
      <c r="E1" s="32" t="s">
        <v>52</v>
      </c>
      <c r="F1" s="32" t="s">
        <v>53</v>
      </c>
      <c r="G1" s="33" t="s">
        <v>54</v>
      </c>
      <c r="H1" s="33" t="s">
        <v>55</v>
      </c>
      <c r="I1" s="33" t="s">
        <v>56</v>
      </c>
      <c r="J1" s="33" t="s">
        <v>57</v>
      </c>
      <c r="K1" s="33" t="s">
        <v>58</v>
      </c>
      <c r="L1" s="34" t="s">
        <v>59</v>
      </c>
      <c r="M1" s="33" t="s">
        <v>60</v>
      </c>
      <c r="N1" s="33" t="s">
        <v>61</v>
      </c>
      <c r="O1" s="33" t="s">
        <v>62</v>
      </c>
      <c r="P1" s="33" t="s">
        <v>63</v>
      </c>
      <c r="Q1" s="33" t="s">
        <v>64</v>
      </c>
      <c r="R1" s="33" t="s">
        <v>65</v>
      </c>
      <c r="S1" s="33" t="s">
        <v>66</v>
      </c>
      <c r="T1" s="33" t="s">
        <v>67</v>
      </c>
      <c r="U1" s="33" t="s">
        <v>68</v>
      </c>
      <c r="V1" s="33" t="s">
        <v>69</v>
      </c>
      <c r="W1" s="33" t="s">
        <v>70</v>
      </c>
      <c r="X1" s="33" t="s">
        <v>71</v>
      </c>
      <c r="Y1" s="33" t="s">
        <v>72</v>
      </c>
      <c r="Z1" s="33" t="s">
        <v>73</v>
      </c>
      <c r="AA1" s="33" t="s">
        <v>74</v>
      </c>
    </row>
    <row r="2" ht="26.25" customHeight="1">
      <c r="A2" s="35">
        <v>36.0</v>
      </c>
      <c r="B2" s="36" t="s">
        <v>75</v>
      </c>
      <c r="C2" s="37" t="s">
        <v>76</v>
      </c>
      <c r="D2" s="38">
        <v>44568.0</v>
      </c>
      <c r="E2" s="39"/>
      <c r="F2" s="40" t="s">
        <v>77</v>
      </c>
      <c r="G2" s="41" t="s">
        <v>0</v>
      </c>
      <c r="H2" s="40" t="s">
        <v>78</v>
      </c>
      <c r="I2" s="42">
        <v>45859.0</v>
      </c>
      <c r="J2" s="40" t="s">
        <v>79</v>
      </c>
      <c r="K2" s="43" t="b">
        <v>1</v>
      </c>
      <c r="L2" s="44"/>
      <c r="M2" s="45">
        <f t="shared" ref="M2:M1252" si="1">INT((TODAY() - I2) / 7)</f>
        <v>38</v>
      </c>
      <c r="N2" s="45"/>
      <c r="O2" s="45" t="str">
        <f>IFERROR(__xludf.DUMMYFUNCTION("IFERROR(
  TEXT(
    MAX(FILTER(Remark!A:A, TRIM(Remark!B:B) = TRIM(B2))),
    ""dd/mm/yyyy""
  ) &amp; "" - "" &amp;
  FILTER(
    Remark!C:C,
    TRIM(Remark!B:B) = TRIM(B2),
    Remark!A:A = MAX(FILTER(Remark!A:A, TRIM(Remark!B:B) = TRIM(B2)))
  ),
  """"
)"),"")</f>
        <v/>
      </c>
      <c r="P2" s="45" t="str">
        <f>IFERROR(__xludf.DUMMYFUNCTION("TEXTJOIN(CHAR(10), TRUE, IFERROR(
  FILTER(TEXT(Remark!A:A, ""dd/mm/yyyy"") &amp; "" - "" &amp; Remark!C:C, TRIM(Remark!B:B) = TRIM(B2)),
  """"
))"),"")</f>
        <v/>
      </c>
      <c r="Q2" s="45" t="str">
        <f>IFERROR(__xludf.DUMMYFUNCTION("IFERROR(
  FILTER(
    Remark!D:D,
    Remark!A:A = MAX(FILTER(Remark!A:A, TRIM(Remark!B:B) = TRIM(B2)))
  ),
  """"
)"),"")</f>
        <v/>
      </c>
      <c r="R2" s="46" t="str">
        <f t="shared" ref="R2:R1252" si="2">IFS(M2&lt;=30, "Learning", AND(M2&gt;30, M2&lt;=40),"Starting Final Project", M2&gt;40, "Prepare for Showcase")</f>
        <v>Starting Final Project</v>
      </c>
      <c r="S2" s="47"/>
      <c r="T2" s="48" t="s">
        <v>80</v>
      </c>
      <c r="U2" s="49">
        <v>2.0</v>
      </c>
      <c r="V2" s="49">
        <v>1.0</v>
      </c>
      <c r="W2" s="49">
        <v>1.0</v>
      </c>
      <c r="X2" s="49">
        <v>1.0</v>
      </c>
      <c r="Y2" s="49">
        <v>1.0</v>
      </c>
      <c r="Z2" s="49"/>
      <c r="AA2" s="49">
        <f t="shared" ref="AA2:AA191" si="3">sum(V2:Z2)</f>
        <v>4</v>
      </c>
    </row>
    <row r="3" ht="26.25" customHeight="1">
      <c r="A3" s="35">
        <v>99.0</v>
      </c>
      <c r="B3" s="50" t="s">
        <v>81</v>
      </c>
      <c r="C3" s="40" t="s">
        <v>76</v>
      </c>
      <c r="D3" s="38">
        <v>44869.0</v>
      </c>
      <c r="E3" s="51"/>
      <c r="F3" s="40" t="s">
        <v>77</v>
      </c>
      <c r="G3" s="41" t="s">
        <v>0</v>
      </c>
      <c r="H3" s="40" t="s">
        <v>78</v>
      </c>
      <c r="I3" s="42">
        <v>45717.0</v>
      </c>
      <c r="J3" s="40" t="s">
        <v>82</v>
      </c>
      <c r="K3" s="43" t="b">
        <v>1</v>
      </c>
      <c r="L3" s="44" t="s">
        <v>83</v>
      </c>
      <c r="M3" s="45">
        <f t="shared" si="1"/>
        <v>59</v>
      </c>
      <c r="N3" s="49"/>
      <c r="O3" s="45" t="str">
        <f>IFERROR(__xludf.DUMMYFUNCTION("IFERROR(
  TEXT(
    MAX(FILTER(Remark!A:A, TRIM(Remark!B:B) = TRIM(B3))),
    ""dd/mm/yyyy""
  ) &amp; "" - "" &amp;
  FILTER(
    Remark!C:C,
    TRIM(Remark!B:B) = TRIM(B3),
    Remark!A:A = MAX(FILTER(Remark!A:A, TRIM(Remark!B:B) = TRIM(B3)))
  ),
  """"
)"),"24/09/2025 - [Caleb]
It was a bit dragging because the method inside the LMS no longer works and now requires a subscription fee.
Aidan is having issues with using his phone in class. In my view, the mentor should have informed the parents earlier, even t"&amp;"hough we are already working on helping him improve this.")</f>
        <v>24/09/2025 - [Caleb]
It was a bit dragging because the method inside the LMS no longer works and now requires a subscription fee.
Aidan is having issues with using his phone in class. In my view, the mentor should have informed the parents earlier, even though we are already working on helping him improve this.</v>
      </c>
      <c r="P3" s="45" t="str">
        <f>IFERROR(__xludf.DUMMYFUNCTION("TEXTJOIN(CHAR(10), TRUE, IFERROR(
  FILTER(TEXT(Remark!A:A, ""dd/mm/yyyy"") &amp; "" - "" &amp; Remark!C:C, TRIM(Remark!B:B) = TRIM(B3)),
  """"
))"),"24/09/2025 - [Caleb]
It was a bit dragging because the method inside the LMS no longer works and now requires a subscription fee.
Aidan is having issues with using his phone in class. In my view, the mentor should have informed the parents earlier, even t"&amp;"hough we are already working on helping him improve this.")</f>
        <v>24/09/2025 - [Caleb]
It was a bit dragging because the method inside the LMS no longer works and now requires a subscription fee.
Aidan is having issues with using his phone in class. In my view, the mentor should have informed the parents earlier, even though we are already working on helping him improve this.</v>
      </c>
      <c r="Q3" s="45" t="str">
        <f>IFERROR(__xludf.DUMMYFUNCTION("IFERROR(
  FILTER(
    Remark!D:D,
    Remark!A:A = MAX(FILTER(Remark!A:A, TRIM(Remark!B:B) = TRIM(B3)))
  ),
  """"
)"),"No")</f>
        <v>No</v>
      </c>
      <c r="R3" s="46" t="str">
        <f t="shared" si="2"/>
        <v>Prepare for Showcase</v>
      </c>
      <c r="S3" s="43" t="b">
        <v>1</v>
      </c>
      <c r="T3" s="52" t="s">
        <v>84</v>
      </c>
      <c r="U3" s="49">
        <v>2.0</v>
      </c>
      <c r="V3" s="49">
        <v>1.0</v>
      </c>
      <c r="W3" s="49"/>
      <c r="X3" s="49">
        <v>1.0</v>
      </c>
      <c r="Y3" s="49">
        <v>1.0</v>
      </c>
      <c r="Z3" s="49"/>
      <c r="AA3" s="49">
        <f t="shared" si="3"/>
        <v>3</v>
      </c>
    </row>
    <row r="4" ht="26.25" customHeight="1">
      <c r="A4" s="53">
        <v>271.0</v>
      </c>
      <c r="B4" s="50" t="s">
        <v>85</v>
      </c>
      <c r="C4" s="37" t="s">
        <v>76</v>
      </c>
      <c r="D4" s="54">
        <v>45503.0</v>
      </c>
      <c r="E4" s="39"/>
      <c r="F4" s="40" t="s">
        <v>77</v>
      </c>
      <c r="G4" s="40" t="s">
        <v>0</v>
      </c>
      <c r="H4" s="40" t="s">
        <v>78</v>
      </c>
      <c r="I4" s="42">
        <v>45960.0</v>
      </c>
      <c r="J4" s="40" t="s">
        <v>79</v>
      </c>
      <c r="K4" s="43" t="b">
        <v>1</v>
      </c>
      <c r="L4" s="44" t="s">
        <v>83</v>
      </c>
      <c r="M4" s="45">
        <f t="shared" si="1"/>
        <v>24</v>
      </c>
      <c r="N4" s="49"/>
      <c r="O4" s="45" t="str">
        <f>IFERROR(__xludf.DUMMYFUNCTION("IFERROR(
  TEXT(
    MAX(FILTER(Remark!A:A, TRIM(Remark!B:B) = TRIM(B4))),
    ""dd/mm/yyyy""
  ) &amp; "" - "" &amp;
  FILTER(
    Remark!C:C,
    TRIM(Remark!B:B) = TRIM(B4),
    Remark!A:A = MAX(FILTER(Remark!A:A, TRIM(Remark!B:B) = TRIM(B4)))
  ),
  """"
)"),"")</f>
        <v/>
      </c>
      <c r="P4" s="45" t="str">
        <f>IFERROR(__xludf.DUMMYFUNCTION("TEXTJOIN(CHAR(10), TRUE, IFERROR(
  FILTER(TEXT(Remark!A:A, ""dd/mm/yyyy"") &amp; "" - "" &amp; Remark!C:C, TRIM(Remark!B:B) = TRIM(B4)),
  """"
))"),"")</f>
        <v/>
      </c>
      <c r="Q4" s="45" t="str">
        <f>IFERROR(__xludf.DUMMYFUNCTION("IFERROR(
  FILTER(
    Remark!D:D,
    Remark!A:A = MAX(FILTER(Remark!A:A, TRIM(Remark!B:B) = TRIM(B4)))
  ),
  """"
)"),"")</f>
        <v/>
      </c>
      <c r="R4" s="46" t="str">
        <f t="shared" si="2"/>
        <v>Learning</v>
      </c>
      <c r="S4" s="47"/>
      <c r="T4" s="48" t="s">
        <v>86</v>
      </c>
      <c r="U4" s="49">
        <v>1.0</v>
      </c>
      <c r="V4" s="49"/>
      <c r="W4" s="49">
        <v>1.0</v>
      </c>
      <c r="X4" s="49">
        <v>2.0</v>
      </c>
      <c r="Y4" s="49">
        <v>1.0</v>
      </c>
      <c r="Z4" s="49"/>
      <c r="AA4" s="49">
        <f t="shared" si="3"/>
        <v>4</v>
      </c>
    </row>
    <row r="5" ht="26.25" customHeight="1">
      <c r="A5" s="53">
        <v>273.0</v>
      </c>
      <c r="B5" s="50" t="s">
        <v>87</v>
      </c>
      <c r="C5" s="37" t="s">
        <v>76</v>
      </c>
      <c r="D5" s="54">
        <v>45504.0</v>
      </c>
      <c r="E5" s="39"/>
      <c r="F5" s="40" t="s">
        <v>77</v>
      </c>
      <c r="G5" s="40" t="s">
        <v>0</v>
      </c>
      <c r="H5" s="40" t="s">
        <v>78</v>
      </c>
      <c r="I5" s="42">
        <v>45967.0</v>
      </c>
      <c r="J5" s="40" t="s">
        <v>79</v>
      </c>
      <c r="K5" s="43" t="b">
        <v>1</v>
      </c>
      <c r="L5" s="44" t="s">
        <v>88</v>
      </c>
      <c r="M5" s="45">
        <f t="shared" si="1"/>
        <v>23</v>
      </c>
      <c r="N5" s="49"/>
      <c r="O5" s="45" t="str">
        <f>IFERROR(__xludf.DUMMYFUNCTION("IFERROR(
  TEXT(
    MAX(FILTER(Remark!A:A, TRIM(Remark!B:B) = TRIM(B5))),
    ""dd/mm/yyyy""
  ) &amp; "" - "" &amp;
  FILTER(
    Remark!C:C,
    TRIM(Remark!B:B) = TRIM(B5),
    Remark!A:A = MAX(FILTER(Remark!A:A, TRIM(Remark!B:B) = TRIM(B5)))
  ),
  """"
)"),"")</f>
        <v/>
      </c>
      <c r="P5" s="45" t="str">
        <f>IFERROR(__xludf.DUMMYFUNCTION("TEXTJOIN(CHAR(10), TRUE, IFERROR(
  FILTER(TEXT(Remark!A:A, ""dd/mm/yyyy"") &amp; "" - "" &amp; Remark!C:C, TRIM(Remark!B:B) = TRIM(B5)),
  """"
))"),"")</f>
        <v/>
      </c>
      <c r="Q5" s="45" t="str">
        <f>IFERROR(__xludf.DUMMYFUNCTION("IFERROR(
  FILTER(
    Remark!D:D,
    Remark!A:A = MAX(FILTER(Remark!A:A, TRIM(Remark!B:B) = TRIM(B5)))
  ),
  """"
)"),"")</f>
        <v/>
      </c>
      <c r="R5" s="46" t="str">
        <f t="shared" si="2"/>
        <v>Learning</v>
      </c>
      <c r="S5" s="47"/>
      <c r="T5" s="48" t="s">
        <v>89</v>
      </c>
      <c r="U5" s="49">
        <v>1.0</v>
      </c>
      <c r="V5" s="49">
        <v>1.0</v>
      </c>
      <c r="W5" s="49">
        <v>1.0</v>
      </c>
      <c r="X5" s="49">
        <v>1.0</v>
      </c>
      <c r="Y5" s="49">
        <v>1.0</v>
      </c>
      <c r="Z5" s="49"/>
      <c r="AA5" s="49">
        <f t="shared" si="3"/>
        <v>4</v>
      </c>
    </row>
    <row r="6" ht="26.25" customHeight="1">
      <c r="A6" s="35">
        <v>132.0</v>
      </c>
      <c r="B6" s="50" t="s">
        <v>90</v>
      </c>
      <c r="C6" s="37" t="s">
        <v>76</v>
      </c>
      <c r="D6" s="38">
        <v>45083.0</v>
      </c>
      <c r="E6" s="39"/>
      <c r="F6" s="40" t="s">
        <v>77</v>
      </c>
      <c r="G6" s="41" t="s">
        <v>0</v>
      </c>
      <c r="H6" s="40" t="s">
        <v>91</v>
      </c>
      <c r="I6" s="42">
        <v>45768.0</v>
      </c>
      <c r="J6" s="40" t="s">
        <v>92</v>
      </c>
      <c r="K6" s="43" t="b">
        <v>1</v>
      </c>
      <c r="L6" s="44"/>
      <c r="M6" s="45">
        <f t="shared" si="1"/>
        <v>51</v>
      </c>
      <c r="N6" s="45"/>
      <c r="O6" s="45" t="str">
        <f>IFERROR(__xludf.DUMMYFUNCTION("IFERROR(
  TEXT(
    MAX(FILTER(Remark!A:A, TRIM(Remark!B:B) = TRIM(B6))),
    ""dd/mm/yyyy""
  ) &amp; "" - "" &amp;
  FILTER(
    Remark!C:C,
    TRIM(Remark!B:B) = TRIM(B6),
    Remark!A:A = MAX(FILTER(Remark!A:A, TRIM(Remark!B:B) = TRIM(B6)))
  ),
  """"
)"),"08/10/2025 - [Caleb]
The student has a special condition, which causes a slower learning pace compared to other students.
However, there has been significant improvement — previously, it was difficult for him to express his needs, but now he is able to co"&amp;"mmunicate more clearly.
Mentor is advised to continue challenging him to maintain consistent progress and to set a clear timeline each time he moves on to a new page.")</f>
        <v>08/10/2025 - [Caleb]
The student has a special condition, which causes a slower learning pace compared to other students.
However, there has been significant improvement — previously, it was difficult for him to express his needs, but now he is able to communicate more clearly.
Mentor is advised to continue challenging him to maintain consistent progress and to set a clear timeline each time he moves on to a new page.</v>
      </c>
      <c r="P6" s="45" t="str">
        <f>IFERROR(__xludf.DUMMYFUNCTION("TEXTJOIN(CHAR(10), TRUE, IFERROR(
  FILTER(TEXT(Remark!A:A, ""dd/mm/yyyy"") &amp; "" - "" &amp; Remark!C:C, TRIM(Remark!B:B) = TRIM(B6)),
  """"
))"),"08/10/2025 - [Caleb]
The student has a special condition, which causes a slower learning pace compared to other students.
However, there has been significant improvement — previously, it was difficult for him to express his needs, but now he is able to co"&amp;"mmunicate more clearly.
Mentor is advised to continue challenging him to maintain consistent progress and to set a clear timeline each time he moves on to a new page.")</f>
        <v>08/10/2025 - [Caleb]
The student has a special condition, which causes a slower learning pace compared to other students.
However, there has been significant improvement — previously, it was difficult for him to express his needs, but now he is able to communicate more clearly.
Mentor is advised to continue challenging him to maintain consistent progress and to set a clear timeline each time he moves on to a new page.</v>
      </c>
      <c r="Q6" s="45" t="str">
        <f>IFERROR(__xludf.DUMMYFUNCTION("IFERROR(
  FILTER(
    Remark!D:D,
    Remark!A:A = MAX(FILTER(Remark!A:A, TRIM(Remark!B:B) = TRIM(B6)))
  ),
  """"
)"),"Yes")</f>
        <v>Yes</v>
      </c>
      <c r="R6" s="46" t="str">
        <f t="shared" si="2"/>
        <v>Prepare for Showcase</v>
      </c>
      <c r="S6" s="43" t="b">
        <v>1</v>
      </c>
      <c r="T6" s="52" t="s">
        <v>93</v>
      </c>
      <c r="U6" s="49">
        <v>3.0</v>
      </c>
      <c r="V6" s="49"/>
      <c r="W6" s="49"/>
      <c r="X6" s="49">
        <v>1.0</v>
      </c>
      <c r="Y6" s="49"/>
      <c r="Z6" s="49"/>
      <c r="AA6" s="49">
        <f t="shared" si="3"/>
        <v>1</v>
      </c>
    </row>
    <row r="7" ht="26.25" customHeight="1">
      <c r="A7" s="35">
        <v>186.0</v>
      </c>
      <c r="B7" s="48" t="s">
        <v>94</v>
      </c>
      <c r="C7" s="37" t="s">
        <v>76</v>
      </c>
      <c r="D7" s="38">
        <v>45201.0</v>
      </c>
      <c r="E7" s="39"/>
      <c r="F7" s="40" t="s">
        <v>77</v>
      </c>
      <c r="G7" s="41" t="s">
        <v>0</v>
      </c>
      <c r="H7" s="40" t="s">
        <v>91</v>
      </c>
      <c r="I7" s="55">
        <v>45542.0</v>
      </c>
      <c r="J7" s="41" t="s">
        <v>92</v>
      </c>
      <c r="K7" s="43" t="b">
        <v>1</v>
      </c>
      <c r="L7" s="44"/>
      <c r="M7" s="45">
        <f t="shared" si="1"/>
        <v>84</v>
      </c>
      <c r="N7" s="45"/>
      <c r="O7" s="45" t="str">
        <f>IFERROR(__xludf.DUMMYFUNCTION("IFERROR(
  TEXT(
    MAX(FILTER(Remark!A:A, TRIM(Remark!B:B) = TRIM(B7))),
    ""dd/mm/yyyy""
  ) &amp; "" - "" &amp;
  FILTER(
    Remark!C:C,
    TRIM(Remark!B:B) = TRIM(B7),
    Remark!A:A = MAX(FILTER(Remark!A:A, TRIM(Remark!B:B) = TRIM(B7)))
  ),
  """"
)"),"")</f>
        <v/>
      </c>
      <c r="P7" s="45" t="str">
        <f>IFERROR(__xludf.DUMMYFUNCTION("TEXTJOIN(CHAR(10), TRUE, IFERROR(
  FILTER(TEXT(Remark!A:A, ""dd/mm/yyyy"") &amp; "" - "" &amp; Remark!C:C, TRIM(Remark!B:B) = TRIM(B7)),
  """"
))"),"")</f>
        <v/>
      </c>
      <c r="Q7" s="45" t="str">
        <f>IFERROR(__xludf.DUMMYFUNCTION("IFERROR(
  FILTER(
    Remark!D:D,
    Remark!A:A = MAX(FILTER(Remark!A:A, TRIM(Remark!B:B) = TRIM(B7)))
  ),
  """"
)"),"")</f>
        <v/>
      </c>
      <c r="R7" s="46" t="str">
        <f t="shared" si="2"/>
        <v>Prepare for Showcase</v>
      </c>
      <c r="S7" s="43" t="b">
        <v>1</v>
      </c>
      <c r="T7" s="48" t="s">
        <v>95</v>
      </c>
      <c r="U7" s="49">
        <v>4.0</v>
      </c>
      <c r="V7" s="49">
        <v>1.0</v>
      </c>
      <c r="W7" s="49"/>
      <c r="X7" s="49">
        <v>1.0</v>
      </c>
      <c r="Y7" s="49"/>
      <c r="Z7" s="49"/>
      <c r="AA7" s="49">
        <f t="shared" si="3"/>
        <v>2</v>
      </c>
    </row>
    <row r="8" ht="26.25" customHeight="1">
      <c r="A8" s="35">
        <v>274.0</v>
      </c>
      <c r="B8" s="48" t="s">
        <v>96</v>
      </c>
      <c r="C8" s="37" t="s">
        <v>76</v>
      </c>
      <c r="D8" s="38">
        <v>45509.0</v>
      </c>
      <c r="E8" s="39"/>
      <c r="F8" s="40" t="s">
        <v>77</v>
      </c>
      <c r="G8" s="41" t="s">
        <v>0</v>
      </c>
      <c r="H8" s="40" t="s">
        <v>91</v>
      </c>
      <c r="I8" s="42">
        <v>45642.0</v>
      </c>
      <c r="J8" s="40" t="s">
        <v>92</v>
      </c>
      <c r="K8" s="43" t="b">
        <v>1</v>
      </c>
      <c r="L8" s="44"/>
      <c r="M8" s="45">
        <f t="shared" si="1"/>
        <v>69</v>
      </c>
      <c r="N8" s="45"/>
      <c r="O8" s="45" t="str">
        <f>IFERROR(__xludf.DUMMYFUNCTION("IFERROR(
  TEXT(
    MAX(FILTER(Remark!A:A, TRIM(Remark!B:B) = TRIM(B8))),
    ""dd/mm/yyyy""
  ) &amp; "" - "" &amp;
  FILTER(
    Remark!C:C,
    TRIM(Remark!B:B) = TRIM(B8),
    Remark!A:A = MAX(FILTER(Remark!A:A, TRIM(Remark!B:B) = TRIM(B8)))
  ),
  """"
)"),"")</f>
        <v/>
      </c>
      <c r="P8" s="45" t="str">
        <f>IFERROR(__xludf.DUMMYFUNCTION("TEXTJOIN(CHAR(10), TRUE, IFERROR(
  FILTER(TEXT(Remark!A:A, ""dd/mm/yyyy"") &amp; "" - "" &amp; Remark!C:C, TRIM(Remark!B:B) = TRIM(B8)),
  """"
))"),"")</f>
        <v/>
      </c>
      <c r="Q8" s="45" t="str">
        <f>IFERROR(__xludf.DUMMYFUNCTION("IFERROR(
  FILTER(
    Remark!D:D,
    Remark!A:A = MAX(FILTER(Remark!A:A, TRIM(Remark!B:B) = TRIM(B8)))
  ),
  """"
)"),"")</f>
        <v/>
      </c>
      <c r="R8" s="46" t="str">
        <f t="shared" si="2"/>
        <v>Prepare for Showcase</v>
      </c>
      <c r="S8" s="43" t="b">
        <v>1</v>
      </c>
      <c r="T8" s="48" t="s">
        <v>97</v>
      </c>
      <c r="U8" s="49">
        <v>6.0</v>
      </c>
      <c r="V8" s="49">
        <v>1.0</v>
      </c>
      <c r="W8" s="49"/>
      <c r="X8" s="49">
        <v>1.0</v>
      </c>
      <c r="Y8" s="49">
        <v>1.0</v>
      </c>
      <c r="Z8" s="49"/>
      <c r="AA8" s="49">
        <f t="shared" si="3"/>
        <v>3</v>
      </c>
    </row>
    <row r="9" ht="26.25" customHeight="1">
      <c r="A9" s="35">
        <v>275.0</v>
      </c>
      <c r="B9" s="56" t="s">
        <v>98</v>
      </c>
      <c r="C9" s="37" t="s">
        <v>76</v>
      </c>
      <c r="D9" s="38">
        <v>45509.0</v>
      </c>
      <c r="E9" s="39"/>
      <c r="F9" s="40" t="s">
        <v>77</v>
      </c>
      <c r="G9" s="41" t="s">
        <v>0</v>
      </c>
      <c r="H9" s="40" t="s">
        <v>91</v>
      </c>
      <c r="I9" s="42">
        <v>45670.0</v>
      </c>
      <c r="J9" s="40" t="s">
        <v>92</v>
      </c>
      <c r="K9" s="43" t="b">
        <v>1</v>
      </c>
      <c r="L9" s="44"/>
      <c r="M9" s="45">
        <f t="shared" si="1"/>
        <v>65</v>
      </c>
      <c r="N9" s="49"/>
      <c r="O9" s="45" t="str">
        <f>IFERROR(__xludf.DUMMYFUNCTION("IFERROR(
  TEXT(
    MAX(FILTER(Remark!A:A, TRIM(Remark!B:B) = TRIM(B9))),
    ""dd/mm/yyyy""
  ) &amp; "" - "" &amp;
  FILTER(
    Remark!C:C,
    TRIM(Remark!B:B) = TRIM(B9),
    Remark!A:A = MAX(FILTER(Remark!A:A, TRIM(Remark!B:B) = TRIM(B9)))
  ),
  """"
)"),"")</f>
        <v/>
      </c>
      <c r="P9" s="45" t="str">
        <f>IFERROR(__xludf.DUMMYFUNCTION("TEXTJOIN(CHAR(10), TRUE, IFERROR(
  FILTER(TEXT(Remark!A:A, ""dd/mm/yyyy"") &amp; "" - "" &amp; Remark!C:C, TRIM(Remark!B:B) = TRIM(B9)),
  """"
))"),"")</f>
        <v/>
      </c>
      <c r="Q9" s="45" t="str">
        <f>IFERROR(__xludf.DUMMYFUNCTION("IFERROR(
  FILTER(
    Remark!D:D,
    Remark!A:A = MAX(FILTER(Remark!A:A, TRIM(Remark!B:B) = TRIM(B9)))
  ),
  """"
)"),"")</f>
        <v/>
      </c>
      <c r="R9" s="46" t="str">
        <f t="shared" si="2"/>
        <v>Prepare for Showcase</v>
      </c>
      <c r="S9" s="43" t="b">
        <v>1</v>
      </c>
      <c r="T9" s="48" t="s">
        <v>97</v>
      </c>
      <c r="U9" s="49">
        <v>4.0</v>
      </c>
      <c r="V9" s="49">
        <v>1.0</v>
      </c>
      <c r="W9" s="49"/>
      <c r="X9" s="49">
        <v>1.0</v>
      </c>
      <c r="Y9" s="49">
        <v>1.0</v>
      </c>
      <c r="Z9" s="49"/>
      <c r="AA9" s="49">
        <f t="shared" si="3"/>
        <v>3</v>
      </c>
    </row>
    <row r="10" ht="26.25" customHeight="1">
      <c r="A10" s="35">
        <v>342.0</v>
      </c>
      <c r="B10" s="36" t="s">
        <v>99</v>
      </c>
      <c r="C10" s="40" t="s">
        <v>76</v>
      </c>
      <c r="D10" s="54">
        <v>45740.0</v>
      </c>
      <c r="E10" s="51"/>
      <c r="F10" s="40" t="s">
        <v>77</v>
      </c>
      <c r="G10" s="57" t="s">
        <v>0</v>
      </c>
      <c r="H10" s="57" t="s">
        <v>100</v>
      </c>
      <c r="I10" s="58">
        <v>46125.0</v>
      </c>
      <c r="J10" s="57" t="s">
        <v>101</v>
      </c>
      <c r="K10" s="59" t="b">
        <v>1</v>
      </c>
      <c r="L10" s="60" t="s">
        <v>83</v>
      </c>
      <c r="M10" s="61">
        <f t="shared" si="1"/>
        <v>0</v>
      </c>
      <c r="N10" s="62" t="s">
        <v>102</v>
      </c>
      <c r="O10" s="45" t="str">
        <f>IFERROR(__xludf.DUMMYFUNCTION("IFERROR(
  TEXT(
    MAX(FILTER(Remark!A:A, TRIM(Remark!B:B) = TRIM(B10))),
    ""dd/mm/yyyy""
  ) &amp; "" - "" &amp;
  FILTER(
    Remark!C:C,
    TRIM(Remark!B:B) = TRIM(B10),
    Remark!A:A = MAX(FILTER(Remark!A:A, TRIM(Remark!B:B) = TRIM(B10)))
  ),
  """"
)"),"")</f>
        <v/>
      </c>
      <c r="P10" s="45" t="str">
        <f>IFERROR(__xludf.DUMMYFUNCTION("TEXTJOIN(CHAR(10), TRUE, IFERROR(
  FILTER(TEXT(Remark!A:A, ""dd/mm/yyyy"") &amp; "" - "" &amp; Remark!C:C, TRIM(Remark!B:B) = TRIM(B10)),
  """"
))"),"")</f>
        <v/>
      </c>
      <c r="Q10" s="45" t="str">
        <f>IFERROR(__xludf.DUMMYFUNCTION("IFERROR(
  FILTER(
    Remark!D:D,
    Remark!A:A = MAX(FILTER(Remark!A:A, TRIM(Remark!B:B) = TRIM(B10)))
  ),
  """"
)"),"")</f>
        <v/>
      </c>
      <c r="R10" s="46" t="str">
        <f t="shared" si="2"/>
        <v>Learning</v>
      </c>
      <c r="S10" s="43" t="b">
        <v>1</v>
      </c>
      <c r="T10" s="52" t="s">
        <v>80</v>
      </c>
      <c r="U10" s="62">
        <v>2.0</v>
      </c>
      <c r="V10" s="62">
        <v>1.0</v>
      </c>
      <c r="W10" s="62"/>
      <c r="X10" s="62">
        <v>1.0</v>
      </c>
      <c r="Y10" s="62">
        <v>1.0</v>
      </c>
      <c r="Z10" s="62"/>
      <c r="AA10" s="49">
        <f t="shared" si="3"/>
        <v>3</v>
      </c>
    </row>
    <row r="11" ht="26.25" customHeight="1">
      <c r="A11" s="35">
        <v>394.0</v>
      </c>
      <c r="B11" s="36" t="s">
        <v>103</v>
      </c>
      <c r="C11" s="40" t="s">
        <v>76</v>
      </c>
      <c r="D11" s="54">
        <v>45869.0</v>
      </c>
      <c r="E11" s="51"/>
      <c r="F11" s="40" t="s">
        <v>77</v>
      </c>
      <c r="G11" s="57" t="s">
        <v>0</v>
      </c>
      <c r="H11" s="57" t="s">
        <v>100</v>
      </c>
      <c r="I11" s="58">
        <v>46055.0</v>
      </c>
      <c r="J11" s="57" t="s">
        <v>101</v>
      </c>
      <c r="K11" s="43" t="b">
        <v>1</v>
      </c>
      <c r="L11" s="60"/>
      <c r="M11" s="61">
        <f t="shared" si="1"/>
        <v>10</v>
      </c>
      <c r="N11" s="62" t="s">
        <v>104</v>
      </c>
      <c r="O11" s="45" t="str">
        <f>IFERROR(__xludf.DUMMYFUNCTION("IFERROR(
  TEXT(
    MAX(FILTER(Remark!A:A, TRIM(Remark!B:B) = TRIM(B11))),
    ""dd/mm/yyyy""
  ) &amp; "" - "" &amp;
  FILTER(
    Remark!C:C,
    TRIM(Remark!B:B) = TRIM(B11),
    Remark!A:A = MAX(FILTER(Remark!A:A, TRIM(Remark!B:B) = TRIM(B11)))
  ),
  """"
)"),"")</f>
        <v/>
      </c>
      <c r="P11" s="45" t="str">
        <f>IFERROR(__xludf.DUMMYFUNCTION("TEXTJOIN(CHAR(10), TRUE, IFERROR(
  FILTER(TEXT(Remark!A:A, ""dd/mm/yyyy"") &amp; "" - "" &amp; Remark!C:C, TRIM(Remark!B:B) = TRIM(B11)),
  """"
))"),"")</f>
        <v/>
      </c>
      <c r="Q11" s="45" t="str">
        <f>IFERROR(__xludf.DUMMYFUNCTION("IFERROR(
  FILTER(
    Remark!D:D,
    Remark!A:A = MAX(FILTER(Remark!A:A, TRIM(Remark!B:B) = TRIM(B11)))
  ),
  """"
)"),"")</f>
        <v/>
      </c>
      <c r="R11" s="46" t="str">
        <f t="shared" si="2"/>
        <v>Learning</v>
      </c>
      <c r="S11" s="43" t="b">
        <v>1</v>
      </c>
      <c r="T11" s="52" t="s">
        <v>105</v>
      </c>
      <c r="U11" s="62">
        <v>6.0</v>
      </c>
      <c r="V11" s="62">
        <v>1.0</v>
      </c>
      <c r="W11" s="62">
        <v>1.0</v>
      </c>
      <c r="X11" s="62">
        <v>1.0</v>
      </c>
      <c r="Y11" s="62"/>
      <c r="Z11" s="62"/>
      <c r="AA11" s="49">
        <f t="shared" si="3"/>
        <v>3</v>
      </c>
    </row>
    <row r="12" ht="26.25" customHeight="1">
      <c r="A12" s="63">
        <v>467.0</v>
      </c>
      <c r="B12" s="64" t="s">
        <v>106</v>
      </c>
      <c r="C12" s="40" t="s">
        <v>76</v>
      </c>
      <c r="D12" s="65">
        <v>46083.0</v>
      </c>
      <c r="E12" s="51"/>
      <c r="F12" s="40" t="s">
        <v>77</v>
      </c>
      <c r="G12" s="40" t="s">
        <v>0</v>
      </c>
      <c r="H12" s="40" t="s">
        <v>100</v>
      </c>
      <c r="I12" s="42">
        <v>46090.0</v>
      </c>
      <c r="J12" s="40" t="s">
        <v>101</v>
      </c>
      <c r="K12" s="43" t="b">
        <v>0</v>
      </c>
      <c r="L12" s="44"/>
      <c r="M12" s="45">
        <f t="shared" si="1"/>
        <v>5</v>
      </c>
      <c r="N12" s="45"/>
      <c r="O12" s="49"/>
      <c r="P12" s="45" t="str">
        <f>IFERROR(__xludf.DUMMYFUNCTION("TEXTJOIN(CHAR(10), TRUE, IFERROR(
  FILTER(TEXT(Remark!A:A, ""dd/mm/yyyy"") &amp; "" - "" &amp; Remark!C:C, TRIM(Remark!B:B) = TRIM(B12)),
  """"
))"),"")</f>
        <v/>
      </c>
      <c r="Q12" s="45" t="str">
        <f>IFERROR(__xludf.DUMMYFUNCTION("IFERROR(
  FILTER(
    Remark!D:D,
    Remark!A:A = MAX(FILTER(Remark!A:A, TRIM(Remark!B:B) = TRIM(B12)))
  ),
  """"
)"),"")</f>
        <v/>
      </c>
      <c r="R12" s="46" t="str">
        <f t="shared" si="2"/>
        <v>Learning</v>
      </c>
      <c r="S12" s="47" t="b">
        <v>0</v>
      </c>
      <c r="T12" s="48" t="s">
        <v>107</v>
      </c>
      <c r="U12" s="49"/>
      <c r="V12" s="49"/>
      <c r="W12" s="49"/>
      <c r="X12" s="49">
        <v>1.0</v>
      </c>
      <c r="Y12" s="49">
        <v>1.0</v>
      </c>
      <c r="Z12" s="49"/>
      <c r="AA12" s="49">
        <f t="shared" si="3"/>
        <v>2</v>
      </c>
    </row>
    <row r="13" ht="26.25" customHeight="1">
      <c r="A13" s="35">
        <v>391.0</v>
      </c>
      <c r="B13" s="36" t="s">
        <v>108</v>
      </c>
      <c r="C13" s="40" t="s">
        <v>76</v>
      </c>
      <c r="D13" s="38">
        <v>45845.0</v>
      </c>
      <c r="E13" s="51"/>
      <c r="F13" s="40" t="s">
        <v>77</v>
      </c>
      <c r="G13" s="57" t="s">
        <v>0</v>
      </c>
      <c r="H13" s="40" t="s">
        <v>109</v>
      </c>
      <c r="I13" s="58">
        <v>45845.0</v>
      </c>
      <c r="J13" s="57" t="s">
        <v>110</v>
      </c>
      <c r="K13" s="43" t="b">
        <v>1</v>
      </c>
      <c r="L13" s="60"/>
      <c r="M13" s="61">
        <f t="shared" si="1"/>
        <v>40</v>
      </c>
      <c r="N13" s="61"/>
      <c r="O13" s="45" t="str">
        <f>IFERROR(__xludf.DUMMYFUNCTION("IFERROR(
  TEXT(
    MAX(FILTER(Remark!A:A, TRIM(Remark!B:B) = TRIM(B13))),
    ""dd/mm/yyyy""
  ) &amp; "" - "" &amp;
  FILTER(
    Remark!C:C,
    TRIM(Remark!B:B) = TRIM(B13),
    Remark!A:A = MAX(FILTER(Remark!A:A, TRIM(Remark!B:B) = TRIM(B13)))
  ),
  """"
)"),"")</f>
        <v/>
      </c>
      <c r="P13" s="45" t="str">
        <f>IFERROR(__xludf.DUMMYFUNCTION("TEXTJOIN(CHAR(10), TRUE, IFERROR(
  FILTER(TEXT(Remark!A:A, ""dd/mm/yyyy"") &amp; "" - "" &amp; Remark!C:C, TRIM(Remark!B:B) = TRIM(B13)),
  """"
))"),"")</f>
        <v/>
      </c>
      <c r="Q13" s="45" t="str">
        <f>IFERROR(__xludf.DUMMYFUNCTION("IFERROR(
  FILTER(
    Remark!D:D,
    Remark!A:A = MAX(FILTER(Remark!A:A, TRIM(Remark!B:B) = TRIM(B13)))
  ),
  """"
)"),"")</f>
        <v/>
      </c>
      <c r="R13" s="46" t="str">
        <f t="shared" si="2"/>
        <v>Starting Final Project</v>
      </c>
      <c r="S13" s="47"/>
      <c r="T13" s="52" t="s">
        <v>111</v>
      </c>
      <c r="U13" s="62">
        <v>6.0</v>
      </c>
      <c r="V13" s="62">
        <v>1.0</v>
      </c>
      <c r="W13" s="62"/>
      <c r="X13" s="62">
        <v>1.0</v>
      </c>
      <c r="Y13" s="62">
        <v>1.0</v>
      </c>
      <c r="Z13" s="62"/>
      <c r="AA13" s="49">
        <f t="shared" si="3"/>
        <v>3</v>
      </c>
    </row>
    <row r="14" ht="26.25" customHeight="1">
      <c r="A14" s="66">
        <v>436.0</v>
      </c>
      <c r="B14" s="36" t="s">
        <v>112</v>
      </c>
      <c r="C14" s="40" t="s">
        <v>76</v>
      </c>
      <c r="D14" s="54">
        <v>46036.0</v>
      </c>
      <c r="E14" s="51"/>
      <c r="F14" s="40" t="s">
        <v>77</v>
      </c>
      <c r="G14" s="40" t="s">
        <v>0</v>
      </c>
      <c r="H14" s="40" t="s">
        <v>109</v>
      </c>
      <c r="I14" s="42">
        <v>46034.0</v>
      </c>
      <c r="J14" s="40" t="s">
        <v>110</v>
      </c>
      <c r="K14" s="43" t="b">
        <v>0</v>
      </c>
      <c r="L14" s="44"/>
      <c r="M14" s="45">
        <f t="shared" si="1"/>
        <v>13</v>
      </c>
      <c r="N14" s="49"/>
      <c r="O14" s="45" t="str">
        <f>IFERROR(__xludf.DUMMYFUNCTION("IFERROR(
  TEXT(
    MAX(FILTER(Remark!A:A, TRIM(Remark!B:B) = TRIM(B14))),
    ""dd/mm/yyyy""
  ) &amp; "" - "" &amp;
  FILTER(
    Remark!C:C,
    TRIM(Remark!B:B) = TRIM(B14),
    Remark!A:A = MAX(FILTER(Remark!A:A, TRIM(Remark!B:B) = TRIM(B14)))
  ),
  """"
)"),"")</f>
        <v/>
      </c>
      <c r="P14" s="45" t="str">
        <f>IFERROR(__xludf.DUMMYFUNCTION("TEXTJOIN(CHAR(10), TRUE, IFERROR(
  FILTER(TEXT(Remark!A:A, ""dd/mm/yyyy"") &amp; "" - "" &amp; Remark!C:C, TRIM(Remark!B:B) = TRIM(B14)),
  """"
))"),"")</f>
        <v/>
      </c>
      <c r="Q14" s="45" t="str">
        <f>IFERROR(__xludf.DUMMYFUNCTION("IFERROR(
  FILTER(
    Remark!D:D,
    Remark!A:A = MAX(FILTER(Remark!A:A, TRIM(Remark!B:B) = TRIM(B14)))
  ),
  """"
)"),"")</f>
        <v/>
      </c>
      <c r="R14" s="46" t="str">
        <f t="shared" si="2"/>
        <v>Learning</v>
      </c>
      <c r="S14" s="47"/>
      <c r="T14" s="48" t="s">
        <v>113</v>
      </c>
      <c r="U14" s="49"/>
      <c r="V14" s="49"/>
      <c r="W14" s="49">
        <v>1.0</v>
      </c>
      <c r="X14" s="49">
        <v>1.0</v>
      </c>
      <c r="Y14" s="49">
        <v>2.0</v>
      </c>
      <c r="Z14" s="49"/>
      <c r="AA14" s="49">
        <f t="shared" si="3"/>
        <v>4</v>
      </c>
    </row>
    <row r="15" ht="26.25" customHeight="1">
      <c r="A15" s="66">
        <v>446.0</v>
      </c>
      <c r="B15" s="36" t="s">
        <v>114</v>
      </c>
      <c r="C15" s="40" t="s">
        <v>76</v>
      </c>
      <c r="D15" s="38">
        <v>46056.0</v>
      </c>
      <c r="E15" s="51"/>
      <c r="F15" s="40" t="s">
        <v>77</v>
      </c>
      <c r="G15" s="40" t="s">
        <v>0</v>
      </c>
      <c r="H15" s="40" t="s">
        <v>109</v>
      </c>
      <c r="I15" s="42">
        <v>46055.0</v>
      </c>
      <c r="J15" s="40" t="s">
        <v>110</v>
      </c>
      <c r="K15" s="43" t="b">
        <v>0</v>
      </c>
      <c r="L15" s="44"/>
      <c r="M15" s="45">
        <f t="shared" si="1"/>
        <v>10</v>
      </c>
      <c r="N15" s="45"/>
      <c r="O15" s="45" t="str">
        <f>IFERROR(__xludf.DUMMYFUNCTION("IFERROR(
  TEXT(
    MAX(FILTER(Remark!A:A, TRIM(Remark!B:B) = TRIM(B15))),
    ""dd/mm/yyyy""
  ) &amp; "" - "" &amp;
  FILTER(
    Remark!C:C,
    TRIM(Remark!B:B) = TRIM(B15),
    Remark!A:A = MAX(FILTER(Remark!A:A, TRIM(Remark!B:B) = TRIM(B15)))
  ),
  """"
)"),"")</f>
        <v/>
      </c>
      <c r="P15" s="45" t="str">
        <f>IFERROR(__xludf.DUMMYFUNCTION("TEXTJOIN(CHAR(10), TRUE, IFERROR(
  FILTER(TEXT(Remark!A:A, ""dd/mm/yyyy"") &amp; "" - "" &amp; Remark!C:C, TRIM(Remark!B:B) = TRIM(B15)),
  """"
))"),"")</f>
        <v/>
      </c>
      <c r="Q15" s="45" t="str">
        <f>IFERROR(__xludf.DUMMYFUNCTION("IFERROR(
  FILTER(
    Remark!D:D,
    Remark!A:A = MAX(FILTER(Remark!A:A, TRIM(Remark!B:B) = TRIM(B15)))
  ),
  """"
)"),"")</f>
        <v/>
      </c>
      <c r="R15" s="46" t="str">
        <f t="shared" si="2"/>
        <v>Learning</v>
      </c>
      <c r="S15" s="47" t="b">
        <v>0</v>
      </c>
      <c r="T15" s="48" t="s">
        <v>115</v>
      </c>
      <c r="U15" s="49"/>
      <c r="V15" s="49"/>
      <c r="W15" s="49">
        <v>1.0</v>
      </c>
      <c r="X15" s="49">
        <v>3.0</v>
      </c>
      <c r="Y15" s="49">
        <v>2.0</v>
      </c>
      <c r="Z15" s="49"/>
      <c r="AA15" s="49">
        <f t="shared" si="3"/>
        <v>6</v>
      </c>
    </row>
    <row r="16" ht="26.25" customHeight="1">
      <c r="A16" s="66">
        <v>451.0</v>
      </c>
      <c r="B16" s="36" t="s">
        <v>116</v>
      </c>
      <c r="C16" s="40" t="s">
        <v>76</v>
      </c>
      <c r="D16" s="38">
        <v>46062.0</v>
      </c>
      <c r="E16" s="51"/>
      <c r="F16" s="40" t="s">
        <v>77</v>
      </c>
      <c r="G16" s="40" t="s">
        <v>0</v>
      </c>
      <c r="H16" s="40" t="s">
        <v>109</v>
      </c>
      <c r="I16" s="42">
        <v>46055.0</v>
      </c>
      <c r="J16" s="40" t="s">
        <v>110</v>
      </c>
      <c r="K16" s="43" t="b">
        <v>0</v>
      </c>
      <c r="L16" s="44"/>
      <c r="M16" s="45">
        <f t="shared" si="1"/>
        <v>10</v>
      </c>
      <c r="N16" s="45"/>
      <c r="O16" s="49" t="s">
        <v>48</v>
      </c>
      <c r="P16" s="45" t="str">
        <f>IFERROR(__xludf.DUMMYFUNCTION("TEXTJOIN(CHAR(10), TRUE, IFERROR(
  FILTER(TEXT(Remark!A:A, ""dd/mm/yyyy"") &amp; "" - "" &amp; Remark!C:C, TRIM(Remark!B:B) = TRIM(B16)),
  """"
))"),"24/02/2026 - So far, his progress is generally okay. He is progressing slightly slower as he is still learning to understand the instructions on the LMS. Mentor is guiding him step by step on how to read and interpret the instructions independently")</f>
        <v>24/02/2026 - So far, his progress is generally okay. He is progressing slightly slower as he is still learning to understand the instructions on the LMS. Mentor is guiding him step by step on how to read and interpret the instructions independently</v>
      </c>
      <c r="Q16" s="45" t="str">
        <f>IFERROR(__xludf.DUMMYFUNCTION("IFERROR(
  FILTER(
    Remark!D:D,
    Remark!A:A = MAX(FILTER(Remark!A:A, TRIM(Remark!B:B) = TRIM(B16)))
  ),
  """"
)"),"No")</f>
        <v>No</v>
      </c>
      <c r="R16" s="46" t="str">
        <f t="shared" si="2"/>
        <v>Learning</v>
      </c>
      <c r="S16" s="47" t="b">
        <v>0</v>
      </c>
      <c r="T16" s="48" t="s">
        <v>117</v>
      </c>
      <c r="U16" s="49"/>
      <c r="V16" s="49"/>
      <c r="W16" s="49"/>
      <c r="X16" s="49">
        <v>1.0</v>
      </c>
      <c r="Y16" s="49">
        <v>2.0</v>
      </c>
      <c r="Z16" s="49"/>
      <c r="AA16" s="49">
        <f t="shared" si="3"/>
        <v>3</v>
      </c>
    </row>
    <row r="17" ht="26.25" customHeight="1">
      <c r="A17" s="35">
        <v>41.0</v>
      </c>
      <c r="B17" s="56" t="s">
        <v>118</v>
      </c>
      <c r="C17" s="37" t="s">
        <v>76</v>
      </c>
      <c r="D17" s="54">
        <v>44723.0</v>
      </c>
      <c r="E17" s="39"/>
      <c r="F17" s="40" t="s">
        <v>77</v>
      </c>
      <c r="G17" s="41" t="s">
        <v>0</v>
      </c>
      <c r="H17" s="40" t="s">
        <v>119</v>
      </c>
      <c r="I17" s="42">
        <v>46027.0</v>
      </c>
      <c r="J17" s="40" t="s">
        <v>120</v>
      </c>
      <c r="K17" s="43" t="b">
        <v>1</v>
      </c>
      <c r="L17" s="44" t="s">
        <v>83</v>
      </c>
      <c r="M17" s="45">
        <f t="shared" si="1"/>
        <v>14</v>
      </c>
      <c r="N17" s="49"/>
      <c r="O17" s="45" t="str">
        <f>IFERROR(__xludf.DUMMYFUNCTION("IFERROR(
  TEXT(
    MAX(FILTER(Remark!A:A, TRIM(Remark!B:B) = TRIM(B17))),
    ""dd/mm/yyyy""
  ) &amp; "" - "" &amp;
  FILTER(
    Remark!C:C,
    TRIM(Remark!B:B) = TRIM(B17),
    Remark!A:A = MAX(FILTER(Remark!A:A, TRIM(Remark!B:B) = TRIM(B17)))
  ),
  """"
)"),"")</f>
        <v/>
      </c>
      <c r="P17" s="45" t="str">
        <f>IFERROR(__xludf.DUMMYFUNCTION("TEXTJOIN(CHAR(10), TRUE, IFERROR(
  FILTER(TEXT(Remark!A:A, ""dd/mm/yyyy"") &amp; "" - "" &amp; Remark!C:C, TRIM(Remark!B:B) = TRIM(B17)),
  """"
))"),"")</f>
        <v/>
      </c>
      <c r="Q17" s="45" t="str">
        <f>IFERROR(__xludf.DUMMYFUNCTION("IFERROR(
  FILTER(
    Remark!D:D,
    Remark!A:A = MAX(FILTER(Remark!A:A, TRIM(Remark!B:B) = TRIM(B17)))
  ),
  """"
)"),"")</f>
        <v/>
      </c>
      <c r="R17" s="46" t="str">
        <f t="shared" si="2"/>
        <v>Learning</v>
      </c>
      <c r="S17" s="47"/>
      <c r="T17" s="50" t="s">
        <v>121</v>
      </c>
      <c r="U17" s="49">
        <v>2.0</v>
      </c>
      <c r="V17" s="49">
        <v>1.0</v>
      </c>
      <c r="W17" s="49"/>
      <c r="X17" s="49"/>
      <c r="Y17" s="49">
        <v>1.0</v>
      </c>
      <c r="Z17" s="49"/>
      <c r="AA17" s="49">
        <f t="shared" si="3"/>
        <v>2</v>
      </c>
    </row>
    <row r="18" ht="26.25" customHeight="1">
      <c r="A18" s="35">
        <v>9.0</v>
      </c>
      <c r="B18" s="50" t="s">
        <v>122</v>
      </c>
      <c r="C18" s="37" t="s">
        <v>76</v>
      </c>
      <c r="D18" s="38">
        <v>44532.0</v>
      </c>
      <c r="E18" s="39"/>
      <c r="F18" s="40" t="s">
        <v>77</v>
      </c>
      <c r="G18" s="41" t="s">
        <v>0</v>
      </c>
      <c r="H18" s="40" t="s">
        <v>123</v>
      </c>
      <c r="I18" s="42">
        <v>45922.0</v>
      </c>
      <c r="J18" s="40" t="s">
        <v>82</v>
      </c>
      <c r="K18" s="43" t="b">
        <v>1</v>
      </c>
      <c r="L18" s="44"/>
      <c r="M18" s="45">
        <f t="shared" si="1"/>
        <v>29</v>
      </c>
      <c r="N18" s="49"/>
      <c r="O18" s="45" t="str">
        <f>IFERROR(__xludf.DUMMYFUNCTION("IFERROR(
  TEXT(
    MAX(FILTER(Remark!A:A, TRIM(Remark!B:B) = TRIM(B18))),
    ""dd/mm/yyyy""
  ) &amp; "" - "" &amp;
  FILTER(
    Remark!C:C,
    TRIM(Remark!B:B) = TRIM(B18),
    Remark!A:A = MAX(FILTER(Remark!A:A, TRIM(Remark!B:B) = TRIM(B18)))
  ),
  """"
)"),"")</f>
        <v/>
      </c>
      <c r="P18" s="45" t="str">
        <f>IFERROR(__xludf.DUMMYFUNCTION("TEXTJOIN(CHAR(10), TRUE, IFERROR(
  FILTER(TEXT(Remark!A:A, ""dd/mm/yyyy"") &amp; "" - "" &amp; Remark!C:C, TRIM(Remark!B:B) = TRIM(B18)),
  """"
))"),"")</f>
        <v/>
      </c>
      <c r="Q18" s="45" t="str">
        <f>IFERROR(__xludf.DUMMYFUNCTION("IFERROR(
  FILTER(
    Remark!D:D,
    Remark!A:A = MAX(FILTER(Remark!A:A, TRIM(Remark!B:B) = TRIM(B18)))
  ),
  """"
)"),"")</f>
        <v/>
      </c>
      <c r="R18" s="46" t="str">
        <f t="shared" si="2"/>
        <v>Learning</v>
      </c>
      <c r="S18" s="47"/>
      <c r="T18" s="56" t="s">
        <v>124</v>
      </c>
      <c r="U18" s="49">
        <v>4.0</v>
      </c>
      <c r="V18" s="49">
        <v>1.0</v>
      </c>
      <c r="W18" s="49"/>
      <c r="X18" s="49"/>
      <c r="Y18" s="49">
        <v>1.0</v>
      </c>
      <c r="Z18" s="49"/>
      <c r="AA18" s="49">
        <f t="shared" si="3"/>
        <v>2</v>
      </c>
    </row>
    <row r="19" ht="26.25" customHeight="1">
      <c r="A19" s="35">
        <v>187.0</v>
      </c>
      <c r="B19" s="50" t="s">
        <v>125</v>
      </c>
      <c r="C19" s="37" t="s">
        <v>76</v>
      </c>
      <c r="D19" s="38">
        <v>45201.0</v>
      </c>
      <c r="E19" s="39"/>
      <c r="F19" s="40" t="s">
        <v>77</v>
      </c>
      <c r="G19" s="41" t="s">
        <v>0</v>
      </c>
      <c r="H19" s="40" t="s">
        <v>123</v>
      </c>
      <c r="I19" s="42">
        <v>46027.0</v>
      </c>
      <c r="J19" s="40" t="s">
        <v>126</v>
      </c>
      <c r="K19" s="43" t="b">
        <v>1</v>
      </c>
      <c r="L19" s="44"/>
      <c r="M19" s="45">
        <f t="shared" si="1"/>
        <v>14</v>
      </c>
      <c r="N19" s="45"/>
      <c r="O19" s="45" t="str">
        <f>IFERROR(__xludf.DUMMYFUNCTION("IFERROR(
  TEXT(
    MAX(FILTER(Remark!A:A, TRIM(Remark!B:B) = TRIM(B19))),
    ""dd/mm/yyyy""
  ) &amp; "" - "" &amp;
  FILTER(
    Remark!C:C,
    TRIM(Remark!B:B) = TRIM(B19),
    Remark!A:A = MAX(FILTER(Remark!A:A, TRIM(Remark!B:B) = TRIM(B19)))
  ),
  """"
)"),"")</f>
        <v/>
      </c>
      <c r="P19" s="45" t="str">
        <f>IFERROR(__xludf.DUMMYFUNCTION("TEXTJOIN(CHAR(10), TRUE, IFERROR(
  FILTER(TEXT(Remark!A:A, ""dd/mm/yyyy"") &amp; "" - "" &amp; Remark!C:C, TRIM(Remark!B:B) = TRIM(B19)),
  """"
))"),"")</f>
        <v/>
      </c>
      <c r="Q19" s="45" t="str">
        <f>IFERROR(__xludf.DUMMYFUNCTION("IFERROR(
  FILTER(
    Remark!D:D,
    Remark!A:A = MAX(FILTER(Remark!A:A, TRIM(Remark!B:B) = TRIM(B19)))
  ),
  """"
)"),"")</f>
        <v/>
      </c>
      <c r="R19" s="46" t="str">
        <f t="shared" si="2"/>
        <v>Learning</v>
      </c>
      <c r="S19" s="47"/>
      <c r="T19" s="48" t="s">
        <v>95</v>
      </c>
      <c r="U19" s="49">
        <v>4.0</v>
      </c>
      <c r="V19" s="49"/>
      <c r="W19" s="49"/>
      <c r="X19" s="49">
        <v>1.0</v>
      </c>
      <c r="Y19" s="49">
        <v>1.0</v>
      </c>
      <c r="Z19" s="49"/>
      <c r="AA19" s="49">
        <f t="shared" si="3"/>
        <v>2</v>
      </c>
    </row>
    <row r="20" ht="26.25" customHeight="1">
      <c r="A20" s="35">
        <v>267.0</v>
      </c>
      <c r="B20" s="36" t="s">
        <v>127</v>
      </c>
      <c r="C20" s="37" t="s">
        <v>76</v>
      </c>
      <c r="D20" s="54">
        <v>45503.0</v>
      </c>
      <c r="E20" s="39"/>
      <c r="F20" s="40" t="s">
        <v>77</v>
      </c>
      <c r="G20" s="40" t="s">
        <v>0</v>
      </c>
      <c r="H20" s="40" t="s">
        <v>123</v>
      </c>
      <c r="I20" s="42">
        <v>45960.0</v>
      </c>
      <c r="J20" s="40" t="s">
        <v>126</v>
      </c>
      <c r="K20" s="43" t="b">
        <v>1</v>
      </c>
      <c r="L20" s="44"/>
      <c r="M20" s="45">
        <f t="shared" si="1"/>
        <v>24</v>
      </c>
      <c r="N20" s="49"/>
      <c r="O20" s="45" t="str">
        <f>IFERROR(__xludf.DUMMYFUNCTION("IFERROR(
  TEXT(
    MAX(FILTER(Remark!A:A, TRIM(Remark!B:B) = TRIM(B20))),
    ""dd/mm/yyyy""
  ) &amp; "" - "" &amp;
  FILTER(
    Remark!C:C,
    TRIM(Remark!B:B) = TRIM(B20),
    Remark!A:A = MAX(FILTER(Remark!A:A, TRIM(Remark!B:B) = TRIM(B20)))
  ),
  """"
)"),"")</f>
        <v/>
      </c>
      <c r="P20" s="45" t="str">
        <f>IFERROR(__xludf.DUMMYFUNCTION("TEXTJOIN(CHAR(10), TRUE, IFERROR(
  FILTER(TEXT(Remark!A:A, ""dd/mm/yyyy"") &amp; "" - "" &amp; Remark!C:C, TRIM(Remark!B:B) = TRIM(B20)),
  """"
))"),"")</f>
        <v/>
      </c>
      <c r="Q20" s="45" t="str">
        <f>IFERROR(__xludf.DUMMYFUNCTION("IFERROR(
  FILTER(
    Remark!D:D,
    Remark!A:A = MAX(FILTER(Remark!A:A, TRIM(Remark!B:B) = TRIM(B20)))
  ),
  """"
)"),"")</f>
        <v/>
      </c>
      <c r="R20" s="46" t="str">
        <f t="shared" si="2"/>
        <v>Learning</v>
      </c>
      <c r="S20" s="47"/>
      <c r="T20" s="48" t="s">
        <v>128</v>
      </c>
      <c r="U20" s="49">
        <v>1.0</v>
      </c>
      <c r="V20" s="49"/>
      <c r="W20" s="49"/>
      <c r="X20" s="49">
        <v>1.0</v>
      </c>
      <c r="Y20" s="49">
        <v>1.0</v>
      </c>
      <c r="Z20" s="49"/>
      <c r="AA20" s="49">
        <f t="shared" si="3"/>
        <v>2</v>
      </c>
    </row>
    <row r="21" ht="26.25" customHeight="1">
      <c r="A21" s="35">
        <v>343.0</v>
      </c>
      <c r="B21" s="36" t="s">
        <v>129</v>
      </c>
      <c r="C21" s="40" t="s">
        <v>76</v>
      </c>
      <c r="D21" s="54">
        <v>45740.0</v>
      </c>
      <c r="E21" s="51"/>
      <c r="F21" s="40" t="s">
        <v>77</v>
      </c>
      <c r="G21" s="57" t="s">
        <v>0</v>
      </c>
      <c r="H21" s="57" t="s">
        <v>123</v>
      </c>
      <c r="I21" s="58">
        <v>45754.0</v>
      </c>
      <c r="J21" s="57" t="s">
        <v>126</v>
      </c>
      <c r="K21" s="59" t="b">
        <v>1</v>
      </c>
      <c r="L21" s="60"/>
      <c r="M21" s="61">
        <f t="shared" si="1"/>
        <v>53</v>
      </c>
      <c r="N21" s="61"/>
      <c r="O21" s="45" t="str">
        <f>IFERROR(__xludf.DUMMYFUNCTION("IFERROR(
  TEXT(
    MAX(FILTER(Remark!A:A, TRIM(Remark!B:B) = TRIM(B21))),
    ""dd/mm/yyyy""
  ) &amp; "" - "" &amp;
  FILTER(
    Remark!C:C,
    TRIM(Remark!B:B) = TRIM(B21),
    Remark!A:A = MAX(FILTER(Remark!A:A, TRIM(Remark!B:B) = TRIM(B21)))
  ),
  """"
)"),"")</f>
        <v/>
      </c>
      <c r="P21" s="45" t="str">
        <f>IFERROR(__xludf.DUMMYFUNCTION("TEXTJOIN(CHAR(10), TRUE, IFERROR(
  FILTER(TEXT(Remark!A:A, ""dd/mm/yyyy"") &amp; "" - "" &amp; Remark!C:C, TRIM(Remark!B:B) = TRIM(B21)),
  """"
))"),"")</f>
        <v/>
      </c>
      <c r="Q21" s="45" t="str">
        <f>IFERROR(__xludf.DUMMYFUNCTION("IFERROR(
  FILTER(
    Remark!D:D,
    Remark!A:A = MAX(FILTER(Remark!A:A, TRIM(Remark!B:B) = TRIM(B21)))
  ),
  """"
)"),"")</f>
        <v/>
      </c>
      <c r="R21" s="46" t="str">
        <f t="shared" si="2"/>
        <v>Prepare for Showcase</v>
      </c>
      <c r="S21" s="43" t="b">
        <v>1</v>
      </c>
      <c r="T21" s="52" t="s">
        <v>130</v>
      </c>
      <c r="U21" s="61">
        <v>1.0</v>
      </c>
      <c r="V21" s="62">
        <v>1.0</v>
      </c>
      <c r="W21" s="62"/>
      <c r="X21" s="62"/>
      <c r="Y21" s="62"/>
      <c r="Z21" s="62"/>
      <c r="AA21" s="49">
        <f t="shared" si="3"/>
        <v>1</v>
      </c>
    </row>
    <row r="22" ht="26.25" customHeight="1">
      <c r="A22" s="35">
        <v>7.0</v>
      </c>
      <c r="B22" s="50" t="s">
        <v>131</v>
      </c>
      <c r="C22" s="37" t="s">
        <v>76</v>
      </c>
      <c r="D22" s="38">
        <v>44507.0</v>
      </c>
      <c r="E22" s="39"/>
      <c r="F22" s="40" t="s">
        <v>132</v>
      </c>
      <c r="G22" s="41" t="s">
        <v>0</v>
      </c>
      <c r="H22" s="40" t="s">
        <v>133</v>
      </c>
      <c r="I22" s="55">
        <v>45047.0</v>
      </c>
      <c r="J22" s="40" t="s">
        <v>134</v>
      </c>
      <c r="K22" s="43" t="b">
        <v>1</v>
      </c>
      <c r="L22" s="44" t="s">
        <v>83</v>
      </c>
      <c r="M22" s="45">
        <f t="shared" si="1"/>
        <v>154</v>
      </c>
      <c r="N22" s="45"/>
      <c r="O22" s="45" t="str">
        <f>IFERROR(__xludf.DUMMYFUNCTION("IFERROR(
  TEXT(
    MAX(FILTER(Remark!A:A, TRIM(Remark!B:B) = TRIM(B22))),
    ""dd/mm/yyyy""
  ) &amp; "" - "" &amp;
  FILTER(
    Remark!C:C,
    TRIM(Remark!B:B) = TRIM(B22),
    Remark!A:A = MAX(FILTER(Remark!A:A, TRIM(Remark!B:B) = TRIM(B22)))
  ),
  """"
)"),"")</f>
        <v/>
      </c>
      <c r="P22" s="45" t="str">
        <f>IFERROR(__xludf.DUMMYFUNCTION("TEXTJOIN(CHAR(10), TRUE, IFERROR(
  FILTER(TEXT(Remark!A:A, ""dd/mm/yyyy"") &amp; "" - "" &amp; Remark!C:C, TRIM(Remark!B:B) = TRIM(B22)),
  """"
))"),"")</f>
        <v/>
      </c>
      <c r="Q22" s="45" t="str">
        <f>IFERROR(__xludf.DUMMYFUNCTION("IFERROR(
  FILTER(
    Remark!D:D,
    Remark!A:A = MAX(FILTER(Remark!A:A, TRIM(Remark!B:B) = TRIM(B22)))
  ),
  """"
)"),"")</f>
        <v/>
      </c>
      <c r="R22" s="46" t="str">
        <f t="shared" si="2"/>
        <v>Prepare for Showcase</v>
      </c>
      <c r="S22" s="43" t="b">
        <v>1</v>
      </c>
      <c r="T22" s="56" t="s">
        <v>124</v>
      </c>
      <c r="U22" s="49">
        <v>1.0</v>
      </c>
      <c r="V22" s="49"/>
      <c r="W22" s="49">
        <v>1.0</v>
      </c>
      <c r="X22" s="49"/>
      <c r="Y22" s="49"/>
      <c r="Z22" s="49"/>
      <c r="AA22" s="49">
        <f t="shared" si="3"/>
        <v>1</v>
      </c>
    </row>
    <row r="23" ht="26.25" customHeight="1">
      <c r="A23" s="35">
        <v>259.0</v>
      </c>
      <c r="B23" s="48" t="s">
        <v>135</v>
      </c>
      <c r="C23" s="37" t="s">
        <v>76</v>
      </c>
      <c r="D23" s="38">
        <v>45476.0</v>
      </c>
      <c r="E23" s="39"/>
      <c r="F23" s="40" t="s">
        <v>132</v>
      </c>
      <c r="G23" s="41" t="s">
        <v>0</v>
      </c>
      <c r="H23" s="40" t="s">
        <v>133</v>
      </c>
      <c r="I23" s="42">
        <v>45693.0</v>
      </c>
      <c r="J23" s="40" t="s">
        <v>134</v>
      </c>
      <c r="K23" s="43" t="b">
        <v>1</v>
      </c>
      <c r="L23" s="44"/>
      <c r="M23" s="45">
        <f t="shared" si="1"/>
        <v>62</v>
      </c>
      <c r="N23" s="49"/>
      <c r="O23" s="45" t="str">
        <f>IFERROR(__xludf.DUMMYFUNCTION("IFERROR(
  TEXT(
    MAX(FILTER(Remark!A:A, TRIM(Remark!B:B) = TRIM(B23))),
    ""dd/mm/yyyy""
  ) &amp; "" - "" &amp;
  FILTER(
    Remark!C:C,
    TRIM(Remark!B:B) = TRIM(B23),
    Remark!A:A = MAX(FILTER(Remark!A:A, TRIM(Remark!B:B) = TRIM(B23)))
  ),
  """"
)"),"14/10/2025 - [Caleb]
Previously, the student spent some time working on competition projects, but the focus is now back on regular learning.
Some of her projects have been completed but not yet submitted.
The mentor is advised to remind the student to sub"&amp;"mit all completed projects and to update the parents on her progress.")</f>
        <v>14/10/2025 - [Caleb]
Previously, the student spent some time working on competition projects, but the focus is now back on regular learning.
Some of her projects have been completed but not yet submitted.
The mentor is advised to remind the student to submit all completed projects and to update the parents on her progress.</v>
      </c>
      <c r="P23" s="45" t="str">
        <f>IFERROR(__xludf.DUMMYFUNCTION("TEXTJOIN(CHAR(10), TRUE, IFERROR(
  FILTER(TEXT(Remark!A:A, ""dd/mm/yyyy"") &amp; "" - "" &amp; Remark!C:C, TRIM(Remark!B:B) = TRIM(B23)),
  """"
))"),"14/10/2025 - [Caleb]
Previously, the student spent some time working on competition projects, but the focus is now back on regular learning.
Some of her projects have been completed but not yet submitted.
The mentor is advised to remind the student to sub"&amp;"mit all completed projects and to update the parents on her progress.")</f>
        <v>14/10/2025 - [Caleb]
Previously, the student spent some time working on competition projects, but the focus is now back on regular learning.
Some of her projects have been completed but not yet submitted.
The mentor is advised to remind the student to submit all completed projects and to update the parents on her progress.</v>
      </c>
      <c r="Q23" s="45" t="str">
        <f>IFERROR(__xludf.DUMMYFUNCTION("IFERROR(
  FILTER(
    Remark!D:D,
    Remark!A:A = MAX(FILTER(Remark!A:A, TRIM(Remark!B:B) = TRIM(B23)))
  ),
  """"
)"),"Yes")</f>
        <v>Yes</v>
      </c>
      <c r="R23" s="46" t="str">
        <f t="shared" si="2"/>
        <v>Prepare for Showcase</v>
      </c>
      <c r="S23" s="43" t="b">
        <v>1</v>
      </c>
      <c r="T23" s="48" t="s">
        <v>136</v>
      </c>
      <c r="U23" s="49">
        <v>4.0</v>
      </c>
      <c r="V23" s="49">
        <v>1.0</v>
      </c>
      <c r="W23" s="49"/>
      <c r="X23" s="49">
        <v>1.0</v>
      </c>
      <c r="Y23" s="49">
        <v>1.0</v>
      </c>
      <c r="Z23" s="49"/>
      <c r="AA23" s="49">
        <f t="shared" si="3"/>
        <v>3</v>
      </c>
    </row>
    <row r="24" ht="26.25" customHeight="1">
      <c r="A24" s="35">
        <v>260.0</v>
      </c>
      <c r="B24" s="48" t="s">
        <v>137</v>
      </c>
      <c r="C24" s="37" t="s">
        <v>76</v>
      </c>
      <c r="D24" s="54">
        <v>45489.0</v>
      </c>
      <c r="E24" s="39"/>
      <c r="F24" s="40" t="s">
        <v>132</v>
      </c>
      <c r="G24" s="41" t="s">
        <v>0</v>
      </c>
      <c r="H24" s="40" t="s">
        <v>133</v>
      </c>
      <c r="I24" s="42">
        <v>46029.0</v>
      </c>
      <c r="J24" s="40" t="s">
        <v>120</v>
      </c>
      <c r="K24" s="43" t="b">
        <v>1</v>
      </c>
      <c r="L24" s="44"/>
      <c r="M24" s="45">
        <f t="shared" si="1"/>
        <v>14</v>
      </c>
      <c r="N24" s="49"/>
      <c r="O24" s="45" t="str">
        <f>IFERROR(__xludf.DUMMYFUNCTION("IFERROR(
  TEXT(
    MAX(FILTER(Remark!A:A, TRIM(Remark!B:B) = TRIM(B24))),
    ""dd/mm/yyyy""
  ) &amp; "" - "" &amp;
  FILTER(
    Remark!C:C,
    TRIM(Remark!B:B) = TRIM(B24),
    Remark!A:A = MAX(FILTER(Remark!A:A, TRIM(Remark!B:B) = TRIM(B24)))
  ),
  """"
)"),"11/11/2025 - [Caleb]
The student is currently preparing for the showcase.
Demonstrates great initiative and a positive learning attitude, though self-learning skills still need improvement.
The mentor team has discussed strategies to support his growth"&amp;". We will begin by asking guiding questions to stimulate critical thinking and help him build problem-solving skills both in Chumbaka and beyond.")</f>
        <v>11/11/2025 - [Caleb]
The student is currently preparing for the showcase.
Demonstrates great initiative and a positive learning attitude, though self-learning skills still need improvement.
The mentor team has discussed strategies to support his growth. We will begin by asking guiding questions to stimulate critical thinking and help him build problem-solving skills both in Chumbaka and beyond.</v>
      </c>
      <c r="P24" s="45" t="str">
        <f>IFERROR(__xludf.DUMMYFUNCTION("TEXTJOIN(CHAR(10), TRUE, IFERROR(
  FILTER(TEXT(Remark!A:A, ""dd/mm/yyyy"") &amp; "" - "" &amp; Remark!C:C, TRIM(Remark!B:B) = TRIM(B24)),
  """"
))"),"11/11/2025 - [Caleb]
The student is currently preparing for the showcase.
Demonstrates great initiative and a positive learning attitude, though self-learning skills still need improvement.
The mentor team has discussed strategies to support his growth"&amp;". We will begin by asking guiding questions to stimulate critical thinking and help him build problem-solving skills both in Chumbaka and beyond.")</f>
        <v>11/11/2025 - [Caleb]
The student is currently preparing for the showcase.
Demonstrates great initiative and a positive learning attitude, though self-learning skills still need improvement.
The mentor team has discussed strategies to support his growth. We will begin by asking guiding questions to stimulate critical thinking and help him build problem-solving skills both in Chumbaka and beyond.</v>
      </c>
      <c r="Q24" s="45" t="str">
        <f>IFERROR(__xludf.DUMMYFUNCTION("IFERROR(
  FILTER(
    Remark!D:D,
    Remark!A:A = MAX(FILTER(Remark!A:A, TRIM(Remark!B:B) = TRIM(B24)))
  ),
  """"
)"),"Yes")</f>
        <v>Yes</v>
      </c>
      <c r="R24" s="46" t="str">
        <f t="shared" si="2"/>
        <v>Learning</v>
      </c>
      <c r="S24" s="47"/>
      <c r="T24" s="48" t="s">
        <v>136</v>
      </c>
      <c r="U24" s="49">
        <v>2.0</v>
      </c>
      <c r="V24" s="49"/>
      <c r="W24" s="49"/>
      <c r="X24" s="49">
        <v>1.0</v>
      </c>
      <c r="Y24" s="49">
        <v>1.0</v>
      </c>
      <c r="Z24" s="49"/>
      <c r="AA24" s="49">
        <f t="shared" si="3"/>
        <v>2</v>
      </c>
    </row>
    <row r="25" ht="26.25" customHeight="1">
      <c r="A25" s="35">
        <v>323.0</v>
      </c>
      <c r="B25" s="36" t="s">
        <v>138</v>
      </c>
      <c r="C25" s="40" t="s">
        <v>76</v>
      </c>
      <c r="D25" s="38">
        <v>45717.0</v>
      </c>
      <c r="E25" s="51"/>
      <c r="F25" s="40" t="s">
        <v>132</v>
      </c>
      <c r="G25" s="57" t="s">
        <v>0</v>
      </c>
      <c r="H25" s="57" t="s">
        <v>133</v>
      </c>
      <c r="I25" s="58">
        <v>45896.0</v>
      </c>
      <c r="J25" s="57" t="s">
        <v>101</v>
      </c>
      <c r="K25" s="59" t="b">
        <v>1</v>
      </c>
      <c r="L25" s="60"/>
      <c r="M25" s="61">
        <f t="shared" si="1"/>
        <v>33</v>
      </c>
      <c r="N25" s="61"/>
      <c r="O25" s="45" t="str">
        <f>IFERROR(__xludf.DUMMYFUNCTION("IFERROR(
  TEXT(
    MAX(FILTER(Remark!A:A, TRIM(Remark!B:B) = TRIM(B25))),
    ""dd/mm/yyyy""
  ) &amp; "" - "" &amp;
  FILTER(
    Remark!C:C,
    TRIM(Remark!B:B) = TRIM(B25),
    Remark!A:A = MAX(FILTER(Remark!A:A, TRIM(Remark!B:B) = TRIM(B25)))
  ),
  """"
)"),"")</f>
        <v/>
      </c>
      <c r="P25" s="45" t="str">
        <f>IFERROR(__xludf.DUMMYFUNCTION("TEXTJOIN(CHAR(10), TRUE, IFERROR(
  FILTER(TEXT(Remark!A:A, ""dd/mm/yyyy"") &amp; "" - "" &amp; Remark!C:C, TRIM(Remark!B:B) = TRIM(B25)),
  """"
))"),"")</f>
        <v/>
      </c>
      <c r="Q25" s="45" t="str">
        <f>IFERROR(__xludf.DUMMYFUNCTION("IFERROR(
  FILTER(
    Remark!D:D,
    Remark!A:A = MAX(FILTER(Remark!A:A, TRIM(Remark!B:B) = TRIM(B25)))
  ),
  """"
)"),"")</f>
        <v/>
      </c>
      <c r="R25" s="46" t="str">
        <f t="shared" si="2"/>
        <v>Starting Final Project</v>
      </c>
      <c r="S25" s="47"/>
      <c r="T25" s="52" t="s">
        <v>139</v>
      </c>
      <c r="U25" s="62">
        <v>3.0</v>
      </c>
      <c r="V25" s="62"/>
      <c r="W25" s="62"/>
      <c r="X25" s="62">
        <v>1.0</v>
      </c>
      <c r="Y25" s="62">
        <v>1.0</v>
      </c>
      <c r="Z25" s="62"/>
      <c r="AA25" s="49">
        <f t="shared" si="3"/>
        <v>2</v>
      </c>
    </row>
    <row r="26" ht="26.25" customHeight="1">
      <c r="A26" s="35">
        <v>142.0</v>
      </c>
      <c r="B26" s="50" t="s">
        <v>140</v>
      </c>
      <c r="C26" s="37" t="s">
        <v>76</v>
      </c>
      <c r="D26" s="54">
        <v>45119.0</v>
      </c>
      <c r="E26" s="39"/>
      <c r="F26" s="40" t="s">
        <v>132</v>
      </c>
      <c r="G26" s="41" t="s">
        <v>0</v>
      </c>
      <c r="H26" s="40" t="s">
        <v>78</v>
      </c>
      <c r="I26" s="55">
        <v>45644.0</v>
      </c>
      <c r="J26" s="41" t="s">
        <v>92</v>
      </c>
      <c r="K26" s="43" t="b">
        <v>1</v>
      </c>
      <c r="L26" s="44"/>
      <c r="M26" s="45">
        <f t="shared" si="1"/>
        <v>69</v>
      </c>
      <c r="N26" s="45"/>
      <c r="O26" s="49" t="s">
        <v>48</v>
      </c>
      <c r="P26" s="45" t="str">
        <f>IFERROR(__xludf.DUMMYFUNCTION("TEXTJOIN(CHAR(10), TRUE, IFERROR(
  FILTER(TEXT(Remark!A:A, ""dd/mm/yyyy"") &amp; "" - "" &amp; Remark!C:C, TRIM(Remark!B:B) = TRIM(B26)),
  """"
))"),"03/10/2025 - [Caleb]
Slow learner, often needs to watch twice.
Tends to help friends after learning something.
Mentor is advised to update the parents and explain the milestones and how we plan to support the student.
06/11/2025 - [Caleb]
The mentor has "&amp;"already updated the parents.
10/02/2026 - Aaron is creating a Pong game 🎮. His progress is slow because he likes to teach his friend Benjamin 🌟, and he sometimes needs to watch the tutorial video twice to understand it 💻🚀.
12/02/2026 -  Aaron is creat"&amp;"ing a Pong game 🎮. His progress is slow because he likes to teach his friend Benjamin 🌟, and he sometimes needs to watch the tutorial video twice to understand it 💻🚀
06/04/2026 - Aaron is a careful learner 📚 who often benefits from reviewing instruct"&amp;"ional materials more than once to ensure a thorough understanding of the concepts. 💡 He demonstrates a helpful nature by assisting his peers after he has mastered a new topic. 🤝 💻 We will provide regular updates regarding his milestones 🌟 and our plan"&amp;" to support his continued growth. 🚀")</f>
        <v>03/10/2025 - [Caleb]
Slow learner, often needs to watch twice.
Tends to help friends after learning something.
Mentor is advised to update the parents and explain the milestones and how we plan to support the student.
06/11/2025 - [Caleb]
The mentor has already updated the parents.
10/02/2026 - Aaron is creating a Pong game 🎮. His progress is slow because he likes to teach his friend Benjamin 🌟, and he sometimes needs to watch the tutorial video twice to understand it 💻🚀.
12/02/2026 -  Aaron is creating a Pong game 🎮. His progress is slow because he likes to teach his friend Benjamin 🌟, and he sometimes needs to watch the tutorial video twice to understand it 💻🚀
06/04/2026 - Aaron is a careful learner 📚 who often benefits from reviewing instructional materials more than once to ensure a thorough understanding of the concepts. 💡 He demonstrates a helpful nature by assisting his peers after he has mastered a new topic. 🤝 💻 We will provide regular updates regarding his milestones 🌟 and our plan to support his continued growth. 🚀</v>
      </c>
      <c r="Q26" s="49" t="s">
        <v>141</v>
      </c>
      <c r="R26" s="46" t="str">
        <f t="shared" si="2"/>
        <v>Prepare for Showcase</v>
      </c>
      <c r="S26" s="43" t="b">
        <v>0</v>
      </c>
      <c r="T26" s="48" t="s">
        <v>142</v>
      </c>
      <c r="U26" s="49">
        <v>5.0</v>
      </c>
      <c r="V26" s="49">
        <v>1.0</v>
      </c>
      <c r="W26" s="49"/>
      <c r="X26" s="49"/>
      <c r="Y26" s="49">
        <v>1.0</v>
      </c>
      <c r="Z26" s="49"/>
      <c r="AA26" s="49">
        <f t="shared" si="3"/>
        <v>2</v>
      </c>
    </row>
    <row r="27" ht="26.25" customHeight="1">
      <c r="A27" s="35">
        <v>179.0</v>
      </c>
      <c r="B27" s="48" t="s">
        <v>143</v>
      </c>
      <c r="C27" s="40" t="s">
        <v>76</v>
      </c>
      <c r="D27" s="38">
        <v>45175.0</v>
      </c>
      <c r="E27" s="51"/>
      <c r="F27" s="40" t="s">
        <v>132</v>
      </c>
      <c r="G27" s="41" t="s">
        <v>0</v>
      </c>
      <c r="H27" s="40" t="s">
        <v>78</v>
      </c>
      <c r="I27" s="55">
        <v>45546.0</v>
      </c>
      <c r="J27" s="41" t="s">
        <v>92</v>
      </c>
      <c r="K27" s="43" t="b">
        <v>1</v>
      </c>
      <c r="L27" s="44"/>
      <c r="M27" s="45">
        <f t="shared" si="1"/>
        <v>83</v>
      </c>
      <c r="N27" s="45"/>
      <c r="O27" s="45" t="str">
        <f>IFERROR(__xludf.DUMMYFUNCTION("IFERROR(
  TEXT(
    MAX(FILTER(Remark!A:A, TRIM(Remark!B:B) = TRIM(B27))),
    ""dd/mm/yyyy""
  ) &amp; "" - "" &amp;
  FILTER(
    Remark!C:C,
    TRIM(Remark!B:B) = TRIM(B27),
    Remark!A:A = MAX(FILTER(Remark!A:A, TRIM(Remark!B:B) = TRIM(B27)))
  ),
  """"
)"),"")</f>
        <v/>
      </c>
      <c r="P27" s="45" t="str">
        <f>IFERROR(__xludf.DUMMYFUNCTION("TEXTJOIN(CHAR(10), TRUE, IFERROR(
  FILTER(TEXT(Remark!A:A, ""dd/mm/yyyy"") &amp; "" - "" &amp; Remark!C:C, TRIM(Remark!B:B) = TRIM(B27)),
  """"
))"),"")</f>
        <v/>
      </c>
      <c r="Q27" s="45" t="str">
        <f>IFERROR(__xludf.DUMMYFUNCTION("IFERROR(
  FILTER(
    Remark!D:D,
    Remark!A:A = MAX(FILTER(Remark!A:A, TRIM(Remark!B:B) = TRIM(B27)))
  ),
  """"
)"),"")</f>
        <v/>
      </c>
      <c r="R27" s="46" t="str">
        <f t="shared" si="2"/>
        <v>Prepare for Showcase</v>
      </c>
      <c r="S27" s="43" t="b">
        <v>1</v>
      </c>
      <c r="T27" s="48" t="s">
        <v>144</v>
      </c>
      <c r="U27" s="49">
        <v>3.0</v>
      </c>
      <c r="V27" s="49">
        <v>1.0</v>
      </c>
      <c r="W27" s="49"/>
      <c r="X27" s="49"/>
      <c r="Y27" s="49"/>
      <c r="Z27" s="49"/>
      <c r="AA27" s="49">
        <f t="shared" si="3"/>
        <v>1</v>
      </c>
    </row>
    <row r="28" ht="26.25" customHeight="1">
      <c r="A28" s="35">
        <v>282.0</v>
      </c>
      <c r="B28" s="56" t="s">
        <v>145</v>
      </c>
      <c r="C28" s="37" t="s">
        <v>76</v>
      </c>
      <c r="D28" s="54">
        <v>45520.0</v>
      </c>
      <c r="E28" s="39"/>
      <c r="F28" s="40" t="s">
        <v>132</v>
      </c>
      <c r="G28" s="41" t="s">
        <v>0</v>
      </c>
      <c r="H28" s="40" t="s">
        <v>78</v>
      </c>
      <c r="I28" s="42">
        <v>45749.0</v>
      </c>
      <c r="J28" s="40" t="s">
        <v>92</v>
      </c>
      <c r="K28" s="43" t="b">
        <v>1</v>
      </c>
      <c r="L28" s="44"/>
      <c r="M28" s="45">
        <f t="shared" si="1"/>
        <v>54</v>
      </c>
      <c r="N28" s="49"/>
      <c r="O28" s="45" t="str">
        <f>IFERROR(__xludf.DUMMYFUNCTION("IFERROR(
  TEXT(
    MAX(FILTER(Remark!A:A, TRIM(Remark!B:B) = TRIM(B28))),
    ""dd/mm/yyyy""
  ) &amp; "" - "" &amp;
  FILTER(
    Remark!C:C,
    TRIM(Remark!B:B) = TRIM(B28),
    Remark!A:A = MAX(FILTER(Remark!A:A, TRIM(Remark!B:B) = TRIM(B28)))
  ),
  """"
)"),"06/11/2025 - [Caleb]
Some projects were skipped; mentor is advised to update the parents regarding this matter.
Student is a slow learner, has progressed up to Project D2.")</f>
        <v>06/11/2025 - [Caleb]
Some projects were skipped; mentor is advised to update the parents regarding this matter.
Student is a slow learner, has progressed up to Project D2.</v>
      </c>
      <c r="P28" s="45" t="str">
        <f>IFERROR(__xludf.DUMMYFUNCTION("TEXTJOIN(CHAR(10), TRUE, IFERROR(
  FILTER(TEXT(Remark!A:A, ""dd/mm/yyyy"") &amp; "" - "" &amp; Remark!C:C, TRIM(Remark!B:B) = TRIM(B28)),
  """"
))"),"06/11/2025 - [Caleb]
Some projects were skipped; mentor is advised to update the parents regarding this matter.
Student is a slow learner, has progressed up to Project D2.")</f>
        <v>06/11/2025 - [Caleb]
Some projects were skipped; mentor is advised to update the parents regarding this matter.
Student is a slow learner, has progressed up to Project D2.</v>
      </c>
      <c r="Q28" s="45" t="str">
        <f>IFERROR(__xludf.DUMMYFUNCTION("IFERROR(
  FILTER(
    Remark!D:D,
    Remark!A:A = MAX(FILTER(Remark!A:A, TRIM(Remark!B:B) = TRIM(B28)))
  ),
  """"
)"),"No")</f>
        <v>No</v>
      </c>
      <c r="R28" s="46" t="str">
        <f t="shared" si="2"/>
        <v>Prepare for Showcase</v>
      </c>
      <c r="S28" s="43" t="b">
        <v>0</v>
      </c>
      <c r="T28" s="48" t="s">
        <v>146</v>
      </c>
      <c r="U28" s="49">
        <v>3.0</v>
      </c>
      <c r="V28" s="49">
        <v>1.0</v>
      </c>
      <c r="W28" s="49"/>
      <c r="X28" s="49"/>
      <c r="Y28" s="49">
        <v>1.0</v>
      </c>
      <c r="Z28" s="49"/>
      <c r="AA28" s="49">
        <f t="shared" si="3"/>
        <v>2</v>
      </c>
    </row>
    <row r="29" ht="26.25" customHeight="1">
      <c r="A29" s="35">
        <v>289.0</v>
      </c>
      <c r="B29" s="48" t="s">
        <v>147</v>
      </c>
      <c r="C29" s="37" t="s">
        <v>76</v>
      </c>
      <c r="D29" s="54">
        <v>45575.0</v>
      </c>
      <c r="E29" s="39"/>
      <c r="F29" s="40" t="s">
        <v>132</v>
      </c>
      <c r="G29" s="41" t="s">
        <v>0</v>
      </c>
      <c r="H29" s="40" t="s">
        <v>78</v>
      </c>
      <c r="I29" s="42">
        <v>46029.0</v>
      </c>
      <c r="J29" s="40" t="s">
        <v>92</v>
      </c>
      <c r="K29" s="43" t="b">
        <v>1</v>
      </c>
      <c r="L29" s="44"/>
      <c r="M29" s="45">
        <f t="shared" si="1"/>
        <v>14</v>
      </c>
      <c r="N29" s="45"/>
      <c r="O29" s="45" t="str">
        <f>IFERROR(__xludf.DUMMYFUNCTION("IFERROR(
  TEXT(
    MAX(FILTER(Remark!A:A, TRIM(Remark!B:B) = TRIM(B29))),
    ""dd/mm/yyyy""
  ) &amp; "" - "" &amp;
  FILTER(
    Remark!C:C,
    TRIM(Remark!B:B) = TRIM(B29),
    Remark!A:A = MAX(FILTER(Remark!A:A, TRIM(Remark!B:B) = TRIM(B29)))
  ),
  """"
)"),"02/10/2025 - [Caleb]
Improved after the mentor spoke to the student personally; the next challenge is to maintain consistent performance.")</f>
        <v>02/10/2025 - [Caleb]
Improved after the mentor spoke to the student personally; the next challenge is to maintain consistent performance.</v>
      </c>
      <c r="P29" s="45" t="str">
        <f>IFERROR(__xludf.DUMMYFUNCTION("TEXTJOIN(CHAR(10), TRUE, IFERROR(
  FILTER(TEXT(Remark!A:A, ""dd/mm/yyyy"") &amp; "" - "" &amp; Remark!C:C, TRIM(Remark!B:B) = TRIM(B29)),
  """"
))"),"25/09/2025 - [Caleb]
Initially, due to a change of mentor, he tended to remain silent for a period of time.
He is easily distracted by friends, especially when Benaiah joins the class.
The mentor did not provide a specific timeline.""
02/10/2025 - [Caleb]"&amp;"
Improved after the mentor spoke to the student personally; the next challenge is to maintain consistent performance.")</f>
        <v>25/09/2025 - [Caleb]
Initially, due to a change of mentor, he tended to remain silent for a period of time.
He is easily distracted by friends, especially when Benaiah joins the class.
The mentor did not provide a specific timeline."
02/10/2025 - [Caleb]
Improved after the mentor spoke to the student personally; the next challenge is to maintain consistent performance.</v>
      </c>
      <c r="Q29" s="45" t="str">
        <f>IFERROR(__xludf.DUMMYFUNCTION("IFERROR(
  FILTER(
    Remark!D:D,
    Remark!A:A = MAX(FILTER(Remark!A:A, TRIM(Remark!B:B) = TRIM(B29)))
  ),
  """"
)"),"Yes")</f>
        <v>Yes</v>
      </c>
      <c r="R29" s="46" t="str">
        <f t="shared" si="2"/>
        <v>Learning</v>
      </c>
      <c r="S29" s="47"/>
      <c r="T29" s="48" t="s">
        <v>148</v>
      </c>
      <c r="U29" s="49">
        <v>4.0</v>
      </c>
      <c r="V29" s="49">
        <v>1.0</v>
      </c>
      <c r="W29" s="49">
        <v>1.0</v>
      </c>
      <c r="X29" s="49">
        <v>1.0</v>
      </c>
      <c r="Y29" s="49">
        <v>1.0</v>
      </c>
      <c r="Z29" s="49"/>
      <c r="AA29" s="49">
        <f t="shared" si="3"/>
        <v>4</v>
      </c>
    </row>
    <row r="30" ht="26.25" customHeight="1">
      <c r="A30" s="35">
        <v>347.0</v>
      </c>
      <c r="B30" s="67" t="s">
        <v>149</v>
      </c>
      <c r="C30" s="40" t="s">
        <v>76</v>
      </c>
      <c r="D30" s="68">
        <v>45782.0</v>
      </c>
      <c r="E30" s="51"/>
      <c r="F30" s="40" t="s">
        <v>132</v>
      </c>
      <c r="G30" s="57" t="s">
        <v>0</v>
      </c>
      <c r="H30" s="57" t="s">
        <v>78</v>
      </c>
      <c r="I30" s="42">
        <v>45782.0</v>
      </c>
      <c r="J30" s="57" t="s">
        <v>126</v>
      </c>
      <c r="K30" s="43" t="b">
        <v>1</v>
      </c>
      <c r="L30" s="60"/>
      <c r="M30" s="61">
        <f t="shared" si="1"/>
        <v>49</v>
      </c>
      <c r="N30" s="61"/>
      <c r="O30" s="45" t="str">
        <f>IFERROR(__xludf.DUMMYFUNCTION("IFERROR(
  TEXT(
    MAX(FILTER(Remark!A:A, TRIM(Remark!B:B) = TRIM(B30))),
    ""dd/mm/yyyy""
  ) &amp; "" - "" &amp;
  FILTER(
    Remark!C:C,
    TRIM(Remark!B:B) = TRIM(B30),
    Remark!A:A = MAX(FILTER(Remark!A:A, TRIM(Remark!B:B) = TRIM(B30)))
  ),
  """"
)"),"")</f>
        <v/>
      </c>
      <c r="P30" s="45" t="str">
        <f>IFERROR(__xludf.DUMMYFUNCTION("TEXTJOIN(CHAR(10), TRUE, IFERROR(
  FILTER(TEXT(Remark!A:A, ""dd/mm/yyyy"") &amp; "" - "" &amp; Remark!C:C, TRIM(Remark!B:B) = TRIM(B30)),
  """"
))"),"")</f>
        <v/>
      </c>
      <c r="Q30" s="45" t="str">
        <f>IFERROR(__xludf.DUMMYFUNCTION("IFERROR(
  FILTER(
    Remark!D:D,
    Remark!A:A = MAX(FILTER(Remark!A:A, TRIM(Remark!B:B) = TRIM(B30)))
  ),
  """"
)"),"")</f>
        <v/>
      </c>
      <c r="R30" s="46" t="str">
        <f t="shared" si="2"/>
        <v>Prepare for Showcase</v>
      </c>
      <c r="S30" s="43" t="b">
        <v>1</v>
      </c>
      <c r="T30" s="52" t="s">
        <v>150</v>
      </c>
      <c r="U30" s="62">
        <v>2.0</v>
      </c>
      <c r="V30" s="62">
        <v>1.0</v>
      </c>
      <c r="W30" s="62"/>
      <c r="X30" s="62"/>
      <c r="Y30" s="62">
        <v>1.0</v>
      </c>
      <c r="Z30" s="62"/>
      <c r="AA30" s="49">
        <f t="shared" si="3"/>
        <v>2</v>
      </c>
    </row>
    <row r="31" ht="26.25" customHeight="1">
      <c r="A31" s="35">
        <v>23.0</v>
      </c>
      <c r="B31" s="36" t="s">
        <v>151</v>
      </c>
      <c r="C31" s="37" t="s">
        <v>76</v>
      </c>
      <c r="D31" s="38">
        <v>44568.0</v>
      </c>
      <c r="E31" s="39"/>
      <c r="F31" s="40" t="s">
        <v>132</v>
      </c>
      <c r="G31" s="41" t="s">
        <v>0</v>
      </c>
      <c r="H31" s="40" t="s">
        <v>91</v>
      </c>
      <c r="I31" s="42">
        <v>45780.0</v>
      </c>
      <c r="J31" s="40" t="s">
        <v>82</v>
      </c>
      <c r="K31" s="43" t="b">
        <v>1</v>
      </c>
      <c r="L31" s="44"/>
      <c r="M31" s="45">
        <f t="shared" si="1"/>
        <v>50</v>
      </c>
      <c r="N31" s="49"/>
      <c r="O31" s="45" t="str">
        <f>IFERROR(__xludf.DUMMYFUNCTION("IFERROR(
  TEXT(
    MAX(FILTER(Remark!A:A, TRIM(Remark!B:B) = TRIM(B31))),
    ""dd/mm/yyyy""
  ) &amp; "" - "" &amp;
  FILTER(
    Remark!C:C,
    TRIM(Remark!B:B) = TRIM(B31),
    Remark!A:A = MAX(FILTER(Remark!A:A, TRIM(Remark!B:B) = TRIM(B31)))
  ),
  """"
)"),"")</f>
        <v/>
      </c>
      <c r="P31" s="45" t="str">
        <f>IFERROR(__xludf.DUMMYFUNCTION("TEXTJOIN(CHAR(10), TRUE, IFERROR(
  FILTER(TEXT(Remark!A:A, ""dd/mm/yyyy"") &amp; "" - "" &amp; Remark!C:C, TRIM(Remark!B:B) = TRIM(B31)),
  """"
))"),"")</f>
        <v/>
      </c>
      <c r="Q31" s="45" t="str">
        <f>IFERROR(__xludf.DUMMYFUNCTION("IFERROR(
  FILTER(
    Remark!D:D,
    Remark!A:A = MAX(FILTER(Remark!A:A, TRIM(Remark!B:B) = TRIM(B31)))
  ),
  """"
)"),"")</f>
        <v/>
      </c>
      <c r="R31" s="46" t="str">
        <f t="shared" si="2"/>
        <v>Prepare for Showcase</v>
      </c>
      <c r="S31" s="43" t="b">
        <v>1</v>
      </c>
      <c r="T31" s="52" t="s">
        <v>152</v>
      </c>
      <c r="U31" s="49">
        <v>1.0</v>
      </c>
      <c r="V31" s="49"/>
      <c r="W31" s="49"/>
      <c r="X31" s="49">
        <v>1.0</v>
      </c>
      <c r="Y31" s="49">
        <v>1.0</v>
      </c>
      <c r="Z31" s="49"/>
      <c r="AA31" s="49">
        <f t="shared" si="3"/>
        <v>2</v>
      </c>
    </row>
    <row r="32" ht="26.25" customHeight="1">
      <c r="A32" s="35">
        <v>147.0</v>
      </c>
      <c r="B32" s="50" t="s">
        <v>153</v>
      </c>
      <c r="C32" s="37" t="s">
        <v>76</v>
      </c>
      <c r="D32" s="38">
        <v>45139.0</v>
      </c>
      <c r="E32" s="39"/>
      <c r="F32" s="40" t="s">
        <v>132</v>
      </c>
      <c r="G32" s="41" t="s">
        <v>0</v>
      </c>
      <c r="H32" s="40" t="s">
        <v>91</v>
      </c>
      <c r="I32" s="42">
        <v>46064.0</v>
      </c>
      <c r="J32" s="40" t="s">
        <v>82</v>
      </c>
      <c r="K32" s="43" t="b">
        <v>1</v>
      </c>
      <c r="L32" s="44"/>
      <c r="M32" s="45">
        <f t="shared" si="1"/>
        <v>9</v>
      </c>
      <c r="N32" s="45"/>
      <c r="O32" s="45" t="str">
        <f>IFERROR(__xludf.DUMMYFUNCTION("IFERROR(
  TEXT(
    MAX(FILTER(Remark!A:A, TRIM(Remark!B:B) = TRIM(B32))),
    ""dd/mm/yyyy""
  ) &amp; "" - "" &amp;
  FILTER(
    Remark!C:C,
    TRIM(Remark!B:B) = TRIM(B32),
    Remark!A:A = MAX(FILTER(Remark!A:A, TRIM(Remark!B:B) = TRIM(B32)))
  ),
  """"
)"),"")</f>
        <v/>
      </c>
      <c r="P32" s="45" t="str">
        <f>IFERROR(__xludf.DUMMYFUNCTION("TEXTJOIN(CHAR(10), TRUE, IFERROR(
  FILTER(TEXT(Remark!A:A, ""dd/mm/yyyy"") &amp; "" - "" &amp; Remark!C:C, TRIM(Remark!B:B) = TRIM(B32)),
  """"
))"),"")</f>
        <v/>
      </c>
      <c r="Q32" s="45" t="str">
        <f>IFERROR(__xludf.DUMMYFUNCTION("IFERROR(
  FILTER(
    Remark!D:D,
    Remark!A:A = MAX(FILTER(Remark!A:A, TRIM(Remark!B:B) = TRIM(B32)))
  ),
  """"
)"),"")</f>
        <v/>
      </c>
      <c r="R32" s="46" t="str">
        <f t="shared" si="2"/>
        <v>Learning</v>
      </c>
      <c r="S32" s="47"/>
      <c r="T32" s="48" t="s">
        <v>154</v>
      </c>
      <c r="U32" s="49"/>
      <c r="V32" s="49"/>
      <c r="W32" s="49"/>
      <c r="X32" s="49"/>
      <c r="Y32" s="49"/>
      <c r="Z32" s="49"/>
      <c r="AA32" s="49">
        <f t="shared" si="3"/>
        <v>0</v>
      </c>
    </row>
    <row r="33" ht="26.25" customHeight="1">
      <c r="A33" s="35">
        <v>178.0</v>
      </c>
      <c r="B33" s="50" t="s">
        <v>155</v>
      </c>
      <c r="C33" s="37" t="s">
        <v>76</v>
      </c>
      <c r="D33" s="38">
        <v>45175.0</v>
      </c>
      <c r="E33" s="39"/>
      <c r="F33" s="40" t="s">
        <v>132</v>
      </c>
      <c r="G33" s="41" t="s">
        <v>0</v>
      </c>
      <c r="H33" s="40" t="s">
        <v>91</v>
      </c>
      <c r="I33" s="42">
        <v>45840.0</v>
      </c>
      <c r="J33" s="40" t="s">
        <v>82</v>
      </c>
      <c r="K33" s="43" t="b">
        <v>1</v>
      </c>
      <c r="L33" s="44"/>
      <c r="M33" s="45">
        <f t="shared" si="1"/>
        <v>41</v>
      </c>
      <c r="N33" s="45"/>
      <c r="O33" s="45" t="str">
        <f>IFERROR(__xludf.DUMMYFUNCTION("IFERROR(
  TEXT(
    MAX(FILTER(Remark!A:A, TRIM(Remark!B:B) = TRIM(B33))),
    ""dd/mm/yyyy""
  ) &amp; "" - "" &amp;
  FILTER(
    Remark!C:C,
    TRIM(Remark!B:B) = TRIM(B33),
    Remark!A:A = MAX(FILTER(Remark!A:A, TRIM(Remark!B:B) = TRIM(B33)))
  ),
  """"
)"),"16/10/2025 - [Caleb]
The student previously used the mentor’s laptop during class and was unable to continue progress at home.
There were also issues with the student’s MacBook, but the student has recently switched to a Windows laptop last week, which sh"&amp;"ould help improve learning continuity and project progress.")</f>
        <v>16/10/2025 - [Caleb]
The student previously used the mentor’s laptop during class and was unable to continue progress at home.
There were also issues with the student’s MacBook, but the student has recently switched to a Windows laptop last week, which should help improve learning continuity and project progress.</v>
      </c>
      <c r="P33" s="45" t="str">
        <f>IFERROR(__xludf.DUMMYFUNCTION("TEXTJOIN(CHAR(10), TRUE, IFERROR(
  FILTER(TEXT(Remark!A:A, ""dd/mm/yyyy"") &amp; "" - "" &amp; Remark!C:C, TRIM(Remark!B:B) = TRIM(B33)),
  """"
))"),"16/10/2025 - [Caleb]
The student previously used the mentor’s laptop during class and was unable to continue progress at home.
There were also issues with the student’s MacBook, but the student has recently switched to a Windows laptop last week, which sh"&amp;"ould help improve learning continuity and project progress.")</f>
        <v>16/10/2025 - [Caleb]
The student previously used the mentor’s laptop during class and was unable to continue progress at home.
There were also issues with the student’s MacBook, but the student has recently switched to a Windows laptop last week, which should help improve learning continuity and project progress.</v>
      </c>
      <c r="Q33" s="45" t="str">
        <f>IFERROR(__xludf.DUMMYFUNCTION("IFERROR(
  FILTER(
    Remark!D:D,
    Remark!A:A = MAX(FILTER(Remark!A:A, TRIM(Remark!B:B) = TRIM(B33)))
  ),
  """"
)"),"Yes")</f>
        <v>Yes</v>
      </c>
      <c r="R33" s="46" t="str">
        <f t="shared" si="2"/>
        <v>Prepare for Showcase</v>
      </c>
      <c r="S33" s="47"/>
      <c r="T33" s="48" t="s">
        <v>144</v>
      </c>
      <c r="U33" s="49">
        <v>5.0</v>
      </c>
      <c r="V33" s="49">
        <v>1.0</v>
      </c>
      <c r="W33" s="49"/>
      <c r="X33" s="49">
        <v>2.0</v>
      </c>
      <c r="Y33" s="49"/>
      <c r="Z33" s="49"/>
      <c r="AA33" s="49">
        <f t="shared" si="3"/>
        <v>3</v>
      </c>
    </row>
    <row r="34" ht="26.25" customHeight="1">
      <c r="A34" s="45">
        <v>280.0</v>
      </c>
      <c r="B34" s="50" t="s">
        <v>156</v>
      </c>
      <c r="C34" s="40" t="s">
        <v>76</v>
      </c>
      <c r="D34" s="54">
        <v>45489.0</v>
      </c>
      <c r="E34" s="51"/>
      <c r="F34" s="40" t="s">
        <v>132</v>
      </c>
      <c r="G34" s="41" t="s">
        <v>0</v>
      </c>
      <c r="H34" s="40" t="s">
        <v>91</v>
      </c>
      <c r="I34" s="42">
        <v>45875.0</v>
      </c>
      <c r="J34" s="40" t="s">
        <v>82</v>
      </c>
      <c r="K34" s="43" t="b">
        <v>1</v>
      </c>
      <c r="L34" s="44"/>
      <c r="M34" s="45">
        <f t="shared" si="1"/>
        <v>36</v>
      </c>
      <c r="N34" s="49"/>
      <c r="O34" s="45" t="str">
        <f>IFERROR(__xludf.DUMMYFUNCTION("IFERROR(
  TEXT(
    MAX(FILTER(Remark!A:A, TRIM(Remark!B:B) = TRIM(B34))),
    ""dd/mm/yyyy""
  ) &amp; "" - "" &amp;
  FILTER(
    Remark!C:C,
    TRIM(Remark!B:B) = TRIM(B34),
    Remark!A:A = MAX(FILTER(Remark!A:A, TRIM(Remark!B:B) = TRIM(B34)))
  ),
  """"
)"),"")</f>
        <v/>
      </c>
      <c r="P34" s="45" t="str">
        <f>IFERROR(__xludf.DUMMYFUNCTION("TEXTJOIN(CHAR(10), TRUE, IFERROR(
  FILTER(TEXT(Remark!A:A, ""dd/mm/yyyy"") &amp; "" - "" &amp; Remark!C:C, TRIM(Remark!B:B) = TRIM(B34)),
  """"
))"),"")</f>
        <v/>
      </c>
      <c r="Q34" s="45" t="str">
        <f>IFERROR(__xludf.DUMMYFUNCTION("IFERROR(
  FILTER(
    Remark!D:D,
    Remark!A:A = MAX(FILTER(Remark!A:A, TRIM(Remark!B:B) = TRIM(B34)))
  ),
  """"
)"),"")</f>
        <v/>
      </c>
      <c r="R34" s="46" t="str">
        <f t="shared" si="2"/>
        <v>Starting Final Project</v>
      </c>
      <c r="S34" s="47"/>
      <c r="T34" s="48" t="s">
        <v>157</v>
      </c>
      <c r="U34" s="49">
        <v>1.0</v>
      </c>
      <c r="V34" s="49"/>
      <c r="W34" s="49">
        <v>1.0</v>
      </c>
      <c r="X34" s="49">
        <v>1.0</v>
      </c>
      <c r="Y34" s="49">
        <v>1.0</v>
      </c>
      <c r="Z34" s="49"/>
      <c r="AA34" s="49">
        <f t="shared" si="3"/>
        <v>3</v>
      </c>
    </row>
    <row r="35" ht="26.25" customHeight="1">
      <c r="A35" s="35">
        <v>349.0</v>
      </c>
      <c r="B35" s="67" t="s">
        <v>158</v>
      </c>
      <c r="C35" s="40" t="s">
        <v>76</v>
      </c>
      <c r="D35" s="68">
        <v>45782.0</v>
      </c>
      <c r="E35" s="51"/>
      <c r="F35" s="40" t="s">
        <v>132</v>
      </c>
      <c r="G35" s="57" t="s">
        <v>0</v>
      </c>
      <c r="H35" s="57" t="s">
        <v>91</v>
      </c>
      <c r="I35" s="42">
        <v>45782.0</v>
      </c>
      <c r="J35" s="57" t="s">
        <v>159</v>
      </c>
      <c r="K35" s="43" t="b">
        <v>1</v>
      </c>
      <c r="L35" s="60"/>
      <c r="M35" s="61">
        <f t="shared" si="1"/>
        <v>49</v>
      </c>
      <c r="N35" s="61"/>
      <c r="O35" s="45" t="str">
        <f>IFERROR(__xludf.DUMMYFUNCTION("IFERROR(
  TEXT(
    MAX(FILTER(Remark!A:A, TRIM(Remark!B:B) = TRIM(B35))),
    ""dd/mm/yyyy""
  ) &amp; "" - "" &amp;
  FILTER(
    Remark!C:C,
    TRIM(Remark!B:B) = TRIM(B35),
    Remark!A:A = MAX(FILTER(Remark!A:A, TRIM(Remark!B:B) = TRIM(B35)))
  ),
  """"
)"),"14/10/2025 - [Caleb]
Device (tablet) issue — for example, difficulty with copy and paste.
No major issues observed; maintains a positive attitude")</f>
        <v>14/10/2025 - [Caleb]
Device (tablet) issue — for example, difficulty with copy and paste.
No major issues observed; maintains a positive attitude</v>
      </c>
      <c r="P35" s="45" t="str">
        <f>IFERROR(__xludf.DUMMYFUNCTION("TEXTJOIN(CHAR(10), TRUE, IFERROR(
  FILTER(TEXT(Remark!A:A, ""dd/mm/yyyy"") &amp; "" - "" &amp; Remark!C:C, TRIM(Remark!B:B) = TRIM(B35)),
  """"
))"),"14/10/2025 - [Caleb]
Device (tablet) issue — for example, difficulty with copy and paste.
No major issues observed; maintains a positive attitude")</f>
        <v>14/10/2025 - [Caleb]
Device (tablet) issue — for example, difficulty with copy and paste.
No major issues observed; maintains a positive attitude</v>
      </c>
      <c r="Q35" s="45" t="str">
        <f>IFERROR(__xludf.DUMMYFUNCTION("IFERROR(
  FILTER(
    Remark!D:D,
    Remark!A:A = MAX(FILTER(Remark!A:A, TRIM(Remark!B:B) = TRIM(B35)))
  ),
  """"
)"),"Yes")</f>
        <v>Yes</v>
      </c>
      <c r="R35" s="46" t="str">
        <f t="shared" si="2"/>
        <v>Prepare for Showcase</v>
      </c>
      <c r="S35" s="43" t="b">
        <v>1</v>
      </c>
      <c r="T35" s="52" t="s">
        <v>150</v>
      </c>
      <c r="U35" s="62">
        <v>2.0</v>
      </c>
      <c r="V35" s="62">
        <v>2.0</v>
      </c>
      <c r="W35" s="62"/>
      <c r="X35" s="62"/>
      <c r="Y35" s="62">
        <v>1.0</v>
      </c>
      <c r="Z35" s="62"/>
      <c r="AA35" s="49">
        <f t="shared" si="3"/>
        <v>3</v>
      </c>
    </row>
    <row r="36" ht="26.25" customHeight="1">
      <c r="A36" s="35">
        <v>322.0</v>
      </c>
      <c r="B36" s="36" t="s">
        <v>160</v>
      </c>
      <c r="C36" s="40" t="s">
        <v>76</v>
      </c>
      <c r="D36" s="38">
        <v>45717.0</v>
      </c>
      <c r="E36" s="51"/>
      <c r="F36" s="40" t="s">
        <v>132</v>
      </c>
      <c r="G36" s="57" t="s">
        <v>0</v>
      </c>
      <c r="H36" s="57" t="s">
        <v>119</v>
      </c>
      <c r="I36" s="58">
        <v>45721.0</v>
      </c>
      <c r="J36" s="57" t="s">
        <v>126</v>
      </c>
      <c r="K36" s="59" t="b">
        <v>1</v>
      </c>
      <c r="L36" s="60"/>
      <c r="M36" s="61">
        <f t="shared" si="1"/>
        <v>58</v>
      </c>
      <c r="N36" s="61"/>
      <c r="O36" s="45" t="str">
        <f>IFERROR(__xludf.DUMMYFUNCTION("IFERROR(
  TEXT(
    MAX(FILTER(Remark!A:A, TRIM(Remark!B:B) = TRIM(B36))),
    ""dd/mm/yyyy""
  ) &amp; "" - "" &amp;
  FILTER(
    Remark!C:C,
    TRIM(Remark!B:B) = TRIM(B36),
    Remark!A:A = MAX(FILTER(Remark!A:A, TRIM(Remark!B:B) = TRIM(B36)))
  ),
  """"
)"),"")</f>
        <v/>
      </c>
      <c r="P36" s="45" t="str">
        <f>IFERROR(__xludf.DUMMYFUNCTION("TEXTJOIN(CHAR(10), TRUE, IFERROR(
  FILTER(TEXT(Remark!A:A, ""dd/mm/yyyy"") &amp; "" - "" &amp; Remark!C:C, TRIM(Remark!B:B) = TRIM(B36)),
  """"
))"),"")</f>
        <v/>
      </c>
      <c r="Q36" s="45" t="str">
        <f>IFERROR(__xludf.DUMMYFUNCTION("IFERROR(
  FILTER(
    Remark!D:D,
    Remark!A:A = MAX(FILTER(Remark!A:A, TRIM(Remark!B:B) = TRIM(B36)))
  ),
  """"
)"),"")</f>
        <v/>
      </c>
      <c r="R36" s="46" t="str">
        <f t="shared" si="2"/>
        <v>Prepare for Showcase</v>
      </c>
      <c r="S36" s="43" t="b">
        <v>1</v>
      </c>
      <c r="T36" s="52" t="s">
        <v>139</v>
      </c>
      <c r="U36" s="62">
        <v>3.0</v>
      </c>
      <c r="V36" s="62">
        <v>1.0</v>
      </c>
      <c r="W36" s="62"/>
      <c r="X36" s="62">
        <v>1.0</v>
      </c>
      <c r="Y36" s="62"/>
      <c r="Z36" s="62"/>
      <c r="AA36" s="49">
        <f t="shared" si="3"/>
        <v>2</v>
      </c>
    </row>
    <row r="37" ht="26.25" customHeight="1">
      <c r="A37" s="63">
        <v>462.0</v>
      </c>
      <c r="B37" s="64" t="s">
        <v>161</v>
      </c>
      <c r="C37" s="40" t="s">
        <v>76</v>
      </c>
      <c r="D37" s="69">
        <v>46085.0</v>
      </c>
      <c r="E37" s="39"/>
      <c r="F37" s="40" t="s">
        <v>132</v>
      </c>
      <c r="G37" s="40" t="s">
        <v>0</v>
      </c>
      <c r="H37" s="40" t="s">
        <v>119</v>
      </c>
      <c r="I37" s="42">
        <v>46085.0</v>
      </c>
      <c r="J37" s="40" t="s">
        <v>101</v>
      </c>
      <c r="K37" s="43" t="b">
        <v>0</v>
      </c>
      <c r="L37" s="44"/>
      <c r="M37" s="45">
        <f t="shared" si="1"/>
        <v>6</v>
      </c>
      <c r="N37" s="45"/>
      <c r="O37" s="45" t="str">
        <f>IFERROR(__xludf.DUMMYFUNCTION("IFERROR(
  TEXT(
    MAX(FILTER(Remark!A:A, TRIM(Remark!B:B) = TRIM(B37))),
    ""dd/mm/yyyy""
  ) &amp; "" - "" &amp;
  FILTER(
    Remark!C:C,
    TRIM(Remark!B:B) = TRIM(B37),
    Remark!A:A = MAX(FILTER(Remark!A:A, TRIM(Remark!B:B) = TRIM(B37)))
  ),
  """"
)"),"")</f>
        <v/>
      </c>
      <c r="P37" s="45" t="str">
        <f>IFERROR(__xludf.DUMMYFUNCTION("TEXTJOIN(CHAR(10), TRUE, IFERROR(
  FILTER(TEXT(Remark!A:A, ""dd/mm/yyyy"") &amp; "" - "" &amp; Remark!C:C, TRIM(Remark!B:B) = TRIM(B37)),
  """"
))"),"")</f>
        <v/>
      </c>
      <c r="Q37" s="45" t="str">
        <f>IFERROR(__xludf.DUMMYFUNCTION("IFERROR(
  FILTER(
    Remark!D:D,
    Remark!A:A = MAX(FILTER(Remark!A:A, TRIM(Remark!B:B) = TRIM(B37)))
  ),
  """"
)"),"")</f>
        <v/>
      </c>
      <c r="R37" s="46" t="str">
        <f t="shared" si="2"/>
        <v>Learning</v>
      </c>
      <c r="S37" s="47" t="b">
        <v>0</v>
      </c>
      <c r="T37" s="48" t="s">
        <v>162</v>
      </c>
      <c r="U37" s="49"/>
      <c r="V37" s="49"/>
      <c r="W37" s="49"/>
      <c r="X37" s="49"/>
      <c r="Y37" s="49">
        <v>1.0</v>
      </c>
      <c r="Z37" s="49"/>
      <c r="AA37" s="49">
        <f t="shared" si="3"/>
        <v>1</v>
      </c>
    </row>
    <row r="38" ht="26.25" customHeight="1">
      <c r="A38" s="35">
        <v>348.0</v>
      </c>
      <c r="B38" s="67" t="s">
        <v>163</v>
      </c>
      <c r="C38" s="40" t="s">
        <v>76</v>
      </c>
      <c r="D38" s="68">
        <v>45782.0</v>
      </c>
      <c r="E38" s="51"/>
      <c r="F38" s="40" t="s">
        <v>132</v>
      </c>
      <c r="G38" s="57" t="s">
        <v>0</v>
      </c>
      <c r="H38" s="57" t="s">
        <v>123</v>
      </c>
      <c r="I38" s="42">
        <v>45782.0</v>
      </c>
      <c r="J38" s="57" t="s">
        <v>110</v>
      </c>
      <c r="K38" s="43" t="b">
        <v>1</v>
      </c>
      <c r="L38" s="60"/>
      <c r="M38" s="61">
        <f t="shared" si="1"/>
        <v>49</v>
      </c>
      <c r="N38" s="62" t="s">
        <v>104</v>
      </c>
      <c r="O38" s="45" t="str">
        <f>IFERROR(__xludf.DUMMYFUNCTION("IFERROR(
  TEXT(
    MAX(FILTER(Remark!A:A, TRIM(Remark!B:B) = TRIM(B38))),
    ""dd/mm/yyyy""
  ) &amp; "" - "" &amp;
  FILTER(
    Remark!C:C,
    TRIM(Remark!B:B) = TRIM(B38),
    Remark!A:A = MAX(FILTER(Remark!A:A, TRIM(Remark!B:B) = TRIM(B38)))
  ),
  """"
)"),"")</f>
        <v/>
      </c>
      <c r="P38" s="45" t="str">
        <f>IFERROR(__xludf.DUMMYFUNCTION("TEXTJOIN(CHAR(10), TRUE, IFERROR(
  FILTER(TEXT(Remark!A:A, ""dd/mm/yyyy"") &amp; "" - "" &amp; Remark!C:C, TRIM(Remark!B:B) = TRIM(B38)),
  """"
))"),"")</f>
        <v/>
      </c>
      <c r="Q38" s="45" t="str">
        <f>IFERROR(__xludf.DUMMYFUNCTION("IFERROR(
  FILTER(
    Remark!D:D,
    Remark!A:A = MAX(FILTER(Remark!A:A, TRIM(Remark!B:B) = TRIM(B38)))
  ),
  """"
)"),"")</f>
        <v/>
      </c>
      <c r="R38" s="46" t="str">
        <f t="shared" si="2"/>
        <v>Prepare for Showcase</v>
      </c>
      <c r="S38" s="43" t="b">
        <v>1</v>
      </c>
      <c r="T38" s="52" t="s">
        <v>150</v>
      </c>
      <c r="U38" s="62">
        <v>3.0</v>
      </c>
      <c r="V38" s="62">
        <v>2.0</v>
      </c>
      <c r="W38" s="62">
        <v>1.0</v>
      </c>
      <c r="X38" s="62"/>
      <c r="Y38" s="62">
        <v>1.0</v>
      </c>
      <c r="Z38" s="62"/>
      <c r="AA38" s="49">
        <f t="shared" si="3"/>
        <v>4</v>
      </c>
    </row>
    <row r="39" ht="26.25" customHeight="1">
      <c r="A39" s="66">
        <v>418.0</v>
      </c>
      <c r="B39" s="36" t="s">
        <v>164</v>
      </c>
      <c r="C39" s="40" t="s">
        <v>76</v>
      </c>
      <c r="D39" s="54">
        <v>46034.0</v>
      </c>
      <c r="E39" s="51"/>
      <c r="F39" s="40" t="s">
        <v>132</v>
      </c>
      <c r="G39" s="40" t="s">
        <v>0</v>
      </c>
      <c r="H39" s="40" t="s">
        <v>123</v>
      </c>
      <c r="I39" s="42">
        <v>46036.0</v>
      </c>
      <c r="J39" s="40" t="s">
        <v>110</v>
      </c>
      <c r="K39" s="43" t="b">
        <v>0</v>
      </c>
      <c r="L39" s="44" t="s">
        <v>165</v>
      </c>
      <c r="M39" s="45">
        <f t="shared" si="1"/>
        <v>13</v>
      </c>
      <c r="N39" s="45"/>
      <c r="O39" s="45" t="str">
        <f>IFERROR(__xludf.DUMMYFUNCTION("IFERROR(
  TEXT(
    MAX(FILTER(Remark!A:A, TRIM(Remark!B:B) = TRIM(B39))),
    ""dd/mm/yyyy""
  ) &amp; "" - "" &amp;
  FILTER(
    Remark!C:C,
    TRIM(Remark!B:B) = TRIM(B39),
    Remark!A:A = MAX(FILTER(Remark!A:A, TRIM(Remark!B:B) = TRIM(B39)))
  ),
  """"
)"),"")</f>
        <v/>
      </c>
      <c r="P39" s="45" t="str">
        <f>IFERROR(__xludf.DUMMYFUNCTION("TEXTJOIN(CHAR(10), TRUE, IFERROR(
  FILTER(TEXT(Remark!A:A, ""dd/mm/yyyy"") &amp; "" - "" &amp; Remark!C:C, TRIM(Remark!B:B) = TRIM(B39)),
  """"
))"),"")</f>
        <v/>
      </c>
      <c r="Q39" s="45" t="str">
        <f>IFERROR(__xludf.DUMMYFUNCTION("IFERROR(
  FILTER(
    Remark!D:D,
    Remark!A:A = MAX(FILTER(Remark!A:A, TRIM(Remark!B:B) = TRIM(B39)))
  ),
  """"
)"),"")</f>
        <v/>
      </c>
      <c r="R39" s="46" t="str">
        <f t="shared" si="2"/>
        <v>Learning</v>
      </c>
      <c r="S39" s="47"/>
      <c r="T39" s="48" t="s">
        <v>166</v>
      </c>
      <c r="U39" s="49"/>
      <c r="V39" s="49">
        <v>2.0</v>
      </c>
      <c r="W39" s="49">
        <v>1.0</v>
      </c>
      <c r="X39" s="49">
        <v>1.0</v>
      </c>
      <c r="Y39" s="49">
        <v>1.0</v>
      </c>
      <c r="Z39" s="49"/>
      <c r="AA39" s="49">
        <f t="shared" si="3"/>
        <v>5</v>
      </c>
    </row>
    <row r="40" ht="26.25" customHeight="1">
      <c r="A40" s="66">
        <v>455.0</v>
      </c>
      <c r="B40" s="36" t="s">
        <v>167</v>
      </c>
      <c r="C40" s="40" t="s">
        <v>76</v>
      </c>
      <c r="D40" s="65">
        <v>46083.0</v>
      </c>
      <c r="E40" s="39"/>
      <c r="F40" s="40" t="s">
        <v>132</v>
      </c>
      <c r="G40" s="40" t="s">
        <v>0</v>
      </c>
      <c r="H40" s="40" t="s">
        <v>123</v>
      </c>
      <c r="I40" s="42">
        <v>46083.0</v>
      </c>
      <c r="J40" s="40" t="s">
        <v>110</v>
      </c>
      <c r="K40" s="43" t="b">
        <v>0</v>
      </c>
      <c r="L40" s="44"/>
      <c r="M40" s="45">
        <f t="shared" si="1"/>
        <v>6</v>
      </c>
      <c r="N40" s="45"/>
      <c r="O40" s="45" t="str">
        <f>IFERROR(__xludf.DUMMYFUNCTION("IFERROR(
  TEXT(
    MAX(FILTER(Remark!A:A, TRIM(Remark!B:B) = TRIM(B40))),
    ""dd/mm/yyyy""
  ) &amp; "" - "" &amp;
  FILTER(
    Remark!C:C,
    TRIM(Remark!B:B) = TRIM(B40),
    Remark!A:A = MAX(FILTER(Remark!A:A, TRIM(Remark!B:B) = TRIM(B40)))
  ),
  """"
)"),"")</f>
        <v/>
      </c>
      <c r="P40" s="45" t="str">
        <f>IFERROR(__xludf.DUMMYFUNCTION("TEXTJOIN(CHAR(10), TRUE, IFERROR(
  FILTER(TEXT(Remark!A:A, ""dd/mm/yyyy"") &amp; "" - "" &amp; Remark!C:C, TRIM(Remark!B:B) = TRIM(B40)),
  """"
))"),"")</f>
        <v/>
      </c>
      <c r="Q40" s="45" t="str">
        <f>IFERROR(__xludf.DUMMYFUNCTION("IFERROR(
  FILTER(
    Remark!D:D,
    Remark!A:A = MAX(FILTER(Remark!A:A, TRIM(Remark!B:B) = TRIM(B40)))
  ),
  """"
)"),"")</f>
        <v/>
      </c>
      <c r="R40" s="46" t="str">
        <f t="shared" si="2"/>
        <v>Learning</v>
      </c>
      <c r="S40" s="47" t="b">
        <v>0</v>
      </c>
      <c r="T40" s="48" t="s">
        <v>168</v>
      </c>
      <c r="U40" s="49"/>
      <c r="V40" s="49"/>
      <c r="W40" s="49"/>
      <c r="X40" s="49">
        <v>2.0</v>
      </c>
      <c r="Y40" s="49">
        <v>1.0</v>
      </c>
      <c r="Z40" s="49"/>
      <c r="AA40" s="49">
        <f t="shared" si="3"/>
        <v>3</v>
      </c>
    </row>
    <row r="41" ht="26.25" customHeight="1">
      <c r="A41" s="66">
        <v>456.0</v>
      </c>
      <c r="B41" s="36" t="s">
        <v>169</v>
      </c>
      <c r="C41" s="40" t="s">
        <v>76</v>
      </c>
      <c r="D41" s="65">
        <v>46083.0</v>
      </c>
      <c r="E41" s="39"/>
      <c r="F41" s="40" t="s">
        <v>132</v>
      </c>
      <c r="G41" s="40" t="s">
        <v>0</v>
      </c>
      <c r="H41" s="40" t="s">
        <v>123</v>
      </c>
      <c r="I41" s="42">
        <v>46083.0</v>
      </c>
      <c r="J41" s="40" t="s">
        <v>110</v>
      </c>
      <c r="K41" s="43" t="b">
        <v>0</v>
      </c>
      <c r="L41" s="44"/>
      <c r="M41" s="45">
        <f t="shared" si="1"/>
        <v>6</v>
      </c>
      <c r="N41" s="45"/>
      <c r="O41" s="45" t="str">
        <f>IFERROR(__xludf.DUMMYFUNCTION("IFERROR(
  TEXT(
    MAX(FILTER(Remark!A:A, TRIM(Remark!B:B) = TRIM(B41))),
    ""dd/mm/yyyy""
  ) &amp; "" - "" &amp;
  FILTER(
    Remark!C:C,
    TRIM(Remark!B:B) = TRIM(B41),
    Remark!A:A = MAX(FILTER(Remark!A:A, TRIM(Remark!B:B) = TRIM(B41)))
  ),
  """"
)"),"")</f>
        <v/>
      </c>
      <c r="P41" s="45" t="str">
        <f>IFERROR(__xludf.DUMMYFUNCTION("TEXTJOIN(CHAR(10), TRUE, IFERROR(
  FILTER(TEXT(Remark!A:A, ""dd/mm/yyyy"") &amp; "" - "" &amp; Remark!C:C, TRIM(Remark!B:B) = TRIM(B41)),
  """"
))"),"")</f>
        <v/>
      </c>
      <c r="Q41" s="45" t="str">
        <f>IFERROR(__xludf.DUMMYFUNCTION("IFERROR(
  FILTER(
    Remark!D:D,
    Remark!A:A = MAX(FILTER(Remark!A:A, TRIM(Remark!B:B) = TRIM(B41)))
  ),
  """"
)"),"")</f>
        <v/>
      </c>
      <c r="R41" s="46" t="str">
        <f t="shared" si="2"/>
        <v>Learning</v>
      </c>
      <c r="S41" s="47" t="b">
        <v>0</v>
      </c>
      <c r="T41" s="48" t="s">
        <v>168</v>
      </c>
      <c r="U41" s="49"/>
      <c r="V41" s="49"/>
      <c r="W41" s="49"/>
      <c r="X41" s="49">
        <v>2.0</v>
      </c>
      <c r="Y41" s="49">
        <v>1.0</v>
      </c>
      <c r="Z41" s="49"/>
      <c r="AA41" s="49">
        <f t="shared" si="3"/>
        <v>3</v>
      </c>
    </row>
    <row r="42" ht="26.25" customHeight="1">
      <c r="A42" s="66">
        <v>460.0</v>
      </c>
      <c r="B42" s="70" t="s">
        <v>170</v>
      </c>
      <c r="C42" s="40" t="s">
        <v>76</v>
      </c>
      <c r="D42" s="69">
        <v>46085.0</v>
      </c>
      <c r="E42" s="51"/>
      <c r="F42" s="40" t="s">
        <v>132</v>
      </c>
      <c r="G42" s="57" t="s">
        <v>0</v>
      </c>
      <c r="H42" s="57" t="s">
        <v>123</v>
      </c>
      <c r="I42" s="42">
        <v>46085.0</v>
      </c>
      <c r="J42" s="57" t="s">
        <v>110</v>
      </c>
      <c r="K42" s="59" t="b">
        <v>0</v>
      </c>
      <c r="L42" s="44"/>
      <c r="M42" s="61">
        <f t="shared" si="1"/>
        <v>6</v>
      </c>
      <c r="N42" s="61"/>
      <c r="O42" s="45" t="str">
        <f>IFERROR(__xludf.DUMMYFUNCTION("IFERROR(
  TEXT(
    MAX(FILTER(Remark!A:A, TRIM(Remark!B:B) = TRIM(B42))),
    ""dd/mm/yyyy""
  ) &amp; "" - "" &amp;
  FILTER(
    Remark!C:C,
    TRIM(Remark!B:B) = TRIM(B42),
    Remark!A:A = MAX(FILTER(Remark!A:A, TRIM(Remark!B:B) = TRIM(B42)))
  ),
  """"
)"),"")</f>
        <v/>
      </c>
      <c r="P42" s="45" t="str">
        <f>IFERROR(__xludf.DUMMYFUNCTION("TEXTJOIN(CHAR(10), TRUE, IFERROR(
  FILTER(TEXT(Remark!A:A, ""dd/mm/yyyy"") &amp; "" - "" &amp; Remark!C:C, TRIM(Remark!B:B) = TRIM(B42)),
  """"
))"),"")</f>
        <v/>
      </c>
      <c r="Q42" s="45" t="str">
        <f>IFERROR(__xludf.DUMMYFUNCTION("IFERROR(
  FILTER(
    Remark!D:D,
    Remark!A:A = MAX(FILTER(Remark!A:A, TRIM(Remark!B:B) = TRIM(B42)))
  ),
  """"
)"),"")</f>
        <v/>
      </c>
      <c r="R42" s="46" t="str">
        <f t="shared" si="2"/>
        <v>Learning</v>
      </c>
      <c r="S42" s="47" t="b">
        <v>0</v>
      </c>
      <c r="T42" s="52" t="s">
        <v>171</v>
      </c>
      <c r="U42" s="62"/>
      <c r="V42" s="62"/>
      <c r="W42" s="62"/>
      <c r="X42" s="62">
        <v>1.0</v>
      </c>
      <c r="Y42" s="62">
        <v>1.0</v>
      </c>
      <c r="Z42" s="62"/>
      <c r="AA42" s="49">
        <f t="shared" si="3"/>
        <v>2</v>
      </c>
    </row>
    <row r="43" ht="26.25" customHeight="1">
      <c r="A43" s="35">
        <v>303.0</v>
      </c>
      <c r="B43" s="36" t="s">
        <v>172</v>
      </c>
      <c r="C43" s="40" t="s">
        <v>76</v>
      </c>
      <c r="D43" s="38">
        <v>45663.0</v>
      </c>
      <c r="E43" s="51"/>
      <c r="F43" s="40" t="s">
        <v>132</v>
      </c>
      <c r="G43" s="57" t="s">
        <v>0</v>
      </c>
      <c r="H43" s="57" t="s">
        <v>173</v>
      </c>
      <c r="I43" s="58">
        <v>45873.0</v>
      </c>
      <c r="J43" s="57" t="s">
        <v>126</v>
      </c>
      <c r="K43" s="43" t="b">
        <v>1</v>
      </c>
      <c r="L43" s="60"/>
      <c r="M43" s="61">
        <f t="shared" si="1"/>
        <v>36</v>
      </c>
      <c r="N43" s="62"/>
      <c r="O43" s="45" t="str">
        <f>IFERROR(__xludf.DUMMYFUNCTION("IFERROR(
  TEXT(
    MAX(FILTER(Remark!A:A, TRIM(Remark!B:B) = TRIM(B43))),
    ""dd/mm/yyyy""
  ) &amp; "" - "" &amp;
  FILTER(
    Remark!C:C,
    TRIM(Remark!B:B) = TRIM(B43),
    Remark!A:A = MAX(FILTER(Remark!A:A, TRIM(Remark!B:B) = TRIM(B43)))
  ),
  """"
)"),"")</f>
        <v/>
      </c>
      <c r="P43" s="45" t="str">
        <f>IFERROR(__xludf.DUMMYFUNCTION("TEXTJOIN(CHAR(10), TRUE, IFERROR(
  FILTER(TEXT(Remark!A:A, ""dd/mm/yyyy"") &amp; "" - "" &amp; Remark!C:C, TRIM(Remark!B:B) = TRIM(B43)),
  """"
))"),"")</f>
        <v/>
      </c>
      <c r="Q43" s="45" t="str">
        <f>IFERROR(__xludf.DUMMYFUNCTION("IFERROR(
  FILTER(
    Remark!D:D,
    Remark!A:A = MAX(FILTER(Remark!A:A, TRIM(Remark!B:B) = TRIM(B43)))
  ),
  """"
)"),"")</f>
        <v/>
      </c>
      <c r="R43" s="46" t="str">
        <f t="shared" si="2"/>
        <v>Starting Final Project</v>
      </c>
      <c r="S43" s="47"/>
      <c r="T43" s="52" t="s">
        <v>174</v>
      </c>
      <c r="U43" s="49">
        <v>7.0</v>
      </c>
      <c r="V43" s="49">
        <v>1.0</v>
      </c>
      <c r="W43" s="49"/>
      <c r="X43" s="49">
        <v>1.0</v>
      </c>
      <c r="Y43" s="49">
        <v>1.0</v>
      </c>
      <c r="Z43" s="49"/>
      <c r="AA43" s="49">
        <f t="shared" si="3"/>
        <v>3</v>
      </c>
    </row>
    <row r="44" ht="26.25" customHeight="1">
      <c r="A44" s="66">
        <v>424.0</v>
      </c>
      <c r="B44" s="36" t="s">
        <v>175</v>
      </c>
      <c r="C44" s="40" t="s">
        <v>76</v>
      </c>
      <c r="D44" s="54">
        <v>46036.0</v>
      </c>
      <c r="E44" s="51"/>
      <c r="F44" s="40" t="s">
        <v>132</v>
      </c>
      <c r="G44" s="57" t="s">
        <v>0</v>
      </c>
      <c r="H44" s="57" t="s">
        <v>173</v>
      </c>
      <c r="I44" s="42">
        <v>46036.0</v>
      </c>
      <c r="J44" s="57" t="s">
        <v>159</v>
      </c>
      <c r="K44" s="59" t="b">
        <v>0</v>
      </c>
      <c r="L44" s="44"/>
      <c r="M44" s="61">
        <f t="shared" si="1"/>
        <v>13</v>
      </c>
      <c r="N44" s="61"/>
      <c r="O44" s="45" t="str">
        <f>IFERROR(__xludf.DUMMYFUNCTION("IFERROR(
  TEXT(
    MAX(FILTER(Remark!A:A, TRIM(Remark!B:B) = TRIM(B44))),
    ""dd/mm/yyyy""
  ) &amp; "" - "" &amp;
  FILTER(
    Remark!C:C,
    TRIM(Remark!B:B) = TRIM(B44),
    Remark!A:A = MAX(FILTER(Remark!A:A, TRIM(Remark!B:B) = TRIM(B44)))
  ),
  """"
)"),"")</f>
        <v/>
      </c>
      <c r="P44" s="45" t="str">
        <f>IFERROR(__xludf.DUMMYFUNCTION("TEXTJOIN(CHAR(10), TRUE, IFERROR(
  FILTER(TEXT(Remark!A:A, ""dd/mm/yyyy"") &amp; "" - "" &amp; Remark!C:C, TRIM(Remark!B:B) = TRIM(B44)),
  """"
))"),"")</f>
        <v/>
      </c>
      <c r="Q44" s="45" t="str">
        <f>IFERROR(__xludf.DUMMYFUNCTION("IFERROR(
  FILTER(
    Remark!D:D,
    Remark!A:A = MAX(FILTER(Remark!A:A, TRIM(Remark!B:B) = TRIM(B44)))
  ),
  """"
)"),"")</f>
        <v/>
      </c>
      <c r="R44" s="46" t="str">
        <f t="shared" si="2"/>
        <v>Learning</v>
      </c>
      <c r="S44" s="47"/>
      <c r="T44" s="52" t="s">
        <v>176</v>
      </c>
      <c r="U44" s="62"/>
      <c r="V44" s="62"/>
      <c r="W44" s="62"/>
      <c r="X44" s="62"/>
      <c r="Y44" s="62">
        <v>2.0</v>
      </c>
      <c r="Z44" s="62"/>
      <c r="AA44" s="49">
        <f t="shared" si="3"/>
        <v>2</v>
      </c>
    </row>
    <row r="45" ht="26.25" customHeight="1">
      <c r="A45" s="66">
        <v>440.0</v>
      </c>
      <c r="B45" s="36" t="s">
        <v>177</v>
      </c>
      <c r="C45" s="40" t="s">
        <v>76</v>
      </c>
      <c r="D45" s="54">
        <v>46045.0</v>
      </c>
      <c r="E45" s="51"/>
      <c r="F45" s="40" t="s">
        <v>132</v>
      </c>
      <c r="G45" s="40" t="s">
        <v>0</v>
      </c>
      <c r="H45" s="40" t="s">
        <v>173</v>
      </c>
      <c r="I45" s="42">
        <v>46060.0</v>
      </c>
      <c r="J45" s="40" t="s">
        <v>159</v>
      </c>
      <c r="K45" s="43" t="b">
        <v>0</v>
      </c>
      <c r="L45" s="44"/>
      <c r="M45" s="45">
        <f t="shared" si="1"/>
        <v>10</v>
      </c>
      <c r="N45" s="45"/>
      <c r="O45" s="45" t="str">
        <f>IFERROR(__xludf.DUMMYFUNCTION("IFERROR(
  TEXT(
    MAX(FILTER(Remark!A:A, TRIM(Remark!B:B) = TRIM(B45))),
    ""dd/mm/yyyy""
  ) &amp; "" - "" &amp;
  FILTER(
    Remark!C:C,
    TRIM(Remark!B:B) = TRIM(B45),
    Remark!A:A = MAX(FILTER(Remark!A:A, TRIM(Remark!B:B) = TRIM(B45)))
  ),
  """"
)"),"")</f>
        <v/>
      </c>
      <c r="P45" s="45" t="str">
        <f>IFERROR(__xludf.DUMMYFUNCTION("TEXTJOIN(CHAR(10), TRUE, IFERROR(
  FILTER(TEXT(Remark!A:A, ""dd/mm/yyyy"") &amp; "" - "" &amp; Remark!C:C, TRIM(Remark!B:B) = TRIM(B45)),
  """"
))"),"")</f>
        <v/>
      </c>
      <c r="Q45" s="45" t="str">
        <f>IFERROR(__xludf.DUMMYFUNCTION("IFERROR(
  FILTER(
    Remark!D:D,
    Remark!A:A = MAX(FILTER(Remark!A:A, TRIM(Remark!B:B) = TRIM(B45)))
  ),
  """"
)"),"")</f>
        <v/>
      </c>
      <c r="R45" s="46" t="str">
        <f t="shared" si="2"/>
        <v>Learning</v>
      </c>
      <c r="S45" s="47"/>
      <c r="T45" s="48" t="s">
        <v>178</v>
      </c>
      <c r="U45" s="49"/>
      <c r="V45" s="49"/>
      <c r="W45" s="49"/>
      <c r="X45" s="49">
        <v>1.0</v>
      </c>
      <c r="Y45" s="49">
        <v>2.0</v>
      </c>
      <c r="Z45" s="49"/>
      <c r="AA45" s="49">
        <f t="shared" si="3"/>
        <v>3</v>
      </c>
    </row>
    <row r="46" ht="26.25" customHeight="1">
      <c r="A46" s="66">
        <v>476.0</v>
      </c>
      <c r="B46" s="36" t="s">
        <v>179</v>
      </c>
      <c r="C46" s="40" t="s">
        <v>76</v>
      </c>
      <c r="D46" s="69">
        <v>46114.0</v>
      </c>
      <c r="E46" s="51"/>
      <c r="F46" s="40" t="s">
        <v>180</v>
      </c>
      <c r="G46" s="40" t="s">
        <v>0</v>
      </c>
      <c r="H46" s="40" t="s">
        <v>181</v>
      </c>
      <c r="I46" s="42">
        <v>46114.0</v>
      </c>
      <c r="J46" s="40" t="s">
        <v>110</v>
      </c>
      <c r="K46" s="43" t="b">
        <v>0</v>
      </c>
      <c r="L46" s="44"/>
      <c r="M46" s="45">
        <f t="shared" si="1"/>
        <v>2</v>
      </c>
      <c r="N46" s="45"/>
      <c r="O46" s="45" t="str">
        <f>IFERROR(__xludf.DUMMYFUNCTION("IFERROR(
  TEXT(
    MAX(FILTER(Remark!A:A, TRIM(Remark!B:B) = TRIM(B46))),
    ""dd/mm/yyyy""
  ) &amp; "" - "" &amp;
  FILTER(
    Remark!C:C,
    TRIM(Remark!B:B) = TRIM(B46),
    Remark!A:A = MAX(FILTER(Remark!A:A, TRIM(Remark!B:B) = TRIM(B46)))
  ),
  """"
)"),"")</f>
        <v/>
      </c>
      <c r="P46" s="45" t="str">
        <f>IFERROR(__xludf.DUMMYFUNCTION("TEXTJOIN(CHAR(10), TRUE, IFERROR(
  FILTER(TEXT(Remark!A:A, ""dd/mm/yyyy"") &amp; "" - "" &amp; Remark!C:C, TRIM(Remark!B:B) = TRIM(B46)),
  """"
))"),"")</f>
        <v/>
      </c>
      <c r="Q46" s="45" t="str">
        <f>IFERROR(__xludf.DUMMYFUNCTION("IFERROR(
  FILTER(
    Remark!D:D,
    Remark!A:A = MAX(FILTER(Remark!A:A, TRIM(Remark!B:B) = TRIM(B46)))
  ),
  """"
)"),"")</f>
        <v/>
      </c>
      <c r="R46" s="46" t="str">
        <f t="shared" si="2"/>
        <v>Learning</v>
      </c>
      <c r="S46" s="47" t="b">
        <v>0</v>
      </c>
      <c r="T46" s="48" t="s">
        <v>182</v>
      </c>
      <c r="U46" s="49"/>
      <c r="V46" s="49"/>
      <c r="W46" s="49"/>
      <c r="X46" s="49"/>
      <c r="Y46" s="49">
        <v>1.0</v>
      </c>
      <c r="Z46" s="49"/>
      <c r="AA46" s="49">
        <f t="shared" si="3"/>
        <v>1</v>
      </c>
    </row>
    <row r="47" ht="26.25" customHeight="1">
      <c r="A47" s="66">
        <v>477.0</v>
      </c>
      <c r="B47" s="36" t="s">
        <v>183</v>
      </c>
      <c r="C47" s="40" t="s">
        <v>76</v>
      </c>
      <c r="D47" s="69">
        <v>46114.0</v>
      </c>
      <c r="E47" s="51"/>
      <c r="F47" s="40" t="s">
        <v>180</v>
      </c>
      <c r="G47" s="40" t="s">
        <v>0</v>
      </c>
      <c r="H47" s="40" t="s">
        <v>181</v>
      </c>
      <c r="I47" s="42">
        <v>46114.0</v>
      </c>
      <c r="J47" s="40" t="s">
        <v>110</v>
      </c>
      <c r="K47" s="43" t="b">
        <v>0</v>
      </c>
      <c r="L47" s="44"/>
      <c r="M47" s="45">
        <f t="shared" si="1"/>
        <v>2</v>
      </c>
      <c r="N47" s="45"/>
      <c r="O47" s="45" t="str">
        <f>IFERROR(__xludf.DUMMYFUNCTION("IFERROR(
  TEXT(
    MAX(FILTER(Remark!A:A, TRIM(Remark!B:B) = TRIM(B47))),
    ""dd/mm/yyyy""
  ) &amp; "" - "" &amp;
  FILTER(
    Remark!C:C,
    TRIM(Remark!B:B) = TRIM(B47),
    Remark!A:A = MAX(FILTER(Remark!A:A, TRIM(Remark!B:B) = TRIM(B47)))
  ),
  """"
)"),"")</f>
        <v/>
      </c>
      <c r="P47" s="45" t="str">
        <f>IFERROR(__xludf.DUMMYFUNCTION("TEXTJOIN(CHAR(10), TRUE, IFERROR(
  FILTER(TEXT(Remark!A:A, ""dd/mm/yyyy"") &amp; "" - "" &amp; Remark!C:C, TRIM(Remark!B:B) = TRIM(B47)),
  """"
))"),"")</f>
        <v/>
      </c>
      <c r="Q47" s="45" t="str">
        <f>IFERROR(__xludf.DUMMYFUNCTION("IFERROR(
  FILTER(
    Remark!D:D,
    Remark!A:A = MAX(FILTER(Remark!A:A, TRIM(Remark!B:B) = TRIM(B47)))
  ),
  """"
)"),"")</f>
        <v/>
      </c>
      <c r="R47" s="46" t="str">
        <f t="shared" si="2"/>
        <v>Learning</v>
      </c>
      <c r="S47" s="47" t="b">
        <v>0</v>
      </c>
      <c r="T47" s="48" t="s">
        <v>182</v>
      </c>
      <c r="U47" s="49"/>
      <c r="V47" s="49"/>
      <c r="W47" s="49"/>
      <c r="X47" s="49"/>
      <c r="Y47" s="49">
        <v>1.0</v>
      </c>
      <c r="Z47" s="49"/>
      <c r="AA47" s="49">
        <f t="shared" si="3"/>
        <v>1</v>
      </c>
    </row>
    <row r="48" ht="26.25" customHeight="1">
      <c r="A48" s="35">
        <v>8.0</v>
      </c>
      <c r="B48" s="48" t="s">
        <v>184</v>
      </c>
      <c r="C48" s="37" t="s">
        <v>76</v>
      </c>
      <c r="D48" s="38">
        <v>44532.0</v>
      </c>
      <c r="E48" s="39"/>
      <c r="F48" s="40" t="s">
        <v>185</v>
      </c>
      <c r="G48" s="41" t="s">
        <v>0</v>
      </c>
      <c r="H48" s="40" t="s">
        <v>78</v>
      </c>
      <c r="I48" s="42">
        <v>46027.0</v>
      </c>
      <c r="J48" s="40" t="s">
        <v>186</v>
      </c>
      <c r="K48" s="43" t="b">
        <v>1</v>
      </c>
      <c r="L48" s="44"/>
      <c r="M48" s="45">
        <f t="shared" si="1"/>
        <v>14</v>
      </c>
      <c r="N48" s="45"/>
      <c r="O48" s="45" t="str">
        <f>IFERROR(__xludf.DUMMYFUNCTION("IFERROR(
  TEXT(
    MAX(FILTER(Remark!A:A, TRIM(Remark!B:B) = TRIM(B48))),
    ""dd/mm/yyyy""
  ) &amp; "" - "" &amp;
  FILTER(
    Remark!C:C,
    TRIM(Remark!B:B) = TRIM(B48),
    Remark!A:A = MAX(FILTER(Remark!A:A, TRIM(Remark!B:B) = TRIM(B48)))
  ),
  """"
)"),"")</f>
        <v/>
      </c>
      <c r="P48" s="45" t="str">
        <f>IFERROR(__xludf.DUMMYFUNCTION("TEXTJOIN(CHAR(10), TRUE, IFERROR(
  FILTER(TEXT(Remark!A:A, ""dd/mm/yyyy"") &amp; "" - "" &amp; Remark!C:C, TRIM(Remark!B:B) = TRIM(B48)),
  """"
))"),"")</f>
        <v/>
      </c>
      <c r="Q48" s="45" t="str">
        <f>IFERROR(__xludf.DUMMYFUNCTION("IFERROR(
  FILTER(
    Remark!D:D,
    Remark!A:A = MAX(FILTER(Remark!A:A, TRIM(Remark!B:B) = TRIM(B48)))
  ),
  """"
)"),"")</f>
        <v/>
      </c>
      <c r="R48" s="46" t="str">
        <f t="shared" si="2"/>
        <v>Learning</v>
      </c>
      <c r="S48" s="47"/>
      <c r="T48" s="56" t="s">
        <v>187</v>
      </c>
      <c r="U48" s="49">
        <v>3.0</v>
      </c>
      <c r="V48" s="49"/>
      <c r="W48" s="49"/>
      <c r="X48" s="49">
        <v>1.0</v>
      </c>
      <c r="Y48" s="49"/>
      <c r="Z48" s="49"/>
      <c r="AA48" s="49">
        <f t="shared" si="3"/>
        <v>1</v>
      </c>
    </row>
    <row r="49" ht="26.25" customHeight="1">
      <c r="A49" s="35">
        <v>74.0</v>
      </c>
      <c r="B49" s="36" t="s">
        <v>188</v>
      </c>
      <c r="C49" s="37" t="s">
        <v>76</v>
      </c>
      <c r="D49" s="38">
        <v>44532.0</v>
      </c>
      <c r="E49" s="39"/>
      <c r="F49" s="40" t="s">
        <v>185</v>
      </c>
      <c r="G49" s="41" t="s">
        <v>0</v>
      </c>
      <c r="H49" s="40" t="s">
        <v>78</v>
      </c>
      <c r="I49" s="42">
        <v>46033.0</v>
      </c>
      <c r="J49" s="40" t="s">
        <v>120</v>
      </c>
      <c r="K49" s="43" t="b">
        <v>1</v>
      </c>
      <c r="L49" s="44"/>
      <c r="M49" s="45">
        <f t="shared" si="1"/>
        <v>13</v>
      </c>
      <c r="N49" s="49"/>
      <c r="O49" s="45" t="str">
        <f>IFERROR(__xludf.DUMMYFUNCTION("IFERROR(
  TEXT(
    MAX(FILTER(Remark!A:A, TRIM(Remark!B:B) = TRIM(B49))),
    ""dd/mm/yyyy""
  ) &amp; "" - "" &amp;
  FILTER(
    Remark!C:C,
    TRIM(Remark!B:B) = TRIM(B49),
    Remark!A:A = MAX(FILTER(Remark!A:A, TRIM(Remark!B:B) = TRIM(B49)))
  ),
  """"
)"),"")</f>
        <v/>
      </c>
      <c r="P49" s="45" t="str">
        <f>IFERROR(__xludf.DUMMYFUNCTION("TEXTJOIN(CHAR(10), TRUE, IFERROR(
  FILTER(TEXT(Remark!A:A, ""dd/mm/yyyy"") &amp; "" - "" &amp; Remark!C:C, TRIM(Remark!B:B) = TRIM(B49)),
  """"
))"),"")</f>
        <v/>
      </c>
      <c r="Q49" s="45" t="str">
        <f>IFERROR(__xludf.DUMMYFUNCTION("IFERROR(
  FILTER(
    Remark!D:D,
    Remark!A:A = MAX(FILTER(Remark!A:A, TRIM(Remark!B:B) = TRIM(B49)))
  ),
  """"
)"),"")</f>
        <v/>
      </c>
      <c r="R49" s="46" t="str">
        <f t="shared" si="2"/>
        <v>Learning</v>
      </c>
      <c r="S49" s="47"/>
      <c r="T49" s="56" t="s">
        <v>189</v>
      </c>
      <c r="U49" s="49">
        <v>2.0</v>
      </c>
      <c r="V49" s="49"/>
      <c r="W49" s="49"/>
      <c r="X49" s="49">
        <v>2.0</v>
      </c>
      <c r="Y49" s="49">
        <v>1.0</v>
      </c>
      <c r="Z49" s="49"/>
      <c r="AA49" s="49">
        <f t="shared" si="3"/>
        <v>3</v>
      </c>
    </row>
    <row r="50" ht="26.25" customHeight="1">
      <c r="A50" s="35">
        <v>141.0</v>
      </c>
      <c r="B50" s="50" t="s">
        <v>190</v>
      </c>
      <c r="C50" s="37" t="s">
        <v>76</v>
      </c>
      <c r="D50" s="54">
        <v>45120.0</v>
      </c>
      <c r="E50" s="39"/>
      <c r="F50" s="40" t="s">
        <v>185</v>
      </c>
      <c r="G50" s="41" t="s">
        <v>0</v>
      </c>
      <c r="H50" s="40" t="s">
        <v>78</v>
      </c>
      <c r="I50" s="42">
        <v>46039.0</v>
      </c>
      <c r="J50" s="40" t="s">
        <v>186</v>
      </c>
      <c r="K50" s="43" t="b">
        <v>1</v>
      </c>
      <c r="L50" s="44"/>
      <c r="M50" s="45">
        <f t="shared" si="1"/>
        <v>13</v>
      </c>
      <c r="N50" s="45"/>
      <c r="O50" s="45" t="str">
        <f>IFERROR(__xludf.DUMMYFUNCTION("IFERROR(
  TEXT(
    MAX(FILTER(Remark!A:A, TRIM(Remark!B:B) = TRIM(B50))),
    ""dd/mm/yyyy""
  ) &amp; "" - "" &amp;
  FILTER(
    Remark!C:C,
    TRIM(Remark!B:B) = TRIM(B50),
    Remark!A:A = MAX(FILTER(Remark!A:A, TRIM(Remark!B:B) = TRIM(B50)))
  ),
  """"
)"),"")</f>
        <v/>
      </c>
      <c r="P50" s="45" t="str">
        <f>IFERROR(__xludf.DUMMYFUNCTION("TEXTJOIN(CHAR(10), TRUE, IFERROR(
  FILTER(TEXT(Remark!A:A, ""dd/mm/yyyy"") &amp; "" - "" &amp; Remark!C:C, TRIM(Remark!B:B) = TRIM(B50)),
  """"
))"),"")</f>
        <v/>
      </c>
      <c r="Q50" s="45" t="str">
        <f>IFERROR(__xludf.DUMMYFUNCTION("IFERROR(
  FILTER(
    Remark!D:D,
    Remark!A:A = MAX(FILTER(Remark!A:A, TRIM(Remark!B:B) = TRIM(B50)))
  ),
  """"
)"),"")</f>
        <v/>
      </c>
      <c r="R50" s="46" t="str">
        <f t="shared" si="2"/>
        <v>Learning</v>
      </c>
      <c r="S50" s="47"/>
      <c r="T50" s="56" t="s">
        <v>191</v>
      </c>
      <c r="U50" s="49">
        <v>1.0</v>
      </c>
      <c r="V50" s="49">
        <v>1.0</v>
      </c>
      <c r="W50" s="49">
        <v>1.0</v>
      </c>
      <c r="X50" s="49">
        <v>1.0</v>
      </c>
      <c r="Y50" s="49">
        <v>1.0</v>
      </c>
      <c r="Z50" s="49"/>
      <c r="AA50" s="49">
        <f t="shared" si="3"/>
        <v>4</v>
      </c>
    </row>
    <row r="51" ht="26.25" customHeight="1">
      <c r="A51" s="35">
        <v>184.0</v>
      </c>
      <c r="B51" s="36" t="s">
        <v>192</v>
      </c>
      <c r="C51" s="37" t="s">
        <v>76</v>
      </c>
      <c r="D51" s="54">
        <v>45191.0</v>
      </c>
      <c r="E51" s="39"/>
      <c r="F51" s="40" t="s">
        <v>185</v>
      </c>
      <c r="G51" s="41" t="s">
        <v>0</v>
      </c>
      <c r="H51" s="40" t="s">
        <v>78</v>
      </c>
      <c r="I51" s="42">
        <v>46039.0</v>
      </c>
      <c r="J51" s="40" t="s">
        <v>79</v>
      </c>
      <c r="K51" s="43" t="b">
        <v>1</v>
      </c>
      <c r="L51" s="44"/>
      <c r="M51" s="45">
        <f t="shared" si="1"/>
        <v>13</v>
      </c>
      <c r="N51" s="45"/>
      <c r="O51" s="45" t="str">
        <f>IFERROR(__xludf.DUMMYFUNCTION("IFERROR(
  TEXT(
    MAX(FILTER(Remark!A:A, TRIM(Remark!B:B) = TRIM(B51))),
    ""dd/mm/yyyy""
  ) &amp; "" - "" &amp;
  FILTER(
    Remark!C:C,
    TRIM(Remark!B:B) = TRIM(B51),
    Remark!A:A = MAX(FILTER(Remark!A:A, TRIM(Remark!B:B) = TRIM(B51)))
  ),
  """"
)"),"09/10/2025 - [Caleb]
Has begun his final project.
Mentor was advised to set a timeline together with student to ensure there is sufficient time for preparation before the year-end showcase.")</f>
        <v>09/10/2025 - [Caleb]
Has begun his final project.
Mentor was advised to set a timeline together with student to ensure there is sufficient time for preparation before the year-end showcase.</v>
      </c>
      <c r="P51" s="45" t="str">
        <f>IFERROR(__xludf.DUMMYFUNCTION("TEXTJOIN(CHAR(10), TRUE, IFERROR(
  FILTER(TEXT(Remark!A:A, ""dd/mm/yyyy"") &amp; "" - "" &amp; Remark!C:C, TRIM(Remark!B:B) = TRIM(B51)),
  """"
))"),"04/10/2025 - [Vincent] lack of arduino knowledge, it may delay project showcase. 
09/10/2025 - [Caleb]
Has begun his final project.
Mentor was advised to set a timeline together with student to ensure there is sufficient time for preparation before the ye"&amp;"ar-end showcase.")</f>
        <v>04/10/2025 - [Vincent] lack of arduino knowledge, it may delay project showcase. 
09/10/2025 - [Caleb]
Has begun his final project.
Mentor was advised to set a timeline together with student to ensure there is sufficient time for preparation before the year-end showcase.</v>
      </c>
      <c r="Q51" s="45" t="str">
        <f>IFERROR(__xludf.DUMMYFUNCTION("IFERROR(
  FILTER(
    Remark!D:D,
    Remark!A:A = MAX(FILTER(Remark!A:A, TRIM(Remark!B:B) = TRIM(B51)))
  ),
  """"
)"),"Yes")</f>
        <v>Yes</v>
      </c>
      <c r="R51" s="46" t="str">
        <f t="shared" si="2"/>
        <v>Learning</v>
      </c>
      <c r="S51" s="47"/>
      <c r="T51" s="48" t="s">
        <v>193</v>
      </c>
      <c r="U51" s="49">
        <v>6.0</v>
      </c>
      <c r="V51" s="49"/>
      <c r="W51" s="49"/>
      <c r="X51" s="49">
        <v>2.0</v>
      </c>
      <c r="Y51" s="49">
        <v>1.0</v>
      </c>
      <c r="Z51" s="49"/>
      <c r="AA51" s="49">
        <f t="shared" si="3"/>
        <v>3</v>
      </c>
    </row>
    <row r="52" ht="26.25" customHeight="1">
      <c r="A52" s="35">
        <v>104.0</v>
      </c>
      <c r="B52" s="48" t="s">
        <v>194</v>
      </c>
      <c r="C52" s="37" t="s">
        <v>76</v>
      </c>
      <c r="D52" s="54">
        <v>44879.0</v>
      </c>
      <c r="E52" s="39"/>
      <c r="F52" s="40" t="s">
        <v>185</v>
      </c>
      <c r="G52" s="41" t="s">
        <v>0</v>
      </c>
      <c r="H52" s="40" t="s">
        <v>91</v>
      </c>
      <c r="I52" s="42">
        <v>45759.0</v>
      </c>
      <c r="J52" s="40" t="s">
        <v>92</v>
      </c>
      <c r="K52" s="43" t="b">
        <v>1</v>
      </c>
      <c r="L52" s="44"/>
      <c r="M52" s="45">
        <f t="shared" si="1"/>
        <v>53</v>
      </c>
      <c r="N52" s="49"/>
      <c r="O52" s="45" t="str">
        <f>IFERROR(__xludf.DUMMYFUNCTION("IFERROR(
  TEXT(
    MAX(FILTER(Remark!A:A, TRIM(Remark!B:B) = TRIM(B52))),
    ""dd/mm/yyyy""
  ) &amp; "" - "" &amp;
  FILTER(
    Remark!C:C,
    TRIM(Remark!B:B) = TRIM(B52),
    Remark!A:A = MAX(FILTER(Remark!A:A, TRIM(Remark!B:B) = TRIM(B52)))
  ),
  """"
)"),"16/10/2025 - [Caleb]
The student has a missing project from B2 and is currently working on the C2 project.
The mentor is advised to follow up on the missing project to ensure completion.
Additionally, the student is a bit shy to communicate.")</f>
        <v>16/10/2025 - [Caleb]
The student has a missing project from B2 and is currently working on the C2 project.
The mentor is advised to follow up on the missing project to ensure completion.
Additionally, the student is a bit shy to communicate.</v>
      </c>
      <c r="P52" s="45" t="str">
        <f>IFERROR(__xludf.DUMMYFUNCTION("TEXTJOIN(CHAR(10), TRUE, IFERROR(
  FILTER(TEXT(Remark!A:A, ""dd/mm/yyyy"") &amp; "" - "" &amp; Remark!C:C, TRIM(Remark!B:B) = TRIM(B52)),
  """"
))"),"16/10/2025 - [Caleb]
The student has a missing project from B2 and is currently working on the C2 project.
The mentor is advised to follow up on the missing project to ensure completion.
Additionally, the student is a bit shy to communicate.")</f>
        <v>16/10/2025 - [Caleb]
The student has a missing project from B2 and is currently working on the C2 project.
The mentor is advised to follow up on the missing project to ensure completion.
Additionally, the student is a bit shy to communicate.</v>
      </c>
      <c r="Q52" s="45" t="str">
        <f>IFERROR(__xludf.DUMMYFUNCTION("IFERROR(
  FILTER(
    Remark!D:D,
    Remark!A:A = MAX(FILTER(Remark!A:A, TRIM(Remark!B:B) = TRIM(B52)))
  ),
  """"
)"),"Yes")</f>
        <v>Yes</v>
      </c>
      <c r="R52" s="46" t="str">
        <f t="shared" si="2"/>
        <v>Prepare for Showcase</v>
      </c>
      <c r="S52" s="43" t="b">
        <v>1</v>
      </c>
      <c r="T52" s="52" t="s">
        <v>195</v>
      </c>
      <c r="U52" s="49">
        <v>1.0</v>
      </c>
      <c r="V52" s="49"/>
      <c r="W52" s="49"/>
      <c r="X52" s="49">
        <v>1.0</v>
      </c>
      <c r="Y52" s="49"/>
      <c r="Z52" s="49"/>
      <c r="AA52" s="49">
        <f t="shared" si="3"/>
        <v>1</v>
      </c>
    </row>
    <row r="53" ht="26.25" customHeight="1">
      <c r="A53" s="35">
        <v>224.0</v>
      </c>
      <c r="B53" s="48" t="s">
        <v>196</v>
      </c>
      <c r="C53" s="37" t="s">
        <v>76</v>
      </c>
      <c r="D53" s="38">
        <v>45353.0</v>
      </c>
      <c r="E53" s="39"/>
      <c r="F53" s="40" t="s">
        <v>185</v>
      </c>
      <c r="G53" s="41" t="s">
        <v>0</v>
      </c>
      <c r="H53" s="40" t="s">
        <v>91</v>
      </c>
      <c r="I53" s="42">
        <v>46032.0</v>
      </c>
      <c r="J53" s="40" t="s">
        <v>126</v>
      </c>
      <c r="K53" s="43" t="b">
        <v>1</v>
      </c>
      <c r="L53" s="44"/>
      <c r="M53" s="45">
        <f t="shared" si="1"/>
        <v>14</v>
      </c>
      <c r="N53" s="45"/>
      <c r="O53" s="45" t="str">
        <f>IFERROR(__xludf.DUMMYFUNCTION("IFERROR(
  TEXT(
    MAX(FILTER(Remark!A:A, TRIM(Remark!B:B) = TRIM(B53))),
    ""dd/mm/yyyy""
  ) &amp; "" - "" &amp;
  FILTER(
    Remark!C:C,
    TRIM(Remark!B:B) = TRIM(B53),
    Remark!A:A = MAX(FILTER(Remark!A:A, TRIM(Remark!B:B) = TRIM(B53)))
  ),
  """"
)"),"16/10/2025 - [Caleb]
The student has already started preparing for the final project.
Reminder for mentor: Once the student completes the project, provide feedback for improvement and enhancement to help the student refine the final outcome.")</f>
        <v>16/10/2025 - [Caleb]
The student has already started preparing for the final project.
Reminder for mentor: Once the student completes the project, provide feedback for improvement and enhancement to help the student refine the final outcome.</v>
      </c>
      <c r="P53" s="45" t="str">
        <f>IFERROR(__xludf.DUMMYFUNCTION("TEXTJOIN(CHAR(10), TRUE, IFERROR(
  FILTER(TEXT(Remark!A:A, ""dd/mm/yyyy"") &amp; "" - "" &amp; Remark!C:C, TRIM(Remark!B:B) = TRIM(B53)),
  """"
))"),"16/10/2025 - [Caleb]
The student has already started preparing for the final project.
Reminder for mentor: Once the student completes the project, provide feedback for improvement and enhancement to help the student refine the final outcome.")</f>
        <v>16/10/2025 - [Caleb]
The student has already started preparing for the final project.
Reminder for mentor: Once the student completes the project, provide feedback for improvement and enhancement to help the student refine the final outcome.</v>
      </c>
      <c r="Q53" s="45" t="str">
        <f>IFERROR(__xludf.DUMMYFUNCTION("IFERROR(
  FILTER(
    Remark!D:D,
    Remark!A:A = MAX(FILTER(Remark!A:A, TRIM(Remark!B:B) = TRIM(B53)))
  ),
  """"
)"),"Yes")</f>
        <v>Yes</v>
      </c>
      <c r="R53" s="46" t="str">
        <f t="shared" si="2"/>
        <v>Learning</v>
      </c>
      <c r="S53" s="47"/>
      <c r="T53" s="48" t="s">
        <v>197</v>
      </c>
      <c r="U53" s="49">
        <v>7.0</v>
      </c>
      <c r="V53" s="49">
        <v>1.0</v>
      </c>
      <c r="W53" s="49"/>
      <c r="X53" s="49">
        <v>1.0</v>
      </c>
      <c r="Y53" s="49"/>
      <c r="Z53" s="49"/>
      <c r="AA53" s="49">
        <f t="shared" si="3"/>
        <v>2</v>
      </c>
    </row>
    <row r="54" ht="26.25" customHeight="1">
      <c r="A54" s="66">
        <v>409.0</v>
      </c>
      <c r="B54" s="36" t="s">
        <v>198</v>
      </c>
      <c r="C54" s="40" t="s">
        <v>76</v>
      </c>
      <c r="D54" s="38">
        <v>45966.0</v>
      </c>
      <c r="E54" s="51"/>
      <c r="F54" s="40" t="s">
        <v>185</v>
      </c>
      <c r="G54" s="40" t="s">
        <v>0</v>
      </c>
      <c r="H54" s="40" t="s">
        <v>91</v>
      </c>
      <c r="I54" s="42">
        <v>45963.0</v>
      </c>
      <c r="J54" s="40" t="s">
        <v>101</v>
      </c>
      <c r="K54" s="43" t="b">
        <v>0</v>
      </c>
      <c r="L54" s="44"/>
      <c r="M54" s="45">
        <f t="shared" si="1"/>
        <v>23</v>
      </c>
      <c r="N54" s="45"/>
      <c r="O54" s="45" t="str">
        <f>IFERROR(__xludf.DUMMYFUNCTION("IFERROR(
  TEXT(
    MAX(FILTER(Remark!A:A, TRIM(Remark!B:B) = TRIM(B54))),
    ""dd/mm/yyyy""
  ) &amp; "" - "" &amp;
  FILTER(
    Remark!C:C,
    TRIM(Remark!B:B) = TRIM(B54),
    Remark!A:A = MAX(FILTER(Remark!A:A, TRIM(Remark!B:B) = TRIM(B54)))
  ),
  """"
)"),"")</f>
        <v/>
      </c>
      <c r="P54" s="45" t="str">
        <f>IFERROR(__xludf.DUMMYFUNCTION("TEXTJOIN(CHAR(10), TRUE, IFERROR(
  FILTER(TEXT(Remark!A:A, ""dd/mm/yyyy"") &amp; "" - "" &amp; Remark!C:C, TRIM(Remark!B:B) = TRIM(B54)),
  """"
))"),"")</f>
        <v/>
      </c>
      <c r="Q54" s="45" t="str">
        <f>IFERROR(__xludf.DUMMYFUNCTION("IFERROR(
  FILTER(
    Remark!D:D,
    Remark!A:A = MAX(FILTER(Remark!A:A, TRIM(Remark!B:B) = TRIM(B54)))
  ),
  """"
)"),"")</f>
        <v/>
      </c>
      <c r="R54" s="46" t="str">
        <f t="shared" si="2"/>
        <v>Learning</v>
      </c>
      <c r="S54" s="47"/>
      <c r="T54" s="48" t="s">
        <v>199</v>
      </c>
      <c r="U54" s="49">
        <v>1.0</v>
      </c>
      <c r="V54" s="49"/>
      <c r="W54" s="49">
        <v>1.0</v>
      </c>
      <c r="X54" s="49">
        <v>1.0</v>
      </c>
      <c r="Y54" s="49"/>
      <c r="Z54" s="49"/>
      <c r="AA54" s="49">
        <f t="shared" si="3"/>
        <v>2</v>
      </c>
    </row>
    <row r="55" ht="26.25" customHeight="1">
      <c r="A55" s="66">
        <v>445.0</v>
      </c>
      <c r="B55" s="36" t="s">
        <v>200</v>
      </c>
      <c r="C55" s="40" t="s">
        <v>76</v>
      </c>
      <c r="D55" s="38">
        <v>46055.0</v>
      </c>
      <c r="E55" s="51"/>
      <c r="F55" s="40" t="s">
        <v>185</v>
      </c>
      <c r="G55" s="57" t="s">
        <v>0</v>
      </c>
      <c r="H55" s="57" t="s">
        <v>91</v>
      </c>
      <c r="I55" s="58">
        <v>46061.0</v>
      </c>
      <c r="J55" s="57" t="s">
        <v>110</v>
      </c>
      <c r="K55" s="59" t="b">
        <v>0</v>
      </c>
      <c r="L55" s="60"/>
      <c r="M55" s="61">
        <f t="shared" si="1"/>
        <v>9</v>
      </c>
      <c r="N55" s="49"/>
      <c r="O55" s="45" t="str">
        <f>IFERROR(__xludf.DUMMYFUNCTION("IFERROR(
  TEXT(
    MAX(FILTER(Remark!A:A, TRIM(Remark!B:B) = TRIM(B55))),
    ""dd/mm/yyyy""
  ) &amp; "" - "" &amp;
  FILTER(
    Remark!C:C,
    TRIM(Remark!B:B) = TRIM(B55),
    Remark!A:A = MAX(FILTER(Remark!A:A, TRIM(Remark!B:B) = TRIM(B55)))
  ),
  """"
)"),"")</f>
        <v/>
      </c>
      <c r="P55" s="45" t="str">
        <f>IFERROR(__xludf.DUMMYFUNCTION("TEXTJOIN(CHAR(10), TRUE, IFERROR(
  FILTER(TEXT(Remark!A:A, ""dd/mm/yyyy"") &amp; "" - "" &amp; Remark!C:C, TRIM(Remark!B:B) = TRIM(B55)),
  """"
))"),"")</f>
        <v/>
      </c>
      <c r="Q55" s="45" t="str">
        <f>IFERROR(__xludf.DUMMYFUNCTION("IFERROR(
  FILTER(
    Remark!D:D,
    Remark!A:A = MAX(FILTER(Remark!A:A, TRIM(Remark!B:B) = TRIM(B55)))
  ),
  """"
)"),"")</f>
        <v/>
      </c>
      <c r="R55" s="46" t="str">
        <f t="shared" si="2"/>
        <v>Learning</v>
      </c>
      <c r="S55" s="47" t="b">
        <v>0</v>
      </c>
      <c r="T55" s="52" t="s">
        <v>201</v>
      </c>
      <c r="U55" s="62"/>
      <c r="V55" s="62"/>
      <c r="W55" s="62"/>
      <c r="X55" s="62">
        <v>1.0</v>
      </c>
      <c r="Y55" s="62"/>
      <c r="Z55" s="62"/>
      <c r="AA55" s="49">
        <f t="shared" si="3"/>
        <v>1</v>
      </c>
    </row>
    <row r="56" ht="26.25" customHeight="1">
      <c r="A56" s="35">
        <v>18.0</v>
      </c>
      <c r="B56" s="36" t="s">
        <v>202</v>
      </c>
      <c r="C56" s="37" t="s">
        <v>76</v>
      </c>
      <c r="D56" s="38">
        <v>44442.0</v>
      </c>
      <c r="E56" s="39"/>
      <c r="F56" s="40" t="s">
        <v>185</v>
      </c>
      <c r="G56" s="41" t="s">
        <v>0</v>
      </c>
      <c r="H56" s="40" t="s">
        <v>109</v>
      </c>
      <c r="I56" s="42">
        <v>46032.0</v>
      </c>
      <c r="J56" s="40" t="s">
        <v>203</v>
      </c>
      <c r="K56" s="43" t="b">
        <v>1</v>
      </c>
      <c r="L56" s="44"/>
      <c r="M56" s="45">
        <f t="shared" si="1"/>
        <v>14</v>
      </c>
      <c r="N56" s="45"/>
      <c r="O56" s="45" t="str">
        <f>IFERROR(__xludf.DUMMYFUNCTION("IFERROR(
  TEXT(
    MAX(FILTER(Remark!A:A, TRIM(Remark!B:B) = TRIM(B56))),
    ""dd/mm/yyyy""
  ) &amp; "" - "" &amp;
  FILTER(
    Remark!C:C,
    TRIM(Remark!B:B) = TRIM(B56),
    Remark!A:A = MAX(FILTER(Remark!A:A, TRIM(Remark!B:B) = TRIM(B56)))
  ),
  """"
)"),"")</f>
        <v/>
      </c>
      <c r="P56" s="45" t="str">
        <f>IFERROR(__xludf.DUMMYFUNCTION("TEXTJOIN(CHAR(10), TRUE, IFERROR(
  FILTER(TEXT(Remark!A:A, ""dd/mm/yyyy"") &amp; "" - "" &amp; Remark!C:C, TRIM(Remark!B:B) = TRIM(B56)),
  """"
))"),"")</f>
        <v/>
      </c>
      <c r="Q56" s="45" t="str">
        <f>IFERROR(__xludf.DUMMYFUNCTION("IFERROR(
  FILTER(
    Remark!D:D,
    Remark!A:A = MAX(FILTER(Remark!A:A, TRIM(Remark!B:B) = TRIM(B56)))
  ),
  """"
)"),"")</f>
        <v/>
      </c>
      <c r="R56" s="46" t="str">
        <f t="shared" si="2"/>
        <v>Learning</v>
      </c>
      <c r="S56" s="47"/>
      <c r="T56" s="56" t="s">
        <v>197</v>
      </c>
      <c r="U56" s="49">
        <v>2.0</v>
      </c>
      <c r="V56" s="49"/>
      <c r="W56" s="49">
        <v>1.0</v>
      </c>
      <c r="X56" s="49">
        <v>1.0</v>
      </c>
      <c r="Y56" s="49">
        <v>1.0</v>
      </c>
      <c r="Z56" s="49"/>
      <c r="AA56" s="49">
        <f t="shared" si="3"/>
        <v>3</v>
      </c>
    </row>
    <row r="57" ht="26.25" customHeight="1">
      <c r="A57" s="35">
        <v>291.0</v>
      </c>
      <c r="B57" s="56" t="s">
        <v>204</v>
      </c>
      <c r="C57" s="37" t="s">
        <v>76</v>
      </c>
      <c r="D57" s="38">
        <v>45604.0</v>
      </c>
      <c r="E57" s="39"/>
      <c r="F57" s="40" t="s">
        <v>185</v>
      </c>
      <c r="G57" s="41" t="s">
        <v>0</v>
      </c>
      <c r="H57" s="40" t="s">
        <v>109</v>
      </c>
      <c r="I57" s="42">
        <v>45990.0</v>
      </c>
      <c r="J57" s="40" t="s">
        <v>126</v>
      </c>
      <c r="K57" s="43" t="b">
        <v>1</v>
      </c>
      <c r="L57" s="44"/>
      <c r="M57" s="45">
        <f t="shared" si="1"/>
        <v>20</v>
      </c>
      <c r="N57" s="49"/>
      <c r="O57" s="45" t="str">
        <f>IFERROR(__xludf.DUMMYFUNCTION("IFERROR(
  TEXT(
    MAX(FILTER(Remark!A:A, TRIM(Remark!B:B) = TRIM(B57))),
    ""dd/mm/yyyy""
  ) &amp; "" - "" &amp;
  FILTER(
    Remark!C:C,
    TRIM(Remark!B:B) = TRIM(B57),
    Remark!A:A = MAX(FILTER(Remark!A:A, TRIM(Remark!B:B) = TRIM(B57)))
  ),
  """"
)"),"")</f>
        <v/>
      </c>
      <c r="P57" s="45" t="str">
        <f>IFERROR(__xludf.DUMMYFUNCTION("TEXTJOIN(CHAR(10), TRUE, IFERROR(
  FILTER(TEXT(Remark!A:A, ""dd/mm/yyyy"") &amp; "" - "" &amp; Remark!C:C, TRIM(Remark!B:B) = TRIM(B57)),
  """"
))"),"")</f>
        <v/>
      </c>
      <c r="Q57" s="45" t="str">
        <f>IFERROR(__xludf.DUMMYFUNCTION("IFERROR(
  FILTER(
    Remark!D:D,
    Remark!A:A = MAX(FILTER(Remark!A:A, TRIM(Remark!B:B) = TRIM(B57)))
  ),
  """"
)"),"")</f>
        <v/>
      </c>
      <c r="R57" s="46" t="str">
        <f t="shared" si="2"/>
        <v>Learning</v>
      </c>
      <c r="S57" s="47"/>
      <c r="T57" s="56" t="s">
        <v>205</v>
      </c>
      <c r="U57" s="49">
        <v>8.0</v>
      </c>
      <c r="V57" s="49">
        <v>1.0</v>
      </c>
      <c r="W57" s="49"/>
      <c r="X57" s="49">
        <v>1.0</v>
      </c>
      <c r="Y57" s="49">
        <v>1.0</v>
      </c>
      <c r="Z57" s="49"/>
      <c r="AA57" s="49">
        <f t="shared" si="3"/>
        <v>3</v>
      </c>
    </row>
    <row r="58" ht="26.25" customHeight="1">
      <c r="A58" s="66">
        <v>408.0</v>
      </c>
      <c r="B58" s="36" t="s">
        <v>206</v>
      </c>
      <c r="C58" s="40" t="s">
        <v>76</v>
      </c>
      <c r="D58" s="38">
        <v>45966.0</v>
      </c>
      <c r="E58" s="51"/>
      <c r="F58" s="40" t="s">
        <v>185</v>
      </c>
      <c r="G58" s="40" t="s">
        <v>0</v>
      </c>
      <c r="H58" s="40" t="s">
        <v>109</v>
      </c>
      <c r="I58" s="42">
        <v>45963.0</v>
      </c>
      <c r="J58" s="40" t="s">
        <v>92</v>
      </c>
      <c r="K58" s="43" t="b">
        <v>0</v>
      </c>
      <c r="L58" s="44"/>
      <c r="M58" s="45">
        <f t="shared" si="1"/>
        <v>23</v>
      </c>
      <c r="N58" s="45"/>
      <c r="O58" s="45" t="str">
        <f>IFERROR(__xludf.DUMMYFUNCTION("IFERROR(
  TEXT(
    MAX(FILTER(Remark!A:A, TRIM(Remark!B:B) = TRIM(B58))),
    ""dd/mm/yyyy""
  ) &amp; "" - "" &amp;
  FILTER(
    Remark!C:C,
    TRIM(Remark!B:B) = TRIM(B58),
    Remark!A:A = MAX(FILTER(Remark!A:A, TRIM(Remark!B:B) = TRIM(B58)))
  ),
  """"
)"),"")</f>
        <v/>
      </c>
      <c r="P58" s="45" t="str">
        <f>IFERROR(__xludf.DUMMYFUNCTION("TEXTJOIN(CHAR(10), TRUE, IFERROR(
  FILTER(TEXT(Remark!A:A, ""dd/mm/yyyy"") &amp; "" - "" &amp; Remark!C:C, TRIM(Remark!B:B) = TRIM(B58)),
  """"
))"),"")</f>
        <v/>
      </c>
      <c r="Q58" s="45" t="str">
        <f>IFERROR(__xludf.DUMMYFUNCTION("IFERROR(
  FILTER(
    Remark!D:D,
    Remark!A:A = MAX(FILTER(Remark!A:A, TRIM(Remark!B:B) = TRIM(B58)))
  ),
  """"
)"),"")</f>
        <v/>
      </c>
      <c r="R58" s="46" t="str">
        <f t="shared" si="2"/>
        <v>Learning</v>
      </c>
      <c r="S58" s="47"/>
      <c r="T58" s="48" t="s">
        <v>199</v>
      </c>
      <c r="U58" s="49">
        <v>2.0</v>
      </c>
      <c r="V58" s="49">
        <v>1.0</v>
      </c>
      <c r="W58" s="49">
        <v>1.0</v>
      </c>
      <c r="X58" s="49">
        <v>1.0</v>
      </c>
      <c r="Y58" s="49">
        <v>1.0</v>
      </c>
      <c r="Z58" s="49"/>
      <c r="AA58" s="49">
        <f t="shared" si="3"/>
        <v>4</v>
      </c>
    </row>
    <row r="59" ht="26.25" customHeight="1">
      <c r="A59" s="66">
        <v>412.0</v>
      </c>
      <c r="B59" s="36" t="s">
        <v>207</v>
      </c>
      <c r="C59" s="40" t="s">
        <v>76</v>
      </c>
      <c r="D59" s="54">
        <v>45979.0</v>
      </c>
      <c r="E59" s="51"/>
      <c r="F59" s="40" t="s">
        <v>185</v>
      </c>
      <c r="G59" s="40" t="s">
        <v>0</v>
      </c>
      <c r="H59" s="40" t="s">
        <v>109</v>
      </c>
      <c r="I59" s="42">
        <v>45983.0</v>
      </c>
      <c r="J59" s="40" t="s">
        <v>101</v>
      </c>
      <c r="K59" s="43" t="b">
        <v>0</v>
      </c>
      <c r="L59" s="44"/>
      <c r="M59" s="45">
        <f t="shared" si="1"/>
        <v>21</v>
      </c>
      <c r="N59" s="45"/>
      <c r="O59" s="45" t="str">
        <f>IFERROR(__xludf.DUMMYFUNCTION("IFERROR(
  TEXT(
    MAX(FILTER(Remark!A:A, TRIM(Remark!B:B) = TRIM(B59))),
    ""dd/mm/yyyy""
  ) &amp; "" - "" &amp;
  FILTER(
    Remark!C:C,
    TRIM(Remark!B:B) = TRIM(B59),
    Remark!A:A = MAX(FILTER(Remark!A:A, TRIM(Remark!B:B) = TRIM(B59)))
  ),
  """"
)"),"")</f>
        <v/>
      </c>
      <c r="P59" s="45" t="str">
        <f>IFERROR(__xludf.DUMMYFUNCTION("TEXTJOIN(CHAR(10), TRUE, IFERROR(
  FILTER(TEXT(Remark!A:A, ""dd/mm/yyyy"") &amp; "" - "" &amp; Remark!C:C, TRIM(Remark!B:B) = TRIM(B59)),
  """"
))"),"")</f>
        <v/>
      </c>
      <c r="Q59" s="45" t="str">
        <f>IFERROR(__xludf.DUMMYFUNCTION("IFERROR(
  FILTER(
    Remark!D:D,
    Remark!A:A = MAX(FILTER(Remark!A:A, TRIM(Remark!B:B) = TRIM(B59)))
  ),
  """"
)"),"")</f>
        <v/>
      </c>
      <c r="R59" s="46" t="str">
        <f t="shared" si="2"/>
        <v>Learning</v>
      </c>
      <c r="S59" s="47"/>
      <c r="T59" s="48" t="s">
        <v>208</v>
      </c>
      <c r="U59" s="49">
        <v>1.0</v>
      </c>
      <c r="V59" s="49">
        <v>1.0</v>
      </c>
      <c r="W59" s="49">
        <v>1.0</v>
      </c>
      <c r="X59" s="49">
        <v>1.0</v>
      </c>
      <c r="Y59" s="49"/>
      <c r="Z59" s="49"/>
      <c r="AA59" s="49">
        <f t="shared" si="3"/>
        <v>3</v>
      </c>
    </row>
    <row r="60" ht="26.25" customHeight="1">
      <c r="A60" s="35">
        <v>65.0</v>
      </c>
      <c r="B60" s="48" t="s">
        <v>209</v>
      </c>
      <c r="C60" s="37" t="s">
        <v>76</v>
      </c>
      <c r="D60" s="54">
        <v>44606.0</v>
      </c>
      <c r="E60" s="39"/>
      <c r="F60" s="40" t="s">
        <v>210</v>
      </c>
      <c r="G60" s="40" t="s">
        <v>0</v>
      </c>
      <c r="H60" s="40" t="s">
        <v>78</v>
      </c>
      <c r="I60" s="42">
        <v>46037.0</v>
      </c>
      <c r="J60" s="40" t="s">
        <v>82</v>
      </c>
      <c r="K60" s="43" t="b">
        <v>1</v>
      </c>
      <c r="L60" s="44"/>
      <c r="M60" s="45">
        <f t="shared" si="1"/>
        <v>13</v>
      </c>
      <c r="N60" s="45"/>
      <c r="O60" s="45" t="str">
        <f>IFERROR(__xludf.DUMMYFUNCTION("IFERROR(
  TEXT(
    MAX(FILTER(Remark!A:A, TRIM(Remark!B:B) = TRIM(B60))),
    ""dd/mm/yyyy""
  ) &amp; "" - "" &amp;
  FILTER(
    Remark!C:C,
    TRIM(Remark!B:B) = TRIM(B60),
    Remark!A:A = MAX(FILTER(Remark!A:A, TRIM(Remark!B:B) = TRIM(B60)))
  ),
  """"
)"),"06/11/2025 - [Caleb]
Having attitude issue and frequently leaves the class with various reasons (e.g., finding food, taking items) and often returns late.
Focus issue: Easily distracted and often chats with friends during class.")</f>
        <v>06/11/2025 - [Caleb]
Having attitude issue and frequently leaves the class with various reasons (e.g., finding food, taking items) and often returns late.
Focus issue: Easily distracted and often chats with friends during class.</v>
      </c>
      <c r="P60" s="45" t="str">
        <f>IFERROR(__xludf.DUMMYFUNCTION("TEXTJOIN(CHAR(10), TRUE, IFERROR(
  FILTER(TEXT(Remark!A:A, ""dd/mm/yyyy"") &amp; "" - "" &amp; Remark!C:C, TRIM(Remark!B:B) = TRIM(B60)),
  """"
))"),"06/11/2025 - [Caleb]
Having attitude issue and frequently leaves the class with various reasons (e.g., finding food, taking items) and often returns late.
Focus issue: Easily distracted and often chats with friends during class.")</f>
        <v>06/11/2025 - [Caleb]
Having attitude issue and frequently leaves the class with various reasons (e.g., finding food, taking items) and often returns late.
Focus issue: Easily distracted and often chats with friends during class.</v>
      </c>
      <c r="Q60" s="45" t="str">
        <f>IFERROR(__xludf.DUMMYFUNCTION("IFERROR(
  FILTER(
    Remark!D:D,
    Remark!A:A = MAX(FILTER(Remark!A:A, TRIM(Remark!B:B) = TRIM(B60)))
  ),
  """"
)"),"No")</f>
        <v>No</v>
      </c>
      <c r="R60" s="46" t="str">
        <f t="shared" si="2"/>
        <v>Learning</v>
      </c>
      <c r="S60" s="47"/>
      <c r="T60" s="56" t="s">
        <v>211</v>
      </c>
      <c r="U60" s="49">
        <v>1.0</v>
      </c>
      <c r="V60" s="49"/>
      <c r="W60" s="49">
        <v>1.0</v>
      </c>
      <c r="X60" s="49"/>
      <c r="Y60" s="49"/>
      <c r="Z60" s="49"/>
      <c r="AA60" s="49">
        <f t="shared" si="3"/>
        <v>1</v>
      </c>
    </row>
    <row r="61" ht="26.25" customHeight="1">
      <c r="A61" s="35">
        <v>136.0</v>
      </c>
      <c r="B61" s="50" t="s">
        <v>212</v>
      </c>
      <c r="C61" s="37" t="s">
        <v>76</v>
      </c>
      <c r="D61" s="38">
        <v>45108.0</v>
      </c>
      <c r="E61" s="39"/>
      <c r="F61" s="40" t="s">
        <v>210</v>
      </c>
      <c r="G61" s="40" t="s">
        <v>0</v>
      </c>
      <c r="H61" s="40" t="s">
        <v>78</v>
      </c>
      <c r="I61" s="42">
        <v>46081.0</v>
      </c>
      <c r="J61" s="40" t="s">
        <v>120</v>
      </c>
      <c r="K61" s="43" t="b">
        <v>1</v>
      </c>
      <c r="L61" s="44"/>
      <c r="M61" s="45">
        <f t="shared" si="1"/>
        <v>7</v>
      </c>
      <c r="N61" s="49" t="s">
        <v>213</v>
      </c>
      <c r="O61" s="45" t="str">
        <f>IFERROR(__xludf.DUMMYFUNCTION("IFERROR(
  TEXT(
    MAX(FILTER(Remark!A:A, TRIM(Remark!B:B) = TRIM(B61))),
    ""dd/mm/yyyy""
  ) &amp; "" - "" &amp;
  FILTER(
    Remark!C:C,
    TRIM(Remark!B:B) = TRIM(B61),
    Remark!A:A = MAX(FILTER(Remark!A:A, TRIM(Remark!B:B) = TRIM(B61)))
  ),
  """"
)"),"")</f>
        <v/>
      </c>
      <c r="P61" s="45" t="str">
        <f>IFERROR(__xludf.DUMMYFUNCTION("TEXTJOIN(CHAR(10), TRUE, IFERROR(
  FILTER(TEXT(Remark!A:A, ""dd/mm/yyyy"") &amp; "" - "" &amp; Remark!C:C, TRIM(Remark!B:B) = TRIM(B61)),
  """"
))"),"")</f>
        <v/>
      </c>
      <c r="Q61" s="45" t="str">
        <f>IFERROR(__xludf.DUMMYFUNCTION("IFERROR(
  FILTER(
    Remark!D:D,
    Remark!A:A = MAX(FILTER(Remark!A:A, TRIM(Remark!B:B) = TRIM(B61)))
  ),
  """"
)"),"")</f>
        <v/>
      </c>
      <c r="R61" s="46" t="str">
        <f t="shared" si="2"/>
        <v>Learning</v>
      </c>
      <c r="S61" s="43" t="b">
        <v>1</v>
      </c>
      <c r="T61" s="48" t="s">
        <v>214</v>
      </c>
      <c r="U61" s="49">
        <v>1.0</v>
      </c>
      <c r="V61" s="49">
        <v>1.0</v>
      </c>
      <c r="W61" s="49"/>
      <c r="X61" s="49">
        <v>2.0</v>
      </c>
      <c r="Y61" s="49"/>
      <c r="Z61" s="49"/>
      <c r="AA61" s="49">
        <f t="shared" si="3"/>
        <v>3</v>
      </c>
    </row>
    <row r="62" ht="26.25" customHeight="1">
      <c r="A62" s="35">
        <v>261.0</v>
      </c>
      <c r="B62" s="56" t="s">
        <v>215</v>
      </c>
      <c r="C62" s="37" t="s">
        <v>76</v>
      </c>
      <c r="D62" s="54">
        <v>45850.0</v>
      </c>
      <c r="E62" s="39"/>
      <c r="F62" s="40" t="s">
        <v>210</v>
      </c>
      <c r="G62" s="41" t="s">
        <v>0</v>
      </c>
      <c r="H62" s="40" t="s">
        <v>78</v>
      </c>
      <c r="I62" s="42">
        <v>45864.0</v>
      </c>
      <c r="J62" s="40" t="s">
        <v>92</v>
      </c>
      <c r="K62" s="43" t="b">
        <v>1</v>
      </c>
      <c r="L62" s="44"/>
      <c r="M62" s="45">
        <f t="shared" si="1"/>
        <v>38</v>
      </c>
      <c r="N62" s="49"/>
      <c r="O62" s="45" t="str">
        <f>IFERROR(__xludf.DUMMYFUNCTION("IFERROR(
  TEXT(
    MAX(FILTER(Remark!A:A, TRIM(Remark!B:B) = TRIM(B62))),
    ""dd/mm/yyyy""
  ) &amp; "" - "" &amp;
  FILTER(
    Remark!C:C,
    TRIM(Remark!B:B) = TRIM(B62),
    Remark!A:A = MAX(FILTER(Remark!A:A, TRIM(Remark!B:B) = TRIM(B62)))
  ),
  """"
)"),"")</f>
        <v/>
      </c>
      <c r="P62" s="45" t="str">
        <f>IFERROR(__xludf.DUMMYFUNCTION("TEXTJOIN(CHAR(10), TRUE, IFERROR(
  FILTER(TEXT(Remark!A:A, ""dd/mm/yyyy"") &amp; "" - "" &amp; Remark!C:C, TRIM(Remark!B:B) = TRIM(B62)),
  """"
))"),"")</f>
        <v/>
      </c>
      <c r="Q62" s="45" t="str">
        <f>IFERROR(__xludf.DUMMYFUNCTION("IFERROR(
  FILTER(
    Remark!D:D,
    Remark!A:A = MAX(FILTER(Remark!A:A, TRIM(Remark!B:B) = TRIM(B62)))
  ),
  """"
)"),"")</f>
        <v/>
      </c>
      <c r="R62" s="46" t="str">
        <f t="shared" si="2"/>
        <v>Starting Final Project</v>
      </c>
      <c r="S62" s="47"/>
      <c r="T62" s="48" t="s">
        <v>216</v>
      </c>
      <c r="U62" s="49">
        <v>2.0</v>
      </c>
      <c r="V62" s="49"/>
      <c r="W62" s="49">
        <v>1.0</v>
      </c>
      <c r="X62" s="49">
        <v>1.0</v>
      </c>
      <c r="Y62" s="49">
        <v>1.0</v>
      </c>
      <c r="Z62" s="49"/>
      <c r="AA62" s="49">
        <f t="shared" si="3"/>
        <v>3</v>
      </c>
    </row>
    <row r="63" ht="26.25" customHeight="1">
      <c r="A63" s="35">
        <v>262.0</v>
      </c>
      <c r="B63" s="56" t="s">
        <v>217</v>
      </c>
      <c r="C63" s="37" t="s">
        <v>76</v>
      </c>
      <c r="D63" s="54">
        <v>45850.0</v>
      </c>
      <c r="E63" s="39"/>
      <c r="F63" s="40" t="s">
        <v>210</v>
      </c>
      <c r="G63" s="41" t="s">
        <v>0</v>
      </c>
      <c r="H63" s="40" t="s">
        <v>78</v>
      </c>
      <c r="I63" s="42">
        <v>45752.0</v>
      </c>
      <c r="J63" s="40" t="s">
        <v>92</v>
      </c>
      <c r="K63" s="43" t="b">
        <v>1</v>
      </c>
      <c r="L63" s="44"/>
      <c r="M63" s="45">
        <f t="shared" si="1"/>
        <v>54</v>
      </c>
      <c r="N63" s="49"/>
      <c r="O63" s="45" t="str">
        <f>IFERROR(__xludf.DUMMYFUNCTION("IFERROR(
  TEXT(
    MAX(FILTER(Remark!A:A, TRIM(Remark!B:B) = TRIM(B63))),
    ""dd/mm/yyyy""
  ) &amp; "" - "" &amp;
  FILTER(
    Remark!C:C,
    TRIM(Remark!B:B) = TRIM(B63),
    Remark!A:A = MAX(FILTER(Remark!A:A, TRIM(Remark!B:B) = TRIM(B63)))
  ),
  """"
)"),"")</f>
        <v/>
      </c>
      <c r="P63" s="45" t="str">
        <f>IFERROR(__xludf.DUMMYFUNCTION("TEXTJOIN(CHAR(10), TRUE, IFERROR(
  FILTER(TEXT(Remark!A:A, ""dd/mm/yyyy"") &amp; "" - "" &amp; Remark!C:C, TRIM(Remark!B:B) = TRIM(B63)),
  """"
))"),"")</f>
        <v/>
      </c>
      <c r="Q63" s="45" t="str">
        <f>IFERROR(__xludf.DUMMYFUNCTION("IFERROR(
  FILTER(
    Remark!D:D,
    Remark!A:A = MAX(FILTER(Remark!A:A, TRIM(Remark!B:B) = TRIM(B63)))
  ),
  """"
)"),"")</f>
        <v/>
      </c>
      <c r="R63" s="46" t="str">
        <f t="shared" si="2"/>
        <v>Prepare for Showcase</v>
      </c>
      <c r="S63" s="47"/>
      <c r="T63" s="48" t="s">
        <v>216</v>
      </c>
      <c r="U63" s="49">
        <v>2.0</v>
      </c>
      <c r="V63" s="49">
        <v>1.0</v>
      </c>
      <c r="W63" s="49">
        <v>1.0</v>
      </c>
      <c r="X63" s="49">
        <v>1.0</v>
      </c>
      <c r="Y63" s="49">
        <v>1.0</v>
      </c>
      <c r="Z63" s="49"/>
      <c r="AA63" s="49">
        <f t="shared" si="3"/>
        <v>4</v>
      </c>
    </row>
    <row r="64" ht="26.25" customHeight="1">
      <c r="A64" s="35">
        <v>281.0</v>
      </c>
      <c r="B64" s="50" t="s">
        <v>218</v>
      </c>
      <c r="C64" s="37" t="s">
        <v>76</v>
      </c>
      <c r="D64" s="54">
        <v>45521.0</v>
      </c>
      <c r="E64" s="39"/>
      <c r="F64" s="40" t="s">
        <v>210</v>
      </c>
      <c r="G64" s="41" t="s">
        <v>0</v>
      </c>
      <c r="H64" s="40" t="s">
        <v>78</v>
      </c>
      <c r="I64" s="42">
        <v>46039.0</v>
      </c>
      <c r="J64" s="40" t="s">
        <v>79</v>
      </c>
      <c r="K64" s="43" t="b">
        <v>1</v>
      </c>
      <c r="L64" s="44"/>
      <c r="M64" s="45">
        <f t="shared" si="1"/>
        <v>13</v>
      </c>
      <c r="N64" s="45"/>
      <c r="O64" s="45" t="str">
        <f>IFERROR(__xludf.DUMMYFUNCTION("IFERROR(
  TEXT(
    MAX(FILTER(Remark!A:A, TRIM(Remark!B:B) = TRIM(B64))),
    ""dd/mm/yyyy""
  ) &amp; "" - "" &amp;
  FILTER(
    Remark!C:C,
    TRIM(Remark!B:B) = TRIM(B64),
    Remark!A:A = MAX(FILTER(Remark!A:A, TRIM(Remark!B:B) = TRIM(B64)))
  ),
  """"
)"),"08/10/2025 - [Caleb]
Right now he is doing the final project dy and almost finish.")</f>
        <v>08/10/2025 - [Caleb]
Right now he is doing the final project dy and almost finish.</v>
      </c>
      <c r="P64" s="45" t="str">
        <f>IFERROR(__xludf.DUMMYFUNCTION("TEXTJOIN(CHAR(10), TRUE, IFERROR(
  FILTER(TEXT(Remark!A:A, ""dd/mm/yyyy"") &amp; "" - "" &amp; Remark!C:C, TRIM(Remark!B:B) = TRIM(B64)),
  """"
))"),"01/10/2025 - [Caleb]
Absent for too often, need follow up with Lam what is happening here
08/10/2025 - [Caleb]
Right now he is doing the final project dy and almost finish.")</f>
        <v>01/10/2025 - [Caleb]
Absent for too often, need follow up with Lam what is happening here
08/10/2025 - [Caleb]
Right now he is doing the final project dy and almost finish.</v>
      </c>
      <c r="Q64" s="45" t="str">
        <f>IFERROR(__xludf.DUMMYFUNCTION("IFERROR(
  FILTER(
    Remark!D:D,
    Remark!A:A = MAX(FILTER(Remark!A:A, TRIM(Remark!B:B) = TRIM(B64)))
  ),
  """"
)"),"Yes")</f>
        <v>Yes</v>
      </c>
      <c r="R64" s="46" t="str">
        <f t="shared" si="2"/>
        <v>Learning</v>
      </c>
      <c r="S64" s="47"/>
      <c r="T64" s="48" t="s">
        <v>219</v>
      </c>
      <c r="U64" s="49">
        <v>1.0</v>
      </c>
      <c r="V64" s="49">
        <v>1.0</v>
      </c>
      <c r="W64" s="49">
        <v>1.0</v>
      </c>
      <c r="X64" s="49"/>
      <c r="Y64" s="49"/>
      <c r="Z64" s="49"/>
      <c r="AA64" s="49">
        <f t="shared" si="3"/>
        <v>2</v>
      </c>
    </row>
    <row r="65" ht="26.25" customHeight="1">
      <c r="A65" s="35">
        <v>26.0</v>
      </c>
      <c r="B65" s="56" t="s">
        <v>220</v>
      </c>
      <c r="C65" s="37" t="s">
        <v>76</v>
      </c>
      <c r="D65" s="38">
        <v>44506.0</v>
      </c>
      <c r="E65" s="39"/>
      <c r="F65" s="40" t="s">
        <v>210</v>
      </c>
      <c r="G65" s="41" t="s">
        <v>0</v>
      </c>
      <c r="H65" s="40" t="s">
        <v>91</v>
      </c>
      <c r="I65" s="55">
        <v>45213.0</v>
      </c>
      <c r="J65" s="41" t="s">
        <v>186</v>
      </c>
      <c r="K65" s="43" t="b">
        <v>1</v>
      </c>
      <c r="L65" s="44"/>
      <c r="M65" s="45">
        <f t="shared" si="1"/>
        <v>131</v>
      </c>
      <c r="N65" s="45"/>
      <c r="O65" s="45" t="str">
        <f>IFERROR(__xludf.DUMMYFUNCTION("IFERROR(
  TEXT(
    MAX(FILTER(Remark!A:A, TRIM(Remark!B:B) = TRIM(B65))),
    ""dd/mm/yyyy""
  ) &amp; "" - "" &amp;
  FILTER(
    Remark!C:C,
    TRIM(Remark!B:B) = TRIM(B65),
    Remark!A:A = MAX(FILTER(Remark!A:A, TRIM(Remark!B:B) = TRIM(B65)))
  ),
  """"
)"),"")</f>
        <v/>
      </c>
      <c r="P65" s="45" t="str">
        <f>IFERROR(__xludf.DUMMYFUNCTION("TEXTJOIN(CHAR(10), TRUE, IFERROR(
  FILTER(TEXT(Remark!A:A, ""dd/mm/yyyy"") &amp; "" - "" &amp; Remark!C:C, TRIM(Remark!B:B) = TRIM(B65)),
  """"
))"),"")</f>
        <v/>
      </c>
      <c r="Q65" s="45" t="str">
        <f>IFERROR(__xludf.DUMMYFUNCTION("IFERROR(
  FILTER(
    Remark!D:D,
    Remark!A:A = MAX(FILTER(Remark!A:A, TRIM(Remark!B:B) = TRIM(B65)))
  ),
  """"
)"),"")</f>
        <v/>
      </c>
      <c r="R65" s="46" t="str">
        <f t="shared" si="2"/>
        <v>Prepare for Showcase</v>
      </c>
      <c r="S65" s="43" t="b">
        <v>0</v>
      </c>
      <c r="T65" s="52" t="s">
        <v>221</v>
      </c>
      <c r="U65" s="49"/>
      <c r="V65" s="49"/>
      <c r="W65" s="49"/>
      <c r="X65" s="49"/>
      <c r="Y65" s="49"/>
      <c r="Z65" s="49"/>
      <c r="AA65" s="49">
        <f t="shared" si="3"/>
        <v>0</v>
      </c>
    </row>
    <row r="66" ht="26.25" customHeight="1">
      <c r="A66" s="66">
        <v>27.0</v>
      </c>
      <c r="B66" s="36" t="s">
        <v>222</v>
      </c>
      <c r="C66" s="40" t="s">
        <v>76</v>
      </c>
      <c r="D66" s="38">
        <v>44506.0</v>
      </c>
      <c r="E66" s="51"/>
      <c r="F66" s="40" t="s">
        <v>210</v>
      </c>
      <c r="G66" s="40" t="s">
        <v>0</v>
      </c>
      <c r="H66" s="40" t="s">
        <v>91</v>
      </c>
      <c r="I66" s="55">
        <v>45213.0</v>
      </c>
      <c r="J66" s="40" t="s">
        <v>134</v>
      </c>
      <c r="K66" s="43" t="b">
        <v>0</v>
      </c>
      <c r="L66" s="44"/>
      <c r="M66" s="45">
        <f t="shared" si="1"/>
        <v>131</v>
      </c>
      <c r="N66" s="45"/>
      <c r="O66" s="45" t="str">
        <f>IFERROR(__xludf.DUMMYFUNCTION("IFERROR(
  TEXT(
    MAX(FILTER(Remark!A:A, TRIM(Remark!B:B) = TRIM(B66))),
    ""dd/mm/yyyy""
  ) &amp; "" - "" &amp;
  FILTER(
    Remark!C:C,
    TRIM(Remark!B:B) = TRIM(B66),
    Remark!A:A = MAX(FILTER(Remark!A:A, TRIM(Remark!B:B) = TRIM(B66)))
  ),
  """"
)"),"")</f>
        <v/>
      </c>
      <c r="P66" s="45" t="str">
        <f>IFERROR(__xludf.DUMMYFUNCTION("TEXTJOIN(CHAR(10), TRUE, IFERROR(
  FILTER(TEXT(Remark!A:A, ""dd/mm/yyyy"") &amp; "" - "" &amp; Remark!C:C, TRIM(Remark!B:B) = TRIM(B66)),
  """"
))"),"")</f>
        <v/>
      </c>
      <c r="Q66" s="45" t="str">
        <f>IFERROR(__xludf.DUMMYFUNCTION("IFERROR(
  FILTER(
    Remark!D:D,
    Remark!A:A = MAX(FILTER(Remark!A:A, TRIM(Remark!B:B) = TRIM(B66)))
  ),
  """"
)"),"")</f>
        <v/>
      </c>
      <c r="R66" s="46" t="str">
        <f t="shared" si="2"/>
        <v>Prepare for Showcase</v>
      </c>
      <c r="S66" s="43" t="b">
        <v>1</v>
      </c>
      <c r="T66" s="52" t="s">
        <v>221</v>
      </c>
      <c r="U66" s="49"/>
      <c r="V66" s="49"/>
      <c r="W66" s="49"/>
      <c r="X66" s="49"/>
      <c r="Y66" s="49"/>
      <c r="Z66" s="49"/>
      <c r="AA66" s="49">
        <f t="shared" si="3"/>
        <v>0</v>
      </c>
    </row>
    <row r="67" ht="26.25" customHeight="1">
      <c r="A67" s="53">
        <v>177.0</v>
      </c>
      <c r="B67" s="50" t="s">
        <v>223</v>
      </c>
      <c r="C67" s="37" t="s">
        <v>76</v>
      </c>
      <c r="D67" s="38">
        <v>45139.0</v>
      </c>
      <c r="E67" s="39"/>
      <c r="F67" s="40" t="s">
        <v>210</v>
      </c>
      <c r="G67" s="40" t="s">
        <v>0</v>
      </c>
      <c r="H67" s="40" t="s">
        <v>91</v>
      </c>
      <c r="I67" s="42">
        <v>46004.0</v>
      </c>
      <c r="J67" s="40" t="s">
        <v>224</v>
      </c>
      <c r="K67" s="43" t="b">
        <v>1</v>
      </c>
      <c r="L67" s="44"/>
      <c r="M67" s="45">
        <f t="shared" si="1"/>
        <v>18</v>
      </c>
      <c r="N67" s="49" t="s">
        <v>213</v>
      </c>
      <c r="O67" s="45" t="str">
        <f>IFERROR(__xludf.DUMMYFUNCTION("IFERROR(
  TEXT(
    MAX(FILTER(Remark!A:A, TRIM(Remark!B:B) = TRIM(B67))),
    ""dd/mm/yyyy""
  ) &amp; "" - "" &amp;
  FILTER(
    Remark!C:C,
    TRIM(Remark!B:B) = TRIM(B67),
    Remark!A:A = MAX(FILTER(Remark!A:A, TRIM(Remark!B:B) = TRIM(B67)))
  ),
  """"
)"),"")</f>
        <v/>
      </c>
      <c r="P67" s="45" t="str">
        <f>IFERROR(__xludf.DUMMYFUNCTION("TEXTJOIN(CHAR(10), TRUE, IFERROR(
  FILTER(TEXT(Remark!A:A, ""dd/mm/yyyy"") &amp; "" - "" &amp; Remark!C:C, TRIM(Remark!B:B) = TRIM(B67)),
  """"
))"),"")</f>
        <v/>
      </c>
      <c r="Q67" s="45" t="str">
        <f>IFERROR(__xludf.DUMMYFUNCTION("IFERROR(
  FILTER(
    Remark!D:D,
    Remark!A:A = MAX(FILTER(Remark!A:A, TRIM(Remark!B:B) = TRIM(B67)))
  ),
  """"
)"),"")</f>
        <v/>
      </c>
      <c r="R67" s="46" t="str">
        <f t="shared" si="2"/>
        <v>Learning</v>
      </c>
      <c r="S67" s="43" t="b">
        <v>1</v>
      </c>
      <c r="T67" s="48" t="s">
        <v>225</v>
      </c>
      <c r="U67" s="49"/>
      <c r="V67" s="49"/>
      <c r="W67" s="49"/>
      <c r="X67" s="49">
        <v>1.0</v>
      </c>
      <c r="Y67" s="49"/>
      <c r="Z67" s="49"/>
      <c r="AA67" s="49">
        <f t="shared" si="3"/>
        <v>1</v>
      </c>
    </row>
    <row r="68" ht="26.25" customHeight="1">
      <c r="A68" s="35">
        <v>350.0</v>
      </c>
      <c r="B68" s="36" t="s">
        <v>226</v>
      </c>
      <c r="C68" s="40" t="s">
        <v>76</v>
      </c>
      <c r="D68" s="68">
        <v>45785.0</v>
      </c>
      <c r="E68" s="51"/>
      <c r="F68" s="40" t="s">
        <v>210</v>
      </c>
      <c r="G68" s="57" t="s">
        <v>0</v>
      </c>
      <c r="H68" s="57" t="s">
        <v>91</v>
      </c>
      <c r="I68" s="58">
        <v>45785.0</v>
      </c>
      <c r="J68" s="57" t="s">
        <v>126</v>
      </c>
      <c r="K68" s="59" t="b">
        <v>1</v>
      </c>
      <c r="L68" s="60"/>
      <c r="M68" s="61">
        <f t="shared" si="1"/>
        <v>49</v>
      </c>
      <c r="N68" s="61"/>
      <c r="O68" s="45" t="str">
        <f>IFERROR(__xludf.DUMMYFUNCTION("IFERROR(
  TEXT(
    MAX(FILTER(Remark!A:A, TRIM(Remark!B:B) = TRIM(B68))),
    ""dd/mm/yyyy""
  ) &amp; "" - "" &amp;
  FILTER(
    Remark!C:C,
    TRIM(Remark!B:B) = TRIM(B68),
    Remark!A:A = MAX(FILTER(Remark!A:A, TRIM(Remark!B:B) = TRIM(B68)))
  ),
  """"
)"),"")</f>
        <v/>
      </c>
      <c r="P68" s="45" t="str">
        <f>IFERROR(__xludf.DUMMYFUNCTION("TEXTJOIN(CHAR(10), TRUE, IFERROR(
  FILTER(TEXT(Remark!A:A, ""dd/mm/yyyy"") &amp; "" - "" &amp; Remark!C:C, TRIM(Remark!B:B) = TRIM(B68)),
  """"
))"),"")</f>
        <v/>
      </c>
      <c r="Q68" s="45" t="str">
        <f>IFERROR(__xludf.DUMMYFUNCTION("IFERROR(
  FILTER(
    Remark!D:D,
    Remark!A:A = MAX(FILTER(Remark!A:A, TRIM(Remark!B:B) = TRIM(B68)))
  ),
  """"
)"),"")</f>
        <v/>
      </c>
      <c r="R68" s="46" t="str">
        <f t="shared" si="2"/>
        <v>Prepare for Showcase</v>
      </c>
      <c r="S68" s="43" t="b">
        <v>1</v>
      </c>
      <c r="T68" s="52" t="s">
        <v>227</v>
      </c>
      <c r="U68" s="61">
        <v>1.0</v>
      </c>
      <c r="V68" s="61"/>
      <c r="W68" s="61"/>
      <c r="X68" s="62">
        <v>1.0</v>
      </c>
      <c r="Y68" s="62"/>
      <c r="Z68" s="62"/>
      <c r="AA68" s="49">
        <f t="shared" si="3"/>
        <v>1</v>
      </c>
    </row>
    <row r="69" ht="26.25" customHeight="1">
      <c r="A69" s="35">
        <v>317.0</v>
      </c>
      <c r="B69" s="36" t="s">
        <v>228</v>
      </c>
      <c r="C69" s="40" t="s">
        <v>76</v>
      </c>
      <c r="D69" s="54">
        <v>45707.0</v>
      </c>
      <c r="E69" s="51"/>
      <c r="F69" s="40" t="s">
        <v>210</v>
      </c>
      <c r="G69" s="40" t="s">
        <v>0</v>
      </c>
      <c r="H69" s="40" t="s">
        <v>109</v>
      </c>
      <c r="I69" s="42">
        <v>45710.0</v>
      </c>
      <c r="J69" s="40" t="s">
        <v>126</v>
      </c>
      <c r="K69" s="43" t="b">
        <v>1</v>
      </c>
      <c r="L69" s="44"/>
      <c r="M69" s="45">
        <f t="shared" si="1"/>
        <v>60</v>
      </c>
      <c r="N69" s="45"/>
      <c r="O69" s="45" t="str">
        <f>IFERROR(__xludf.DUMMYFUNCTION("IFERROR(
  TEXT(
    MAX(FILTER(Remark!A:A, TRIM(Remark!B:B) = TRIM(B69))),
    ""dd/mm/yyyy""
  ) &amp; "" - "" &amp;
  FILTER(
    Remark!C:C,
    TRIM(Remark!B:B) = TRIM(B69),
    Remark!A:A = MAX(FILTER(Remark!A:A, TRIM(Remark!B:B) = TRIM(B69)))
  ),
  """"
)"),"")</f>
        <v/>
      </c>
      <c r="P69" s="45" t="str">
        <f>IFERROR(__xludf.DUMMYFUNCTION("TEXTJOIN(CHAR(10), TRUE, IFERROR(
  FILTER(TEXT(Remark!A:A, ""dd/mm/yyyy"") &amp; "" - "" &amp; Remark!C:C, TRIM(Remark!B:B) = TRIM(B69)),
  """"
))"),"")</f>
        <v/>
      </c>
      <c r="Q69" s="45" t="str">
        <f>IFERROR(__xludf.DUMMYFUNCTION("IFERROR(
  FILTER(
    Remark!D:D,
    Remark!A:A = MAX(FILTER(Remark!A:A, TRIM(Remark!B:B) = TRIM(B69)))
  ),
  """"
)"),"")</f>
        <v/>
      </c>
      <c r="R69" s="46" t="str">
        <f t="shared" si="2"/>
        <v>Prepare for Showcase</v>
      </c>
      <c r="S69" s="43" t="b">
        <v>1</v>
      </c>
      <c r="T69" s="48" t="s">
        <v>229</v>
      </c>
      <c r="U69" s="49">
        <v>4.0</v>
      </c>
      <c r="V69" s="49">
        <v>1.0</v>
      </c>
      <c r="W69" s="49"/>
      <c r="X69" s="49">
        <v>1.0</v>
      </c>
      <c r="Y69" s="49"/>
      <c r="Z69" s="49"/>
      <c r="AA69" s="49">
        <f t="shared" si="3"/>
        <v>2</v>
      </c>
    </row>
    <row r="70" ht="26.25" customHeight="1">
      <c r="A70" s="35">
        <v>345.0</v>
      </c>
      <c r="B70" s="36" t="s">
        <v>230</v>
      </c>
      <c r="C70" s="40" t="s">
        <v>76</v>
      </c>
      <c r="D70" s="54">
        <v>45763.0</v>
      </c>
      <c r="E70" s="51"/>
      <c r="F70" s="40" t="s">
        <v>210</v>
      </c>
      <c r="G70" s="57" t="s">
        <v>0</v>
      </c>
      <c r="H70" s="57" t="s">
        <v>109</v>
      </c>
      <c r="I70" s="58">
        <v>45784.0</v>
      </c>
      <c r="J70" s="57" t="s">
        <v>126</v>
      </c>
      <c r="K70" s="59" t="b">
        <v>1</v>
      </c>
      <c r="L70" s="60"/>
      <c r="M70" s="61">
        <f t="shared" si="1"/>
        <v>49</v>
      </c>
      <c r="N70" s="61"/>
      <c r="O70" s="45" t="str">
        <f>IFERROR(__xludf.DUMMYFUNCTION("IFERROR(
  TEXT(
    MAX(FILTER(Remark!A:A, TRIM(Remark!B:B) = TRIM(B70))),
    ""dd/mm/yyyy""
  ) &amp; "" - "" &amp;
  FILTER(
    Remark!C:C,
    TRIM(Remark!B:B) = TRIM(B70),
    Remark!A:A = MAX(FILTER(Remark!A:A, TRIM(Remark!B:B) = TRIM(B70)))
  ),
  """"
)"),"")</f>
        <v/>
      </c>
      <c r="P70" s="45" t="str">
        <f>IFERROR(__xludf.DUMMYFUNCTION("TEXTJOIN(CHAR(10), TRUE, IFERROR(
  FILTER(TEXT(Remark!A:A, ""dd/mm/yyyy"") &amp; "" - "" &amp; Remark!C:C, TRIM(Remark!B:B) = TRIM(B70)),
  """"
))"),"")</f>
        <v/>
      </c>
      <c r="Q70" s="45" t="str">
        <f>IFERROR(__xludf.DUMMYFUNCTION("IFERROR(
  FILTER(
    Remark!D:D,
    Remark!A:A = MAX(FILTER(Remark!A:A, TRIM(Remark!B:B) = TRIM(B70)))
  ),
  """"
)"),"")</f>
        <v/>
      </c>
      <c r="R70" s="46" t="str">
        <f t="shared" si="2"/>
        <v>Prepare for Showcase</v>
      </c>
      <c r="S70" s="47"/>
      <c r="T70" s="52" t="s">
        <v>231</v>
      </c>
      <c r="U70" s="61"/>
      <c r="V70" s="62">
        <v>1.0</v>
      </c>
      <c r="W70" s="62"/>
      <c r="X70" s="62">
        <v>1.0</v>
      </c>
      <c r="Y70" s="62"/>
      <c r="Z70" s="62"/>
      <c r="AA70" s="49">
        <f t="shared" si="3"/>
        <v>2</v>
      </c>
    </row>
    <row r="71" ht="26.25" customHeight="1">
      <c r="A71" s="66">
        <v>415.0</v>
      </c>
      <c r="B71" s="36" t="s">
        <v>232</v>
      </c>
      <c r="C71" s="40" t="s">
        <v>76</v>
      </c>
      <c r="D71" s="38">
        <v>45874.0</v>
      </c>
      <c r="E71" s="51"/>
      <c r="F71" s="40" t="s">
        <v>210</v>
      </c>
      <c r="G71" s="40" t="s">
        <v>0</v>
      </c>
      <c r="H71" s="40" t="s">
        <v>109</v>
      </c>
      <c r="I71" s="42">
        <v>46032.0</v>
      </c>
      <c r="J71" s="40" t="s">
        <v>110</v>
      </c>
      <c r="K71" s="43" t="b">
        <v>0</v>
      </c>
      <c r="L71" s="44"/>
      <c r="M71" s="45">
        <f t="shared" si="1"/>
        <v>14</v>
      </c>
      <c r="N71" s="45"/>
      <c r="O71" s="45" t="str">
        <f>IFERROR(__xludf.DUMMYFUNCTION("IFERROR(
  TEXT(
    MAX(FILTER(Remark!A:A, TRIM(Remark!B:B) = TRIM(B71))),
    ""dd/mm/yyyy""
  ) &amp; "" - "" &amp;
  FILTER(
    Remark!C:C,
    TRIM(Remark!B:B) = TRIM(B71),
    Remark!A:A = MAX(FILTER(Remark!A:A, TRIM(Remark!B:B) = TRIM(B71)))
  ),
  """"
)"),"")</f>
        <v/>
      </c>
      <c r="P71" s="45" t="str">
        <f>IFERROR(__xludf.DUMMYFUNCTION("TEXTJOIN(CHAR(10), TRUE, IFERROR(
  FILTER(TEXT(Remark!A:A, ""dd/mm/yyyy"") &amp; "" - "" &amp; Remark!C:C, TRIM(Remark!B:B) = TRIM(B71)),
  """"
))"),"")</f>
        <v/>
      </c>
      <c r="Q71" s="45" t="str">
        <f>IFERROR(__xludf.DUMMYFUNCTION("IFERROR(
  FILTER(
    Remark!D:D,
    Remark!A:A = MAX(FILTER(Remark!A:A, TRIM(Remark!B:B) = TRIM(B71)))
  ),
  """"
)"),"")</f>
        <v/>
      </c>
      <c r="R71" s="46" t="str">
        <f t="shared" si="2"/>
        <v>Learning</v>
      </c>
      <c r="S71" s="47"/>
      <c r="T71" s="48" t="s">
        <v>233</v>
      </c>
      <c r="U71" s="49"/>
      <c r="V71" s="49">
        <v>2.0</v>
      </c>
      <c r="W71" s="49">
        <v>1.0</v>
      </c>
      <c r="X71" s="49">
        <v>1.0</v>
      </c>
      <c r="Y71" s="49">
        <v>1.0</v>
      </c>
      <c r="Z71" s="49"/>
      <c r="AA71" s="49">
        <f t="shared" si="3"/>
        <v>5</v>
      </c>
    </row>
    <row r="72" ht="26.25" customHeight="1">
      <c r="A72" s="66">
        <v>416.0</v>
      </c>
      <c r="B72" s="36" t="s">
        <v>234</v>
      </c>
      <c r="C72" s="40" t="s">
        <v>76</v>
      </c>
      <c r="D72" s="54">
        <v>46032.0</v>
      </c>
      <c r="E72" s="51"/>
      <c r="F72" s="40" t="s">
        <v>210</v>
      </c>
      <c r="G72" s="40" t="s">
        <v>0</v>
      </c>
      <c r="H72" s="40" t="s">
        <v>109</v>
      </c>
      <c r="I72" s="42">
        <v>46032.0</v>
      </c>
      <c r="J72" s="40" t="s">
        <v>110</v>
      </c>
      <c r="K72" s="43" t="b">
        <v>0</v>
      </c>
      <c r="L72" s="44"/>
      <c r="M72" s="45">
        <f t="shared" si="1"/>
        <v>14</v>
      </c>
      <c r="N72" s="45"/>
      <c r="O72" s="45" t="str">
        <f>IFERROR(__xludf.DUMMYFUNCTION("IFERROR(
  TEXT(
    MAX(FILTER(Remark!A:A, TRIM(Remark!B:B) = TRIM(B72))),
    ""dd/mm/yyyy""
  ) &amp; "" - "" &amp;
  FILTER(
    Remark!C:C,
    TRIM(Remark!B:B) = TRIM(B72),
    Remark!A:A = MAX(FILTER(Remark!A:A, TRIM(Remark!B:B) = TRIM(B72)))
  ),
  """"
)"),"")</f>
        <v/>
      </c>
      <c r="P72" s="45" t="str">
        <f>IFERROR(__xludf.DUMMYFUNCTION("TEXTJOIN(CHAR(10), TRUE, IFERROR(
  FILTER(TEXT(Remark!A:A, ""dd/mm/yyyy"") &amp; "" - "" &amp; Remark!C:C, TRIM(Remark!B:B) = TRIM(B72)),
  """"
))"),"")</f>
        <v/>
      </c>
      <c r="Q72" s="45" t="str">
        <f>IFERROR(__xludf.DUMMYFUNCTION("IFERROR(
  FILTER(
    Remark!D:D,
    Remark!A:A = MAX(FILTER(Remark!A:A, TRIM(Remark!B:B) = TRIM(B72)))
  ),
  """"
)"),"")</f>
        <v/>
      </c>
      <c r="R72" s="46" t="str">
        <f t="shared" si="2"/>
        <v>Learning</v>
      </c>
      <c r="S72" s="47"/>
      <c r="T72" s="48" t="s">
        <v>235</v>
      </c>
      <c r="U72" s="49"/>
      <c r="V72" s="49">
        <v>1.0</v>
      </c>
      <c r="W72" s="49">
        <v>1.0</v>
      </c>
      <c r="X72" s="49">
        <v>1.0</v>
      </c>
      <c r="Y72" s="49">
        <v>1.0</v>
      </c>
      <c r="Z72" s="49"/>
      <c r="AA72" s="49">
        <f t="shared" si="3"/>
        <v>4</v>
      </c>
    </row>
    <row r="73" ht="26.25" customHeight="1">
      <c r="A73" s="35">
        <v>296.0</v>
      </c>
      <c r="B73" s="56" t="s">
        <v>236</v>
      </c>
      <c r="C73" s="37" t="s">
        <v>76</v>
      </c>
      <c r="D73" s="54">
        <v>45619.0</v>
      </c>
      <c r="E73" s="39"/>
      <c r="F73" s="40" t="s">
        <v>210</v>
      </c>
      <c r="G73" s="41" t="s">
        <v>0</v>
      </c>
      <c r="H73" s="40" t="s">
        <v>123</v>
      </c>
      <c r="I73" s="42">
        <v>46039.0</v>
      </c>
      <c r="J73" s="40" t="s">
        <v>79</v>
      </c>
      <c r="K73" s="43" t="b">
        <v>1</v>
      </c>
      <c r="L73" s="44"/>
      <c r="M73" s="45">
        <f t="shared" si="1"/>
        <v>13</v>
      </c>
      <c r="N73" s="45"/>
      <c r="O73" s="45" t="str">
        <f>IFERROR(__xludf.DUMMYFUNCTION("IFERROR(
  TEXT(
    MAX(FILTER(Remark!A:A, TRIM(Remark!B:B) = TRIM(B73))),
    ""dd/mm/yyyy""
  ) &amp; "" - "" &amp;
  FILTER(
    Remark!C:C,
    TRIM(Remark!B:B) = TRIM(B73),
    Remark!A:A = MAX(FILTER(Remark!A:A, TRIM(Remark!B:B) = TRIM(B73)))
  ),
  """"
)"),"02/10/2025 - [Caleb]
Student is working on the final project.
Inconsistent attendance makes it difficult to recap progress.
Friends quitting has caused a loss of motivation.
Mentor is advised to understand why the student is demotivated.")</f>
        <v>02/10/2025 - [Caleb]
Student is working on the final project.
Inconsistent attendance makes it difficult to recap progress.
Friends quitting has caused a loss of motivation.
Mentor is advised to understand why the student is demotivated.</v>
      </c>
      <c r="P73" s="45" t="str">
        <f>IFERROR(__xludf.DUMMYFUNCTION("TEXTJOIN(CHAR(10), TRUE, IFERROR(
  FILTER(TEXT(Remark!A:A, ""dd/mm/yyyy"") &amp; "" - "" &amp; Remark!C:C, TRIM(Remark!B:B) = TRIM(B73)),
  """"
))"),"02/10/2025 - [Caleb]
Student is working on the final project.
Inconsistent attendance makes it difficult to recap progress.
Friends quitting has caused a loss of motivation.
Mentor is advised to understand why the student is demotivated.")</f>
        <v>02/10/2025 - [Caleb]
Student is working on the final project.
Inconsistent attendance makes it difficult to recap progress.
Friends quitting has caused a loss of motivation.
Mentor is advised to understand why the student is demotivated.</v>
      </c>
      <c r="Q73" s="45" t="str">
        <f>IFERROR(__xludf.DUMMYFUNCTION("IFERROR(
  FILTER(
    Remark!D:D,
    Remark!A:A = MAX(FILTER(Remark!A:A, TRIM(Remark!B:B) = TRIM(B73)))
  ),
  """"
)"),"No")</f>
        <v>No</v>
      </c>
      <c r="R73" s="46" t="str">
        <f t="shared" si="2"/>
        <v>Learning</v>
      </c>
      <c r="S73" s="47"/>
      <c r="T73" s="48" t="s">
        <v>237</v>
      </c>
      <c r="U73" s="49">
        <v>1.0</v>
      </c>
      <c r="V73" s="49"/>
      <c r="W73" s="49"/>
      <c r="X73" s="49">
        <v>1.0</v>
      </c>
      <c r="Y73" s="49"/>
      <c r="Z73" s="49"/>
      <c r="AA73" s="49">
        <f t="shared" si="3"/>
        <v>1</v>
      </c>
    </row>
    <row r="74" ht="26.25" customHeight="1">
      <c r="A74" s="35">
        <v>346.0</v>
      </c>
      <c r="B74" s="36" t="s">
        <v>238</v>
      </c>
      <c r="C74" s="40" t="s">
        <v>76</v>
      </c>
      <c r="D74" s="54">
        <v>45766.0</v>
      </c>
      <c r="E74" s="51"/>
      <c r="F74" s="40" t="s">
        <v>239</v>
      </c>
      <c r="G74" s="57" t="s">
        <v>0</v>
      </c>
      <c r="H74" s="57" t="s">
        <v>123</v>
      </c>
      <c r="I74" s="58">
        <v>45759.0</v>
      </c>
      <c r="J74" s="57" t="s">
        <v>159</v>
      </c>
      <c r="K74" s="59" t="b">
        <v>1</v>
      </c>
      <c r="L74" s="60"/>
      <c r="M74" s="61">
        <f t="shared" si="1"/>
        <v>53</v>
      </c>
      <c r="N74" s="61"/>
      <c r="O74" s="45" t="str">
        <f>IFERROR(__xludf.DUMMYFUNCTION("IFERROR(
  TEXT(
    MAX(FILTER(Remark!A:A, TRIM(Remark!B:B) = TRIM(B74))),
    ""dd/mm/yyyy""
  ) &amp; "" - "" &amp;
  FILTER(
    Remark!C:C,
    TRIM(Remark!B:B) = TRIM(B74),
    Remark!A:A = MAX(FILTER(Remark!A:A, TRIM(Remark!B:B) = TRIM(B74)))
  ),
  """"
)"),"")</f>
        <v/>
      </c>
      <c r="P74" s="45" t="str">
        <f>IFERROR(__xludf.DUMMYFUNCTION("TEXTJOIN(CHAR(10), TRUE, IFERROR(
  FILTER(TEXT(Remark!A:A, ""dd/mm/yyyy"") &amp; "" - "" &amp; Remark!C:C, TRIM(Remark!B:B) = TRIM(B74)),
  """"
))"),"")</f>
        <v/>
      </c>
      <c r="Q74" s="45" t="str">
        <f>IFERROR(__xludf.DUMMYFUNCTION("IFERROR(
  FILTER(
    Remark!D:D,
    Remark!A:A = MAX(FILTER(Remark!A:A, TRIM(Remark!B:B) = TRIM(B74)))
  ),
  """"
)"),"")</f>
        <v/>
      </c>
      <c r="R74" s="46" t="str">
        <f t="shared" si="2"/>
        <v>Prepare for Showcase</v>
      </c>
      <c r="S74" s="43" t="b">
        <v>1</v>
      </c>
      <c r="T74" s="52" t="s">
        <v>240</v>
      </c>
      <c r="U74" s="61">
        <v>1.0</v>
      </c>
      <c r="V74" s="61"/>
      <c r="W74" s="62">
        <v>1.0</v>
      </c>
      <c r="X74" s="62">
        <v>1.0</v>
      </c>
      <c r="Y74" s="62"/>
      <c r="Z74" s="62"/>
      <c r="AA74" s="49">
        <f t="shared" si="3"/>
        <v>2</v>
      </c>
    </row>
    <row r="75" ht="26.25" customHeight="1">
      <c r="A75" s="35">
        <v>401.0</v>
      </c>
      <c r="B75" s="71" t="s">
        <v>241</v>
      </c>
      <c r="C75" s="40" t="s">
        <v>76</v>
      </c>
      <c r="D75" s="54">
        <v>45943.0</v>
      </c>
      <c r="E75" s="51"/>
      <c r="F75" s="40" t="s">
        <v>210</v>
      </c>
      <c r="G75" s="57" t="s">
        <v>0</v>
      </c>
      <c r="H75" s="57" t="s">
        <v>123</v>
      </c>
      <c r="I75" s="58">
        <v>45934.0</v>
      </c>
      <c r="J75" s="57" t="s">
        <v>126</v>
      </c>
      <c r="K75" s="59" t="b">
        <v>0</v>
      </c>
      <c r="L75" s="60"/>
      <c r="M75" s="61">
        <f t="shared" si="1"/>
        <v>28</v>
      </c>
      <c r="N75" s="61"/>
      <c r="O75" s="45" t="str">
        <f>IFERROR(__xludf.DUMMYFUNCTION("IFERROR(
  TEXT(
    MAX(FILTER(Remark!A:A, TRIM(Remark!B:B) = TRIM(B75))),
    ""dd/mm/yyyy""
  ) &amp; "" - "" &amp;
  FILTER(
    Remark!C:C,
    TRIM(Remark!B:B) = TRIM(B75),
    Remark!A:A = MAX(FILTER(Remark!A:A, TRIM(Remark!B:B) = TRIM(B75)))
  ),
  """"
)"),"")</f>
        <v/>
      </c>
      <c r="P75" s="45" t="str">
        <f>IFERROR(__xludf.DUMMYFUNCTION("TEXTJOIN(CHAR(10), TRUE, IFERROR(
  FILTER(TEXT(Remark!A:A, ""dd/mm/yyyy"") &amp; "" - "" &amp; Remark!C:C, TRIM(Remark!B:B) = TRIM(B75)),
  """"
))"),"")</f>
        <v/>
      </c>
      <c r="Q75" s="45" t="str">
        <f>IFERROR(__xludf.DUMMYFUNCTION("IFERROR(
  FILTER(
    Remark!D:D,
    Remark!A:A = MAX(FILTER(Remark!A:A, TRIM(Remark!B:B) = TRIM(B75)))
  ),
  """"
)"),"")</f>
        <v/>
      </c>
      <c r="R75" s="46" t="str">
        <f t="shared" si="2"/>
        <v>Learning</v>
      </c>
      <c r="S75" s="47"/>
      <c r="T75" s="52" t="s">
        <v>242</v>
      </c>
      <c r="U75" s="62">
        <v>1.0</v>
      </c>
      <c r="V75" s="62">
        <v>1.0</v>
      </c>
      <c r="W75" s="62">
        <v>1.0</v>
      </c>
      <c r="X75" s="62">
        <v>1.0</v>
      </c>
      <c r="Y75" s="62"/>
      <c r="Z75" s="62"/>
      <c r="AA75" s="49">
        <f t="shared" si="3"/>
        <v>3</v>
      </c>
    </row>
    <row r="76" ht="26.25" customHeight="1">
      <c r="A76" s="35">
        <v>127.0</v>
      </c>
      <c r="B76" s="50" t="s">
        <v>243</v>
      </c>
      <c r="C76" s="37" t="s">
        <v>76</v>
      </c>
      <c r="D76" s="38">
        <v>44933.0</v>
      </c>
      <c r="E76" s="39"/>
      <c r="F76" s="40" t="s">
        <v>239</v>
      </c>
      <c r="G76" s="41" t="s">
        <v>0</v>
      </c>
      <c r="H76" s="40" t="s">
        <v>78</v>
      </c>
      <c r="I76" s="55">
        <v>45451.0</v>
      </c>
      <c r="J76" s="41" t="s">
        <v>92</v>
      </c>
      <c r="K76" s="43" t="b">
        <v>1</v>
      </c>
      <c r="L76" s="44"/>
      <c r="M76" s="45">
        <f t="shared" si="1"/>
        <v>97</v>
      </c>
      <c r="N76" s="45"/>
      <c r="O76" s="45" t="str">
        <f>IFERROR(__xludf.DUMMYFUNCTION("IFERROR(
  TEXT(
    MAX(FILTER(Remark!A:A, TRIM(Remark!B:B) = TRIM(B76))),
    ""dd/mm/yyyy""
  ) &amp; "" - "" &amp;
  FILTER(
    Remark!C:C,
    TRIM(Remark!B:B) = TRIM(B76),
    Remark!A:A = MAX(FILTER(Remark!A:A, TRIM(Remark!B:B) = TRIM(B76)))
  ),
  """"
)"),"")</f>
        <v/>
      </c>
      <c r="P76" s="45" t="str">
        <f>IFERROR(__xludf.DUMMYFUNCTION("TEXTJOIN(CHAR(10), TRUE, IFERROR(
  FILTER(TEXT(Remark!A:A, ""dd/mm/yyyy"") &amp; "" - "" &amp; Remark!C:C, TRIM(Remark!B:B) = TRIM(B76)),
  """"
))"),"")</f>
        <v/>
      </c>
      <c r="Q76" s="45" t="str">
        <f>IFERROR(__xludf.DUMMYFUNCTION("IFERROR(
  FILTER(
    Remark!D:D,
    Remark!A:A = MAX(FILTER(Remark!A:A, TRIM(Remark!B:B) = TRIM(B76)))
  ),
  """"
)"),"")</f>
        <v/>
      </c>
      <c r="R76" s="46" t="str">
        <f t="shared" si="2"/>
        <v>Prepare for Showcase</v>
      </c>
      <c r="S76" s="43" t="b">
        <v>1</v>
      </c>
      <c r="T76" s="56" t="s">
        <v>244</v>
      </c>
      <c r="U76" s="49">
        <v>4.0</v>
      </c>
      <c r="V76" s="49"/>
      <c r="W76" s="49"/>
      <c r="X76" s="49">
        <v>2.0</v>
      </c>
      <c r="Y76" s="49"/>
      <c r="Z76" s="49"/>
      <c r="AA76" s="49">
        <f t="shared" si="3"/>
        <v>2</v>
      </c>
    </row>
    <row r="77" ht="26.25" customHeight="1">
      <c r="A77" s="35">
        <v>243.0</v>
      </c>
      <c r="B77" s="36" t="s">
        <v>245</v>
      </c>
      <c r="C77" s="37" t="s">
        <v>76</v>
      </c>
      <c r="D77" s="38">
        <v>45353.0</v>
      </c>
      <c r="E77" s="39"/>
      <c r="F77" s="40" t="s">
        <v>239</v>
      </c>
      <c r="G77" s="41" t="s">
        <v>0</v>
      </c>
      <c r="H77" s="40" t="s">
        <v>78</v>
      </c>
      <c r="I77" s="42">
        <v>46039.0</v>
      </c>
      <c r="J77" s="40" t="s">
        <v>92</v>
      </c>
      <c r="K77" s="43" t="b">
        <v>1</v>
      </c>
      <c r="L77" s="44"/>
      <c r="M77" s="45">
        <f t="shared" si="1"/>
        <v>13</v>
      </c>
      <c r="N77" s="45"/>
      <c r="O77" s="45" t="str">
        <f>IFERROR(__xludf.DUMMYFUNCTION("IFERROR(
  TEXT(
    MAX(FILTER(Remark!A:A, TRIM(Remark!B:B) = TRIM(B77))),
    ""dd/mm/yyyy""
  ) &amp; "" - "" &amp;
  FILTER(
    Remark!C:C,
    TRIM(Remark!B:B) = TRIM(B77),
    Remark!A:A = MAX(FILTER(Remark!A:A, TRIM(Remark!B:B) = TRIM(B77)))
  ),
  """"
)"),"")</f>
        <v/>
      </c>
      <c r="P77" s="45" t="str">
        <f>IFERROR(__xludf.DUMMYFUNCTION("TEXTJOIN(CHAR(10), TRUE, IFERROR(
  FILTER(TEXT(Remark!A:A, ""dd/mm/yyyy"") &amp; "" - "" &amp; Remark!C:C, TRIM(Remark!B:B) = TRIM(B77)),
  """"
))"),"")</f>
        <v/>
      </c>
      <c r="Q77" s="45" t="str">
        <f>IFERROR(__xludf.DUMMYFUNCTION("IFERROR(
  FILTER(
    Remark!D:D,
    Remark!A:A = MAX(FILTER(Remark!A:A, TRIM(Remark!B:B) = TRIM(B77)))
  ),
  """"
)"),"")</f>
        <v/>
      </c>
      <c r="R77" s="46" t="str">
        <f t="shared" si="2"/>
        <v>Learning</v>
      </c>
      <c r="S77" s="47"/>
      <c r="T77" s="48" t="s">
        <v>244</v>
      </c>
      <c r="U77" s="49">
        <v>5.0</v>
      </c>
      <c r="V77" s="49"/>
      <c r="W77" s="49"/>
      <c r="X77" s="49">
        <v>2.0</v>
      </c>
      <c r="Y77" s="49"/>
      <c r="Z77" s="49"/>
      <c r="AA77" s="49">
        <f t="shared" si="3"/>
        <v>2</v>
      </c>
    </row>
    <row r="78" ht="26.25" customHeight="1">
      <c r="A78" s="35">
        <v>305.0</v>
      </c>
      <c r="B78" s="36" t="s">
        <v>246</v>
      </c>
      <c r="C78" s="40" t="s">
        <v>76</v>
      </c>
      <c r="D78" s="54">
        <v>45667.0</v>
      </c>
      <c r="E78" s="51"/>
      <c r="F78" s="40" t="s">
        <v>239</v>
      </c>
      <c r="G78" s="57" t="s">
        <v>0</v>
      </c>
      <c r="H78" s="57" t="s">
        <v>78</v>
      </c>
      <c r="I78" s="58">
        <v>45660.0</v>
      </c>
      <c r="J78" s="57" t="s">
        <v>159</v>
      </c>
      <c r="K78" s="59" t="b">
        <v>1</v>
      </c>
      <c r="L78" s="60"/>
      <c r="M78" s="61">
        <f t="shared" si="1"/>
        <v>67</v>
      </c>
      <c r="N78" s="61"/>
      <c r="O78" s="45" t="str">
        <f>IFERROR(__xludf.DUMMYFUNCTION("IFERROR(
  TEXT(
    MAX(FILTER(Remark!A:A, TRIM(Remark!B:B) = TRIM(B78))),
    ""dd/mm/yyyy""
  ) &amp; "" - "" &amp;
  FILTER(
    Remark!C:C,
    TRIM(Remark!B:B) = TRIM(B78),
    Remark!A:A = MAX(FILTER(Remark!A:A, TRIM(Remark!B:B) = TRIM(B78)))
  ),
  """"
)"),"")</f>
        <v/>
      </c>
      <c r="P78" s="45" t="str">
        <f>IFERROR(__xludf.DUMMYFUNCTION("TEXTJOIN(CHAR(10), TRUE, IFERROR(
  FILTER(TEXT(Remark!A:A, ""dd/mm/yyyy"") &amp; "" - "" &amp; Remark!C:C, TRIM(Remark!B:B) = TRIM(B78)),
  """"
))"),"")</f>
        <v/>
      </c>
      <c r="Q78" s="45" t="str">
        <f>IFERROR(__xludf.DUMMYFUNCTION("IFERROR(
  FILTER(
    Remark!D:D,
    Remark!A:A = MAX(FILTER(Remark!A:A, TRIM(Remark!B:B) = TRIM(B78)))
  ),
  """"
)"),"")</f>
        <v/>
      </c>
      <c r="R78" s="46" t="str">
        <f t="shared" si="2"/>
        <v>Prepare for Showcase</v>
      </c>
      <c r="S78" s="43" t="b">
        <v>1</v>
      </c>
      <c r="T78" s="52" t="s">
        <v>247</v>
      </c>
      <c r="U78" s="49">
        <v>2.0</v>
      </c>
      <c r="V78" s="49">
        <v>1.0</v>
      </c>
      <c r="W78" s="49">
        <v>1.0</v>
      </c>
      <c r="X78" s="49">
        <v>1.0</v>
      </c>
      <c r="Y78" s="49">
        <v>1.0</v>
      </c>
      <c r="Z78" s="49"/>
      <c r="AA78" s="49">
        <f t="shared" si="3"/>
        <v>4</v>
      </c>
    </row>
    <row r="79" ht="26.25" customHeight="1">
      <c r="A79" s="66">
        <v>417.0</v>
      </c>
      <c r="B79" s="36" t="s">
        <v>248</v>
      </c>
      <c r="C79" s="40" t="s">
        <v>76</v>
      </c>
      <c r="D79" s="54">
        <v>46032.0</v>
      </c>
      <c r="E79" s="51"/>
      <c r="F79" s="40" t="s">
        <v>239</v>
      </c>
      <c r="G79" s="40" t="s">
        <v>0</v>
      </c>
      <c r="H79" s="40" t="s">
        <v>78</v>
      </c>
      <c r="I79" s="42">
        <v>46032.0</v>
      </c>
      <c r="J79" s="40" t="s">
        <v>92</v>
      </c>
      <c r="K79" s="43" t="b">
        <v>0</v>
      </c>
      <c r="L79" s="44"/>
      <c r="M79" s="45">
        <f t="shared" si="1"/>
        <v>14</v>
      </c>
      <c r="N79" s="45"/>
      <c r="O79" s="45" t="str">
        <f>IFERROR(__xludf.DUMMYFUNCTION("IFERROR(
  TEXT(
    MAX(FILTER(Remark!A:A, TRIM(Remark!B:B) = TRIM(B79))),
    ""dd/mm/yyyy""
  ) &amp; "" - "" &amp;
  FILTER(
    Remark!C:C,
    TRIM(Remark!B:B) = TRIM(B79),
    Remark!A:A = MAX(FILTER(Remark!A:A, TRIM(Remark!B:B) = TRIM(B79)))
  ),
  """"
)"),"")</f>
        <v/>
      </c>
      <c r="P79" s="45" t="str">
        <f>IFERROR(__xludf.DUMMYFUNCTION("TEXTJOIN(CHAR(10), TRUE, IFERROR(
  FILTER(TEXT(Remark!A:A, ""dd/mm/yyyy"") &amp; "" - "" &amp; Remark!C:C, TRIM(Remark!B:B) = TRIM(B79)),
  """"
))"),"")</f>
        <v/>
      </c>
      <c r="Q79" s="45" t="str">
        <f>IFERROR(__xludf.DUMMYFUNCTION("IFERROR(
  FILTER(
    Remark!D:D,
    Remark!A:A = MAX(FILTER(Remark!A:A, TRIM(Remark!B:B) = TRIM(B79)))
  ),
  """"
)"),"")</f>
        <v/>
      </c>
      <c r="R79" s="46" t="str">
        <f t="shared" si="2"/>
        <v>Learning</v>
      </c>
      <c r="S79" s="47"/>
      <c r="T79" s="48" t="s">
        <v>249</v>
      </c>
      <c r="U79" s="49"/>
      <c r="V79" s="49"/>
      <c r="W79" s="49"/>
      <c r="X79" s="49">
        <v>1.0</v>
      </c>
      <c r="Y79" s="49"/>
      <c r="Z79" s="49"/>
      <c r="AA79" s="49">
        <f t="shared" si="3"/>
        <v>1</v>
      </c>
    </row>
    <row r="80" ht="26.25" customHeight="1">
      <c r="A80" s="66">
        <v>437.0</v>
      </c>
      <c r="B80" s="36" t="s">
        <v>250</v>
      </c>
      <c r="C80" s="40" t="s">
        <v>76</v>
      </c>
      <c r="D80" s="54">
        <v>46039.0</v>
      </c>
      <c r="E80" s="51"/>
      <c r="F80" s="40" t="s">
        <v>239</v>
      </c>
      <c r="G80" s="57" t="s">
        <v>0</v>
      </c>
      <c r="H80" s="57" t="s">
        <v>78</v>
      </c>
      <c r="I80" s="58">
        <v>46039.0</v>
      </c>
      <c r="J80" s="57" t="s">
        <v>159</v>
      </c>
      <c r="K80" s="59" t="b">
        <v>0</v>
      </c>
      <c r="L80" s="60"/>
      <c r="M80" s="61">
        <f t="shared" si="1"/>
        <v>13</v>
      </c>
      <c r="N80" s="61"/>
      <c r="O80" s="45" t="str">
        <f>IFERROR(__xludf.DUMMYFUNCTION("IFERROR(
  TEXT(
    MAX(FILTER(Remark!A:A, TRIM(Remark!B:B) = TRIM(B80))),
    ""dd/mm/yyyy""
  ) &amp; "" - "" &amp;
  FILTER(
    Remark!C:C,
    TRIM(Remark!B:B) = TRIM(B80),
    Remark!A:A = MAX(FILTER(Remark!A:A, TRIM(Remark!B:B) = TRIM(B80)))
  ),
  """"
)"),"")</f>
        <v/>
      </c>
      <c r="P80" s="45" t="str">
        <f>IFERROR(__xludf.DUMMYFUNCTION("TEXTJOIN(CHAR(10), TRUE, IFERROR(
  FILTER(TEXT(Remark!A:A, ""dd/mm/yyyy"") &amp; "" - "" &amp; Remark!C:C, TRIM(Remark!B:B) = TRIM(B80)),
  """"
))"),"")</f>
        <v/>
      </c>
      <c r="Q80" s="45" t="str">
        <f>IFERROR(__xludf.DUMMYFUNCTION("IFERROR(
  FILTER(
    Remark!D:D,
    Remark!A:A = MAX(FILTER(Remark!A:A, TRIM(Remark!B:B) = TRIM(B80)))
  ),
  """"
)"),"")</f>
        <v/>
      </c>
      <c r="R80" s="46" t="str">
        <f t="shared" si="2"/>
        <v>Learning</v>
      </c>
      <c r="S80" s="47"/>
      <c r="T80" s="52" t="s">
        <v>251</v>
      </c>
      <c r="U80" s="61"/>
      <c r="V80" s="61"/>
      <c r="W80" s="61"/>
      <c r="X80" s="62">
        <v>1.0</v>
      </c>
      <c r="Y80" s="62"/>
      <c r="Z80" s="62"/>
      <c r="AA80" s="49">
        <f t="shared" si="3"/>
        <v>1</v>
      </c>
    </row>
    <row r="81" ht="26.25" customHeight="1">
      <c r="A81" s="35">
        <v>49.0</v>
      </c>
      <c r="B81" s="50" t="s">
        <v>252</v>
      </c>
      <c r="C81" s="37" t="s">
        <v>76</v>
      </c>
      <c r="D81" s="38">
        <v>44477.0</v>
      </c>
      <c r="E81" s="39"/>
      <c r="F81" s="40" t="s">
        <v>239</v>
      </c>
      <c r="G81" s="41" t="s">
        <v>0</v>
      </c>
      <c r="H81" s="40" t="s">
        <v>91</v>
      </c>
      <c r="I81" s="42">
        <v>45696.0</v>
      </c>
      <c r="J81" s="40" t="s">
        <v>79</v>
      </c>
      <c r="K81" s="43" t="b">
        <v>1</v>
      </c>
      <c r="L81" s="44"/>
      <c r="M81" s="45">
        <f t="shared" si="1"/>
        <v>62</v>
      </c>
      <c r="N81" s="49"/>
      <c r="O81" s="45" t="str">
        <f>IFERROR(__xludf.DUMMYFUNCTION("IFERROR(
  TEXT(
    MAX(FILTER(Remark!A:A, TRIM(Remark!B:B) = TRIM(B81))),
    ""dd/mm/yyyy""
  ) &amp; "" - "" &amp;
  FILTER(
    Remark!C:C,
    TRIM(Remark!B:B) = TRIM(B81),
    Remark!A:A = MAX(FILTER(Remark!A:A, TRIM(Remark!B:B) = TRIM(B81)))
  ),
  """"
)"),"")</f>
        <v/>
      </c>
      <c r="P81" s="45" t="str">
        <f>IFERROR(__xludf.DUMMYFUNCTION("TEXTJOIN(CHAR(10), TRUE, IFERROR(
  FILTER(TEXT(Remark!A:A, ""dd/mm/yyyy"") &amp; "" - "" &amp; Remark!C:C, TRIM(Remark!B:B) = TRIM(B81)),
  """"
))"),"")</f>
        <v/>
      </c>
      <c r="Q81" s="45" t="str">
        <f>IFERROR(__xludf.DUMMYFUNCTION("IFERROR(
  FILTER(
    Remark!D:D,
    Remark!A:A = MAX(FILTER(Remark!A:A, TRIM(Remark!B:B) = TRIM(B81)))
  ),
  """"
)"),"")</f>
        <v/>
      </c>
      <c r="R81" s="46" t="str">
        <f t="shared" si="2"/>
        <v>Prepare for Showcase</v>
      </c>
      <c r="S81" s="43" t="b">
        <v>1</v>
      </c>
      <c r="T81" s="52" t="s">
        <v>253</v>
      </c>
      <c r="U81" s="49">
        <v>1.0</v>
      </c>
      <c r="V81" s="49"/>
      <c r="W81" s="49"/>
      <c r="X81" s="49">
        <v>1.0</v>
      </c>
      <c r="Y81" s="49"/>
      <c r="Z81" s="49"/>
      <c r="AA81" s="49">
        <f t="shared" si="3"/>
        <v>1</v>
      </c>
    </row>
    <row r="82" ht="26.25" customHeight="1">
      <c r="A82" s="35">
        <v>100.0</v>
      </c>
      <c r="B82" s="50" t="s">
        <v>254</v>
      </c>
      <c r="C82" s="37" t="s">
        <v>76</v>
      </c>
      <c r="D82" s="54">
        <v>44820.0</v>
      </c>
      <c r="E82" s="39"/>
      <c r="F82" s="40" t="s">
        <v>239</v>
      </c>
      <c r="G82" s="41" t="s">
        <v>0</v>
      </c>
      <c r="H82" s="40" t="s">
        <v>91</v>
      </c>
      <c r="I82" s="42">
        <v>46039.0</v>
      </c>
      <c r="J82" s="40" t="s">
        <v>134</v>
      </c>
      <c r="K82" s="43" t="b">
        <v>1</v>
      </c>
      <c r="L82" s="44"/>
      <c r="M82" s="45">
        <f t="shared" si="1"/>
        <v>13</v>
      </c>
      <c r="N82" s="49"/>
      <c r="O82" s="45" t="str">
        <f>IFERROR(__xludf.DUMMYFUNCTION("IFERROR(
  TEXT(
    MAX(FILTER(Remark!A:A, TRIM(Remark!B:B) = TRIM(B82))),
    ""dd/mm/yyyy""
  ) &amp; "" - "" &amp;
  FILTER(
    Remark!C:C,
    TRIM(Remark!B:B) = TRIM(B82),
    Remark!A:A = MAX(FILTER(Remark!A:A, TRIM(Remark!B:B) = TRIM(B82)))
  ),
  """"
)"),"")</f>
        <v/>
      </c>
      <c r="P82" s="45" t="str">
        <f>IFERROR(__xludf.DUMMYFUNCTION("TEXTJOIN(CHAR(10), TRUE, IFERROR(
  FILTER(TEXT(Remark!A:A, ""dd/mm/yyyy"") &amp; "" - "" &amp; Remark!C:C, TRIM(Remark!B:B) = TRIM(B82)),
  """"
))"),"")</f>
        <v/>
      </c>
      <c r="Q82" s="45" t="str">
        <f>IFERROR(__xludf.DUMMYFUNCTION("IFERROR(
  FILTER(
    Remark!D:D,
    Remark!A:A = MAX(FILTER(Remark!A:A, TRIM(Remark!B:B) = TRIM(B82)))
  ),
  """"
)"),"")</f>
        <v/>
      </c>
      <c r="R82" s="46" t="str">
        <f t="shared" si="2"/>
        <v>Learning</v>
      </c>
      <c r="S82" s="47"/>
      <c r="T82" s="56" t="s">
        <v>255</v>
      </c>
      <c r="U82" s="49">
        <v>1.0</v>
      </c>
      <c r="V82" s="49"/>
      <c r="W82" s="49"/>
      <c r="X82" s="49">
        <v>1.0</v>
      </c>
      <c r="Y82" s="49"/>
      <c r="Z82" s="49"/>
      <c r="AA82" s="49">
        <f t="shared" si="3"/>
        <v>1</v>
      </c>
    </row>
    <row r="83" ht="26.25" customHeight="1">
      <c r="A83" s="35">
        <v>105.0</v>
      </c>
      <c r="B83" s="48" t="s">
        <v>256</v>
      </c>
      <c r="C83" s="37" t="s">
        <v>76</v>
      </c>
      <c r="D83" s="54">
        <v>44879.0</v>
      </c>
      <c r="E83" s="39"/>
      <c r="F83" s="40" t="s">
        <v>239</v>
      </c>
      <c r="G83" s="41" t="s">
        <v>0</v>
      </c>
      <c r="H83" s="40" t="s">
        <v>91</v>
      </c>
      <c r="I83" s="42">
        <v>45983.0</v>
      </c>
      <c r="J83" s="40" t="s">
        <v>82</v>
      </c>
      <c r="K83" s="43" t="b">
        <v>0</v>
      </c>
      <c r="L83" s="44"/>
      <c r="M83" s="45">
        <f t="shared" si="1"/>
        <v>21</v>
      </c>
      <c r="N83" s="45"/>
      <c r="O83" s="45" t="str">
        <f>IFERROR(__xludf.DUMMYFUNCTION("IFERROR(
  TEXT(
    MAX(FILTER(Remark!A:A, TRIM(Remark!B:B) = TRIM(B83))),
    ""dd/mm/yyyy""
  ) &amp; "" - "" &amp;
  FILTER(
    Remark!C:C,
    TRIM(Remark!B:B) = TRIM(B83),
    Remark!A:A = MAX(FILTER(Remark!A:A, TRIM(Remark!B:B) = TRIM(B83)))
  ),
  """"
)"),"08/10/2025 - [Caleb]
The student has completed the final project for the current course, L232A Game Development, but still has missing submissions — fewer than the required six projects. These need to be completed before progressing to the next course.
Te"&amp;"chnical skills and project quality are good; the student is capable of producing quality work.
However, there are attitude issues that need attention. Mentor is advised to discuss the student’s attitude concerns with the parents.")</f>
        <v>08/10/2025 - [Caleb]
The student has completed the final project for the current course, L232A Game Development, but still has missing submissions — fewer than the required six projects. These need to be completed before progressing to the next course.
Technical skills and project quality are good; the student is capable of producing quality work.
However, there are attitude issues that need attention. Mentor is advised to discuss the student’s attitude concerns with the parents.</v>
      </c>
      <c r="P83" s="45" t="str">
        <f>IFERROR(__xludf.DUMMYFUNCTION("TEXTJOIN(CHAR(10), TRUE, IFERROR(
  FILTER(TEXT(Remark!A:A, ""dd/mm/yyyy"") &amp; "" - "" &amp; Remark!C:C, TRIM(Remark!B:B) = TRIM(B83)),
  """"
))"),"08/10/2025 - [Caleb]
The student has completed the final project for the current course, L232A Game Development, but still has missing submissions — fewer than the required six projects. These need to be completed before progressing to the next course.
Te"&amp;"chnical skills and project quality are good; the student is capable of producing quality work.
However, there are attitude issues that need attention. Mentor is advised to discuss the student’s attitude concerns with the parents.")</f>
        <v>08/10/2025 - [Caleb]
The student has completed the final project for the current course, L232A Game Development, but still has missing submissions — fewer than the required six projects. These need to be completed before progressing to the next course.
Technical skills and project quality are good; the student is capable of producing quality work.
However, there are attitude issues that need attention. Mentor is advised to discuss the student’s attitude concerns with the parents.</v>
      </c>
      <c r="Q83" s="45" t="str">
        <f>IFERROR(__xludf.DUMMYFUNCTION("IFERROR(
  FILTER(
    Remark!D:D,
    Remark!A:A = MAX(FILTER(Remark!A:A, TRIM(Remark!B:B) = TRIM(B83)))
  ),
  """"
)"),"Yes")</f>
        <v>Yes</v>
      </c>
      <c r="R83" s="46" t="str">
        <f t="shared" si="2"/>
        <v>Learning</v>
      </c>
      <c r="S83" s="47"/>
      <c r="T83" s="52" t="s">
        <v>195</v>
      </c>
      <c r="U83" s="49">
        <v>1.0</v>
      </c>
      <c r="V83" s="49">
        <v>1.0</v>
      </c>
      <c r="W83" s="49"/>
      <c r="X83" s="49"/>
      <c r="Y83" s="49"/>
      <c r="Z83" s="49"/>
      <c r="AA83" s="49">
        <f t="shared" si="3"/>
        <v>1</v>
      </c>
    </row>
    <row r="84" ht="26.25" customHeight="1">
      <c r="A84" s="35">
        <v>182.0</v>
      </c>
      <c r="B84" s="48" t="s">
        <v>257</v>
      </c>
      <c r="C84" s="37" t="s">
        <v>76</v>
      </c>
      <c r="D84" s="38">
        <v>45177.0</v>
      </c>
      <c r="E84" s="39"/>
      <c r="F84" s="40" t="s">
        <v>239</v>
      </c>
      <c r="G84" s="41" t="s">
        <v>0</v>
      </c>
      <c r="H84" s="40" t="s">
        <v>91</v>
      </c>
      <c r="I84" s="42">
        <v>46039.0</v>
      </c>
      <c r="J84" s="40" t="s">
        <v>120</v>
      </c>
      <c r="K84" s="43" t="b">
        <v>1</v>
      </c>
      <c r="L84" s="44"/>
      <c r="M84" s="45">
        <f t="shared" si="1"/>
        <v>13</v>
      </c>
      <c r="N84" s="45"/>
      <c r="O84" s="45" t="str">
        <f>IFERROR(__xludf.DUMMYFUNCTION("IFERROR(
  TEXT(
    MAX(FILTER(Remark!A:A, TRIM(Remark!B:B) = TRIM(B84))),
    ""dd/mm/yyyy""
  ) &amp; "" - "" &amp;
  FILTER(
    Remark!C:C,
    TRIM(Remark!B:B) = TRIM(B84),
    Remark!A:A = MAX(FILTER(Remark!A:A, TRIM(Remark!B:B) = TRIM(B84)))
  ),
  """"
)"),"")</f>
        <v/>
      </c>
      <c r="P84" s="45" t="str">
        <f>IFERROR(__xludf.DUMMYFUNCTION("TEXTJOIN(CHAR(10), TRUE, IFERROR(
  FILTER(TEXT(Remark!A:A, ""dd/mm/yyyy"") &amp; "" - "" &amp; Remark!C:C, TRIM(Remark!B:B) = TRIM(B84)),
  """"
))"),"")</f>
        <v/>
      </c>
      <c r="Q84" s="45" t="str">
        <f>IFERROR(__xludf.DUMMYFUNCTION("IFERROR(
  FILTER(
    Remark!D:D,
    Remark!A:A = MAX(FILTER(Remark!A:A, TRIM(Remark!B:B) = TRIM(B84)))
  ),
  """"
)"),"")</f>
        <v/>
      </c>
      <c r="R84" s="46" t="str">
        <f t="shared" si="2"/>
        <v>Learning</v>
      </c>
      <c r="S84" s="47"/>
      <c r="T84" s="48" t="s">
        <v>258</v>
      </c>
      <c r="U84" s="49">
        <v>1.0</v>
      </c>
      <c r="V84" s="49"/>
      <c r="W84" s="49"/>
      <c r="X84" s="49">
        <v>2.0</v>
      </c>
      <c r="Y84" s="49"/>
      <c r="Z84" s="49"/>
      <c r="AA84" s="49">
        <f t="shared" si="3"/>
        <v>2</v>
      </c>
    </row>
    <row r="85" ht="26.25" customHeight="1">
      <c r="A85" s="35">
        <v>300.0</v>
      </c>
      <c r="B85" s="48" t="s">
        <v>259</v>
      </c>
      <c r="C85" s="37" t="s">
        <v>76</v>
      </c>
      <c r="D85" s="54">
        <v>45611.0</v>
      </c>
      <c r="E85" s="39"/>
      <c r="F85" s="40" t="s">
        <v>239</v>
      </c>
      <c r="G85" s="41" t="s">
        <v>0</v>
      </c>
      <c r="H85" s="40" t="s">
        <v>91</v>
      </c>
      <c r="I85" s="42">
        <v>46039.0</v>
      </c>
      <c r="J85" s="40" t="s">
        <v>79</v>
      </c>
      <c r="K85" s="43" t="b">
        <v>1</v>
      </c>
      <c r="L85" s="44"/>
      <c r="M85" s="45">
        <f t="shared" si="1"/>
        <v>13</v>
      </c>
      <c r="N85" s="45"/>
      <c r="O85" s="45" t="str">
        <f>IFERROR(__xludf.DUMMYFUNCTION("IFERROR(
  TEXT(
    MAX(FILTER(Remark!A:A, TRIM(Remark!B:B) = TRIM(B85))),
    ""dd/mm/yyyy""
  ) &amp; "" - "" &amp;
  FILTER(
    Remark!C:C,
    TRIM(Remark!B:B) = TRIM(B85),
    Remark!A:A = MAX(FILTER(Remark!A:A, TRIM(Remark!B:B) = TRIM(B85)))
  ),
  """"
)"),"")</f>
        <v/>
      </c>
      <c r="P85" s="45" t="str">
        <f>IFERROR(__xludf.DUMMYFUNCTION("TEXTJOIN(CHAR(10), TRUE, IFERROR(
  FILTER(TEXT(Remark!A:A, ""dd/mm/yyyy"") &amp; "" - "" &amp; Remark!C:C, TRIM(Remark!B:B) = TRIM(B85)),
  """"
))"),"")</f>
        <v/>
      </c>
      <c r="Q85" s="45" t="str">
        <f>IFERROR(__xludf.DUMMYFUNCTION("IFERROR(
  FILTER(
    Remark!D:D,
    Remark!A:A = MAX(FILTER(Remark!A:A, TRIM(Remark!B:B) = TRIM(B85)))
  ),
  """"
)"),"")</f>
        <v/>
      </c>
      <c r="R85" s="46" t="str">
        <f t="shared" si="2"/>
        <v>Learning</v>
      </c>
      <c r="S85" s="47"/>
      <c r="T85" s="48" t="s">
        <v>260</v>
      </c>
      <c r="U85" s="49">
        <v>1.0</v>
      </c>
      <c r="V85" s="49"/>
      <c r="W85" s="49">
        <v>1.0</v>
      </c>
      <c r="X85" s="49">
        <v>1.0</v>
      </c>
      <c r="Y85" s="49"/>
      <c r="Z85" s="49"/>
      <c r="AA85" s="49">
        <f t="shared" si="3"/>
        <v>2</v>
      </c>
    </row>
    <row r="86" ht="26.25" customHeight="1">
      <c r="A86" s="35">
        <v>352.0</v>
      </c>
      <c r="B86" s="36" t="s">
        <v>261</v>
      </c>
      <c r="C86" s="40" t="s">
        <v>76</v>
      </c>
      <c r="D86" s="54">
        <v>45642.0</v>
      </c>
      <c r="E86" s="51"/>
      <c r="F86" s="40" t="s">
        <v>239</v>
      </c>
      <c r="G86" s="57" t="s">
        <v>0</v>
      </c>
      <c r="H86" s="57" t="s">
        <v>91</v>
      </c>
      <c r="I86" s="58">
        <v>45787.0</v>
      </c>
      <c r="J86" s="57" t="s">
        <v>126</v>
      </c>
      <c r="K86" s="59" t="b">
        <v>1</v>
      </c>
      <c r="L86" s="60"/>
      <c r="M86" s="61">
        <f t="shared" si="1"/>
        <v>49</v>
      </c>
      <c r="N86" s="61"/>
      <c r="O86" s="45" t="str">
        <f>IFERROR(__xludf.DUMMYFUNCTION("IFERROR(
  TEXT(
    MAX(FILTER(Remark!A:A, TRIM(Remark!B:B) = TRIM(B86))),
    ""dd/mm/yyyy""
  ) &amp; "" - "" &amp;
  FILTER(
    Remark!C:C,
    TRIM(Remark!B:B) = TRIM(B86),
    Remark!A:A = MAX(FILTER(Remark!A:A, TRIM(Remark!B:B) = TRIM(B86)))
  ),
  """"
)"),"")</f>
        <v/>
      </c>
      <c r="P86" s="45" t="str">
        <f>IFERROR(__xludf.DUMMYFUNCTION("TEXTJOIN(CHAR(10), TRUE, IFERROR(
  FILTER(TEXT(Remark!A:A, ""dd/mm/yyyy"") &amp; "" - "" &amp; Remark!C:C, TRIM(Remark!B:B) = TRIM(B86)),
  """"
))"),"")</f>
        <v/>
      </c>
      <c r="Q86" s="45" t="str">
        <f>IFERROR(__xludf.DUMMYFUNCTION("IFERROR(
  FILTER(
    Remark!D:D,
    Remark!A:A = MAX(FILTER(Remark!A:A, TRIM(Remark!B:B) = TRIM(B86)))
  ),
  """"
)"),"")</f>
        <v/>
      </c>
      <c r="R86" s="46" t="str">
        <f t="shared" si="2"/>
        <v>Prepare for Showcase</v>
      </c>
      <c r="S86" s="43" t="b">
        <v>1</v>
      </c>
      <c r="T86" s="52" t="s">
        <v>262</v>
      </c>
      <c r="U86" s="62">
        <v>1.0</v>
      </c>
      <c r="V86" s="62"/>
      <c r="W86" s="62"/>
      <c r="X86" s="62">
        <v>1.0</v>
      </c>
      <c r="Y86" s="62"/>
      <c r="Z86" s="62"/>
      <c r="AA86" s="49">
        <f t="shared" si="3"/>
        <v>1</v>
      </c>
    </row>
    <row r="87" ht="26.25" customHeight="1">
      <c r="A87" s="53">
        <v>218.0</v>
      </c>
      <c r="B87" s="36" t="s">
        <v>263</v>
      </c>
      <c r="C87" s="40" t="s">
        <v>76</v>
      </c>
      <c r="D87" s="38">
        <v>45177.0</v>
      </c>
      <c r="E87" s="51"/>
      <c r="F87" s="40" t="s">
        <v>239</v>
      </c>
      <c r="G87" s="40" t="s">
        <v>0</v>
      </c>
      <c r="H87" s="40" t="s">
        <v>109</v>
      </c>
      <c r="I87" s="55">
        <v>45619.0</v>
      </c>
      <c r="J87" s="41" t="s">
        <v>101</v>
      </c>
      <c r="K87" s="43" t="b">
        <v>1</v>
      </c>
      <c r="L87" s="44"/>
      <c r="M87" s="45">
        <f t="shared" si="1"/>
        <v>73</v>
      </c>
      <c r="N87" s="45"/>
      <c r="O87" s="45" t="str">
        <f>IFERROR(__xludf.DUMMYFUNCTION("IFERROR(
  TEXT(
    MAX(FILTER(Remark!A:A, TRIM(Remark!B:B) = TRIM(B87))),
    ""dd/mm/yyyy""
  ) &amp; "" - "" &amp;
  FILTER(
    Remark!C:C,
    TRIM(Remark!B:B) = TRIM(B87),
    Remark!A:A = MAX(FILTER(Remark!A:A, TRIM(Remark!B:B) = TRIM(B87)))
  ),
  """"
)"),"")</f>
        <v/>
      </c>
      <c r="P87" s="45" t="str">
        <f>IFERROR(__xludf.DUMMYFUNCTION("TEXTJOIN(CHAR(10), TRUE, IFERROR(
  FILTER(TEXT(Remark!A:A, ""dd/mm/yyyy"") &amp; "" - "" &amp; Remark!C:C, TRIM(Remark!B:B) = TRIM(B87)),
  """"
))"),"")</f>
        <v/>
      </c>
      <c r="Q87" s="45" t="str">
        <f>IFERROR(__xludf.DUMMYFUNCTION("IFERROR(
  FILTER(
    Remark!D:D,
    Remark!A:A = MAX(FILTER(Remark!A:A, TRIM(Remark!B:B) = TRIM(B87)))
  ),
  """"
)"),"")</f>
        <v/>
      </c>
      <c r="R87" s="46" t="str">
        <f t="shared" si="2"/>
        <v>Prepare for Showcase</v>
      </c>
      <c r="S87" s="43" t="b">
        <v>1</v>
      </c>
      <c r="T87" s="48" t="s">
        <v>264</v>
      </c>
      <c r="U87" s="49">
        <v>2.0</v>
      </c>
      <c r="V87" s="49">
        <v>1.0</v>
      </c>
      <c r="W87" s="49"/>
      <c r="X87" s="49">
        <v>1.0</v>
      </c>
      <c r="Y87" s="49">
        <v>1.0</v>
      </c>
      <c r="Z87" s="49"/>
      <c r="AA87" s="49">
        <f t="shared" si="3"/>
        <v>3</v>
      </c>
    </row>
    <row r="88" ht="26.25" customHeight="1">
      <c r="A88" s="53">
        <v>219.0</v>
      </c>
      <c r="B88" s="50" t="s">
        <v>265</v>
      </c>
      <c r="C88" s="40" t="s">
        <v>76</v>
      </c>
      <c r="D88" s="38">
        <v>45330.0</v>
      </c>
      <c r="E88" s="51"/>
      <c r="F88" s="40" t="s">
        <v>239</v>
      </c>
      <c r="G88" s="40" t="s">
        <v>0</v>
      </c>
      <c r="H88" s="40" t="s">
        <v>109</v>
      </c>
      <c r="I88" s="42">
        <v>45693.0</v>
      </c>
      <c r="J88" s="40" t="s">
        <v>101</v>
      </c>
      <c r="K88" s="43" t="b">
        <v>1</v>
      </c>
      <c r="L88" s="44"/>
      <c r="M88" s="45">
        <f t="shared" si="1"/>
        <v>62</v>
      </c>
      <c r="N88" s="45"/>
      <c r="O88" s="45" t="str">
        <f>IFERROR(__xludf.DUMMYFUNCTION("IFERROR(
  TEXT(
    MAX(FILTER(Remark!A:A, TRIM(Remark!B:B) = TRIM(B88))),
    ""dd/mm/yyyy""
  ) &amp; "" - "" &amp;
  FILTER(
    Remark!C:C,
    TRIM(Remark!B:B) = TRIM(B88),
    Remark!A:A = MAX(FILTER(Remark!A:A, TRIM(Remark!B:B) = TRIM(B88)))
  ),
  """"
)"),"")</f>
        <v/>
      </c>
      <c r="P88" s="45" t="str">
        <f>IFERROR(__xludf.DUMMYFUNCTION("TEXTJOIN(CHAR(10), TRUE, IFERROR(
  FILTER(TEXT(Remark!A:A, ""dd/mm/yyyy"") &amp; "" - "" &amp; Remark!C:C, TRIM(Remark!B:B) = TRIM(B88)),
  """"
))"),"")</f>
        <v/>
      </c>
      <c r="Q88" s="45" t="str">
        <f>IFERROR(__xludf.DUMMYFUNCTION("IFERROR(
  FILTER(
    Remark!D:D,
    Remark!A:A = MAX(FILTER(Remark!A:A, TRIM(Remark!B:B) = TRIM(B88)))
  ),
  """"
)"),"")</f>
        <v/>
      </c>
      <c r="R88" s="46" t="str">
        <f t="shared" si="2"/>
        <v>Prepare for Showcase</v>
      </c>
      <c r="S88" s="43" t="b">
        <v>1</v>
      </c>
      <c r="T88" s="48" t="s">
        <v>266</v>
      </c>
      <c r="U88" s="49">
        <v>1.0</v>
      </c>
      <c r="V88" s="49">
        <v>1.0</v>
      </c>
      <c r="W88" s="49"/>
      <c r="X88" s="49">
        <v>1.0</v>
      </c>
      <c r="Y88" s="49">
        <v>1.0</v>
      </c>
      <c r="Z88" s="49"/>
      <c r="AA88" s="49">
        <f t="shared" si="3"/>
        <v>3</v>
      </c>
    </row>
    <row r="89" ht="26.25" customHeight="1">
      <c r="A89" s="35">
        <v>292.0</v>
      </c>
      <c r="B89" s="56" t="s">
        <v>267</v>
      </c>
      <c r="C89" s="37" t="s">
        <v>76</v>
      </c>
      <c r="D89" s="68">
        <v>45419.0</v>
      </c>
      <c r="E89" s="39"/>
      <c r="F89" s="40" t="s">
        <v>239</v>
      </c>
      <c r="G89" s="41" t="s">
        <v>0</v>
      </c>
      <c r="H89" s="40" t="s">
        <v>109</v>
      </c>
      <c r="I89" s="42">
        <v>45899.0</v>
      </c>
      <c r="J89" s="40" t="s">
        <v>101</v>
      </c>
      <c r="K89" s="43" t="b">
        <v>1</v>
      </c>
      <c r="L89" s="44"/>
      <c r="M89" s="45">
        <f t="shared" si="1"/>
        <v>33</v>
      </c>
      <c r="N89" s="49"/>
      <c r="O89" s="45" t="str">
        <f>IFERROR(__xludf.DUMMYFUNCTION("IFERROR(
  TEXT(
    MAX(FILTER(Remark!A:A, TRIM(Remark!B:B) = TRIM(B89))),
    ""dd/mm/yyyy""
  ) &amp; "" - "" &amp;
  FILTER(
    Remark!C:C,
    TRIM(Remark!B:B) = TRIM(B89),
    Remark!A:A = MAX(FILTER(Remark!A:A, TRIM(Remark!B:B) = TRIM(B89)))
  ),
  """"
)"),"")</f>
        <v/>
      </c>
      <c r="P89" s="45" t="str">
        <f>IFERROR(__xludf.DUMMYFUNCTION("TEXTJOIN(CHAR(10), TRUE, IFERROR(
  FILTER(TEXT(Remark!A:A, ""dd/mm/yyyy"") &amp; "" - "" &amp; Remark!C:C, TRIM(Remark!B:B) = TRIM(B89)),
  """"
))"),"")</f>
        <v/>
      </c>
      <c r="Q89" s="45" t="str">
        <f>IFERROR(__xludf.DUMMYFUNCTION("IFERROR(
  FILTER(
    Remark!D:D,
    Remark!A:A = MAX(FILTER(Remark!A:A, TRIM(Remark!B:B) = TRIM(B89)))
  ),
  """"
)"),"")</f>
        <v/>
      </c>
      <c r="R89" s="46" t="str">
        <f t="shared" si="2"/>
        <v>Starting Final Project</v>
      </c>
      <c r="S89" s="47"/>
      <c r="T89" s="56" t="s">
        <v>268</v>
      </c>
      <c r="U89" s="49">
        <v>2.0</v>
      </c>
      <c r="V89" s="49"/>
      <c r="W89" s="49"/>
      <c r="X89" s="49">
        <v>2.0</v>
      </c>
      <c r="Y89" s="49">
        <v>1.0</v>
      </c>
      <c r="Z89" s="49"/>
      <c r="AA89" s="49">
        <f t="shared" si="3"/>
        <v>3</v>
      </c>
    </row>
    <row r="90" ht="26.25" customHeight="1">
      <c r="A90" s="35">
        <v>293.0</v>
      </c>
      <c r="B90" s="56" t="s">
        <v>269</v>
      </c>
      <c r="C90" s="37" t="s">
        <v>76</v>
      </c>
      <c r="D90" s="38">
        <v>45604.0</v>
      </c>
      <c r="E90" s="39"/>
      <c r="F90" s="40" t="s">
        <v>239</v>
      </c>
      <c r="G90" s="41" t="s">
        <v>0</v>
      </c>
      <c r="H90" s="40" t="s">
        <v>109</v>
      </c>
      <c r="I90" s="42">
        <v>45780.0</v>
      </c>
      <c r="J90" s="41" t="s">
        <v>101</v>
      </c>
      <c r="K90" s="43" t="b">
        <v>1</v>
      </c>
      <c r="L90" s="44"/>
      <c r="M90" s="45">
        <f t="shared" si="1"/>
        <v>50</v>
      </c>
      <c r="N90" s="49"/>
      <c r="O90" s="45" t="str">
        <f>IFERROR(__xludf.DUMMYFUNCTION("IFERROR(
  TEXT(
    MAX(FILTER(Remark!A:A, TRIM(Remark!B:B) = TRIM(B90))),
    ""dd/mm/yyyy""
  ) &amp; "" - "" &amp;
  FILTER(
    Remark!C:C,
    TRIM(Remark!B:B) = TRIM(B90),
    Remark!A:A = MAX(FILTER(Remark!A:A, TRIM(Remark!B:B) = TRIM(B90)))
  ),
  """"
)"),"")</f>
        <v/>
      </c>
      <c r="P90" s="45" t="str">
        <f>IFERROR(__xludf.DUMMYFUNCTION("TEXTJOIN(CHAR(10), TRUE, IFERROR(
  FILTER(TEXT(Remark!A:A, ""dd/mm/yyyy"") &amp; "" - "" &amp; Remark!C:C, TRIM(Remark!B:B) = TRIM(B90)),
  """"
))"),"")</f>
        <v/>
      </c>
      <c r="Q90" s="45" t="str">
        <f>IFERROR(__xludf.DUMMYFUNCTION("IFERROR(
  FILTER(
    Remark!D:D,
    Remark!A:A = MAX(FILTER(Remark!A:A, TRIM(Remark!B:B) = TRIM(B90)))
  ),
  """"
)"),"")</f>
        <v/>
      </c>
      <c r="R90" s="46" t="str">
        <f t="shared" si="2"/>
        <v>Prepare for Showcase</v>
      </c>
      <c r="S90" s="43" t="b">
        <v>1</v>
      </c>
      <c r="T90" s="48" t="s">
        <v>270</v>
      </c>
      <c r="U90" s="49">
        <v>4.0</v>
      </c>
      <c r="V90" s="49">
        <v>1.0</v>
      </c>
      <c r="W90" s="49"/>
      <c r="X90" s="49">
        <v>1.0</v>
      </c>
      <c r="Y90" s="49"/>
      <c r="Z90" s="49"/>
      <c r="AA90" s="49">
        <f t="shared" si="3"/>
        <v>2</v>
      </c>
    </row>
    <row r="91" ht="26.25" customHeight="1">
      <c r="A91" s="72">
        <v>419.0</v>
      </c>
      <c r="B91" s="73" t="s">
        <v>271</v>
      </c>
      <c r="C91" s="40" t="s">
        <v>76</v>
      </c>
      <c r="D91" s="54">
        <v>46034.0</v>
      </c>
      <c r="E91" s="51"/>
      <c r="F91" s="40" t="s">
        <v>239</v>
      </c>
      <c r="G91" s="57" t="s">
        <v>0</v>
      </c>
      <c r="H91" s="57" t="s">
        <v>109</v>
      </c>
      <c r="I91" s="58">
        <v>46037.0</v>
      </c>
      <c r="J91" s="57" t="s">
        <v>101</v>
      </c>
      <c r="K91" s="59" t="b">
        <v>0</v>
      </c>
      <c r="L91" s="44"/>
      <c r="M91" s="61">
        <f t="shared" si="1"/>
        <v>13</v>
      </c>
      <c r="N91" s="62"/>
      <c r="O91" s="45" t="str">
        <f>IFERROR(__xludf.DUMMYFUNCTION("IFERROR(
  TEXT(
    MAX(FILTER(Remark!A:A, TRIM(Remark!B:B) = TRIM(B91))),
    ""dd/mm/yyyy""
  ) &amp; "" - "" &amp;
  FILTER(
    Remark!C:C,
    TRIM(Remark!B:B) = TRIM(B91),
    Remark!A:A = MAX(FILTER(Remark!A:A, TRIM(Remark!B:B) = TRIM(B91)))
  ),
  """"
)"),"")</f>
        <v/>
      </c>
      <c r="P91" s="45" t="str">
        <f>IFERROR(__xludf.DUMMYFUNCTION("TEXTJOIN(CHAR(10), TRUE, IFERROR(
  FILTER(TEXT(Remark!A:A, ""dd/mm/yyyy"") &amp; "" - "" &amp; Remark!C:C, TRIM(Remark!B:B) = TRIM(B91)),
  """"
))"),"")</f>
        <v/>
      </c>
      <c r="Q91" s="45" t="str">
        <f>IFERROR(__xludf.DUMMYFUNCTION("IFERROR(
  FILTER(
    Remark!D:D,
    Remark!A:A = MAX(FILTER(Remark!A:A, TRIM(Remark!B:B) = TRIM(B91)))
  ),
  """"
)"),"")</f>
        <v/>
      </c>
      <c r="R91" s="46" t="str">
        <f t="shared" si="2"/>
        <v>Learning</v>
      </c>
      <c r="S91" s="47"/>
      <c r="T91" s="52" t="s">
        <v>272</v>
      </c>
      <c r="U91" s="62"/>
      <c r="V91" s="62"/>
      <c r="W91" s="62"/>
      <c r="X91" s="62">
        <v>1.0</v>
      </c>
      <c r="Y91" s="62">
        <v>1.0</v>
      </c>
      <c r="Z91" s="62"/>
      <c r="AA91" s="49">
        <f t="shared" si="3"/>
        <v>2</v>
      </c>
    </row>
    <row r="92" ht="26.25" customHeight="1">
      <c r="A92" s="35">
        <v>392.0</v>
      </c>
      <c r="B92" s="36" t="s">
        <v>273</v>
      </c>
      <c r="C92" s="40" t="s">
        <v>76</v>
      </c>
      <c r="D92" s="74">
        <v>45787.0</v>
      </c>
      <c r="E92" s="51"/>
      <c r="F92" s="40" t="s">
        <v>239</v>
      </c>
      <c r="G92" s="57" t="s">
        <v>0</v>
      </c>
      <c r="H92" s="57" t="s">
        <v>123</v>
      </c>
      <c r="I92" s="58">
        <v>45871.0</v>
      </c>
      <c r="J92" s="57" t="s">
        <v>110</v>
      </c>
      <c r="K92" s="59" t="b">
        <v>1</v>
      </c>
      <c r="L92" s="60"/>
      <c r="M92" s="61">
        <f t="shared" si="1"/>
        <v>37</v>
      </c>
      <c r="N92" s="61"/>
      <c r="O92" s="45" t="str">
        <f>IFERROR(__xludf.DUMMYFUNCTION("IFERROR(
  TEXT(
    MAX(FILTER(Remark!A:A, TRIM(Remark!B:B) = TRIM(B92))),
    ""dd/mm/yyyy""
  ) &amp; "" - "" &amp;
  FILTER(
    Remark!C:C,
    TRIM(Remark!B:B) = TRIM(B92),
    Remark!A:A = MAX(FILTER(Remark!A:A, TRIM(Remark!B:B) = TRIM(B92)))
  ),
  """"
)"),"")</f>
        <v/>
      </c>
      <c r="P92" s="45" t="str">
        <f>IFERROR(__xludf.DUMMYFUNCTION("TEXTJOIN(CHAR(10), TRUE, IFERROR(
  FILTER(TEXT(Remark!A:A, ""dd/mm/yyyy"") &amp; "" - "" &amp; Remark!C:C, TRIM(Remark!B:B) = TRIM(B92)),
  """"
))"),"")</f>
        <v/>
      </c>
      <c r="Q92" s="45" t="str">
        <f>IFERROR(__xludf.DUMMYFUNCTION("IFERROR(
  FILTER(
    Remark!D:D,
    Remark!A:A = MAX(FILTER(Remark!A:A, TRIM(Remark!B:B) = TRIM(B92)))
  ),
  """"
)"),"")</f>
        <v/>
      </c>
      <c r="R92" s="46" t="str">
        <f t="shared" si="2"/>
        <v>Starting Final Project</v>
      </c>
      <c r="S92" s="47"/>
      <c r="T92" s="52" t="s">
        <v>274</v>
      </c>
      <c r="U92" s="61">
        <v>1.0</v>
      </c>
      <c r="V92" s="61"/>
      <c r="W92" s="62">
        <v>1.0</v>
      </c>
      <c r="X92" s="62">
        <v>1.0</v>
      </c>
      <c r="Y92" s="62"/>
      <c r="Z92" s="62"/>
      <c r="AA92" s="49">
        <f t="shared" si="3"/>
        <v>2</v>
      </c>
    </row>
    <row r="93" ht="26.25" customHeight="1">
      <c r="A93" s="35">
        <v>395.0</v>
      </c>
      <c r="B93" s="36" t="s">
        <v>275</v>
      </c>
      <c r="C93" s="40" t="s">
        <v>76</v>
      </c>
      <c r="D93" s="54">
        <v>45863.0</v>
      </c>
      <c r="E93" s="51"/>
      <c r="F93" s="40" t="s">
        <v>239</v>
      </c>
      <c r="G93" s="57" t="s">
        <v>0</v>
      </c>
      <c r="H93" s="57" t="s">
        <v>123</v>
      </c>
      <c r="I93" s="58">
        <v>45878.0</v>
      </c>
      <c r="J93" s="57" t="s">
        <v>110</v>
      </c>
      <c r="K93" s="59" t="b">
        <v>1</v>
      </c>
      <c r="L93" s="60"/>
      <c r="M93" s="61">
        <f t="shared" si="1"/>
        <v>36</v>
      </c>
      <c r="N93" s="61"/>
      <c r="O93" s="45" t="str">
        <f>IFERROR(__xludf.DUMMYFUNCTION("IFERROR(
  TEXT(
    MAX(FILTER(Remark!A:A, TRIM(Remark!B:B) = TRIM(B93))),
    ""dd/mm/yyyy""
  ) &amp; "" - "" &amp;
  FILTER(
    Remark!C:C,
    TRIM(Remark!B:B) = TRIM(B93),
    Remark!A:A = MAX(FILTER(Remark!A:A, TRIM(Remark!B:B) = TRIM(B93)))
  ),
  """"
)"),"")</f>
        <v/>
      </c>
      <c r="P93" s="45" t="str">
        <f>IFERROR(__xludf.DUMMYFUNCTION("TEXTJOIN(CHAR(10), TRUE, IFERROR(
  FILTER(TEXT(Remark!A:A, ""dd/mm/yyyy"") &amp; "" - "" &amp; Remark!C:C, TRIM(Remark!B:B) = TRIM(B93)),
  """"
))"),"")</f>
        <v/>
      </c>
      <c r="Q93" s="45" t="str">
        <f>IFERROR(__xludf.DUMMYFUNCTION("IFERROR(
  FILTER(
    Remark!D:D,
    Remark!A:A = MAX(FILTER(Remark!A:A, TRIM(Remark!B:B) = TRIM(B93)))
  ),
  """"
)"),"")</f>
        <v/>
      </c>
      <c r="R93" s="46" t="str">
        <f t="shared" si="2"/>
        <v>Starting Final Project</v>
      </c>
      <c r="S93" s="47"/>
      <c r="T93" s="52" t="s">
        <v>276</v>
      </c>
      <c r="U93" s="61">
        <v>1.0</v>
      </c>
      <c r="V93" s="61"/>
      <c r="W93" s="61"/>
      <c r="X93" s="62">
        <v>2.0</v>
      </c>
      <c r="Y93" s="62"/>
      <c r="Z93" s="62"/>
      <c r="AA93" s="49">
        <f t="shared" si="3"/>
        <v>2</v>
      </c>
    </row>
    <row r="94" ht="26.25" customHeight="1">
      <c r="A94" s="66">
        <v>450.0</v>
      </c>
      <c r="B94" s="36" t="s">
        <v>277</v>
      </c>
      <c r="C94" s="40" t="s">
        <v>76</v>
      </c>
      <c r="D94" s="38">
        <v>46058.0</v>
      </c>
      <c r="E94" s="51"/>
      <c r="F94" s="40" t="s">
        <v>239</v>
      </c>
      <c r="G94" s="57" t="s">
        <v>0</v>
      </c>
      <c r="H94" s="57" t="s">
        <v>123</v>
      </c>
      <c r="I94" s="58">
        <v>46060.0</v>
      </c>
      <c r="J94" s="57" t="s">
        <v>110</v>
      </c>
      <c r="K94" s="59" t="b">
        <v>0</v>
      </c>
      <c r="L94" s="60"/>
      <c r="M94" s="61">
        <f t="shared" si="1"/>
        <v>10</v>
      </c>
      <c r="N94" s="61"/>
      <c r="O94" s="45" t="str">
        <f>IFERROR(__xludf.DUMMYFUNCTION("IFERROR(
  TEXT(
    MAX(FILTER(Remark!A:A, TRIM(Remark!B:B) = TRIM(B94))),
    ""dd/mm/yyyy""
  ) &amp; "" - "" &amp;
  FILTER(
    Remark!C:C,
    TRIM(Remark!B:B) = TRIM(B94),
    Remark!A:A = MAX(FILTER(Remark!A:A, TRIM(Remark!B:B) = TRIM(B94)))
  ),
  """"
)"),"")</f>
        <v/>
      </c>
      <c r="P94" s="45" t="str">
        <f>IFERROR(__xludf.DUMMYFUNCTION("TEXTJOIN(CHAR(10), TRUE, IFERROR(
  FILTER(TEXT(Remark!A:A, ""dd/mm/yyyy"") &amp; "" - "" &amp; Remark!C:C, TRIM(Remark!B:B) = TRIM(B94)),
  """"
))"),"")</f>
        <v/>
      </c>
      <c r="Q94" s="45" t="str">
        <f>IFERROR(__xludf.DUMMYFUNCTION("IFERROR(
  FILTER(
    Remark!D:D,
    Remark!A:A = MAX(FILTER(Remark!A:A, TRIM(Remark!B:B) = TRIM(B94)))
  ),
  """"
)"),"")</f>
        <v/>
      </c>
      <c r="R94" s="46" t="str">
        <f t="shared" si="2"/>
        <v>Learning</v>
      </c>
      <c r="S94" s="47" t="b">
        <v>0</v>
      </c>
      <c r="T94" s="52" t="s">
        <v>247</v>
      </c>
      <c r="U94" s="62"/>
      <c r="V94" s="62"/>
      <c r="W94" s="62"/>
      <c r="X94" s="62">
        <v>2.0</v>
      </c>
      <c r="Y94" s="62"/>
      <c r="Z94" s="62"/>
      <c r="AA94" s="49">
        <f t="shared" si="3"/>
        <v>2</v>
      </c>
    </row>
    <row r="95" ht="26.25" customHeight="1">
      <c r="A95" s="66">
        <v>472.0</v>
      </c>
      <c r="B95" s="75" t="s">
        <v>278</v>
      </c>
      <c r="C95" s="40" t="s">
        <v>76</v>
      </c>
      <c r="D95" s="69">
        <v>46116.0</v>
      </c>
      <c r="E95" s="51"/>
      <c r="F95" s="40" t="s">
        <v>239</v>
      </c>
      <c r="G95" s="40" t="s">
        <v>0</v>
      </c>
      <c r="H95" s="40" t="s">
        <v>123</v>
      </c>
      <c r="I95" s="42">
        <v>46116.0</v>
      </c>
      <c r="J95" s="40" t="s">
        <v>110</v>
      </c>
      <c r="K95" s="43" t="b">
        <v>0</v>
      </c>
      <c r="L95" s="44"/>
      <c r="M95" s="45">
        <f t="shared" si="1"/>
        <v>2</v>
      </c>
      <c r="N95" s="45"/>
      <c r="O95" s="45" t="str">
        <f>IFERROR(__xludf.DUMMYFUNCTION("IFERROR(
  TEXT(
    MAX(FILTER(Remark!A:A, TRIM(Remark!B:B) = TRIM(B95))),
    ""dd/mm/yyyy""
  ) &amp; "" - "" &amp;
  FILTER(
    Remark!C:C,
    TRIM(Remark!B:B) = TRIM(B95),
    Remark!A:A = MAX(FILTER(Remark!A:A, TRIM(Remark!B:B) = TRIM(B95)))
  ),
  """"
)"),"")</f>
        <v/>
      </c>
      <c r="P95" s="45" t="str">
        <f>IFERROR(__xludf.DUMMYFUNCTION("TEXTJOIN(CHAR(10), TRUE, IFERROR(
  FILTER(TEXT(Remark!A:A, ""dd/mm/yyyy"") &amp; "" - "" &amp; Remark!C:C, TRIM(Remark!B:B) = TRIM(B95)),
  """"
))"),"")</f>
        <v/>
      </c>
      <c r="Q95" s="45" t="str">
        <f>IFERROR(__xludf.DUMMYFUNCTION("IFERROR(
  FILTER(
    Remark!D:D,
    Remark!A:A = MAX(FILTER(Remark!A:A, TRIM(Remark!B:B) = TRIM(B95)))
  ),
  """"
)"),"")</f>
        <v/>
      </c>
      <c r="R95" s="46" t="str">
        <f t="shared" si="2"/>
        <v>Learning</v>
      </c>
      <c r="S95" s="47" t="b">
        <v>0</v>
      </c>
      <c r="T95" s="48" t="s">
        <v>279</v>
      </c>
      <c r="U95" s="49"/>
      <c r="V95" s="49"/>
      <c r="W95" s="49"/>
      <c r="X95" s="49"/>
      <c r="Y95" s="49"/>
      <c r="Z95" s="49"/>
      <c r="AA95" s="49">
        <f t="shared" si="3"/>
        <v>0</v>
      </c>
    </row>
    <row r="96" ht="26.25" customHeight="1">
      <c r="A96" s="66">
        <v>473.0</v>
      </c>
      <c r="B96" s="75" t="s">
        <v>280</v>
      </c>
      <c r="C96" s="40" t="s">
        <v>76</v>
      </c>
      <c r="D96" s="69">
        <v>46116.0</v>
      </c>
      <c r="E96" s="51"/>
      <c r="F96" s="40" t="s">
        <v>239</v>
      </c>
      <c r="G96" s="40" t="s">
        <v>0</v>
      </c>
      <c r="H96" s="40" t="s">
        <v>123</v>
      </c>
      <c r="I96" s="42">
        <v>46116.0</v>
      </c>
      <c r="J96" s="40" t="s">
        <v>110</v>
      </c>
      <c r="K96" s="43" t="b">
        <v>0</v>
      </c>
      <c r="L96" s="44"/>
      <c r="M96" s="45">
        <f t="shared" si="1"/>
        <v>2</v>
      </c>
      <c r="N96" s="45"/>
      <c r="O96" s="45" t="str">
        <f>IFERROR(__xludf.DUMMYFUNCTION("IFERROR(
  TEXT(
    MAX(FILTER(Remark!A:A, TRIM(Remark!B:B) = TRIM(B96))),
    ""dd/mm/yyyy""
  ) &amp; "" - "" &amp;
  FILTER(
    Remark!C:C,
    TRIM(Remark!B:B) = TRIM(B96),
    Remark!A:A = MAX(FILTER(Remark!A:A, TRIM(Remark!B:B) = TRIM(B96)))
  ),
  """"
)"),"")</f>
        <v/>
      </c>
      <c r="P96" s="45" t="str">
        <f>IFERROR(__xludf.DUMMYFUNCTION("TEXTJOIN(CHAR(10), TRUE, IFERROR(
  FILTER(TEXT(Remark!A:A, ""dd/mm/yyyy"") &amp; "" - "" &amp; Remark!C:C, TRIM(Remark!B:B) = TRIM(B96)),
  """"
))"),"")</f>
        <v/>
      </c>
      <c r="Q96" s="45" t="str">
        <f>IFERROR(__xludf.DUMMYFUNCTION("IFERROR(
  FILTER(
    Remark!D:D,
    Remark!A:A = MAX(FILTER(Remark!A:A, TRIM(Remark!B:B) = TRIM(B96)))
  ),
  """"
)"),"")</f>
        <v/>
      </c>
      <c r="R96" s="46" t="str">
        <f t="shared" si="2"/>
        <v>Learning</v>
      </c>
      <c r="S96" s="47" t="b">
        <v>0</v>
      </c>
      <c r="T96" s="48" t="s">
        <v>279</v>
      </c>
      <c r="U96" s="49"/>
      <c r="V96" s="49"/>
      <c r="W96" s="49"/>
      <c r="X96" s="49"/>
      <c r="Y96" s="49"/>
      <c r="Z96" s="49"/>
      <c r="AA96" s="49">
        <f t="shared" si="3"/>
        <v>0</v>
      </c>
    </row>
    <row r="97" ht="26.25" customHeight="1">
      <c r="A97" s="66">
        <v>474.0</v>
      </c>
      <c r="B97" s="75" t="s">
        <v>281</v>
      </c>
      <c r="C97" s="40" t="s">
        <v>76</v>
      </c>
      <c r="D97" s="69">
        <v>46116.0</v>
      </c>
      <c r="E97" s="51"/>
      <c r="F97" s="40" t="s">
        <v>239</v>
      </c>
      <c r="G97" s="40" t="s">
        <v>0</v>
      </c>
      <c r="H97" s="40" t="s">
        <v>123</v>
      </c>
      <c r="I97" s="42">
        <v>46116.0</v>
      </c>
      <c r="J97" s="40" t="s">
        <v>110</v>
      </c>
      <c r="K97" s="43" t="b">
        <v>0</v>
      </c>
      <c r="L97" s="44"/>
      <c r="M97" s="45">
        <f t="shared" si="1"/>
        <v>2</v>
      </c>
      <c r="N97" s="45"/>
      <c r="O97" s="45" t="str">
        <f>IFERROR(__xludf.DUMMYFUNCTION("IFERROR(
  TEXT(
    MAX(FILTER(Remark!A:A, TRIM(Remark!B:B) = TRIM(B97))),
    ""dd/mm/yyyy""
  ) &amp; "" - "" &amp;
  FILTER(
    Remark!C:C,
    TRIM(Remark!B:B) = TRIM(B97),
    Remark!A:A = MAX(FILTER(Remark!A:A, TRIM(Remark!B:B) = TRIM(B97)))
  ),
  """"
)"),"")</f>
        <v/>
      </c>
      <c r="P97" s="45" t="str">
        <f>IFERROR(__xludf.DUMMYFUNCTION("TEXTJOIN(CHAR(10), TRUE, IFERROR(
  FILTER(TEXT(Remark!A:A, ""dd/mm/yyyy"") &amp; "" - "" &amp; Remark!C:C, TRIM(Remark!B:B) = TRIM(B97)),
  """"
))"),"")</f>
        <v/>
      </c>
      <c r="Q97" s="45" t="str">
        <f>IFERROR(__xludf.DUMMYFUNCTION("IFERROR(
  FILTER(
    Remark!D:D,
    Remark!A:A = MAX(FILTER(Remark!A:A, TRIM(Remark!B:B) = TRIM(B97)))
  ),
  """"
)"),"")</f>
        <v/>
      </c>
      <c r="R97" s="46" t="str">
        <f t="shared" si="2"/>
        <v>Learning</v>
      </c>
      <c r="S97" s="47" t="b">
        <v>0</v>
      </c>
      <c r="T97" s="48" t="s">
        <v>279</v>
      </c>
      <c r="U97" s="49"/>
      <c r="V97" s="49"/>
      <c r="W97" s="49"/>
      <c r="X97" s="49"/>
      <c r="Y97" s="49"/>
      <c r="Z97" s="49"/>
      <c r="AA97" s="49">
        <f t="shared" si="3"/>
        <v>0</v>
      </c>
    </row>
    <row r="98" ht="26.25" customHeight="1">
      <c r="A98" s="35">
        <v>125.0</v>
      </c>
      <c r="B98" s="50" t="s">
        <v>282</v>
      </c>
      <c r="C98" s="37" t="s">
        <v>76</v>
      </c>
      <c r="D98" s="38">
        <v>44961.0</v>
      </c>
      <c r="E98" s="39"/>
      <c r="F98" s="40" t="s">
        <v>283</v>
      </c>
      <c r="G98" s="41" t="s">
        <v>0</v>
      </c>
      <c r="H98" s="40" t="s">
        <v>78</v>
      </c>
      <c r="I98" s="42">
        <v>46032.0</v>
      </c>
      <c r="J98" s="40" t="s">
        <v>79</v>
      </c>
      <c r="K98" s="43" t="b">
        <v>1</v>
      </c>
      <c r="L98" s="44"/>
      <c r="M98" s="45">
        <f t="shared" si="1"/>
        <v>14</v>
      </c>
      <c r="N98" s="45"/>
      <c r="O98" s="45" t="str">
        <f>IFERROR(__xludf.DUMMYFUNCTION("IFERROR(
  TEXT(
    MAX(FILTER(Remark!A:A, TRIM(Remark!B:B) = TRIM(B98))),
    ""dd/mm/yyyy""
  ) &amp; "" - "" &amp;
  FILTER(
    Remark!C:C,
    TRIM(Remark!B:B) = TRIM(B98),
    Remark!A:A = MAX(FILTER(Remark!A:A, TRIM(Remark!B:B) = TRIM(B98)))
  ),
  """"
)"),"")</f>
        <v/>
      </c>
      <c r="P98" s="45" t="str">
        <f>IFERROR(__xludf.DUMMYFUNCTION("TEXTJOIN(CHAR(10), TRUE, IFERROR(
  FILTER(TEXT(Remark!A:A, ""dd/mm/yyyy"") &amp; "" - "" &amp; Remark!C:C, TRIM(Remark!B:B) = TRIM(B98)),
  """"
))"),"")</f>
        <v/>
      </c>
      <c r="Q98" s="45" t="str">
        <f>IFERROR(__xludf.DUMMYFUNCTION("IFERROR(
  FILTER(
    Remark!D:D,
    Remark!A:A = MAX(FILTER(Remark!A:A, TRIM(Remark!B:B) = TRIM(B98)))
  ),
  """"
)"),"")</f>
        <v/>
      </c>
      <c r="R98" s="46" t="str">
        <f t="shared" si="2"/>
        <v>Learning</v>
      </c>
      <c r="S98" s="47"/>
      <c r="T98" s="56" t="s">
        <v>284</v>
      </c>
      <c r="U98" s="49">
        <v>4.0</v>
      </c>
      <c r="V98" s="49">
        <v>1.0</v>
      </c>
      <c r="W98" s="49"/>
      <c r="X98" s="49"/>
      <c r="Y98" s="49"/>
      <c r="Z98" s="49"/>
      <c r="AA98" s="49">
        <f t="shared" si="3"/>
        <v>1</v>
      </c>
    </row>
    <row r="99" ht="26.25" customHeight="1">
      <c r="A99" s="35">
        <v>194.0</v>
      </c>
      <c r="B99" s="48" t="s">
        <v>285</v>
      </c>
      <c r="C99" s="37" t="s">
        <v>76</v>
      </c>
      <c r="D99" s="54">
        <v>45224.0</v>
      </c>
      <c r="E99" s="39"/>
      <c r="F99" s="40" t="s">
        <v>283</v>
      </c>
      <c r="G99" s="41" t="s">
        <v>0</v>
      </c>
      <c r="H99" s="40" t="s">
        <v>78</v>
      </c>
      <c r="I99" s="42">
        <v>45857.0</v>
      </c>
      <c r="J99" s="40" t="s">
        <v>79</v>
      </c>
      <c r="K99" s="43" t="b">
        <v>1</v>
      </c>
      <c r="L99" s="44"/>
      <c r="M99" s="45">
        <f t="shared" si="1"/>
        <v>39</v>
      </c>
      <c r="N99" s="49" t="s">
        <v>286</v>
      </c>
      <c r="O99" s="45" t="str">
        <f>IFERROR(__xludf.DUMMYFUNCTION("IFERROR(
  TEXT(
    MAX(FILTER(Remark!A:A, TRIM(Remark!B:B) = TRIM(B99))),
    ""dd/mm/yyyy""
  ) &amp; "" - "" &amp;
  FILTER(
    Remark!C:C,
    TRIM(Remark!B:B) = TRIM(B99),
    Remark!A:A = MAX(FILTER(Remark!A:A, TRIM(Remark!B:B) = TRIM(B99)))
  ),
  """"
)"),"")</f>
        <v/>
      </c>
      <c r="P99" s="45" t="str">
        <f>IFERROR(__xludf.DUMMYFUNCTION("TEXTJOIN(CHAR(10), TRUE, IFERROR(
  FILTER(TEXT(Remark!A:A, ""dd/mm/yyyy"") &amp; "" - "" &amp; Remark!C:C, TRIM(Remark!B:B) = TRIM(B99)),
  """"
))"),"")</f>
        <v/>
      </c>
      <c r="Q99" s="45" t="str">
        <f>IFERROR(__xludf.DUMMYFUNCTION("IFERROR(
  FILTER(
    Remark!D:D,
    Remark!A:A = MAX(FILTER(Remark!A:A, TRIM(Remark!B:B) = TRIM(B99)))
  ),
  """"
)"),"")</f>
        <v/>
      </c>
      <c r="R99" s="46" t="str">
        <f t="shared" si="2"/>
        <v>Starting Final Project</v>
      </c>
      <c r="S99" s="43" t="b">
        <v>1</v>
      </c>
      <c r="T99" s="48" t="s">
        <v>287</v>
      </c>
      <c r="U99" s="49">
        <v>1.0</v>
      </c>
      <c r="V99" s="49"/>
      <c r="W99" s="49">
        <v>1.0</v>
      </c>
      <c r="X99" s="49"/>
      <c r="Y99" s="49"/>
      <c r="Z99" s="49"/>
      <c r="AA99" s="49">
        <f t="shared" si="3"/>
        <v>1</v>
      </c>
    </row>
    <row r="100" ht="26.25" customHeight="1">
      <c r="A100" s="35">
        <v>308.0</v>
      </c>
      <c r="B100" s="36" t="s">
        <v>288</v>
      </c>
      <c r="C100" s="40" t="s">
        <v>76</v>
      </c>
      <c r="D100" s="54">
        <v>45677.0</v>
      </c>
      <c r="E100" s="51"/>
      <c r="F100" s="40" t="s">
        <v>283</v>
      </c>
      <c r="G100" s="40" t="s">
        <v>0</v>
      </c>
      <c r="H100" s="40" t="s">
        <v>78</v>
      </c>
      <c r="I100" s="42">
        <v>45693.0</v>
      </c>
      <c r="J100" s="41" t="s">
        <v>159</v>
      </c>
      <c r="K100" s="43" t="b">
        <v>0</v>
      </c>
      <c r="L100" s="44" t="s">
        <v>289</v>
      </c>
      <c r="M100" s="45">
        <f t="shared" si="1"/>
        <v>62</v>
      </c>
      <c r="N100" s="45"/>
      <c r="O100" s="45" t="str">
        <f>IFERROR(__xludf.DUMMYFUNCTION("IFERROR(
  TEXT(
    MAX(FILTER(Remark!A:A, TRIM(Remark!B:B) = TRIM(B100))),
    ""dd/mm/yyyy""
  ) &amp; "" - "" &amp;
  FILTER(
    Remark!C:C,
    TRIM(Remark!B:B) = TRIM(B100),
    Remark!A:A = MAX(FILTER(Remark!A:A, TRIM(Remark!B:B) = TRIM(B100)))
  ),
  """&amp;"""
)"),"")</f>
        <v/>
      </c>
      <c r="P100" s="45" t="str">
        <f>IFERROR(__xludf.DUMMYFUNCTION("TEXTJOIN(CHAR(10), TRUE, IFERROR(
  FILTER(TEXT(Remark!A:A, ""dd/mm/yyyy"") &amp; "" - "" &amp; Remark!C:C, TRIM(Remark!B:B) = TRIM(B100)),
  """"
))"),"")</f>
        <v/>
      </c>
      <c r="Q100" s="45" t="str">
        <f>IFERROR(__xludf.DUMMYFUNCTION("IFERROR(
  FILTER(
    Remark!D:D,
    Remark!A:A = MAX(FILTER(Remark!A:A, TRIM(Remark!B:B) = TRIM(B100)))
  ),
  """"
)"),"")</f>
        <v/>
      </c>
      <c r="R100" s="46" t="str">
        <f t="shared" si="2"/>
        <v>Prepare for Showcase</v>
      </c>
      <c r="S100" s="43" t="b">
        <v>1</v>
      </c>
      <c r="T100" s="48" t="s">
        <v>290</v>
      </c>
      <c r="U100" s="49">
        <v>1.0</v>
      </c>
      <c r="V100" s="49"/>
      <c r="W100" s="49"/>
      <c r="X100" s="49">
        <v>1.0</v>
      </c>
      <c r="Y100" s="49"/>
      <c r="Z100" s="49"/>
      <c r="AA100" s="49">
        <f t="shared" si="3"/>
        <v>1</v>
      </c>
    </row>
    <row r="101" ht="26.25" customHeight="1">
      <c r="A101" s="35">
        <v>402.0</v>
      </c>
      <c r="B101" s="36" t="s">
        <v>291</v>
      </c>
      <c r="C101" s="40" t="s">
        <v>76</v>
      </c>
      <c r="D101" s="54">
        <v>45950.0</v>
      </c>
      <c r="E101" s="51"/>
      <c r="F101" s="40" t="s">
        <v>283</v>
      </c>
      <c r="G101" s="40" t="s">
        <v>0</v>
      </c>
      <c r="H101" s="40" t="s">
        <v>78</v>
      </c>
      <c r="I101" s="42">
        <v>45962.0</v>
      </c>
      <c r="J101" s="40" t="s">
        <v>101</v>
      </c>
      <c r="K101" s="43" t="b">
        <v>0</v>
      </c>
      <c r="L101" s="44"/>
      <c r="M101" s="45">
        <f t="shared" si="1"/>
        <v>24</v>
      </c>
      <c r="N101" s="45"/>
      <c r="O101" s="45" t="str">
        <f>IFERROR(__xludf.DUMMYFUNCTION("IFERROR(
  TEXT(
    MAX(FILTER(Remark!A:A, TRIM(Remark!B:B) = TRIM(B101))),
    ""dd/mm/yyyy""
  ) &amp; "" - "" &amp;
  FILTER(
    Remark!C:C,
    TRIM(Remark!B:B) = TRIM(B101),
    Remark!A:A = MAX(FILTER(Remark!A:A, TRIM(Remark!B:B) = TRIM(B101)))
  ),
  """&amp;"""
)"),"")</f>
        <v/>
      </c>
      <c r="P101" s="45" t="str">
        <f>IFERROR(__xludf.DUMMYFUNCTION("TEXTJOIN(CHAR(10), TRUE, IFERROR(
  FILTER(TEXT(Remark!A:A, ""dd/mm/yyyy"") &amp; "" - "" &amp; Remark!C:C, TRIM(Remark!B:B) = TRIM(B101)),
  """"
))"),"")</f>
        <v/>
      </c>
      <c r="Q101" s="45" t="str">
        <f>IFERROR(__xludf.DUMMYFUNCTION("IFERROR(
  FILTER(
    Remark!D:D,
    Remark!A:A = MAX(FILTER(Remark!A:A, TRIM(Remark!B:B) = TRIM(B101)))
  ),
  """"
)"),"")</f>
        <v/>
      </c>
      <c r="R101" s="46" t="str">
        <f t="shared" si="2"/>
        <v>Learning</v>
      </c>
      <c r="S101" s="47"/>
      <c r="T101" s="48" t="s">
        <v>292</v>
      </c>
      <c r="U101" s="49">
        <v>2.0</v>
      </c>
      <c r="V101" s="49">
        <v>1.0</v>
      </c>
      <c r="W101" s="49"/>
      <c r="X101" s="49">
        <v>1.0</v>
      </c>
      <c r="Y101" s="49"/>
      <c r="Z101" s="49"/>
      <c r="AA101" s="49">
        <f t="shared" si="3"/>
        <v>2</v>
      </c>
    </row>
    <row r="102" ht="26.25" customHeight="1">
      <c r="A102" s="35">
        <v>403.0</v>
      </c>
      <c r="B102" s="36" t="s">
        <v>293</v>
      </c>
      <c r="C102" s="40" t="s">
        <v>76</v>
      </c>
      <c r="D102" s="54">
        <v>45950.0</v>
      </c>
      <c r="E102" s="51"/>
      <c r="F102" s="40" t="s">
        <v>283</v>
      </c>
      <c r="G102" s="40" t="s">
        <v>0</v>
      </c>
      <c r="H102" s="40" t="s">
        <v>78</v>
      </c>
      <c r="I102" s="42">
        <v>45962.0</v>
      </c>
      <c r="J102" s="40" t="s">
        <v>110</v>
      </c>
      <c r="K102" s="43" t="b">
        <v>0</v>
      </c>
      <c r="L102" s="44"/>
      <c r="M102" s="45">
        <f t="shared" si="1"/>
        <v>24</v>
      </c>
      <c r="N102" s="45"/>
      <c r="O102" s="45" t="str">
        <f>IFERROR(__xludf.DUMMYFUNCTION("IFERROR(
  TEXT(
    MAX(FILTER(Remark!A:A, TRIM(Remark!B:B) = TRIM(B102))),
    ""dd/mm/yyyy""
  ) &amp; "" - "" &amp;
  FILTER(
    Remark!C:C,
    TRIM(Remark!B:B) = TRIM(B102),
    Remark!A:A = MAX(FILTER(Remark!A:A, TRIM(Remark!B:B) = TRIM(B102)))
  ),
  """&amp;"""
)"),"")</f>
        <v/>
      </c>
      <c r="P102" s="45" t="str">
        <f>IFERROR(__xludf.DUMMYFUNCTION("TEXTJOIN(CHAR(10), TRUE, IFERROR(
  FILTER(TEXT(Remark!A:A, ""dd/mm/yyyy"") &amp; "" - "" &amp; Remark!C:C, TRIM(Remark!B:B) = TRIM(B102)),
  """"
))"),"")</f>
        <v/>
      </c>
      <c r="Q102" s="45" t="str">
        <f>IFERROR(__xludf.DUMMYFUNCTION("IFERROR(
  FILTER(
    Remark!D:D,
    Remark!A:A = MAX(FILTER(Remark!A:A, TRIM(Remark!B:B) = TRIM(B102)))
  ),
  """"
)"),"")</f>
        <v/>
      </c>
      <c r="R102" s="46" t="str">
        <f t="shared" si="2"/>
        <v>Learning</v>
      </c>
      <c r="S102" s="47"/>
      <c r="T102" s="48" t="s">
        <v>292</v>
      </c>
      <c r="U102" s="49">
        <v>1.0</v>
      </c>
      <c r="V102" s="49">
        <v>1.0</v>
      </c>
      <c r="W102" s="49">
        <v>1.0</v>
      </c>
      <c r="X102" s="49">
        <v>1.0</v>
      </c>
      <c r="Y102" s="49"/>
      <c r="Z102" s="49"/>
      <c r="AA102" s="49">
        <f t="shared" si="3"/>
        <v>3</v>
      </c>
    </row>
    <row r="103" ht="26.25" customHeight="1">
      <c r="A103" s="35">
        <v>404.0</v>
      </c>
      <c r="B103" s="36" t="s">
        <v>294</v>
      </c>
      <c r="C103" s="40" t="s">
        <v>76</v>
      </c>
      <c r="D103" s="54">
        <v>45950.0</v>
      </c>
      <c r="E103" s="51"/>
      <c r="F103" s="40" t="s">
        <v>283</v>
      </c>
      <c r="G103" s="40" t="s">
        <v>0</v>
      </c>
      <c r="H103" s="40" t="s">
        <v>78</v>
      </c>
      <c r="I103" s="42">
        <v>45962.0</v>
      </c>
      <c r="J103" s="40" t="s">
        <v>110</v>
      </c>
      <c r="K103" s="43" t="b">
        <v>0</v>
      </c>
      <c r="L103" s="44"/>
      <c r="M103" s="45">
        <f t="shared" si="1"/>
        <v>24</v>
      </c>
      <c r="N103" s="45"/>
      <c r="O103" s="45" t="str">
        <f>IFERROR(__xludf.DUMMYFUNCTION("IFERROR(
  TEXT(
    MAX(FILTER(Remark!A:A, TRIM(Remark!B:B) = TRIM(B103))),
    ""dd/mm/yyyy""
  ) &amp; "" - "" &amp;
  FILTER(
    Remark!C:C,
    TRIM(Remark!B:B) = TRIM(B103),
    Remark!A:A = MAX(FILTER(Remark!A:A, TRIM(Remark!B:B) = TRIM(B103)))
  ),
  """&amp;"""
)"),"")</f>
        <v/>
      </c>
      <c r="P103" s="45" t="str">
        <f>IFERROR(__xludf.DUMMYFUNCTION("TEXTJOIN(CHAR(10), TRUE, IFERROR(
  FILTER(TEXT(Remark!A:A, ""dd/mm/yyyy"") &amp; "" - "" &amp; Remark!C:C, TRIM(Remark!B:B) = TRIM(B103)),
  """"
))"),"")</f>
        <v/>
      </c>
      <c r="Q103" s="45" t="str">
        <f>IFERROR(__xludf.DUMMYFUNCTION("IFERROR(
  FILTER(
    Remark!D:D,
    Remark!A:A = MAX(FILTER(Remark!A:A, TRIM(Remark!B:B) = TRIM(B103)))
  ),
  """"
)"),"")</f>
        <v/>
      </c>
      <c r="R103" s="46" t="str">
        <f t="shared" si="2"/>
        <v>Learning</v>
      </c>
      <c r="S103" s="47"/>
      <c r="T103" s="48" t="s">
        <v>292</v>
      </c>
      <c r="U103" s="49">
        <v>1.0</v>
      </c>
      <c r="V103" s="49">
        <v>1.0</v>
      </c>
      <c r="W103" s="49">
        <v>1.0</v>
      </c>
      <c r="X103" s="49">
        <v>1.0</v>
      </c>
      <c r="Y103" s="49"/>
      <c r="Z103" s="49"/>
      <c r="AA103" s="49">
        <f t="shared" si="3"/>
        <v>3</v>
      </c>
    </row>
    <row r="104" ht="26.25" customHeight="1">
      <c r="A104" s="35">
        <v>56.0</v>
      </c>
      <c r="B104" s="48" t="s">
        <v>295</v>
      </c>
      <c r="C104" s="40" t="s">
        <v>76</v>
      </c>
      <c r="D104" s="54">
        <v>44428.0</v>
      </c>
      <c r="E104" s="69"/>
      <c r="F104" s="40" t="s">
        <v>283</v>
      </c>
      <c r="G104" s="41" t="s">
        <v>0</v>
      </c>
      <c r="H104" s="40" t="s">
        <v>91</v>
      </c>
      <c r="I104" s="42">
        <v>46032.0</v>
      </c>
      <c r="J104" s="40" t="s">
        <v>186</v>
      </c>
      <c r="K104" s="43" t="b">
        <v>0</v>
      </c>
      <c r="L104" s="44"/>
      <c r="M104" s="45">
        <f t="shared" si="1"/>
        <v>14</v>
      </c>
      <c r="N104" s="49"/>
      <c r="O104" s="45" t="str">
        <f>IFERROR(__xludf.DUMMYFUNCTION("IFERROR(
  TEXT(
    MAX(FILTER(Remark!A:A, TRIM(Remark!B:B) = TRIM(B104))),
    ""dd/mm/yyyy""
  ) &amp; "" - "" &amp;
  FILTER(
    Remark!C:C,
    TRIM(Remark!B:B) = TRIM(B104),
    Remark!A:A = MAX(FILTER(Remark!A:A, TRIM(Remark!B:B) = TRIM(B104)))
  ),
  """&amp;"""
)"),"")</f>
        <v/>
      </c>
      <c r="P104" s="45" t="str">
        <f>IFERROR(__xludf.DUMMYFUNCTION("TEXTJOIN(CHAR(10), TRUE, IFERROR(
  FILTER(TEXT(Remark!A:A, ""dd/mm/yyyy"") &amp; "" - "" &amp; Remark!C:C, TRIM(Remark!B:B) = TRIM(B104)),
  """"
))"),"")</f>
        <v/>
      </c>
      <c r="Q104" s="45" t="str">
        <f>IFERROR(__xludf.DUMMYFUNCTION("IFERROR(
  FILTER(
    Remark!D:D,
    Remark!A:A = MAX(FILTER(Remark!A:A, TRIM(Remark!B:B) = TRIM(B104)))
  ),
  """"
)"),"")</f>
        <v/>
      </c>
      <c r="R104" s="46" t="str">
        <f t="shared" si="2"/>
        <v>Learning</v>
      </c>
      <c r="S104" s="47"/>
      <c r="T104" s="56" t="s">
        <v>296</v>
      </c>
      <c r="U104" s="49">
        <v>1.0</v>
      </c>
      <c r="V104" s="49"/>
      <c r="W104" s="49"/>
      <c r="X104" s="49">
        <v>1.0</v>
      </c>
      <c r="Y104" s="49"/>
      <c r="Z104" s="49"/>
      <c r="AA104" s="49">
        <f t="shared" si="3"/>
        <v>1</v>
      </c>
    </row>
    <row r="105" ht="26.25" customHeight="1">
      <c r="A105" s="35">
        <v>61.0</v>
      </c>
      <c r="B105" s="48" t="s">
        <v>297</v>
      </c>
      <c r="C105" s="37" t="s">
        <v>76</v>
      </c>
      <c r="D105" s="38">
        <v>44477.0</v>
      </c>
      <c r="E105" s="39"/>
      <c r="F105" s="40" t="s">
        <v>283</v>
      </c>
      <c r="G105" s="41" t="s">
        <v>0</v>
      </c>
      <c r="H105" s="40" t="s">
        <v>91</v>
      </c>
      <c r="I105" s="55">
        <v>45612.0</v>
      </c>
      <c r="J105" s="40" t="s">
        <v>134</v>
      </c>
      <c r="K105" s="43" t="b">
        <v>1</v>
      </c>
      <c r="L105" s="44"/>
      <c r="M105" s="45">
        <f t="shared" si="1"/>
        <v>74</v>
      </c>
      <c r="N105" s="45"/>
      <c r="O105" s="45" t="str">
        <f>IFERROR(__xludf.DUMMYFUNCTION("IFERROR(
  TEXT(
    MAX(FILTER(Remark!A:A, TRIM(Remark!B:B) = TRIM(B105))),
    ""dd/mm/yyyy""
  ) &amp; "" - "" &amp;
  FILTER(
    Remark!C:C,
    TRIM(Remark!B:B) = TRIM(B105),
    Remark!A:A = MAX(FILTER(Remark!A:A, TRIM(Remark!B:B) = TRIM(B105)))
  ),
  """&amp;"""
)"),"")</f>
        <v/>
      </c>
      <c r="P105" s="45" t="str">
        <f>IFERROR(__xludf.DUMMYFUNCTION("TEXTJOIN(CHAR(10), TRUE, IFERROR(
  FILTER(TEXT(Remark!A:A, ""dd/mm/yyyy"") &amp; "" - "" &amp; Remark!C:C, TRIM(Remark!B:B) = TRIM(B105)),
  """"
))"),"")</f>
        <v/>
      </c>
      <c r="Q105" s="45" t="str">
        <f>IFERROR(__xludf.DUMMYFUNCTION("IFERROR(
  FILTER(
    Remark!D:D,
    Remark!A:A = MAX(FILTER(Remark!A:A, TRIM(Remark!B:B) = TRIM(B105)))
  ),
  """"
)"),"")</f>
        <v/>
      </c>
      <c r="R105" s="46" t="str">
        <f t="shared" si="2"/>
        <v>Prepare for Showcase</v>
      </c>
      <c r="S105" s="43" t="b">
        <v>1</v>
      </c>
      <c r="T105" s="56" t="s">
        <v>296</v>
      </c>
      <c r="U105" s="49"/>
      <c r="V105" s="49"/>
      <c r="W105" s="49"/>
      <c r="X105" s="49">
        <v>1.0</v>
      </c>
      <c r="Y105" s="49"/>
      <c r="Z105" s="49"/>
      <c r="AA105" s="49">
        <f t="shared" si="3"/>
        <v>1</v>
      </c>
    </row>
    <row r="106" ht="26.25" customHeight="1">
      <c r="A106" s="35">
        <v>72.0</v>
      </c>
      <c r="B106" s="36" t="s">
        <v>298</v>
      </c>
      <c r="C106" s="40" t="s">
        <v>76</v>
      </c>
      <c r="D106" s="38">
        <v>44506.0</v>
      </c>
      <c r="E106" s="51"/>
      <c r="F106" s="40" t="s">
        <v>283</v>
      </c>
      <c r="G106" s="41" t="s">
        <v>0</v>
      </c>
      <c r="H106" s="40" t="s">
        <v>91</v>
      </c>
      <c r="I106" s="55">
        <v>45451.0</v>
      </c>
      <c r="J106" s="40" t="s">
        <v>203</v>
      </c>
      <c r="K106" s="43" t="b">
        <v>1</v>
      </c>
      <c r="L106" s="44"/>
      <c r="M106" s="45">
        <f t="shared" si="1"/>
        <v>97</v>
      </c>
      <c r="N106" s="45"/>
      <c r="O106" s="45" t="str">
        <f>IFERROR(__xludf.DUMMYFUNCTION("IFERROR(
  TEXT(
    MAX(FILTER(Remark!A:A, TRIM(Remark!B:B) = TRIM(B106))),
    ""dd/mm/yyyy""
  ) &amp; "" - "" &amp;
  FILTER(
    Remark!C:C,
    TRIM(Remark!B:B) = TRIM(B106),
    Remark!A:A = MAX(FILTER(Remark!A:A, TRIM(Remark!B:B) = TRIM(B106)))
  ),
  """&amp;"""
)"),"25/09/2025 - [Caleb]
due to a change of mentor, difficult to trace back.
The mentor did not provide a specific timeline.")</f>
        <v>25/09/2025 - [Caleb]
due to a change of mentor, difficult to trace back.
The mentor did not provide a specific timeline.</v>
      </c>
      <c r="P106" s="45" t="str">
        <f>IFERROR(__xludf.DUMMYFUNCTION("TEXTJOIN(CHAR(10), TRUE, IFERROR(
  FILTER(TEXT(Remark!A:A, ""dd/mm/yyyy"") &amp; "" - "" &amp; Remark!C:C, TRIM(Remark!B:B) = TRIM(B106)),
  """"
))"),"25/09/2025 - [Caleb]
due to a change of mentor, difficult to trace back.
The mentor did not provide a specific timeline.")</f>
        <v>25/09/2025 - [Caleb]
due to a change of mentor, difficult to trace back.
The mentor did not provide a specific timeline.</v>
      </c>
      <c r="Q106" s="45" t="str">
        <f>IFERROR(__xludf.DUMMYFUNCTION("IFERROR(
  FILTER(
    Remark!D:D,
    Remark!A:A = MAX(FILTER(Remark!A:A, TRIM(Remark!B:B) = TRIM(B106)))
  ),
  """"
)"),"No")</f>
        <v>No</v>
      </c>
      <c r="R106" s="46" t="str">
        <f t="shared" si="2"/>
        <v>Prepare for Showcase</v>
      </c>
      <c r="S106" s="43" t="b">
        <v>1</v>
      </c>
      <c r="T106" s="52" t="s">
        <v>299</v>
      </c>
      <c r="U106" s="49">
        <v>4.0</v>
      </c>
      <c r="V106" s="49"/>
      <c r="W106" s="49"/>
      <c r="X106" s="49">
        <v>1.0</v>
      </c>
      <c r="Y106" s="49"/>
      <c r="Z106" s="49"/>
      <c r="AA106" s="49">
        <f t="shared" si="3"/>
        <v>1</v>
      </c>
    </row>
    <row r="107" ht="26.25" customHeight="1">
      <c r="A107" s="35">
        <v>73.0</v>
      </c>
      <c r="B107" s="48" t="s">
        <v>300</v>
      </c>
      <c r="C107" s="37" t="s">
        <v>76</v>
      </c>
      <c r="D107" s="38">
        <v>44506.0</v>
      </c>
      <c r="E107" s="39"/>
      <c r="F107" s="40" t="s">
        <v>283</v>
      </c>
      <c r="G107" s="41" t="s">
        <v>0</v>
      </c>
      <c r="H107" s="40" t="s">
        <v>91</v>
      </c>
      <c r="I107" s="55">
        <v>45451.0</v>
      </c>
      <c r="J107" s="40" t="s">
        <v>203</v>
      </c>
      <c r="K107" s="43" t="b">
        <v>1</v>
      </c>
      <c r="L107" s="44"/>
      <c r="M107" s="45">
        <f t="shared" si="1"/>
        <v>97</v>
      </c>
      <c r="N107" s="45"/>
      <c r="O107" s="45" t="str">
        <f>IFERROR(__xludf.DUMMYFUNCTION("IFERROR(
  TEXT(
    MAX(FILTER(Remark!A:A, TRIM(Remark!B:B) = TRIM(B107))),
    ""dd/mm/yyyy""
  ) &amp; "" - "" &amp;
  FILTER(
    Remark!C:C,
    TRIM(Remark!B:B) = TRIM(B107),
    Remark!A:A = MAX(FILTER(Remark!A:A, TRIM(Remark!B:B) = TRIM(B107)))
  ),
  """&amp;"""
)"),"12/11/2025 - [Caleb]
The project is progressing slowly due to a lack of proper timeline planning.
The mentor is advised to guide the student by asking questions that help them visualize the completed project and plan it in smaller parts, such as weekly or"&amp;" per-class milestones.")</f>
        <v>12/11/2025 - [Caleb]
The project is progressing slowly due to a lack of proper timeline planning.
The mentor is advised to guide the student by asking questions that help them visualize the completed project and plan it in smaller parts, such as weekly or per-class milestones.</v>
      </c>
      <c r="P107" s="45" t="str">
        <f>IFERROR(__xludf.DUMMYFUNCTION("TEXTJOIN(CHAR(10), TRUE, IFERROR(
  FILTER(TEXT(Remark!A:A, ""dd/mm/yyyy"") &amp; "" - "" &amp; Remark!C:C, TRIM(Remark!B:B) = TRIM(B107)),
  """"
))"),"12/11/2025 - [Caleb]
The project is progressing slowly due to a lack of proper timeline planning.
The mentor is advised to guide the student by asking questions that help them visualize the completed project and plan it in smaller parts, such as weekly or"&amp;" per-class milestones.")</f>
        <v>12/11/2025 - [Caleb]
The project is progressing slowly due to a lack of proper timeline planning.
The mentor is advised to guide the student by asking questions that help them visualize the completed project and plan it in smaller parts, such as weekly or per-class milestones.</v>
      </c>
      <c r="Q107" s="45" t="str">
        <f>IFERROR(__xludf.DUMMYFUNCTION("IFERROR(
  FILTER(
    Remark!D:D,
    Remark!A:A = MAX(FILTER(Remark!A:A, TRIM(Remark!B:B) = TRIM(B107)))
  ),
  """"
)"),"No")</f>
        <v>No</v>
      </c>
      <c r="R107" s="46" t="str">
        <f t="shared" si="2"/>
        <v>Prepare for Showcase</v>
      </c>
      <c r="S107" s="43" t="b">
        <v>1</v>
      </c>
      <c r="T107" s="52" t="s">
        <v>299</v>
      </c>
      <c r="U107" s="49">
        <v>3.0</v>
      </c>
      <c r="V107" s="49"/>
      <c r="W107" s="49"/>
      <c r="X107" s="49">
        <v>1.0</v>
      </c>
      <c r="Y107" s="49"/>
      <c r="Z107" s="49"/>
      <c r="AA107" s="49">
        <f t="shared" si="3"/>
        <v>1</v>
      </c>
    </row>
    <row r="108" ht="26.25" customHeight="1">
      <c r="A108" s="35">
        <v>185.0</v>
      </c>
      <c r="B108" s="56" t="s">
        <v>301</v>
      </c>
      <c r="C108" s="37" t="s">
        <v>76</v>
      </c>
      <c r="D108" s="38">
        <v>45201.0</v>
      </c>
      <c r="E108" s="39"/>
      <c r="F108" s="40" t="s">
        <v>283</v>
      </c>
      <c r="G108" s="41" t="s">
        <v>0</v>
      </c>
      <c r="H108" s="40" t="s">
        <v>91</v>
      </c>
      <c r="I108" s="42">
        <v>45668.0</v>
      </c>
      <c r="J108" s="40" t="s">
        <v>82</v>
      </c>
      <c r="K108" s="43" t="b">
        <v>1</v>
      </c>
      <c r="L108" s="44" t="s">
        <v>83</v>
      </c>
      <c r="M108" s="45">
        <f t="shared" si="1"/>
        <v>66</v>
      </c>
      <c r="N108" s="45"/>
      <c r="O108" s="45" t="str">
        <f>IFERROR(__xludf.DUMMYFUNCTION("IFERROR(
  TEXT(
    MAX(FILTER(Remark!A:A, TRIM(Remark!B:B) = TRIM(B108))),
    ""dd/mm/yyyy""
  ) &amp; "" - "" &amp;
  FILTER(
    Remark!C:C,
    TRIM(Remark!B:B) = TRIM(B108),
    Remark!A:A = MAX(FILTER(Remark!A:A, TRIM(Remark!B:B) = TRIM(B108)))
  ),
  """&amp;"""
)"),"")</f>
        <v/>
      </c>
      <c r="P108" s="45" t="str">
        <f>IFERROR(__xludf.DUMMYFUNCTION("TEXTJOIN(CHAR(10), TRUE, IFERROR(
  FILTER(TEXT(Remark!A:A, ""dd/mm/yyyy"") &amp; "" - "" &amp; Remark!C:C, TRIM(Remark!B:B) = TRIM(B108)),
  """"
))"),"")</f>
        <v/>
      </c>
      <c r="Q108" s="45" t="str">
        <f>IFERROR(__xludf.DUMMYFUNCTION("IFERROR(
  FILTER(
    Remark!D:D,
    Remark!A:A = MAX(FILTER(Remark!A:A, TRIM(Remark!B:B) = TRIM(B108)))
  ),
  """"
)"),"")</f>
        <v/>
      </c>
      <c r="R108" s="46" t="str">
        <f t="shared" si="2"/>
        <v>Prepare for Showcase</v>
      </c>
      <c r="S108" s="43" t="b">
        <v>1</v>
      </c>
      <c r="T108" s="48" t="s">
        <v>302</v>
      </c>
      <c r="U108" s="49">
        <v>1.0</v>
      </c>
      <c r="V108" s="49">
        <v>1.0</v>
      </c>
      <c r="W108" s="49"/>
      <c r="X108" s="49">
        <v>1.0</v>
      </c>
      <c r="Y108" s="49"/>
      <c r="Z108" s="49"/>
      <c r="AA108" s="49">
        <f t="shared" si="3"/>
        <v>2</v>
      </c>
    </row>
    <row r="109" ht="26.25" customHeight="1">
      <c r="A109" s="35">
        <v>189.0</v>
      </c>
      <c r="B109" s="50" t="s">
        <v>303</v>
      </c>
      <c r="C109" s="40" t="s">
        <v>76</v>
      </c>
      <c r="D109" s="38">
        <v>45203.0</v>
      </c>
      <c r="E109" s="51"/>
      <c r="F109" s="40" t="s">
        <v>283</v>
      </c>
      <c r="G109" s="41" t="s">
        <v>0</v>
      </c>
      <c r="H109" s="40" t="s">
        <v>100</v>
      </c>
      <c r="I109" s="55">
        <v>45598.0</v>
      </c>
      <c r="J109" s="41" t="s">
        <v>92</v>
      </c>
      <c r="K109" s="43" t="b">
        <v>1</v>
      </c>
      <c r="L109" s="44"/>
      <c r="M109" s="45">
        <f t="shared" si="1"/>
        <v>76</v>
      </c>
      <c r="N109" s="49" t="s">
        <v>304</v>
      </c>
      <c r="O109" s="45" t="str">
        <f>IFERROR(__xludf.DUMMYFUNCTION("IFERROR(
  TEXT(
    MAX(FILTER(Remark!A:A, TRIM(Remark!B:B) = TRIM(B109))),
    ""dd/mm/yyyy""
  ) &amp; "" - "" &amp;
  FILTER(
    Remark!C:C,
    TRIM(Remark!B:B) = TRIM(B109),
    Remark!A:A = MAX(FILTER(Remark!A:A, TRIM(Remark!B:B) = TRIM(B109)))
  ),
  """&amp;"""
)"),"03/10/2025 - [Caleb]
Absent for the last class, 27th Sep 2025")</f>
        <v>03/10/2025 - [Caleb]
Absent for the last class, 27th Sep 2025</v>
      </c>
      <c r="P109" s="45" t="str">
        <f>IFERROR(__xludf.DUMMYFUNCTION("TEXTJOIN(CHAR(10), TRUE, IFERROR(
  FILTER(TEXT(Remark!A:A, ""dd/mm/yyyy"") &amp; "" - "" &amp; Remark!C:C, TRIM(Remark!B:B) = TRIM(B109)),
  """"
))"),"29/09/2025 - [Caleb]
Few projects are done but havent been submit yet
Being absence for too many times, mentor are suggested to report to the parents to make sure parents are aware of this risks.
03/10/2025 - [Caleb]
Absent for the last class, 27th Sep 2"&amp;"025")</f>
        <v>29/09/2025 - [Caleb]
Few projects are done but havent been submit yet
Being absence for too many times, mentor are suggested to report to the parents to make sure parents are aware of this risks.
03/10/2025 - [Caleb]
Absent for the last class, 27th Sep 2025</v>
      </c>
      <c r="Q109" s="45" t="str">
        <f>IFERROR(__xludf.DUMMYFUNCTION("IFERROR(
  FILTER(
    Remark!D:D,
    Remark!A:A = MAX(FILTER(Remark!A:A, TRIM(Remark!B:B) = TRIM(B109)))
  ),
  """"
)"),"No")</f>
        <v>No</v>
      </c>
      <c r="R109" s="46" t="str">
        <f t="shared" si="2"/>
        <v>Prepare for Showcase</v>
      </c>
      <c r="S109" s="43" t="b">
        <v>1</v>
      </c>
      <c r="T109" s="48" t="s">
        <v>305</v>
      </c>
      <c r="U109" s="49">
        <v>6.0</v>
      </c>
      <c r="V109" s="49">
        <v>1.0</v>
      </c>
      <c r="W109" s="49">
        <v>1.0</v>
      </c>
      <c r="X109" s="49"/>
      <c r="Y109" s="49"/>
      <c r="Z109" s="49"/>
      <c r="AA109" s="49">
        <f t="shared" si="3"/>
        <v>2</v>
      </c>
    </row>
    <row r="110" ht="26.25" customHeight="1">
      <c r="A110" s="35">
        <v>193.0</v>
      </c>
      <c r="B110" s="50" t="s">
        <v>306</v>
      </c>
      <c r="C110" s="37" t="s">
        <v>76</v>
      </c>
      <c r="D110" s="54">
        <v>45224.0</v>
      </c>
      <c r="E110" s="39"/>
      <c r="F110" s="40" t="s">
        <v>283</v>
      </c>
      <c r="G110" s="41" t="s">
        <v>0</v>
      </c>
      <c r="H110" s="40" t="s">
        <v>100</v>
      </c>
      <c r="I110" s="42">
        <v>45759.0</v>
      </c>
      <c r="J110" s="40" t="s">
        <v>92</v>
      </c>
      <c r="K110" s="43" t="b">
        <v>1</v>
      </c>
      <c r="L110" s="44"/>
      <c r="M110" s="45">
        <f t="shared" si="1"/>
        <v>53</v>
      </c>
      <c r="N110" s="49"/>
      <c r="O110" s="45" t="str">
        <f>IFERROR(__xludf.DUMMYFUNCTION("IFERROR(
  TEXT(
    MAX(FILTER(Remark!A:A, TRIM(Remark!B:B) = TRIM(B110))),
    ""dd/mm/yyyy""
  ) &amp; "" - "" &amp;
  FILTER(
    Remark!C:C,
    TRIM(Remark!B:B) = TRIM(B110),
    Remark!A:A = MAX(FILTER(Remark!A:A, TRIM(Remark!B:B) = TRIM(B110)))
  ),
  """&amp;"""
)"),"")</f>
        <v/>
      </c>
      <c r="P110" s="45" t="str">
        <f>IFERROR(__xludf.DUMMYFUNCTION("TEXTJOIN(CHAR(10), TRUE, IFERROR(
  FILTER(TEXT(Remark!A:A, ""dd/mm/yyyy"") &amp; "" - "" &amp; Remark!C:C, TRIM(Remark!B:B) = TRIM(B110)),
  """"
))"),"")</f>
        <v/>
      </c>
      <c r="Q110" s="45" t="str">
        <f>IFERROR(__xludf.DUMMYFUNCTION("IFERROR(
  FILTER(
    Remark!D:D,
    Remark!A:A = MAX(FILTER(Remark!A:A, TRIM(Remark!B:B) = TRIM(B110)))
  ),
  """"
)"),"")</f>
        <v/>
      </c>
      <c r="R110" s="46" t="str">
        <f t="shared" si="2"/>
        <v>Prepare for Showcase</v>
      </c>
      <c r="S110" s="47"/>
      <c r="T110" s="48" t="s">
        <v>287</v>
      </c>
      <c r="U110" s="49">
        <v>1.0</v>
      </c>
      <c r="V110" s="49"/>
      <c r="W110" s="49">
        <v>1.0</v>
      </c>
      <c r="X110" s="49"/>
      <c r="Y110" s="49"/>
      <c r="Z110" s="49"/>
      <c r="AA110" s="49">
        <f t="shared" si="3"/>
        <v>1</v>
      </c>
    </row>
    <row r="111" ht="26.25" customHeight="1">
      <c r="A111" s="35">
        <v>221.0</v>
      </c>
      <c r="B111" s="56" t="s">
        <v>307</v>
      </c>
      <c r="C111" s="37" t="s">
        <v>76</v>
      </c>
      <c r="D111" s="54">
        <v>45339.0</v>
      </c>
      <c r="E111" s="39"/>
      <c r="F111" s="40" t="s">
        <v>283</v>
      </c>
      <c r="G111" s="41" t="s">
        <v>0</v>
      </c>
      <c r="H111" s="40" t="s">
        <v>100</v>
      </c>
      <c r="I111" s="42">
        <v>45752.0</v>
      </c>
      <c r="J111" s="40" t="s">
        <v>92</v>
      </c>
      <c r="K111" s="43" t="b">
        <v>1</v>
      </c>
      <c r="L111" s="44"/>
      <c r="M111" s="45">
        <f t="shared" si="1"/>
        <v>54</v>
      </c>
      <c r="N111" s="49"/>
      <c r="O111" s="45" t="str">
        <f>IFERROR(__xludf.DUMMYFUNCTION("IFERROR(
  TEXT(
    MAX(FILTER(Remark!A:A, TRIM(Remark!B:B) = TRIM(B111))),
    ""dd/mm/yyyy""
  ) &amp; "" - "" &amp;
  FILTER(
    Remark!C:C,
    TRIM(Remark!B:B) = TRIM(B111),
    Remark!A:A = MAX(FILTER(Remark!A:A, TRIM(Remark!B:B) = TRIM(B111)))
  ),
  """&amp;"""
)"),"")</f>
        <v/>
      </c>
      <c r="P111" s="45" t="str">
        <f>IFERROR(__xludf.DUMMYFUNCTION("TEXTJOIN(CHAR(10), TRUE, IFERROR(
  FILTER(TEXT(Remark!A:A, ""dd/mm/yyyy"") &amp; "" - "" &amp; Remark!C:C, TRIM(Remark!B:B) = TRIM(B111)),
  """"
))"),"")</f>
        <v/>
      </c>
      <c r="Q111" s="45" t="str">
        <f>IFERROR(__xludf.DUMMYFUNCTION("IFERROR(
  FILTER(
    Remark!D:D,
    Remark!A:A = MAX(FILTER(Remark!A:A, TRIM(Remark!B:B) = TRIM(B111)))
  ),
  """"
)"),"")</f>
        <v/>
      </c>
      <c r="R111" s="46" t="str">
        <f t="shared" si="2"/>
        <v>Prepare for Showcase</v>
      </c>
      <c r="S111" s="43" t="b">
        <v>1</v>
      </c>
      <c r="T111" s="48" t="s">
        <v>308</v>
      </c>
      <c r="U111" s="49">
        <v>8.0</v>
      </c>
      <c r="V111" s="49">
        <v>1.0</v>
      </c>
      <c r="W111" s="49">
        <v>1.0</v>
      </c>
      <c r="X111" s="49">
        <v>1.0</v>
      </c>
      <c r="Y111" s="49"/>
      <c r="Z111" s="49"/>
      <c r="AA111" s="49">
        <f t="shared" si="3"/>
        <v>3</v>
      </c>
    </row>
    <row r="112" ht="26.25" customHeight="1">
      <c r="A112" s="35">
        <v>283.0</v>
      </c>
      <c r="B112" s="50" t="s">
        <v>309</v>
      </c>
      <c r="C112" s="37" t="s">
        <v>76</v>
      </c>
      <c r="D112" s="38">
        <v>45537.0</v>
      </c>
      <c r="E112" s="39"/>
      <c r="F112" s="40" t="s">
        <v>283</v>
      </c>
      <c r="G112" s="41" t="s">
        <v>0</v>
      </c>
      <c r="H112" s="40" t="s">
        <v>100</v>
      </c>
      <c r="I112" s="42">
        <v>45892.0</v>
      </c>
      <c r="J112" s="40" t="s">
        <v>101</v>
      </c>
      <c r="K112" s="43" t="b">
        <v>1</v>
      </c>
      <c r="L112" s="44"/>
      <c r="M112" s="45">
        <f t="shared" si="1"/>
        <v>34</v>
      </c>
      <c r="N112" s="49"/>
      <c r="O112" s="45" t="str">
        <f>IFERROR(__xludf.DUMMYFUNCTION("IFERROR(
  TEXT(
    MAX(FILTER(Remark!A:A, TRIM(Remark!B:B) = TRIM(B112))),
    ""dd/mm/yyyy""
  ) &amp; "" - "" &amp;
  FILTER(
    Remark!C:C,
    TRIM(Remark!B:B) = TRIM(B112),
    Remark!A:A = MAX(FILTER(Remark!A:A, TRIM(Remark!B:B) = TRIM(B112)))
  ),
  """&amp;"""
)"),"")</f>
        <v/>
      </c>
      <c r="P112" s="45" t="str">
        <f>IFERROR(__xludf.DUMMYFUNCTION("TEXTJOIN(CHAR(10), TRUE, IFERROR(
  FILTER(TEXT(Remark!A:A, ""dd/mm/yyyy"") &amp; "" - "" &amp; Remark!C:C, TRIM(Remark!B:B) = TRIM(B112)),
  """"
))"),"")</f>
        <v/>
      </c>
      <c r="Q112" s="45" t="str">
        <f>IFERROR(__xludf.DUMMYFUNCTION("IFERROR(
  FILTER(
    Remark!D:D,
    Remark!A:A = MAX(FILTER(Remark!A:A, TRIM(Remark!B:B) = TRIM(B112)))
  ),
  """"
)"),"")</f>
        <v/>
      </c>
      <c r="R112" s="46" t="str">
        <f t="shared" si="2"/>
        <v>Starting Final Project</v>
      </c>
      <c r="S112" s="47"/>
      <c r="T112" s="48" t="s">
        <v>310</v>
      </c>
      <c r="U112" s="49">
        <v>4.0</v>
      </c>
      <c r="V112" s="49">
        <v>1.0</v>
      </c>
      <c r="W112" s="49"/>
      <c r="X112" s="49">
        <v>1.0</v>
      </c>
      <c r="Y112" s="49"/>
      <c r="Z112" s="49"/>
      <c r="AA112" s="49">
        <f t="shared" si="3"/>
        <v>2</v>
      </c>
    </row>
    <row r="113" ht="26.25" customHeight="1">
      <c r="A113" s="49">
        <v>449.0</v>
      </c>
      <c r="B113" s="36" t="s">
        <v>311</v>
      </c>
      <c r="C113" s="40" t="s">
        <v>76</v>
      </c>
      <c r="D113" s="38">
        <v>46057.0</v>
      </c>
      <c r="E113" s="51"/>
      <c r="F113" s="40" t="s">
        <v>283</v>
      </c>
      <c r="G113" s="57" t="s">
        <v>0</v>
      </c>
      <c r="H113" s="57" t="s">
        <v>100</v>
      </c>
      <c r="I113" s="58">
        <v>46061.0</v>
      </c>
      <c r="J113" s="57" t="s">
        <v>159</v>
      </c>
      <c r="K113" s="59" t="b">
        <v>0</v>
      </c>
      <c r="L113" s="60"/>
      <c r="M113" s="61">
        <f t="shared" si="1"/>
        <v>9</v>
      </c>
      <c r="N113" s="61"/>
      <c r="O113" s="61"/>
      <c r="P113" s="61"/>
      <c r="Q113" s="61"/>
      <c r="R113" s="46" t="str">
        <f t="shared" si="2"/>
        <v>Learning</v>
      </c>
      <c r="S113" s="47" t="b">
        <v>0</v>
      </c>
      <c r="T113" s="52" t="s">
        <v>312</v>
      </c>
      <c r="U113" s="61"/>
      <c r="V113" s="62"/>
      <c r="W113" s="62">
        <v>1.0</v>
      </c>
      <c r="X113" s="62">
        <v>1.0</v>
      </c>
      <c r="Y113" s="62"/>
      <c r="Z113" s="62"/>
      <c r="AA113" s="49">
        <f t="shared" si="3"/>
        <v>2</v>
      </c>
    </row>
    <row r="114" ht="26.25" customHeight="1">
      <c r="A114" s="35">
        <v>222.0</v>
      </c>
      <c r="B114" s="48" t="s">
        <v>313</v>
      </c>
      <c r="C114" s="37" t="s">
        <v>76</v>
      </c>
      <c r="D114" s="54">
        <v>45339.0</v>
      </c>
      <c r="E114" s="39"/>
      <c r="F114" s="40" t="s">
        <v>283</v>
      </c>
      <c r="G114" s="41" t="s">
        <v>0</v>
      </c>
      <c r="H114" s="40" t="s">
        <v>123</v>
      </c>
      <c r="I114" s="42">
        <v>46032.0</v>
      </c>
      <c r="J114" s="40" t="s">
        <v>101</v>
      </c>
      <c r="K114" s="43" t="b">
        <v>1</v>
      </c>
      <c r="L114" s="44" t="s">
        <v>314</v>
      </c>
      <c r="M114" s="45">
        <f t="shared" si="1"/>
        <v>14</v>
      </c>
      <c r="N114" s="45"/>
      <c r="O114" s="45" t="str">
        <f>IFERROR(__xludf.DUMMYFUNCTION("IFERROR(
  TEXT(
    MAX(FILTER(Remark!A:A, TRIM(Remark!B:B) = TRIM(B114))),
    ""dd/mm/yyyy""
  ) &amp; "" - "" &amp;
  FILTER(
    Remark!C:C,
    TRIM(Remark!B:B) = TRIM(B114),
    Remark!A:A = MAX(FILTER(Remark!A:A, TRIM(Remark!B:B) = TRIM(B114)))
  ),
  """&amp;"""
)"),"")</f>
        <v/>
      </c>
      <c r="P114" s="45" t="str">
        <f>IFERROR(__xludf.DUMMYFUNCTION("TEXTJOIN(CHAR(10), TRUE, IFERROR(
  FILTER(TEXT(Remark!A:A, ""dd/mm/yyyy"") &amp; "" - "" &amp; Remark!C:C, TRIM(Remark!B:B) = TRIM(B114)),
  """"
))"),"")</f>
        <v/>
      </c>
      <c r="Q114" s="45" t="str">
        <f>IFERROR(__xludf.DUMMYFUNCTION("IFERROR(
  FILTER(
    Remark!D:D,
    Remark!A:A = MAX(FILTER(Remark!A:A, TRIM(Remark!B:B) = TRIM(B114)))
  ),
  """"
)"),"")</f>
        <v/>
      </c>
      <c r="R114" s="46" t="str">
        <f t="shared" si="2"/>
        <v>Learning</v>
      </c>
      <c r="S114" s="47"/>
      <c r="T114" s="56" t="s">
        <v>308</v>
      </c>
      <c r="U114" s="49">
        <v>3.0</v>
      </c>
      <c r="V114" s="49">
        <v>1.0</v>
      </c>
      <c r="W114" s="49"/>
      <c r="X114" s="49">
        <v>1.0</v>
      </c>
      <c r="Y114" s="49"/>
      <c r="Z114" s="49"/>
      <c r="AA114" s="49">
        <f t="shared" si="3"/>
        <v>2</v>
      </c>
    </row>
    <row r="115" ht="26.25" customHeight="1">
      <c r="A115" s="35">
        <v>294.0</v>
      </c>
      <c r="B115" s="56" t="s">
        <v>315</v>
      </c>
      <c r="C115" s="37" t="s">
        <v>76</v>
      </c>
      <c r="D115" s="54">
        <v>45615.0</v>
      </c>
      <c r="E115" s="39"/>
      <c r="F115" s="40" t="s">
        <v>283</v>
      </c>
      <c r="G115" s="41" t="s">
        <v>0</v>
      </c>
      <c r="H115" s="40" t="s">
        <v>123</v>
      </c>
      <c r="I115" s="55">
        <v>45619.0</v>
      </c>
      <c r="J115" s="40" t="s">
        <v>101</v>
      </c>
      <c r="K115" s="43" t="b">
        <v>1</v>
      </c>
      <c r="L115" s="44"/>
      <c r="M115" s="45">
        <f t="shared" si="1"/>
        <v>73</v>
      </c>
      <c r="N115" s="45"/>
      <c r="O115" s="45" t="str">
        <f>IFERROR(__xludf.DUMMYFUNCTION("IFERROR(
  TEXT(
    MAX(FILTER(Remark!A:A, TRIM(Remark!B:B) = TRIM(B115))),
    ""dd/mm/yyyy""
  ) &amp; "" - "" &amp;
  FILTER(
    Remark!C:C,
    TRIM(Remark!B:B) = TRIM(B115),
    Remark!A:A = MAX(FILTER(Remark!A:A, TRIM(Remark!B:B) = TRIM(B115)))
  ),
  """&amp;"""
)"),"25/11/2025 - Speak softly")</f>
        <v>25/11/2025 - Speak softly</v>
      </c>
      <c r="P115" s="45" t="str">
        <f>IFERROR(__xludf.DUMMYFUNCTION("TEXTJOIN(CHAR(10), TRUE, IFERROR(
  FILTER(TEXT(Remark!A:A, ""dd/mm/yyyy"") &amp; "" - "" &amp; Remark!C:C, TRIM(Remark!B:B) = TRIM(B115)),
  """"
))"),"25/11/2025 - Speak softly")</f>
        <v>25/11/2025 - Speak softly</v>
      </c>
      <c r="Q115" s="45" t="str">
        <f>IFERROR(__xludf.DUMMYFUNCTION("IFERROR(
  FILTER(
    Remark!D:D,
    Remark!A:A = MAX(FILTER(Remark!A:A, TRIM(Remark!B:B) = TRIM(B115)))
  ),
  """"
)"),"Yes")</f>
        <v>Yes</v>
      </c>
      <c r="R115" s="46" t="str">
        <f t="shared" si="2"/>
        <v>Prepare for Showcase</v>
      </c>
      <c r="S115" s="43" t="b">
        <v>1</v>
      </c>
      <c r="T115" s="48" t="s">
        <v>316</v>
      </c>
      <c r="U115" s="49">
        <v>3.0</v>
      </c>
      <c r="V115" s="49"/>
      <c r="W115" s="49"/>
      <c r="X115" s="49">
        <v>1.0</v>
      </c>
      <c r="Y115" s="49"/>
      <c r="Z115" s="49"/>
      <c r="AA115" s="49">
        <f t="shared" si="3"/>
        <v>1</v>
      </c>
    </row>
    <row r="116" ht="26.25" customHeight="1">
      <c r="A116" s="66">
        <v>405.0</v>
      </c>
      <c r="B116" s="36" t="s">
        <v>317</v>
      </c>
      <c r="C116" s="40" t="s">
        <v>76</v>
      </c>
      <c r="D116" s="54">
        <v>45951.0</v>
      </c>
      <c r="E116" s="51"/>
      <c r="F116" s="40" t="s">
        <v>283</v>
      </c>
      <c r="G116" s="40" t="s">
        <v>0</v>
      </c>
      <c r="H116" s="40" t="s">
        <v>123</v>
      </c>
      <c r="I116" s="42">
        <v>45962.0</v>
      </c>
      <c r="J116" s="40" t="s">
        <v>110</v>
      </c>
      <c r="K116" s="43" t="b">
        <v>0</v>
      </c>
      <c r="L116" s="44"/>
      <c r="M116" s="45">
        <f t="shared" si="1"/>
        <v>24</v>
      </c>
      <c r="N116" s="45"/>
      <c r="O116" s="45" t="str">
        <f>IFERROR(__xludf.DUMMYFUNCTION("IFERROR(
  TEXT(
    MAX(FILTER(Remark!A:A, TRIM(Remark!B:B) = TRIM(B116))),
    ""dd/mm/yyyy""
  ) &amp; "" - "" &amp;
  FILTER(
    Remark!C:C,
    TRIM(Remark!B:B) = TRIM(B116),
    Remark!A:A = MAX(FILTER(Remark!A:A, TRIM(Remark!B:B) = TRIM(B116)))
  ),
  """&amp;"""
)"),"")</f>
        <v/>
      </c>
      <c r="P116" s="45" t="str">
        <f>IFERROR(__xludf.DUMMYFUNCTION("TEXTJOIN(CHAR(10), TRUE, IFERROR(
  FILTER(TEXT(Remark!A:A, ""dd/mm/yyyy"") &amp; "" - "" &amp; Remark!C:C, TRIM(Remark!B:B) = TRIM(B116)),
  """"
))"),"")</f>
        <v/>
      </c>
      <c r="Q116" s="45" t="str">
        <f>IFERROR(__xludf.DUMMYFUNCTION("IFERROR(
  FILTER(
    Remark!D:D,
    Remark!A:A = MAX(FILTER(Remark!A:A, TRIM(Remark!B:B) = TRIM(B116)))
  ),
  """"
)"),"")</f>
        <v/>
      </c>
      <c r="R116" s="46" t="str">
        <f t="shared" si="2"/>
        <v>Learning</v>
      </c>
      <c r="S116" s="47"/>
      <c r="T116" s="48" t="s">
        <v>318</v>
      </c>
      <c r="U116" s="49">
        <v>1.0</v>
      </c>
      <c r="V116" s="49">
        <v>1.0</v>
      </c>
      <c r="W116" s="49"/>
      <c r="X116" s="49">
        <v>1.0</v>
      </c>
      <c r="Y116" s="49"/>
      <c r="Z116" s="49"/>
      <c r="AA116" s="49">
        <f t="shared" si="3"/>
        <v>2</v>
      </c>
    </row>
    <row r="117" ht="26.25" customHeight="1">
      <c r="A117" s="66">
        <v>406.0</v>
      </c>
      <c r="B117" s="36" t="s">
        <v>319</v>
      </c>
      <c r="C117" s="40" t="s">
        <v>76</v>
      </c>
      <c r="D117" s="54">
        <v>45951.0</v>
      </c>
      <c r="E117" s="51"/>
      <c r="F117" s="40" t="s">
        <v>283</v>
      </c>
      <c r="G117" s="40" t="s">
        <v>0</v>
      </c>
      <c r="H117" s="40" t="s">
        <v>123</v>
      </c>
      <c r="I117" s="42">
        <v>45962.0</v>
      </c>
      <c r="J117" s="40" t="s">
        <v>110</v>
      </c>
      <c r="K117" s="43" t="b">
        <v>0</v>
      </c>
      <c r="L117" s="44"/>
      <c r="M117" s="45">
        <f t="shared" si="1"/>
        <v>24</v>
      </c>
      <c r="N117" s="45"/>
      <c r="O117" s="45" t="str">
        <f>IFERROR(__xludf.DUMMYFUNCTION("IFERROR(
  TEXT(
    MAX(FILTER(Remark!A:A, TRIM(Remark!B:B) = TRIM(B117))),
    ""dd/mm/yyyy""
  ) &amp; "" - "" &amp;
  FILTER(
    Remark!C:C,
    TRIM(Remark!B:B) = TRIM(B117),
    Remark!A:A = MAX(FILTER(Remark!A:A, TRIM(Remark!B:B) = TRIM(B117)))
  ),
  """&amp;"""
)"),"")</f>
        <v/>
      </c>
      <c r="P117" s="45" t="str">
        <f>IFERROR(__xludf.DUMMYFUNCTION("TEXTJOIN(CHAR(10), TRUE, IFERROR(
  FILTER(TEXT(Remark!A:A, ""dd/mm/yyyy"") &amp; "" - "" &amp; Remark!C:C, TRIM(Remark!B:B) = TRIM(B117)),
  """"
))"),"")</f>
        <v/>
      </c>
      <c r="Q117" s="45" t="str">
        <f>IFERROR(__xludf.DUMMYFUNCTION("IFERROR(
  FILTER(
    Remark!D:D,
    Remark!A:A = MAX(FILTER(Remark!A:A, TRIM(Remark!B:B) = TRIM(B117)))
  ),
  """"
)"),"")</f>
        <v/>
      </c>
      <c r="R117" s="46" t="str">
        <f t="shared" si="2"/>
        <v>Learning</v>
      </c>
      <c r="S117" s="47"/>
      <c r="T117" s="48" t="s">
        <v>318</v>
      </c>
      <c r="U117" s="49">
        <v>1.0</v>
      </c>
      <c r="V117" s="49">
        <v>1.0</v>
      </c>
      <c r="W117" s="49"/>
      <c r="X117" s="49">
        <v>1.0</v>
      </c>
      <c r="Y117" s="49"/>
      <c r="Z117" s="49"/>
      <c r="AA117" s="49">
        <f t="shared" si="3"/>
        <v>2</v>
      </c>
    </row>
    <row r="118" ht="26.25" customHeight="1">
      <c r="A118" s="66">
        <v>410.0</v>
      </c>
      <c r="B118" s="36" t="s">
        <v>320</v>
      </c>
      <c r="C118" s="40" t="s">
        <v>76</v>
      </c>
      <c r="D118" s="38">
        <v>45968.0</v>
      </c>
      <c r="E118" s="51"/>
      <c r="F118" s="40" t="s">
        <v>283</v>
      </c>
      <c r="G118" s="40" t="s">
        <v>0</v>
      </c>
      <c r="H118" s="40" t="s">
        <v>123</v>
      </c>
      <c r="I118" s="42">
        <v>45970.0</v>
      </c>
      <c r="J118" s="40" t="s">
        <v>110</v>
      </c>
      <c r="K118" s="43" t="b">
        <v>0</v>
      </c>
      <c r="L118" s="44"/>
      <c r="M118" s="45">
        <f t="shared" si="1"/>
        <v>22</v>
      </c>
      <c r="N118" s="49"/>
      <c r="O118" s="45" t="str">
        <f>IFERROR(__xludf.DUMMYFUNCTION("IFERROR(
  TEXT(
    MAX(FILTER(Remark!A:A, TRIM(Remark!B:B) = TRIM(B118))),
    ""dd/mm/yyyy""
  ) &amp; "" - "" &amp;
  FILTER(
    Remark!C:C,
    TRIM(Remark!B:B) = TRIM(B118),
    Remark!A:A = MAX(FILTER(Remark!A:A, TRIM(Remark!B:B) = TRIM(B118)))
  ),
  """&amp;"""
)"),"")</f>
        <v/>
      </c>
      <c r="P118" s="45" t="str">
        <f>IFERROR(__xludf.DUMMYFUNCTION("TEXTJOIN(CHAR(10), TRUE, IFERROR(
  FILTER(TEXT(Remark!A:A, ""dd/mm/yyyy"") &amp; "" - "" &amp; Remark!C:C, TRIM(Remark!B:B) = TRIM(B118)),
  """"
))"),"")</f>
        <v/>
      </c>
      <c r="Q118" s="45" t="str">
        <f>IFERROR(__xludf.DUMMYFUNCTION("IFERROR(
  FILTER(
    Remark!D:D,
    Remark!A:A = MAX(FILTER(Remark!A:A, TRIM(Remark!B:B) = TRIM(B118)))
  ),
  """"
)"),"")</f>
        <v/>
      </c>
      <c r="R118" s="46" t="str">
        <f t="shared" si="2"/>
        <v>Learning</v>
      </c>
      <c r="S118" s="47"/>
      <c r="T118" s="48" t="s">
        <v>321</v>
      </c>
      <c r="U118" s="49">
        <v>2.0</v>
      </c>
      <c r="V118" s="49">
        <v>1.0</v>
      </c>
      <c r="W118" s="49"/>
      <c r="X118" s="49">
        <v>1.0</v>
      </c>
      <c r="Y118" s="49"/>
      <c r="Z118" s="49"/>
      <c r="AA118" s="49">
        <f t="shared" si="3"/>
        <v>2</v>
      </c>
    </row>
    <row r="119" ht="26.25" customHeight="1">
      <c r="A119" s="35">
        <v>39.0</v>
      </c>
      <c r="B119" s="50" t="s">
        <v>322</v>
      </c>
      <c r="C119" s="37" t="s">
        <v>76</v>
      </c>
      <c r="D119" s="54">
        <v>44723.0</v>
      </c>
      <c r="E119" s="39"/>
      <c r="F119" s="40" t="s">
        <v>323</v>
      </c>
      <c r="G119" s="41" t="s">
        <v>0</v>
      </c>
      <c r="H119" s="40" t="s">
        <v>78</v>
      </c>
      <c r="I119" s="42">
        <v>45873.0</v>
      </c>
      <c r="J119" s="40" t="s">
        <v>79</v>
      </c>
      <c r="K119" s="43" t="b">
        <v>1</v>
      </c>
      <c r="L119" s="44" t="s">
        <v>83</v>
      </c>
      <c r="M119" s="45">
        <f t="shared" si="1"/>
        <v>36</v>
      </c>
      <c r="N119" s="49"/>
      <c r="O119" s="45" t="str">
        <f>IFERROR(__xludf.DUMMYFUNCTION("IFERROR(
  TEXT(
    MAX(FILTER(Remark!A:A, TRIM(Remark!B:B) = TRIM(B119))),
    ""dd/mm/yyyy""
  ) &amp; "" - "" &amp;
  FILTER(
    Remark!C:C,
    TRIM(Remark!B:B) = TRIM(B119),
    Remark!A:A = MAX(FILTER(Remark!A:A, TRIM(Remark!B:B) = TRIM(B119)))
  ),
  """&amp;"""
)"),"")</f>
        <v/>
      </c>
      <c r="P119" s="45" t="str">
        <f>IFERROR(__xludf.DUMMYFUNCTION("TEXTJOIN(CHAR(10), TRUE, IFERROR(
  FILTER(TEXT(Remark!A:A, ""dd/mm/yyyy"") &amp; "" - "" &amp; Remark!C:C, TRIM(Remark!B:B) = TRIM(B119)),
  """"
))"),"")</f>
        <v/>
      </c>
      <c r="Q119" s="45" t="str">
        <f>IFERROR(__xludf.DUMMYFUNCTION("IFERROR(
  FILTER(
    Remark!D:D,
    Remark!A:A = MAX(FILTER(Remark!A:A, TRIM(Remark!B:B) = TRIM(B119)))
  ),
  """"
)"),"")</f>
        <v/>
      </c>
      <c r="R119" s="46" t="str">
        <f t="shared" si="2"/>
        <v>Starting Final Project</v>
      </c>
      <c r="S119" s="47"/>
      <c r="T119" s="56" t="s">
        <v>324</v>
      </c>
      <c r="U119" s="49">
        <v>3.0</v>
      </c>
      <c r="V119" s="49"/>
      <c r="W119" s="49"/>
      <c r="X119" s="49"/>
      <c r="Y119" s="49"/>
      <c r="Z119" s="49"/>
      <c r="AA119" s="49">
        <f t="shared" si="3"/>
        <v>0</v>
      </c>
    </row>
    <row r="120" ht="26.25" customHeight="1">
      <c r="A120" s="35">
        <v>40.0</v>
      </c>
      <c r="B120" s="56" t="s">
        <v>325</v>
      </c>
      <c r="C120" s="37" t="s">
        <v>76</v>
      </c>
      <c r="D120" s="54">
        <v>44723.0</v>
      </c>
      <c r="E120" s="39"/>
      <c r="F120" s="40" t="s">
        <v>323</v>
      </c>
      <c r="G120" s="41" t="s">
        <v>0</v>
      </c>
      <c r="H120" s="40" t="s">
        <v>78</v>
      </c>
      <c r="I120" s="42">
        <v>45782.0</v>
      </c>
      <c r="J120" s="40" t="s">
        <v>79</v>
      </c>
      <c r="K120" s="43" t="b">
        <v>1</v>
      </c>
      <c r="L120" s="44" t="s">
        <v>83</v>
      </c>
      <c r="M120" s="45">
        <f t="shared" si="1"/>
        <v>49</v>
      </c>
      <c r="N120" s="49"/>
      <c r="O120" s="45" t="str">
        <f>IFERROR(__xludf.DUMMYFUNCTION("IFERROR(
  TEXT(
    MAX(FILTER(Remark!A:A, TRIM(Remark!B:B) = TRIM(B120))),
    ""dd/mm/yyyy""
  ) &amp; "" - "" &amp;
  FILTER(
    Remark!C:C,
    TRIM(Remark!B:B) = TRIM(B120),
    Remark!A:A = MAX(FILTER(Remark!A:A, TRIM(Remark!B:B) = TRIM(B120)))
  ),
  """&amp;"""
)"),"")</f>
        <v/>
      </c>
      <c r="P120" s="45" t="str">
        <f>IFERROR(__xludf.DUMMYFUNCTION("TEXTJOIN(CHAR(10), TRUE, IFERROR(
  FILTER(TEXT(Remark!A:A, ""dd/mm/yyyy"") &amp; "" - "" &amp; Remark!C:C, TRIM(Remark!B:B) = TRIM(B120)),
  """"
))"),"")</f>
        <v/>
      </c>
      <c r="Q120" s="45" t="str">
        <f>IFERROR(__xludf.DUMMYFUNCTION("IFERROR(
  FILTER(
    Remark!D:D,
    Remark!A:A = MAX(FILTER(Remark!A:A, TRIM(Remark!B:B) = TRIM(B120)))
  ),
  """"
)"),"")</f>
        <v/>
      </c>
      <c r="R120" s="46" t="str">
        <f t="shared" si="2"/>
        <v>Prepare for Showcase</v>
      </c>
      <c r="S120" s="43" t="b">
        <v>0</v>
      </c>
      <c r="T120" s="56" t="s">
        <v>324</v>
      </c>
      <c r="U120" s="49">
        <v>3.0</v>
      </c>
      <c r="V120" s="49"/>
      <c r="W120" s="49">
        <v>1.0</v>
      </c>
      <c r="X120" s="49"/>
      <c r="Y120" s="49"/>
      <c r="Z120" s="49"/>
      <c r="AA120" s="49">
        <f t="shared" si="3"/>
        <v>1</v>
      </c>
    </row>
    <row r="121" ht="26.25" customHeight="1">
      <c r="A121" s="35">
        <v>246.0</v>
      </c>
      <c r="B121" s="36" t="s">
        <v>326</v>
      </c>
      <c r="C121" s="37" t="s">
        <v>76</v>
      </c>
      <c r="D121" s="74">
        <v>45422.0</v>
      </c>
      <c r="E121" s="39"/>
      <c r="F121" s="40" t="s">
        <v>323</v>
      </c>
      <c r="G121" s="41" t="s">
        <v>0</v>
      </c>
      <c r="H121" s="40" t="s">
        <v>78</v>
      </c>
      <c r="I121" s="55">
        <v>45619.0</v>
      </c>
      <c r="J121" s="41" t="s">
        <v>101</v>
      </c>
      <c r="K121" s="43" t="b">
        <v>1</v>
      </c>
      <c r="L121" s="44"/>
      <c r="M121" s="45">
        <f t="shared" si="1"/>
        <v>73</v>
      </c>
      <c r="N121" s="45"/>
      <c r="O121" s="45" t="str">
        <f>IFERROR(__xludf.DUMMYFUNCTION("IFERROR(
  TEXT(
    MAX(FILTER(Remark!A:A, TRIM(Remark!B:B) = TRIM(B121))),
    ""dd/mm/yyyy""
  ) &amp; "" - "" &amp;
  FILTER(
    Remark!C:C,
    TRIM(Remark!B:B) = TRIM(B121),
    Remark!A:A = MAX(FILTER(Remark!A:A, TRIM(Remark!B:B) = TRIM(B121)))
  ),
  """&amp;"""
)"),"")</f>
        <v/>
      </c>
      <c r="P121" s="45" t="str">
        <f>IFERROR(__xludf.DUMMYFUNCTION("TEXTJOIN(CHAR(10), TRUE, IFERROR(
  FILTER(TEXT(Remark!A:A, ""dd/mm/yyyy"") &amp; "" - "" &amp; Remark!C:C, TRIM(Remark!B:B) = TRIM(B121)),
  """"
))"),"")</f>
        <v/>
      </c>
      <c r="Q121" s="45" t="str">
        <f>IFERROR(__xludf.DUMMYFUNCTION("IFERROR(
  FILTER(
    Remark!D:D,
    Remark!A:A = MAX(FILTER(Remark!A:A, TRIM(Remark!B:B) = TRIM(B121)))
  ),
  """"
)"),"")</f>
        <v/>
      </c>
      <c r="R121" s="46" t="str">
        <f t="shared" si="2"/>
        <v>Prepare for Showcase</v>
      </c>
      <c r="S121" s="43" t="b">
        <v>1</v>
      </c>
      <c r="T121" s="48" t="s">
        <v>327</v>
      </c>
      <c r="U121" s="49">
        <v>3.0</v>
      </c>
      <c r="V121" s="49"/>
      <c r="W121" s="49">
        <v>1.0</v>
      </c>
      <c r="X121" s="49"/>
      <c r="Y121" s="49"/>
      <c r="Z121" s="49"/>
      <c r="AA121" s="49">
        <f t="shared" si="3"/>
        <v>1</v>
      </c>
    </row>
    <row r="122" ht="26.25" customHeight="1">
      <c r="A122" s="35">
        <v>304.0</v>
      </c>
      <c r="B122" s="36" t="s">
        <v>328</v>
      </c>
      <c r="C122" s="40" t="s">
        <v>76</v>
      </c>
      <c r="D122" s="38">
        <v>45660.0</v>
      </c>
      <c r="E122" s="51"/>
      <c r="F122" s="40" t="s">
        <v>323</v>
      </c>
      <c r="G122" s="57" t="s">
        <v>0</v>
      </c>
      <c r="H122" s="57" t="s">
        <v>78</v>
      </c>
      <c r="I122" s="58">
        <v>45871.0</v>
      </c>
      <c r="J122" s="57" t="s">
        <v>203</v>
      </c>
      <c r="K122" s="59" t="b">
        <v>1</v>
      </c>
      <c r="L122" s="60"/>
      <c r="M122" s="61">
        <f t="shared" si="1"/>
        <v>37</v>
      </c>
      <c r="N122" s="49"/>
      <c r="O122" s="45" t="str">
        <f>IFERROR(__xludf.DUMMYFUNCTION("IFERROR(
  TEXT(
    MAX(FILTER(Remark!A:A, TRIM(Remark!B:B) = TRIM(B122))),
    ""dd/mm/yyyy""
  ) &amp; "" - "" &amp;
  FILTER(
    Remark!C:C,
    TRIM(Remark!B:B) = TRIM(B122),
    Remark!A:A = MAX(FILTER(Remark!A:A, TRIM(Remark!B:B) = TRIM(B122)))
  ),
  """&amp;"""
)"),"")</f>
        <v/>
      </c>
      <c r="P122" s="45" t="str">
        <f>IFERROR(__xludf.DUMMYFUNCTION("TEXTJOIN(CHAR(10), TRUE, IFERROR(
  FILTER(TEXT(Remark!A:A, ""dd/mm/yyyy"") &amp; "" - "" &amp; Remark!C:C, TRIM(Remark!B:B) = TRIM(B122)),
  """"
))"),"")</f>
        <v/>
      </c>
      <c r="Q122" s="45" t="str">
        <f>IFERROR(__xludf.DUMMYFUNCTION("IFERROR(
  FILTER(
    Remark!D:D,
    Remark!A:A = MAX(FILTER(Remark!A:A, TRIM(Remark!B:B) = TRIM(B122)))
  ),
  """"
)"),"")</f>
        <v/>
      </c>
      <c r="R122" s="46" t="str">
        <f t="shared" si="2"/>
        <v>Starting Final Project</v>
      </c>
      <c r="S122" s="47"/>
      <c r="T122" s="52" t="s">
        <v>329</v>
      </c>
      <c r="U122" s="49">
        <v>1.0</v>
      </c>
      <c r="V122" s="49"/>
      <c r="W122" s="49"/>
      <c r="X122" s="49">
        <v>1.0</v>
      </c>
      <c r="Y122" s="49"/>
      <c r="Z122" s="49"/>
      <c r="AA122" s="49">
        <f t="shared" si="3"/>
        <v>1</v>
      </c>
    </row>
    <row r="123" ht="26.25" customHeight="1">
      <c r="A123" s="35">
        <v>249.0</v>
      </c>
      <c r="B123" s="50" t="s">
        <v>330</v>
      </c>
      <c r="C123" s="37" t="s">
        <v>76</v>
      </c>
      <c r="D123" s="54">
        <v>45465.0</v>
      </c>
      <c r="E123" s="39"/>
      <c r="F123" s="40" t="s">
        <v>323</v>
      </c>
      <c r="G123" s="41" t="s">
        <v>0</v>
      </c>
      <c r="H123" s="40" t="s">
        <v>100</v>
      </c>
      <c r="I123" s="42">
        <v>46032.0</v>
      </c>
      <c r="J123" s="40" t="s">
        <v>92</v>
      </c>
      <c r="K123" s="43" t="b">
        <v>1</v>
      </c>
      <c r="L123" s="44"/>
      <c r="M123" s="45">
        <f t="shared" si="1"/>
        <v>14</v>
      </c>
      <c r="N123" s="49"/>
      <c r="O123" s="45" t="str">
        <f>IFERROR(__xludf.DUMMYFUNCTION("IFERROR(
  TEXT(
    MAX(FILTER(Remark!A:A, TRIM(Remark!B:B) = TRIM(B123))),
    ""dd/mm/yyyy""
  ) &amp; "" - "" &amp;
  FILTER(
    Remark!C:C,
    TRIM(Remark!B:B) = TRIM(B123),
    Remark!A:A = MAX(FILTER(Remark!A:A, TRIM(Remark!B:B) = TRIM(B123)))
  ),
  """&amp;"""
)"),"")</f>
        <v/>
      </c>
      <c r="P123" s="45" t="str">
        <f>IFERROR(__xludf.DUMMYFUNCTION("TEXTJOIN(CHAR(10), TRUE, IFERROR(
  FILTER(TEXT(Remark!A:A, ""dd/mm/yyyy"") &amp; "" - "" &amp; Remark!C:C, TRIM(Remark!B:B) = TRIM(B123)),
  """"
))"),"")</f>
        <v/>
      </c>
      <c r="Q123" s="45" t="str">
        <f>IFERROR(__xludf.DUMMYFUNCTION("IFERROR(
  FILTER(
    Remark!D:D,
    Remark!A:A = MAX(FILTER(Remark!A:A, TRIM(Remark!B:B) = TRIM(B123)))
  ),
  """"
)"),"")</f>
        <v/>
      </c>
      <c r="R123" s="46" t="str">
        <f t="shared" si="2"/>
        <v>Learning</v>
      </c>
      <c r="S123" s="47"/>
      <c r="T123" s="48" t="s">
        <v>310</v>
      </c>
      <c r="U123" s="49">
        <v>5.0</v>
      </c>
      <c r="V123" s="49">
        <v>2.0</v>
      </c>
      <c r="W123" s="49">
        <v>1.0</v>
      </c>
      <c r="X123" s="49">
        <v>1.0</v>
      </c>
      <c r="Y123" s="49"/>
      <c r="Z123" s="49"/>
      <c r="AA123" s="49">
        <f t="shared" si="3"/>
        <v>4</v>
      </c>
    </row>
    <row r="124" ht="26.25" customHeight="1">
      <c r="A124" s="35">
        <v>278.0</v>
      </c>
      <c r="B124" s="56" t="s">
        <v>331</v>
      </c>
      <c r="C124" s="37" t="s">
        <v>76</v>
      </c>
      <c r="D124" s="54">
        <v>45514.0</v>
      </c>
      <c r="E124" s="39"/>
      <c r="F124" s="40" t="s">
        <v>323</v>
      </c>
      <c r="G124" s="41" t="s">
        <v>0</v>
      </c>
      <c r="H124" s="40" t="s">
        <v>100</v>
      </c>
      <c r="I124" s="42">
        <v>45892.0</v>
      </c>
      <c r="J124" s="40" t="s">
        <v>101</v>
      </c>
      <c r="K124" s="43" t="b">
        <v>1</v>
      </c>
      <c r="L124" s="44"/>
      <c r="M124" s="45">
        <f t="shared" si="1"/>
        <v>34</v>
      </c>
      <c r="N124" s="49"/>
      <c r="O124" s="45" t="str">
        <f>IFERROR(__xludf.DUMMYFUNCTION("IFERROR(
  TEXT(
    MAX(FILTER(Remark!A:A, TRIM(Remark!B:B) = TRIM(B124))),
    ""dd/mm/yyyy""
  ) &amp; "" - "" &amp;
  FILTER(
    Remark!C:C,
    TRIM(Remark!B:B) = TRIM(B124),
    Remark!A:A = MAX(FILTER(Remark!A:A, TRIM(Remark!B:B) = TRIM(B124)))
  ),
  """&amp;"""
)"),"")</f>
        <v/>
      </c>
      <c r="P124" s="45" t="str">
        <f>IFERROR(__xludf.DUMMYFUNCTION("TEXTJOIN(CHAR(10), TRUE, IFERROR(
  FILTER(TEXT(Remark!A:A, ""dd/mm/yyyy"") &amp; "" - "" &amp; Remark!C:C, TRIM(Remark!B:B) = TRIM(B124)),
  """"
))"),"")</f>
        <v/>
      </c>
      <c r="Q124" s="45" t="str">
        <f>IFERROR(__xludf.DUMMYFUNCTION("IFERROR(
  FILTER(
    Remark!D:D,
    Remark!A:A = MAX(FILTER(Remark!A:A, TRIM(Remark!B:B) = TRIM(B124)))
  ),
  """"
)"),"")</f>
        <v/>
      </c>
      <c r="R124" s="46" t="str">
        <f t="shared" si="2"/>
        <v>Starting Final Project</v>
      </c>
      <c r="S124" s="47"/>
      <c r="T124" s="48" t="s">
        <v>332</v>
      </c>
      <c r="U124" s="49">
        <v>3.0</v>
      </c>
      <c r="V124" s="49">
        <v>1.0</v>
      </c>
      <c r="W124" s="49"/>
      <c r="X124" s="49">
        <v>1.0</v>
      </c>
      <c r="Y124" s="49"/>
      <c r="Z124" s="49"/>
      <c r="AA124" s="49">
        <f t="shared" si="3"/>
        <v>2</v>
      </c>
    </row>
    <row r="125" ht="26.25" customHeight="1">
      <c r="A125" s="72">
        <v>421.0</v>
      </c>
      <c r="B125" s="73" t="s">
        <v>333</v>
      </c>
      <c r="C125" s="40" t="s">
        <v>76</v>
      </c>
      <c r="D125" s="54">
        <v>46034.0</v>
      </c>
      <c r="E125" s="51"/>
      <c r="F125" s="40" t="s">
        <v>323</v>
      </c>
      <c r="G125" s="57" t="s">
        <v>0</v>
      </c>
      <c r="H125" s="57" t="s">
        <v>100</v>
      </c>
      <c r="I125" s="58">
        <v>46037.0</v>
      </c>
      <c r="J125" s="57" t="s">
        <v>159</v>
      </c>
      <c r="K125" s="59" t="b">
        <v>0</v>
      </c>
      <c r="L125" s="44"/>
      <c r="M125" s="61">
        <f t="shared" si="1"/>
        <v>13</v>
      </c>
      <c r="N125" s="62"/>
      <c r="O125" s="45" t="str">
        <f>IFERROR(__xludf.DUMMYFUNCTION("IFERROR(
  TEXT(
    MAX(FILTER(Remark!A:A, TRIM(Remark!B:B) = TRIM(B125))),
    ""dd/mm/yyyy""
  ) &amp; "" - "" &amp;
  FILTER(
    Remark!C:C,
    TRIM(Remark!B:B) = TRIM(B125),
    Remark!A:A = MAX(FILTER(Remark!A:A, TRIM(Remark!B:B) = TRIM(B125)))
  ),
  """&amp;"""
)"),"")</f>
        <v/>
      </c>
      <c r="P125" s="45" t="str">
        <f>IFERROR(__xludf.DUMMYFUNCTION("TEXTJOIN(CHAR(10), TRUE, IFERROR(
  FILTER(TEXT(Remark!A:A, ""dd/mm/yyyy"") &amp; "" - "" &amp; Remark!C:C, TRIM(Remark!B:B) = TRIM(B125)),
  """"
))"),"")</f>
        <v/>
      </c>
      <c r="Q125" s="45" t="str">
        <f>IFERROR(__xludf.DUMMYFUNCTION("IFERROR(
  FILTER(
    Remark!D:D,
    Remark!A:A = MAX(FILTER(Remark!A:A, TRIM(Remark!B:B) = TRIM(B125)))
  ),
  """"
)"),"")</f>
        <v/>
      </c>
      <c r="R125" s="46" t="str">
        <f t="shared" si="2"/>
        <v>Learning</v>
      </c>
      <c r="S125" s="47"/>
      <c r="T125" s="52" t="s">
        <v>334</v>
      </c>
      <c r="U125" s="62"/>
      <c r="V125" s="62"/>
      <c r="W125" s="62">
        <v>1.0</v>
      </c>
      <c r="X125" s="62">
        <v>1.0</v>
      </c>
      <c r="Y125" s="62"/>
      <c r="Z125" s="62"/>
      <c r="AA125" s="49">
        <f t="shared" si="3"/>
        <v>2</v>
      </c>
    </row>
    <row r="126" ht="26.25" customHeight="1">
      <c r="A126" s="49">
        <v>448.0</v>
      </c>
      <c r="B126" s="36" t="s">
        <v>335</v>
      </c>
      <c r="C126" s="40" t="s">
        <v>76</v>
      </c>
      <c r="D126" s="38">
        <v>46057.0</v>
      </c>
      <c r="E126" s="51"/>
      <c r="F126" s="40" t="s">
        <v>323</v>
      </c>
      <c r="G126" s="57" t="s">
        <v>0</v>
      </c>
      <c r="H126" s="57" t="s">
        <v>100</v>
      </c>
      <c r="I126" s="58">
        <v>46058.0</v>
      </c>
      <c r="J126" s="57" t="s">
        <v>159</v>
      </c>
      <c r="K126" s="59" t="b">
        <v>0</v>
      </c>
      <c r="L126" s="60"/>
      <c r="M126" s="61">
        <f t="shared" si="1"/>
        <v>10</v>
      </c>
      <c r="N126" s="61"/>
      <c r="O126" s="61"/>
      <c r="P126" s="61"/>
      <c r="Q126" s="61"/>
      <c r="R126" s="46" t="str">
        <f t="shared" si="2"/>
        <v>Learning</v>
      </c>
      <c r="S126" s="47" t="b">
        <v>0</v>
      </c>
      <c r="T126" s="52" t="s">
        <v>336</v>
      </c>
      <c r="U126" s="61"/>
      <c r="V126" s="62"/>
      <c r="W126" s="62"/>
      <c r="X126" s="62"/>
      <c r="Y126" s="62"/>
      <c r="Z126" s="62"/>
      <c r="AA126" s="49">
        <f t="shared" si="3"/>
        <v>0</v>
      </c>
    </row>
    <row r="127" ht="26.25" customHeight="1">
      <c r="A127" s="35">
        <v>133.0</v>
      </c>
      <c r="B127" s="36" t="s">
        <v>337</v>
      </c>
      <c r="C127" s="37" t="s">
        <v>76</v>
      </c>
      <c r="D127" s="38">
        <v>45086.0</v>
      </c>
      <c r="E127" s="39"/>
      <c r="F127" s="40" t="s">
        <v>338</v>
      </c>
      <c r="G127" s="41" t="s">
        <v>0</v>
      </c>
      <c r="H127" s="40" t="s">
        <v>78</v>
      </c>
      <c r="I127" s="55">
        <v>45493.0</v>
      </c>
      <c r="J127" s="41" t="s">
        <v>92</v>
      </c>
      <c r="K127" s="43" t="b">
        <v>0</v>
      </c>
      <c r="L127" s="44" t="s">
        <v>339</v>
      </c>
      <c r="M127" s="45">
        <f t="shared" si="1"/>
        <v>91</v>
      </c>
      <c r="N127" s="45"/>
      <c r="O127" s="45" t="str">
        <f>IFERROR(__xludf.DUMMYFUNCTION("IFERROR(
  TEXT(
    MAX(FILTER(Remark!A:A, TRIM(Remark!B:B) = TRIM(B127))),
    ""dd/mm/yyyy""
  ) &amp; "" - "" &amp;
  FILTER(
    Remark!C:C,
    TRIM(Remark!B:B) = TRIM(B127),
    Remark!A:A = MAX(FILTER(Remark!A:A, TRIM(Remark!B:B) = TRIM(B127)))
  ),
  """&amp;"""
)"),"17/10/2025 - [Caleb]
The student is easily distracted.
Mentor is advised to guide the student with clear, direct instructions and help build small, consistent habits first.
The student has already started preparing for the final project.")</f>
        <v>17/10/2025 - [Caleb]
The student is easily distracted.
Mentor is advised to guide the student with clear, direct instructions and help build small, consistent habits first.
The student has already started preparing for the final project.</v>
      </c>
      <c r="P127" s="45" t="str">
        <f>IFERROR(__xludf.DUMMYFUNCTION("TEXTJOIN(CHAR(10), TRUE, IFERROR(
  FILTER(TEXT(Remark!A:A, ""dd/mm/yyyy"") &amp; "" - "" &amp; Remark!C:C, TRIM(Remark!B:B) = TRIM(B127)),
  """"
))"),"17/10/2025 - [Caleb]
The student is easily distracted.
Mentor is advised to guide the student with clear, direct instructions and help build small, consistent habits first.
The student has already started preparing for the final project.")</f>
        <v>17/10/2025 - [Caleb]
The student is easily distracted.
Mentor is advised to guide the student with clear, direct instructions and help build small, consistent habits first.
The student has already started preparing for the final project.</v>
      </c>
      <c r="Q127" s="45" t="str">
        <f>IFERROR(__xludf.DUMMYFUNCTION("IFERROR(
  FILTER(
    Remark!D:D,
    Remark!A:A = MAX(FILTER(Remark!A:A, TRIM(Remark!B:B) = TRIM(B127)))
  ),
  """"
)"),"No")</f>
        <v>No</v>
      </c>
      <c r="R127" s="46" t="str">
        <f t="shared" si="2"/>
        <v>Prepare for Showcase</v>
      </c>
      <c r="S127" s="47"/>
      <c r="T127" s="48" t="s">
        <v>340</v>
      </c>
      <c r="U127" s="49">
        <v>3.0</v>
      </c>
      <c r="V127" s="49"/>
      <c r="W127" s="49"/>
      <c r="X127" s="49">
        <v>1.0</v>
      </c>
      <c r="Y127" s="49"/>
      <c r="Z127" s="49"/>
      <c r="AA127" s="49">
        <f t="shared" si="3"/>
        <v>1</v>
      </c>
    </row>
    <row r="128" ht="26.25" customHeight="1">
      <c r="A128" s="35">
        <v>240.0</v>
      </c>
      <c r="B128" s="36" t="s">
        <v>341</v>
      </c>
      <c r="C128" s="37" t="s">
        <v>76</v>
      </c>
      <c r="D128" s="68">
        <v>45413.0</v>
      </c>
      <c r="E128" s="39"/>
      <c r="F128" s="40" t="s">
        <v>338</v>
      </c>
      <c r="G128" s="41" t="s">
        <v>0</v>
      </c>
      <c r="H128" s="40" t="s">
        <v>78</v>
      </c>
      <c r="I128" s="42">
        <v>45801.0</v>
      </c>
      <c r="J128" s="40" t="s">
        <v>92</v>
      </c>
      <c r="K128" s="43" t="b">
        <v>1</v>
      </c>
      <c r="L128" s="44"/>
      <c r="M128" s="45">
        <f t="shared" si="1"/>
        <v>47</v>
      </c>
      <c r="N128" s="49"/>
      <c r="O128" s="45" t="str">
        <f>IFERROR(__xludf.DUMMYFUNCTION("IFERROR(
  TEXT(
    MAX(FILTER(Remark!A:A, TRIM(Remark!B:B) = TRIM(B128))),
    ""dd/mm/yyyy""
  ) &amp; "" - "" &amp;
  FILTER(
    Remark!C:C,
    TRIM(Remark!B:B) = TRIM(B128),
    Remark!A:A = MAX(FILTER(Remark!A:A, TRIM(Remark!B:B) = TRIM(B128)))
  ),
  """&amp;"""
)"),"")</f>
        <v/>
      </c>
      <c r="P128" s="45" t="str">
        <f>IFERROR(__xludf.DUMMYFUNCTION("TEXTJOIN(CHAR(10), TRUE, IFERROR(
  FILTER(TEXT(Remark!A:A, ""dd/mm/yyyy"") &amp; "" - "" &amp; Remark!C:C, TRIM(Remark!B:B) = TRIM(B128)),
  """"
))"),"")</f>
        <v/>
      </c>
      <c r="Q128" s="45" t="str">
        <f>IFERROR(__xludf.DUMMYFUNCTION("IFERROR(
  FILTER(
    Remark!D:D,
    Remark!A:A = MAX(FILTER(Remark!A:A, TRIM(Remark!B:B) = TRIM(B128)))
  ),
  """"
)"),"")</f>
        <v/>
      </c>
      <c r="R128" s="46" t="str">
        <f t="shared" si="2"/>
        <v>Prepare for Showcase</v>
      </c>
      <c r="S128" s="47"/>
      <c r="T128" s="48" t="s">
        <v>342</v>
      </c>
      <c r="U128" s="49">
        <v>9.0</v>
      </c>
      <c r="V128" s="49">
        <v>1.0</v>
      </c>
      <c r="W128" s="49">
        <v>1.0</v>
      </c>
      <c r="X128" s="49">
        <v>1.0</v>
      </c>
      <c r="Y128" s="49"/>
      <c r="Z128" s="49"/>
      <c r="AA128" s="49">
        <f t="shared" si="3"/>
        <v>3</v>
      </c>
    </row>
    <row r="129" ht="26.25" customHeight="1">
      <c r="A129" s="35">
        <v>242.0</v>
      </c>
      <c r="B129" s="36" t="s">
        <v>343</v>
      </c>
      <c r="C129" s="40" t="s">
        <v>76</v>
      </c>
      <c r="D129" s="68">
        <v>45416.0</v>
      </c>
      <c r="E129" s="51"/>
      <c r="F129" s="40" t="s">
        <v>338</v>
      </c>
      <c r="G129" s="41" t="s">
        <v>0</v>
      </c>
      <c r="H129" s="40" t="s">
        <v>78</v>
      </c>
      <c r="I129" s="42">
        <v>46109.0</v>
      </c>
      <c r="J129" s="40" t="s">
        <v>79</v>
      </c>
      <c r="K129" s="43" t="b">
        <v>1</v>
      </c>
      <c r="L129" s="44"/>
      <c r="M129" s="45">
        <f t="shared" si="1"/>
        <v>3</v>
      </c>
      <c r="N129" s="49" t="s">
        <v>344</v>
      </c>
      <c r="O129" s="45" t="str">
        <f>IFERROR(__xludf.DUMMYFUNCTION("IFERROR(
  TEXT(
    MAX(FILTER(Remark!A:A, TRIM(Remark!B:B) = TRIM(B129))),
    ""dd/mm/yyyy""
  ) &amp; "" - "" &amp;
  FILTER(
    Remark!C:C,
    TRIM(Remark!B:B) = TRIM(B129),
    Remark!A:A = MAX(FILTER(Remark!A:A, TRIM(Remark!B:B) = TRIM(B129)))
  ),
  """&amp;"""
)"),"")</f>
        <v/>
      </c>
      <c r="P129" s="45" t="str">
        <f>IFERROR(__xludf.DUMMYFUNCTION("TEXTJOIN(CHAR(10), TRUE, IFERROR(
  FILTER(TEXT(Remark!A:A, ""dd/mm/yyyy"") &amp; "" - "" &amp; Remark!C:C, TRIM(Remark!B:B) = TRIM(B129)),
  """"
))"),"")</f>
        <v/>
      </c>
      <c r="Q129" s="45" t="str">
        <f>IFERROR(__xludf.DUMMYFUNCTION("IFERROR(
  FILTER(
    Remark!D:D,
    Remark!A:A = MAX(FILTER(Remark!A:A, TRIM(Remark!B:B) = TRIM(B129)))
  ),
  """"
)"),"")</f>
        <v/>
      </c>
      <c r="R129" s="46" t="str">
        <f t="shared" si="2"/>
        <v>Learning</v>
      </c>
      <c r="S129" s="43" t="b">
        <v>1</v>
      </c>
      <c r="T129" s="48" t="s">
        <v>345</v>
      </c>
      <c r="U129" s="49">
        <v>9.0</v>
      </c>
      <c r="V129" s="49">
        <v>1.0</v>
      </c>
      <c r="W129" s="49">
        <v>1.0</v>
      </c>
      <c r="X129" s="49">
        <v>1.0</v>
      </c>
      <c r="Y129" s="49"/>
      <c r="Z129" s="49"/>
      <c r="AA129" s="49">
        <f t="shared" si="3"/>
        <v>3</v>
      </c>
    </row>
    <row r="130" ht="26.25" customHeight="1">
      <c r="A130" s="63">
        <v>463.0</v>
      </c>
      <c r="B130" s="64" t="s">
        <v>346</v>
      </c>
      <c r="C130" s="40" t="s">
        <v>76</v>
      </c>
      <c r="D130" s="69">
        <v>46088.0</v>
      </c>
      <c r="E130" s="39"/>
      <c r="F130" s="40" t="s">
        <v>338</v>
      </c>
      <c r="G130" s="40" t="s">
        <v>0</v>
      </c>
      <c r="H130" s="40" t="s">
        <v>78</v>
      </c>
      <c r="I130" s="58">
        <v>46088.0</v>
      </c>
      <c r="J130" s="40" t="s">
        <v>110</v>
      </c>
      <c r="K130" s="43" t="b">
        <v>0</v>
      </c>
      <c r="L130" s="44"/>
      <c r="M130" s="45">
        <f t="shared" si="1"/>
        <v>6</v>
      </c>
      <c r="N130" s="45"/>
      <c r="O130" s="45" t="str">
        <f>IFERROR(__xludf.DUMMYFUNCTION("IFERROR(
  TEXT(
    MAX(FILTER(Remark!A:A, TRIM(Remark!B:B) = TRIM(B130))),
    ""dd/mm/yyyy""
  ) &amp; "" - "" &amp;
  FILTER(
    Remark!C:C,
    TRIM(Remark!B:B) = TRIM(B130),
    Remark!A:A = MAX(FILTER(Remark!A:A, TRIM(Remark!B:B) = TRIM(B130)))
  ),
  """&amp;"""
)"),"")</f>
        <v/>
      </c>
      <c r="P130" s="45" t="str">
        <f>IFERROR(__xludf.DUMMYFUNCTION("TEXTJOIN(CHAR(10), TRUE, IFERROR(
  FILTER(TEXT(Remark!A:A, ""dd/mm/yyyy"") &amp; "" - "" &amp; Remark!C:C, TRIM(Remark!B:B) = TRIM(B130)),
  """"
))"),"")</f>
        <v/>
      </c>
      <c r="Q130" s="45" t="str">
        <f>IFERROR(__xludf.DUMMYFUNCTION("IFERROR(
  FILTER(
    Remark!D:D,
    Remark!A:A = MAX(FILTER(Remark!A:A, TRIM(Remark!B:B) = TRIM(B130)))
  ),
  """"
)"),"")</f>
        <v/>
      </c>
      <c r="R130" s="46" t="str">
        <f t="shared" si="2"/>
        <v>Learning</v>
      </c>
      <c r="S130" s="47" t="b">
        <v>0</v>
      </c>
      <c r="T130" s="48" t="s">
        <v>347</v>
      </c>
      <c r="U130" s="49"/>
      <c r="V130" s="49"/>
      <c r="W130" s="49"/>
      <c r="X130" s="49">
        <v>1.0</v>
      </c>
      <c r="Y130" s="49"/>
      <c r="Z130" s="49"/>
      <c r="AA130" s="49">
        <f t="shared" si="3"/>
        <v>1</v>
      </c>
    </row>
    <row r="131" ht="26.25" customHeight="1">
      <c r="A131" s="66">
        <v>466.0</v>
      </c>
      <c r="B131" s="36" t="s">
        <v>348</v>
      </c>
      <c r="C131" s="40" t="s">
        <v>76</v>
      </c>
      <c r="D131" s="69">
        <v>46088.0</v>
      </c>
      <c r="E131" s="51"/>
      <c r="F131" s="40" t="s">
        <v>338</v>
      </c>
      <c r="G131" s="57" t="s">
        <v>0</v>
      </c>
      <c r="H131" s="57" t="s">
        <v>78</v>
      </c>
      <c r="I131" s="58">
        <v>46088.0</v>
      </c>
      <c r="J131" s="57" t="s">
        <v>159</v>
      </c>
      <c r="K131" s="59" t="b">
        <v>0</v>
      </c>
      <c r="L131" s="60"/>
      <c r="M131" s="61">
        <f t="shared" si="1"/>
        <v>6</v>
      </c>
      <c r="N131" s="61"/>
      <c r="O131" s="45" t="str">
        <f>IFERROR(__xludf.DUMMYFUNCTION("IFERROR(
  TEXT(
    MAX(FILTER(Remark!A:A, TRIM(Remark!B:B) = TRIM(B131))),
    ""dd/mm/yyyy""
  ) &amp; "" - "" &amp;
  FILTER(
    Remark!C:C,
    TRIM(Remark!B:B) = TRIM(B131),
    Remark!A:A = MAX(FILTER(Remark!A:A, TRIM(Remark!B:B) = TRIM(B131)))
  ),
  """&amp;"""
)"),"")</f>
        <v/>
      </c>
      <c r="P131" s="45" t="str">
        <f>IFERROR(__xludf.DUMMYFUNCTION("TEXTJOIN(CHAR(10), TRUE, IFERROR(
  FILTER(TEXT(Remark!A:A, ""dd/mm/yyyy"") &amp; "" - "" &amp; Remark!C:C, TRIM(Remark!B:B) = TRIM(B131)),
  """"
))"),"")</f>
        <v/>
      </c>
      <c r="Q131" s="45" t="str">
        <f>IFERROR(__xludf.DUMMYFUNCTION("IFERROR(
  FILTER(
    Remark!D:D,
    Remark!A:A = MAX(FILTER(Remark!A:A, TRIM(Remark!B:B) = TRIM(B131)))
  ),
  """"
)"),"")</f>
        <v/>
      </c>
      <c r="R131" s="46" t="str">
        <f t="shared" si="2"/>
        <v>Learning</v>
      </c>
      <c r="S131" s="43" t="b">
        <v>0</v>
      </c>
      <c r="T131" s="52" t="s">
        <v>349</v>
      </c>
      <c r="U131" s="62"/>
      <c r="V131" s="62"/>
      <c r="W131" s="62"/>
      <c r="X131" s="62">
        <v>1.0</v>
      </c>
      <c r="Y131" s="62"/>
      <c r="Z131" s="62"/>
      <c r="AA131" s="49">
        <f t="shared" si="3"/>
        <v>1</v>
      </c>
    </row>
    <row r="132" ht="26.25" customHeight="1">
      <c r="A132" s="35">
        <v>302.0</v>
      </c>
      <c r="B132" s="36" t="s">
        <v>350</v>
      </c>
      <c r="C132" s="40" t="s">
        <v>76</v>
      </c>
      <c r="D132" s="38">
        <v>45663.0</v>
      </c>
      <c r="E132" s="51"/>
      <c r="F132" s="40" t="s">
        <v>338</v>
      </c>
      <c r="G132" s="57" t="s">
        <v>0</v>
      </c>
      <c r="H132" s="57" t="s">
        <v>91</v>
      </c>
      <c r="I132" s="58">
        <v>45663.0</v>
      </c>
      <c r="J132" s="57" t="s">
        <v>126</v>
      </c>
      <c r="K132" s="43" t="b">
        <v>1</v>
      </c>
      <c r="L132" s="60"/>
      <c r="M132" s="61">
        <f t="shared" si="1"/>
        <v>66</v>
      </c>
      <c r="N132" s="61"/>
      <c r="O132" s="45" t="str">
        <f>IFERROR(__xludf.DUMMYFUNCTION("IFERROR(
  TEXT(
    MAX(FILTER(Remark!A:A, TRIM(Remark!B:B) = TRIM(B132))),
    ""dd/mm/yyyy""
  ) &amp; "" - "" &amp;
  FILTER(
    Remark!C:C,
    TRIM(Remark!B:B) = TRIM(B132),
    Remark!A:A = MAX(FILTER(Remark!A:A, TRIM(Remark!B:B) = TRIM(B132)))
  ),
  """&amp;"""
)"),"")</f>
        <v/>
      </c>
      <c r="P132" s="45" t="str">
        <f>IFERROR(__xludf.DUMMYFUNCTION("TEXTJOIN(CHAR(10), TRUE, IFERROR(
  FILTER(TEXT(Remark!A:A, ""dd/mm/yyyy"") &amp; "" - "" &amp; Remark!C:C, TRIM(Remark!B:B) = TRIM(B132)),
  """"
))"),"")</f>
        <v/>
      </c>
      <c r="Q132" s="45" t="str">
        <f>IFERROR(__xludf.DUMMYFUNCTION("IFERROR(
  FILTER(
    Remark!D:D,
    Remark!A:A = MAX(FILTER(Remark!A:A, TRIM(Remark!B:B) = TRIM(B132)))
  ),
  """"
)"),"")</f>
        <v/>
      </c>
      <c r="R132" s="46" t="str">
        <f t="shared" si="2"/>
        <v>Prepare for Showcase</v>
      </c>
      <c r="S132" s="47"/>
      <c r="T132" s="52" t="s">
        <v>351</v>
      </c>
      <c r="U132" s="49">
        <v>1.0</v>
      </c>
      <c r="V132" s="49">
        <v>1.0</v>
      </c>
      <c r="W132" s="49"/>
      <c r="X132" s="49">
        <v>1.0</v>
      </c>
      <c r="Y132" s="49"/>
      <c r="Z132" s="49"/>
      <c r="AA132" s="49">
        <f t="shared" si="3"/>
        <v>2</v>
      </c>
    </row>
    <row r="133" ht="26.25" customHeight="1">
      <c r="A133" s="35">
        <v>324.0</v>
      </c>
      <c r="B133" s="36" t="s">
        <v>352</v>
      </c>
      <c r="C133" s="40" t="s">
        <v>76</v>
      </c>
      <c r="D133" s="38">
        <v>45717.0</v>
      </c>
      <c r="E133" s="51"/>
      <c r="F133" s="40" t="s">
        <v>338</v>
      </c>
      <c r="G133" s="57" t="s">
        <v>0</v>
      </c>
      <c r="H133" s="57" t="s">
        <v>91</v>
      </c>
      <c r="I133" s="58">
        <v>45899.0</v>
      </c>
      <c r="J133" s="57" t="s">
        <v>92</v>
      </c>
      <c r="K133" s="59" t="b">
        <v>1</v>
      </c>
      <c r="L133" s="60"/>
      <c r="M133" s="61">
        <f t="shared" si="1"/>
        <v>33</v>
      </c>
      <c r="N133" s="49"/>
      <c r="O133" s="45" t="str">
        <f>IFERROR(__xludf.DUMMYFUNCTION("IFERROR(
  TEXT(
    MAX(FILTER(Remark!A:A, TRIM(Remark!B:B) = TRIM(B133))),
    ""dd/mm/yyyy""
  ) &amp; "" - "" &amp;
  FILTER(
    Remark!C:C,
    TRIM(Remark!B:B) = TRIM(B133),
    Remark!A:A = MAX(FILTER(Remark!A:A, TRIM(Remark!B:B) = TRIM(B133)))
  ),
  """&amp;"""
)"),"")</f>
        <v/>
      </c>
      <c r="P133" s="45" t="str">
        <f>IFERROR(__xludf.DUMMYFUNCTION("TEXTJOIN(CHAR(10), TRUE, IFERROR(
  FILTER(TEXT(Remark!A:A, ""dd/mm/yyyy"") &amp; "" - "" &amp; Remark!C:C, TRIM(Remark!B:B) = TRIM(B133)),
  """"
))"),"")</f>
        <v/>
      </c>
      <c r="Q133" s="45" t="str">
        <f>IFERROR(__xludf.DUMMYFUNCTION("IFERROR(
  FILTER(
    Remark!D:D,
    Remark!A:A = MAX(FILTER(Remark!A:A, TRIM(Remark!B:B) = TRIM(B133)))
  ),
  """"
)"),"")</f>
        <v/>
      </c>
      <c r="R133" s="46" t="str">
        <f t="shared" si="2"/>
        <v>Starting Final Project</v>
      </c>
      <c r="S133" s="47"/>
      <c r="T133" s="52" t="s">
        <v>353</v>
      </c>
      <c r="U133" s="62">
        <v>3.0</v>
      </c>
      <c r="V133" s="62">
        <v>1.0</v>
      </c>
      <c r="W133" s="62"/>
      <c r="X133" s="62">
        <v>1.0</v>
      </c>
      <c r="Y133" s="62"/>
      <c r="Z133" s="62"/>
      <c r="AA133" s="49">
        <f t="shared" si="3"/>
        <v>2</v>
      </c>
    </row>
    <row r="134" ht="26.25" customHeight="1">
      <c r="A134" s="35">
        <v>340.0</v>
      </c>
      <c r="B134" s="36" t="s">
        <v>354</v>
      </c>
      <c r="C134" s="40" t="s">
        <v>76</v>
      </c>
      <c r="D134" s="54">
        <v>45731.0</v>
      </c>
      <c r="E134" s="51"/>
      <c r="F134" s="40" t="s">
        <v>338</v>
      </c>
      <c r="G134" s="57" t="s">
        <v>0</v>
      </c>
      <c r="H134" s="57" t="s">
        <v>91</v>
      </c>
      <c r="I134" s="58">
        <v>45731.0</v>
      </c>
      <c r="J134" s="57" t="s">
        <v>126</v>
      </c>
      <c r="K134" s="59" t="b">
        <v>1</v>
      </c>
      <c r="L134" s="60"/>
      <c r="M134" s="61">
        <f t="shared" si="1"/>
        <v>57</v>
      </c>
      <c r="N134" s="61"/>
      <c r="O134" s="45" t="str">
        <f>IFERROR(__xludf.DUMMYFUNCTION("IFERROR(
  TEXT(
    MAX(FILTER(Remark!A:A, TRIM(Remark!B:B) = TRIM(B134))),
    ""dd/mm/yyyy""
  ) &amp; "" - "" &amp;
  FILTER(
    Remark!C:C,
    TRIM(Remark!B:B) = TRIM(B134),
    Remark!A:A = MAX(FILTER(Remark!A:A, TRIM(Remark!B:B) = TRIM(B134)))
  ),
  """&amp;"""
)"),"25/11/2025 - -building monoploy game (since learning dice)")</f>
        <v>25/11/2025 - -building monoploy game (since learning dice)</v>
      </c>
      <c r="P134" s="45" t="str">
        <f>IFERROR(__xludf.DUMMYFUNCTION("TEXTJOIN(CHAR(10), TRUE, IFERROR(
  FILTER(TEXT(Remark!A:A, ""dd/mm/yyyy"") &amp; "" - "" &amp; Remark!C:C, TRIM(Remark!B:B) = TRIM(B134)),
  """"
))"),"25/11/2025 - -building monoploy game (since learning dice)")</f>
        <v>25/11/2025 - -building monoploy game (since learning dice)</v>
      </c>
      <c r="Q134" s="45" t="str">
        <f>IFERROR(__xludf.DUMMYFUNCTION("IFERROR(
  FILTER(
    Remark!D:D,
    Remark!A:A = MAX(FILTER(Remark!A:A, TRIM(Remark!B:B) = TRIM(B134)))
  ),
  """"
)"),"Yes")</f>
        <v>Yes</v>
      </c>
      <c r="R134" s="46" t="str">
        <f t="shared" si="2"/>
        <v>Prepare for Showcase</v>
      </c>
      <c r="S134" s="43" t="b">
        <v>1</v>
      </c>
      <c r="T134" s="52" t="s">
        <v>355</v>
      </c>
      <c r="U134" s="62">
        <v>3.0</v>
      </c>
      <c r="V134" s="62">
        <v>1.0</v>
      </c>
      <c r="W134" s="62"/>
      <c r="X134" s="62"/>
      <c r="Y134" s="62"/>
      <c r="Z134" s="62"/>
      <c r="AA134" s="49">
        <f t="shared" si="3"/>
        <v>1</v>
      </c>
    </row>
    <row r="135" ht="26.25" customHeight="1">
      <c r="A135" s="35">
        <v>390.0</v>
      </c>
      <c r="B135" s="36" t="s">
        <v>356</v>
      </c>
      <c r="C135" s="40" t="s">
        <v>76</v>
      </c>
      <c r="D135" s="38">
        <v>45843.0</v>
      </c>
      <c r="E135" s="51"/>
      <c r="F135" s="40" t="s">
        <v>338</v>
      </c>
      <c r="G135" s="57" t="s">
        <v>0</v>
      </c>
      <c r="H135" s="57" t="s">
        <v>91</v>
      </c>
      <c r="I135" s="58">
        <v>45843.0</v>
      </c>
      <c r="J135" s="57" t="s">
        <v>126</v>
      </c>
      <c r="K135" s="59" t="b">
        <v>1</v>
      </c>
      <c r="L135" s="60"/>
      <c r="M135" s="61">
        <f t="shared" si="1"/>
        <v>41</v>
      </c>
      <c r="N135" s="61"/>
      <c r="O135" s="45" t="str">
        <f>IFERROR(__xludf.DUMMYFUNCTION("IFERROR(
  TEXT(
    MAX(FILTER(Remark!A:A, TRIM(Remark!B:B) = TRIM(B135))),
    ""dd/mm/yyyy""
  ) &amp; "" - "" &amp;
  FILTER(
    Remark!C:C,
    TRIM(Remark!B:B) = TRIM(B135),
    Remark!A:A = MAX(FILTER(Remark!A:A, TRIM(Remark!B:B) = TRIM(B135)))
  ),
  """&amp;"""
)"),"")</f>
        <v/>
      </c>
      <c r="P135" s="45" t="str">
        <f>IFERROR(__xludf.DUMMYFUNCTION("TEXTJOIN(CHAR(10), TRUE, IFERROR(
  FILTER(TEXT(Remark!A:A, ""dd/mm/yyyy"") &amp; "" - "" &amp; Remark!C:C, TRIM(Remark!B:B) = TRIM(B135)),
  """"
))"),"")</f>
        <v/>
      </c>
      <c r="Q135" s="45" t="str">
        <f>IFERROR(__xludf.DUMMYFUNCTION("IFERROR(
  FILTER(
    Remark!D:D,
    Remark!A:A = MAX(FILTER(Remark!A:A, TRIM(Remark!B:B) = TRIM(B135)))
  ),
  """"
)"),"")</f>
        <v/>
      </c>
      <c r="R135" s="46" t="str">
        <f t="shared" si="2"/>
        <v>Prepare for Showcase</v>
      </c>
      <c r="S135" s="47"/>
      <c r="T135" s="52" t="s">
        <v>357</v>
      </c>
      <c r="U135" s="62">
        <v>2.0</v>
      </c>
      <c r="V135" s="62"/>
      <c r="W135" s="62"/>
      <c r="X135" s="62"/>
      <c r="Y135" s="62"/>
      <c r="Z135" s="62"/>
      <c r="AA135" s="49">
        <f t="shared" si="3"/>
        <v>0</v>
      </c>
    </row>
    <row r="136" ht="26.25" customHeight="1">
      <c r="A136" s="35">
        <v>129.0</v>
      </c>
      <c r="B136" s="48" t="s">
        <v>358</v>
      </c>
      <c r="C136" s="37" t="s">
        <v>76</v>
      </c>
      <c r="D136" s="68">
        <v>45054.0</v>
      </c>
      <c r="E136" s="39"/>
      <c r="F136" s="40" t="s">
        <v>338</v>
      </c>
      <c r="G136" s="41" t="s">
        <v>0</v>
      </c>
      <c r="H136" s="40" t="s">
        <v>100</v>
      </c>
      <c r="I136" s="42">
        <v>46041.0</v>
      </c>
      <c r="J136" s="40" t="s">
        <v>92</v>
      </c>
      <c r="K136" s="43" t="b">
        <v>1</v>
      </c>
      <c r="L136" s="76"/>
      <c r="M136" s="45">
        <f t="shared" si="1"/>
        <v>12</v>
      </c>
      <c r="N136" s="45"/>
      <c r="O136" s="45" t="str">
        <f>IFERROR(__xludf.DUMMYFUNCTION("IFERROR(
  TEXT(
    MAX(FILTER(Remark!A:A, TRIM(Remark!B:B) = TRIM(B136))),
    ""dd/mm/yyyy""
  ) &amp; "" - "" &amp;
  FILTER(
    Remark!C:C,
    TRIM(Remark!B:B) = TRIM(B136),
    Remark!A:A = MAX(FILTER(Remark!A:A, TRIM(Remark!B:B) = TRIM(B136)))
  ),
  """&amp;"""
)"),"14/10/2025 - [Caleb]
(42th week) The student is currently working on his final project with no progress issues. The course consists of three parts, each lasting six months, with additional time allocated for six project submissions. He is now aiming to jo"&amp;"in the year-end showcase.")</f>
        <v>14/10/2025 - [Caleb]
(42th week) The student is currently working on his final project with no progress issues. The course consists of three parts, each lasting six months, with additional time allocated for six project submissions. He is now aiming to join the year-end showcase.</v>
      </c>
      <c r="P136" s="45" t="str">
        <f>IFERROR(__xludf.DUMMYFUNCTION("TEXTJOIN(CHAR(10), TRUE, IFERROR(
  FILTER(TEXT(Remark!A:A, ""dd/mm/yyyy"") &amp; "" - "" &amp; Remark!C:C, TRIM(Remark!B:B) = TRIM(B136)),
  """"
))"),"14/10/2025 - [Caleb]
(42th week) The student is currently working on his final project with no progress issues. The course consists of three parts, each lasting six months, with additional time allocated for six project submissions. He is now aiming to jo"&amp;"in the year-end showcase.")</f>
        <v>14/10/2025 - [Caleb]
(42th week) The student is currently working on his final project with no progress issues. The course consists of three parts, each lasting six months, with additional time allocated for six project submissions. He is now aiming to join the year-end showcase.</v>
      </c>
      <c r="Q136" s="45" t="str">
        <f>IFERROR(__xludf.DUMMYFUNCTION("IFERROR(
  FILTER(
    Remark!D:D,
    Remark!A:A = MAX(FILTER(Remark!A:A, TRIM(Remark!B:B) = TRIM(B136)))
  ),
  """"
)"),"Yes")</f>
        <v>Yes</v>
      </c>
      <c r="R136" s="46" t="str">
        <f t="shared" si="2"/>
        <v>Learning</v>
      </c>
      <c r="S136" s="47"/>
      <c r="T136" s="56" t="s">
        <v>359</v>
      </c>
      <c r="U136" s="49">
        <v>6.0</v>
      </c>
      <c r="V136" s="49">
        <v>1.0</v>
      </c>
      <c r="W136" s="49"/>
      <c r="X136" s="49">
        <v>1.0</v>
      </c>
      <c r="Y136" s="49"/>
      <c r="Z136" s="49"/>
      <c r="AA136" s="49">
        <f t="shared" si="3"/>
        <v>2</v>
      </c>
    </row>
    <row r="137" ht="26.25" customHeight="1">
      <c r="A137" s="77">
        <v>335.0</v>
      </c>
      <c r="B137" s="71" t="s">
        <v>360</v>
      </c>
      <c r="C137" s="78" t="s">
        <v>76</v>
      </c>
      <c r="D137" s="69">
        <v>45722.0</v>
      </c>
      <c r="E137" s="79"/>
      <c r="F137" s="40" t="s">
        <v>338</v>
      </c>
      <c r="G137" s="80" t="s">
        <v>0</v>
      </c>
      <c r="H137" s="80" t="s">
        <v>100</v>
      </c>
      <c r="I137" s="81">
        <v>45722.0</v>
      </c>
      <c r="J137" s="80" t="s">
        <v>159</v>
      </c>
      <c r="K137" s="82" t="b">
        <v>1</v>
      </c>
      <c r="L137" s="83"/>
      <c r="M137" s="84">
        <f t="shared" si="1"/>
        <v>58</v>
      </c>
      <c r="N137" s="84"/>
      <c r="O137" s="85" t="str">
        <f>IFERROR(__xludf.DUMMYFUNCTION("IFERROR(
  TEXT(
    MAX(FILTER(Remark!A:A, TRIM(Remark!B:B) = TRIM(B137))),
    ""dd/mm/yyyy""
  ) &amp; "" - "" &amp;
  FILTER(
    Remark!C:C,
    TRIM(Remark!B:B) = TRIM(B137),
    Remark!A:A = MAX(FILTER(Remark!A:A, TRIM(Remark!B:B) = TRIM(B137)))
  ),
  """&amp;"""
)"),"")</f>
        <v/>
      </c>
      <c r="P137" s="85" t="str">
        <f>IFERROR(__xludf.DUMMYFUNCTION("TEXTJOIN(CHAR(10), TRUE, IFERROR(
  FILTER(TEXT(Remark!A:A, ""dd/mm/yyyy"") &amp; "" - "" &amp; Remark!C:C, TRIM(Remark!B:B) = TRIM(B137)),
  """"
))"),"")</f>
        <v/>
      </c>
      <c r="Q137" s="85" t="str">
        <f>IFERROR(__xludf.DUMMYFUNCTION("IFERROR(
  FILTER(
    Remark!D:D,
    Remark!A:A = MAX(FILTER(Remark!A:A, TRIM(Remark!B:B) = TRIM(B137)))
  ),
  """"
)"),"")</f>
        <v/>
      </c>
      <c r="R137" s="86" t="str">
        <f t="shared" si="2"/>
        <v>Prepare for Showcase</v>
      </c>
      <c r="S137" s="87"/>
      <c r="T137" s="88" t="s">
        <v>361</v>
      </c>
      <c r="U137" s="89">
        <v>3.0</v>
      </c>
      <c r="V137" s="89"/>
      <c r="W137" s="89">
        <v>1.0</v>
      </c>
      <c r="X137" s="89">
        <v>1.0</v>
      </c>
      <c r="Y137" s="89"/>
      <c r="Z137" s="89"/>
      <c r="AA137" s="49">
        <f t="shared" si="3"/>
        <v>2</v>
      </c>
    </row>
    <row r="138" ht="26.25" customHeight="1">
      <c r="A138" s="35">
        <v>339.0</v>
      </c>
      <c r="B138" s="36" t="s">
        <v>362</v>
      </c>
      <c r="C138" s="40" t="s">
        <v>76</v>
      </c>
      <c r="D138" s="38">
        <v>45723.0</v>
      </c>
      <c r="E138" s="51"/>
      <c r="F138" s="40" t="s">
        <v>338</v>
      </c>
      <c r="G138" s="57" t="s">
        <v>0</v>
      </c>
      <c r="H138" s="57" t="s">
        <v>100</v>
      </c>
      <c r="I138" s="58">
        <v>45990.0</v>
      </c>
      <c r="J138" s="57" t="s">
        <v>101</v>
      </c>
      <c r="K138" s="59" t="b">
        <v>1</v>
      </c>
      <c r="L138" s="60"/>
      <c r="M138" s="61">
        <f t="shared" si="1"/>
        <v>20</v>
      </c>
      <c r="N138" s="62"/>
      <c r="O138" s="45" t="str">
        <f>IFERROR(__xludf.DUMMYFUNCTION("IFERROR(
  TEXT(
    MAX(FILTER(Remark!A:A, TRIM(Remark!B:B) = TRIM(B138))),
    ""dd/mm/yyyy""
  ) &amp; "" - "" &amp;
  FILTER(
    Remark!C:C,
    TRIM(Remark!B:B) = TRIM(B138),
    Remark!A:A = MAX(FILTER(Remark!A:A, TRIM(Remark!B:B) = TRIM(B138)))
  ),
  """&amp;"""
)"),"")</f>
        <v/>
      </c>
      <c r="P138" s="45" t="str">
        <f>IFERROR(__xludf.DUMMYFUNCTION("TEXTJOIN(CHAR(10), TRUE, IFERROR(
  FILTER(TEXT(Remark!A:A, ""dd/mm/yyyy"") &amp; "" - "" &amp; Remark!C:C, TRIM(Remark!B:B) = TRIM(B138)),
  """"
))"),"")</f>
        <v/>
      </c>
      <c r="Q138" s="45" t="str">
        <f>IFERROR(__xludf.DUMMYFUNCTION("IFERROR(
  FILTER(
    Remark!D:D,
    Remark!A:A = MAX(FILTER(Remark!A:A, TRIM(Remark!B:B) = TRIM(B138)))
  ),
  """"
)"),"")</f>
        <v/>
      </c>
      <c r="R138" s="46" t="str">
        <f t="shared" si="2"/>
        <v>Learning</v>
      </c>
      <c r="S138" s="47"/>
      <c r="T138" s="52" t="s">
        <v>363</v>
      </c>
      <c r="U138" s="62">
        <v>6.0</v>
      </c>
      <c r="V138" s="62">
        <v>1.0</v>
      </c>
      <c r="W138" s="62"/>
      <c r="X138" s="62">
        <v>1.0</v>
      </c>
      <c r="Y138" s="62"/>
      <c r="Z138" s="62"/>
      <c r="AA138" s="49">
        <f t="shared" si="3"/>
        <v>2</v>
      </c>
    </row>
    <row r="139" ht="26.25" customHeight="1">
      <c r="A139" s="63">
        <v>464.0</v>
      </c>
      <c r="B139" s="64" t="s">
        <v>364</v>
      </c>
      <c r="C139" s="40" t="s">
        <v>76</v>
      </c>
      <c r="D139" s="69">
        <v>46088.0</v>
      </c>
      <c r="E139" s="39"/>
      <c r="F139" s="40" t="s">
        <v>338</v>
      </c>
      <c r="G139" s="40" t="s">
        <v>0</v>
      </c>
      <c r="H139" s="40" t="s">
        <v>100</v>
      </c>
      <c r="I139" s="58">
        <v>46088.0</v>
      </c>
      <c r="J139" s="40" t="s">
        <v>110</v>
      </c>
      <c r="K139" s="43" t="b">
        <v>0</v>
      </c>
      <c r="L139" s="44"/>
      <c r="M139" s="45">
        <f t="shared" si="1"/>
        <v>6</v>
      </c>
      <c r="N139" s="45"/>
      <c r="O139" s="45" t="str">
        <f>IFERROR(__xludf.DUMMYFUNCTION("IFERROR(
  TEXT(
    MAX(FILTER(Remark!A:A, TRIM(Remark!B:B) = TRIM(B139))),
    ""dd/mm/yyyy""
  ) &amp; "" - "" &amp;
  FILTER(
    Remark!C:C,
    TRIM(Remark!B:B) = TRIM(B139),
    Remark!A:A = MAX(FILTER(Remark!A:A, TRIM(Remark!B:B) = TRIM(B139)))
  ),
  """&amp;"""
)"),"")</f>
        <v/>
      </c>
      <c r="P139" s="45" t="str">
        <f>IFERROR(__xludf.DUMMYFUNCTION("TEXTJOIN(CHAR(10), TRUE, IFERROR(
  FILTER(TEXT(Remark!A:A, ""dd/mm/yyyy"") &amp; "" - "" &amp; Remark!C:C, TRIM(Remark!B:B) = TRIM(B139)),
  """"
))"),"")</f>
        <v/>
      </c>
      <c r="Q139" s="45" t="str">
        <f>IFERROR(__xludf.DUMMYFUNCTION("IFERROR(
  FILTER(
    Remark!D:D,
    Remark!A:A = MAX(FILTER(Remark!A:A, TRIM(Remark!B:B) = TRIM(B139)))
  ),
  """"
)"),"")</f>
        <v/>
      </c>
      <c r="R139" s="46" t="str">
        <f t="shared" si="2"/>
        <v>Learning</v>
      </c>
      <c r="S139" s="47" t="b">
        <v>0</v>
      </c>
      <c r="T139" s="48" t="s">
        <v>347</v>
      </c>
      <c r="U139" s="49"/>
      <c r="V139" s="49"/>
      <c r="W139" s="49"/>
      <c r="X139" s="49">
        <v>1.0</v>
      </c>
      <c r="Y139" s="49"/>
      <c r="Z139" s="49"/>
      <c r="AA139" s="49">
        <f t="shared" si="3"/>
        <v>1</v>
      </c>
    </row>
    <row r="140" ht="26.25" customHeight="1">
      <c r="A140" s="53">
        <v>244.0</v>
      </c>
      <c r="B140" s="50" t="s">
        <v>365</v>
      </c>
      <c r="C140" s="37" t="s">
        <v>76</v>
      </c>
      <c r="D140" s="68">
        <v>45419.0</v>
      </c>
      <c r="E140" s="39"/>
      <c r="F140" s="37" t="s">
        <v>366</v>
      </c>
      <c r="G140" s="41" t="s">
        <v>367</v>
      </c>
      <c r="H140" s="40" t="s">
        <v>91</v>
      </c>
      <c r="I140" s="55">
        <v>45618.0</v>
      </c>
      <c r="J140" s="41" t="s">
        <v>101</v>
      </c>
      <c r="K140" s="43" t="b">
        <v>0</v>
      </c>
      <c r="L140" s="44"/>
      <c r="M140" s="45">
        <f t="shared" si="1"/>
        <v>73</v>
      </c>
      <c r="N140" s="45"/>
      <c r="O140" s="45" t="str">
        <f>IFERROR(__xludf.DUMMYFUNCTION("IFERROR(
  TEXT(
    MAX(FILTER(Remark!A:A, TRIM(Remark!B:B) = TRIM(B140))),
    ""dd/mm/yyyy""
  ) &amp; "" - "" &amp;
  FILTER(
    Remark!C:C,
    TRIM(Remark!B:B) = TRIM(B140),
    Remark!A:A = MAX(FILTER(Remark!A:A, TRIM(Remark!B:B) = TRIM(B140)))
  ),
  """&amp;"""
)"),"")</f>
        <v/>
      </c>
      <c r="P140" s="45" t="str">
        <f>IFERROR(__xludf.DUMMYFUNCTION("TEXTJOIN(CHAR(10), TRUE, IFERROR(
  FILTER(TEXT(Remark!A:A, ""dd/mm/yyyy"") &amp; "" - "" &amp; Remark!C:C, TRIM(Remark!B:B) = TRIM(B140)),
  """"
))"),"")</f>
        <v/>
      </c>
      <c r="Q140" s="45" t="str">
        <f>IFERROR(__xludf.DUMMYFUNCTION("IFERROR(
  FILTER(
    Remark!D:D,
    Remark!A:A = MAX(FILTER(Remark!A:A, TRIM(Remark!B:B) = TRIM(B140)))
  ),
  """"
)"),"")</f>
        <v/>
      </c>
      <c r="R140" s="46" t="str">
        <f t="shared" si="2"/>
        <v>Prepare for Showcase</v>
      </c>
      <c r="S140" s="43" t="b">
        <v>1</v>
      </c>
      <c r="T140" s="48" t="s">
        <v>368</v>
      </c>
      <c r="U140" s="49">
        <v>2.0</v>
      </c>
      <c r="V140" s="49">
        <v>1.0</v>
      </c>
      <c r="W140" s="49">
        <v>1.0</v>
      </c>
      <c r="X140" s="49">
        <v>1.0</v>
      </c>
      <c r="Y140" s="49"/>
      <c r="Z140" s="49"/>
      <c r="AA140" s="49">
        <f t="shared" si="3"/>
        <v>3</v>
      </c>
    </row>
    <row r="141" ht="26.25" customHeight="1">
      <c r="A141" s="53">
        <v>245.0</v>
      </c>
      <c r="B141" s="50" t="s">
        <v>369</v>
      </c>
      <c r="C141" s="37" t="s">
        <v>76</v>
      </c>
      <c r="D141" s="68">
        <v>45419.0</v>
      </c>
      <c r="E141" s="39"/>
      <c r="F141" s="37" t="s">
        <v>366</v>
      </c>
      <c r="G141" s="41" t="s">
        <v>367</v>
      </c>
      <c r="H141" s="40" t="s">
        <v>91</v>
      </c>
      <c r="I141" s="42">
        <v>45759.0</v>
      </c>
      <c r="J141" s="40" t="s">
        <v>101</v>
      </c>
      <c r="K141" s="43" t="b">
        <v>1</v>
      </c>
      <c r="L141" s="44"/>
      <c r="M141" s="45">
        <f t="shared" si="1"/>
        <v>53</v>
      </c>
      <c r="N141" s="49"/>
      <c r="O141" s="45" t="str">
        <f>IFERROR(__xludf.DUMMYFUNCTION("IFERROR(
  TEXT(
    MAX(FILTER(Remark!A:A, TRIM(Remark!B:B) = TRIM(B141))),
    ""dd/mm/yyyy""
  ) &amp; "" - "" &amp;
  FILTER(
    Remark!C:C,
    TRIM(Remark!B:B) = TRIM(B141),
    Remark!A:A = MAX(FILTER(Remark!A:A, TRIM(Remark!B:B) = TRIM(B141)))
  ),
  """&amp;"""
)"),"")</f>
        <v/>
      </c>
      <c r="P141" s="45" t="str">
        <f>IFERROR(__xludf.DUMMYFUNCTION("TEXTJOIN(CHAR(10), TRUE, IFERROR(
  FILTER(TEXT(Remark!A:A, ""dd/mm/yyyy"") &amp; "" - "" &amp; Remark!C:C, TRIM(Remark!B:B) = TRIM(B141)),
  """"
))"),"")</f>
        <v/>
      </c>
      <c r="Q141" s="45" t="str">
        <f>IFERROR(__xludf.DUMMYFUNCTION("IFERROR(
  FILTER(
    Remark!D:D,
    Remark!A:A = MAX(FILTER(Remark!A:A, TRIM(Remark!B:B) = TRIM(B141)))
  ),
  """"
)"),"")</f>
        <v/>
      </c>
      <c r="R141" s="46" t="str">
        <f t="shared" si="2"/>
        <v>Prepare for Showcase</v>
      </c>
      <c r="S141" s="43" t="b">
        <v>1</v>
      </c>
      <c r="T141" s="48" t="s">
        <v>370</v>
      </c>
      <c r="U141" s="49">
        <v>2.0</v>
      </c>
      <c r="V141" s="49">
        <v>1.0</v>
      </c>
      <c r="W141" s="49">
        <v>1.0</v>
      </c>
      <c r="X141" s="49">
        <v>1.0</v>
      </c>
      <c r="Y141" s="49"/>
      <c r="Z141" s="49"/>
      <c r="AA141" s="49">
        <f t="shared" si="3"/>
        <v>3</v>
      </c>
    </row>
    <row r="142" ht="26.25" customHeight="1">
      <c r="A142" s="53">
        <v>286.0</v>
      </c>
      <c r="B142" s="50" t="s">
        <v>371</v>
      </c>
      <c r="C142" s="37" t="s">
        <v>76</v>
      </c>
      <c r="D142" s="54">
        <v>45547.0</v>
      </c>
      <c r="E142" s="39"/>
      <c r="F142" s="37" t="s">
        <v>366</v>
      </c>
      <c r="G142" s="41" t="s">
        <v>367</v>
      </c>
      <c r="H142" s="40" t="s">
        <v>91</v>
      </c>
      <c r="I142" s="42">
        <v>45870.0</v>
      </c>
      <c r="J142" s="40" t="s">
        <v>79</v>
      </c>
      <c r="K142" s="43" t="b">
        <v>1</v>
      </c>
      <c r="L142" s="44"/>
      <c r="M142" s="45">
        <f t="shared" si="1"/>
        <v>37</v>
      </c>
      <c r="N142" s="49"/>
      <c r="O142" s="45" t="str">
        <f>IFERROR(__xludf.DUMMYFUNCTION("IFERROR(
  TEXT(
    MAX(FILTER(Remark!A:A, TRIM(Remark!B:B) = TRIM(B142))),
    ""dd/mm/yyyy""
  ) &amp; "" - "" &amp;
  FILTER(
    Remark!C:C,
    TRIM(Remark!B:B) = TRIM(B142),
    Remark!A:A = MAX(FILTER(Remark!A:A, TRIM(Remark!B:B) = TRIM(B142)))
  ),
  """&amp;"""
)"),"")</f>
        <v/>
      </c>
      <c r="P142" s="45" t="str">
        <f>IFERROR(__xludf.DUMMYFUNCTION("TEXTJOIN(CHAR(10), TRUE, IFERROR(
  FILTER(TEXT(Remark!A:A, ""dd/mm/yyyy"") &amp; "" - "" &amp; Remark!C:C, TRIM(Remark!B:B) = TRIM(B142)),
  """"
))"),"")</f>
        <v/>
      </c>
      <c r="Q142" s="45" t="str">
        <f>IFERROR(__xludf.DUMMYFUNCTION("IFERROR(
  FILTER(
    Remark!D:D,
    Remark!A:A = MAX(FILTER(Remark!A:A, TRIM(Remark!B:B) = TRIM(B142)))
  ),
  """"
)"),"")</f>
        <v/>
      </c>
      <c r="R142" s="46" t="str">
        <f t="shared" si="2"/>
        <v>Starting Final Project</v>
      </c>
      <c r="S142" s="47"/>
      <c r="T142" s="48" t="s">
        <v>372</v>
      </c>
      <c r="U142" s="49">
        <v>3.0</v>
      </c>
      <c r="V142" s="49"/>
      <c r="W142" s="49">
        <v>1.0</v>
      </c>
      <c r="X142" s="49">
        <v>1.0</v>
      </c>
      <c r="Y142" s="49"/>
      <c r="Z142" s="49"/>
      <c r="AA142" s="49">
        <f t="shared" si="3"/>
        <v>2</v>
      </c>
    </row>
    <row r="143" ht="26.25" customHeight="1">
      <c r="A143" s="66">
        <v>407.0</v>
      </c>
      <c r="B143" s="36" t="s">
        <v>373</v>
      </c>
      <c r="C143" s="40" t="s">
        <v>76</v>
      </c>
      <c r="D143" s="38">
        <v>45965.0</v>
      </c>
      <c r="E143" s="51"/>
      <c r="F143" s="40" t="s">
        <v>366</v>
      </c>
      <c r="G143" s="40" t="s">
        <v>367</v>
      </c>
      <c r="H143" s="40" t="s">
        <v>123</v>
      </c>
      <c r="I143" s="42">
        <v>45968.0</v>
      </c>
      <c r="J143" s="40" t="s">
        <v>110</v>
      </c>
      <c r="K143" s="43" t="b">
        <v>0</v>
      </c>
      <c r="L143" s="44"/>
      <c r="M143" s="45">
        <f t="shared" si="1"/>
        <v>23</v>
      </c>
      <c r="N143" s="49"/>
      <c r="O143" s="45" t="str">
        <f>IFERROR(__xludf.DUMMYFUNCTION("IFERROR(
  TEXT(
    MAX(FILTER(Remark!A:A, TRIM(Remark!B:B) = TRIM(B143))),
    ""dd/mm/yyyy""
  ) &amp; "" - "" &amp;
  FILTER(
    Remark!C:C,
    TRIM(Remark!B:B) = TRIM(B143),
    Remark!A:A = MAX(FILTER(Remark!A:A, TRIM(Remark!B:B) = TRIM(B143)))
  ),
  """&amp;"""
)"),"")</f>
        <v/>
      </c>
      <c r="P143" s="45" t="str">
        <f>IFERROR(__xludf.DUMMYFUNCTION("TEXTJOIN(CHAR(10), TRUE, IFERROR(
  FILTER(TEXT(Remark!A:A, ""dd/mm/yyyy"") &amp; "" - "" &amp; Remark!C:C, TRIM(Remark!B:B) = TRIM(B143)),
  """"
))"),"")</f>
        <v/>
      </c>
      <c r="Q143" s="45" t="str">
        <f>IFERROR(__xludf.DUMMYFUNCTION("IFERROR(
  FILTER(
    Remark!D:D,
    Remark!A:A = MAX(FILTER(Remark!A:A, TRIM(Remark!B:B) = TRIM(B143)))
  ),
  """"
)"),"")</f>
        <v/>
      </c>
      <c r="R143" s="46" t="str">
        <f t="shared" si="2"/>
        <v>Learning</v>
      </c>
      <c r="S143" s="47"/>
      <c r="T143" s="48" t="s">
        <v>374</v>
      </c>
      <c r="U143" s="49">
        <v>2.0</v>
      </c>
      <c r="V143" s="49"/>
      <c r="W143" s="49">
        <v>1.0</v>
      </c>
      <c r="X143" s="49"/>
      <c r="Y143" s="49">
        <v>1.0</v>
      </c>
      <c r="Z143" s="49"/>
      <c r="AA143" s="49">
        <f t="shared" si="3"/>
        <v>2</v>
      </c>
    </row>
    <row r="144" ht="26.25" customHeight="1">
      <c r="A144" s="66">
        <v>413.0</v>
      </c>
      <c r="B144" s="36" t="s">
        <v>375</v>
      </c>
      <c r="C144" s="40" t="s">
        <v>76</v>
      </c>
      <c r="D144" s="54">
        <v>45988.0</v>
      </c>
      <c r="E144" s="51"/>
      <c r="F144" s="40" t="s">
        <v>366</v>
      </c>
      <c r="G144" s="40" t="s">
        <v>367</v>
      </c>
      <c r="H144" s="40" t="s">
        <v>123</v>
      </c>
      <c r="I144" s="42">
        <v>45996.0</v>
      </c>
      <c r="J144" s="40" t="s">
        <v>110</v>
      </c>
      <c r="K144" s="43" t="b">
        <v>0</v>
      </c>
      <c r="L144" s="44"/>
      <c r="M144" s="45">
        <f t="shared" si="1"/>
        <v>19</v>
      </c>
      <c r="N144" s="45"/>
      <c r="O144" s="45" t="str">
        <f>IFERROR(__xludf.DUMMYFUNCTION("IFERROR(
  TEXT(
    MAX(FILTER(Remark!A:A, TRIM(Remark!B:B) = TRIM(B144))),
    ""dd/mm/yyyy""
  ) &amp; "" - "" &amp;
  FILTER(
    Remark!C:C,
    TRIM(Remark!B:B) = TRIM(B144),
    Remark!A:A = MAX(FILTER(Remark!A:A, TRIM(Remark!B:B) = TRIM(B144)))
  ),
  """&amp;"""
)"),"")</f>
        <v/>
      </c>
      <c r="P144" s="45" t="str">
        <f>IFERROR(__xludf.DUMMYFUNCTION("TEXTJOIN(CHAR(10), TRUE, IFERROR(
  FILTER(TEXT(Remark!A:A, ""dd/mm/yyyy"") &amp; "" - "" &amp; Remark!C:C, TRIM(Remark!B:B) = TRIM(B144)),
  """"
))"),"")</f>
        <v/>
      </c>
      <c r="Q144" s="45" t="str">
        <f>IFERROR(__xludf.DUMMYFUNCTION("IFERROR(
  FILTER(
    Remark!D:D,
    Remark!A:A = MAX(FILTER(Remark!A:A, TRIM(Remark!B:B) = TRIM(B144)))
  ),
  """"
)"),"")</f>
        <v/>
      </c>
      <c r="R144" s="46" t="str">
        <f t="shared" si="2"/>
        <v>Learning</v>
      </c>
      <c r="S144" s="47"/>
      <c r="T144" s="48" t="s">
        <v>376</v>
      </c>
      <c r="U144" s="49">
        <v>1.0</v>
      </c>
      <c r="V144" s="49">
        <v>1.0</v>
      </c>
      <c r="W144" s="49">
        <v>2.0</v>
      </c>
      <c r="X144" s="49">
        <v>1.0</v>
      </c>
      <c r="Y144" s="49">
        <v>1.0</v>
      </c>
      <c r="Z144" s="49"/>
      <c r="AA144" s="49">
        <f t="shared" si="3"/>
        <v>5</v>
      </c>
    </row>
    <row r="145" ht="26.25" customHeight="1">
      <c r="A145" s="66">
        <v>414.0</v>
      </c>
      <c r="B145" s="36" t="s">
        <v>377</v>
      </c>
      <c r="C145" s="40" t="s">
        <v>76</v>
      </c>
      <c r="D145" s="38">
        <v>45995.0</v>
      </c>
      <c r="E145" s="51"/>
      <c r="F145" s="40" t="s">
        <v>366</v>
      </c>
      <c r="G145" s="40" t="s">
        <v>367</v>
      </c>
      <c r="H145" s="40" t="s">
        <v>123</v>
      </c>
      <c r="I145" s="42">
        <v>45996.0</v>
      </c>
      <c r="J145" s="40" t="s">
        <v>110</v>
      </c>
      <c r="K145" s="43" t="b">
        <v>0</v>
      </c>
      <c r="L145" s="44"/>
      <c r="M145" s="45">
        <f t="shared" si="1"/>
        <v>19</v>
      </c>
      <c r="N145" s="45"/>
      <c r="O145" s="45" t="str">
        <f>IFERROR(__xludf.DUMMYFUNCTION("IFERROR(
  TEXT(
    MAX(FILTER(Remark!A:A, TRIM(Remark!B:B) = TRIM(B145))),
    ""dd/mm/yyyy""
  ) &amp; "" - "" &amp;
  FILTER(
    Remark!C:C,
    TRIM(Remark!B:B) = TRIM(B145),
    Remark!A:A = MAX(FILTER(Remark!A:A, TRIM(Remark!B:B) = TRIM(B145)))
  ),
  """&amp;"""
)"),"")</f>
        <v/>
      </c>
      <c r="P145" s="45" t="str">
        <f>IFERROR(__xludf.DUMMYFUNCTION("TEXTJOIN(CHAR(10), TRUE, IFERROR(
  FILTER(TEXT(Remark!A:A, ""dd/mm/yyyy"") &amp; "" - "" &amp; Remark!C:C, TRIM(Remark!B:B) = TRIM(B145)),
  """"
))"),"")</f>
        <v/>
      </c>
      <c r="Q145" s="45" t="str">
        <f>IFERROR(__xludf.DUMMYFUNCTION("IFERROR(
  FILTER(
    Remark!D:D,
    Remark!A:A = MAX(FILTER(Remark!A:A, TRIM(Remark!B:B) = TRIM(B145)))
  ),
  """"
)"),"")</f>
        <v/>
      </c>
      <c r="R145" s="46" t="str">
        <f t="shared" si="2"/>
        <v>Learning</v>
      </c>
      <c r="S145" s="47"/>
      <c r="T145" s="48" t="s">
        <v>378</v>
      </c>
      <c r="U145" s="49">
        <v>1.0</v>
      </c>
      <c r="V145" s="49"/>
      <c r="W145" s="49">
        <v>2.0</v>
      </c>
      <c r="X145" s="49">
        <v>1.0</v>
      </c>
      <c r="Y145" s="49">
        <v>1.0</v>
      </c>
      <c r="Z145" s="49"/>
      <c r="AA145" s="49">
        <f t="shared" si="3"/>
        <v>4</v>
      </c>
    </row>
    <row r="146" ht="26.25" customHeight="1">
      <c r="A146" s="35">
        <v>356.0</v>
      </c>
      <c r="B146" s="36" t="s">
        <v>379</v>
      </c>
      <c r="C146" s="40" t="s">
        <v>76</v>
      </c>
      <c r="D146" s="38">
        <v>45817.0</v>
      </c>
      <c r="E146" s="51"/>
      <c r="F146" s="40" t="s">
        <v>380</v>
      </c>
      <c r="G146" s="57" t="s">
        <v>4</v>
      </c>
      <c r="H146" s="57" t="s">
        <v>109</v>
      </c>
      <c r="I146" s="58">
        <v>46035.0</v>
      </c>
      <c r="J146" s="57" t="s">
        <v>101</v>
      </c>
      <c r="K146" s="59" t="b">
        <v>0</v>
      </c>
      <c r="L146" s="60"/>
      <c r="M146" s="61">
        <f t="shared" si="1"/>
        <v>13</v>
      </c>
      <c r="N146" s="61"/>
      <c r="O146" s="45" t="str">
        <f>IFERROR(__xludf.DUMMYFUNCTION("IFERROR(
  TEXT(
    MAX(FILTER(Remark!A:A, TRIM(Remark!B:B) = TRIM(B146))),
    ""dd/mm/yyyy""
  ) &amp; "" - "" &amp;
  FILTER(
    Remark!C:C,
    TRIM(Remark!B:B) = TRIM(B146),
    Remark!A:A = MAX(FILTER(Remark!A:A, TRIM(Remark!B:B) = TRIM(B146)))
  ),
  """&amp;"""
)"),"")</f>
        <v/>
      </c>
      <c r="P146" s="45" t="str">
        <f>IFERROR(__xludf.DUMMYFUNCTION("TEXTJOIN(CHAR(10), TRUE, IFERROR(
  FILTER(TEXT(Remark!A:A, ""dd/mm/yyyy"") &amp; "" - "" &amp; Remark!C:C, TRIM(Remark!B:B) = TRIM(B146)),
  """"
))"),"")</f>
        <v/>
      </c>
      <c r="Q146" s="45" t="str">
        <f>IFERROR(__xludf.DUMMYFUNCTION("IFERROR(
  FILTER(
    Remark!D:D,
    Remark!A:A = MAX(FILTER(Remark!A:A, TRIM(Remark!B:B) = TRIM(B146)))
  ),
  """"
)"),"")</f>
        <v/>
      </c>
      <c r="R146" s="46" t="str">
        <f t="shared" si="2"/>
        <v>Learning</v>
      </c>
      <c r="S146" s="47"/>
      <c r="T146" s="52" t="s">
        <v>381</v>
      </c>
      <c r="U146" s="62">
        <v>17.0</v>
      </c>
      <c r="V146" s="62">
        <v>1.0</v>
      </c>
      <c r="W146" s="62">
        <v>1.0</v>
      </c>
      <c r="X146" s="62">
        <v>2.0</v>
      </c>
      <c r="Y146" s="62">
        <v>1.0</v>
      </c>
      <c r="Z146" s="62"/>
      <c r="AA146" s="49">
        <f t="shared" si="3"/>
        <v>5</v>
      </c>
    </row>
    <row r="147" ht="26.25" customHeight="1">
      <c r="A147" s="35">
        <v>357.0</v>
      </c>
      <c r="B147" s="36" t="s">
        <v>382</v>
      </c>
      <c r="C147" s="40" t="s">
        <v>76</v>
      </c>
      <c r="D147" s="54">
        <v>45819.0</v>
      </c>
      <c r="E147" s="51"/>
      <c r="F147" s="40" t="s">
        <v>380</v>
      </c>
      <c r="G147" s="57" t="s">
        <v>4</v>
      </c>
      <c r="H147" s="57" t="s">
        <v>109</v>
      </c>
      <c r="I147" s="58">
        <v>46035.0</v>
      </c>
      <c r="J147" s="57" t="s">
        <v>101</v>
      </c>
      <c r="K147" s="59" t="b">
        <v>0</v>
      </c>
      <c r="L147" s="60"/>
      <c r="M147" s="61">
        <f t="shared" si="1"/>
        <v>13</v>
      </c>
      <c r="N147" s="61"/>
      <c r="O147" s="45" t="str">
        <f>IFERROR(__xludf.DUMMYFUNCTION("IFERROR(
  TEXT(
    MAX(FILTER(Remark!A:A, TRIM(Remark!B:B) = TRIM(B147))),
    ""dd/mm/yyyy""
  ) &amp; "" - "" &amp;
  FILTER(
    Remark!C:C,
    TRIM(Remark!B:B) = TRIM(B147),
    Remark!A:A = MAX(FILTER(Remark!A:A, TRIM(Remark!B:B) = TRIM(B147)))
  ),
  """&amp;"""
)"),"")</f>
        <v/>
      </c>
      <c r="P147" s="45" t="str">
        <f>IFERROR(__xludf.DUMMYFUNCTION("TEXTJOIN(CHAR(10), TRUE, IFERROR(
  FILTER(TEXT(Remark!A:A, ""dd/mm/yyyy"") &amp; "" - "" &amp; Remark!C:C, TRIM(Remark!B:B) = TRIM(B147)),
  """"
))"),"")</f>
        <v/>
      </c>
      <c r="Q147" s="45" t="str">
        <f>IFERROR(__xludf.DUMMYFUNCTION("IFERROR(
  FILTER(
    Remark!D:D,
    Remark!A:A = MAX(FILTER(Remark!A:A, TRIM(Remark!B:B) = TRIM(B147)))
  ),
  """"
)"),"")</f>
        <v/>
      </c>
      <c r="R147" s="46" t="str">
        <f t="shared" si="2"/>
        <v>Learning</v>
      </c>
      <c r="S147" s="47"/>
      <c r="T147" s="52" t="s">
        <v>383</v>
      </c>
      <c r="U147" s="49">
        <v>17.0</v>
      </c>
      <c r="V147" s="49">
        <v>1.0</v>
      </c>
      <c r="W147" s="49">
        <v>1.0</v>
      </c>
      <c r="X147" s="49">
        <v>1.0</v>
      </c>
      <c r="Y147" s="49">
        <v>1.0</v>
      </c>
      <c r="Z147" s="49"/>
      <c r="AA147" s="49">
        <f t="shared" si="3"/>
        <v>4</v>
      </c>
    </row>
    <row r="148" ht="26.25" customHeight="1">
      <c r="A148" s="66">
        <v>441.0</v>
      </c>
      <c r="B148" s="36" t="s">
        <v>384</v>
      </c>
      <c r="C148" s="40" t="s">
        <v>76</v>
      </c>
      <c r="D148" s="54">
        <v>46049.0</v>
      </c>
      <c r="E148" s="51"/>
      <c r="F148" s="40" t="s">
        <v>380</v>
      </c>
      <c r="G148" s="57" t="s">
        <v>4</v>
      </c>
      <c r="H148" s="57" t="s">
        <v>109</v>
      </c>
      <c r="I148" s="58">
        <v>46056.0</v>
      </c>
      <c r="J148" s="57" t="s">
        <v>101</v>
      </c>
      <c r="K148" s="59" t="b">
        <v>0</v>
      </c>
      <c r="L148" s="60"/>
      <c r="M148" s="61">
        <f t="shared" si="1"/>
        <v>10</v>
      </c>
      <c r="N148" s="61"/>
      <c r="O148" s="45" t="str">
        <f>IFERROR(__xludf.DUMMYFUNCTION("IFERROR(
  TEXT(
    MAX(FILTER(Remark!A:A, TRIM(Remark!B:B) = TRIM(B148))),
    ""dd/mm/yyyy""
  ) &amp; "" - "" &amp;
  FILTER(
    Remark!C:C,
    TRIM(Remark!B:B) = TRIM(B148),
    Remark!A:A = MAX(FILTER(Remark!A:A, TRIM(Remark!B:B) = TRIM(B148)))
  ),
  """&amp;"""
)"),"")</f>
        <v/>
      </c>
      <c r="P148" s="45" t="str">
        <f>IFERROR(__xludf.DUMMYFUNCTION("TEXTJOIN(CHAR(10), TRUE, IFERROR(
  FILTER(TEXT(Remark!A:A, ""dd/mm/yyyy"") &amp; "" - "" &amp; Remark!C:C, TRIM(Remark!B:B) = TRIM(B148)),
  """"
))"),"")</f>
        <v/>
      </c>
      <c r="Q148" s="45" t="str">
        <f>IFERROR(__xludf.DUMMYFUNCTION("IFERROR(
  FILTER(
    Remark!D:D,
    Remark!A:A = MAX(FILTER(Remark!A:A, TRIM(Remark!B:B) = TRIM(B148)))
  ),
  """"
)"),"")</f>
        <v/>
      </c>
      <c r="R148" s="46" t="str">
        <f t="shared" si="2"/>
        <v>Learning</v>
      </c>
      <c r="S148" s="47"/>
      <c r="T148" s="52" t="s">
        <v>385</v>
      </c>
      <c r="U148" s="49"/>
      <c r="V148" s="49">
        <v>1.0</v>
      </c>
      <c r="W148" s="49">
        <v>2.0</v>
      </c>
      <c r="X148" s="49">
        <v>1.0</v>
      </c>
      <c r="Y148" s="49">
        <v>1.0</v>
      </c>
      <c r="Z148" s="49"/>
      <c r="AA148" s="49">
        <f t="shared" si="3"/>
        <v>5</v>
      </c>
    </row>
    <row r="149" ht="26.25" customHeight="1">
      <c r="A149" s="66">
        <v>443.0</v>
      </c>
      <c r="B149" s="36" t="s">
        <v>386</v>
      </c>
      <c r="C149" s="40" t="s">
        <v>76</v>
      </c>
      <c r="D149" s="54">
        <v>46052.0</v>
      </c>
      <c r="E149" s="51"/>
      <c r="F149" s="40" t="s">
        <v>380</v>
      </c>
      <c r="G149" s="57" t="s">
        <v>4</v>
      </c>
      <c r="H149" s="57" t="s">
        <v>109</v>
      </c>
      <c r="I149" s="58">
        <v>46056.0</v>
      </c>
      <c r="J149" s="57" t="s">
        <v>101</v>
      </c>
      <c r="K149" s="59" t="b">
        <v>0</v>
      </c>
      <c r="L149" s="60"/>
      <c r="M149" s="61">
        <f t="shared" si="1"/>
        <v>10</v>
      </c>
      <c r="N149" s="61"/>
      <c r="O149" s="45" t="str">
        <f>IFERROR(__xludf.DUMMYFUNCTION("IFERROR(
  TEXT(
    MAX(FILTER(Remark!A:A, TRIM(Remark!B:B) = TRIM(B149))),
    ""dd/mm/yyyy""
  ) &amp; "" - "" &amp;
  FILTER(
    Remark!C:C,
    TRIM(Remark!B:B) = TRIM(B149),
    Remark!A:A = MAX(FILTER(Remark!A:A, TRIM(Remark!B:B) = TRIM(B149)))
  ),
  """&amp;"""
)"),"")</f>
        <v/>
      </c>
      <c r="P149" s="45" t="str">
        <f>IFERROR(__xludf.DUMMYFUNCTION("TEXTJOIN(CHAR(10), TRUE, IFERROR(
  FILTER(TEXT(Remark!A:A, ""dd/mm/yyyy"") &amp; "" - "" &amp; Remark!C:C, TRIM(Remark!B:B) = TRIM(B149)),
  """"
))"),"")</f>
        <v/>
      </c>
      <c r="Q149" s="45" t="str">
        <f>IFERROR(__xludf.DUMMYFUNCTION("IFERROR(
  FILTER(
    Remark!D:D,
    Remark!A:A = MAX(FILTER(Remark!A:A, TRIM(Remark!B:B) = TRIM(B149)))
  ),
  """"
)"),"")</f>
        <v/>
      </c>
      <c r="R149" s="46" t="str">
        <f t="shared" si="2"/>
        <v>Learning</v>
      </c>
      <c r="S149" s="47"/>
      <c r="T149" s="52" t="s">
        <v>387</v>
      </c>
      <c r="U149" s="49"/>
      <c r="V149" s="49"/>
      <c r="W149" s="49">
        <v>2.0</v>
      </c>
      <c r="X149" s="49">
        <v>1.0</v>
      </c>
      <c r="Y149" s="49">
        <v>1.0</v>
      </c>
      <c r="Z149" s="49"/>
      <c r="AA149" s="49">
        <f t="shared" si="3"/>
        <v>4</v>
      </c>
    </row>
    <row r="150" ht="26.25" customHeight="1">
      <c r="A150" s="66">
        <v>444.0</v>
      </c>
      <c r="B150" s="36" t="s">
        <v>388</v>
      </c>
      <c r="C150" s="40" t="s">
        <v>76</v>
      </c>
      <c r="D150" s="54">
        <v>46052.0</v>
      </c>
      <c r="E150" s="51"/>
      <c r="F150" s="40" t="s">
        <v>380</v>
      </c>
      <c r="G150" s="57" t="s">
        <v>4</v>
      </c>
      <c r="H150" s="57" t="s">
        <v>109</v>
      </c>
      <c r="I150" s="58">
        <v>46056.0</v>
      </c>
      <c r="J150" s="57" t="s">
        <v>101</v>
      </c>
      <c r="K150" s="59" t="b">
        <v>0</v>
      </c>
      <c r="L150" s="60"/>
      <c r="M150" s="61">
        <f t="shared" si="1"/>
        <v>10</v>
      </c>
      <c r="N150" s="61"/>
      <c r="O150" s="45" t="str">
        <f>IFERROR(__xludf.DUMMYFUNCTION("IFERROR(
  TEXT(
    MAX(FILTER(Remark!A:A, TRIM(Remark!B:B) = TRIM(B150))),
    ""dd/mm/yyyy""
  ) &amp; "" - "" &amp;
  FILTER(
    Remark!C:C,
    TRIM(Remark!B:B) = TRIM(B150),
    Remark!A:A = MAX(FILTER(Remark!A:A, TRIM(Remark!B:B) = TRIM(B150)))
  ),
  """&amp;"""
)"),"")</f>
        <v/>
      </c>
      <c r="P150" s="45" t="str">
        <f>IFERROR(__xludf.DUMMYFUNCTION("TEXTJOIN(CHAR(10), TRUE, IFERROR(
  FILTER(TEXT(Remark!A:A, ""dd/mm/yyyy"") &amp; "" - "" &amp; Remark!C:C, TRIM(Remark!B:B) = TRIM(B150)),
  """"
))"),"")</f>
        <v/>
      </c>
      <c r="Q150" s="45" t="str">
        <f>IFERROR(__xludf.DUMMYFUNCTION("IFERROR(
  FILTER(
    Remark!D:D,
    Remark!A:A = MAX(FILTER(Remark!A:A, TRIM(Remark!B:B) = TRIM(B150)))
  ),
  """"
)"),"")</f>
        <v/>
      </c>
      <c r="R150" s="46" t="str">
        <f t="shared" si="2"/>
        <v>Learning</v>
      </c>
      <c r="S150" s="47"/>
      <c r="T150" s="52" t="s">
        <v>389</v>
      </c>
      <c r="U150" s="49"/>
      <c r="V150" s="49"/>
      <c r="W150" s="49">
        <v>2.0</v>
      </c>
      <c r="X150" s="49">
        <v>2.0</v>
      </c>
      <c r="Y150" s="49">
        <v>1.0</v>
      </c>
      <c r="Z150" s="49"/>
      <c r="AA150" s="49">
        <f t="shared" si="3"/>
        <v>5</v>
      </c>
    </row>
    <row r="151" ht="26.25" customHeight="1">
      <c r="A151" s="66">
        <v>458.0</v>
      </c>
      <c r="B151" s="36" t="s">
        <v>390</v>
      </c>
      <c r="C151" s="40" t="s">
        <v>76</v>
      </c>
      <c r="D151" s="69">
        <v>46084.0</v>
      </c>
      <c r="E151" s="51"/>
      <c r="F151" s="40" t="s">
        <v>380</v>
      </c>
      <c r="G151" s="57" t="s">
        <v>4</v>
      </c>
      <c r="H151" s="57" t="s">
        <v>109</v>
      </c>
      <c r="I151" s="58">
        <v>46085.0</v>
      </c>
      <c r="J151" s="57" t="s">
        <v>101</v>
      </c>
      <c r="K151" s="59" t="b">
        <v>0</v>
      </c>
      <c r="L151" s="60"/>
      <c r="M151" s="61">
        <f t="shared" si="1"/>
        <v>6</v>
      </c>
      <c r="N151" s="61"/>
      <c r="O151" s="45" t="str">
        <f>IFERROR(__xludf.DUMMYFUNCTION("IFERROR(
  TEXT(
    MAX(FILTER(Remark!A:A, TRIM(Remark!B:B) = TRIM(B151))),
    ""dd/mm/yyyy""
  ) &amp; "" - "" &amp;
  FILTER(
    Remark!C:C,
    TRIM(Remark!B:B) = TRIM(B151),
    Remark!A:A = MAX(FILTER(Remark!A:A, TRIM(Remark!B:B) = TRIM(B151)))
  ),
  """&amp;"""
)"),"")</f>
        <v/>
      </c>
      <c r="P151" s="45" t="str">
        <f>IFERROR(__xludf.DUMMYFUNCTION("TEXTJOIN(CHAR(10), TRUE, IFERROR(
  FILTER(TEXT(Remark!A:A, ""dd/mm/yyyy"") &amp; "" - "" &amp; Remark!C:C, TRIM(Remark!B:B) = TRIM(B151)),
  """"
))"),"")</f>
        <v/>
      </c>
      <c r="Q151" s="45" t="str">
        <f>IFERROR(__xludf.DUMMYFUNCTION("IFERROR(
  FILTER(
    Remark!D:D,
    Remark!A:A = MAX(FILTER(Remark!A:A, TRIM(Remark!B:B) = TRIM(B151)))
  ),
  """"
)"),"")</f>
        <v/>
      </c>
      <c r="R151" s="46" t="str">
        <f t="shared" si="2"/>
        <v>Learning</v>
      </c>
      <c r="S151" s="47" t="b">
        <v>0</v>
      </c>
      <c r="T151" s="52" t="s">
        <v>391</v>
      </c>
      <c r="U151" s="49"/>
      <c r="V151" s="49"/>
      <c r="W151" s="49"/>
      <c r="X151" s="49">
        <v>1.0</v>
      </c>
      <c r="Y151" s="49">
        <v>1.0</v>
      </c>
      <c r="Z151" s="49"/>
      <c r="AA151" s="49">
        <f t="shared" si="3"/>
        <v>2</v>
      </c>
    </row>
    <row r="152" ht="26.25" customHeight="1">
      <c r="A152" s="35">
        <v>191.0</v>
      </c>
      <c r="B152" s="56" t="s">
        <v>392</v>
      </c>
      <c r="C152" s="37" t="s">
        <v>76</v>
      </c>
      <c r="D152" s="54">
        <v>45223.0</v>
      </c>
      <c r="E152" s="39"/>
      <c r="F152" s="40" t="s">
        <v>393</v>
      </c>
      <c r="G152" s="40" t="s">
        <v>394</v>
      </c>
      <c r="H152" s="40" t="s">
        <v>133</v>
      </c>
      <c r="I152" s="42">
        <v>45840.0</v>
      </c>
      <c r="J152" s="40" t="s">
        <v>82</v>
      </c>
      <c r="K152" s="43" t="b">
        <v>1</v>
      </c>
      <c r="L152" s="44"/>
      <c r="M152" s="45">
        <f t="shared" si="1"/>
        <v>41</v>
      </c>
      <c r="N152" s="45"/>
      <c r="O152" s="45" t="str">
        <f>IFERROR(__xludf.DUMMYFUNCTION("IFERROR(
  TEXT(
    MAX(FILTER(Remark!A:A, TRIM(Remark!B:B) = TRIM(B152))),
    ""dd/mm/yyyy""
  ) &amp; "" - "" &amp;
  FILTER(
    Remark!C:C,
    TRIM(Remark!B:B) = TRIM(B152),
    Remark!A:A = MAX(FILTER(Remark!A:A, TRIM(Remark!B:B) = TRIM(B152)))
  ),
  """&amp;"""
)"),"")</f>
        <v/>
      </c>
      <c r="P152" s="45" t="str">
        <f>IFERROR(__xludf.DUMMYFUNCTION("TEXTJOIN(CHAR(10), TRUE, IFERROR(
  FILTER(TEXT(Remark!A:A, ""dd/mm/yyyy"") &amp; "" - "" &amp; Remark!C:C, TRIM(Remark!B:B) = TRIM(B152)),
  """"
))"),"")</f>
        <v/>
      </c>
      <c r="Q152" s="45" t="str">
        <f>IFERROR(__xludf.DUMMYFUNCTION("IFERROR(
  FILTER(
    Remark!D:D,
    Remark!A:A = MAX(FILTER(Remark!A:A, TRIM(Remark!B:B) = TRIM(B152)))
  ),
  """"
)"),"")</f>
        <v/>
      </c>
      <c r="R152" s="46" t="str">
        <f t="shared" si="2"/>
        <v>Prepare for Showcase</v>
      </c>
      <c r="S152" s="47"/>
      <c r="T152" s="48" t="s">
        <v>395</v>
      </c>
      <c r="U152" s="49">
        <v>4.0</v>
      </c>
      <c r="V152" s="49">
        <v>1.0</v>
      </c>
      <c r="W152" s="49">
        <v>1.0</v>
      </c>
      <c r="X152" s="49">
        <v>1.0</v>
      </c>
      <c r="Y152" s="49">
        <v>1.0</v>
      </c>
      <c r="Z152" s="49"/>
      <c r="AA152" s="49">
        <f t="shared" si="3"/>
        <v>4</v>
      </c>
    </row>
    <row r="153" ht="26.25" customHeight="1">
      <c r="A153" s="35">
        <v>192.0</v>
      </c>
      <c r="B153" s="56" t="s">
        <v>396</v>
      </c>
      <c r="C153" s="37" t="s">
        <v>76</v>
      </c>
      <c r="D153" s="54">
        <v>45223.0</v>
      </c>
      <c r="E153" s="39"/>
      <c r="F153" s="40" t="s">
        <v>393</v>
      </c>
      <c r="G153" s="40" t="s">
        <v>394</v>
      </c>
      <c r="H153" s="40" t="s">
        <v>133</v>
      </c>
      <c r="I153" s="42">
        <v>45840.0</v>
      </c>
      <c r="J153" s="40" t="s">
        <v>82</v>
      </c>
      <c r="K153" s="43" t="b">
        <v>1</v>
      </c>
      <c r="L153" s="44"/>
      <c r="M153" s="45">
        <f t="shared" si="1"/>
        <v>41</v>
      </c>
      <c r="N153" s="45"/>
      <c r="O153" s="45" t="str">
        <f>IFERROR(__xludf.DUMMYFUNCTION("IFERROR(
  TEXT(
    MAX(FILTER(Remark!A:A, TRIM(Remark!B:B) = TRIM(B153))),
    ""dd/mm/yyyy""
  ) &amp; "" - "" &amp;
  FILTER(
    Remark!C:C,
    TRIM(Remark!B:B) = TRIM(B153),
    Remark!A:A = MAX(FILTER(Remark!A:A, TRIM(Remark!B:B) = TRIM(B153)))
  ),
  """&amp;"""
)"),"")</f>
        <v/>
      </c>
      <c r="P153" s="45" t="str">
        <f>IFERROR(__xludf.DUMMYFUNCTION("TEXTJOIN(CHAR(10), TRUE, IFERROR(
  FILTER(TEXT(Remark!A:A, ""dd/mm/yyyy"") &amp; "" - "" &amp; Remark!C:C, TRIM(Remark!B:B) = TRIM(B153)),
  """"
))"),"")</f>
        <v/>
      </c>
      <c r="Q153" s="45" t="str">
        <f>IFERROR(__xludf.DUMMYFUNCTION("IFERROR(
  FILTER(
    Remark!D:D,
    Remark!A:A = MAX(FILTER(Remark!A:A, TRIM(Remark!B:B) = TRIM(B153)))
  ),
  """"
)"),"")</f>
        <v/>
      </c>
      <c r="R153" s="46" t="str">
        <f t="shared" si="2"/>
        <v>Prepare for Showcase</v>
      </c>
      <c r="S153" s="47"/>
      <c r="T153" s="48" t="s">
        <v>395</v>
      </c>
      <c r="U153" s="49">
        <v>3.0</v>
      </c>
      <c r="V153" s="49">
        <v>1.0</v>
      </c>
      <c r="W153" s="49">
        <v>1.0</v>
      </c>
      <c r="X153" s="49">
        <v>1.0</v>
      </c>
      <c r="Y153" s="49">
        <v>1.0</v>
      </c>
      <c r="Z153" s="49"/>
      <c r="AA153" s="49">
        <f t="shared" si="3"/>
        <v>4</v>
      </c>
    </row>
    <row r="154" ht="26.25" customHeight="1">
      <c r="A154" s="63">
        <v>452.0</v>
      </c>
      <c r="B154" s="36" t="s">
        <v>397</v>
      </c>
      <c r="C154" s="40" t="s">
        <v>76</v>
      </c>
      <c r="D154" s="38">
        <v>46062.0</v>
      </c>
      <c r="E154" s="51"/>
      <c r="F154" s="40" t="s">
        <v>393</v>
      </c>
      <c r="G154" s="40" t="s">
        <v>394</v>
      </c>
      <c r="H154" s="40" t="s">
        <v>133</v>
      </c>
      <c r="I154" s="42">
        <v>46060.0</v>
      </c>
      <c r="J154" s="40" t="s">
        <v>101</v>
      </c>
      <c r="K154" s="43" t="b">
        <v>0</v>
      </c>
      <c r="L154" s="44"/>
      <c r="M154" s="45">
        <f t="shared" si="1"/>
        <v>10</v>
      </c>
      <c r="N154" s="45"/>
      <c r="O154" s="45" t="str">
        <f>IFERROR(__xludf.DUMMYFUNCTION("IFERROR(
  TEXT(
    MAX(FILTER(Remark!A:A, TRIM(Remark!B:B) = TRIM(B154))),
    ""dd/mm/yyyy""
  ) &amp; "" - "" &amp;
  FILTER(
    Remark!C:C,
    TRIM(Remark!B:B) = TRIM(B154),
    Remark!A:A = MAX(FILTER(Remark!A:A, TRIM(Remark!B:B) = TRIM(B154)))
  ),
  """&amp;"""
)"),"")</f>
        <v/>
      </c>
      <c r="P154" s="45" t="str">
        <f>IFERROR(__xludf.DUMMYFUNCTION("TEXTJOIN(CHAR(10), TRUE, IFERROR(
  FILTER(TEXT(Remark!A:A, ""dd/mm/yyyy"") &amp; "" - "" &amp; Remark!C:C, TRIM(Remark!B:B) = TRIM(B154)),
  """"
))"),"")</f>
        <v/>
      </c>
      <c r="Q154" s="45" t="str">
        <f>IFERROR(__xludf.DUMMYFUNCTION("IFERROR(
  FILTER(
    Remark!D:D,
    Remark!A:A = MAX(FILTER(Remark!A:A, TRIM(Remark!B:B) = TRIM(B154)))
  ),
  """"
)"),"")</f>
        <v/>
      </c>
      <c r="R154" s="46" t="str">
        <f t="shared" si="2"/>
        <v>Learning</v>
      </c>
      <c r="S154" s="47" t="b">
        <v>0</v>
      </c>
      <c r="T154" s="48" t="s">
        <v>398</v>
      </c>
      <c r="U154" s="49"/>
      <c r="V154" s="49"/>
      <c r="W154" s="49">
        <v>1.0</v>
      </c>
      <c r="X154" s="49">
        <v>1.0</v>
      </c>
      <c r="Y154" s="49">
        <v>2.0</v>
      </c>
      <c r="Z154" s="49"/>
      <c r="AA154" s="49">
        <f t="shared" si="3"/>
        <v>4</v>
      </c>
    </row>
    <row r="155" ht="26.25" customHeight="1">
      <c r="A155" s="63">
        <v>453.0</v>
      </c>
      <c r="B155" s="36" t="s">
        <v>399</v>
      </c>
      <c r="C155" s="40" t="s">
        <v>76</v>
      </c>
      <c r="D155" s="38">
        <v>46062.0</v>
      </c>
      <c r="E155" s="51"/>
      <c r="F155" s="40" t="s">
        <v>393</v>
      </c>
      <c r="G155" s="40" t="s">
        <v>394</v>
      </c>
      <c r="H155" s="40" t="s">
        <v>133</v>
      </c>
      <c r="I155" s="42">
        <v>46060.0</v>
      </c>
      <c r="J155" s="40" t="s">
        <v>101</v>
      </c>
      <c r="K155" s="43" t="b">
        <v>0</v>
      </c>
      <c r="L155" s="44"/>
      <c r="M155" s="45">
        <f t="shared" si="1"/>
        <v>10</v>
      </c>
      <c r="N155" s="45"/>
      <c r="O155" s="45" t="str">
        <f>IFERROR(__xludf.DUMMYFUNCTION("IFERROR(
  TEXT(
    MAX(FILTER(Remark!A:A, TRIM(Remark!B:B) = TRIM(B155))),
    ""dd/mm/yyyy""
  ) &amp; "" - "" &amp;
  FILTER(
    Remark!C:C,
    TRIM(Remark!B:B) = TRIM(B155),
    Remark!A:A = MAX(FILTER(Remark!A:A, TRIM(Remark!B:B) = TRIM(B155)))
  ),
  """&amp;"""
)"),"")</f>
        <v/>
      </c>
      <c r="P155" s="45" t="str">
        <f>IFERROR(__xludf.DUMMYFUNCTION("TEXTJOIN(CHAR(10), TRUE, IFERROR(
  FILTER(TEXT(Remark!A:A, ""dd/mm/yyyy"") &amp; "" - "" &amp; Remark!C:C, TRIM(Remark!B:B) = TRIM(B155)),
  """"
))"),"")</f>
        <v/>
      </c>
      <c r="Q155" s="45" t="str">
        <f>IFERROR(__xludf.DUMMYFUNCTION("IFERROR(
  FILTER(
    Remark!D:D,
    Remark!A:A = MAX(FILTER(Remark!A:A, TRIM(Remark!B:B) = TRIM(B155)))
  ),
  """"
)"),"")</f>
        <v/>
      </c>
      <c r="R155" s="46" t="str">
        <f t="shared" si="2"/>
        <v>Learning</v>
      </c>
      <c r="S155" s="47" t="b">
        <v>0</v>
      </c>
      <c r="T155" s="48" t="s">
        <v>400</v>
      </c>
      <c r="U155" s="49"/>
      <c r="V155" s="49"/>
      <c r="W155" s="49">
        <v>1.0</v>
      </c>
      <c r="X155" s="49">
        <v>1.0</v>
      </c>
      <c r="Y155" s="49">
        <v>2.0</v>
      </c>
      <c r="Z155" s="49"/>
      <c r="AA155" s="49">
        <f t="shared" si="3"/>
        <v>4</v>
      </c>
    </row>
    <row r="156" ht="26.25" customHeight="1">
      <c r="A156" s="63">
        <v>454.0</v>
      </c>
      <c r="B156" s="36" t="s">
        <v>401</v>
      </c>
      <c r="C156" s="40" t="s">
        <v>76</v>
      </c>
      <c r="D156" s="38">
        <v>46062.0</v>
      </c>
      <c r="E156" s="51"/>
      <c r="F156" s="40" t="s">
        <v>393</v>
      </c>
      <c r="G156" s="40" t="s">
        <v>394</v>
      </c>
      <c r="H156" s="40" t="s">
        <v>133</v>
      </c>
      <c r="I156" s="42">
        <v>46060.0</v>
      </c>
      <c r="J156" s="40" t="s">
        <v>101</v>
      </c>
      <c r="K156" s="43" t="b">
        <v>0</v>
      </c>
      <c r="L156" s="44"/>
      <c r="M156" s="45">
        <f t="shared" si="1"/>
        <v>10</v>
      </c>
      <c r="N156" s="45"/>
      <c r="O156" s="45" t="str">
        <f>IFERROR(__xludf.DUMMYFUNCTION("IFERROR(
  TEXT(
    MAX(FILTER(Remark!A:A, TRIM(Remark!B:B) = TRIM(B156))),
    ""dd/mm/yyyy""
  ) &amp; "" - "" &amp;
  FILTER(
    Remark!C:C,
    TRIM(Remark!B:B) = TRIM(B156),
    Remark!A:A = MAX(FILTER(Remark!A:A, TRIM(Remark!B:B) = TRIM(B156)))
  ),
  """&amp;"""
)"),"")</f>
        <v/>
      </c>
      <c r="P156" s="45" t="str">
        <f>IFERROR(__xludf.DUMMYFUNCTION("TEXTJOIN(CHAR(10), TRUE, IFERROR(
  FILTER(TEXT(Remark!A:A, ""dd/mm/yyyy"") &amp; "" - "" &amp; Remark!C:C, TRIM(Remark!B:B) = TRIM(B156)),
  """"
))"),"")</f>
        <v/>
      </c>
      <c r="Q156" s="45" t="str">
        <f>IFERROR(__xludf.DUMMYFUNCTION("IFERROR(
  FILTER(
    Remark!D:D,
    Remark!A:A = MAX(FILTER(Remark!A:A, TRIM(Remark!B:B) = TRIM(B156)))
  ),
  """"
)"),"")</f>
        <v/>
      </c>
      <c r="R156" s="46" t="str">
        <f t="shared" si="2"/>
        <v>Learning</v>
      </c>
      <c r="S156" s="47" t="b">
        <v>0</v>
      </c>
      <c r="T156" s="48" t="s">
        <v>400</v>
      </c>
      <c r="U156" s="49"/>
      <c r="V156" s="49"/>
      <c r="W156" s="49">
        <v>1.0</v>
      </c>
      <c r="X156" s="49">
        <v>1.0</v>
      </c>
      <c r="Y156" s="49">
        <v>2.0</v>
      </c>
      <c r="Z156" s="49"/>
      <c r="AA156" s="49">
        <f t="shared" si="3"/>
        <v>4</v>
      </c>
    </row>
    <row r="157" ht="26.25" customHeight="1">
      <c r="A157" s="63">
        <v>465.0</v>
      </c>
      <c r="B157" s="64" t="s">
        <v>402</v>
      </c>
      <c r="C157" s="40" t="s">
        <v>76</v>
      </c>
      <c r="D157" s="69">
        <v>46088.0</v>
      </c>
      <c r="E157" s="39"/>
      <c r="F157" s="40" t="s">
        <v>393</v>
      </c>
      <c r="G157" s="40" t="s">
        <v>394</v>
      </c>
      <c r="H157" s="40" t="s">
        <v>133</v>
      </c>
      <c r="I157" s="58">
        <v>46088.0</v>
      </c>
      <c r="J157" s="40" t="s">
        <v>110</v>
      </c>
      <c r="K157" s="43" t="b">
        <v>0</v>
      </c>
      <c r="L157" s="44"/>
      <c r="M157" s="45">
        <f t="shared" si="1"/>
        <v>6</v>
      </c>
      <c r="N157" s="45"/>
      <c r="O157" s="45" t="str">
        <f>IFERROR(__xludf.DUMMYFUNCTION("IFERROR(
  TEXT(
    MAX(FILTER(Remark!A:A, TRIM(Remark!B:B) = TRIM(B157))),
    ""dd/mm/yyyy""
  ) &amp; "" - "" &amp;
  FILTER(
    Remark!C:C,
    TRIM(Remark!B:B) = TRIM(B157),
    Remark!A:A = MAX(FILTER(Remark!A:A, TRIM(Remark!B:B) = TRIM(B157)))
  ),
  """&amp;"""
)"),"")</f>
        <v/>
      </c>
      <c r="P157" s="45" t="str">
        <f>IFERROR(__xludf.DUMMYFUNCTION("TEXTJOIN(CHAR(10), TRUE, IFERROR(
  FILTER(TEXT(Remark!A:A, ""dd/mm/yyyy"") &amp; "" - "" &amp; Remark!C:C, TRIM(Remark!B:B) = TRIM(B157)),
  """"
))"),"")</f>
        <v/>
      </c>
      <c r="Q157" s="45" t="str">
        <f>IFERROR(__xludf.DUMMYFUNCTION("IFERROR(
  FILTER(
    Remark!D:D,
    Remark!A:A = MAX(FILTER(Remark!A:A, TRIM(Remark!B:B) = TRIM(B157)))
  ),
  """"
)"),"")</f>
        <v/>
      </c>
      <c r="R157" s="46" t="str">
        <f t="shared" si="2"/>
        <v>Learning</v>
      </c>
      <c r="S157" s="47" t="b">
        <v>0</v>
      </c>
      <c r="T157" s="48" t="s">
        <v>403</v>
      </c>
      <c r="U157" s="49"/>
      <c r="V157" s="49"/>
      <c r="W157" s="49"/>
      <c r="X157" s="49">
        <v>1.0</v>
      </c>
      <c r="Y157" s="49">
        <v>2.0</v>
      </c>
      <c r="Z157" s="49"/>
      <c r="AA157" s="49">
        <f t="shared" si="3"/>
        <v>3</v>
      </c>
    </row>
    <row r="158" ht="26.25" customHeight="1">
      <c r="A158" s="53">
        <v>150.0</v>
      </c>
      <c r="B158" s="50" t="s">
        <v>404</v>
      </c>
      <c r="C158" s="37" t="s">
        <v>76</v>
      </c>
      <c r="D158" s="38">
        <v>45140.0</v>
      </c>
      <c r="E158" s="39"/>
      <c r="F158" s="37" t="s">
        <v>405</v>
      </c>
      <c r="G158" s="41" t="s">
        <v>6</v>
      </c>
      <c r="H158" s="40" t="s">
        <v>109</v>
      </c>
      <c r="I158" s="55">
        <v>45512.0</v>
      </c>
      <c r="J158" s="41" t="s">
        <v>186</v>
      </c>
      <c r="K158" s="43" t="b">
        <v>0</v>
      </c>
      <c r="L158" s="44"/>
      <c r="M158" s="45">
        <f t="shared" si="1"/>
        <v>88</v>
      </c>
      <c r="N158" s="45"/>
      <c r="O158" s="45" t="str">
        <f>IFERROR(__xludf.DUMMYFUNCTION("IFERROR(
  TEXT(
    MAX(FILTER(Remark!A:A, TRIM(Remark!B:B) = TRIM(B158))),
    ""dd/mm/yyyy""
  ) &amp; "" - "" &amp;
  FILTER(
    Remark!C:C,
    TRIM(Remark!B:B) = TRIM(B158),
    Remark!A:A = MAX(FILTER(Remark!A:A, TRIM(Remark!B:B) = TRIM(B158)))
  ),
  """&amp;"""
)"),"")</f>
        <v/>
      </c>
      <c r="P158" s="45" t="str">
        <f>IFERROR(__xludf.DUMMYFUNCTION("TEXTJOIN(CHAR(10), TRUE, IFERROR(
  FILTER(TEXT(Remark!A:A, ""dd/mm/yyyy"") &amp; "" - "" &amp; Remark!C:C, TRIM(Remark!B:B) = TRIM(B158)),
  """"
))"),"")</f>
        <v/>
      </c>
      <c r="Q158" s="45" t="str">
        <f>IFERROR(__xludf.DUMMYFUNCTION("IFERROR(
  FILTER(
    Remark!D:D,
    Remark!A:A = MAX(FILTER(Remark!A:A, TRIM(Remark!B:B) = TRIM(B158)))
  ),
  """"
)"),"")</f>
        <v/>
      </c>
      <c r="R158" s="46" t="str">
        <f t="shared" si="2"/>
        <v>Prepare for Showcase</v>
      </c>
      <c r="S158" s="43" t="b">
        <v>1</v>
      </c>
      <c r="T158" s="48" t="s">
        <v>406</v>
      </c>
      <c r="U158" s="49">
        <v>2.0</v>
      </c>
      <c r="V158" s="49">
        <v>1.0</v>
      </c>
      <c r="W158" s="49">
        <v>1.0</v>
      </c>
      <c r="X158" s="49">
        <v>1.0</v>
      </c>
      <c r="Y158" s="49">
        <v>1.0</v>
      </c>
      <c r="Z158" s="49"/>
      <c r="AA158" s="49">
        <f t="shared" si="3"/>
        <v>4</v>
      </c>
    </row>
    <row r="159" ht="26.25" customHeight="1">
      <c r="A159" s="35">
        <v>400.0</v>
      </c>
      <c r="B159" s="36" t="s">
        <v>407</v>
      </c>
      <c r="C159" s="40" t="s">
        <v>76</v>
      </c>
      <c r="D159" s="38">
        <v>45932.0</v>
      </c>
      <c r="E159" s="51"/>
      <c r="F159" s="40" t="s">
        <v>405</v>
      </c>
      <c r="G159" s="40" t="s">
        <v>6</v>
      </c>
      <c r="H159" s="40" t="s">
        <v>109</v>
      </c>
      <c r="I159" s="42">
        <v>45933.0</v>
      </c>
      <c r="J159" s="40" t="s">
        <v>126</v>
      </c>
      <c r="K159" s="43" t="b">
        <v>0</v>
      </c>
      <c r="L159" s="60"/>
      <c r="M159" s="45">
        <f t="shared" si="1"/>
        <v>28</v>
      </c>
      <c r="N159" s="45"/>
      <c r="O159" s="45" t="str">
        <f>IFERROR(__xludf.DUMMYFUNCTION("IFERROR(
  TEXT(
    MAX(FILTER(Remark!A:A, TRIM(Remark!B:B) = TRIM(B159))),
    ""dd/mm/yyyy""
  ) &amp; "" - "" &amp;
  FILTER(
    Remark!C:C,
    TRIM(Remark!B:B) = TRIM(B159),
    Remark!A:A = MAX(FILTER(Remark!A:A, TRIM(Remark!B:B) = TRIM(B159)))
  ),
  """&amp;"""
)"),"")</f>
        <v/>
      </c>
      <c r="P159" s="45" t="str">
        <f>IFERROR(__xludf.DUMMYFUNCTION("TEXTJOIN(CHAR(10), TRUE, IFERROR(
  FILTER(TEXT(Remark!A:A, ""dd/mm/yyyy"") &amp; "" - "" &amp; Remark!C:C, TRIM(Remark!B:B) = TRIM(B159)),
  """"
))"),"")</f>
        <v/>
      </c>
      <c r="Q159" s="45" t="str">
        <f>IFERROR(__xludf.DUMMYFUNCTION("IFERROR(
  FILTER(
    Remark!D:D,
    Remark!A:A = MAX(FILTER(Remark!A:A, TRIM(Remark!B:B) = TRIM(B159)))
  ),
  """"
)"),"")</f>
        <v/>
      </c>
      <c r="R159" s="46" t="str">
        <f t="shared" si="2"/>
        <v>Learning</v>
      </c>
      <c r="S159" s="47"/>
      <c r="T159" s="48" t="s">
        <v>408</v>
      </c>
      <c r="U159" s="49">
        <v>1.0</v>
      </c>
      <c r="V159" s="49">
        <v>1.0</v>
      </c>
      <c r="W159" s="49">
        <v>1.0</v>
      </c>
      <c r="X159" s="49">
        <v>1.0</v>
      </c>
      <c r="Y159" s="49">
        <v>1.0</v>
      </c>
      <c r="Z159" s="49"/>
      <c r="AA159" s="49">
        <f t="shared" si="3"/>
        <v>4</v>
      </c>
    </row>
    <row r="160" ht="26.25" customHeight="1">
      <c r="A160" s="53">
        <v>256.0</v>
      </c>
      <c r="B160" s="50" t="s">
        <v>409</v>
      </c>
      <c r="C160" s="37" t="s">
        <v>76</v>
      </c>
      <c r="D160" s="38">
        <v>45477.0</v>
      </c>
      <c r="E160" s="39"/>
      <c r="F160" s="37" t="s">
        <v>405</v>
      </c>
      <c r="G160" s="41" t="s">
        <v>6</v>
      </c>
      <c r="H160" s="40" t="s">
        <v>119</v>
      </c>
      <c r="I160" s="42">
        <v>46121.0</v>
      </c>
      <c r="J160" s="41" t="s">
        <v>79</v>
      </c>
      <c r="K160" s="43" t="b">
        <v>0</v>
      </c>
      <c r="L160" s="44"/>
      <c r="M160" s="45">
        <f t="shared" si="1"/>
        <v>1</v>
      </c>
      <c r="N160" s="45"/>
      <c r="O160" s="45" t="str">
        <f>IFERROR(__xludf.DUMMYFUNCTION("IFERROR(
  TEXT(
    MAX(FILTER(Remark!A:A, TRIM(Remark!B:B) = TRIM(B160))),
    ""dd/mm/yyyy""
  ) &amp; "" - "" &amp;
  FILTER(
    Remark!C:C,
    TRIM(Remark!B:B) = TRIM(B160),
    Remark!A:A = MAX(FILTER(Remark!A:A, TRIM(Remark!B:B) = TRIM(B160)))
  ),
  """&amp;"""
)"),"")</f>
        <v/>
      </c>
      <c r="P160" s="45" t="str">
        <f>IFERROR(__xludf.DUMMYFUNCTION("TEXTJOIN(CHAR(10), TRUE, IFERROR(
  FILTER(TEXT(Remark!A:A, ""dd/mm/yyyy"") &amp; "" - "" &amp; Remark!C:C, TRIM(Remark!B:B) = TRIM(B160)),
  """"
))"),"")</f>
        <v/>
      </c>
      <c r="Q160" s="45" t="str">
        <f>IFERROR(__xludf.DUMMYFUNCTION("IFERROR(
  FILTER(
    Remark!D:D,
    Remark!A:A = MAX(FILTER(Remark!A:A, TRIM(Remark!B:B) = TRIM(B160)))
  ),
  """"
)"),"")</f>
        <v/>
      </c>
      <c r="R160" s="46" t="str">
        <f t="shared" si="2"/>
        <v>Learning</v>
      </c>
      <c r="S160" s="43" t="b">
        <v>0</v>
      </c>
      <c r="T160" s="48" t="s">
        <v>410</v>
      </c>
      <c r="U160" s="49">
        <v>1.0</v>
      </c>
      <c r="V160" s="49"/>
      <c r="W160" s="49">
        <v>1.0</v>
      </c>
      <c r="X160" s="49"/>
      <c r="Y160" s="49"/>
      <c r="Z160" s="49"/>
      <c r="AA160" s="49">
        <f t="shared" si="3"/>
        <v>1</v>
      </c>
    </row>
    <row r="161" ht="26.25" customHeight="1">
      <c r="A161" s="53">
        <v>257.0</v>
      </c>
      <c r="B161" s="50" t="s">
        <v>411</v>
      </c>
      <c r="C161" s="37" t="s">
        <v>76</v>
      </c>
      <c r="D161" s="38">
        <v>45477.0</v>
      </c>
      <c r="E161" s="39"/>
      <c r="F161" s="37" t="s">
        <v>405</v>
      </c>
      <c r="G161" s="41" t="s">
        <v>6</v>
      </c>
      <c r="H161" s="40" t="s">
        <v>119</v>
      </c>
      <c r="I161" s="42">
        <v>46121.0</v>
      </c>
      <c r="J161" s="40" t="s">
        <v>120</v>
      </c>
      <c r="K161" s="43" t="b">
        <v>0</v>
      </c>
      <c r="L161" s="44"/>
      <c r="M161" s="45">
        <f t="shared" si="1"/>
        <v>1</v>
      </c>
      <c r="N161" s="45"/>
      <c r="O161" s="45" t="str">
        <f>IFERROR(__xludf.DUMMYFUNCTION("IFERROR(
  TEXT(
    MAX(FILTER(Remark!A:A, TRIM(Remark!B:B) = TRIM(B161))),
    ""dd/mm/yyyy""
  ) &amp; "" - "" &amp;
  FILTER(
    Remark!C:C,
    TRIM(Remark!B:B) = TRIM(B161),
    Remark!A:A = MAX(FILTER(Remark!A:A, TRIM(Remark!B:B) = TRIM(B161)))
  ),
  """&amp;"""
)"),"")</f>
        <v/>
      </c>
      <c r="P161" s="45" t="str">
        <f>IFERROR(__xludf.DUMMYFUNCTION("TEXTJOIN(CHAR(10), TRUE, IFERROR(
  FILTER(TEXT(Remark!A:A, ""dd/mm/yyyy"") &amp; "" - "" &amp; Remark!C:C, TRIM(Remark!B:B) = TRIM(B161)),
  """"
))"),"")</f>
        <v/>
      </c>
      <c r="Q161" s="45" t="str">
        <f>IFERROR(__xludf.DUMMYFUNCTION("IFERROR(
  FILTER(
    Remark!D:D,
    Remark!A:A = MAX(FILTER(Remark!A:A, TRIM(Remark!B:B) = TRIM(B161)))
  ),
  """"
)"),"")</f>
        <v/>
      </c>
      <c r="R161" s="46" t="str">
        <f t="shared" si="2"/>
        <v>Learning</v>
      </c>
      <c r="S161" s="43" t="b">
        <v>1</v>
      </c>
      <c r="T161" s="48" t="s">
        <v>412</v>
      </c>
      <c r="U161" s="49">
        <v>1.0</v>
      </c>
      <c r="V161" s="49"/>
      <c r="W161" s="49">
        <v>1.0</v>
      </c>
      <c r="X161" s="49"/>
      <c r="Y161" s="49"/>
      <c r="Z161" s="49"/>
      <c r="AA161" s="49">
        <f t="shared" si="3"/>
        <v>1</v>
      </c>
    </row>
    <row r="162" ht="26.25" customHeight="1">
      <c r="A162" s="35">
        <v>338.0</v>
      </c>
      <c r="B162" s="36" t="s">
        <v>413</v>
      </c>
      <c r="C162" s="40" t="s">
        <v>76</v>
      </c>
      <c r="D162" s="38">
        <v>45722.0</v>
      </c>
      <c r="E162" s="51"/>
      <c r="F162" s="40" t="s">
        <v>414</v>
      </c>
      <c r="G162" s="57" t="s">
        <v>5</v>
      </c>
      <c r="H162" s="57" t="s">
        <v>133</v>
      </c>
      <c r="I162" s="58">
        <v>45724.0</v>
      </c>
      <c r="J162" s="57" t="s">
        <v>101</v>
      </c>
      <c r="K162" s="59" t="b">
        <v>1</v>
      </c>
      <c r="L162" s="60"/>
      <c r="M162" s="61">
        <f t="shared" si="1"/>
        <v>58</v>
      </c>
      <c r="N162" s="61"/>
      <c r="O162" s="45" t="str">
        <f>IFERROR(__xludf.DUMMYFUNCTION("IFERROR(
  TEXT(
    MAX(FILTER(Remark!A:A, TRIM(Remark!B:B) = TRIM(B162))),
    ""dd/mm/yyyy""
  ) &amp; "" - "" &amp;
  FILTER(
    Remark!C:C,
    TRIM(Remark!B:B) = TRIM(B162),
    Remark!A:A = MAX(FILTER(Remark!A:A, TRIM(Remark!B:B) = TRIM(B162)))
  ),
  """&amp;"""
)"),"")</f>
        <v/>
      </c>
      <c r="P162" s="45" t="str">
        <f>IFERROR(__xludf.DUMMYFUNCTION("TEXTJOIN(CHAR(10), TRUE, IFERROR(
  FILTER(TEXT(Remark!A:A, ""dd/mm/yyyy"") &amp; "" - "" &amp; Remark!C:C, TRIM(Remark!B:B) = TRIM(B162)),
  """"
))"),"")</f>
        <v/>
      </c>
      <c r="Q162" s="45" t="str">
        <f>IFERROR(__xludf.DUMMYFUNCTION("IFERROR(
  FILTER(
    Remark!D:D,
    Remark!A:A = MAX(FILTER(Remark!A:A, TRIM(Remark!B:B) = TRIM(B162)))
  ),
  """"
)"),"")</f>
        <v/>
      </c>
      <c r="R162" s="46" t="str">
        <f t="shared" si="2"/>
        <v>Prepare for Showcase</v>
      </c>
      <c r="S162" s="43" t="b">
        <v>1</v>
      </c>
      <c r="T162" s="52" t="s">
        <v>415</v>
      </c>
      <c r="U162" s="62">
        <v>4.0</v>
      </c>
      <c r="V162" s="62">
        <v>2.0</v>
      </c>
      <c r="W162" s="62">
        <v>1.0</v>
      </c>
      <c r="X162" s="62">
        <v>1.0</v>
      </c>
      <c r="Y162" s="62"/>
      <c r="Z162" s="62"/>
      <c r="AA162" s="49">
        <f t="shared" si="3"/>
        <v>4</v>
      </c>
    </row>
    <row r="163" ht="26.25" customHeight="1">
      <c r="A163" s="49">
        <v>447.0</v>
      </c>
      <c r="B163" s="36" t="s">
        <v>416</v>
      </c>
      <c r="C163" s="40" t="s">
        <v>76</v>
      </c>
      <c r="D163" s="90">
        <v>46044.0</v>
      </c>
      <c r="E163" s="51"/>
      <c r="F163" s="40" t="s">
        <v>414</v>
      </c>
      <c r="G163" s="57" t="s">
        <v>5</v>
      </c>
      <c r="H163" s="40" t="s">
        <v>133</v>
      </c>
      <c r="I163" s="58">
        <v>46058.0</v>
      </c>
      <c r="J163" s="57" t="s">
        <v>110</v>
      </c>
      <c r="K163" s="59" t="b">
        <v>0</v>
      </c>
      <c r="L163" s="60"/>
      <c r="M163" s="61">
        <f t="shared" si="1"/>
        <v>10</v>
      </c>
      <c r="N163" s="61"/>
      <c r="O163" s="61"/>
      <c r="P163" s="61"/>
      <c r="Q163" s="61"/>
      <c r="R163" s="46" t="str">
        <f t="shared" si="2"/>
        <v>Learning</v>
      </c>
      <c r="S163" s="47" t="b">
        <v>0</v>
      </c>
      <c r="T163" s="52" t="s">
        <v>417</v>
      </c>
      <c r="U163" s="61"/>
      <c r="V163" s="62"/>
      <c r="W163" s="62"/>
      <c r="X163" s="62">
        <v>1.0</v>
      </c>
      <c r="Y163" s="62">
        <v>2.0</v>
      </c>
      <c r="Z163" s="62"/>
      <c r="AA163" s="49">
        <f t="shared" si="3"/>
        <v>3</v>
      </c>
    </row>
    <row r="164" ht="26.25" customHeight="1">
      <c r="A164" s="63">
        <v>452.0</v>
      </c>
      <c r="B164" s="36" t="s">
        <v>418</v>
      </c>
      <c r="C164" s="40" t="s">
        <v>76</v>
      </c>
      <c r="D164" s="90">
        <v>46086.0</v>
      </c>
      <c r="E164" s="51"/>
      <c r="F164" s="40" t="s">
        <v>414</v>
      </c>
      <c r="G164" s="57" t="s">
        <v>5</v>
      </c>
      <c r="H164" s="40" t="s">
        <v>133</v>
      </c>
      <c r="I164" s="58">
        <v>46086.0</v>
      </c>
      <c r="J164" s="57" t="s">
        <v>110</v>
      </c>
      <c r="K164" s="59" t="b">
        <v>0</v>
      </c>
      <c r="L164" s="60"/>
      <c r="M164" s="61">
        <f t="shared" si="1"/>
        <v>6</v>
      </c>
      <c r="N164" s="61"/>
      <c r="O164" s="61"/>
      <c r="P164" s="61"/>
      <c r="Q164" s="61"/>
      <c r="R164" s="46" t="str">
        <f t="shared" si="2"/>
        <v>Learning</v>
      </c>
      <c r="S164" s="47" t="b">
        <v>0</v>
      </c>
      <c r="T164" s="52" t="s">
        <v>419</v>
      </c>
      <c r="U164" s="61"/>
      <c r="V164" s="62"/>
      <c r="W164" s="62"/>
      <c r="X164" s="62">
        <v>1.0</v>
      </c>
      <c r="Y164" s="62">
        <v>2.0</v>
      </c>
      <c r="Z164" s="62"/>
      <c r="AA164" s="49">
        <f t="shared" si="3"/>
        <v>3</v>
      </c>
    </row>
    <row r="165" ht="26.25" customHeight="1">
      <c r="A165" s="91">
        <v>457.0</v>
      </c>
      <c r="B165" s="70" t="s">
        <v>420</v>
      </c>
      <c r="C165" s="40" t="s">
        <v>76</v>
      </c>
      <c r="D165" s="90">
        <v>46086.0</v>
      </c>
      <c r="E165" s="69"/>
      <c r="F165" s="40" t="s">
        <v>414</v>
      </c>
      <c r="G165" s="57" t="s">
        <v>5</v>
      </c>
      <c r="H165" s="40" t="s">
        <v>133</v>
      </c>
      <c r="I165" s="58">
        <v>46086.0</v>
      </c>
      <c r="J165" s="57" t="s">
        <v>110</v>
      </c>
      <c r="K165" s="59" t="b">
        <v>0</v>
      </c>
      <c r="L165" s="60"/>
      <c r="M165" s="61">
        <f t="shared" si="1"/>
        <v>6</v>
      </c>
      <c r="N165" s="61"/>
      <c r="O165" s="61"/>
      <c r="P165" s="61"/>
      <c r="Q165" s="61"/>
      <c r="R165" s="46" t="str">
        <f t="shared" si="2"/>
        <v>Learning</v>
      </c>
      <c r="S165" s="47" t="b">
        <v>0</v>
      </c>
      <c r="T165" s="52" t="s">
        <v>421</v>
      </c>
      <c r="U165" s="61"/>
      <c r="V165" s="62"/>
      <c r="W165" s="62"/>
      <c r="X165" s="62">
        <v>1.0</v>
      </c>
      <c r="Y165" s="62">
        <v>2.0</v>
      </c>
      <c r="Z165" s="62"/>
      <c r="AA165" s="49">
        <f t="shared" si="3"/>
        <v>3</v>
      </c>
    </row>
    <row r="166" ht="26.25" customHeight="1">
      <c r="A166" s="91">
        <v>459.0</v>
      </c>
      <c r="B166" s="70" t="s">
        <v>422</v>
      </c>
      <c r="C166" s="40" t="s">
        <v>76</v>
      </c>
      <c r="D166" s="90">
        <v>46086.0</v>
      </c>
      <c r="E166" s="69"/>
      <c r="F166" s="40" t="s">
        <v>414</v>
      </c>
      <c r="G166" s="57" t="s">
        <v>5</v>
      </c>
      <c r="H166" s="40" t="s">
        <v>133</v>
      </c>
      <c r="I166" s="58">
        <v>46086.0</v>
      </c>
      <c r="J166" s="57" t="s">
        <v>110</v>
      </c>
      <c r="K166" s="59" t="b">
        <v>0</v>
      </c>
      <c r="L166" s="60"/>
      <c r="M166" s="61">
        <f t="shared" si="1"/>
        <v>6</v>
      </c>
      <c r="N166" s="61"/>
      <c r="O166" s="61"/>
      <c r="P166" s="61"/>
      <c r="Q166" s="61"/>
      <c r="R166" s="46" t="str">
        <f t="shared" si="2"/>
        <v>Learning</v>
      </c>
      <c r="S166" s="47" t="b">
        <v>0</v>
      </c>
      <c r="T166" s="52" t="s">
        <v>423</v>
      </c>
      <c r="U166" s="61"/>
      <c r="V166" s="62"/>
      <c r="W166" s="62"/>
      <c r="X166" s="62">
        <v>1.0</v>
      </c>
      <c r="Y166" s="62">
        <v>2.0</v>
      </c>
      <c r="Z166" s="62"/>
      <c r="AA166" s="49">
        <f t="shared" si="3"/>
        <v>3</v>
      </c>
    </row>
    <row r="167" ht="26.25" customHeight="1">
      <c r="A167" s="91">
        <v>461.0</v>
      </c>
      <c r="B167" s="70" t="s">
        <v>424</v>
      </c>
      <c r="C167" s="40" t="s">
        <v>76</v>
      </c>
      <c r="D167" s="90">
        <v>46086.0</v>
      </c>
      <c r="E167" s="69"/>
      <c r="F167" s="40" t="s">
        <v>414</v>
      </c>
      <c r="G167" s="57" t="s">
        <v>5</v>
      </c>
      <c r="H167" s="40" t="s">
        <v>133</v>
      </c>
      <c r="I167" s="58">
        <v>46086.0</v>
      </c>
      <c r="J167" s="57" t="s">
        <v>110</v>
      </c>
      <c r="K167" s="59" t="b">
        <v>0</v>
      </c>
      <c r="L167" s="60"/>
      <c r="M167" s="61">
        <f t="shared" si="1"/>
        <v>6</v>
      </c>
      <c r="N167" s="61"/>
      <c r="O167" s="61"/>
      <c r="P167" s="61"/>
      <c r="Q167" s="61"/>
      <c r="R167" s="46" t="str">
        <f t="shared" si="2"/>
        <v>Learning</v>
      </c>
      <c r="S167" s="47" t="b">
        <v>0</v>
      </c>
      <c r="T167" s="52" t="s">
        <v>425</v>
      </c>
      <c r="U167" s="61"/>
      <c r="V167" s="62"/>
      <c r="W167" s="62"/>
      <c r="X167" s="62">
        <v>1.0</v>
      </c>
      <c r="Y167" s="62">
        <v>2.0</v>
      </c>
      <c r="Z167" s="62"/>
      <c r="AA167" s="49">
        <f t="shared" si="3"/>
        <v>3</v>
      </c>
    </row>
    <row r="168" ht="26.25" customHeight="1">
      <c r="A168" s="63">
        <v>468.0</v>
      </c>
      <c r="B168" s="64" t="s">
        <v>426</v>
      </c>
      <c r="C168" s="40" t="s">
        <v>76</v>
      </c>
      <c r="D168" s="90">
        <v>46086.0</v>
      </c>
      <c r="E168" s="69"/>
      <c r="F168" s="40" t="s">
        <v>414</v>
      </c>
      <c r="G168" s="57" t="s">
        <v>5</v>
      </c>
      <c r="H168" s="40" t="s">
        <v>133</v>
      </c>
      <c r="I168" s="58">
        <v>46086.0</v>
      </c>
      <c r="J168" s="57" t="s">
        <v>110</v>
      </c>
      <c r="K168" s="59" t="b">
        <v>0</v>
      </c>
      <c r="L168" s="60"/>
      <c r="M168" s="61">
        <f t="shared" si="1"/>
        <v>6</v>
      </c>
      <c r="N168" s="61"/>
      <c r="O168" s="61"/>
      <c r="P168" s="61"/>
      <c r="Q168" s="61"/>
      <c r="R168" s="46" t="str">
        <f t="shared" si="2"/>
        <v>Learning</v>
      </c>
      <c r="S168" s="47" t="b">
        <v>0</v>
      </c>
      <c r="T168" s="52" t="s">
        <v>427</v>
      </c>
      <c r="U168" s="61"/>
      <c r="V168" s="62"/>
      <c r="W168" s="62"/>
      <c r="X168" s="62">
        <v>1.0</v>
      </c>
      <c r="Y168" s="62">
        <v>2.0</v>
      </c>
      <c r="Z168" s="62"/>
      <c r="AA168" s="49">
        <f t="shared" si="3"/>
        <v>3</v>
      </c>
    </row>
    <row r="169" ht="26.25" customHeight="1">
      <c r="A169" s="91">
        <v>469.0</v>
      </c>
      <c r="B169" s="70" t="s">
        <v>428</v>
      </c>
      <c r="C169" s="40" t="s">
        <v>76</v>
      </c>
      <c r="D169" s="90">
        <v>46086.0</v>
      </c>
      <c r="E169" s="69"/>
      <c r="F169" s="40" t="s">
        <v>414</v>
      </c>
      <c r="G169" s="57" t="s">
        <v>5</v>
      </c>
      <c r="H169" s="40" t="s">
        <v>133</v>
      </c>
      <c r="I169" s="58">
        <v>46086.0</v>
      </c>
      <c r="J169" s="57" t="s">
        <v>110</v>
      </c>
      <c r="K169" s="59" t="b">
        <v>0</v>
      </c>
      <c r="L169" s="60"/>
      <c r="M169" s="61">
        <f t="shared" si="1"/>
        <v>6</v>
      </c>
      <c r="N169" s="61"/>
      <c r="O169" s="61"/>
      <c r="P169" s="61"/>
      <c r="Q169" s="61"/>
      <c r="R169" s="46" t="str">
        <f t="shared" si="2"/>
        <v>Learning</v>
      </c>
      <c r="S169" s="47" t="b">
        <v>0</v>
      </c>
      <c r="T169" s="52" t="s">
        <v>429</v>
      </c>
      <c r="U169" s="61"/>
      <c r="V169" s="62"/>
      <c r="W169" s="62"/>
      <c r="X169" s="62">
        <v>1.0</v>
      </c>
      <c r="Y169" s="62">
        <v>2.0</v>
      </c>
      <c r="Z169" s="62"/>
      <c r="AA169" s="49">
        <f t="shared" si="3"/>
        <v>3</v>
      </c>
    </row>
    <row r="170" ht="26.25" customHeight="1">
      <c r="A170" s="91">
        <v>470.0</v>
      </c>
      <c r="B170" s="70" t="s">
        <v>430</v>
      </c>
      <c r="C170" s="40" t="s">
        <v>76</v>
      </c>
      <c r="D170" s="90">
        <v>46086.0</v>
      </c>
      <c r="E170" s="69"/>
      <c r="F170" s="40" t="s">
        <v>414</v>
      </c>
      <c r="G170" s="57" t="s">
        <v>5</v>
      </c>
      <c r="H170" s="40" t="s">
        <v>133</v>
      </c>
      <c r="I170" s="58">
        <v>46086.0</v>
      </c>
      <c r="J170" s="57" t="s">
        <v>110</v>
      </c>
      <c r="K170" s="59" t="b">
        <v>0</v>
      </c>
      <c r="L170" s="60"/>
      <c r="M170" s="61">
        <f t="shared" si="1"/>
        <v>6</v>
      </c>
      <c r="N170" s="61"/>
      <c r="O170" s="61"/>
      <c r="P170" s="61"/>
      <c r="Q170" s="61"/>
      <c r="R170" s="46" t="str">
        <f t="shared" si="2"/>
        <v>Learning</v>
      </c>
      <c r="S170" s="47" t="b">
        <v>0</v>
      </c>
      <c r="T170" s="52" t="s">
        <v>431</v>
      </c>
      <c r="U170" s="61"/>
      <c r="V170" s="62"/>
      <c r="W170" s="62"/>
      <c r="X170" s="62">
        <v>1.0</v>
      </c>
      <c r="Y170" s="62">
        <v>2.0</v>
      </c>
      <c r="Z170" s="62"/>
      <c r="AA170" s="49">
        <f t="shared" si="3"/>
        <v>3</v>
      </c>
    </row>
    <row r="171" ht="26.25" customHeight="1">
      <c r="A171" s="91">
        <v>475.0</v>
      </c>
      <c r="B171" s="70" t="s">
        <v>432</v>
      </c>
      <c r="C171" s="40" t="s">
        <v>76</v>
      </c>
      <c r="D171" s="90">
        <v>46114.0</v>
      </c>
      <c r="E171" s="69"/>
      <c r="F171" s="40" t="s">
        <v>414</v>
      </c>
      <c r="G171" s="57" t="s">
        <v>5</v>
      </c>
      <c r="H171" s="40" t="s">
        <v>133</v>
      </c>
      <c r="I171" s="58">
        <v>46114.0</v>
      </c>
      <c r="J171" s="57" t="s">
        <v>110</v>
      </c>
      <c r="K171" s="59" t="b">
        <v>0</v>
      </c>
      <c r="L171" s="60"/>
      <c r="M171" s="61">
        <f t="shared" si="1"/>
        <v>2</v>
      </c>
      <c r="N171" s="61"/>
      <c r="O171" s="61"/>
      <c r="P171" s="61"/>
      <c r="Q171" s="61"/>
      <c r="R171" s="46" t="str">
        <f t="shared" si="2"/>
        <v>Learning</v>
      </c>
      <c r="S171" s="47" t="b">
        <v>0</v>
      </c>
      <c r="T171" s="52" t="s">
        <v>433</v>
      </c>
      <c r="U171" s="61"/>
      <c r="V171" s="62"/>
      <c r="W171" s="62"/>
      <c r="X171" s="62"/>
      <c r="Y171" s="62">
        <v>2.0</v>
      </c>
      <c r="Z171" s="62"/>
      <c r="AA171" s="49">
        <f t="shared" si="3"/>
        <v>2</v>
      </c>
    </row>
    <row r="172" ht="26.25" customHeight="1">
      <c r="A172" s="53">
        <v>272.0</v>
      </c>
      <c r="B172" s="50" t="s">
        <v>434</v>
      </c>
      <c r="C172" s="37" t="s">
        <v>76</v>
      </c>
      <c r="D172" s="54">
        <v>45503.0</v>
      </c>
      <c r="E172" s="39"/>
      <c r="F172" s="37" t="s">
        <v>435</v>
      </c>
      <c r="G172" s="40" t="s">
        <v>436</v>
      </c>
      <c r="H172" s="40" t="s">
        <v>91</v>
      </c>
      <c r="I172" s="42">
        <v>45960.0</v>
      </c>
      <c r="J172" s="40" t="s">
        <v>79</v>
      </c>
      <c r="K172" s="43" t="b">
        <v>1</v>
      </c>
      <c r="L172" s="44"/>
      <c r="M172" s="45">
        <f t="shared" si="1"/>
        <v>24</v>
      </c>
      <c r="N172" s="49"/>
      <c r="O172" s="45" t="str">
        <f>IFERROR(__xludf.DUMMYFUNCTION("IFERROR(
  TEXT(
    MAX(FILTER(Remark!A:A, TRIM(Remark!B:B) = TRIM(B172))),
    ""dd/mm/yyyy""
  ) &amp; "" - "" &amp;
  FILTER(
    Remark!C:C,
    TRIM(Remark!B:B) = TRIM(B172),
    Remark!A:A = MAX(FILTER(Remark!A:A, TRIM(Remark!B:B) = TRIM(B172)))
  ),
  """&amp;"""
)"),"")</f>
        <v/>
      </c>
      <c r="P172" s="45" t="str">
        <f>IFERROR(__xludf.DUMMYFUNCTION("TEXTJOIN(CHAR(10), TRUE, IFERROR(
  FILTER(TEXT(Remark!A:A, ""dd/mm/yyyy"") &amp; "" - "" &amp; Remark!C:C, TRIM(Remark!B:B) = TRIM(B172)),
  """"
))"),"")</f>
        <v/>
      </c>
      <c r="Q172" s="45" t="str">
        <f>IFERROR(__xludf.DUMMYFUNCTION("IFERROR(
  FILTER(
    Remark!D:D,
    Remark!A:A = MAX(FILTER(Remark!A:A, TRIM(Remark!B:B) = TRIM(B172)))
  ),
  """"
)"),"")</f>
        <v/>
      </c>
      <c r="R172" s="46" t="str">
        <f t="shared" si="2"/>
        <v>Learning</v>
      </c>
      <c r="S172" s="47"/>
      <c r="T172" s="48" t="s">
        <v>437</v>
      </c>
      <c r="U172" s="49">
        <v>2.0</v>
      </c>
      <c r="V172" s="49"/>
      <c r="W172" s="49">
        <v>1.0</v>
      </c>
      <c r="X172" s="49"/>
      <c r="Y172" s="49"/>
      <c r="Z172" s="49"/>
      <c r="AA172" s="49">
        <f t="shared" si="3"/>
        <v>1</v>
      </c>
    </row>
    <row r="173" ht="26.25" customHeight="1">
      <c r="A173" s="35">
        <v>318.0</v>
      </c>
      <c r="B173" s="36" t="s">
        <v>438</v>
      </c>
      <c r="C173" s="40" t="s">
        <v>76</v>
      </c>
      <c r="D173" s="54">
        <v>45707.0</v>
      </c>
      <c r="E173" s="51"/>
      <c r="F173" s="40" t="s">
        <v>435</v>
      </c>
      <c r="G173" s="40" t="s">
        <v>436</v>
      </c>
      <c r="H173" s="40" t="s">
        <v>91</v>
      </c>
      <c r="I173" s="42">
        <v>45707.0</v>
      </c>
      <c r="J173" s="40" t="s">
        <v>159</v>
      </c>
      <c r="K173" s="43" t="b">
        <v>0</v>
      </c>
      <c r="L173" s="44"/>
      <c r="M173" s="45">
        <f t="shared" si="1"/>
        <v>60</v>
      </c>
      <c r="N173" s="45"/>
      <c r="O173" s="45" t="str">
        <f>IFERROR(__xludf.DUMMYFUNCTION("IFERROR(
  TEXT(
    MAX(FILTER(Remark!A:A, TRIM(Remark!B:B) = TRIM(B173))),
    ""dd/mm/yyyy""
  ) &amp; "" - "" &amp;
  FILTER(
    Remark!C:C,
    TRIM(Remark!B:B) = TRIM(B173),
    Remark!A:A = MAX(FILTER(Remark!A:A, TRIM(Remark!B:B) = TRIM(B173)))
  ),
  """&amp;"""
)"),"")</f>
        <v/>
      </c>
      <c r="P173" s="45" t="str">
        <f>IFERROR(__xludf.DUMMYFUNCTION("TEXTJOIN(CHAR(10), TRUE, IFERROR(
  FILTER(TEXT(Remark!A:A, ""dd/mm/yyyy"") &amp; "" - "" &amp; Remark!C:C, TRIM(Remark!B:B) = TRIM(B173)),
  """"
))"),"")</f>
        <v/>
      </c>
      <c r="Q173" s="45" t="str">
        <f>IFERROR(__xludf.DUMMYFUNCTION("IFERROR(
  FILTER(
    Remark!D:D,
    Remark!A:A = MAX(FILTER(Remark!A:A, TRIM(Remark!B:B) = TRIM(B173)))
  ),
  """"
)"),"")</f>
        <v/>
      </c>
      <c r="R173" s="46" t="str">
        <f t="shared" si="2"/>
        <v>Prepare for Showcase</v>
      </c>
      <c r="S173" s="43" t="b">
        <v>1</v>
      </c>
      <c r="T173" s="48" t="s">
        <v>229</v>
      </c>
      <c r="U173" s="49">
        <v>4.0</v>
      </c>
      <c r="V173" s="49"/>
      <c r="W173" s="49"/>
      <c r="X173" s="49">
        <v>1.0</v>
      </c>
      <c r="Y173" s="49"/>
      <c r="Z173" s="49"/>
      <c r="AA173" s="49">
        <f t="shared" si="3"/>
        <v>1</v>
      </c>
    </row>
    <row r="174" ht="26.25" customHeight="1">
      <c r="A174" s="72">
        <v>420.0</v>
      </c>
      <c r="B174" s="73" t="s">
        <v>439</v>
      </c>
      <c r="C174" s="40" t="s">
        <v>76</v>
      </c>
      <c r="D174" s="54">
        <v>46034.0</v>
      </c>
      <c r="E174" s="51"/>
      <c r="F174" s="40" t="s">
        <v>435</v>
      </c>
      <c r="G174" s="57" t="s">
        <v>436</v>
      </c>
      <c r="H174" s="57" t="s">
        <v>91</v>
      </c>
      <c r="I174" s="58">
        <v>46037.0</v>
      </c>
      <c r="J174" s="57" t="s">
        <v>110</v>
      </c>
      <c r="K174" s="59" t="b">
        <v>0</v>
      </c>
      <c r="L174" s="44"/>
      <c r="M174" s="61">
        <f t="shared" si="1"/>
        <v>13</v>
      </c>
      <c r="N174" s="62"/>
      <c r="O174" s="45" t="str">
        <f>IFERROR(__xludf.DUMMYFUNCTION("IFERROR(
  TEXT(
    MAX(FILTER(Remark!A:A, TRIM(Remark!B:B) = TRIM(B174))),
    ""dd/mm/yyyy""
  ) &amp; "" - "" &amp;
  FILTER(
    Remark!C:C,
    TRIM(Remark!B:B) = TRIM(B174),
    Remark!A:A = MAX(FILTER(Remark!A:A, TRIM(Remark!B:B) = TRIM(B174)))
  ),
  """&amp;"""
)"),"")</f>
        <v/>
      </c>
      <c r="P174" s="45" t="str">
        <f>IFERROR(__xludf.DUMMYFUNCTION("TEXTJOIN(CHAR(10), TRUE, IFERROR(
  FILTER(TEXT(Remark!A:A, ""dd/mm/yyyy"") &amp; "" - "" &amp; Remark!C:C, TRIM(Remark!B:B) = TRIM(B174)),
  """"
))"),"")</f>
        <v/>
      </c>
      <c r="Q174" s="45" t="str">
        <f>IFERROR(__xludf.DUMMYFUNCTION("IFERROR(
  FILTER(
    Remark!D:D,
    Remark!A:A = MAX(FILTER(Remark!A:A, TRIM(Remark!B:B) = TRIM(B174)))
  ),
  """"
)"),"")</f>
        <v/>
      </c>
      <c r="R174" s="46" t="str">
        <f t="shared" si="2"/>
        <v>Learning</v>
      </c>
      <c r="S174" s="43" t="b">
        <v>1</v>
      </c>
      <c r="T174" s="52" t="s">
        <v>440</v>
      </c>
      <c r="U174" s="62"/>
      <c r="V174" s="62"/>
      <c r="W174" s="62"/>
      <c r="X174" s="62">
        <v>1.0</v>
      </c>
      <c r="Y174" s="62"/>
      <c r="Z174" s="62"/>
      <c r="AA174" s="49">
        <f t="shared" si="3"/>
        <v>1</v>
      </c>
    </row>
    <row r="175" ht="26.25" customHeight="1">
      <c r="A175" s="66">
        <v>436.0</v>
      </c>
      <c r="B175" s="36" t="s">
        <v>441</v>
      </c>
      <c r="C175" s="40" t="s">
        <v>76</v>
      </c>
      <c r="D175" s="54">
        <v>46037.0</v>
      </c>
      <c r="E175" s="51"/>
      <c r="F175" s="40" t="s">
        <v>435</v>
      </c>
      <c r="G175" s="57" t="s">
        <v>436</v>
      </c>
      <c r="H175" s="57" t="s">
        <v>91</v>
      </c>
      <c r="I175" s="58">
        <v>46030.0</v>
      </c>
      <c r="J175" s="57" t="s">
        <v>159</v>
      </c>
      <c r="K175" s="59" t="b">
        <v>0</v>
      </c>
      <c r="L175" s="44"/>
      <c r="M175" s="61">
        <f t="shared" si="1"/>
        <v>14</v>
      </c>
      <c r="N175" s="62"/>
      <c r="O175" s="45" t="str">
        <f>IFERROR(__xludf.DUMMYFUNCTION("IFERROR(
  TEXT(
    MAX(FILTER(Remark!A:A, TRIM(Remark!B:B) = TRIM(B175))),
    ""dd/mm/yyyy""
  ) &amp; "" - "" &amp;
  FILTER(
    Remark!C:C,
    TRIM(Remark!B:B) = TRIM(B175),
    Remark!A:A = MAX(FILTER(Remark!A:A, TRIM(Remark!B:B) = TRIM(B175)))
  ),
  """&amp;"""
)"),"")</f>
        <v/>
      </c>
      <c r="P175" s="45" t="str">
        <f>IFERROR(__xludf.DUMMYFUNCTION("TEXTJOIN(CHAR(10), TRUE, IFERROR(
  FILTER(TEXT(Remark!A:A, ""dd/mm/yyyy"") &amp; "" - "" &amp; Remark!C:C, TRIM(Remark!B:B) = TRIM(B175)),
  """"
))"),"")</f>
        <v/>
      </c>
      <c r="Q175" s="45" t="str">
        <f>IFERROR(__xludf.DUMMYFUNCTION("IFERROR(
  FILTER(
    Remark!D:D,
    Remark!A:A = MAX(FILTER(Remark!A:A, TRIM(Remark!B:B) = TRIM(B175)))
  ),
  """"
)"),"")</f>
        <v/>
      </c>
      <c r="R175" s="46" t="str">
        <f t="shared" si="2"/>
        <v>Learning</v>
      </c>
      <c r="S175" s="47"/>
      <c r="T175" s="52" t="s">
        <v>442</v>
      </c>
      <c r="U175" s="62"/>
      <c r="V175" s="62"/>
      <c r="W175" s="62">
        <v>1.0</v>
      </c>
      <c r="X175" s="62"/>
      <c r="Y175" s="62"/>
      <c r="Z175" s="62"/>
      <c r="AA175" s="49">
        <f t="shared" si="3"/>
        <v>1</v>
      </c>
    </row>
    <row r="176" ht="26.25" customHeight="1">
      <c r="A176" s="35">
        <v>269.0</v>
      </c>
      <c r="B176" s="50" t="s">
        <v>443</v>
      </c>
      <c r="C176" s="37" t="s">
        <v>76</v>
      </c>
      <c r="D176" s="54">
        <v>45301.0</v>
      </c>
      <c r="E176" s="39"/>
      <c r="F176" s="37" t="s">
        <v>435</v>
      </c>
      <c r="G176" s="57" t="s">
        <v>436</v>
      </c>
      <c r="H176" s="40" t="s">
        <v>109</v>
      </c>
      <c r="I176" s="42">
        <v>45680.0</v>
      </c>
      <c r="J176" s="40" t="s">
        <v>126</v>
      </c>
      <c r="K176" s="43" t="b">
        <v>1</v>
      </c>
      <c r="L176" s="44"/>
      <c r="M176" s="45">
        <f t="shared" si="1"/>
        <v>64</v>
      </c>
      <c r="N176" s="49"/>
      <c r="O176" s="49" t="s">
        <v>48</v>
      </c>
      <c r="P176" s="45" t="str">
        <f>IFERROR(__xludf.DUMMYFUNCTION("TEXTJOIN(CHAR(10), TRUE, IFERROR(
  FILTER(TEXT(Remark!A:A, ""dd/mm/yyyy"") &amp; "" - "" &amp; Remark!C:C, TRIM(Remark!B:B) = TRIM(B176)),
  """"
))"),"12/02/2026 - Hi parents,
Thomas is still working on his showcase project. He has made great progress and is trying his best to solve the problems independently. We are proud of his effort and perseverance.
For Morgan, he is learning the basic understand"&amp;"ing of coding and programming. This helps him build a strong foundation and develop logical thinking skills. He is showing steady improvement in class.")</f>
        <v>12/02/2026 - Hi parents,
Thomas is still working on his showcase project. He has made great progress and is trying his best to solve the problems independently. We are proud of his effort and perseverance.
For Morgan, he is learning the basic understanding of coding and programming. This helps him build a strong foundation and develop logical thinking skills. He is showing steady improvement in class.</v>
      </c>
      <c r="Q176" s="45" t="str">
        <f>IFERROR(__xludf.DUMMYFUNCTION("IFERROR(
  FILTER(
    Remark!D:D,
    Remark!A:A = MAX(FILTER(Remark!A:A, TRIM(Remark!B:B) = TRIM(B176)))
  ),
  """"
)"),"No")</f>
        <v>No</v>
      </c>
      <c r="R176" s="46" t="str">
        <f t="shared" si="2"/>
        <v>Prepare for Showcase</v>
      </c>
      <c r="S176" s="43" t="b">
        <v>1</v>
      </c>
      <c r="T176" s="48" t="s">
        <v>444</v>
      </c>
      <c r="U176" s="49">
        <v>8.0</v>
      </c>
      <c r="V176" s="49">
        <v>1.0</v>
      </c>
      <c r="W176" s="49">
        <v>1.0</v>
      </c>
      <c r="X176" s="49">
        <v>1.0</v>
      </c>
      <c r="Y176" s="49">
        <v>1.0</v>
      </c>
      <c r="Z176" s="49"/>
      <c r="AA176" s="49">
        <f t="shared" si="3"/>
        <v>4</v>
      </c>
    </row>
    <row r="177" ht="26.25" customHeight="1">
      <c r="A177" s="35">
        <v>333.0</v>
      </c>
      <c r="B177" s="36" t="s">
        <v>445</v>
      </c>
      <c r="C177" s="40" t="s">
        <v>76</v>
      </c>
      <c r="D177" s="38">
        <v>45721.0</v>
      </c>
      <c r="E177" s="51"/>
      <c r="F177" s="40" t="s">
        <v>435</v>
      </c>
      <c r="G177" s="57" t="s">
        <v>436</v>
      </c>
      <c r="H177" s="57" t="s">
        <v>109</v>
      </c>
      <c r="I177" s="42">
        <v>45722.0</v>
      </c>
      <c r="J177" s="57" t="s">
        <v>159</v>
      </c>
      <c r="K177" s="59" t="b">
        <v>1</v>
      </c>
      <c r="L177" s="60"/>
      <c r="M177" s="61">
        <f t="shared" si="1"/>
        <v>58</v>
      </c>
      <c r="N177" s="61"/>
      <c r="O177" s="45" t="str">
        <f>IFERROR(__xludf.DUMMYFUNCTION("IFERROR(
  TEXT(
    MAX(FILTER(Remark!A:A, TRIM(Remark!B:B) = TRIM(B177))),
    ""dd/mm/yyyy""
  ) &amp; "" - "" &amp;
  FILTER(
    Remark!C:C,
    TRIM(Remark!B:B) = TRIM(B177),
    Remark!A:A = MAX(FILTER(Remark!A:A, TRIM(Remark!B:B) = TRIM(B177)))
  ),
  """&amp;"""
)"),"")</f>
        <v/>
      </c>
      <c r="P177" s="45" t="str">
        <f>IFERROR(__xludf.DUMMYFUNCTION("TEXTJOIN(CHAR(10), TRUE, IFERROR(
  FILTER(TEXT(Remark!A:A, ""dd/mm/yyyy"") &amp; "" - "" &amp; Remark!C:C, TRIM(Remark!B:B) = TRIM(B177)),
  """"
))"),"")</f>
        <v/>
      </c>
      <c r="Q177" s="45" t="str">
        <f>IFERROR(__xludf.DUMMYFUNCTION("IFERROR(
  FILTER(
    Remark!D:D,
    Remark!A:A = MAX(FILTER(Remark!A:A, TRIM(Remark!B:B) = TRIM(B177)))
  ),
  """"
)"),"")</f>
        <v/>
      </c>
      <c r="R177" s="46" t="str">
        <f t="shared" si="2"/>
        <v>Prepare for Showcase</v>
      </c>
      <c r="S177" s="43" t="b">
        <v>1</v>
      </c>
      <c r="T177" s="52" t="s">
        <v>446</v>
      </c>
      <c r="U177" s="62">
        <v>3.0</v>
      </c>
      <c r="V177" s="62">
        <v>1.0</v>
      </c>
      <c r="W177" s="62">
        <v>1.0</v>
      </c>
      <c r="X177" s="62">
        <v>1.0</v>
      </c>
      <c r="Y177" s="62">
        <v>1.0</v>
      </c>
      <c r="Z177" s="62"/>
      <c r="AA177" s="49">
        <f t="shared" si="3"/>
        <v>4</v>
      </c>
    </row>
    <row r="178" ht="26.25" customHeight="1">
      <c r="A178" s="35">
        <v>393.0</v>
      </c>
      <c r="B178" s="36" t="s">
        <v>447</v>
      </c>
      <c r="C178" s="40" t="s">
        <v>76</v>
      </c>
      <c r="D178" s="54">
        <v>45868.0</v>
      </c>
      <c r="E178" s="51"/>
      <c r="F178" s="40" t="s">
        <v>435</v>
      </c>
      <c r="G178" s="57" t="s">
        <v>436</v>
      </c>
      <c r="H178" s="57" t="s">
        <v>109</v>
      </c>
      <c r="I178" s="58">
        <v>45869.0</v>
      </c>
      <c r="J178" s="57" t="s">
        <v>101</v>
      </c>
      <c r="K178" s="59" t="b">
        <v>0</v>
      </c>
      <c r="L178" s="60"/>
      <c r="M178" s="61">
        <f t="shared" si="1"/>
        <v>37</v>
      </c>
      <c r="N178" s="61"/>
      <c r="O178" s="45" t="str">
        <f>IFERROR(__xludf.DUMMYFUNCTION("IFERROR(
  TEXT(
    MAX(FILTER(Remark!A:A, TRIM(Remark!B:B) = TRIM(B178))),
    ""dd/mm/yyyy""
  ) &amp; "" - "" &amp;
  FILTER(
    Remark!C:C,
    TRIM(Remark!B:B) = TRIM(B178),
    Remark!A:A = MAX(FILTER(Remark!A:A, TRIM(Remark!B:B) = TRIM(B178)))
  ),
  """&amp;"""
)"),"06/11/2025 - [Caleb]
Distracts other students by chatting and playing games during class.")</f>
        <v>06/11/2025 - [Caleb]
Distracts other students by chatting and playing games during class.</v>
      </c>
      <c r="P178" s="45" t="str">
        <f>IFERROR(__xludf.DUMMYFUNCTION("TEXTJOIN(CHAR(10), TRUE, IFERROR(
  FILTER(TEXT(Remark!A:A, ""dd/mm/yyyy"") &amp; "" - "" &amp; Remark!C:C, TRIM(Remark!B:B) = TRIM(B178)),
  """"
))"),"06/11/2025 - [Caleb]
Distracts other students by chatting and playing games during class.")</f>
        <v>06/11/2025 - [Caleb]
Distracts other students by chatting and playing games during class.</v>
      </c>
      <c r="Q178" s="45" t="str">
        <f>IFERROR(__xludf.DUMMYFUNCTION("IFERROR(
  FILTER(
    Remark!D:D,
    Remark!A:A = MAX(FILTER(Remark!A:A, TRIM(Remark!B:B) = TRIM(B178)))
  ),
  """"
)"),"No")</f>
        <v>No</v>
      </c>
      <c r="R178" s="46" t="str">
        <f t="shared" si="2"/>
        <v>Starting Final Project</v>
      </c>
      <c r="S178" s="47"/>
      <c r="T178" s="52" t="s">
        <v>448</v>
      </c>
      <c r="U178" s="62">
        <v>3.0</v>
      </c>
      <c r="V178" s="62">
        <v>1.0</v>
      </c>
      <c r="W178" s="62">
        <v>1.0</v>
      </c>
      <c r="X178" s="62">
        <v>1.0</v>
      </c>
      <c r="Y178" s="62">
        <v>1.0</v>
      </c>
      <c r="Z178" s="62"/>
      <c r="AA178" s="49">
        <f t="shared" si="3"/>
        <v>4</v>
      </c>
    </row>
    <row r="179" ht="26.25" customHeight="1">
      <c r="A179" s="66">
        <v>411.0</v>
      </c>
      <c r="B179" s="36" t="s">
        <v>449</v>
      </c>
      <c r="C179" s="40" t="s">
        <v>76</v>
      </c>
      <c r="D179" s="54">
        <v>45973.0</v>
      </c>
      <c r="E179" s="51"/>
      <c r="F179" s="40" t="s">
        <v>435</v>
      </c>
      <c r="G179" s="57" t="s">
        <v>436</v>
      </c>
      <c r="H179" s="40" t="s">
        <v>109</v>
      </c>
      <c r="I179" s="42">
        <v>45974.0</v>
      </c>
      <c r="J179" s="40" t="s">
        <v>110</v>
      </c>
      <c r="K179" s="43" t="b">
        <v>0</v>
      </c>
      <c r="L179" s="44"/>
      <c r="M179" s="45">
        <f t="shared" si="1"/>
        <v>22</v>
      </c>
      <c r="N179" s="49"/>
      <c r="O179" s="45" t="str">
        <f>IFERROR(__xludf.DUMMYFUNCTION("IFERROR(
  TEXT(
    MAX(FILTER(Remark!A:A, TRIM(Remark!B:B) = TRIM(B179))),
    ""dd/mm/yyyy""
  ) &amp; "" - "" &amp;
  FILTER(
    Remark!C:C,
    TRIM(Remark!B:B) = TRIM(B179),
    Remark!A:A = MAX(FILTER(Remark!A:A, TRIM(Remark!B:B) = TRIM(B179)))
  ),
  """&amp;"""
)"),"")</f>
        <v/>
      </c>
      <c r="P179" s="45" t="str">
        <f>IFERROR(__xludf.DUMMYFUNCTION("TEXTJOIN(CHAR(10), TRUE, IFERROR(
  FILTER(TEXT(Remark!A:A, ""dd/mm/yyyy"") &amp; "" - "" &amp; Remark!C:C, TRIM(Remark!B:B) = TRIM(B179)),
  """"
))"),"")</f>
        <v/>
      </c>
      <c r="Q179" s="45" t="str">
        <f>IFERROR(__xludf.DUMMYFUNCTION("IFERROR(
  FILTER(
    Remark!D:D,
    Remark!A:A = MAX(FILTER(Remark!A:A, TRIM(Remark!B:B) = TRIM(B179)))
  ),
  """"
)"),"")</f>
        <v/>
      </c>
      <c r="R179" s="46" t="str">
        <f t="shared" si="2"/>
        <v>Learning</v>
      </c>
      <c r="S179" s="43" t="b">
        <v>1</v>
      </c>
      <c r="T179" s="48" t="s">
        <v>450</v>
      </c>
      <c r="U179" s="49">
        <v>2.0</v>
      </c>
      <c r="V179" s="49">
        <v>1.0</v>
      </c>
      <c r="W179" s="49">
        <v>1.0</v>
      </c>
      <c r="X179" s="49">
        <v>1.0</v>
      </c>
      <c r="Y179" s="49">
        <v>1.0</v>
      </c>
      <c r="Z179" s="49"/>
      <c r="AA179" s="49">
        <f t="shared" si="3"/>
        <v>4</v>
      </c>
    </row>
    <row r="180" ht="26.25" customHeight="1">
      <c r="A180" s="66">
        <v>442.0</v>
      </c>
      <c r="B180" s="36" t="s">
        <v>451</v>
      </c>
      <c r="C180" s="40" t="s">
        <v>76</v>
      </c>
      <c r="D180" s="54">
        <v>46050.0</v>
      </c>
      <c r="E180" s="51"/>
      <c r="F180" s="40" t="s">
        <v>435</v>
      </c>
      <c r="G180" s="57" t="s">
        <v>436</v>
      </c>
      <c r="H180" s="57" t="s">
        <v>109</v>
      </c>
      <c r="I180" s="58">
        <v>46058.0</v>
      </c>
      <c r="J180" s="57" t="s">
        <v>101</v>
      </c>
      <c r="K180" s="59" t="b">
        <v>0</v>
      </c>
      <c r="L180" s="44"/>
      <c r="M180" s="61">
        <f t="shared" si="1"/>
        <v>10</v>
      </c>
      <c r="N180" s="61"/>
      <c r="O180" s="45" t="str">
        <f>IFERROR(__xludf.DUMMYFUNCTION("IFERROR(
  TEXT(
    MAX(FILTER(Remark!A:A, TRIM(Remark!B:B) = TRIM(B180))),
    ""dd/mm/yyyy""
  ) &amp; "" - "" &amp;
  FILTER(
    Remark!C:C,
    TRIM(Remark!B:B) = TRIM(B180),
    Remark!A:A = MAX(FILTER(Remark!A:A, TRIM(Remark!B:B) = TRIM(B180)))
  ),
  """&amp;"""
)"),"")</f>
        <v/>
      </c>
      <c r="P180" s="45" t="str">
        <f>IFERROR(__xludf.DUMMYFUNCTION("TEXTJOIN(CHAR(10), TRUE, IFERROR(
  FILTER(TEXT(Remark!A:A, ""dd/mm/yyyy"") &amp; "" - "" &amp; Remark!C:C, TRIM(Remark!B:B) = TRIM(B180)),
  """"
))"),"")</f>
        <v/>
      </c>
      <c r="Q180" s="45" t="str">
        <f>IFERROR(__xludf.DUMMYFUNCTION("IFERROR(
  FILTER(
    Remark!D:D,
    Remark!A:A = MAX(FILTER(Remark!A:A, TRIM(Remark!B:B) = TRIM(B180)))
  ),
  """"
)"),"")</f>
        <v/>
      </c>
      <c r="R180" s="46" t="str">
        <f t="shared" si="2"/>
        <v>Learning</v>
      </c>
      <c r="S180" s="47"/>
      <c r="T180" s="52" t="s">
        <v>444</v>
      </c>
      <c r="U180" s="62"/>
      <c r="V180" s="62"/>
      <c r="W180" s="62">
        <v>1.0</v>
      </c>
      <c r="X180" s="62">
        <v>1.0</v>
      </c>
      <c r="Y180" s="62">
        <v>1.0</v>
      </c>
      <c r="Z180" s="62"/>
      <c r="AA180" s="49">
        <f t="shared" si="3"/>
        <v>3</v>
      </c>
    </row>
    <row r="181" ht="26.25" customHeight="1">
      <c r="A181" s="35">
        <v>64.0</v>
      </c>
      <c r="B181" s="48" t="s">
        <v>452</v>
      </c>
      <c r="C181" s="37" t="s">
        <v>76</v>
      </c>
      <c r="D181" s="54">
        <v>44606.0</v>
      </c>
      <c r="E181" s="39"/>
      <c r="F181" s="40" t="s">
        <v>435</v>
      </c>
      <c r="G181" s="57" t="s">
        <v>436</v>
      </c>
      <c r="H181" s="40" t="s">
        <v>119</v>
      </c>
      <c r="I181" s="42">
        <v>46037.0</v>
      </c>
      <c r="J181" s="40" t="s">
        <v>82</v>
      </c>
      <c r="K181" s="43" t="b">
        <v>1</v>
      </c>
      <c r="L181" s="44"/>
      <c r="M181" s="45">
        <f t="shared" si="1"/>
        <v>13</v>
      </c>
      <c r="N181" s="45"/>
      <c r="O181" s="45" t="str">
        <f>IFERROR(__xludf.DUMMYFUNCTION("IFERROR(
  TEXT(
    MAX(FILTER(Remark!A:A, TRIM(Remark!B:B) = TRIM(B181))),
    ""dd/mm/yyyy""
  ) &amp; "" - "" &amp;
  FILTER(
    Remark!C:C,
    TRIM(Remark!B:B) = TRIM(B181),
    Remark!A:A = MAX(FILTER(Remark!A:A, TRIM(Remark!B:B) = TRIM(B181)))
  ),
  """&amp;"""
)"),"06/11/2025 - [Caleb]
Having attitude issue, and frequently leaves the class with various reasons (e.g., finding food, taking items) and often returns late.")</f>
        <v>06/11/2025 - [Caleb]
Having attitude issue, and frequently leaves the class with various reasons (e.g., finding food, taking items) and often returns late.</v>
      </c>
      <c r="P181" s="45" t="str">
        <f>IFERROR(__xludf.DUMMYFUNCTION("TEXTJOIN(CHAR(10), TRUE, IFERROR(
  FILTER(TEXT(Remark!A:A, ""dd/mm/yyyy"") &amp; "" - "" &amp; Remark!C:C, TRIM(Remark!B:B) = TRIM(B181)),
  """"
))"),"06/11/2025 - [Caleb]
Having attitude issue, and frequently leaves the class with various reasons (e.g., finding food, taking items) and often returns late.")</f>
        <v>06/11/2025 - [Caleb]
Having attitude issue, and frequently leaves the class with various reasons (e.g., finding food, taking items) and often returns late.</v>
      </c>
      <c r="Q181" s="45" t="str">
        <f>IFERROR(__xludf.DUMMYFUNCTION("IFERROR(
  FILTER(
    Remark!D:D,
    Remark!A:A = MAX(FILTER(Remark!A:A, TRIM(Remark!B:B) = TRIM(B181)))
  ),
  """"
)"),"No")</f>
        <v>No</v>
      </c>
      <c r="R181" s="46" t="str">
        <f t="shared" si="2"/>
        <v>Learning</v>
      </c>
      <c r="S181" s="47"/>
      <c r="T181" s="56" t="s">
        <v>211</v>
      </c>
      <c r="U181" s="49">
        <v>1.0</v>
      </c>
      <c r="V181" s="49"/>
      <c r="W181" s="49">
        <v>1.0</v>
      </c>
      <c r="X181" s="49"/>
      <c r="Y181" s="49">
        <v>1.0</v>
      </c>
      <c r="Z181" s="49"/>
      <c r="AA181" s="49">
        <f t="shared" si="3"/>
        <v>2</v>
      </c>
    </row>
    <row r="182" ht="26.25" customHeight="1">
      <c r="A182" s="53">
        <v>276.0</v>
      </c>
      <c r="B182" s="50" t="s">
        <v>453</v>
      </c>
      <c r="C182" s="37" t="s">
        <v>76</v>
      </c>
      <c r="D182" s="54">
        <v>45503.0</v>
      </c>
      <c r="E182" s="39"/>
      <c r="F182" s="37" t="s">
        <v>435</v>
      </c>
      <c r="G182" s="57" t="s">
        <v>436</v>
      </c>
      <c r="H182" s="40" t="s">
        <v>119</v>
      </c>
      <c r="I182" s="42">
        <v>46114.0</v>
      </c>
      <c r="J182" s="40" t="s">
        <v>92</v>
      </c>
      <c r="K182" s="43" t="b">
        <v>1</v>
      </c>
      <c r="L182" s="44"/>
      <c r="M182" s="45">
        <f t="shared" si="1"/>
        <v>2</v>
      </c>
      <c r="N182" s="49" t="s">
        <v>454</v>
      </c>
      <c r="O182" s="45" t="str">
        <f>IFERROR(__xludf.DUMMYFUNCTION("IFERROR(
  TEXT(
    MAX(FILTER(Remark!A:A, TRIM(Remark!B:B) = TRIM(B182))),
    ""dd/mm/yyyy""
  ) &amp; "" - "" &amp;
  FILTER(
    Remark!C:C,
    TRIM(Remark!B:B) = TRIM(B182),
    Remark!A:A = MAX(FILTER(Remark!A:A, TRIM(Remark!B:B) = TRIM(B182)))
  ),
  """&amp;"""
)"),"")</f>
        <v/>
      </c>
      <c r="P182" s="45" t="str">
        <f>IFERROR(__xludf.DUMMYFUNCTION("TEXTJOIN(CHAR(10), TRUE, IFERROR(
  FILTER(TEXT(Remark!A:A, ""dd/mm/yyyy"") &amp; "" - "" &amp; Remark!C:C, TRIM(Remark!B:B) = TRIM(B182)),
  """"
))"),"")</f>
        <v/>
      </c>
      <c r="Q182" s="45" t="str">
        <f>IFERROR(__xludf.DUMMYFUNCTION("IFERROR(
  FILTER(
    Remark!D:D,
    Remark!A:A = MAX(FILTER(Remark!A:A, TRIM(Remark!B:B) = TRIM(B182)))
  ),
  """"
)"),"")</f>
        <v/>
      </c>
      <c r="R182" s="46" t="str">
        <f t="shared" si="2"/>
        <v>Learning</v>
      </c>
      <c r="S182" s="43" t="b">
        <v>1</v>
      </c>
      <c r="T182" s="48" t="s">
        <v>455</v>
      </c>
      <c r="U182" s="49">
        <v>1.0</v>
      </c>
      <c r="V182" s="49"/>
      <c r="W182" s="49">
        <v>1.0</v>
      </c>
      <c r="X182" s="49"/>
      <c r="Y182" s="49">
        <v>1.0</v>
      </c>
      <c r="Z182" s="49"/>
      <c r="AA182" s="49">
        <f t="shared" si="3"/>
        <v>2</v>
      </c>
    </row>
    <row r="183" ht="26.25" customHeight="1">
      <c r="A183" s="53">
        <v>284.0</v>
      </c>
      <c r="B183" s="50" t="s">
        <v>456</v>
      </c>
      <c r="C183" s="37" t="s">
        <v>76</v>
      </c>
      <c r="D183" s="38">
        <v>45505.0</v>
      </c>
      <c r="E183" s="39"/>
      <c r="F183" s="37" t="s">
        <v>435</v>
      </c>
      <c r="G183" s="57" t="s">
        <v>436</v>
      </c>
      <c r="H183" s="40" t="s">
        <v>119</v>
      </c>
      <c r="I183" s="42">
        <v>45708.0</v>
      </c>
      <c r="J183" s="40" t="s">
        <v>92</v>
      </c>
      <c r="K183" s="43" t="b">
        <v>1</v>
      </c>
      <c r="L183" s="44"/>
      <c r="M183" s="45">
        <f t="shared" si="1"/>
        <v>60</v>
      </c>
      <c r="N183" s="49"/>
      <c r="O183" s="45" t="str">
        <f>IFERROR(__xludf.DUMMYFUNCTION("IFERROR(
  TEXT(
    MAX(FILTER(Remark!A:A, TRIM(Remark!B:B) = TRIM(B183))),
    ""dd/mm/yyyy""
  ) &amp; "" - "" &amp;
  FILTER(
    Remark!C:C,
    TRIM(Remark!B:B) = TRIM(B183),
    Remark!A:A = MAX(FILTER(Remark!A:A, TRIM(Remark!B:B) = TRIM(B183)))
  ),
  """&amp;"""
)"),"")</f>
        <v/>
      </c>
      <c r="P183" s="45" t="str">
        <f>IFERROR(__xludf.DUMMYFUNCTION("TEXTJOIN(CHAR(10), TRUE, IFERROR(
  FILTER(TEXT(Remark!A:A, ""dd/mm/yyyy"") &amp; "" - "" &amp; Remark!C:C, TRIM(Remark!B:B) = TRIM(B183)),
  """"
))"),"")</f>
        <v/>
      </c>
      <c r="Q183" s="45" t="str">
        <f>IFERROR(__xludf.DUMMYFUNCTION("IFERROR(
  FILTER(
    Remark!D:D,
    Remark!A:A = MAX(FILTER(Remark!A:A, TRIM(Remark!B:B) = TRIM(B183)))
  ),
  """"
)"),"")</f>
        <v/>
      </c>
      <c r="R183" s="46" t="str">
        <f t="shared" si="2"/>
        <v>Prepare for Showcase</v>
      </c>
      <c r="S183" s="43" t="b">
        <v>1</v>
      </c>
      <c r="T183" s="48" t="s">
        <v>457</v>
      </c>
      <c r="U183" s="49">
        <v>3.0</v>
      </c>
      <c r="V183" s="49"/>
      <c r="W183" s="49">
        <v>1.0</v>
      </c>
      <c r="X183" s="49"/>
      <c r="Y183" s="49"/>
      <c r="Z183" s="49"/>
      <c r="AA183" s="49">
        <f t="shared" si="3"/>
        <v>1</v>
      </c>
    </row>
    <row r="184" ht="26.25" customHeight="1">
      <c r="A184" s="35">
        <v>341.0</v>
      </c>
      <c r="B184" s="36" t="s">
        <v>458</v>
      </c>
      <c r="C184" s="40" t="s">
        <v>76</v>
      </c>
      <c r="D184" s="54">
        <v>45733.0</v>
      </c>
      <c r="E184" s="51"/>
      <c r="F184" s="40" t="s">
        <v>435</v>
      </c>
      <c r="G184" s="57" t="s">
        <v>436</v>
      </c>
      <c r="H184" s="57" t="s">
        <v>119</v>
      </c>
      <c r="I184" s="42">
        <v>45750.0</v>
      </c>
      <c r="J184" s="57" t="s">
        <v>101</v>
      </c>
      <c r="K184" s="59" t="b">
        <v>1</v>
      </c>
      <c r="L184" s="60"/>
      <c r="M184" s="61">
        <f t="shared" si="1"/>
        <v>54</v>
      </c>
      <c r="N184" s="61"/>
      <c r="O184" s="45" t="str">
        <f>IFERROR(__xludf.DUMMYFUNCTION("IFERROR(
  TEXT(
    MAX(FILTER(Remark!A:A, TRIM(Remark!B:B) = TRIM(B184))),
    ""dd/mm/yyyy""
  ) &amp; "" - "" &amp;
  FILTER(
    Remark!C:C,
    TRIM(Remark!B:B) = TRIM(B184),
    Remark!A:A = MAX(FILTER(Remark!A:A, TRIM(Remark!B:B) = TRIM(B184)))
  ),
  """&amp;"""
)"),"")</f>
        <v/>
      </c>
      <c r="P184" s="45" t="str">
        <f>IFERROR(__xludf.DUMMYFUNCTION("TEXTJOIN(CHAR(10), TRUE, IFERROR(
  FILTER(TEXT(Remark!A:A, ""dd/mm/yyyy"") &amp; "" - "" &amp; Remark!C:C, TRIM(Remark!B:B) = TRIM(B184)),
  """"
))"),"")</f>
        <v/>
      </c>
      <c r="Q184" s="45" t="str">
        <f>IFERROR(__xludf.DUMMYFUNCTION("IFERROR(
  FILTER(
    Remark!D:D,
    Remark!A:A = MAX(FILTER(Remark!A:A, TRIM(Remark!B:B) = TRIM(B184)))
  ),
  """"
)"),"")</f>
        <v/>
      </c>
      <c r="R184" s="46" t="str">
        <f t="shared" si="2"/>
        <v>Prepare for Showcase</v>
      </c>
      <c r="S184" s="43" t="b">
        <v>1</v>
      </c>
      <c r="T184" s="52" t="s">
        <v>459</v>
      </c>
      <c r="U184" s="62">
        <v>2.0</v>
      </c>
      <c r="V184" s="62"/>
      <c r="W184" s="62">
        <v>1.0</v>
      </c>
      <c r="X184" s="62"/>
      <c r="Y184" s="62">
        <v>1.0</v>
      </c>
      <c r="Z184" s="62"/>
      <c r="AA184" s="49">
        <f t="shared" si="3"/>
        <v>2</v>
      </c>
    </row>
    <row r="185" ht="26.25" customHeight="1">
      <c r="A185" s="35">
        <v>327.0</v>
      </c>
      <c r="B185" s="36" t="s">
        <v>460</v>
      </c>
      <c r="C185" s="40" t="s">
        <v>76</v>
      </c>
      <c r="D185" s="38">
        <v>45720.0</v>
      </c>
      <c r="E185" s="51"/>
      <c r="F185" s="40" t="s">
        <v>435</v>
      </c>
      <c r="G185" s="57" t="s">
        <v>436</v>
      </c>
      <c r="H185" s="57" t="s">
        <v>123</v>
      </c>
      <c r="I185" s="58">
        <v>45960.0</v>
      </c>
      <c r="J185" s="57" t="s">
        <v>101</v>
      </c>
      <c r="K185" s="59" t="b">
        <v>1</v>
      </c>
      <c r="L185" s="44"/>
      <c r="M185" s="61">
        <f t="shared" si="1"/>
        <v>24</v>
      </c>
      <c r="N185" s="62"/>
      <c r="O185" s="45" t="str">
        <f>IFERROR(__xludf.DUMMYFUNCTION("IFERROR(
  TEXT(
    MAX(FILTER(Remark!A:A, TRIM(Remark!B:B) = TRIM(B185))),
    ""dd/mm/yyyy""
  ) &amp; "" - "" &amp;
  FILTER(
    Remark!C:C,
    TRIM(Remark!B:B) = TRIM(B185),
    Remark!A:A = MAX(FILTER(Remark!A:A, TRIM(Remark!B:B) = TRIM(B185)))
  ),
  """&amp;"""
)"),"")</f>
        <v/>
      </c>
      <c r="P185" s="45" t="str">
        <f>IFERROR(__xludf.DUMMYFUNCTION("TEXTJOIN(CHAR(10), TRUE, IFERROR(
  FILTER(TEXT(Remark!A:A, ""dd/mm/yyyy"") &amp; "" - "" &amp; Remark!C:C, TRIM(Remark!B:B) = TRIM(B185)),
  """"
))"),"")</f>
        <v/>
      </c>
      <c r="Q185" s="45" t="str">
        <f>IFERROR(__xludf.DUMMYFUNCTION("IFERROR(
  FILTER(
    Remark!D:D,
    Remark!A:A = MAX(FILTER(Remark!A:A, TRIM(Remark!B:B) = TRIM(B185)))
  ),
  """"
)"),"")</f>
        <v/>
      </c>
      <c r="R185" s="46" t="str">
        <f t="shared" si="2"/>
        <v>Learning</v>
      </c>
      <c r="S185" s="47"/>
      <c r="T185" s="52" t="s">
        <v>461</v>
      </c>
      <c r="U185" s="62">
        <v>2.0</v>
      </c>
      <c r="V185" s="62">
        <v>1.0</v>
      </c>
      <c r="W185" s="62"/>
      <c r="X185" s="62">
        <v>1.0</v>
      </c>
      <c r="Y185" s="62"/>
      <c r="Z185" s="62"/>
      <c r="AA185" s="49">
        <f t="shared" si="3"/>
        <v>2</v>
      </c>
    </row>
    <row r="186" ht="26.25" customHeight="1">
      <c r="A186" s="35">
        <v>328.0</v>
      </c>
      <c r="B186" s="36" t="s">
        <v>462</v>
      </c>
      <c r="C186" s="40" t="s">
        <v>76</v>
      </c>
      <c r="D186" s="38">
        <v>45720.0</v>
      </c>
      <c r="E186" s="51"/>
      <c r="F186" s="40" t="s">
        <v>435</v>
      </c>
      <c r="G186" s="57" t="s">
        <v>436</v>
      </c>
      <c r="H186" s="57" t="s">
        <v>123</v>
      </c>
      <c r="I186" s="58">
        <v>45960.0</v>
      </c>
      <c r="J186" s="57" t="s">
        <v>101</v>
      </c>
      <c r="K186" s="59" t="b">
        <v>1</v>
      </c>
      <c r="L186" s="44"/>
      <c r="M186" s="61">
        <f t="shared" si="1"/>
        <v>24</v>
      </c>
      <c r="N186" s="62"/>
      <c r="O186" s="45" t="str">
        <f>IFERROR(__xludf.DUMMYFUNCTION("IFERROR(
  TEXT(
    MAX(FILTER(Remark!A:A, TRIM(Remark!B:B) = TRIM(B186))),
    ""dd/mm/yyyy""
  ) &amp; "" - "" &amp;
  FILTER(
    Remark!C:C,
    TRIM(Remark!B:B) = TRIM(B186),
    Remark!A:A = MAX(FILTER(Remark!A:A, TRIM(Remark!B:B) = TRIM(B186)))
  ),
  """&amp;"""
)"),"")</f>
        <v/>
      </c>
      <c r="P186" s="45" t="str">
        <f>IFERROR(__xludf.DUMMYFUNCTION("TEXTJOIN(CHAR(10), TRUE, IFERROR(
  FILTER(TEXT(Remark!A:A, ""dd/mm/yyyy"") &amp; "" - "" &amp; Remark!C:C, TRIM(Remark!B:B) = TRIM(B186)),
  """"
))"),"")</f>
        <v/>
      </c>
      <c r="Q186" s="45" t="str">
        <f>IFERROR(__xludf.DUMMYFUNCTION("IFERROR(
  FILTER(
    Remark!D:D,
    Remark!A:A = MAX(FILTER(Remark!A:A, TRIM(Remark!B:B) = TRIM(B186)))
  ),
  """"
)"),"")</f>
        <v/>
      </c>
      <c r="R186" s="46" t="str">
        <f t="shared" si="2"/>
        <v>Learning</v>
      </c>
      <c r="S186" s="47"/>
      <c r="T186" s="52" t="s">
        <v>463</v>
      </c>
      <c r="U186" s="61">
        <v>1.0</v>
      </c>
      <c r="V186" s="62">
        <v>1.0</v>
      </c>
      <c r="W186" s="62"/>
      <c r="X186" s="62"/>
      <c r="Y186" s="62"/>
      <c r="Z186" s="62"/>
      <c r="AA186" s="49">
        <f t="shared" si="3"/>
        <v>1</v>
      </c>
    </row>
    <row r="187" ht="26.25" customHeight="1">
      <c r="A187" s="35">
        <v>329.0</v>
      </c>
      <c r="B187" s="36" t="s">
        <v>464</v>
      </c>
      <c r="C187" s="40" t="s">
        <v>76</v>
      </c>
      <c r="D187" s="38">
        <v>45720.0</v>
      </c>
      <c r="E187" s="51"/>
      <c r="F187" s="40" t="s">
        <v>435</v>
      </c>
      <c r="G187" s="57" t="s">
        <v>436</v>
      </c>
      <c r="H187" s="57" t="s">
        <v>123</v>
      </c>
      <c r="I187" s="58">
        <v>45722.0</v>
      </c>
      <c r="J187" s="57" t="s">
        <v>159</v>
      </c>
      <c r="K187" s="59" t="b">
        <v>1</v>
      </c>
      <c r="L187" s="44"/>
      <c r="M187" s="61">
        <f t="shared" si="1"/>
        <v>58</v>
      </c>
      <c r="N187" s="61"/>
      <c r="O187" s="45" t="str">
        <f>IFERROR(__xludf.DUMMYFUNCTION("IFERROR(
  TEXT(
    MAX(FILTER(Remark!A:A, TRIM(Remark!B:B) = TRIM(B187))),
    ""dd/mm/yyyy""
  ) &amp; "" - "" &amp;
  FILTER(
    Remark!C:C,
    TRIM(Remark!B:B) = TRIM(B187),
    Remark!A:A = MAX(FILTER(Remark!A:A, TRIM(Remark!B:B) = TRIM(B187)))
  ),
  """&amp;"""
)"),"")</f>
        <v/>
      </c>
      <c r="P187" s="45" t="str">
        <f>IFERROR(__xludf.DUMMYFUNCTION("TEXTJOIN(CHAR(10), TRUE, IFERROR(
  FILTER(TEXT(Remark!A:A, ""dd/mm/yyyy"") &amp; "" - "" &amp; Remark!C:C, TRIM(Remark!B:B) = TRIM(B187)),
  """"
))"),"")</f>
        <v/>
      </c>
      <c r="Q187" s="45" t="str">
        <f>IFERROR(__xludf.DUMMYFUNCTION("IFERROR(
  FILTER(
    Remark!D:D,
    Remark!A:A = MAX(FILTER(Remark!A:A, TRIM(Remark!B:B) = TRIM(B187)))
  ),
  """"
)"),"")</f>
        <v/>
      </c>
      <c r="R187" s="46" t="str">
        <f t="shared" si="2"/>
        <v>Prepare for Showcase</v>
      </c>
      <c r="S187" s="43" t="b">
        <v>1</v>
      </c>
      <c r="T187" s="52" t="s">
        <v>465</v>
      </c>
      <c r="U187" s="62">
        <v>3.0</v>
      </c>
      <c r="V187" s="62"/>
      <c r="W187" s="62">
        <v>1.0</v>
      </c>
      <c r="X187" s="62"/>
      <c r="Y187" s="62"/>
      <c r="Z187" s="62"/>
      <c r="AA187" s="49">
        <f t="shared" si="3"/>
        <v>1</v>
      </c>
    </row>
    <row r="188" ht="26.25" customHeight="1">
      <c r="A188" s="35">
        <v>330.0</v>
      </c>
      <c r="B188" s="36" t="s">
        <v>466</v>
      </c>
      <c r="C188" s="40" t="s">
        <v>76</v>
      </c>
      <c r="D188" s="38">
        <v>45720.0</v>
      </c>
      <c r="E188" s="51"/>
      <c r="F188" s="40" t="s">
        <v>435</v>
      </c>
      <c r="G188" s="57" t="s">
        <v>436</v>
      </c>
      <c r="H188" s="57" t="s">
        <v>123</v>
      </c>
      <c r="I188" s="58">
        <v>45722.0</v>
      </c>
      <c r="J188" s="57" t="s">
        <v>159</v>
      </c>
      <c r="K188" s="59" t="b">
        <v>1</v>
      </c>
      <c r="L188" s="44"/>
      <c r="M188" s="61">
        <f t="shared" si="1"/>
        <v>58</v>
      </c>
      <c r="N188" s="61"/>
      <c r="O188" s="45" t="str">
        <f>IFERROR(__xludf.DUMMYFUNCTION("IFERROR(
  TEXT(
    MAX(FILTER(Remark!A:A, TRIM(Remark!B:B) = TRIM(B188))),
    ""dd/mm/yyyy""
  ) &amp; "" - "" &amp;
  FILTER(
    Remark!C:C,
    TRIM(Remark!B:B) = TRIM(B188),
    Remark!A:A = MAX(FILTER(Remark!A:A, TRIM(Remark!B:B) = TRIM(B188)))
  ),
  """&amp;"""
)"),"15/10/2025 - [Caleb]
The Imaginary Pet project file is missing, and the student is required to redo the project.
The mentor is advised to explain to the student the importance of file backup and introduce how to use Google Drive for saving and backing up "&amp;"project files.
Additionally, the mentor should update the parents about the situation and value student learnt from the experience on the importance of maintaining backups.")</f>
        <v>15/10/2025 - [Caleb]
The Imaginary Pet project file is missing, and the student is required to redo the project.
The mentor is advised to explain to the student the importance of file backup and introduce how to use Google Drive for saving and backing up project files.
Additionally, the mentor should update the parents about the situation and value student learnt from the experience on the importance of maintaining backups.</v>
      </c>
      <c r="P188" s="45" t="str">
        <f>IFERROR(__xludf.DUMMYFUNCTION("TEXTJOIN(CHAR(10), TRUE, IFERROR(
  FILTER(TEXT(Remark!A:A, ""dd/mm/yyyy"") &amp; "" - "" &amp; Remark!C:C, TRIM(Remark!B:B) = TRIM(B188)),
  """"
))"),"15/10/2025 - [Caleb]
The Imaginary Pet project file is missing, and the student is required to redo the project.
The mentor is advised to explain to the student the importance of file backup and introduce how to use Google Drive for saving and backing up "&amp;"project files.
Additionally, the mentor should update the parents about the situation and value student learnt from the experience on the importance of maintaining backups.")</f>
        <v>15/10/2025 - [Caleb]
The Imaginary Pet project file is missing, and the student is required to redo the project.
The mentor is advised to explain to the student the importance of file backup and introduce how to use Google Drive for saving and backing up project files.
Additionally, the mentor should update the parents about the situation and value student learnt from the experience on the importance of maintaining backups.</v>
      </c>
      <c r="Q188" s="45" t="str">
        <f>IFERROR(__xludf.DUMMYFUNCTION("IFERROR(
  FILTER(
    Remark!D:D,
    Remark!A:A = MAX(FILTER(Remark!A:A, TRIM(Remark!B:B) = TRIM(B188)))
  ),
  """"
)"),"No")</f>
        <v>No</v>
      </c>
      <c r="R188" s="46" t="str">
        <f t="shared" si="2"/>
        <v>Prepare for Showcase</v>
      </c>
      <c r="S188" s="43" t="b">
        <v>1</v>
      </c>
      <c r="T188" s="52" t="s">
        <v>467</v>
      </c>
      <c r="U188" s="62">
        <v>1.0</v>
      </c>
      <c r="V188" s="62"/>
      <c r="W188" s="62">
        <v>1.0</v>
      </c>
      <c r="X188" s="62">
        <v>1.0</v>
      </c>
      <c r="Y188" s="62">
        <v>1.0</v>
      </c>
      <c r="Z188" s="62"/>
      <c r="AA188" s="49">
        <f t="shared" si="3"/>
        <v>3</v>
      </c>
    </row>
    <row r="189" ht="26.25" customHeight="1">
      <c r="A189" s="35">
        <v>334.0</v>
      </c>
      <c r="B189" s="36" t="s">
        <v>468</v>
      </c>
      <c r="C189" s="40" t="s">
        <v>76</v>
      </c>
      <c r="D189" s="38">
        <v>45721.0</v>
      </c>
      <c r="E189" s="51"/>
      <c r="F189" s="40" t="s">
        <v>435</v>
      </c>
      <c r="G189" s="57" t="s">
        <v>436</v>
      </c>
      <c r="H189" s="57" t="s">
        <v>123</v>
      </c>
      <c r="I189" s="42">
        <v>45722.0</v>
      </c>
      <c r="J189" s="57" t="s">
        <v>159</v>
      </c>
      <c r="K189" s="59" t="b">
        <v>1</v>
      </c>
      <c r="L189" s="44"/>
      <c r="M189" s="61">
        <f t="shared" si="1"/>
        <v>58</v>
      </c>
      <c r="N189" s="61"/>
      <c r="O189" s="45" t="str">
        <f>IFERROR(__xludf.DUMMYFUNCTION("IFERROR(
  TEXT(
    MAX(FILTER(Remark!A:A, TRIM(Remark!B:B) = TRIM(B189))),
    ""dd/mm/yyyy""
  ) &amp; "" - "" &amp;
  FILTER(
    Remark!C:C,
    TRIM(Remark!B:B) = TRIM(B189),
    Remark!A:A = MAX(FILTER(Remark!A:A, TRIM(Remark!B:B) = TRIM(B189)))
  ),
  """&amp;"""
)"),"")</f>
        <v/>
      </c>
      <c r="P189" s="45" t="str">
        <f>IFERROR(__xludf.DUMMYFUNCTION("TEXTJOIN(CHAR(10), TRUE, IFERROR(
  FILTER(TEXT(Remark!A:A, ""dd/mm/yyyy"") &amp; "" - "" &amp; Remark!C:C, TRIM(Remark!B:B) = TRIM(B189)),
  """"
))"),"")</f>
        <v/>
      </c>
      <c r="Q189" s="45" t="str">
        <f>IFERROR(__xludf.DUMMYFUNCTION("IFERROR(
  FILTER(
    Remark!D:D,
    Remark!A:A = MAX(FILTER(Remark!A:A, TRIM(Remark!B:B) = TRIM(B189)))
  ),
  """"
)"),"")</f>
        <v/>
      </c>
      <c r="R189" s="46" t="str">
        <f t="shared" si="2"/>
        <v>Prepare for Showcase</v>
      </c>
      <c r="S189" s="43" t="b">
        <v>1</v>
      </c>
      <c r="T189" s="52" t="s">
        <v>89</v>
      </c>
      <c r="U189" s="61">
        <v>4.0</v>
      </c>
      <c r="V189" s="61"/>
      <c r="W189" s="62">
        <v>1.0</v>
      </c>
      <c r="X189" s="62">
        <v>1.0</v>
      </c>
      <c r="Y189" s="62">
        <v>1.0</v>
      </c>
      <c r="Z189" s="62"/>
      <c r="AA189" s="49">
        <f t="shared" si="3"/>
        <v>3</v>
      </c>
    </row>
    <row r="190" ht="26.25" customHeight="1">
      <c r="A190" s="35">
        <v>351.0</v>
      </c>
      <c r="B190" s="36" t="s">
        <v>469</v>
      </c>
      <c r="C190" s="40" t="s">
        <v>76</v>
      </c>
      <c r="D190" s="68">
        <v>45785.0</v>
      </c>
      <c r="E190" s="51"/>
      <c r="F190" s="40" t="s">
        <v>435</v>
      </c>
      <c r="G190" s="57" t="s">
        <v>436</v>
      </c>
      <c r="H190" s="57" t="s">
        <v>123</v>
      </c>
      <c r="I190" s="58">
        <v>45785.0</v>
      </c>
      <c r="J190" s="57" t="s">
        <v>159</v>
      </c>
      <c r="K190" s="59" t="b">
        <v>1</v>
      </c>
      <c r="L190" s="44"/>
      <c r="M190" s="61">
        <f t="shared" si="1"/>
        <v>49</v>
      </c>
      <c r="N190" s="61"/>
      <c r="O190" s="45" t="str">
        <f>IFERROR(__xludf.DUMMYFUNCTION("IFERROR(
  TEXT(
    MAX(FILTER(Remark!A:A, TRIM(Remark!B:B) = TRIM(B190))),
    ""dd/mm/yyyy""
  ) &amp; "" - "" &amp;
  FILTER(
    Remark!C:C,
    TRIM(Remark!B:B) = TRIM(B190),
    Remark!A:A = MAX(FILTER(Remark!A:A, TRIM(Remark!B:B) = TRIM(B190)))
  ),
  """&amp;"""
)"),"")</f>
        <v/>
      </c>
      <c r="P190" s="45" t="str">
        <f>IFERROR(__xludf.DUMMYFUNCTION("TEXTJOIN(CHAR(10), TRUE, IFERROR(
  FILTER(TEXT(Remark!A:A, ""dd/mm/yyyy"") &amp; "" - "" &amp; Remark!C:C, TRIM(Remark!B:B) = TRIM(B190)),
  """"
))"),"")</f>
        <v/>
      </c>
      <c r="Q190" s="45" t="str">
        <f>IFERROR(__xludf.DUMMYFUNCTION("IFERROR(
  FILTER(
    Remark!D:D,
    Remark!A:A = MAX(FILTER(Remark!A:A, TRIM(Remark!B:B) = TRIM(B190)))
  ),
  """"
)"),"")</f>
        <v/>
      </c>
      <c r="R190" s="46" t="str">
        <f t="shared" si="2"/>
        <v>Prepare for Showcase</v>
      </c>
      <c r="S190" s="43" t="b">
        <v>1</v>
      </c>
      <c r="T190" s="52" t="s">
        <v>227</v>
      </c>
      <c r="U190" s="62">
        <v>4.0</v>
      </c>
      <c r="V190" s="62">
        <v>1.0</v>
      </c>
      <c r="W190" s="62">
        <v>1.0</v>
      </c>
      <c r="X190" s="62">
        <v>1.0</v>
      </c>
      <c r="Y190" s="62">
        <v>1.0</v>
      </c>
      <c r="Z190" s="62"/>
      <c r="AA190" s="49">
        <f t="shared" si="3"/>
        <v>4</v>
      </c>
    </row>
    <row r="191" ht="26.25" customHeight="1">
      <c r="A191" s="35">
        <v>396.0</v>
      </c>
      <c r="B191" s="36" t="s">
        <v>470</v>
      </c>
      <c r="C191" s="40" t="s">
        <v>76</v>
      </c>
      <c r="D191" s="54">
        <v>45880.0</v>
      </c>
      <c r="E191" s="51"/>
      <c r="F191" s="40" t="s">
        <v>471</v>
      </c>
      <c r="G191" s="57" t="s">
        <v>8</v>
      </c>
      <c r="H191" s="57" t="s">
        <v>181</v>
      </c>
      <c r="I191" s="42">
        <v>46055.0</v>
      </c>
      <c r="J191" s="57" t="s">
        <v>101</v>
      </c>
      <c r="K191" s="43" t="b">
        <v>1</v>
      </c>
      <c r="L191" s="60"/>
      <c r="M191" s="61">
        <f t="shared" si="1"/>
        <v>10</v>
      </c>
      <c r="N191" s="62" t="s">
        <v>104</v>
      </c>
      <c r="O191" s="45" t="str">
        <f>IFERROR(__xludf.DUMMYFUNCTION("IFERROR(
  TEXT(
    MAX(FILTER(Remark!A:A, TRIM(Remark!B:B) = TRIM(B191))),
    ""dd/mm/yyyy""
  ) &amp; "" - "" &amp;
  FILTER(
    Remark!C:C,
    TRIM(Remark!B:B) = TRIM(B191),
    Remark!A:A = MAX(FILTER(Remark!A:A, TRIM(Remark!B:B) = TRIM(B191)))
  ),
  """&amp;"""
)"),"")</f>
        <v/>
      </c>
      <c r="P191" s="45" t="str">
        <f>IFERROR(__xludf.DUMMYFUNCTION("TEXTJOIN(CHAR(10), TRUE, IFERROR(
  FILTER(TEXT(Remark!A:A, ""dd/mm/yyyy"") &amp; "" - "" &amp; Remark!C:C, TRIM(Remark!B:B) = TRIM(B191)),
  """"
))"),"")</f>
        <v/>
      </c>
      <c r="Q191" s="45" t="str">
        <f>IFERROR(__xludf.DUMMYFUNCTION("IFERROR(
  FILTER(
    Remark!D:D,
    Remark!A:A = MAX(FILTER(Remark!A:A, TRIM(Remark!B:B) = TRIM(B191)))
  ),
  """"
)"),"")</f>
        <v/>
      </c>
      <c r="R191" s="46" t="str">
        <f t="shared" si="2"/>
        <v>Learning</v>
      </c>
      <c r="S191" s="43" t="b">
        <v>1</v>
      </c>
      <c r="T191" s="52" t="s">
        <v>472</v>
      </c>
      <c r="U191" s="62">
        <v>4.0</v>
      </c>
      <c r="V191" s="62">
        <v>1.0</v>
      </c>
      <c r="W191" s="62">
        <v>1.0</v>
      </c>
      <c r="X191" s="62">
        <v>1.0</v>
      </c>
      <c r="Y191" s="62"/>
      <c r="Z191" s="62"/>
      <c r="AA191" s="49">
        <f t="shared" si="3"/>
        <v>3</v>
      </c>
    </row>
    <row r="192" ht="26.25" customHeight="1">
      <c r="A192" s="92">
        <v>478.0</v>
      </c>
      <c r="B192" s="75" t="s">
        <v>473</v>
      </c>
      <c r="C192" s="78" t="s">
        <v>76</v>
      </c>
      <c r="D192" s="69">
        <v>46122.0</v>
      </c>
      <c r="E192" s="93"/>
      <c r="F192" s="40" t="s">
        <v>471</v>
      </c>
      <c r="G192" s="80" t="s">
        <v>8</v>
      </c>
      <c r="H192" s="80" t="s">
        <v>181</v>
      </c>
      <c r="I192" s="81">
        <v>46122.0</v>
      </c>
      <c r="J192" s="57" t="s">
        <v>101</v>
      </c>
      <c r="K192" s="82" t="b">
        <v>0</v>
      </c>
      <c r="L192" s="94"/>
      <c r="M192" s="84">
        <f t="shared" si="1"/>
        <v>1</v>
      </c>
      <c r="N192" s="84"/>
      <c r="O192" s="84"/>
      <c r="P192" s="84"/>
      <c r="Q192" s="84"/>
      <c r="R192" s="86" t="str">
        <f t="shared" si="2"/>
        <v>Learning</v>
      </c>
      <c r="S192" s="82" t="b">
        <v>0</v>
      </c>
      <c r="T192" s="88" t="s">
        <v>474</v>
      </c>
      <c r="U192" s="84"/>
      <c r="V192" s="84"/>
      <c r="W192" s="84"/>
      <c r="X192" s="84"/>
      <c r="Y192" s="84"/>
      <c r="Z192" s="84"/>
      <c r="AA192" s="84"/>
    </row>
    <row r="193" ht="26.25" customHeight="1">
      <c r="A193" s="92">
        <v>483.0</v>
      </c>
      <c r="B193" s="75" t="s">
        <v>475</v>
      </c>
      <c r="C193" s="78" t="s">
        <v>76</v>
      </c>
      <c r="D193" s="69">
        <v>46122.0</v>
      </c>
      <c r="E193" s="93"/>
      <c r="F193" s="40" t="s">
        <v>471</v>
      </c>
      <c r="G193" s="80" t="s">
        <v>8</v>
      </c>
      <c r="H193" s="80" t="s">
        <v>181</v>
      </c>
      <c r="I193" s="81">
        <v>46122.0</v>
      </c>
      <c r="J193" s="57" t="s">
        <v>101</v>
      </c>
      <c r="K193" s="82" t="b">
        <v>0</v>
      </c>
      <c r="L193" s="94"/>
      <c r="M193" s="84">
        <f t="shared" si="1"/>
        <v>1</v>
      </c>
      <c r="N193" s="84"/>
      <c r="O193" s="84"/>
      <c r="P193" s="84"/>
      <c r="Q193" s="84"/>
      <c r="R193" s="86" t="str">
        <f t="shared" si="2"/>
        <v>Learning</v>
      </c>
      <c r="S193" s="82" t="b">
        <v>0</v>
      </c>
      <c r="T193" s="88" t="s">
        <v>476</v>
      </c>
      <c r="U193" s="84"/>
      <c r="V193" s="84"/>
      <c r="W193" s="84"/>
      <c r="X193" s="84"/>
      <c r="Y193" s="84"/>
      <c r="Z193" s="84"/>
      <c r="AA193" s="84"/>
    </row>
    <row r="194" ht="26.25" customHeight="1">
      <c r="A194" s="92">
        <v>486.0</v>
      </c>
      <c r="B194" s="75" t="s">
        <v>477</v>
      </c>
      <c r="C194" s="78" t="s">
        <v>76</v>
      </c>
      <c r="D194" s="69">
        <v>46122.0</v>
      </c>
      <c r="E194" s="93"/>
      <c r="F194" s="40" t="s">
        <v>471</v>
      </c>
      <c r="G194" s="80" t="s">
        <v>8</v>
      </c>
      <c r="H194" s="80" t="s">
        <v>181</v>
      </c>
      <c r="I194" s="81">
        <v>46122.0</v>
      </c>
      <c r="J194" s="57" t="s">
        <v>101</v>
      </c>
      <c r="K194" s="82" t="b">
        <v>0</v>
      </c>
      <c r="L194" s="94"/>
      <c r="M194" s="84">
        <f t="shared" si="1"/>
        <v>1</v>
      </c>
      <c r="N194" s="84"/>
      <c r="O194" s="84"/>
      <c r="P194" s="84"/>
      <c r="Q194" s="84"/>
      <c r="R194" s="86" t="str">
        <f t="shared" si="2"/>
        <v>Learning</v>
      </c>
      <c r="S194" s="82" t="b">
        <v>0</v>
      </c>
      <c r="T194" s="88" t="s">
        <v>478</v>
      </c>
      <c r="U194" s="84"/>
      <c r="V194" s="84"/>
      <c r="W194" s="84"/>
      <c r="X194" s="84"/>
      <c r="Y194" s="84"/>
      <c r="Z194" s="84"/>
      <c r="AA194" s="84"/>
    </row>
    <row r="195" ht="26.25" customHeight="1">
      <c r="A195" s="95">
        <v>488.0</v>
      </c>
      <c r="B195" s="96" t="s">
        <v>479</v>
      </c>
      <c r="C195" s="78" t="s">
        <v>76</v>
      </c>
      <c r="D195" s="69">
        <v>46122.0</v>
      </c>
      <c r="E195" s="93"/>
      <c r="F195" s="40" t="s">
        <v>471</v>
      </c>
      <c r="G195" s="80" t="s">
        <v>8</v>
      </c>
      <c r="H195" s="80" t="s">
        <v>181</v>
      </c>
      <c r="I195" s="81">
        <v>46122.0</v>
      </c>
      <c r="J195" s="57" t="s">
        <v>101</v>
      </c>
      <c r="K195" s="82" t="b">
        <v>0</v>
      </c>
      <c r="L195" s="94"/>
      <c r="M195" s="84">
        <f t="shared" si="1"/>
        <v>1</v>
      </c>
      <c r="N195" s="84"/>
      <c r="O195" s="84"/>
      <c r="P195" s="84"/>
      <c r="Q195" s="84"/>
      <c r="R195" s="86" t="str">
        <f t="shared" si="2"/>
        <v>Learning</v>
      </c>
      <c r="S195" s="82" t="b">
        <v>0</v>
      </c>
      <c r="T195" s="88" t="s">
        <v>480</v>
      </c>
      <c r="U195" s="84"/>
      <c r="V195" s="84"/>
      <c r="W195" s="84"/>
      <c r="X195" s="84"/>
      <c r="Y195" s="84"/>
      <c r="Z195" s="84"/>
      <c r="AA195" s="84"/>
    </row>
    <row r="196" ht="26.25" customHeight="1">
      <c r="A196" s="92">
        <v>489.0</v>
      </c>
      <c r="B196" s="75" t="s">
        <v>481</v>
      </c>
      <c r="C196" s="78" t="s">
        <v>76</v>
      </c>
      <c r="D196" s="69">
        <v>46122.0</v>
      </c>
      <c r="E196" s="93"/>
      <c r="F196" s="40" t="s">
        <v>471</v>
      </c>
      <c r="G196" s="80" t="s">
        <v>8</v>
      </c>
      <c r="H196" s="80" t="s">
        <v>181</v>
      </c>
      <c r="I196" s="81">
        <v>46122.0</v>
      </c>
      <c r="J196" s="57" t="s">
        <v>101</v>
      </c>
      <c r="K196" s="82" t="b">
        <v>0</v>
      </c>
      <c r="L196" s="94"/>
      <c r="M196" s="84">
        <f t="shared" si="1"/>
        <v>1</v>
      </c>
      <c r="N196" s="84"/>
      <c r="O196" s="84"/>
      <c r="P196" s="84"/>
      <c r="Q196" s="84"/>
      <c r="R196" s="86" t="str">
        <f t="shared" si="2"/>
        <v>Learning</v>
      </c>
      <c r="S196" s="82" t="b">
        <v>0</v>
      </c>
      <c r="T196" s="88" t="s">
        <v>482</v>
      </c>
      <c r="U196" s="84"/>
      <c r="V196" s="84"/>
      <c r="W196" s="84"/>
      <c r="X196" s="84"/>
      <c r="Y196" s="84"/>
      <c r="Z196" s="84"/>
      <c r="AA196" s="84"/>
    </row>
    <row r="197" ht="26.25" customHeight="1">
      <c r="A197" s="92">
        <v>490.0</v>
      </c>
      <c r="B197" s="75" t="s">
        <v>483</v>
      </c>
      <c r="C197" s="78" t="s">
        <v>76</v>
      </c>
      <c r="D197" s="69">
        <v>46122.0</v>
      </c>
      <c r="E197" s="93"/>
      <c r="F197" s="40" t="s">
        <v>471</v>
      </c>
      <c r="G197" s="80" t="s">
        <v>8</v>
      </c>
      <c r="H197" s="80" t="s">
        <v>181</v>
      </c>
      <c r="I197" s="81">
        <v>46122.0</v>
      </c>
      <c r="J197" s="57" t="s">
        <v>101</v>
      </c>
      <c r="K197" s="82" t="b">
        <v>0</v>
      </c>
      <c r="L197" s="94"/>
      <c r="M197" s="84">
        <f t="shared" si="1"/>
        <v>1</v>
      </c>
      <c r="N197" s="84"/>
      <c r="O197" s="84"/>
      <c r="P197" s="84"/>
      <c r="Q197" s="84"/>
      <c r="R197" s="86" t="str">
        <f t="shared" si="2"/>
        <v>Learning</v>
      </c>
      <c r="S197" s="82" t="b">
        <v>0</v>
      </c>
      <c r="T197" s="88" t="s">
        <v>484</v>
      </c>
      <c r="U197" s="84"/>
      <c r="V197" s="84"/>
      <c r="W197" s="84"/>
      <c r="X197" s="84"/>
      <c r="Y197" s="84"/>
      <c r="Z197" s="84"/>
      <c r="AA197" s="84"/>
    </row>
    <row r="198" ht="26.25" customHeight="1">
      <c r="A198" s="92">
        <v>491.0</v>
      </c>
      <c r="B198" s="75" t="s">
        <v>485</v>
      </c>
      <c r="C198" s="78" t="s">
        <v>76</v>
      </c>
      <c r="D198" s="69">
        <v>46122.0</v>
      </c>
      <c r="E198" s="93"/>
      <c r="F198" s="40" t="s">
        <v>471</v>
      </c>
      <c r="G198" s="80" t="s">
        <v>8</v>
      </c>
      <c r="H198" s="80" t="s">
        <v>181</v>
      </c>
      <c r="I198" s="81">
        <v>46122.0</v>
      </c>
      <c r="J198" s="57" t="s">
        <v>101</v>
      </c>
      <c r="K198" s="82" t="b">
        <v>0</v>
      </c>
      <c r="L198" s="94"/>
      <c r="M198" s="84">
        <f t="shared" si="1"/>
        <v>1</v>
      </c>
      <c r="N198" s="84"/>
      <c r="O198" s="84"/>
      <c r="P198" s="84"/>
      <c r="Q198" s="84"/>
      <c r="R198" s="86" t="str">
        <f t="shared" si="2"/>
        <v>Learning</v>
      </c>
      <c r="S198" s="82" t="b">
        <v>0</v>
      </c>
      <c r="T198" s="88" t="s">
        <v>486</v>
      </c>
      <c r="U198" s="84"/>
      <c r="V198" s="84"/>
      <c r="W198" s="84"/>
      <c r="X198" s="84"/>
      <c r="Y198" s="84"/>
      <c r="Z198" s="84"/>
      <c r="AA198" s="84"/>
    </row>
    <row r="199" ht="26.25" customHeight="1">
      <c r="A199" s="92">
        <v>492.0</v>
      </c>
      <c r="B199" s="75" t="s">
        <v>487</v>
      </c>
      <c r="C199" s="78" t="s">
        <v>76</v>
      </c>
      <c r="D199" s="69">
        <v>46122.0</v>
      </c>
      <c r="E199" s="93"/>
      <c r="F199" s="40" t="s">
        <v>471</v>
      </c>
      <c r="G199" s="80" t="s">
        <v>8</v>
      </c>
      <c r="H199" s="80" t="s">
        <v>181</v>
      </c>
      <c r="I199" s="81">
        <v>46122.0</v>
      </c>
      <c r="J199" s="57" t="s">
        <v>101</v>
      </c>
      <c r="K199" s="82" t="b">
        <v>0</v>
      </c>
      <c r="L199" s="94"/>
      <c r="M199" s="84">
        <f t="shared" si="1"/>
        <v>1</v>
      </c>
      <c r="N199" s="84"/>
      <c r="O199" s="84"/>
      <c r="P199" s="84"/>
      <c r="Q199" s="84"/>
      <c r="R199" s="86" t="str">
        <f t="shared" si="2"/>
        <v>Learning</v>
      </c>
      <c r="S199" s="82" t="b">
        <v>0</v>
      </c>
      <c r="T199" s="88" t="s">
        <v>488</v>
      </c>
      <c r="U199" s="84"/>
      <c r="V199" s="84"/>
      <c r="W199" s="84"/>
      <c r="X199" s="84"/>
      <c r="Y199" s="84"/>
      <c r="Z199" s="84"/>
      <c r="AA199" s="84"/>
    </row>
    <row r="200" ht="26.25" customHeight="1">
      <c r="A200" s="92">
        <v>493.0</v>
      </c>
      <c r="B200" s="75" t="s">
        <v>489</v>
      </c>
      <c r="C200" s="78" t="s">
        <v>76</v>
      </c>
      <c r="D200" s="69">
        <v>46122.0</v>
      </c>
      <c r="E200" s="93"/>
      <c r="F200" s="40" t="s">
        <v>471</v>
      </c>
      <c r="G200" s="80" t="s">
        <v>8</v>
      </c>
      <c r="H200" s="80" t="s">
        <v>181</v>
      </c>
      <c r="I200" s="81">
        <v>46122.0</v>
      </c>
      <c r="J200" s="57" t="s">
        <v>101</v>
      </c>
      <c r="K200" s="82" t="b">
        <v>0</v>
      </c>
      <c r="L200" s="94"/>
      <c r="M200" s="84">
        <f t="shared" si="1"/>
        <v>1</v>
      </c>
      <c r="N200" s="84"/>
      <c r="O200" s="84"/>
      <c r="P200" s="84"/>
      <c r="Q200" s="84"/>
      <c r="R200" s="86" t="str">
        <f t="shared" si="2"/>
        <v>Learning</v>
      </c>
      <c r="S200" s="82" t="b">
        <v>0</v>
      </c>
      <c r="T200" s="88" t="s">
        <v>488</v>
      </c>
      <c r="U200" s="84"/>
      <c r="V200" s="84"/>
      <c r="W200" s="84"/>
      <c r="X200" s="84"/>
      <c r="Y200" s="84"/>
      <c r="Z200" s="84"/>
      <c r="AA200" s="84"/>
    </row>
    <row r="201" ht="26.25" customHeight="1">
      <c r="A201" s="92">
        <v>502.0</v>
      </c>
      <c r="B201" s="36" t="s">
        <v>490</v>
      </c>
      <c r="C201" s="78" t="s">
        <v>76</v>
      </c>
      <c r="D201" s="69">
        <v>46122.0</v>
      </c>
      <c r="E201" s="93"/>
      <c r="F201" s="40" t="s">
        <v>471</v>
      </c>
      <c r="G201" s="80" t="s">
        <v>8</v>
      </c>
      <c r="H201" s="80" t="s">
        <v>181</v>
      </c>
      <c r="I201" s="81">
        <v>46123.0</v>
      </c>
      <c r="J201" s="57" t="s">
        <v>101</v>
      </c>
      <c r="K201" s="82" t="b">
        <v>0</v>
      </c>
      <c r="L201" s="94"/>
      <c r="M201" s="84">
        <f t="shared" si="1"/>
        <v>1</v>
      </c>
      <c r="N201" s="84"/>
      <c r="O201" s="84"/>
      <c r="P201" s="84"/>
      <c r="Q201" s="84"/>
      <c r="R201" s="86" t="str">
        <f t="shared" si="2"/>
        <v>Learning</v>
      </c>
      <c r="S201" s="82" t="b">
        <v>0</v>
      </c>
      <c r="T201" s="88" t="s">
        <v>491</v>
      </c>
      <c r="U201" s="84"/>
      <c r="V201" s="84"/>
      <c r="W201" s="84"/>
      <c r="X201" s="84"/>
      <c r="Y201" s="84"/>
      <c r="Z201" s="84"/>
      <c r="AA201" s="84"/>
    </row>
    <row r="202" ht="26.25" customHeight="1">
      <c r="A202" s="92">
        <v>503.0</v>
      </c>
      <c r="B202" s="50" t="s">
        <v>492</v>
      </c>
      <c r="C202" s="78" t="s">
        <v>76</v>
      </c>
      <c r="D202" s="69">
        <v>46122.0</v>
      </c>
      <c r="E202" s="93"/>
      <c r="F202" s="40" t="s">
        <v>471</v>
      </c>
      <c r="G202" s="80" t="s">
        <v>8</v>
      </c>
      <c r="H202" s="80" t="s">
        <v>181</v>
      </c>
      <c r="I202" s="81">
        <v>46124.0</v>
      </c>
      <c r="J202" s="57" t="s">
        <v>101</v>
      </c>
      <c r="K202" s="82" t="b">
        <v>0</v>
      </c>
      <c r="L202" s="94"/>
      <c r="M202" s="84">
        <f t="shared" si="1"/>
        <v>0</v>
      </c>
      <c r="N202" s="84"/>
      <c r="O202" s="84"/>
      <c r="P202" s="84"/>
      <c r="Q202" s="84"/>
      <c r="R202" s="86" t="str">
        <f t="shared" si="2"/>
        <v>Learning</v>
      </c>
      <c r="S202" s="82" t="b">
        <v>0</v>
      </c>
      <c r="T202" s="88" t="s">
        <v>493</v>
      </c>
      <c r="U202" s="84"/>
      <c r="V202" s="84"/>
      <c r="W202" s="84"/>
      <c r="X202" s="84"/>
      <c r="Y202" s="84"/>
      <c r="Z202" s="84"/>
      <c r="AA202" s="84"/>
    </row>
    <row r="203" ht="26.25" customHeight="1">
      <c r="A203" s="92">
        <v>504.0</v>
      </c>
      <c r="B203" s="50" t="s">
        <v>494</v>
      </c>
      <c r="C203" s="78" t="s">
        <v>76</v>
      </c>
      <c r="D203" s="69">
        <v>46122.0</v>
      </c>
      <c r="E203" s="93"/>
      <c r="F203" s="40" t="s">
        <v>471</v>
      </c>
      <c r="G203" s="80" t="s">
        <v>8</v>
      </c>
      <c r="H203" s="80" t="s">
        <v>181</v>
      </c>
      <c r="I203" s="81">
        <v>46125.0</v>
      </c>
      <c r="J203" s="57" t="s">
        <v>101</v>
      </c>
      <c r="K203" s="82" t="b">
        <v>0</v>
      </c>
      <c r="L203" s="94"/>
      <c r="M203" s="84">
        <f t="shared" si="1"/>
        <v>0</v>
      </c>
      <c r="N203" s="84"/>
      <c r="O203" s="84"/>
      <c r="P203" s="84"/>
      <c r="Q203" s="84"/>
      <c r="R203" s="86" t="str">
        <f t="shared" si="2"/>
        <v>Learning</v>
      </c>
      <c r="S203" s="82" t="b">
        <v>0</v>
      </c>
      <c r="T203" s="88" t="s">
        <v>495</v>
      </c>
      <c r="U203" s="84"/>
      <c r="V203" s="84"/>
      <c r="W203" s="84"/>
      <c r="X203" s="84"/>
      <c r="Y203" s="84"/>
      <c r="Z203" s="84"/>
      <c r="AA203" s="84"/>
    </row>
    <row r="204" ht="26.25" customHeight="1">
      <c r="A204" s="92">
        <v>506.0</v>
      </c>
      <c r="B204" s="75" t="s">
        <v>496</v>
      </c>
      <c r="C204" s="78" t="s">
        <v>76</v>
      </c>
      <c r="D204" s="69">
        <v>46122.0</v>
      </c>
      <c r="E204" s="93"/>
      <c r="F204" s="40" t="s">
        <v>471</v>
      </c>
      <c r="G204" s="80" t="s">
        <v>8</v>
      </c>
      <c r="H204" s="80" t="s">
        <v>181</v>
      </c>
      <c r="I204" s="81">
        <v>46125.0</v>
      </c>
      <c r="J204" s="57" t="s">
        <v>101</v>
      </c>
      <c r="K204" s="82" t="b">
        <v>0</v>
      </c>
      <c r="L204" s="94"/>
      <c r="M204" s="84">
        <f t="shared" si="1"/>
        <v>0</v>
      </c>
      <c r="N204" s="84"/>
      <c r="O204" s="84"/>
      <c r="P204" s="84"/>
      <c r="Q204" s="84"/>
      <c r="R204" s="86" t="str">
        <f t="shared" si="2"/>
        <v>Learning</v>
      </c>
      <c r="S204" s="82" t="b">
        <v>0</v>
      </c>
      <c r="T204" s="88" t="s">
        <v>497</v>
      </c>
      <c r="U204" s="84"/>
      <c r="V204" s="84"/>
      <c r="W204" s="84"/>
      <c r="X204" s="84"/>
      <c r="Y204" s="84"/>
      <c r="Z204" s="84"/>
      <c r="AA204" s="84"/>
    </row>
    <row r="205" ht="26.25" customHeight="1">
      <c r="A205" s="95">
        <v>507.0</v>
      </c>
      <c r="B205" s="96" t="s">
        <v>498</v>
      </c>
      <c r="C205" s="78" t="s">
        <v>76</v>
      </c>
      <c r="D205" s="69">
        <v>46122.0</v>
      </c>
      <c r="E205" s="93"/>
      <c r="F205" s="40" t="s">
        <v>471</v>
      </c>
      <c r="G205" s="80" t="s">
        <v>8</v>
      </c>
      <c r="H205" s="80" t="s">
        <v>181</v>
      </c>
      <c r="I205" s="81">
        <v>46125.0</v>
      </c>
      <c r="J205" s="57" t="s">
        <v>101</v>
      </c>
      <c r="K205" s="82" t="b">
        <v>0</v>
      </c>
      <c r="L205" s="94"/>
      <c r="M205" s="84">
        <f t="shared" si="1"/>
        <v>0</v>
      </c>
      <c r="N205" s="84"/>
      <c r="O205" s="84"/>
      <c r="P205" s="84"/>
      <c r="Q205" s="84"/>
      <c r="R205" s="86" t="str">
        <f t="shared" si="2"/>
        <v>Learning</v>
      </c>
      <c r="S205" s="82" t="b">
        <v>0</v>
      </c>
      <c r="T205" s="88" t="s">
        <v>499</v>
      </c>
      <c r="U205" s="84"/>
      <c r="V205" s="84"/>
      <c r="W205" s="84"/>
      <c r="X205" s="84"/>
      <c r="Y205" s="84"/>
      <c r="Z205" s="84"/>
      <c r="AA205" s="84"/>
    </row>
    <row r="206" ht="26.25" customHeight="1">
      <c r="A206" s="95">
        <v>508.0</v>
      </c>
      <c r="B206" s="96" t="s">
        <v>500</v>
      </c>
      <c r="C206" s="78" t="s">
        <v>76</v>
      </c>
      <c r="D206" s="69">
        <v>46122.0</v>
      </c>
      <c r="E206" s="93"/>
      <c r="F206" s="40" t="s">
        <v>471</v>
      </c>
      <c r="G206" s="80" t="s">
        <v>8</v>
      </c>
      <c r="H206" s="80" t="s">
        <v>181</v>
      </c>
      <c r="I206" s="81">
        <v>46125.0</v>
      </c>
      <c r="J206" s="57" t="s">
        <v>101</v>
      </c>
      <c r="K206" s="82" t="b">
        <v>0</v>
      </c>
      <c r="L206" s="94"/>
      <c r="M206" s="84">
        <f t="shared" si="1"/>
        <v>0</v>
      </c>
      <c r="N206" s="84"/>
      <c r="O206" s="84"/>
      <c r="P206" s="84"/>
      <c r="Q206" s="84"/>
      <c r="R206" s="86" t="str">
        <f t="shared" si="2"/>
        <v>Learning</v>
      </c>
      <c r="S206" s="82" t="b">
        <v>0</v>
      </c>
      <c r="T206" s="88" t="s">
        <v>501</v>
      </c>
      <c r="U206" s="84"/>
      <c r="V206" s="84"/>
      <c r="W206" s="84"/>
      <c r="X206" s="84"/>
      <c r="Y206" s="84"/>
      <c r="Z206" s="84"/>
      <c r="AA206" s="84"/>
    </row>
    <row r="207" ht="26.25" customHeight="1">
      <c r="A207" s="95">
        <v>509.0</v>
      </c>
      <c r="B207" s="96" t="s">
        <v>502</v>
      </c>
      <c r="C207" s="78" t="s">
        <v>76</v>
      </c>
      <c r="D207" s="69">
        <v>46122.0</v>
      </c>
      <c r="E207" s="93"/>
      <c r="F207" s="40" t="s">
        <v>471</v>
      </c>
      <c r="G207" s="80" t="s">
        <v>8</v>
      </c>
      <c r="H207" s="80" t="s">
        <v>181</v>
      </c>
      <c r="I207" s="81">
        <v>46125.0</v>
      </c>
      <c r="J207" s="57" t="s">
        <v>101</v>
      </c>
      <c r="K207" s="82" t="b">
        <v>0</v>
      </c>
      <c r="L207" s="94"/>
      <c r="M207" s="84">
        <f t="shared" si="1"/>
        <v>0</v>
      </c>
      <c r="N207" s="84"/>
      <c r="O207" s="84"/>
      <c r="P207" s="84"/>
      <c r="Q207" s="84"/>
      <c r="R207" s="86" t="str">
        <f t="shared" si="2"/>
        <v>Learning</v>
      </c>
      <c r="S207" s="82" t="b">
        <v>0</v>
      </c>
      <c r="T207" s="88" t="s">
        <v>501</v>
      </c>
      <c r="U207" s="84"/>
      <c r="V207" s="84"/>
      <c r="W207" s="84"/>
      <c r="X207" s="84"/>
      <c r="Y207" s="84"/>
      <c r="Z207" s="84"/>
      <c r="AA207" s="84"/>
    </row>
    <row r="208" ht="26.25" customHeight="1">
      <c r="A208" s="95">
        <v>510.0</v>
      </c>
      <c r="B208" s="96" t="s">
        <v>503</v>
      </c>
      <c r="C208" s="78" t="s">
        <v>76</v>
      </c>
      <c r="D208" s="69">
        <v>46122.0</v>
      </c>
      <c r="E208" s="93"/>
      <c r="F208" s="40" t="s">
        <v>471</v>
      </c>
      <c r="G208" s="80" t="s">
        <v>8</v>
      </c>
      <c r="H208" s="80" t="s">
        <v>181</v>
      </c>
      <c r="I208" s="81">
        <v>46125.0</v>
      </c>
      <c r="J208" s="57" t="s">
        <v>101</v>
      </c>
      <c r="K208" s="82" t="b">
        <v>0</v>
      </c>
      <c r="L208" s="94"/>
      <c r="M208" s="84">
        <f t="shared" si="1"/>
        <v>0</v>
      </c>
      <c r="N208" s="84"/>
      <c r="O208" s="84"/>
      <c r="P208" s="84"/>
      <c r="Q208" s="84"/>
      <c r="R208" s="86" t="str">
        <f t="shared" si="2"/>
        <v>Learning</v>
      </c>
      <c r="S208" s="82" t="b">
        <v>0</v>
      </c>
      <c r="T208" s="88" t="s">
        <v>499</v>
      </c>
      <c r="U208" s="84"/>
      <c r="V208" s="84"/>
      <c r="W208" s="84"/>
      <c r="X208" s="84"/>
      <c r="Y208" s="84"/>
      <c r="Z208" s="84"/>
      <c r="AA208" s="84"/>
    </row>
    <row r="209" ht="26.25" customHeight="1">
      <c r="A209" s="92">
        <v>512.0</v>
      </c>
      <c r="B209" s="75" t="s">
        <v>504</v>
      </c>
      <c r="C209" s="78" t="s">
        <v>76</v>
      </c>
      <c r="D209" s="69">
        <v>46122.0</v>
      </c>
      <c r="E209" s="93"/>
      <c r="F209" s="40" t="s">
        <v>471</v>
      </c>
      <c r="G209" s="80" t="s">
        <v>8</v>
      </c>
      <c r="H209" s="80" t="s">
        <v>181</v>
      </c>
      <c r="I209" s="81">
        <v>46125.0</v>
      </c>
      <c r="J209" s="57" t="s">
        <v>101</v>
      </c>
      <c r="K209" s="82" t="b">
        <v>0</v>
      </c>
      <c r="L209" s="94"/>
      <c r="M209" s="84">
        <f t="shared" si="1"/>
        <v>0</v>
      </c>
      <c r="N209" s="84"/>
      <c r="O209" s="84"/>
      <c r="P209" s="84"/>
      <c r="Q209" s="84"/>
      <c r="R209" s="86" t="str">
        <f t="shared" si="2"/>
        <v>Learning</v>
      </c>
      <c r="S209" s="82" t="b">
        <v>0</v>
      </c>
      <c r="T209" s="88" t="s">
        <v>505</v>
      </c>
      <c r="U209" s="84"/>
      <c r="V209" s="84"/>
      <c r="W209" s="84"/>
      <c r="X209" s="84"/>
      <c r="Y209" s="84"/>
      <c r="Z209" s="84"/>
      <c r="AA209" s="84"/>
    </row>
    <row r="210" ht="26.25" customHeight="1">
      <c r="A210" s="92">
        <v>513.0</v>
      </c>
      <c r="B210" s="75" t="s">
        <v>506</v>
      </c>
      <c r="C210" s="78" t="s">
        <v>76</v>
      </c>
      <c r="D210" s="69">
        <v>46122.0</v>
      </c>
      <c r="E210" s="93"/>
      <c r="F210" s="40" t="s">
        <v>471</v>
      </c>
      <c r="G210" s="80" t="s">
        <v>8</v>
      </c>
      <c r="H210" s="80" t="s">
        <v>181</v>
      </c>
      <c r="I210" s="81">
        <v>46125.0</v>
      </c>
      <c r="J210" s="57" t="s">
        <v>101</v>
      </c>
      <c r="K210" s="82" t="b">
        <v>0</v>
      </c>
      <c r="L210" s="94"/>
      <c r="M210" s="84">
        <f t="shared" si="1"/>
        <v>0</v>
      </c>
      <c r="N210" s="84"/>
      <c r="O210" s="84"/>
      <c r="P210" s="84"/>
      <c r="Q210" s="84"/>
      <c r="R210" s="86" t="str">
        <f t="shared" si="2"/>
        <v>Learning</v>
      </c>
      <c r="S210" s="82" t="b">
        <v>0</v>
      </c>
      <c r="T210" s="88" t="s">
        <v>507</v>
      </c>
      <c r="U210" s="84"/>
      <c r="V210" s="84"/>
      <c r="W210" s="84"/>
      <c r="X210" s="84"/>
      <c r="Y210" s="84"/>
      <c r="Z210" s="84"/>
      <c r="AA210" s="84"/>
    </row>
    <row r="211" ht="26.25" customHeight="1">
      <c r="A211" s="95">
        <v>514.0</v>
      </c>
      <c r="B211" s="96" t="s">
        <v>508</v>
      </c>
      <c r="C211" s="78" t="s">
        <v>76</v>
      </c>
      <c r="D211" s="69">
        <v>46122.0</v>
      </c>
      <c r="E211" s="93"/>
      <c r="F211" s="40" t="s">
        <v>471</v>
      </c>
      <c r="G211" s="80" t="s">
        <v>8</v>
      </c>
      <c r="H211" s="80" t="s">
        <v>181</v>
      </c>
      <c r="I211" s="81">
        <v>46125.0</v>
      </c>
      <c r="J211" s="57" t="s">
        <v>101</v>
      </c>
      <c r="K211" s="82" t="b">
        <v>0</v>
      </c>
      <c r="L211" s="94"/>
      <c r="M211" s="84">
        <f t="shared" si="1"/>
        <v>0</v>
      </c>
      <c r="N211" s="84"/>
      <c r="O211" s="84"/>
      <c r="P211" s="84"/>
      <c r="Q211" s="84"/>
      <c r="R211" s="86" t="str">
        <f t="shared" si="2"/>
        <v>Learning</v>
      </c>
      <c r="S211" s="82" t="b">
        <v>0</v>
      </c>
      <c r="T211" s="88" t="s">
        <v>509</v>
      </c>
      <c r="U211" s="84"/>
      <c r="V211" s="84"/>
      <c r="W211" s="84"/>
      <c r="X211" s="84"/>
      <c r="Y211" s="84"/>
      <c r="Z211" s="84"/>
      <c r="AA211" s="84"/>
    </row>
    <row r="212" ht="26.25" customHeight="1">
      <c r="A212" s="95">
        <v>515.0</v>
      </c>
      <c r="B212" s="96" t="s">
        <v>510</v>
      </c>
      <c r="C212" s="78" t="s">
        <v>76</v>
      </c>
      <c r="D212" s="69">
        <v>46122.0</v>
      </c>
      <c r="E212" s="93"/>
      <c r="F212" s="40" t="s">
        <v>471</v>
      </c>
      <c r="G212" s="80" t="s">
        <v>8</v>
      </c>
      <c r="H212" s="80" t="s">
        <v>181</v>
      </c>
      <c r="I212" s="81">
        <v>46125.0</v>
      </c>
      <c r="J212" s="57" t="s">
        <v>101</v>
      </c>
      <c r="K212" s="82" t="b">
        <v>0</v>
      </c>
      <c r="L212" s="94"/>
      <c r="M212" s="84">
        <f t="shared" si="1"/>
        <v>0</v>
      </c>
      <c r="N212" s="84"/>
      <c r="O212" s="84"/>
      <c r="P212" s="84"/>
      <c r="Q212" s="84"/>
      <c r="R212" s="86" t="str">
        <f t="shared" si="2"/>
        <v>Learning</v>
      </c>
      <c r="S212" s="82" t="b">
        <v>0</v>
      </c>
      <c r="T212" s="88"/>
      <c r="U212" s="84"/>
      <c r="V212" s="84"/>
      <c r="W212" s="84"/>
      <c r="X212" s="84"/>
      <c r="Y212" s="84"/>
      <c r="Z212" s="84"/>
      <c r="AA212" s="84"/>
    </row>
    <row r="213" ht="26.25" customHeight="1">
      <c r="A213" s="92">
        <v>479.0</v>
      </c>
      <c r="B213" s="75" t="s">
        <v>511</v>
      </c>
      <c r="C213" s="78" t="s">
        <v>76</v>
      </c>
      <c r="D213" s="69">
        <v>46122.0</v>
      </c>
      <c r="E213" s="93"/>
      <c r="F213" s="40" t="s">
        <v>512</v>
      </c>
      <c r="G213" s="80" t="s">
        <v>8</v>
      </c>
      <c r="H213" s="80" t="s">
        <v>181</v>
      </c>
      <c r="I213" s="81">
        <v>46122.0</v>
      </c>
      <c r="J213" s="57" t="s">
        <v>101</v>
      </c>
      <c r="K213" s="82" t="b">
        <v>0</v>
      </c>
      <c r="L213" s="94"/>
      <c r="M213" s="84">
        <f t="shared" si="1"/>
        <v>1</v>
      </c>
      <c r="N213" s="84"/>
      <c r="O213" s="84"/>
      <c r="P213" s="84"/>
      <c r="Q213" s="84"/>
      <c r="R213" s="86" t="str">
        <f t="shared" si="2"/>
        <v>Learning</v>
      </c>
      <c r="S213" s="82" t="b">
        <v>0</v>
      </c>
      <c r="T213" s="88" t="s">
        <v>513</v>
      </c>
      <c r="U213" s="84"/>
      <c r="V213" s="84"/>
      <c r="W213" s="84"/>
      <c r="X213" s="84"/>
      <c r="Y213" s="84"/>
      <c r="Z213" s="84"/>
      <c r="AA213" s="84"/>
    </row>
    <row r="214" ht="26.25" customHeight="1">
      <c r="A214" s="92">
        <v>480.0</v>
      </c>
      <c r="B214" s="75" t="s">
        <v>514</v>
      </c>
      <c r="C214" s="78" t="s">
        <v>76</v>
      </c>
      <c r="D214" s="69">
        <v>46122.0</v>
      </c>
      <c r="E214" s="93"/>
      <c r="F214" s="40" t="s">
        <v>512</v>
      </c>
      <c r="G214" s="80" t="s">
        <v>8</v>
      </c>
      <c r="H214" s="80" t="s">
        <v>181</v>
      </c>
      <c r="I214" s="81">
        <v>46122.0</v>
      </c>
      <c r="J214" s="57" t="s">
        <v>101</v>
      </c>
      <c r="K214" s="82" t="b">
        <v>0</v>
      </c>
      <c r="L214" s="94"/>
      <c r="M214" s="84">
        <f t="shared" si="1"/>
        <v>1</v>
      </c>
      <c r="N214" s="84"/>
      <c r="O214" s="84"/>
      <c r="P214" s="84"/>
      <c r="Q214" s="84"/>
      <c r="R214" s="86" t="str">
        <f t="shared" si="2"/>
        <v>Learning</v>
      </c>
      <c r="S214" s="82" t="b">
        <v>0</v>
      </c>
      <c r="T214" s="88" t="s">
        <v>513</v>
      </c>
      <c r="U214" s="84"/>
      <c r="V214" s="84"/>
      <c r="W214" s="84"/>
      <c r="X214" s="84"/>
      <c r="Y214" s="84"/>
      <c r="Z214" s="84"/>
      <c r="AA214" s="84"/>
    </row>
    <row r="215" ht="26.25" customHeight="1">
      <c r="A215" s="92">
        <v>481.0</v>
      </c>
      <c r="B215" s="75" t="s">
        <v>515</v>
      </c>
      <c r="C215" s="78" t="s">
        <v>76</v>
      </c>
      <c r="D215" s="69">
        <v>46122.0</v>
      </c>
      <c r="E215" s="93"/>
      <c r="F215" s="40" t="s">
        <v>512</v>
      </c>
      <c r="G215" s="80" t="s">
        <v>8</v>
      </c>
      <c r="H215" s="80" t="s">
        <v>181</v>
      </c>
      <c r="I215" s="81">
        <v>46122.0</v>
      </c>
      <c r="J215" s="57" t="s">
        <v>101</v>
      </c>
      <c r="K215" s="82" t="b">
        <v>0</v>
      </c>
      <c r="L215" s="94"/>
      <c r="M215" s="84">
        <f t="shared" si="1"/>
        <v>1</v>
      </c>
      <c r="N215" s="84"/>
      <c r="O215" s="84"/>
      <c r="P215" s="84"/>
      <c r="Q215" s="84"/>
      <c r="R215" s="86" t="str">
        <f t="shared" si="2"/>
        <v>Learning</v>
      </c>
      <c r="S215" s="82" t="b">
        <v>0</v>
      </c>
      <c r="T215" s="88" t="s">
        <v>516</v>
      </c>
      <c r="U215" s="84"/>
      <c r="V215" s="84"/>
      <c r="W215" s="84"/>
      <c r="X215" s="84"/>
      <c r="Y215" s="84"/>
      <c r="Z215" s="84"/>
      <c r="AA215" s="84"/>
    </row>
    <row r="216" ht="26.25" customHeight="1">
      <c r="A216" s="92">
        <v>482.0</v>
      </c>
      <c r="B216" s="75" t="s">
        <v>517</v>
      </c>
      <c r="C216" s="78" t="s">
        <v>76</v>
      </c>
      <c r="D216" s="69">
        <v>46122.0</v>
      </c>
      <c r="E216" s="93"/>
      <c r="F216" s="40" t="s">
        <v>512</v>
      </c>
      <c r="G216" s="80" t="s">
        <v>8</v>
      </c>
      <c r="H216" s="80" t="s">
        <v>181</v>
      </c>
      <c r="I216" s="81">
        <v>46122.0</v>
      </c>
      <c r="J216" s="57" t="s">
        <v>101</v>
      </c>
      <c r="K216" s="82" t="b">
        <v>0</v>
      </c>
      <c r="L216" s="94"/>
      <c r="M216" s="84">
        <f t="shared" si="1"/>
        <v>1</v>
      </c>
      <c r="N216" s="84"/>
      <c r="O216" s="84"/>
      <c r="P216" s="84"/>
      <c r="Q216" s="84"/>
      <c r="R216" s="86" t="str">
        <f t="shared" si="2"/>
        <v>Learning</v>
      </c>
      <c r="S216" s="82" t="b">
        <v>0</v>
      </c>
      <c r="T216" s="88" t="s">
        <v>516</v>
      </c>
      <c r="U216" s="84"/>
      <c r="V216" s="84"/>
      <c r="W216" s="84"/>
      <c r="X216" s="84"/>
      <c r="Y216" s="84"/>
      <c r="Z216" s="84"/>
      <c r="AA216" s="84"/>
    </row>
    <row r="217" ht="26.25" customHeight="1">
      <c r="A217" s="92">
        <v>484.0</v>
      </c>
      <c r="B217" s="75" t="s">
        <v>518</v>
      </c>
      <c r="C217" s="78" t="s">
        <v>76</v>
      </c>
      <c r="D217" s="69">
        <v>46122.0</v>
      </c>
      <c r="E217" s="93"/>
      <c r="F217" s="40" t="s">
        <v>512</v>
      </c>
      <c r="G217" s="80" t="s">
        <v>8</v>
      </c>
      <c r="H217" s="80" t="s">
        <v>181</v>
      </c>
      <c r="I217" s="81">
        <v>46122.0</v>
      </c>
      <c r="J217" s="57" t="s">
        <v>101</v>
      </c>
      <c r="K217" s="82" t="b">
        <v>0</v>
      </c>
      <c r="L217" s="94"/>
      <c r="M217" s="84">
        <f t="shared" si="1"/>
        <v>1</v>
      </c>
      <c r="N217" s="84"/>
      <c r="O217" s="84"/>
      <c r="P217" s="84"/>
      <c r="Q217" s="84"/>
      <c r="R217" s="86" t="str">
        <f t="shared" si="2"/>
        <v>Learning</v>
      </c>
      <c r="S217" s="82" t="b">
        <v>0</v>
      </c>
      <c r="T217" s="88" t="s">
        <v>519</v>
      </c>
      <c r="U217" s="84"/>
      <c r="V217" s="84"/>
      <c r="W217" s="84"/>
      <c r="X217" s="84"/>
      <c r="Y217" s="84"/>
      <c r="Z217" s="84"/>
      <c r="AA217" s="84"/>
    </row>
    <row r="218" ht="26.25" customHeight="1">
      <c r="A218" s="97">
        <v>485.0</v>
      </c>
      <c r="B218" s="75" t="s">
        <v>520</v>
      </c>
      <c r="C218" s="78" t="s">
        <v>76</v>
      </c>
      <c r="D218" s="69">
        <v>46122.0</v>
      </c>
      <c r="E218" s="93"/>
      <c r="F218" s="40" t="s">
        <v>512</v>
      </c>
      <c r="G218" s="80" t="s">
        <v>8</v>
      </c>
      <c r="H218" s="80" t="s">
        <v>181</v>
      </c>
      <c r="I218" s="81">
        <v>46122.0</v>
      </c>
      <c r="J218" s="57" t="s">
        <v>101</v>
      </c>
      <c r="K218" s="82" t="b">
        <v>0</v>
      </c>
      <c r="L218" s="94"/>
      <c r="M218" s="84">
        <f t="shared" si="1"/>
        <v>1</v>
      </c>
      <c r="N218" s="84"/>
      <c r="O218" s="84"/>
      <c r="P218" s="84"/>
      <c r="Q218" s="84"/>
      <c r="R218" s="86" t="str">
        <f t="shared" si="2"/>
        <v>Learning</v>
      </c>
      <c r="S218" s="82" t="b">
        <v>0</v>
      </c>
      <c r="T218" s="88" t="s">
        <v>521</v>
      </c>
      <c r="U218" s="84"/>
      <c r="V218" s="84"/>
      <c r="W218" s="84"/>
      <c r="X218" s="84"/>
      <c r="Y218" s="84"/>
      <c r="Z218" s="84"/>
      <c r="AA218" s="84"/>
    </row>
    <row r="219" ht="26.25" customHeight="1">
      <c r="A219" s="92">
        <v>494.0</v>
      </c>
      <c r="B219" s="75" t="s">
        <v>522</v>
      </c>
      <c r="C219" s="78" t="s">
        <v>76</v>
      </c>
      <c r="D219" s="69">
        <v>46122.0</v>
      </c>
      <c r="E219" s="93"/>
      <c r="F219" s="40" t="s">
        <v>512</v>
      </c>
      <c r="G219" s="80" t="s">
        <v>8</v>
      </c>
      <c r="H219" s="80" t="s">
        <v>181</v>
      </c>
      <c r="I219" s="81">
        <v>46122.0</v>
      </c>
      <c r="J219" s="57" t="s">
        <v>101</v>
      </c>
      <c r="K219" s="82" t="b">
        <v>0</v>
      </c>
      <c r="L219" s="94"/>
      <c r="M219" s="84">
        <f t="shared" si="1"/>
        <v>1</v>
      </c>
      <c r="N219" s="84"/>
      <c r="O219" s="84"/>
      <c r="P219" s="84"/>
      <c r="Q219" s="84"/>
      <c r="R219" s="86" t="str">
        <f t="shared" si="2"/>
        <v>Learning</v>
      </c>
      <c r="S219" s="82" t="b">
        <v>0</v>
      </c>
      <c r="T219" s="88" t="s">
        <v>523</v>
      </c>
      <c r="U219" s="84"/>
      <c r="V219" s="84"/>
      <c r="W219" s="84"/>
      <c r="X219" s="84"/>
      <c r="Y219" s="84"/>
      <c r="Z219" s="84"/>
      <c r="AA219" s="84"/>
    </row>
    <row r="220" ht="26.25" customHeight="1">
      <c r="A220" s="92">
        <v>497.0</v>
      </c>
      <c r="B220" s="75" t="s">
        <v>524</v>
      </c>
      <c r="C220" s="78" t="s">
        <v>76</v>
      </c>
      <c r="D220" s="69">
        <v>46122.0</v>
      </c>
      <c r="E220" s="93"/>
      <c r="F220" s="40" t="s">
        <v>512</v>
      </c>
      <c r="G220" s="80" t="s">
        <v>8</v>
      </c>
      <c r="H220" s="80" t="s">
        <v>181</v>
      </c>
      <c r="I220" s="81">
        <v>46122.0</v>
      </c>
      <c r="J220" s="57" t="s">
        <v>101</v>
      </c>
      <c r="K220" s="82" t="b">
        <v>0</v>
      </c>
      <c r="L220" s="94"/>
      <c r="M220" s="84">
        <f t="shared" si="1"/>
        <v>1</v>
      </c>
      <c r="N220" s="84"/>
      <c r="O220" s="84"/>
      <c r="P220" s="84"/>
      <c r="Q220" s="84"/>
      <c r="R220" s="86" t="str">
        <f t="shared" si="2"/>
        <v>Learning</v>
      </c>
      <c r="S220" s="82" t="b">
        <v>0</v>
      </c>
      <c r="T220" s="88" t="s">
        <v>525</v>
      </c>
      <c r="U220" s="84"/>
      <c r="V220" s="84"/>
      <c r="W220" s="84"/>
      <c r="X220" s="84"/>
      <c r="Y220" s="84"/>
      <c r="Z220" s="84"/>
      <c r="AA220" s="84"/>
    </row>
    <row r="221" ht="26.25" customHeight="1">
      <c r="A221" s="92">
        <v>498.0</v>
      </c>
      <c r="B221" s="75" t="s">
        <v>526</v>
      </c>
      <c r="C221" s="78" t="s">
        <v>76</v>
      </c>
      <c r="D221" s="69">
        <v>46122.0</v>
      </c>
      <c r="E221" s="93"/>
      <c r="F221" s="40" t="s">
        <v>512</v>
      </c>
      <c r="G221" s="80" t="s">
        <v>8</v>
      </c>
      <c r="H221" s="80" t="s">
        <v>181</v>
      </c>
      <c r="I221" s="81">
        <v>46122.0</v>
      </c>
      <c r="J221" s="57" t="s">
        <v>101</v>
      </c>
      <c r="K221" s="82" t="b">
        <v>0</v>
      </c>
      <c r="L221" s="94"/>
      <c r="M221" s="84">
        <f t="shared" si="1"/>
        <v>1</v>
      </c>
      <c r="N221" s="84"/>
      <c r="O221" s="84"/>
      <c r="P221" s="84"/>
      <c r="Q221" s="84"/>
      <c r="R221" s="86" t="str">
        <f t="shared" si="2"/>
        <v>Learning</v>
      </c>
      <c r="S221" s="82" t="b">
        <v>0</v>
      </c>
      <c r="T221" s="88" t="s">
        <v>527</v>
      </c>
      <c r="U221" s="84"/>
      <c r="V221" s="84"/>
      <c r="W221" s="84"/>
      <c r="X221" s="84"/>
      <c r="Y221" s="84"/>
      <c r="Z221" s="84"/>
      <c r="AA221" s="84"/>
    </row>
    <row r="222" ht="26.25" customHeight="1">
      <c r="A222" s="92">
        <v>499.0</v>
      </c>
      <c r="B222" s="75" t="s">
        <v>528</v>
      </c>
      <c r="C222" s="78" t="s">
        <v>76</v>
      </c>
      <c r="D222" s="69">
        <v>46122.0</v>
      </c>
      <c r="E222" s="93"/>
      <c r="F222" s="40" t="s">
        <v>512</v>
      </c>
      <c r="G222" s="80" t="s">
        <v>8</v>
      </c>
      <c r="H222" s="80" t="s">
        <v>181</v>
      </c>
      <c r="I222" s="81">
        <v>46122.0</v>
      </c>
      <c r="J222" s="57" t="s">
        <v>101</v>
      </c>
      <c r="K222" s="82" t="b">
        <v>0</v>
      </c>
      <c r="L222" s="94"/>
      <c r="M222" s="84">
        <f t="shared" si="1"/>
        <v>1</v>
      </c>
      <c r="N222" s="84"/>
      <c r="O222" s="84"/>
      <c r="P222" s="84"/>
      <c r="Q222" s="84"/>
      <c r="R222" s="86" t="str">
        <f t="shared" si="2"/>
        <v>Learning</v>
      </c>
      <c r="S222" s="82" t="b">
        <v>0</v>
      </c>
      <c r="T222" s="88" t="s">
        <v>527</v>
      </c>
      <c r="U222" s="84"/>
      <c r="V222" s="84"/>
      <c r="W222" s="84"/>
      <c r="X222" s="84"/>
      <c r="Y222" s="84"/>
      <c r="Z222" s="84"/>
      <c r="AA222" s="84"/>
    </row>
    <row r="223" ht="26.25" customHeight="1">
      <c r="A223" s="92">
        <v>500.0</v>
      </c>
      <c r="B223" s="75" t="s">
        <v>529</v>
      </c>
      <c r="C223" s="78" t="s">
        <v>76</v>
      </c>
      <c r="D223" s="69">
        <v>46122.0</v>
      </c>
      <c r="E223" s="93"/>
      <c r="F223" s="40" t="s">
        <v>512</v>
      </c>
      <c r="G223" s="80" t="s">
        <v>8</v>
      </c>
      <c r="H223" s="80" t="s">
        <v>181</v>
      </c>
      <c r="I223" s="81">
        <v>46122.0</v>
      </c>
      <c r="J223" s="57" t="s">
        <v>101</v>
      </c>
      <c r="K223" s="82" t="b">
        <v>0</v>
      </c>
      <c r="L223" s="94"/>
      <c r="M223" s="84">
        <f t="shared" si="1"/>
        <v>1</v>
      </c>
      <c r="N223" s="84"/>
      <c r="O223" s="84"/>
      <c r="P223" s="84"/>
      <c r="Q223" s="84"/>
      <c r="R223" s="86" t="str">
        <f t="shared" si="2"/>
        <v>Learning</v>
      </c>
      <c r="S223" s="82" t="b">
        <v>0</v>
      </c>
      <c r="T223" s="88" t="s">
        <v>530</v>
      </c>
      <c r="U223" s="84"/>
      <c r="V223" s="84"/>
      <c r="W223" s="84"/>
      <c r="X223" s="84"/>
      <c r="Y223" s="84"/>
      <c r="Z223" s="84"/>
      <c r="AA223" s="84"/>
    </row>
    <row r="224" ht="26.25" customHeight="1">
      <c r="A224" s="92">
        <v>501.0</v>
      </c>
      <c r="B224" s="75" t="s">
        <v>531</v>
      </c>
      <c r="C224" s="78" t="s">
        <v>76</v>
      </c>
      <c r="D224" s="69">
        <v>46122.0</v>
      </c>
      <c r="E224" s="93"/>
      <c r="F224" s="40" t="s">
        <v>512</v>
      </c>
      <c r="G224" s="80" t="s">
        <v>8</v>
      </c>
      <c r="H224" s="80" t="s">
        <v>181</v>
      </c>
      <c r="I224" s="81">
        <v>46122.0</v>
      </c>
      <c r="J224" s="57" t="s">
        <v>101</v>
      </c>
      <c r="K224" s="82" t="b">
        <v>0</v>
      </c>
      <c r="L224" s="94"/>
      <c r="M224" s="84">
        <f t="shared" si="1"/>
        <v>1</v>
      </c>
      <c r="N224" s="84"/>
      <c r="O224" s="84"/>
      <c r="P224" s="84"/>
      <c r="Q224" s="84"/>
      <c r="R224" s="86" t="str">
        <f t="shared" si="2"/>
        <v>Learning</v>
      </c>
      <c r="S224" s="82" t="b">
        <v>0</v>
      </c>
      <c r="T224" s="88" t="s">
        <v>532</v>
      </c>
      <c r="U224" s="84"/>
      <c r="V224" s="84"/>
      <c r="W224" s="84"/>
      <c r="X224" s="84"/>
      <c r="Y224" s="84"/>
      <c r="Z224" s="84"/>
      <c r="AA224" s="84"/>
    </row>
    <row r="225" ht="26.25" customHeight="1">
      <c r="A225" s="95">
        <v>505.0</v>
      </c>
      <c r="B225" s="71" t="s">
        <v>533</v>
      </c>
      <c r="C225" s="78" t="s">
        <v>76</v>
      </c>
      <c r="D225" s="69">
        <v>46122.0</v>
      </c>
      <c r="E225" s="93"/>
      <c r="F225" s="40" t="s">
        <v>512</v>
      </c>
      <c r="G225" s="80" t="s">
        <v>8</v>
      </c>
      <c r="H225" s="80" t="s">
        <v>181</v>
      </c>
      <c r="I225" s="81">
        <v>46122.0</v>
      </c>
      <c r="J225" s="57" t="s">
        <v>101</v>
      </c>
      <c r="K225" s="82" t="b">
        <v>0</v>
      </c>
      <c r="L225" s="94"/>
      <c r="M225" s="84">
        <f t="shared" si="1"/>
        <v>1</v>
      </c>
      <c r="N225" s="84"/>
      <c r="O225" s="84"/>
      <c r="P225" s="84"/>
      <c r="Q225" s="84"/>
      <c r="R225" s="86" t="str">
        <f t="shared" si="2"/>
        <v>Learning</v>
      </c>
      <c r="S225" s="82" t="b">
        <v>0</v>
      </c>
      <c r="T225" s="88" t="s">
        <v>534</v>
      </c>
      <c r="U225" s="84"/>
      <c r="V225" s="84"/>
      <c r="W225" s="84"/>
      <c r="X225" s="84"/>
      <c r="Y225" s="84"/>
      <c r="Z225" s="84"/>
      <c r="AA225" s="84"/>
    </row>
    <row r="226" ht="26.25" customHeight="1">
      <c r="A226" s="95">
        <v>511.0</v>
      </c>
      <c r="B226" s="75" t="s">
        <v>535</v>
      </c>
      <c r="C226" s="78" t="s">
        <v>76</v>
      </c>
      <c r="D226" s="69">
        <v>46122.0</v>
      </c>
      <c r="E226" s="93"/>
      <c r="F226" s="40" t="s">
        <v>512</v>
      </c>
      <c r="G226" s="80" t="s">
        <v>8</v>
      </c>
      <c r="H226" s="80" t="s">
        <v>181</v>
      </c>
      <c r="I226" s="81">
        <v>46122.0</v>
      </c>
      <c r="J226" s="57" t="s">
        <v>101</v>
      </c>
      <c r="K226" s="82" t="b">
        <v>0</v>
      </c>
      <c r="L226" s="94"/>
      <c r="M226" s="84">
        <f t="shared" si="1"/>
        <v>1</v>
      </c>
      <c r="N226" s="84"/>
      <c r="O226" s="84"/>
      <c r="P226" s="84"/>
      <c r="Q226" s="84"/>
      <c r="R226" s="86" t="str">
        <f t="shared" si="2"/>
        <v>Learning</v>
      </c>
      <c r="S226" s="82" t="b">
        <v>0</v>
      </c>
      <c r="T226" s="88" t="s">
        <v>536</v>
      </c>
      <c r="U226" s="84"/>
      <c r="V226" s="84"/>
      <c r="W226" s="84"/>
      <c r="X226" s="84"/>
      <c r="Y226" s="84"/>
      <c r="Z226" s="84"/>
      <c r="AA226" s="84"/>
    </row>
    <row r="227" ht="26.25" customHeight="1">
      <c r="A227" s="92">
        <v>495.0</v>
      </c>
      <c r="B227" s="75" t="s">
        <v>537</v>
      </c>
      <c r="C227" s="78" t="s">
        <v>76</v>
      </c>
      <c r="D227" s="69">
        <v>46122.0</v>
      </c>
      <c r="E227" s="93"/>
      <c r="F227" s="40" t="s">
        <v>512</v>
      </c>
      <c r="G227" s="80" t="s">
        <v>8</v>
      </c>
      <c r="H227" s="80" t="s">
        <v>181</v>
      </c>
      <c r="I227" s="81">
        <v>46122.0</v>
      </c>
      <c r="J227" s="57" t="s">
        <v>101</v>
      </c>
      <c r="K227" s="82" t="b">
        <v>0</v>
      </c>
      <c r="L227" s="94"/>
      <c r="M227" s="84">
        <f t="shared" si="1"/>
        <v>1</v>
      </c>
      <c r="N227" s="84"/>
      <c r="O227" s="84"/>
      <c r="P227" s="84"/>
      <c r="Q227" s="84"/>
      <c r="R227" s="86" t="str">
        <f t="shared" si="2"/>
        <v>Learning</v>
      </c>
      <c r="S227" s="82" t="b">
        <v>0</v>
      </c>
      <c r="T227" s="88" t="s">
        <v>538</v>
      </c>
      <c r="U227" s="84"/>
      <c r="V227" s="84"/>
      <c r="W227" s="84"/>
      <c r="X227" s="84"/>
      <c r="Y227" s="84"/>
      <c r="Z227" s="84"/>
      <c r="AA227" s="84"/>
    </row>
    <row r="228" ht="26.25" customHeight="1">
      <c r="A228" s="66">
        <v>423.0</v>
      </c>
      <c r="B228" s="36" t="s">
        <v>539</v>
      </c>
      <c r="C228" s="40" t="s">
        <v>76</v>
      </c>
      <c r="D228" s="54">
        <v>46035.0</v>
      </c>
      <c r="E228" s="51"/>
      <c r="F228" s="40" t="s">
        <v>540</v>
      </c>
      <c r="G228" s="40" t="s">
        <v>7</v>
      </c>
      <c r="H228" s="40" t="s">
        <v>109</v>
      </c>
      <c r="I228" s="42">
        <v>46036.0</v>
      </c>
      <c r="J228" s="40" t="s">
        <v>159</v>
      </c>
      <c r="K228" s="43" t="b">
        <v>0</v>
      </c>
      <c r="L228" s="44"/>
      <c r="M228" s="45">
        <f t="shared" si="1"/>
        <v>13</v>
      </c>
      <c r="N228" s="49"/>
      <c r="O228" s="45" t="str">
        <f>IFERROR(__xludf.DUMMYFUNCTION("IFERROR(
  TEXT(
    MAX(FILTER(Remark!A:A, TRIM(Remark!B:B) = TRIM(B228))),
    ""dd/mm/yyyy""
  ) &amp; "" - "" &amp;
  FILTER(
    Remark!C:C,
    TRIM(Remark!B:B) = TRIM(B228),
    Remark!A:A = MAX(FILTER(Remark!A:A, TRIM(Remark!B:B) = TRIM(B228)))
  ),
  """&amp;"""
)"),"")</f>
        <v/>
      </c>
      <c r="P228" s="45" t="str">
        <f>IFERROR(__xludf.DUMMYFUNCTION("TEXTJOIN(CHAR(10), TRUE, IFERROR(
  FILTER(TEXT(Remark!A:A, ""dd/mm/yyyy"") &amp; "" - "" &amp; Remark!C:C, TRIM(Remark!B:B) = TRIM(B228)),
  """"
))"),"")</f>
        <v/>
      </c>
      <c r="Q228" s="45" t="str">
        <f>IFERROR(__xludf.DUMMYFUNCTION("IFERROR(
  FILTER(
    Remark!D:D,
    Remark!A:A = MAX(FILTER(Remark!A:A, TRIM(Remark!B:B) = TRIM(B228)))
  ),
  """"
)"),"")</f>
        <v/>
      </c>
      <c r="R228" s="46" t="str">
        <f t="shared" si="2"/>
        <v>Learning</v>
      </c>
      <c r="S228" s="47"/>
      <c r="T228" s="48" t="s">
        <v>541</v>
      </c>
      <c r="U228" s="49"/>
      <c r="V228" s="49">
        <v>2.0</v>
      </c>
      <c r="W228" s="49">
        <v>1.0</v>
      </c>
      <c r="X228" s="49">
        <v>1.0</v>
      </c>
      <c r="Y228" s="49">
        <v>1.0</v>
      </c>
      <c r="Z228" s="49"/>
      <c r="AA228" s="49">
        <f t="shared" ref="AA228:AA230" si="4">sum(V228:Z228)</f>
        <v>5</v>
      </c>
    </row>
    <row r="229" ht="26.25" customHeight="1">
      <c r="A229" s="49">
        <v>438.0</v>
      </c>
      <c r="B229" s="36" t="s">
        <v>542</v>
      </c>
      <c r="C229" s="40" t="s">
        <v>76</v>
      </c>
      <c r="D229" s="54">
        <v>45677.0</v>
      </c>
      <c r="E229" s="51"/>
      <c r="F229" s="40" t="s">
        <v>540</v>
      </c>
      <c r="G229" s="57" t="s">
        <v>7</v>
      </c>
      <c r="H229" s="57" t="s">
        <v>109</v>
      </c>
      <c r="I229" s="58">
        <v>46036.0</v>
      </c>
      <c r="J229" s="57" t="s">
        <v>159</v>
      </c>
      <c r="K229" s="59" t="b">
        <v>0</v>
      </c>
      <c r="L229" s="60"/>
      <c r="M229" s="61">
        <f t="shared" si="1"/>
        <v>13</v>
      </c>
      <c r="N229" s="61"/>
      <c r="O229" s="61"/>
      <c r="P229" s="61"/>
      <c r="Q229" s="61"/>
      <c r="R229" s="46" t="str">
        <f t="shared" si="2"/>
        <v>Learning</v>
      </c>
      <c r="S229" s="43" t="b">
        <v>1</v>
      </c>
      <c r="T229" s="52" t="s">
        <v>543</v>
      </c>
      <c r="U229" s="61"/>
      <c r="V229" s="62">
        <v>1.0</v>
      </c>
      <c r="W229" s="62">
        <v>1.0</v>
      </c>
      <c r="X229" s="62"/>
      <c r="Y229" s="62">
        <v>1.0</v>
      </c>
      <c r="Z229" s="62"/>
      <c r="AA229" s="49">
        <f t="shared" si="4"/>
        <v>3</v>
      </c>
    </row>
    <row r="230" ht="26.25" customHeight="1">
      <c r="A230" s="49">
        <v>439.0</v>
      </c>
      <c r="B230" s="36" t="s">
        <v>544</v>
      </c>
      <c r="C230" s="40" t="s">
        <v>76</v>
      </c>
      <c r="D230" s="54">
        <v>45677.0</v>
      </c>
      <c r="E230" s="51"/>
      <c r="F230" s="40" t="s">
        <v>540</v>
      </c>
      <c r="G230" s="57" t="s">
        <v>7</v>
      </c>
      <c r="H230" s="57" t="s">
        <v>109</v>
      </c>
      <c r="I230" s="58">
        <v>46036.0</v>
      </c>
      <c r="J230" s="57" t="s">
        <v>159</v>
      </c>
      <c r="K230" s="59" t="b">
        <v>0</v>
      </c>
      <c r="L230" s="60"/>
      <c r="M230" s="61">
        <f t="shared" si="1"/>
        <v>13</v>
      </c>
      <c r="N230" s="61"/>
      <c r="O230" s="61"/>
      <c r="P230" s="61"/>
      <c r="Q230" s="61"/>
      <c r="R230" s="46" t="str">
        <f t="shared" si="2"/>
        <v>Learning</v>
      </c>
      <c r="S230" s="43" t="b">
        <v>1</v>
      </c>
      <c r="T230" s="52" t="s">
        <v>545</v>
      </c>
      <c r="U230" s="61"/>
      <c r="V230" s="62">
        <v>1.0</v>
      </c>
      <c r="W230" s="62"/>
      <c r="X230" s="62">
        <v>1.0</v>
      </c>
      <c r="Y230" s="62"/>
      <c r="Z230" s="62"/>
      <c r="AA230" s="49">
        <f t="shared" si="4"/>
        <v>2</v>
      </c>
    </row>
    <row r="231" ht="26.25" hidden="1" customHeight="1">
      <c r="A231" s="77">
        <v>398.0</v>
      </c>
      <c r="B231" s="36" t="s">
        <v>42</v>
      </c>
      <c r="C231" s="78" t="s">
        <v>546</v>
      </c>
      <c r="D231" s="98">
        <v>45913.0</v>
      </c>
      <c r="E231" s="99">
        <v>46082.0</v>
      </c>
      <c r="F231" s="78" t="s">
        <v>547</v>
      </c>
      <c r="G231" s="80" t="s">
        <v>0</v>
      </c>
      <c r="H231" s="80" t="s">
        <v>100</v>
      </c>
      <c r="I231" s="100">
        <v>46039.0</v>
      </c>
      <c r="J231" s="80" t="s">
        <v>101</v>
      </c>
      <c r="K231" s="82" t="b">
        <v>0</v>
      </c>
      <c r="L231" s="94"/>
      <c r="M231" s="84">
        <f t="shared" si="1"/>
        <v>13</v>
      </c>
      <c r="N231" s="89" t="s">
        <v>104</v>
      </c>
      <c r="O231" s="85" t="str">
        <f>IFERROR(__xludf.DUMMYFUNCTION("IFERROR(
  TEXT(
    MAX(FILTER(Remark!A:A, TRIM(Remark!B:B) = TRIM(B231))),
    ""dd/mm/yyyy""
  ) &amp; "" - "" &amp;
  FILTER(
    Remark!C:C,
    TRIM(Remark!B:B) = TRIM(B231),
    Remark!A:A = MAX(FILTER(Remark!A:A, TRIM(Remark!B:B) = TRIM(B231)))
  ),
  """&amp;"""
)"),"")</f>
        <v/>
      </c>
      <c r="P231" s="85" t="str">
        <f>IFERROR(__xludf.DUMMYFUNCTION("TEXTJOIN(CHAR(10), TRUE, IFERROR(
  FILTER(TEXT(Remark!A:A, ""dd/mm/yyyy"") &amp; "" - "" &amp; Remark!C:C, TRIM(Remark!B:B) = TRIM(B231)),
  """"
))"),"")</f>
        <v/>
      </c>
      <c r="Q231" s="85" t="str">
        <f>IFERROR(__xludf.DUMMYFUNCTION("IFERROR(
  FILTER(
    Remark!D:D,
    Remark!A:A = MAX(FILTER(Remark!A:A, TRIM(Remark!B:B) = TRIM(B231)))
  ),
  """"
)"),"")</f>
        <v/>
      </c>
      <c r="R231" s="86" t="str">
        <f t="shared" si="2"/>
        <v>Learning</v>
      </c>
      <c r="S231" s="101" t="b">
        <v>0</v>
      </c>
      <c r="T231" s="88" t="s">
        <v>548</v>
      </c>
      <c r="U231" s="84"/>
      <c r="V231" s="84"/>
      <c r="W231" s="89">
        <v>1.0</v>
      </c>
      <c r="X231" s="89"/>
      <c r="Y231" s="89"/>
      <c r="Z231" s="89"/>
      <c r="AA231" s="89">
        <f t="shared" ref="AA231:AA234" si="5">sum(V231:X231)</f>
        <v>1</v>
      </c>
    </row>
    <row r="232" ht="26.25" hidden="1" customHeight="1">
      <c r="A232" s="35">
        <v>319.0</v>
      </c>
      <c r="B232" s="36" t="s">
        <v>45</v>
      </c>
      <c r="C232" s="40" t="s">
        <v>546</v>
      </c>
      <c r="D232" s="54">
        <v>45709.0</v>
      </c>
      <c r="E232" s="69">
        <v>46086.0</v>
      </c>
      <c r="F232" s="40" t="s">
        <v>547</v>
      </c>
      <c r="G232" s="40" t="s">
        <v>0</v>
      </c>
      <c r="H232" s="40" t="s">
        <v>78</v>
      </c>
      <c r="I232" s="42">
        <v>46027.0</v>
      </c>
      <c r="J232" s="40" t="s">
        <v>79</v>
      </c>
      <c r="K232" s="43" t="b">
        <v>1</v>
      </c>
      <c r="L232" s="44" t="s">
        <v>83</v>
      </c>
      <c r="M232" s="45">
        <f t="shared" si="1"/>
        <v>14</v>
      </c>
      <c r="N232" s="45"/>
      <c r="O232" s="45" t="str">
        <f>IFERROR(__xludf.DUMMYFUNCTION("IFERROR(
  TEXT(
    MAX(FILTER(Remark!A:A, TRIM(Remark!B:B) = TRIM(B232))),
    ""dd/mm/yyyy""
  ) &amp; "" - "" &amp;
  FILTER(
    Remark!C:C,
    TRIM(Remark!B:B) = TRIM(B232),
    Remark!A:A = MAX(FILTER(Remark!A:A, TRIM(Remark!B:B) = TRIM(B232)))
  ),
  """&amp;"""
)"),"")</f>
        <v/>
      </c>
      <c r="P232" s="45" t="str">
        <f>IFERROR(__xludf.DUMMYFUNCTION("TEXTJOIN(CHAR(10), TRUE, IFERROR(
  FILTER(TEXT(Remark!A:A, ""dd/mm/yyyy"") &amp; "" - "" &amp; Remark!C:C, TRIM(Remark!B:B) = TRIM(B232)),
  """"
))"),"")</f>
        <v/>
      </c>
      <c r="Q232" s="45" t="str">
        <f>IFERROR(__xludf.DUMMYFUNCTION("IFERROR(
  FILTER(
    Remark!D:D,
    Remark!A:A = MAX(FILTER(Remark!A:A, TRIM(Remark!B:B) = TRIM(B232)))
  ),
  """"
)"),"")</f>
        <v/>
      </c>
      <c r="R232" s="46" t="str">
        <f t="shared" si="2"/>
        <v>Learning</v>
      </c>
      <c r="S232" s="47"/>
      <c r="T232" s="48" t="s">
        <v>549</v>
      </c>
      <c r="U232" s="49">
        <v>3.0</v>
      </c>
      <c r="V232" s="49">
        <v>1.0</v>
      </c>
      <c r="W232" s="49">
        <v>1.0</v>
      </c>
      <c r="X232" s="49"/>
      <c r="Y232" s="49"/>
      <c r="Z232" s="49"/>
      <c r="AA232" s="49">
        <f t="shared" si="5"/>
        <v>2</v>
      </c>
    </row>
    <row r="233" ht="26.25" hidden="1" customHeight="1">
      <c r="A233" s="35">
        <v>320.0</v>
      </c>
      <c r="B233" s="36" t="s">
        <v>46</v>
      </c>
      <c r="C233" s="40" t="s">
        <v>546</v>
      </c>
      <c r="D233" s="54">
        <v>45709.0</v>
      </c>
      <c r="E233" s="69">
        <v>46086.0</v>
      </c>
      <c r="F233" s="40" t="s">
        <v>547</v>
      </c>
      <c r="G233" s="40" t="s">
        <v>0</v>
      </c>
      <c r="H233" s="40" t="s">
        <v>100</v>
      </c>
      <c r="I233" s="42">
        <v>45689.0</v>
      </c>
      <c r="J233" s="40" t="s">
        <v>159</v>
      </c>
      <c r="K233" s="43" t="b">
        <v>1</v>
      </c>
      <c r="L233" s="44" t="s">
        <v>83</v>
      </c>
      <c r="M233" s="45">
        <f t="shared" si="1"/>
        <v>63</v>
      </c>
      <c r="N233" s="45"/>
      <c r="O233" s="45" t="str">
        <f>IFERROR(__xludf.DUMMYFUNCTION("IFERROR(
  TEXT(
    MAX(FILTER(Remark!A:A, TRIM(Remark!B:B) = TRIM(B233))),
    ""dd/mm/yyyy""
  ) &amp; "" - "" &amp;
  FILTER(
    Remark!C:C,
    TRIM(Remark!B:B) = TRIM(B233),
    Remark!A:A = MAX(FILTER(Remark!A:A, TRIM(Remark!B:B) = TRIM(B233)))
  ),
  """&amp;"""
)"),"")</f>
        <v/>
      </c>
      <c r="P233" s="45" t="str">
        <f>IFERROR(__xludf.DUMMYFUNCTION("TEXTJOIN(CHAR(10), TRUE, IFERROR(
  FILTER(TEXT(Remark!A:A, ""dd/mm/yyyy"") &amp; "" - "" &amp; Remark!C:C, TRIM(Remark!B:B) = TRIM(B233)),
  """"
))"),"")</f>
        <v/>
      </c>
      <c r="Q233" s="45" t="str">
        <f>IFERROR(__xludf.DUMMYFUNCTION("IFERROR(
  FILTER(
    Remark!D:D,
    Remark!A:A = MAX(FILTER(Remark!A:A, TRIM(Remark!B:B) = TRIM(B233)))
  ),
  """"
)"),"")</f>
        <v/>
      </c>
      <c r="R233" s="46" t="str">
        <f t="shared" si="2"/>
        <v>Prepare for Showcase</v>
      </c>
      <c r="S233" s="43" t="b">
        <v>1</v>
      </c>
      <c r="T233" s="48" t="s">
        <v>549</v>
      </c>
      <c r="U233" s="49">
        <v>4.0</v>
      </c>
      <c r="V233" s="49">
        <v>1.0</v>
      </c>
      <c r="W233" s="49"/>
      <c r="X233" s="49"/>
      <c r="Y233" s="49"/>
      <c r="Z233" s="49"/>
      <c r="AA233" s="49">
        <f t="shared" si="5"/>
        <v>1</v>
      </c>
    </row>
    <row r="234" ht="26.25" hidden="1" customHeight="1">
      <c r="A234" s="35">
        <v>321.0</v>
      </c>
      <c r="B234" s="36" t="s">
        <v>47</v>
      </c>
      <c r="C234" s="40" t="s">
        <v>546</v>
      </c>
      <c r="D234" s="54">
        <v>45709.0</v>
      </c>
      <c r="E234" s="69">
        <v>46086.0</v>
      </c>
      <c r="F234" s="40" t="s">
        <v>547</v>
      </c>
      <c r="G234" s="40" t="s">
        <v>0</v>
      </c>
      <c r="H234" s="40" t="s">
        <v>100</v>
      </c>
      <c r="I234" s="42">
        <v>45689.0</v>
      </c>
      <c r="J234" s="40" t="s">
        <v>159</v>
      </c>
      <c r="K234" s="43" t="b">
        <v>1</v>
      </c>
      <c r="L234" s="44" t="s">
        <v>83</v>
      </c>
      <c r="M234" s="45">
        <f t="shared" si="1"/>
        <v>63</v>
      </c>
      <c r="N234" s="45"/>
      <c r="O234" s="45" t="str">
        <f>IFERROR(__xludf.DUMMYFUNCTION("IFERROR(
  TEXT(
    MAX(FILTER(Remark!A:A, TRIM(Remark!B:B) = TRIM(B234))),
    ""dd/mm/yyyy""
  ) &amp; "" - "" &amp;
  FILTER(
    Remark!C:C,
    TRIM(Remark!B:B) = TRIM(B234),
    Remark!A:A = MAX(FILTER(Remark!A:A, TRIM(Remark!B:B) = TRIM(B234)))
  ),
  """&amp;"""
)"),"")</f>
        <v/>
      </c>
      <c r="P234" s="45" t="str">
        <f>IFERROR(__xludf.DUMMYFUNCTION("TEXTJOIN(CHAR(10), TRUE, IFERROR(
  FILTER(TEXT(Remark!A:A, ""dd/mm/yyyy"") &amp; "" - "" &amp; Remark!C:C, TRIM(Remark!B:B) = TRIM(B234)),
  """"
))"),"")</f>
        <v/>
      </c>
      <c r="Q234" s="45" t="str">
        <f>IFERROR(__xludf.DUMMYFUNCTION("IFERROR(
  FILTER(
    Remark!D:D,
    Remark!A:A = MAX(FILTER(Remark!A:A, TRIM(Remark!B:B) = TRIM(B234)))
  ),
  """"
)"),"")</f>
        <v/>
      </c>
      <c r="R234" s="46" t="str">
        <f t="shared" si="2"/>
        <v>Prepare for Showcase</v>
      </c>
      <c r="S234" s="43" t="b">
        <v>1</v>
      </c>
      <c r="T234" s="48" t="s">
        <v>549</v>
      </c>
      <c r="U234" s="49">
        <v>4.0</v>
      </c>
      <c r="V234" s="49">
        <v>1.0</v>
      </c>
      <c r="W234" s="49"/>
      <c r="X234" s="49"/>
      <c r="Y234" s="49"/>
      <c r="Z234" s="49"/>
      <c r="AA234" s="49">
        <f t="shared" si="5"/>
        <v>1</v>
      </c>
    </row>
    <row r="235" ht="26.25" hidden="1" customHeight="1">
      <c r="A235" s="77">
        <v>35.0</v>
      </c>
      <c r="B235" s="102" t="s">
        <v>550</v>
      </c>
      <c r="C235" s="78" t="s">
        <v>546</v>
      </c>
      <c r="D235" s="79"/>
      <c r="E235" s="79"/>
      <c r="F235" s="78" t="s">
        <v>547</v>
      </c>
      <c r="G235" s="103" t="s">
        <v>0</v>
      </c>
      <c r="H235" s="78" t="s">
        <v>551</v>
      </c>
      <c r="I235" s="104">
        <v>45108.0</v>
      </c>
      <c r="J235" s="103" t="s">
        <v>79</v>
      </c>
      <c r="K235" s="101" t="b">
        <v>1</v>
      </c>
      <c r="L235" s="83"/>
      <c r="M235" s="85">
        <f t="shared" si="1"/>
        <v>146</v>
      </c>
      <c r="N235" s="85"/>
      <c r="O235" s="85" t="str">
        <f>IFERROR(__xludf.DUMMYFUNCTION("IFERROR(
  TEXT(
    MAX(FILTER(Remark!A:A, TRIM(Remark!B:B) = TRIM(B235))),
    ""dd/mm/yyyy""
  ) &amp; "" - "" &amp;
  FILTER(
    Remark!C:C,
    TRIM(Remark!B:B) = TRIM(B235),
    Remark!A:A = MAX(FILTER(Remark!A:A, TRIM(Remark!B:B) = TRIM(B235)))
  ),
  """&amp;"""
)"),"08/10/2025 - [Caleb]
Right now, only the final project is left. Previously, there was an issue with Unity, and after a discussion between the mentor and student, they decided to use a different approach with Scratch instead.")</f>
        <v>08/10/2025 - [Caleb]
Right now, only the final project is left. Previously, there was an issue with Unity, and after a discussion between the mentor and student, they decided to use a different approach with Scratch instead.</v>
      </c>
      <c r="P235" s="85" t="str">
        <f>IFERROR(__xludf.DUMMYFUNCTION("TEXTJOIN(CHAR(10), TRUE, IFERROR(
  FILTER(TEXT(Remark!A:A, ""dd/mm/yyyy"") &amp; "" - "" &amp; Remark!C:C, TRIM(Remark!B:B) = TRIM(B235)),
  """"
))"),"08/10/2025 - [Caleb]
Right now, only the final project is left. Previously, there was an issue with Unity, and after a discussion between the mentor and student, they decided to use a different approach with Scratch instead.")</f>
        <v>08/10/2025 - [Caleb]
Right now, only the final project is left. Previously, there was an issue with Unity, and after a discussion between the mentor and student, they decided to use a different approach with Scratch instead.</v>
      </c>
      <c r="Q235" s="85" t="str">
        <f>IFERROR(__xludf.DUMMYFUNCTION("IFERROR(
  FILTER(
    Remark!D:D,
    Remark!A:A = MAX(FILTER(Remark!A:A, TRIM(Remark!B:B) = TRIM(B235)))
  ),
  """"
)"),"Yes")</f>
        <v>Yes</v>
      </c>
      <c r="R235" s="86" t="str">
        <f t="shared" si="2"/>
        <v>Prepare for Showcase</v>
      </c>
      <c r="S235" s="101" t="b">
        <v>0</v>
      </c>
      <c r="T235" s="102"/>
      <c r="U235" s="105">
        <v>2.0</v>
      </c>
      <c r="V235" s="105"/>
      <c r="W235" s="105"/>
      <c r="X235" s="105"/>
      <c r="Y235" s="105"/>
      <c r="Z235" s="105"/>
      <c r="AA235" s="105"/>
    </row>
    <row r="236" ht="26.25" hidden="1" customHeight="1">
      <c r="A236" s="35">
        <v>299.0</v>
      </c>
      <c r="B236" s="56" t="s">
        <v>35</v>
      </c>
      <c r="C236" s="40" t="s">
        <v>546</v>
      </c>
      <c r="D236" s="54">
        <v>45642.0</v>
      </c>
      <c r="E236" s="69">
        <v>46113.0</v>
      </c>
      <c r="F236" s="37" t="s">
        <v>547</v>
      </c>
      <c r="G236" s="41" t="s">
        <v>0</v>
      </c>
      <c r="H236" s="40" t="s">
        <v>119</v>
      </c>
      <c r="I236" s="55">
        <v>45663.0</v>
      </c>
      <c r="J236" s="40" t="s">
        <v>126</v>
      </c>
      <c r="K236" s="43" t="b">
        <v>1</v>
      </c>
      <c r="L236" s="44" t="s">
        <v>314</v>
      </c>
      <c r="M236" s="45">
        <f t="shared" si="1"/>
        <v>66</v>
      </c>
      <c r="N236" s="45"/>
      <c r="O236" s="45" t="str">
        <f>IFERROR(__xludf.DUMMYFUNCTION("IFERROR(
  TEXT(
    MAX(FILTER(Remark!A:A, TRIM(Remark!B:B) = TRIM(B236))),
    ""dd/mm/yyyy""
  ) &amp; "" - "" &amp;
  FILTER(
    Remark!C:C,
    TRIM(Remark!B:B) = TRIM(B236),
    Remark!A:A = MAX(FILTER(Remark!A:A, TRIM(Remark!B:B) = TRIM(B236)))
  ),
  """&amp;"""
)"),"")</f>
        <v/>
      </c>
      <c r="P236" s="45" t="str">
        <f>IFERROR(__xludf.DUMMYFUNCTION("TEXTJOIN(CHAR(10), TRUE, IFERROR(
  FILTER(TEXT(Remark!A:A, ""dd/mm/yyyy"") &amp; "" - "" &amp; Remark!C:C, TRIM(Remark!B:B) = TRIM(B236)),
  """"
))"),"")</f>
        <v/>
      </c>
      <c r="Q236" s="45" t="str">
        <f>IFERROR(__xludf.DUMMYFUNCTION("IFERROR(
  FILTER(
    Remark!D:D,
    Remark!A:A = MAX(FILTER(Remark!A:A, TRIM(Remark!B:B) = TRIM(B236)))
  ),
  """"
)"),"")</f>
        <v/>
      </c>
      <c r="R236" s="46" t="str">
        <f t="shared" si="2"/>
        <v>Prepare for Showcase</v>
      </c>
      <c r="S236" s="43" t="b">
        <v>1</v>
      </c>
      <c r="T236" s="48" t="s">
        <v>174</v>
      </c>
      <c r="U236" s="49">
        <v>3.0</v>
      </c>
      <c r="V236" s="49">
        <v>1.0</v>
      </c>
      <c r="W236" s="49">
        <v>1.0</v>
      </c>
      <c r="X236" s="49"/>
      <c r="Y236" s="49"/>
      <c r="Z236" s="49"/>
      <c r="AA236" s="49">
        <f>sum(V236:X236)</f>
        <v>2</v>
      </c>
    </row>
    <row r="237" ht="26.25" hidden="1" customHeight="1">
      <c r="A237" s="77">
        <v>43.0</v>
      </c>
      <c r="B237" s="106" t="s">
        <v>552</v>
      </c>
      <c r="C237" s="78" t="s">
        <v>546</v>
      </c>
      <c r="D237" s="79"/>
      <c r="E237" s="79"/>
      <c r="F237" s="107" t="s">
        <v>547</v>
      </c>
      <c r="G237" s="103" t="s">
        <v>0</v>
      </c>
      <c r="H237" s="78" t="s">
        <v>133</v>
      </c>
      <c r="I237" s="104">
        <v>45451.0</v>
      </c>
      <c r="J237" s="103" t="s">
        <v>553</v>
      </c>
      <c r="K237" s="101" t="b">
        <v>1</v>
      </c>
      <c r="L237" s="83"/>
      <c r="M237" s="85">
        <f t="shared" si="1"/>
        <v>97</v>
      </c>
      <c r="N237" s="85"/>
      <c r="O237" s="85" t="str">
        <f>IFERROR(__xludf.DUMMYFUNCTION("IFERROR(
  TEXT(
    MAX(FILTER(Remark!A:A, TRIM(Remark!B:B) = TRIM(B237))),
    ""dd/mm/yyyy""
  ) &amp; "" - "" &amp;
  FILTER(
    Remark!C:C,
    TRIM(Remark!B:B) = TRIM(B237),
    Remark!A:A = MAX(FILTER(Remark!A:A, TRIM(Remark!B:B) = TRIM(B237)))
  ),
  """&amp;"""
)"),"")</f>
        <v/>
      </c>
      <c r="P237" s="85" t="str">
        <f>IFERROR(__xludf.DUMMYFUNCTION("TEXTJOIN(CHAR(10), TRUE, IFERROR(
  FILTER(TEXT(Remark!A:A, ""dd/mm/yyyy"") &amp; "" - "" &amp; Remark!C:C, TRIM(Remark!B:B) = TRIM(B237)),
  """"
))"),"")</f>
        <v/>
      </c>
      <c r="Q237" s="85" t="str">
        <f>IFERROR(__xludf.DUMMYFUNCTION("IFERROR(
  FILTER(
    Remark!D:D,
    Remark!A:A = MAX(FILTER(Remark!A:A, TRIM(Remark!B:B) = TRIM(B237)))
  ),
  """"
)"),"")</f>
        <v/>
      </c>
      <c r="R237" s="86" t="str">
        <f t="shared" si="2"/>
        <v>Prepare for Showcase</v>
      </c>
      <c r="S237" s="101" t="b">
        <v>0</v>
      </c>
      <c r="T237" s="102"/>
      <c r="U237" s="108">
        <v>2.0</v>
      </c>
      <c r="V237" s="108"/>
      <c r="W237" s="108"/>
      <c r="X237" s="108"/>
      <c r="Y237" s="108"/>
      <c r="Z237" s="108"/>
      <c r="AA237" s="108"/>
    </row>
    <row r="238" ht="26.25" hidden="1" customHeight="1">
      <c r="A238" s="77">
        <v>52.0</v>
      </c>
      <c r="B238" s="71" t="s">
        <v>554</v>
      </c>
      <c r="C238" s="78" t="s">
        <v>546</v>
      </c>
      <c r="D238" s="79"/>
      <c r="E238" s="79"/>
      <c r="F238" s="107" t="s">
        <v>547</v>
      </c>
      <c r="G238" s="103" t="s">
        <v>0</v>
      </c>
      <c r="H238" s="78" t="s">
        <v>551</v>
      </c>
      <c r="I238" s="104">
        <v>45640.0</v>
      </c>
      <c r="J238" s="103" t="s">
        <v>79</v>
      </c>
      <c r="K238" s="101" t="b">
        <v>1</v>
      </c>
      <c r="L238" s="83"/>
      <c r="M238" s="85">
        <f t="shared" si="1"/>
        <v>70</v>
      </c>
      <c r="N238" s="85"/>
      <c r="O238" s="85" t="str">
        <f>IFERROR(__xludf.DUMMYFUNCTION("IFERROR(
  TEXT(
    MAX(FILTER(Remark!A:A, TRIM(Remark!B:B) = TRIM(B238))),
    ""dd/mm/yyyy""
  ) &amp; "" - "" &amp;
  FILTER(
    Remark!C:C,
    TRIM(Remark!B:B) = TRIM(B238),
    Remark!A:A = MAX(FILTER(Remark!A:A, TRIM(Remark!B:B) = TRIM(B238)))
  ),
  """&amp;"""
)"),"")</f>
        <v/>
      </c>
      <c r="P238" s="85" t="str">
        <f>IFERROR(__xludf.DUMMYFUNCTION("TEXTJOIN(CHAR(10), TRUE, IFERROR(
  FILTER(TEXT(Remark!A:A, ""dd/mm/yyyy"") &amp; "" - "" &amp; Remark!C:C, TRIM(Remark!B:B) = TRIM(B238)),
  """"
))"),"")</f>
        <v/>
      </c>
      <c r="Q238" s="85" t="str">
        <f>IFERROR(__xludf.DUMMYFUNCTION("IFERROR(
  FILTER(
    Remark!D:D,
    Remark!A:A = MAX(FILTER(Remark!A:A, TRIM(Remark!B:B) = TRIM(B238)))
  ),
  """"
)"),"")</f>
        <v/>
      </c>
      <c r="R238" s="86" t="str">
        <f t="shared" si="2"/>
        <v>Prepare for Showcase</v>
      </c>
      <c r="S238" s="101" t="b">
        <v>0</v>
      </c>
      <c r="T238" s="102"/>
      <c r="U238" s="105">
        <v>1.0</v>
      </c>
      <c r="V238" s="105"/>
      <c r="W238" s="105"/>
      <c r="X238" s="105"/>
      <c r="Y238" s="105"/>
      <c r="Z238" s="105"/>
      <c r="AA238" s="105"/>
    </row>
    <row r="239" ht="26.25" hidden="1" customHeight="1">
      <c r="A239" s="85">
        <v>63.0</v>
      </c>
      <c r="B239" s="102" t="s">
        <v>555</v>
      </c>
      <c r="C239" s="78" t="s">
        <v>546</v>
      </c>
      <c r="D239" s="79"/>
      <c r="E239" s="79"/>
      <c r="F239" s="107" t="s">
        <v>547</v>
      </c>
      <c r="G239" s="103" t="s">
        <v>0</v>
      </c>
      <c r="H239" s="103"/>
      <c r="I239" s="104">
        <v>45019.0</v>
      </c>
      <c r="J239" s="78" t="s">
        <v>134</v>
      </c>
      <c r="K239" s="101" t="b">
        <v>1</v>
      </c>
      <c r="L239" s="83"/>
      <c r="M239" s="85">
        <f t="shared" si="1"/>
        <v>158</v>
      </c>
      <c r="N239" s="85"/>
      <c r="O239" s="85" t="str">
        <f>IFERROR(__xludf.DUMMYFUNCTION("IFERROR(
  TEXT(
    MAX(FILTER(Remark!A:A, TRIM(Remark!B:B) = TRIM(B239))),
    ""dd/mm/yyyy""
  ) &amp; "" - "" &amp;
  FILTER(
    Remark!C:C,
    TRIM(Remark!B:B) = TRIM(B239),
    Remark!A:A = MAX(FILTER(Remark!A:A, TRIM(Remark!B:B) = TRIM(B239)))
  ),
  """&amp;"""
)"),"")</f>
        <v/>
      </c>
      <c r="P239" s="85" t="str">
        <f>IFERROR(__xludf.DUMMYFUNCTION("TEXTJOIN(CHAR(10), TRUE, IFERROR(
  FILTER(TEXT(Remark!A:A, ""dd/mm/yyyy"") &amp; "" - "" &amp; Remark!C:C, TRIM(Remark!B:B) = TRIM(B239)),
  """"
))"),"")</f>
        <v/>
      </c>
      <c r="Q239" s="85" t="str">
        <f>IFERROR(__xludf.DUMMYFUNCTION("IFERROR(
  FILTER(
    Remark!D:D,
    Remark!A:A = MAX(FILTER(Remark!A:A, TRIM(Remark!B:B) = TRIM(B239)))
  ),
  """"
)"),"")</f>
        <v/>
      </c>
      <c r="R239" s="86" t="str">
        <f t="shared" si="2"/>
        <v>Prepare for Showcase</v>
      </c>
      <c r="S239" s="101" t="b">
        <v>0</v>
      </c>
      <c r="T239" s="102"/>
      <c r="U239" s="105"/>
      <c r="V239" s="105"/>
      <c r="W239" s="105"/>
      <c r="X239" s="105"/>
      <c r="Y239" s="105"/>
      <c r="Z239" s="105"/>
      <c r="AA239" s="105"/>
    </row>
    <row r="240" ht="26.25" hidden="1" customHeight="1">
      <c r="A240" s="77">
        <v>263.0</v>
      </c>
      <c r="B240" s="109" t="s">
        <v>556</v>
      </c>
      <c r="C240" s="78" t="s">
        <v>546</v>
      </c>
      <c r="D240" s="79"/>
      <c r="E240" s="79"/>
      <c r="F240" s="107" t="s">
        <v>557</v>
      </c>
      <c r="G240" s="103" t="s">
        <v>0</v>
      </c>
      <c r="H240" s="78" t="s">
        <v>91</v>
      </c>
      <c r="I240" s="81">
        <v>45840.0</v>
      </c>
      <c r="J240" s="78" t="s">
        <v>82</v>
      </c>
      <c r="K240" s="101" t="b">
        <v>1</v>
      </c>
      <c r="L240" s="83"/>
      <c r="M240" s="85">
        <f t="shared" si="1"/>
        <v>41</v>
      </c>
      <c r="N240" s="85"/>
      <c r="O240" s="85" t="str">
        <f>IFERROR(__xludf.DUMMYFUNCTION("IFERROR(
  TEXT(
    MAX(FILTER(Remark!A:A, TRIM(Remark!B:B) = TRIM(B240))),
    ""dd/mm/yyyy""
  ) &amp; "" - "" &amp;
  FILTER(
    Remark!C:C,
    TRIM(Remark!B:B) = TRIM(B240),
    Remark!A:A = MAX(FILTER(Remark!A:A, TRIM(Remark!B:B) = TRIM(B240)))
  ),
  """&amp;"""
)"),"")</f>
        <v/>
      </c>
      <c r="P240" s="85" t="str">
        <f>IFERROR(__xludf.DUMMYFUNCTION("TEXTJOIN(CHAR(10), TRUE, IFERROR(
  FILTER(TEXT(Remark!A:A, ""dd/mm/yyyy"") &amp; "" - "" &amp; Remark!C:C, TRIM(Remark!B:B) = TRIM(B240)),
  """"
))"),"")</f>
        <v/>
      </c>
      <c r="Q240" s="85" t="str">
        <f>IFERROR(__xludf.DUMMYFUNCTION("IFERROR(
  FILTER(
    Remark!D:D,
    Remark!A:A = MAX(FILTER(Remark!A:A, TRIM(Remark!B:B) = TRIM(B240)))
  ),
  """"
)"),"")</f>
        <v/>
      </c>
      <c r="R240" s="86" t="str">
        <f t="shared" si="2"/>
        <v>Prepare for Showcase</v>
      </c>
      <c r="S240" s="101" t="b">
        <v>0</v>
      </c>
      <c r="T240" s="102"/>
      <c r="U240" s="105">
        <v>4.0</v>
      </c>
      <c r="V240" s="105"/>
      <c r="W240" s="105"/>
      <c r="X240" s="105"/>
      <c r="Y240" s="105"/>
      <c r="Z240" s="105"/>
      <c r="AA240" s="105"/>
    </row>
    <row r="241" ht="26.25" hidden="1" customHeight="1">
      <c r="A241" s="85">
        <v>126.0</v>
      </c>
      <c r="B241" s="106" t="s">
        <v>558</v>
      </c>
      <c r="C241" s="78" t="s">
        <v>546</v>
      </c>
      <c r="D241" s="79"/>
      <c r="E241" s="79"/>
      <c r="F241" s="107" t="s">
        <v>557</v>
      </c>
      <c r="G241" s="103" t="s">
        <v>0</v>
      </c>
      <c r="H241" s="78" t="s">
        <v>123</v>
      </c>
      <c r="I241" s="104">
        <v>45546.0</v>
      </c>
      <c r="J241" s="103" t="s">
        <v>92</v>
      </c>
      <c r="K241" s="101" t="b">
        <v>1</v>
      </c>
      <c r="L241" s="83"/>
      <c r="M241" s="85">
        <f t="shared" si="1"/>
        <v>83</v>
      </c>
      <c r="N241" s="85"/>
      <c r="O241" s="85" t="str">
        <f>IFERROR(__xludf.DUMMYFUNCTION("IFERROR(
  TEXT(
    MAX(FILTER(Remark!A:A, TRIM(Remark!B:B) = TRIM(B241))),
    ""dd/mm/yyyy""
  ) &amp; "" - "" &amp;
  FILTER(
    Remark!C:C,
    TRIM(Remark!B:B) = TRIM(B241),
    Remark!A:A = MAX(FILTER(Remark!A:A, TRIM(Remark!B:B) = TRIM(B241)))
  ),
  """&amp;"""
)"),"")</f>
        <v/>
      </c>
      <c r="P241" s="85" t="str">
        <f>IFERROR(__xludf.DUMMYFUNCTION("TEXTJOIN(CHAR(10), TRUE, IFERROR(
  FILTER(TEXT(Remark!A:A, ""dd/mm/yyyy"") &amp; "" - "" &amp; Remark!C:C, TRIM(Remark!B:B) = TRIM(B241)),
  """"
))"),"")</f>
        <v/>
      </c>
      <c r="Q241" s="85" t="str">
        <f>IFERROR(__xludf.DUMMYFUNCTION("IFERROR(
  FILTER(
    Remark!D:D,
    Remark!A:A = MAX(FILTER(Remark!A:A, TRIM(Remark!B:B) = TRIM(B241)))
  ),
  """"
)"),"")</f>
        <v/>
      </c>
      <c r="R241" s="86" t="str">
        <f t="shared" si="2"/>
        <v>Prepare for Showcase</v>
      </c>
      <c r="S241" s="87" t="b">
        <v>0</v>
      </c>
      <c r="U241" s="105"/>
      <c r="V241" s="105"/>
      <c r="W241" s="105"/>
      <c r="X241" s="105"/>
      <c r="Y241" s="105"/>
      <c r="Z241" s="105"/>
      <c r="AA241" s="105"/>
    </row>
    <row r="242" ht="26.25" hidden="1" customHeight="1">
      <c r="A242" s="77">
        <v>190.0</v>
      </c>
      <c r="B242" s="71" t="s">
        <v>559</v>
      </c>
      <c r="C242" s="78" t="s">
        <v>546</v>
      </c>
      <c r="D242" s="79"/>
      <c r="E242" s="79"/>
      <c r="F242" s="107" t="s">
        <v>560</v>
      </c>
      <c r="G242" s="103" t="s">
        <v>0</v>
      </c>
      <c r="H242" s="78" t="s">
        <v>109</v>
      </c>
      <c r="I242" s="104">
        <v>45661.0</v>
      </c>
      <c r="J242" s="103" t="s">
        <v>186</v>
      </c>
      <c r="K242" s="101" t="b">
        <v>1</v>
      </c>
      <c r="L242" s="83"/>
      <c r="M242" s="85">
        <f t="shared" si="1"/>
        <v>67</v>
      </c>
      <c r="N242" s="85"/>
      <c r="O242" s="85" t="str">
        <f>IFERROR(__xludf.DUMMYFUNCTION("IFERROR(
  TEXT(
    MAX(FILTER(Remark!A:A, TRIM(Remark!B:B) = TRIM(B242))),
    ""dd/mm/yyyy""
  ) &amp; "" - "" &amp;
  FILTER(
    Remark!C:C,
    TRIM(Remark!B:B) = TRIM(B242),
    Remark!A:A = MAX(FILTER(Remark!A:A, TRIM(Remark!B:B) = TRIM(B242)))
  ),
  """&amp;"""
)"),"")</f>
        <v/>
      </c>
      <c r="P242" s="85" t="str">
        <f>IFERROR(__xludf.DUMMYFUNCTION("TEXTJOIN(CHAR(10), TRUE, IFERROR(
  FILTER(TEXT(Remark!A:A, ""dd/mm/yyyy"") &amp; "" - "" &amp; Remark!C:C, TRIM(Remark!B:B) = TRIM(B242)),
  """"
))"),"")</f>
        <v/>
      </c>
      <c r="Q242" s="85" t="str">
        <f>IFERROR(__xludf.DUMMYFUNCTION("IFERROR(
  FILTER(
    Remark!D:D,
    Remark!A:A = MAX(FILTER(Remark!A:A, TRIM(Remark!B:B) = TRIM(B242)))
  ),
  """"
)"),"")</f>
        <v/>
      </c>
      <c r="R242" s="86" t="str">
        <f t="shared" si="2"/>
        <v>Prepare for Showcase</v>
      </c>
      <c r="S242" s="101" t="b">
        <v>0</v>
      </c>
      <c r="T242" s="102"/>
      <c r="U242" s="105">
        <v>3.0</v>
      </c>
      <c r="V242" s="105"/>
      <c r="W242" s="105"/>
      <c r="X242" s="105"/>
      <c r="Y242" s="105"/>
      <c r="Z242" s="105"/>
      <c r="AA242" s="105"/>
    </row>
    <row r="243" ht="26.25" hidden="1" customHeight="1">
      <c r="A243" s="77">
        <v>197.0</v>
      </c>
      <c r="B243" s="109" t="s">
        <v>561</v>
      </c>
      <c r="C243" s="78" t="s">
        <v>546</v>
      </c>
      <c r="D243" s="79"/>
      <c r="E243" s="79"/>
      <c r="F243" s="78" t="s">
        <v>560</v>
      </c>
      <c r="G243" s="103" t="s">
        <v>0</v>
      </c>
      <c r="H243" s="78" t="s">
        <v>91</v>
      </c>
      <c r="I243" s="81">
        <v>45801.0</v>
      </c>
      <c r="J243" s="78" t="s">
        <v>134</v>
      </c>
      <c r="K243" s="101" t="b">
        <v>1</v>
      </c>
      <c r="L243" s="83"/>
      <c r="M243" s="85">
        <f t="shared" si="1"/>
        <v>47</v>
      </c>
      <c r="N243" s="105"/>
      <c r="O243" s="85" t="str">
        <f>IFERROR(__xludf.DUMMYFUNCTION("IFERROR(
  TEXT(
    MAX(FILTER(Remark!A:A, TRIM(Remark!B:B) = TRIM(B243))),
    ""dd/mm/yyyy""
  ) &amp; "" - "" &amp;
  FILTER(
    Remark!C:C,
    TRIM(Remark!B:B) = TRIM(B243),
    Remark!A:A = MAX(FILTER(Remark!A:A, TRIM(Remark!B:B) = TRIM(B243)))
  ),
  """&amp;"""
)"),"23/10/2025 - [Caleb]
Progress is on track with no major issues.
Attitude is generally good and shows no significant concerns.")</f>
        <v>23/10/2025 - [Caleb]
Progress is on track with no major issues.
Attitude is generally good and shows no significant concerns.</v>
      </c>
      <c r="P243" s="85" t="str">
        <f>IFERROR(__xludf.DUMMYFUNCTION("TEXTJOIN(CHAR(10), TRUE, IFERROR(
  FILTER(TEXT(Remark!A:A, ""dd/mm/yyyy"") &amp; "" - "" &amp; Remark!C:C, TRIM(Remark!B:B) = TRIM(B243)),
  """"
))"),"23/10/2025 - [Caleb]
Progress is on track with no major issues.
Attitude is generally good and shows no significant concerns.")</f>
        <v>23/10/2025 - [Caleb]
Progress is on track with no major issues.
Attitude is generally good and shows no significant concerns.</v>
      </c>
      <c r="Q243" s="85" t="str">
        <f>IFERROR(__xludf.DUMMYFUNCTION("IFERROR(
  FILTER(
    Remark!D:D,
    Remark!A:A = MAX(FILTER(Remark!A:A, TRIM(Remark!B:B) = TRIM(B243)))
  ),
  """"
)"),"Yes")</f>
        <v>Yes</v>
      </c>
      <c r="R243" s="86" t="str">
        <f t="shared" si="2"/>
        <v>Prepare for Showcase</v>
      </c>
      <c r="S243" s="101" t="b">
        <v>0</v>
      </c>
      <c r="T243" s="102"/>
      <c r="U243" s="105">
        <v>7.0</v>
      </c>
      <c r="V243" s="105"/>
      <c r="W243" s="105"/>
      <c r="X243" s="105"/>
      <c r="Y243" s="105"/>
      <c r="Z243" s="105"/>
      <c r="AA243" s="105"/>
    </row>
    <row r="244" ht="26.25" hidden="1" customHeight="1">
      <c r="A244" s="77">
        <v>301.0</v>
      </c>
      <c r="B244" s="109" t="s">
        <v>562</v>
      </c>
      <c r="C244" s="78" t="s">
        <v>546</v>
      </c>
      <c r="D244" s="79"/>
      <c r="E244" s="79"/>
      <c r="F244" s="107" t="s">
        <v>560</v>
      </c>
      <c r="G244" s="103" t="s">
        <v>0</v>
      </c>
      <c r="H244" s="78" t="s">
        <v>91</v>
      </c>
      <c r="I244" s="104">
        <v>45661.0</v>
      </c>
      <c r="J244" s="103" t="s">
        <v>159</v>
      </c>
      <c r="K244" s="101" t="b">
        <v>1</v>
      </c>
      <c r="L244" s="83"/>
      <c r="M244" s="85">
        <f t="shared" si="1"/>
        <v>67</v>
      </c>
      <c r="N244" s="85"/>
      <c r="O244" s="85" t="str">
        <f>IFERROR(__xludf.DUMMYFUNCTION("IFERROR(
  TEXT(
    MAX(FILTER(Remark!A:A, TRIM(Remark!B:B) = TRIM(B244))),
    ""dd/mm/yyyy""
  ) &amp; "" - "" &amp;
  FILTER(
    Remark!C:C,
    TRIM(Remark!B:B) = TRIM(B244),
    Remark!A:A = MAX(FILTER(Remark!A:A, TRIM(Remark!B:B) = TRIM(B244)))
  ),
  """&amp;"""
)"),"")</f>
        <v/>
      </c>
      <c r="P244" s="85" t="str">
        <f>IFERROR(__xludf.DUMMYFUNCTION("TEXTJOIN(CHAR(10), TRUE, IFERROR(
  FILTER(TEXT(Remark!A:A, ""dd/mm/yyyy"") &amp; "" - "" &amp; Remark!C:C, TRIM(Remark!B:B) = TRIM(B244)),
  """"
))"),"")</f>
        <v/>
      </c>
      <c r="Q244" s="85" t="str">
        <f>IFERROR(__xludf.DUMMYFUNCTION("IFERROR(
  FILTER(
    Remark!D:D,
    Remark!A:A = MAX(FILTER(Remark!A:A, TRIM(Remark!B:B) = TRIM(B244)))
  ),
  """"
)"),"")</f>
        <v/>
      </c>
      <c r="R244" s="86" t="str">
        <f t="shared" si="2"/>
        <v>Prepare for Showcase</v>
      </c>
      <c r="S244" s="101" t="b">
        <v>0</v>
      </c>
      <c r="T244" s="102" t="s">
        <v>563</v>
      </c>
      <c r="U244" s="105">
        <v>3.0</v>
      </c>
      <c r="V244" s="105"/>
      <c r="W244" s="105"/>
      <c r="X244" s="105"/>
      <c r="Y244" s="105"/>
      <c r="Z244" s="105"/>
      <c r="AA244" s="105"/>
    </row>
    <row r="245" ht="26.25" hidden="1" customHeight="1">
      <c r="A245" s="77">
        <v>24.0</v>
      </c>
      <c r="B245" s="109" t="s">
        <v>564</v>
      </c>
      <c r="C245" s="78" t="s">
        <v>546</v>
      </c>
      <c r="D245" s="79"/>
      <c r="E245" s="79"/>
      <c r="F245" s="107" t="s">
        <v>565</v>
      </c>
      <c r="G245" s="103" t="s">
        <v>0</v>
      </c>
      <c r="H245" s="78" t="s">
        <v>109</v>
      </c>
      <c r="I245" s="104">
        <v>45077.0</v>
      </c>
      <c r="J245" s="103" t="s">
        <v>79</v>
      </c>
      <c r="K245" s="101" t="b">
        <v>1</v>
      </c>
      <c r="L245" s="83"/>
      <c r="M245" s="85">
        <f t="shared" si="1"/>
        <v>150</v>
      </c>
      <c r="N245" s="85"/>
      <c r="O245" s="85" t="str">
        <f>IFERROR(__xludf.DUMMYFUNCTION("IFERROR(
  TEXT(
    MAX(FILTER(Remark!A:A, TRIM(Remark!B:B) = TRIM(B245))),
    ""dd/mm/yyyy""
  ) &amp; "" - "" &amp;
  FILTER(
    Remark!C:C,
    TRIM(Remark!B:B) = TRIM(B245),
    Remark!A:A = MAX(FILTER(Remark!A:A, TRIM(Remark!B:B) = TRIM(B245)))
  ),
  """&amp;"""
)"),"")</f>
        <v/>
      </c>
      <c r="P245" s="85" t="str">
        <f>IFERROR(__xludf.DUMMYFUNCTION("TEXTJOIN(CHAR(10), TRUE, IFERROR(
  FILTER(TEXT(Remark!A:A, ""dd/mm/yyyy"") &amp; "" - "" &amp; Remark!C:C, TRIM(Remark!B:B) = TRIM(B245)),
  """"
))"),"")</f>
        <v/>
      </c>
      <c r="Q245" s="85" t="str">
        <f>IFERROR(__xludf.DUMMYFUNCTION("IFERROR(
  FILTER(
    Remark!D:D,
    Remark!A:A = MAX(FILTER(Remark!A:A, TRIM(Remark!B:B) = TRIM(B245)))
  ),
  """"
)"),"")</f>
        <v/>
      </c>
      <c r="R245" s="86" t="str">
        <f t="shared" si="2"/>
        <v>Prepare for Showcase</v>
      </c>
      <c r="S245" s="101" t="b">
        <v>0</v>
      </c>
      <c r="T245" s="102"/>
      <c r="U245" s="105">
        <v>1.0</v>
      </c>
      <c r="V245" s="105"/>
      <c r="W245" s="105"/>
      <c r="X245" s="105"/>
      <c r="Y245" s="105"/>
      <c r="Z245" s="105"/>
      <c r="AA245" s="105"/>
    </row>
    <row r="246" ht="26.25" hidden="1" customHeight="1">
      <c r="A246" s="77">
        <v>131.0</v>
      </c>
      <c r="B246" s="106" t="s">
        <v>566</v>
      </c>
      <c r="C246" s="78" t="s">
        <v>546</v>
      </c>
      <c r="D246" s="79"/>
      <c r="E246" s="79"/>
      <c r="F246" s="78" t="s">
        <v>565</v>
      </c>
      <c r="G246" s="103" t="s">
        <v>0</v>
      </c>
      <c r="H246" s="78" t="s">
        <v>91</v>
      </c>
      <c r="I246" s="81">
        <v>45871.0</v>
      </c>
      <c r="J246" s="78" t="s">
        <v>224</v>
      </c>
      <c r="K246" s="101" t="b">
        <v>1</v>
      </c>
      <c r="L246" s="83"/>
      <c r="M246" s="85">
        <f t="shared" si="1"/>
        <v>37</v>
      </c>
      <c r="N246" s="105"/>
      <c r="O246" s="85" t="str">
        <f>IFERROR(__xludf.DUMMYFUNCTION("IFERROR(
  TEXT(
    MAX(FILTER(Remark!A:A, TRIM(Remark!B:B) = TRIM(B246))),
    ""dd/mm/yyyy""
  ) &amp; "" - "" &amp;
  FILTER(
    Remark!C:C,
    TRIM(Remark!B:B) = TRIM(B246),
    Remark!A:A = MAX(FILTER(Remark!A:A, TRIM(Remark!B:B) = TRIM(B246)))
  ),
  """&amp;"""
)"),"")</f>
        <v/>
      </c>
      <c r="P246" s="85" t="str">
        <f>IFERROR(__xludf.DUMMYFUNCTION("TEXTJOIN(CHAR(10), TRUE, IFERROR(
  FILTER(TEXT(Remark!A:A, ""dd/mm/yyyy"") &amp; "" - "" &amp; Remark!C:C, TRIM(Remark!B:B) = TRIM(B246)),
  """"
))"),"")</f>
        <v/>
      </c>
      <c r="Q246" s="85" t="str">
        <f>IFERROR(__xludf.DUMMYFUNCTION("IFERROR(
  FILTER(
    Remark!D:D,
    Remark!A:A = MAX(FILTER(Remark!A:A, TRIM(Remark!B:B) = TRIM(B246)))
  ),
  """"
)"),"")</f>
        <v/>
      </c>
      <c r="R246" s="86" t="str">
        <f t="shared" si="2"/>
        <v>Starting Final Project</v>
      </c>
      <c r="S246" s="101" t="b">
        <v>0</v>
      </c>
      <c r="T246" s="102"/>
      <c r="U246" s="105"/>
      <c r="V246" s="105"/>
      <c r="W246" s="105"/>
      <c r="X246" s="105"/>
      <c r="Y246" s="105"/>
      <c r="Z246" s="105"/>
      <c r="AA246" s="105"/>
    </row>
    <row r="247" ht="26.25" hidden="1" customHeight="1">
      <c r="A247" s="77">
        <v>137.0</v>
      </c>
      <c r="B247" s="109" t="s">
        <v>567</v>
      </c>
      <c r="C247" s="78" t="s">
        <v>546</v>
      </c>
      <c r="D247" s="79"/>
      <c r="E247" s="79"/>
      <c r="F247" s="107" t="s">
        <v>565</v>
      </c>
      <c r="G247" s="103" t="s">
        <v>0</v>
      </c>
      <c r="H247" s="78" t="s">
        <v>91</v>
      </c>
      <c r="I247" s="81">
        <v>45850.0</v>
      </c>
      <c r="J247" s="78" t="s">
        <v>120</v>
      </c>
      <c r="K247" s="101" t="b">
        <v>1</v>
      </c>
      <c r="L247" s="83"/>
      <c r="M247" s="85">
        <f t="shared" si="1"/>
        <v>40</v>
      </c>
      <c r="N247" s="85"/>
      <c r="O247" s="85" t="str">
        <f>IFERROR(__xludf.DUMMYFUNCTION("IFERROR(
  TEXT(
    MAX(FILTER(Remark!A:A, TRIM(Remark!B:B) = TRIM(B247))),
    ""dd/mm/yyyy""
  ) &amp; "" - "" &amp;
  FILTER(
    Remark!C:C,
    TRIM(Remark!B:B) = TRIM(B247),
    Remark!A:A = MAX(FILTER(Remark!A:A, TRIM(Remark!B:B) = TRIM(B247)))
  ),
  """&amp;"""
)"),"")</f>
        <v/>
      </c>
      <c r="P247" s="85" t="str">
        <f>IFERROR(__xludf.DUMMYFUNCTION("TEXTJOIN(CHAR(10), TRUE, IFERROR(
  FILTER(TEXT(Remark!A:A, ""dd/mm/yyyy"") &amp; "" - "" &amp; Remark!C:C, TRIM(Remark!B:B) = TRIM(B247)),
  """"
))"),"")</f>
        <v/>
      </c>
      <c r="Q247" s="85" t="str">
        <f>IFERROR(__xludf.DUMMYFUNCTION("IFERROR(
  FILTER(
    Remark!D:D,
    Remark!A:A = MAX(FILTER(Remark!A:A, TRIM(Remark!B:B) = TRIM(B247)))
  ),
  """"
)"),"")</f>
        <v/>
      </c>
      <c r="R247" s="86" t="str">
        <f t="shared" si="2"/>
        <v>Starting Final Project</v>
      </c>
      <c r="S247" s="101" t="b">
        <v>0</v>
      </c>
      <c r="T247" s="102"/>
      <c r="U247" s="105">
        <v>1.0</v>
      </c>
      <c r="V247" s="105"/>
      <c r="W247" s="105"/>
      <c r="X247" s="105"/>
      <c r="Y247" s="105"/>
      <c r="Z247" s="105"/>
      <c r="AA247" s="105"/>
    </row>
    <row r="248" ht="26.25" hidden="1" customHeight="1">
      <c r="A248" s="85">
        <v>298.0</v>
      </c>
      <c r="B248" s="109" t="s">
        <v>568</v>
      </c>
      <c r="C248" s="78" t="s">
        <v>546</v>
      </c>
      <c r="D248" s="79"/>
      <c r="E248" s="79"/>
      <c r="F248" s="107" t="s">
        <v>565</v>
      </c>
      <c r="G248" s="103" t="s">
        <v>0</v>
      </c>
      <c r="H248" s="78" t="s">
        <v>123</v>
      </c>
      <c r="I248" s="104">
        <v>45627.0</v>
      </c>
      <c r="J248" s="103" t="s">
        <v>126</v>
      </c>
      <c r="K248" s="101" t="b">
        <v>1</v>
      </c>
      <c r="L248" s="83"/>
      <c r="M248" s="85">
        <f t="shared" si="1"/>
        <v>71</v>
      </c>
      <c r="N248" s="105" t="s">
        <v>304</v>
      </c>
      <c r="O248" s="85" t="str">
        <f>IFERROR(__xludf.DUMMYFUNCTION("IFERROR(
  TEXT(
    MAX(FILTER(Remark!A:A, TRIM(Remark!B:B) = TRIM(B248))),
    ""dd/mm/yyyy""
  ) &amp; "" - "" &amp;
  FILTER(
    Remark!C:C,
    TRIM(Remark!B:B) = TRIM(B248),
    Remark!A:A = MAX(FILTER(Remark!A:A, TRIM(Remark!B:B) = TRIM(B248)))
  ),
  """&amp;"""
)"),"")</f>
        <v/>
      </c>
      <c r="P248" s="85" t="str">
        <f>IFERROR(__xludf.DUMMYFUNCTION("TEXTJOIN(CHAR(10), TRUE, IFERROR(
  FILTER(TEXT(Remark!A:A, ""dd/mm/yyyy"") &amp; "" - "" &amp; Remark!C:C, TRIM(Remark!B:B) = TRIM(B248)),
  """"
))"),"")</f>
        <v/>
      </c>
      <c r="Q248" s="85"/>
      <c r="R248" s="86" t="str">
        <f t="shared" si="2"/>
        <v>Prepare for Showcase</v>
      </c>
      <c r="S248" s="87" t="b">
        <v>0</v>
      </c>
      <c r="U248" s="105"/>
      <c r="V248" s="105"/>
      <c r="W248" s="105"/>
      <c r="X248" s="105"/>
      <c r="Y248" s="105"/>
      <c r="Z248" s="105"/>
      <c r="AA248" s="105"/>
    </row>
    <row r="249" ht="26.25" hidden="1" customHeight="1">
      <c r="A249" s="77">
        <v>315.0</v>
      </c>
      <c r="B249" s="71" t="s">
        <v>569</v>
      </c>
      <c r="C249" s="78" t="s">
        <v>546</v>
      </c>
      <c r="D249" s="79"/>
      <c r="E249" s="79"/>
      <c r="F249" s="78" t="s">
        <v>565</v>
      </c>
      <c r="G249" s="80" t="s">
        <v>0</v>
      </c>
      <c r="H249" s="80" t="s">
        <v>123</v>
      </c>
      <c r="I249" s="81">
        <v>45693.0</v>
      </c>
      <c r="J249" s="80" t="s">
        <v>126</v>
      </c>
      <c r="K249" s="82" t="b">
        <v>1</v>
      </c>
      <c r="L249" s="94"/>
      <c r="M249" s="84">
        <f t="shared" si="1"/>
        <v>62</v>
      </c>
      <c r="N249" s="84"/>
      <c r="O249" s="85" t="str">
        <f>IFERROR(__xludf.DUMMYFUNCTION("IFERROR(
  TEXT(
    MAX(FILTER(Remark!A:A, TRIM(Remark!B:B) = TRIM(B249))),
    ""dd/mm/yyyy""
  ) &amp; "" - "" &amp;
  FILTER(
    Remark!C:C,
    TRIM(Remark!B:B) = TRIM(B249),
    Remark!A:A = MAX(FILTER(Remark!A:A, TRIM(Remark!B:B) = TRIM(B249)))
  ),
  """&amp;"""
)"),"")</f>
        <v/>
      </c>
      <c r="P249" s="85" t="str">
        <f>IFERROR(__xludf.DUMMYFUNCTION("TEXTJOIN(CHAR(10), TRUE, IFERROR(
  FILTER(TEXT(Remark!A:A, ""dd/mm/yyyy"") &amp; "" - "" &amp; Remark!C:C, TRIM(Remark!B:B) = TRIM(B249)),
  """"
))"),"")</f>
        <v/>
      </c>
      <c r="Q249" s="85" t="str">
        <f>IFERROR(__xludf.DUMMYFUNCTION("IFERROR(
  FILTER(
    Remark!D:D,
    Remark!A:A = MAX(FILTER(Remark!A:A, TRIM(Remark!B:B) = TRIM(B249)))
  ),
  """"
)"),"")</f>
        <v/>
      </c>
      <c r="R249" s="86" t="str">
        <f t="shared" si="2"/>
        <v>Prepare for Showcase</v>
      </c>
      <c r="S249" s="87"/>
      <c r="T249" s="88" t="s">
        <v>570</v>
      </c>
      <c r="U249" s="84">
        <v>1.0</v>
      </c>
      <c r="V249" s="89"/>
      <c r="W249" s="89">
        <v>1.0</v>
      </c>
      <c r="X249" s="89"/>
      <c r="Y249" s="89"/>
      <c r="Z249" s="89"/>
      <c r="AA249" s="89"/>
    </row>
    <row r="250" ht="26.25" hidden="1" customHeight="1">
      <c r="A250" s="77">
        <v>399.0</v>
      </c>
      <c r="B250" s="71" t="s">
        <v>571</v>
      </c>
      <c r="C250" s="78" t="s">
        <v>546</v>
      </c>
      <c r="D250" s="79"/>
      <c r="E250" s="79"/>
      <c r="F250" s="78" t="s">
        <v>565</v>
      </c>
      <c r="G250" s="80" t="s">
        <v>0</v>
      </c>
      <c r="H250" s="80" t="s">
        <v>123</v>
      </c>
      <c r="I250" s="100">
        <v>45934.0</v>
      </c>
      <c r="J250" s="80" t="s">
        <v>159</v>
      </c>
      <c r="K250" s="82" t="b">
        <v>0</v>
      </c>
      <c r="L250" s="94"/>
      <c r="M250" s="84">
        <f t="shared" si="1"/>
        <v>28</v>
      </c>
      <c r="N250" s="84"/>
      <c r="O250" s="85" t="str">
        <f>IFERROR(__xludf.DUMMYFUNCTION("IFERROR(
  TEXT(
    MAX(FILTER(Remark!A:A, TRIM(Remark!B:B) = TRIM(B250))),
    ""dd/mm/yyyy""
  ) &amp; "" - "" &amp;
  FILTER(
    Remark!C:C,
    TRIM(Remark!B:B) = TRIM(B250),
    Remark!A:A = MAX(FILTER(Remark!A:A, TRIM(Remark!B:B) = TRIM(B250)))
  ),
  """&amp;"""
)"),"")</f>
        <v/>
      </c>
      <c r="P250" s="85" t="str">
        <f>IFERROR(__xludf.DUMMYFUNCTION("TEXTJOIN(CHAR(10), TRUE, IFERROR(
  FILTER(TEXT(Remark!A:A, ""dd/mm/yyyy"") &amp; "" - "" &amp; Remark!C:C, TRIM(Remark!B:B) = TRIM(B250)),
  """"
))"),"")</f>
        <v/>
      </c>
      <c r="Q250" s="85" t="str">
        <f>IFERROR(__xludf.DUMMYFUNCTION("IFERROR(
  FILTER(
    Remark!D:D,
    Remark!A:A = MAX(FILTER(Remark!A:A, TRIM(Remark!B:B) = TRIM(B250)))
  ),
  """"
)"),"")</f>
        <v/>
      </c>
      <c r="R250" s="86" t="str">
        <f t="shared" si="2"/>
        <v>Learning</v>
      </c>
      <c r="S250" s="82" t="b">
        <v>0</v>
      </c>
      <c r="T250" s="88"/>
      <c r="U250" s="89">
        <v>1.0</v>
      </c>
      <c r="V250" s="89"/>
      <c r="W250" s="89">
        <v>1.0</v>
      </c>
      <c r="X250" s="89"/>
      <c r="Y250" s="89"/>
      <c r="Z250" s="89"/>
      <c r="AA250" s="89"/>
    </row>
    <row r="251" ht="26.25" hidden="1" customHeight="1">
      <c r="A251" s="77">
        <v>181.0</v>
      </c>
      <c r="B251" s="48" t="s">
        <v>36</v>
      </c>
      <c r="C251" s="78" t="s">
        <v>546</v>
      </c>
      <c r="D251" s="98">
        <v>45044.0</v>
      </c>
      <c r="E251" s="99">
        <v>46082.0</v>
      </c>
      <c r="F251" s="78" t="s">
        <v>572</v>
      </c>
      <c r="G251" s="103" t="s">
        <v>0</v>
      </c>
      <c r="H251" s="78" t="s">
        <v>133</v>
      </c>
      <c r="I251" s="104">
        <v>45654.0</v>
      </c>
      <c r="J251" s="103" t="s">
        <v>126</v>
      </c>
      <c r="K251" s="101" t="b">
        <v>0</v>
      </c>
      <c r="L251" s="83"/>
      <c r="M251" s="85">
        <f t="shared" si="1"/>
        <v>68</v>
      </c>
      <c r="N251" s="85"/>
      <c r="O251" s="85" t="str">
        <f>IFERROR(__xludf.DUMMYFUNCTION("IFERROR(
  TEXT(
    MAX(FILTER(Remark!A:A, TRIM(Remark!B:B) = TRIM(B251))),
    ""dd/mm/yyyy""
  ) &amp; "" - "" &amp;
  FILTER(
    Remark!C:C,
    TRIM(Remark!B:B) = TRIM(B251),
    Remark!A:A = MAX(FILTER(Remark!A:A, TRIM(Remark!B:B) = TRIM(B251)))
  ),
  """&amp;"""
)"),"21/10/2025 - [Caleb]
Inconsistent attendance.
Facing challenges with student learning behaviour.
Currently working on his S-Journey slide.
Will be challenged to complete his final project before the year-end showcase.")</f>
        <v>21/10/2025 - [Caleb]
Inconsistent attendance.
Facing challenges with student learning behaviour.
Currently working on his S-Journey slide.
Will be challenged to complete his final project before the year-end showcase.</v>
      </c>
      <c r="P251" s="85" t="str">
        <f>IFERROR(__xludf.DUMMYFUNCTION("TEXTJOIN(CHAR(10), TRUE, IFERROR(
  FILTER(TEXT(Remark!A:A, ""dd/mm/yyyy"") &amp; "" - "" &amp; Remark!C:C, TRIM(Remark!B:B) = TRIM(B251)),
  """"
))"),"21/10/2025 - [Caleb]
Inconsistent attendance.
Facing challenges with student learning behaviour.
Currently working on his S-Journey slide.
Will be challenged to complete his final project before the year-end showcase.")</f>
        <v>21/10/2025 - [Caleb]
Inconsistent attendance.
Facing challenges with student learning behaviour.
Currently working on his S-Journey slide.
Will be challenged to complete his final project before the year-end showcase.</v>
      </c>
      <c r="Q251" s="85" t="str">
        <f>IFERROR(__xludf.DUMMYFUNCTION("IFERROR(
  FILTER(
    Remark!D:D,
    Remark!A:A = MAX(FILTER(Remark!A:A, TRIM(Remark!B:B) = TRIM(B251)))
  ),
  """"
)"),"No")</f>
        <v>No</v>
      </c>
      <c r="R251" s="86" t="str">
        <f t="shared" si="2"/>
        <v>Prepare for Showcase</v>
      </c>
      <c r="S251" s="87"/>
      <c r="T251" s="102" t="s">
        <v>258</v>
      </c>
      <c r="U251" s="105">
        <v>2.0</v>
      </c>
      <c r="V251" s="105">
        <v>1.0</v>
      </c>
      <c r="W251" s="105"/>
      <c r="X251" s="105"/>
      <c r="Y251" s="105"/>
      <c r="Z251" s="105"/>
      <c r="AA251" s="105">
        <f t="shared" ref="AA251:AA252" si="6">sum(V251:X251)</f>
        <v>1</v>
      </c>
    </row>
    <row r="252" ht="26.25" hidden="1" customHeight="1">
      <c r="A252" s="77">
        <v>59.0</v>
      </c>
      <c r="B252" s="36" t="s">
        <v>34</v>
      </c>
      <c r="C252" s="78" t="s">
        <v>546</v>
      </c>
      <c r="D252" s="110">
        <v>44506.0</v>
      </c>
      <c r="E252" s="99">
        <v>46082.0</v>
      </c>
      <c r="F252" s="107" t="s">
        <v>572</v>
      </c>
      <c r="G252" s="103" t="s">
        <v>0</v>
      </c>
      <c r="H252" s="78" t="s">
        <v>119</v>
      </c>
      <c r="I252" s="104">
        <v>45612.0</v>
      </c>
      <c r="J252" s="78" t="s">
        <v>134</v>
      </c>
      <c r="K252" s="101" t="b">
        <v>1</v>
      </c>
      <c r="L252" s="83"/>
      <c r="M252" s="85">
        <f t="shared" si="1"/>
        <v>74</v>
      </c>
      <c r="N252" s="85"/>
      <c r="O252" s="85" t="str">
        <f>IFERROR(__xludf.DUMMYFUNCTION("IFERROR(
  TEXT(
    MAX(FILTER(Remark!A:A, TRIM(Remark!B:B) = TRIM(B252))),
    ""dd/mm/yyyy""
  ) &amp; "" - "" &amp;
  FILTER(
    Remark!C:C,
    TRIM(Remark!B:B) = TRIM(B252),
    Remark!A:A = MAX(FILTER(Remark!A:A, TRIM(Remark!B:B) = TRIM(B252)))
  ),
  """&amp;"""
)"),"")</f>
        <v/>
      </c>
      <c r="P252" s="85" t="str">
        <f>IFERROR(__xludf.DUMMYFUNCTION("TEXTJOIN(CHAR(10), TRUE, IFERROR(
  FILTER(TEXT(Remark!A:A, ""dd/mm/yyyy"") &amp; "" - "" &amp; Remark!C:C, TRIM(Remark!B:B) = TRIM(B252)),
  """"
))"),"")</f>
        <v/>
      </c>
      <c r="Q252" s="85" t="str">
        <f>IFERROR(__xludf.DUMMYFUNCTION("IFERROR(
  FILTER(
    Remark!D:D,
    Remark!A:A = MAX(FILTER(Remark!A:A, TRIM(Remark!B:B) = TRIM(B252)))
  ),
  """"
)"),"")</f>
        <v/>
      </c>
      <c r="R252" s="86" t="str">
        <f t="shared" si="2"/>
        <v>Prepare for Showcase</v>
      </c>
      <c r="S252" s="87"/>
      <c r="T252" s="88" t="s">
        <v>573</v>
      </c>
      <c r="U252" s="105">
        <v>1.0</v>
      </c>
      <c r="V252" s="105"/>
      <c r="W252" s="105"/>
      <c r="X252" s="105"/>
      <c r="Y252" s="105"/>
      <c r="Z252" s="105"/>
      <c r="AA252" s="105">
        <f t="shared" si="6"/>
        <v>0</v>
      </c>
    </row>
    <row r="253" ht="26.25" hidden="1" customHeight="1">
      <c r="A253" s="77">
        <v>45.0</v>
      </c>
      <c r="B253" s="109" t="s">
        <v>574</v>
      </c>
      <c r="C253" s="78" t="s">
        <v>546</v>
      </c>
      <c r="D253" s="79"/>
      <c r="E253" s="79"/>
      <c r="F253" s="78" t="s">
        <v>572</v>
      </c>
      <c r="G253" s="103" t="s">
        <v>0</v>
      </c>
      <c r="H253" s="78" t="s">
        <v>91</v>
      </c>
      <c r="I253" s="104">
        <v>45451.0</v>
      </c>
      <c r="J253" s="78" t="s">
        <v>553</v>
      </c>
      <c r="K253" s="101" t="b">
        <v>1</v>
      </c>
      <c r="L253" s="83"/>
      <c r="M253" s="85">
        <f t="shared" si="1"/>
        <v>97</v>
      </c>
      <c r="N253" s="85"/>
      <c r="O253" s="85" t="str">
        <f>IFERROR(__xludf.DUMMYFUNCTION("IFERROR(
  TEXT(
    MAX(FILTER(Remark!A:A, TRIM(Remark!B:B) = TRIM(B253))),
    ""dd/mm/yyyy""
  ) &amp; "" - "" &amp;
  FILTER(
    Remark!C:C,
    TRIM(Remark!B:B) = TRIM(B253),
    Remark!A:A = MAX(FILTER(Remark!A:A, TRIM(Remark!B:B) = TRIM(B253)))
  ),
  """&amp;"""
)"),"")</f>
        <v/>
      </c>
      <c r="P253" s="85" t="str">
        <f>IFERROR(__xludf.DUMMYFUNCTION("TEXTJOIN(CHAR(10), TRUE, IFERROR(
  FILTER(TEXT(Remark!A:A, ""dd/mm/yyyy"") &amp; "" - "" &amp; Remark!C:C, TRIM(Remark!B:B) = TRIM(B253)),
  """"
))"),"")</f>
        <v/>
      </c>
      <c r="Q253" s="85" t="str">
        <f>IFERROR(__xludf.DUMMYFUNCTION("IFERROR(
  FILTER(
    Remark!D:D,
    Remark!A:A = MAX(FILTER(Remark!A:A, TRIM(Remark!B:B) = TRIM(B253)))
  ),
  """"
)"),"")</f>
        <v/>
      </c>
      <c r="R253" s="86" t="str">
        <f t="shared" si="2"/>
        <v>Prepare for Showcase</v>
      </c>
      <c r="S253" s="101" t="b">
        <v>0</v>
      </c>
      <c r="T253" s="102"/>
      <c r="U253" s="105"/>
      <c r="V253" s="105"/>
      <c r="W253" s="105"/>
      <c r="X253" s="105"/>
      <c r="Y253" s="105"/>
      <c r="Z253" s="105"/>
      <c r="AA253" s="105"/>
    </row>
    <row r="254" ht="26.25" hidden="1" customHeight="1">
      <c r="A254" s="77">
        <v>225.0</v>
      </c>
      <c r="B254" s="48" t="s">
        <v>38</v>
      </c>
      <c r="C254" s="78" t="s">
        <v>546</v>
      </c>
      <c r="D254" s="110">
        <v>45330.0</v>
      </c>
      <c r="E254" s="99">
        <v>46082.0</v>
      </c>
      <c r="F254" s="78" t="s">
        <v>572</v>
      </c>
      <c r="G254" s="103" t="s">
        <v>0</v>
      </c>
      <c r="H254" s="78" t="s">
        <v>91</v>
      </c>
      <c r="I254" s="81">
        <v>45843.0</v>
      </c>
      <c r="J254" s="78" t="s">
        <v>79</v>
      </c>
      <c r="K254" s="101" t="b">
        <v>1</v>
      </c>
      <c r="L254" s="83"/>
      <c r="M254" s="85">
        <f t="shared" si="1"/>
        <v>41</v>
      </c>
      <c r="N254" s="85"/>
      <c r="O254" s="85" t="str">
        <f>IFERROR(__xludf.DUMMYFUNCTION("IFERROR(
  TEXT(
    MAX(FILTER(Remark!A:A, TRIM(Remark!B:B) = TRIM(B254))),
    ""dd/mm/yyyy""
  ) &amp; "" - "" &amp;
  FILTER(
    Remark!C:C,
    TRIM(Remark!B:B) = TRIM(B254),
    Remark!A:A = MAX(FILTER(Remark!A:A, TRIM(Remark!B:B) = TRIM(B254)))
  ),
  """&amp;"""
)"),"06/11/2025 - [Caleb]
The student has progressed up to Stage D with no issues in progress.
The mentor is reminded to evaluate the student’s project before allowing them to move on to the next stage.")</f>
        <v>06/11/2025 - [Caleb]
The student has progressed up to Stage D with no issues in progress.
The mentor is reminded to evaluate the student’s project before allowing them to move on to the next stage.</v>
      </c>
      <c r="P254" s="85" t="str">
        <f>IFERROR(__xludf.DUMMYFUNCTION("TEXTJOIN(CHAR(10), TRUE, IFERROR(
  FILTER(TEXT(Remark!A:A, ""dd/mm/yyyy"") &amp; "" - "" &amp; Remark!C:C, TRIM(Remark!B:B) = TRIM(B254)),
  """"
))"),"06/11/2025 - [Caleb]
The student has progressed up to Stage D with no issues in progress.
The mentor is reminded to evaluate the student’s project before allowing them to move on to the next stage.")</f>
        <v>06/11/2025 - [Caleb]
The student has progressed up to Stage D with no issues in progress.
The mentor is reminded to evaluate the student’s project before allowing them to move on to the next stage.</v>
      </c>
      <c r="Q254" s="85" t="str">
        <f>IFERROR(__xludf.DUMMYFUNCTION("IFERROR(
  FILTER(
    Remark!D:D,
    Remark!A:A = MAX(FILTER(Remark!A:A, TRIM(Remark!B:B) = TRIM(B254)))
  ),
  """"
)"),"Yes")</f>
        <v>Yes</v>
      </c>
      <c r="R254" s="86" t="str">
        <f t="shared" si="2"/>
        <v>Prepare for Showcase</v>
      </c>
      <c r="S254" s="101" t="b">
        <v>1</v>
      </c>
      <c r="T254" s="102" t="s">
        <v>575</v>
      </c>
      <c r="U254" s="105">
        <v>1.0</v>
      </c>
      <c r="V254" s="105"/>
      <c r="W254" s="105"/>
      <c r="X254" s="105"/>
      <c r="Y254" s="105"/>
      <c r="Z254" s="105"/>
      <c r="AA254" s="105">
        <f>sum(V254:X254)</f>
        <v>0</v>
      </c>
    </row>
    <row r="255" ht="26.25" hidden="1" customHeight="1">
      <c r="A255" s="77">
        <v>58.0</v>
      </c>
      <c r="B255" s="102" t="s">
        <v>576</v>
      </c>
      <c r="C255" s="78" t="s">
        <v>546</v>
      </c>
      <c r="D255" s="79"/>
      <c r="E255" s="79"/>
      <c r="F255" s="107" t="s">
        <v>572</v>
      </c>
      <c r="G255" s="103" t="s">
        <v>0</v>
      </c>
      <c r="H255" s="78" t="s">
        <v>109</v>
      </c>
      <c r="I255" s="104">
        <v>45206.0</v>
      </c>
      <c r="J255" s="103" t="s">
        <v>79</v>
      </c>
      <c r="K255" s="101" t="b">
        <v>1</v>
      </c>
      <c r="L255" s="83"/>
      <c r="M255" s="85">
        <f t="shared" si="1"/>
        <v>132</v>
      </c>
      <c r="N255" s="85"/>
      <c r="O255" s="85" t="str">
        <f>IFERROR(__xludf.DUMMYFUNCTION("IFERROR(
  TEXT(
    MAX(FILTER(Remark!A:A, TRIM(Remark!B:B) = TRIM(B255))),
    ""dd/mm/yyyy""
  ) &amp; "" - "" &amp;
  FILTER(
    Remark!C:C,
    TRIM(Remark!B:B) = TRIM(B255),
    Remark!A:A = MAX(FILTER(Remark!A:A, TRIM(Remark!B:B) = TRIM(B255)))
  ),
  """&amp;"""
)"),"")</f>
        <v/>
      </c>
      <c r="P255" s="85" t="str">
        <f>IFERROR(__xludf.DUMMYFUNCTION("TEXTJOIN(CHAR(10), TRUE, IFERROR(
  FILTER(TEXT(Remark!A:A, ""dd/mm/yyyy"") &amp; "" - "" &amp; Remark!C:C, TRIM(Remark!B:B) = TRIM(B255)),
  """"
))"),"")</f>
        <v/>
      </c>
      <c r="Q255" s="85" t="str">
        <f>IFERROR(__xludf.DUMMYFUNCTION("IFERROR(
  FILTER(
    Remark!D:D,
    Remark!A:A = MAX(FILTER(Remark!A:A, TRIM(Remark!B:B) = TRIM(B255)))
  ),
  """"
)"),"")</f>
        <v/>
      </c>
      <c r="R255" s="86" t="str">
        <f t="shared" si="2"/>
        <v>Prepare for Showcase</v>
      </c>
      <c r="S255" s="101" t="b">
        <v>0</v>
      </c>
      <c r="T255" s="102"/>
      <c r="U255" s="105">
        <v>1.0</v>
      </c>
      <c r="V255" s="105"/>
      <c r="W255" s="105"/>
      <c r="X255" s="105"/>
      <c r="Y255" s="105"/>
      <c r="Z255" s="105"/>
      <c r="AA255" s="105"/>
    </row>
    <row r="256" ht="26.25" hidden="1" customHeight="1">
      <c r="A256" s="77">
        <v>226.0</v>
      </c>
      <c r="B256" s="102" t="s">
        <v>577</v>
      </c>
      <c r="C256" s="78" t="s">
        <v>546</v>
      </c>
      <c r="D256" s="79"/>
      <c r="E256" s="79"/>
      <c r="F256" s="107" t="s">
        <v>572</v>
      </c>
      <c r="G256" s="103" t="s">
        <v>0</v>
      </c>
      <c r="H256" s="78" t="s">
        <v>109</v>
      </c>
      <c r="I256" s="104">
        <v>45367.0</v>
      </c>
      <c r="J256" s="103" t="s">
        <v>159</v>
      </c>
      <c r="K256" s="101" t="b">
        <v>1</v>
      </c>
      <c r="L256" s="83"/>
      <c r="M256" s="85">
        <f t="shared" si="1"/>
        <v>109</v>
      </c>
      <c r="N256" s="85"/>
      <c r="O256" s="85" t="str">
        <f>IFERROR(__xludf.DUMMYFUNCTION("IFERROR(
  TEXT(
    MAX(FILTER(Remark!A:A, TRIM(Remark!B:B) = TRIM(B256))),
    ""dd/mm/yyyy""
  ) &amp; "" - "" &amp;
  FILTER(
    Remark!C:C,
    TRIM(Remark!B:B) = TRIM(B256),
    Remark!A:A = MAX(FILTER(Remark!A:A, TRIM(Remark!B:B) = TRIM(B256)))
  ),
  """&amp;"""
)"),"15/10/2025 - [Caleb]
The student has already begun preparations for the 2025 Year-End Showcase.
A high-quality project has been created based on a self-designed story, with only the subtitles remaining to be completed.
A timeline has been provided, includ"&amp;"ing rehearsal sessions for the year-end showcase.")</f>
        <v>15/10/2025 - [Caleb]
The student has already begun preparations for the 2025 Year-End Showcase.
A high-quality project has been created based on a self-designed story, with only the subtitles remaining to be completed.
A timeline has been provided, including rehearsal sessions for the year-end showcase.</v>
      </c>
      <c r="P256" s="85" t="str">
        <f>IFERROR(__xludf.DUMMYFUNCTION("TEXTJOIN(CHAR(10), TRUE, IFERROR(
  FILTER(TEXT(Remark!A:A, ""dd/mm/yyyy"") &amp; "" - "" &amp; Remark!C:C, TRIM(Remark!B:B) = TRIM(B256)),
  """"
))"),"15/10/2025 - [Caleb]
The student has already begun preparations for the 2025 Year-End Showcase.
A high-quality project has been created based on a self-designed story, with only the subtitles remaining to be completed.
A timeline has been provided, includ"&amp;"ing rehearsal sessions for the year-end showcase.")</f>
        <v>15/10/2025 - [Caleb]
The student has already begun preparations for the 2025 Year-End Showcase.
A high-quality project has been created based on a self-designed story, with only the subtitles remaining to be completed.
A timeline has been provided, including rehearsal sessions for the year-end showcase.</v>
      </c>
      <c r="Q256" s="85" t="str">
        <f>IFERROR(__xludf.DUMMYFUNCTION("IFERROR(
  FILTER(
    Remark!D:D,
    Remark!A:A = MAX(FILTER(Remark!A:A, TRIM(Remark!B:B) = TRIM(B256)))
  ),
  """"
)"),"Yes")</f>
        <v>Yes</v>
      </c>
      <c r="R256" s="86" t="str">
        <f t="shared" si="2"/>
        <v>Prepare for Showcase</v>
      </c>
      <c r="S256" s="101" t="b">
        <v>0</v>
      </c>
      <c r="T256" s="102"/>
      <c r="U256" s="105">
        <v>1.0</v>
      </c>
      <c r="V256" s="105"/>
      <c r="W256" s="105"/>
      <c r="X256" s="105"/>
      <c r="Y256" s="105"/>
      <c r="Z256" s="105"/>
      <c r="AA256" s="105"/>
    </row>
    <row r="257" ht="26.25" hidden="1" customHeight="1">
      <c r="A257" s="77">
        <v>247.0</v>
      </c>
      <c r="B257" s="109" t="s">
        <v>578</v>
      </c>
      <c r="C257" s="78" t="s">
        <v>546</v>
      </c>
      <c r="D257" s="79"/>
      <c r="E257" s="79"/>
      <c r="F257" s="107" t="s">
        <v>572</v>
      </c>
      <c r="G257" s="103" t="s">
        <v>0</v>
      </c>
      <c r="H257" s="78" t="s">
        <v>109</v>
      </c>
      <c r="I257" s="81">
        <v>45857.0</v>
      </c>
      <c r="J257" s="78" t="s">
        <v>92</v>
      </c>
      <c r="K257" s="101" t="b">
        <v>1</v>
      </c>
      <c r="L257" s="83"/>
      <c r="M257" s="85">
        <f t="shared" si="1"/>
        <v>39</v>
      </c>
      <c r="N257" s="105"/>
      <c r="O257" s="85" t="str">
        <f>IFERROR(__xludf.DUMMYFUNCTION("IFERROR(
  TEXT(
    MAX(FILTER(Remark!A:A, TRIM(Remark!B:B) = TRIM(B257))),
    ""dd/mm/yyyy""
  ) &amp; "" - "" &amp;
  FILTER(
    Remark!C:C,
    TRIM(Remark!B:B) = TRIM(B257),
    Remark!A:A = MAX(FILTER(Remark!A:A, TRIM(Remark!B:B) = TRIM(B257)))
  ),
  """&amp;"""
)"),"23/10/2025 - [Caleb]
The student is now more well-behaved and serious in class.
Previously, he used to watch unrelated content instead of following the learning materials.
Improvement has been observed as before class begins, the mentor now asks him a few"&amp;" questions to help him stay focused and prepared.")</f>
        <v>23/10/2025 - [Caleb]
The student is now more well-behaved and serious in class.
Previously, he used to watch unrelated content instead of following the learning materials.
Improvement has been observed as before class begins, the mentor now asks him a few questions to help him stay focused and prepared.</v>
      </c>
      <c r="P257" s="85" t="str">
        <f>IFERROR(__xludf.DUMMYFUNCTION("TEXTJOIN(CHAR(10), TRUE, IFERROR(
  FILTER(TEXT(Remark!A:A, ""dd/mm/yyyy"") &amp; "" - "" &amp; Remark!C:C, TRIM(Remark!B:B) = TRIM(B257)),
  """"
))"),"23/10/2025 - [Caleb]
The student is now more well-behaved and serious in class.
Previously, he used to watch unrelated content instead of following the learning materials.
Improvement has been observed as before class begins, the mentor now asks him a few"&amp;" questions to help him stay focused and prepared.")</f>
        <v>23/10/2025 - [Caleb]
The student is now more well-behaved and serious in class.
Previously, he used to watch unrelated content instead of following the learning materials.
Improvement has been observed as before class begins, the mentor now asks him a few questions to help him stay focused and prepared.</v>
      </c>
      <c r="Q257" s="85" t="str">
        <f>IFERROR(__xludf.DUMMYFUNCTION("IFERROR(
  FILTER(
    Remark!D:D,
    Remark!A:A = MAX(FILTER(Remark!A:A, TRIM(Remark!B:B) = TRIM(B257)))
  ),
  """"
)"),"Yes")</f>
        <v>Yes</v>
      </c>
      <c r="R257" s="86" t="str">
        <f t="shared" si="2"/>
        <v>Starting Final Project</v>
      </c>
      <c r="S257" s="101" t="b">
        <v>0</v>
      </c>
      <c r="T257" s="102"/>
      <c r="U257" s="105">
        <v>5.0</v>
      </c>
      <c r="V257" s="105"/>
      <c r="W257" s="105"/>
      <c r="X257" s="105"/>
      <c r="Y257" s="105"/>
      <c r="Z257" s="105"/>
      <c r="AA257" s="105"/>
    </row>
    <row r="258" ht="26.25" hidden="1" customHeight="1">
      <c r="A258" s="85">
        <v>295.0</v>
      </c>
      <c r="B258" s="109" t="s">
        <v>579</v>
      </c>
      <c r="C258" s="78" t="s">
        <v>546</v>
      </c>
      <c r="D258" s="79"/>
      <c r="E258" s="79"/>
      <c r="F258" s="78" t="s">
        <v>572</v>
      </c>
      <c r="G258" s="103" t="s">
        <v>0</v>
      </c>
      <c r="H258" s="78" t="s">
        <v>133</v>
      </c>
      <c r="I258" s="81">
        <v>45749.0</v>
      </c>
      <c r="J258" s="78" t="s">
        <v>92</v>
      </c>
      <c r="K258" s="101" t="b">
        <v>0</v>
      </c>
      <c r="L258" s="83"/>
      <c r="M258" s="85">
        <f t="shared" si="1"/>
        <v>54</v>
      </c>
      <c r="N258" s="105"/>
      <c r="O258" s="85" t="str">
        <f>IFERROR(__xludf.DUMMYFUNCTION("IFERROR(
  TEXT(
    MAX(FILTER(Remark!A:A, TRIM(Remark!B:B) = TRIM(B258))),
    ""dd/mm/yyyy""
  ) &amp; "" - "" &amp;
  FILTER(
    Remark!C:C,
    TRIM(Remark!B:B) = TRIM(B258),
    Remark!A:A = MAX(FILTER(Remark!A:A, TRIM(Remark!B:B) = TRIM(B258)))
  ),
  """&amp;"""
)"),"")</f>
        <v/>
      </c>
      <c r="P258" s="85" t="str">
        <f>IFERROR(__xludf.DUMMYFUNCTION("TEXTJOIN(CHAR(10), TRUE, IFERROR(
  FILTER(TEXT(Remark!A:A, ""dd/mm/yyyy"") &amp; "" - "" &amp; Remark!C:C, TRIM(Remark!B:B) = TRIM(B258)),
  """"
))"),"")</f>
        <v/>
      </c>
      <c r="Q258" s="85"/>
      <c r="R258" s="86" t="str">
        <f t="shared" si="2"/>
        <v>Prepare for Showcase</v>
      </c>
      <c r="S258" s="101" t="b">
        <v>0</v>
      </c>
      <c r="T258" s="102"/>
      <c r="U258" s="105"/>
      <c r="V258" s="105"/>
      <c r="W258" s="105"/>
      <c r="X258" s="105"/>
      <c r="Y258" s="105"/>
      <c r="Z258" s="105"/>
      <c r="AA258" s="105"/>
    </row>
    <row r="259" ht="26.25" hidden="1" customHeight="1">
      <c r="A259" s="77">
        <v>344.0</v>
      </c>
      <c r="B259" s="56" t="s">
        <v>40</v>
      </c>
      <c r="C259" s="78" t="s">
        <v>546</v>
      </c>
      <c r="D259" s="98">
        <v>45759.0</v>
      </c>
      <c r="E259" s="99">
        <v>46082.0</v>
      </c>
      <c r="F259" s="78" t="s">
        <v>580</v>
      </c>
      <c r="G259" s="80" t="s">
        <v>0</v>
      </c>
      <c r="H259" s="80" t="s">
        <v>581</v>
      </c>
      <c r="I259" s="100">
        <v>45759.0</v>
      </c>
      <c r="J259" s="80" t="s">
        <v>79</v>
      </c>
      <c r="K259" s="101" t="b">
        <v>1</v>
      </c>
      <c r="L259" s="94"/>
      <c r="M259" s="84">
        <f t="shared" si="1"/>
        <v>53</v>
      </c>
      <c r="N259" s="84"/>
      <c r="O259" s="85" t="str">
        <f>IFERROR(__xludf.DUMMYFUNCTION("IFERROR(
  TEXT(
    MAX(FILTER(Remark!A:A, TRIM(Remark!B:B) = TRIM(B259))),
    ""dd/mm/yyyy""
  ) &amp; "" - "" &amp;
  FILTER(
    Remark!C:C,
    TRIM(Remark!B:B) = TRIM(B259),
    Remark!A:A = MAX(FILTER(Remark!A:A, TRIM(Remark!B:B) = TRIM(B259)))
  ),
  """&amp;"""
)"),"01/10/2025 - [Caleb]
Progress has already reached Level D, but the student has not submitted the previous project, so the system has no record.
The student often pursues personal interests instead of following the syllabus.
Frequently absent, and tends to"&amp;" replace multiple classes in one go.
Mentor is advised to set a timeline together with the student.
Ask the student to submit all the projects that had been done and receive comments for improvement from mentor.
While students are allowed to explore their"&amp;" own interests, we sometimes need to set limits to bring their focus back.")</f>
        <v>01/10/2025 - [Caleb]
Progress has already reached Level D, but the student has not submitted the previous project, so the system has no record.
The student often pursues personal interests instead of following the syllabus.
Frequently absent, and tends to replace multiple classes in one go.
Mentor is advised to set a timeline together with the student.
Ask the student to submit all the projects that had been done and receive comments for improvement from mentor.
While students are allowed to explore their own interests, we sometimes need to set limits to bring their focus back.</v>
      </c>
      <c r="P259" s="85" t="str">
        <f>IFERROR(__xludf.DUMMYFUNCTION("TEXTJOIN(CHAR(10), TRUE, IFERROR(
  FILTER(TEXT(Remark!A:A, ""dd/mm/yyyy"") &amp; "" - "" &amp; Remark!C:C, TRIM(Remark!B:B) = TRIM(B259)),
  """"
))"),"01/10/2025 - [Caleb]
Progress has already reached Level D, but the student has not submitted the previous project, so the system has no record.
The student often pursues personal interests instead of following the syllabus.
Frequently absent, and tends to"&amp;" replace multiple classes in one go.
Mentor is advised to set a timeline together with the student.
Ask the student to submit all the projects that had been done and receive comments for improvement from mentor.
While students are allowed to explore their"&amp;" own interests, we sometimes need to set limits to bring their focus back.")</f>
        <v>01/10/2025 - [Caleb]
Progress has already reached Level D, but the student has not submitted the previous project, so the system has no record.
The student often pursues personal interests instead of following the syllabus.
Frequently absent, and tends to replace multiple classes in one go.
Mentor is advised to set a timeline together with the student.
Ask the student to submit all the projects that had been done and receive comments for improvement from mentor.
While students are allowed to explore their own interests, we sometimes need to set limits to bring their focus back.</v>
      </c>
      <c r="Q259" s="85" t="str">
        <f>IFERROR(__xludf.DUMMYFUNCTION("IFERROR(
  FILTER(
    Remark!D:D,
    Remark!A:A = MAX(FILTER(Remark!A:A, TRIM(Remark!B:B) = TRIM(B259)))
  ),
  """"
)"),"No")</f>
        <v>No</v>
      </c>
      <c r="R259" s="86" t="str">
        <f t="shared" si="2"/>
        <v>Prepare for Showcase</v>
      </c>
      <c r="S259" s="87"/>
      <c r="T259" s="88" t="s">
        <v>582</v>
      </c>
      <c r="U259" s="89">
        <v>3.0</v>
      </c>
      <c r="V259" s="89"/>
      <c r="W259" s="89"/>
      <c r="X259" s="89"/>
      <c r="Y259" s="89"/>
      <c r="Z259" s="89"/>
      <c r="AA259" s="89">
        <f>sum(V259:X259)</f>
        <v>0</v>
      </c>
    </row>
    <row r="260" ht="26.25" hidden="1" customHeight="1">
      <c r="A260" s="77">
        <v>34.0</v>
      </c>
      <c r="B260" s="71" t="s">
        <v>583</v>
      </c>
      <c r="C260" s="78" t="s">
        <v>546</v>
      </c>
      <c r="D260" s="79"/>
      <c r="E260" s="79"/>
      <c r="F260" s="107" t="s">
        <v>580</v>
      </c>
      <c r="G260" s="103" t="s">
        <v>0</v>
      </c>
      <c r="H260" s="78" t="s">
        <v>119</v>
      </c>
      <c r="I260" s="104">
        <v>45052.0</v>
      </c>
      <c r="J260" s="78" t="s">
        <v>134</v>
      </c>
      <c r="K260" s="101" t="b">
        <v>1</v>
      </c>
      <c r="L260" s="83"/>
      <c r="M260" s="85">
        <f t="shared" si="1"/>
        <v>154</v>
      </c>
      <c r="N260" s="85"/>
      <c r="O260" s="85" t="str">
        <f>IFERROR(__xludf.DUMMYFUNCTION("IFERROR(
  TEXT(
    MAX(FILTER(Remark!A:A, TRIM(Remark!B:B) = TRIM(B260))),
    ""dd/mm/yyyy""
  ) &amp; "" - "" &amp;
  FILTER(
    Remark!C:C,
    TRIM(Remark!B:B) = TRIM(B260),
    Remark!A:A = MAX(FILTER(Remark!A:A, TRIM(Remark!B:B) = TRIM(B260)))
  ),
  """&amp;"""
)"),"")</f>
        <v/>
      </c>
      <c r="P260" s="85" t="str">
        <f>IFERROR(__xludf.DUMMYFUNCTION("TEXTJOIN(CHAR(10), TRUE, IFERROR(
  FILTER(TEXT(Remark!A:A, ""dd/mm/yyyy"") &amp; "" - "" &amp; Remark!C:C, TRIM(Remark!B:B) = TRIM(B260)),
  """"
))"),"")</f>
        <v/>
      </c>
      <c r="Q260" s="85" t="str">
        <f>IFERROR(__xludf.DUMMYFUNCTION("IFERROR(
  FILTER(
    Remark!D:D,
    Remark!A:A = MAX(FILTER(Remark!A:A, TRIM(Remark!B:B) = TRIM(B260)))
  ),
  """"
)"),"")</f>
        <v/>
      </c>
      <c r="R260" s="86" t="str">
        <f t="shared" si="2"/>
        <v>Prepare for Showcase</v>
      </c>
      <c r="S260" s="101" t="b">
        <v>1</v>
      </c>
      <c r="T260" s="88" t="s">
        <v>584</v>
      </c>
      <c r="U260" s="105"/>
      <c r="V260" s="105"/>
      <c r="W260" s="105"/>
      <c r="X260" s="105"/>
      <c r="Y260" s="105"/>
      <c r="Z260" s="105"/>
      <c r="AA260" s="105"/>
    </row>
    <row r="261" ht="26.25" hidden="1" customHeight="1">
      <c r="A261" s="77">
        <v>42.0</v>
      </c>
      <c r="B261" s="109" t="s">
        <v>585</v>
      </c>
      <c r="C261" s="78" t="s">
        <v>546</v>
      </c>
      <c r="D261" s="79"/>
      <c r="E261" s="79"/>
      <c r="F261" s="107" t="s">
        <v>580</v>
      </c>
      <c r="G261" s="103" t="s">
        <v>0</v>
      </c>
      <c r="H261" s="78" t="s">
        <v>551</v>
      </c>
      <c r="I261" s="104">
        <v>45206.0</v>
      </c>
      <c r="J261" s="103" t="s">
        <v>186</v>
      </c>
      <c r="K261" s="101" t="b">
        <v>1</v>
      </c>
      <c r="L261" s="83"/>
      <c r="M261" s="85">
        <f t="shared" si="1"/>
        <v>132</v>
      </c>
      <c r="N261" s="85"/>
      <c r="O261" s="85" t="str">
        <f>IFERROR(__xludf.DUMMYFUNCTION("IFERROR(
  TEXT(
    MAX(FILTER(Remark!A:A, TRIM(Remark!B:B) = TRIM(B261))),
    ""dd/mm/yyyy""
  ) &amp; "" - "" &amp;
  FILTER(
    Remark!C:C,
    TRIM(Remark!B:B) = TRIM(B261),
    Remark!A:A = MAX(FILTER(Remark!A:A, TRIM(Remark!B:B) = TRIM(B261)))
  ),
  """&amp;"""
)"),"01/10/2025 - [Caleb]
Absence is too frequent.
Mentor suggested checking in with the student to understand why attendance is inconsistent and to identify any difficulties in learning progress.
Mentor needs to discuss and agree on a timeline with the studen"&amp;"t for final project submission.")</f>
        <v>01/10/2025 - [Caleb]
Absence is too frequent.
Mentor suggested checking in with the student to understand why attendance is inconsistent and to identify any difficulties in learning progress.
Mentor needs to discuss and agree on a timeline with the student for final project submission.</v>
      </c>
      <c r="P261" s="85" t="str">
        <f>IFERROR(__xludf.DUMMYFUNCTION("TEXTJOIN(CHAR(10), TRUE, IFERROR(
  FILTER(TEXT(Remark!A:A, ""dd/mm/yyyy"") &amp; "" - "" &amp; Remark!C:C, TRIM(Remark!B:B) = TRIM(B261)),
  """"
))"),"01/10/2025 - [Caleb]
Absence is too frequent.
Mentor suggested checking in with the student to understand why attendance is inconsistent and to identify any difficulties in learning progress.
Mentor needs to discuss and agree on a timeline with the studen"&amp;"t for final project submission.")</f>
        <v>01/10/2025 - [Caleb]
Absence is too frequent.
Mentor suggested checking in with the student to understand why attendance is inconsistent and to identify any difficulties in learning progress.
Mentor needs to discuss and agree on a timeline with the student for final project submission.</v>
      </c>
      <c r="Q261" s="85" t="str">
        <f>IFERROR(__xludf.DUMMYFUNCTION("IFERROR(
  FILTER(
    Remark!D:D,
    Remark!A:A = MAX(FILTER(Remark!A:A, TRIM(Remark!B:B) = TRIM(B261)))
  ),
  """"
)"),"No")</f>
        <v>No</v>
      </c>
      <c r="R261" s="86" t="str">
        <f t="shared" si="2"/>
        <v>Prepare for Showcase</v>
      </c>
      <c r="S261" s="101" t="b">
        <v>0</v>
      </c>
      <c r="T261" s="102"/>
      <c r="U261" s="105">
        <v>1.0</v>
      </c>
      <c r="V261" s="105"/>
      <c r="W261" s="105"/>
      <c r="X261" s="105"/>
      <c r="Y261" s="105"/>
      <c r="Z261" s="105"/>
      <c r="AA261" s="105"/>
    </row>
    <row r="262" ht="26.25" hidden="1" customHeight="1">
      <c r="A262" s="85">
        <v>130.0</v>
      </c>
      <c r="B262" s="109" t="s">
        <v>586</v>
      </c>
      <c r="C262" s="78" t="s">
        <v>546</v>
      </c>
      <c r="D262" s="79"/>
      <c r="E262" s="79"/>
      <c r="F262" s="107" t="s">
        <v>580</v>
      </c>
      <c r="G262" s="103" t="s">
        <v>0</v>
      </c>
      <c r="H262" s="78" t="s">
        <v>119</v>
      </c>
      <c r="I262" s="104">
        <v>45661.0</v>
      </c>
      <c r="J262" s="103" t="s">
        <v>126</v>
      </c>
      <c r="K262" s="101" t="b">
        <v>0</v>
      </c>
      <c r="L262" s="83" t="s">
        <v>289</v>
      </c>
      <c r="M262" s="85">
        <f t="shared" si="1"/>
        <v>67</v>
      </c>
      <c r="N262" s="85"/>
      <c r="O262" s="85" t="str">
        <f>IFERROR(__xludf.DUMMYFUNCTION("IFERROR(
  TEXT(
    MAX(FILTER(Remark!A:A, TRIM(Remark!B:B) = TRIM(B262))),
    ""dd/mm/yyyy""
  ) &amp; "" - "" &amp;
  FILTER(
    Remark!C:C,
    TRIM(Remark!B:B) = TRIM(B262),
    Remark!A:A = MAX(FILTER(Remark!A:A, TRIM(Remark!B:B) = TRIM(B262)))
  ),
  """&amp;"""
)"),"")</f>
        <v/>
      </c>
      <c r="P262" s="85" t="str">
        <f>IFERROR(__xludf.DUMMYFUNCTION("TEXTJOIN(CHAR(10), TRUE, IFERROR(
  FILTER(TEXT(Remark!A:A, ""dd/mm/yyyy"") &amp; "" - "" &amp; Remark!C:C, TRIM(Remark!B:B) = TRIM(B262)),
  """"
))"),"")</f>
        <v/>
      </c>
      <c r="Q262" s="85" t="str">
        <f>IFERROR(__xludf.DUMMYFUNCTION("IFERROR(
  FILTER(
    Remark!D:D,
    Remark!A:A = MAX(FILTER(Remark!A:A, TRIM(Remark!B:B) = TRIM(B262)))
  ),
  """"
)"),"")</f>
        <v/>
      </c>
      <c r="R262" s="86" t="str">
        <f t="shared" si="2"/>
        <v>Prepare for Showcase</v>
      </c>
      <c r="S262" s="87" t="b">
        <v>0</v>
      </c>
      <c r="U262" s="105"/>
      <c r="V262" s="105"/>
      <c r="W262" s="105"/>
      <c r="X262" s="105"/>
      <c r="Y262" s="105"/>
      <c r="Z262" s="105"/>
      <c r="AA262" s="105"/>
    </row>
    <row r="263" ht="26.25" hidden="1" customHeight="1">
      <c r="A263" s="77">
        <v>397.0</v>
      </c>
      <c r="B263" s="71" t="s">
        <v>587</v>
      </c>
      <c r="C263" s="78" t="s">
        <v>546</v>
      </c>
      <c r="D263" s="79"/>
      <c r="E263" s="79"/>
      <c r="F263" s="78" t="s">
        <v>580</v>
      </c>
      <c r="G263" s="80" t="s">
        <v>0</v>
      </c>
      <c r="H263" s="80" t="s">
        <v>100</v>
      </c>
      <c r="I263" s="100">
        <v>45906.0</v>
      </c>
      <c r="J263" s="80" t="s">
        <v>110</v>
      </c>
      <c r="K263" s="101" t="b">
        <v>0</v>
      </c>
      <c r="L263" s="94"/>
      <c r="M263" s="84">
        <f t="shared" si="1"/>
        <v>32</v>
      </c>
      <c r="N263" s="84"/>
      <c r="O263" s="85" t="str">
        <f>IFERROR(__xludf.DUMMYFUNCTION("IFERROR(
  TEXT(
    MAX(FILTER(Remark!A:A, TRIM(Remark!B:B) = TRIM(B263))),
    ""dd/mm/yyyy""
  ) &amp; "" - "" &amp;
  FILTER(
    Remark!C:C,
    TRIM(Remark!B:B) = TRIM(B263),
    Remark!A:A = MAX(FILTER(Remark!A:A, TRIM(Remark!B:B) = TRIM(B263)))
  ),
  """&amp;"""
)"),"")</f>
        <v/>
      </c>
      <c r="P263" s="85" t="str">
        <f>IFERROR(__xludf.DUMMYFUNCTION("TEXTJOIN(CHAR(10), TRUE, IFERROR(
  FILTER(TEXT(Remark!A:A, ""dd/mm/yyyy"") &amp; "" - "" &amp; Remark!C:C, TRIM(Remark!B:B) = TRIM(B263)),
  """"
))"),"")</f>
        <v/>
      </c>
      <c r="Q263" s="85" t="str">
        <f>IFERROR(__xludf.DUMMYFUNCTION("IFERROR(
  FILTER(
    Remark!D:D,
    Remark!A:A = MAX(FILTER(Remark!A:A, TRIM(Remark!B:B) = TRIM(B263)))
  ),
  """"
)"),"")</f>
        <v/>
      </c>
      <c r="R263" s="86" t="str">
        <f t="shared" si="2"/>
        <v>Starting Final Project</v>
      </c>
      <c r="S263" s="82" t="b">
        <v>0</v>
      </c>
      <c r="T263" s="88"/>
      <c r="U263" s="89">
        <v>2.0</v>
      </c>
      <c r="V263" s="89"/>
      <c r="W263" s="89"/>
      <c r="X263" s="89"/>
      <c r="Y263" s="89"/>
      <c r="Z263" s="89"/>
      <c r="AA263" s="89"/>
    </row>
    <row r="264" ht="26.25" hidden="1" customHeight="1">
      <c r="A264" s="77">
        <v>60.0</v>
      </c>
      <c r="B264" s="102" t="s">
        <v>588</v>
      </c>
      <c r="C264" s="78" t="s">
        <v>546</v>
      </c>
      <c r="D264" s="79"/>
      <c r="E264" s="79"/>
      <c r="F264" s="78" t="s">
        <v>580</v>
      </c>
      <c r="G264" s="103" t="s">
        <v>0</v>
      </c>
      <c r="H264" s="78" t="s">
        <v>119</v>
      </c>
      <c r="I264" s="104">
        <v>45612.0</v>
      </c>
      <c r="J264" s="78" t="s">
        <v>134</v>
      </c>
      <c r="K264" s="101" t="b">
        <v>1</v>
      </c>
      <c r="L264" s="83"/>
      <c r="M264" s="85">
        <f t="shared" si="1"/>
        <v>74</v>
      </c>
      <c r="N264" s="85"/>
      <c r="O264" s="85" t="str">
        <f>IFERROR(__xludf.DUMMYFUNCTION("IFERROR(
  TEXT(
    MAX(FILTER(Remark!A:A, TRIM(Remark!B:B) = TRIM(B264))),
    ""dd/mm/yyyy""
  ) &amp; "" - "" &amp;
  FILTER(
    Remark!C:C,
    TRIM(Remark!B:B) = TRIM(B264),
    Remark!A:A = MAX(FILTER(Remark!A:A, TRIM(Remark!B:B) = TRIM(B264)))
  ),
  """&amp;"""
)"),"")</f>
        <v/>
      </c>
      <c r="P264" s="85" t="str">
        <f>IFERROR(__xludf.DUMMYFUNCTION("TEXTJOIN(CHAR(10), TRUE, IFERROR(
  FILTER(TEXT(Remark!A:A, ""dd/mm/yyyy"") &amp; "" - "" &amp; Remark!C:C, TRIM(Remark!B:B) = TRIM(B264)),
  """"
))"),"")</f>
        <v/>
      </c>
      <c r="Q264" s="85" t="str">
        <f>IFERROR(__xludf.DUMMYFUNCTION("IFERROR(
  FILTER(
    Remark!D:D,
    Remark!A:A = MAX(FILTER(Remark!A:A, TRIM(Remark!B:B) = TRIM(B264)))
  ),
  """"
)"),"")</f>
        <v/>
      </c>
      <c r="R264" s="86" t="str">
        <f t="shared" si="2"/>
        <v>Prepare for Showcase</v>
      </c>
      <c r="S264" s="87" t="b">
        <v>0</v>
      </c>
      <c r="U264" s="105"/>
      <c r="V264" s="105"/>
      <c r="W264" s="105"/>
      <c r="X264" s="105"/>
      <c r="Y264" s="105"/>
      <c r="Z264" s="105"/>
      <c r="AA264" s="105"/>
    </row>
    <row r="265" ht="26.25" hidden="1" customHeight="1">
      <c r="A265" s="77">
        <v>196.0</v>
      </c>
      <c r="B265" s="109" t="s">
        <v>589</v>
      </c>
      <c r="C265" s="78" t="s">
        <v>546</v>
      </c>
      <c r="D265" s="79"/>
      <c r="E265" s="79"/>
      <c r="F265" s="107" t="s">
        <v>590</v>
      </c>
      <c r="G265" s="103" t="s">
        <v>0</v>
      </c>
      <c r="H265" s="78" t="s">
        <v>100</v>
      </c>
      <c r="I265" s="81">
        <v>45843.0</v>
      </c>
      <c r="J265" s="78" t="s">
        <v>92</v>
      </c>
      <c r="K265" s="101" t="b">
        <v>0</v>
      </c>
      <c r="L265" s="83" t="s">
        <v>591</v>
      </c>
      <c r="M265" s="85">
        <f t="shared" si="1"/>
        <v>41</v>
      </c>
      <c r="N265" s="105"/>
      <c r="O265" s="85" t="str">
        <f>IFERROR(__xludf.DUMMYFUNCTION("IFERROR(
  TEXT(
    MAX(FILTER(Remark!A:A, TRIM(Remark!B:B) = TRIM(B265))),
    ""dd/mm/yyyy""
  ) &amp; "" - "" &amp;
  FILTER(
    Remark!C:C,
    TRIM(Remark!B:B) = TRIM(B265),
    Remark!A:A = MAX(FILTER(Remark!A:A, TRIM(Remark!B:B) = TRIM(B265)))
  ),
  """&amp;"""
)"),"10/10/2025 - [Caleb]
Parents agreed to use temporary kits, also the original kits is on the way back.")</f>
        <v>10/10/2025 - [Caleb]
Parents agreed to use temporary kits, also the original kits is on the way back.</v>
      </c>
      <c r="P265" s="85" t="str">
        <f>IFERROR(__xludf.DUMMYFUNCTION("TEXTJOIN(CHAR(10), TRUE, IFERROR(
  FILTER(TEXT(Remark!A:A, ""dd/mm/yyyy"") &amp; "" - "" &amp; Remark!C:C, TRIM(Remark!B:B) = TRIM(B265)),
  """"
))"),"03/10/2025 - [Caleb]
Attendance issue.
Kits are not always with her, despite mentors and management having contacted multiple times.
10/10/2025 - [Caleb]
Parents agreed to use temporary kits, also the original kits is on the way back.")</f>
        <v>03/10/2025 - [Caleb]
Attendance issue.
Kits are not always with her, despite mentors and management having contacted multiple times.
10/10/2025 - [Caleb]
Parents agreed to use temporary kits, also the original kits is on the way back.</v>
      </c>
      <c r="Q265" s="85" t="str">
        <f>IFERROR(__xludf.DUMMYFUNCTION("IFERROR(
  FILTER(
    Remark!D:D,
    Remark!A:A = MAX(FILTER(Remark!A:A, TRIM(Remark!B:B) = TRIM(B265)))
  ),
  """"
)"),"Yes")</f>
        <v>Yes</v>
      </c>
      <c r="R265" s="86" t="str">
        <f t="shared" si="2"/>
        <v>Prepare for Showcase</v>
      </c>
      <c r="S265" s="101" t="b">
        <v>0</v>
      </c>
      <c r="T265" s="102"/>
      <c r="U265" s="105">
        <v>5.0</v>
      </c>
      <c r="V265" s="105"/>
      <c r="W265" s="105"/>
      <c r="X265" s="105"/>
      <c r="Y265" s="105"/>
      <c r="Z265" s="105"/>
      <c r="AA265" s="105"/>
    </row>
    <row r="266" ht="26.25" hidden="1" customHeight="1">
      <c r="A266" s="85">
        <v>228.0</v>
      </c>
      <c r="B266" s="106" t="s">
        <v>592</v>
      </c>
      <c r="C266" s="78" t="s">
        <v>546</v>
      </c>
      <c r="D266" s="79"/>
      <c r="E266" s="79"/>
      <c r="F266" s="107" t="s">
        <v>590</v>
      </c>
      <c r="G266" s="103" t="s">
        <v>0</v>
      </c>
      <c r="H266" s="103"/>
      <c r="I266" s="104">
        <v>45395.0</v>
      </c>
      <c r="J266" s="103" t="s">
        <v>92</v>
      </c>
      <c r="K266" s="101" t="b">
        <v>1</v>
      </c>
      <c r="L266" s="83"/>
      <c r="M266" s="85">
        <f t="shared" si="1"/>
        <v>105</v>
      </c>
      <c r="N266" s="85"/>
      <c r="O266" s="85" t="str">
        <f>IFERROR(__xludf.DUMMYFUNCTION("IFERROR(
  TEXT(
    MAX(FILTER(Remark!A:A, TRIM(Remark!B:B) = TRIM(B266))),
    ""dd/mm/yyyy""
  ) &amp; "" - "" &amp;
  FILTER(
    Remark!C:C,
    TRIM(Remark!B:B) = TRIM(B266),
    Remark!A:A = MAX(FILTER(Remark!A:A, TRIM(Remark!B:B) = TRIM(B266)))
  ),
  """&amp;"""
)"),"")</f>
        <v/>
      </c>
      <c r="P266" s="85" t="str">
        <f>IFERROR(__xludf.DUMMYFUNCTION("TEXTJOIN(CHAR(10), TRUE, IFERROR(
  FILTER(TEXT(Remark!A:A, ""dd/mm/yyyy"") &amp; "" - "" &amp; Remark!C:C, TRIM(Remark!B:B) = TRIM(B266)),
  """"
))"),"")</f>
        <v/>
      </c>
      <c r="Q266" s="85" t="str">
        <f>IFERROR(__xludf.DUMMYFUNCTION("IFERROR(
  FILTER(
    Remark!D:D,
    Remark!A:A = MAX(FILTER(Remark!A:A, TRIM(Remark!B:B) = TRIM(B266)))
  ),
  """"
)"),"")</f>
        <v/>
      </c>
      <c r="R266" s="86" t="str">
        <f t="shared" si="2"/>
        <v>Prepare for Showcase</v>
      </c>
      <c r="S266" s="101" t="b">
        <v>0</v>
      </c>
      <c r="T266" s="102"/>
      <c r="U266" s="105"/>
      <c r="V266" s="105"/>
      <c r="W266" s="105"/>
      <c r="X266" s="105"/>
      <c r="Y266" s="105"/>
      <c r="Z266" s="105"/>
      <c r="AA266" s="105"/>
    </row>
    <row r="267" ht="26.25" hidden="1" customHeight="1">
      <c r="A267" s="77">
        <v>355.0</v>
      </c>
      <c r="B267" s="71" t="s">
        <v>593</v>
      </c>
      <c r="C267" s="78" t="s">
        <v>546</v>
      </c>
      <c r="D267" s="79"/>
      <c r="E267" s="79"/>
      <c r="F267" s="78" t="s">
        <v>380</v>
      </c>
      <c r="G267" s="80" t="s">
        <v>4</v>
      </c>
      <c r="H267" s="80" t="s">
        <v>109</v>
      </c>
      <c r="I267" s="100">
        <v>45818.0</v>
      </c>
      <c r="J267" s="80" t="s">
        <v>110</v>
      </c>
      <c r="K267" s="82" t="b">
        <v>0</v>
      </c>
      <c r="L267" s="94"/>
      <c r="M267" s="84">
        <f t="shared" si="1"/>
        <v>44</v>
      </c>
      <c r="N267" s="84"/>
      <c r="O267" s="85" t="str">
        <f>IFERROR(__xludf.DUMMYFUNCTION("IFERROR(
  TEXT(
    MAX(FILTER(Remark!A:A, TRIM(Remark!B:B) = TRIM(B267))),
    ""dd/mm/yyyy""
  ) &amp; "" - "" &amp;
  FILTER(
    Remark!C:C,
    TRIM(Remark!B:B) = TRIM(B267),
    Remark!A:A = MAX(FILTER(Remark!A:A, TRIM(Remark!B:B) = TRIM(B267)))
  ),
  """&amp;"""
)"),"")</f>
        <v/>
      </c>
      <c r="P267" s="85" t="str">
        <f>IFERROR(__xludf.DUMMYFUNCTION("TEXTJOIN(CHAR(10), TRUE, IFERROR(
  FILTER(TEXT(Remark!A:A, ""dd/mm/yyyy"") &amp; "" - "" &amp; Remark!C:C, TRIM(Remark!B:B) = TRIM(B267)),
  """"
))"),"")</f>
        <v/>
      </c>
      <c r="Q267" s="85" t="str">
        <f>IFERROR(__xludf.DUMMYFUNCTION("IFERROR(
  FILTER(
    Remark!D:D,
    Remark!A:A = MAX(FILTER(Remark!A:A, TRIM(Remark!B:B) = TRIM(B267)))
  ),
  """"
)"),"")</f>
        <v/>
      </c>
      <c r="R267" s="86" t="str">
        <f t="shared" si="2"/>
        <v>Prepare for Showcase</v>
      </c>
      <c r="S267" s="82" t="b">
        <v>0</v>
      </c>
      <c r="T267" s="88"/>
      <c r="U267" s="105">
        <v>17.0</v>
      </c>
      <c r="V267" s="105"/>
      <c r="W267" s="105"/>
      <c r="X267" s="105"/>
      <c r="Y267" s="105"/>
      <c r="Z267" s="105"/>
      <c r="AA267" s="105"/>
    </row>
    <row r="268" ht="26.25" hidden="1" customHeight="1">
      <c r="A268" s="111">
        <v>143.0</v>
      </c>
      <c r="B268" s="71" t="s">
        <v>594</v>
      </c>
      <c r="C268" s="78" t="s">
        <v>546</v>
      </c>
      <c r="D268" s="79"/>
      <c r="E268" s="79"/>
      <c r="F268" s="107" t="s">
        <v>405</v>
      </c>
      <c r="G268" s="103" t="s">
        <v>6</v>
      </c>
      <c r="H268" s="78" t="s">
        <v>109</v>
      </c>
      <c r="I268" s="104">
        <v>45512.0</v>
      </c>
      <c r="J268" s="103" t="s">
        <v>186</v>
      </c>
      <c r="K268" s="101" t="b">
        <v>0</v>
      </c>
      <c r="L268" s="83"/>
      <c r="M268" s="85">
        <f t="shared" si="1"/>
        <v>88</v>
      </c>
      <c r="N268" s="85"/>
      <c r="O268" s="85" t="str">
        <f>IFERROR(__xludf.DUMMYFUNCTION("IFERROR(
  TEXT(
    MAX(FILTER(Remark!A:A, TRIM(Remark!B:B) = TRIM(B268))),
    ""dd/mm/yyyy""
  ) &amp; "" - "" &amp;
  FILTER(
    Remark!C:C,
    TRIM(Remark!B:B) = TRIM(B268),
    Remark!A:A = MAX(FILTER(Remark!A:A, TRIM(Remark!B:B) = TRIM(B268)))
  ),
  """&amp;"""
)"),"01/10/2025 - [Caleb]
No replacement classes are available for SHS.
Student shows a weak foundation, frequently copying Elnathan’s work; therefore, the mentor team separated them.
Mentor was suggested to discuss the student’s progress issues with the stude"&amp;"nt and requiring them to complete at least one page per session.")</f>
        <v>01/10/2025 - [Caleb]
No replacement classes are available for SHS.
Student shows a weak foundation, frequently copying Elnathan’s work; therefore, the mentor team separated them.
Mentor was suggested to discuss the student’s progress issues with the student and requiring them to complete at least one page per session.</v>
      </c>
      <c r="P268" s="85" t="str">
        <f>IFERROR(__xludf.DUMMYFUNCTION("TEXTJOIN(CHAR(10), TRUE, IFERROR(
  FILTER(TEXT(Remark!A:A, ""dd/mm/yyyy"") &amp; "" - "" &amp; Remark!C:C, TRIM(Remark!B:B) = TRIM(B268)),
  """"
))"),"01/10/2025 - [Caleb]
No replacement classes are available for SHS.
Student shows a weak foundation, frequently copying Elnathan’s work; therefore, the mentor team separated them.
Mentor was suggested to discuss the student’s progress issues with the stude"&amp;"nt and requiring them to complete at least one page per session.")</f>
        <v>01/10/2025 - [Caleb]
No replacement classes are available for SHS.
Student shows a weak foundation, frequently copying Elnathan’s work; therefore, the mentor team separated them.
Mentor was suggested to discuss the student’s progress issues with the student and requiring them to complete at least one page per session.</v>
      </c>
      <c r="Q268" s="85" t="str">
        <f>IFERROR(__xludf.DUMMYFUNCTION("IFERROR(
  FILTER(
    Remark!D:D,
    Remark!A:A = MAX(FILTER(Remark!A:A, TRIM(Remark!B:B) = TRIM(B268)))
  ),
  """"
)"),"No")</f>
        <v>No</v>
      </c>
      <c r="R268" s="86" t="str">
        <f t="shared" si="2"/>
        <v>Prepare for Showcase</v>
      </c>
      <c r="S268" s="101" t="b">
        <v>0</v>
      </c>
      <c r="T268" s="102"/>
      <c r="U268" s="105">
        <v>1.0</v>
      </c>
      <c r="V268" s="105"/>
      <c r="W268" s="105">
        <v>1.0</v>
      </c>
      <c r="X268" s="105"/>
      <c r="Y268" s="105"/>
      <c r="Z268" s="105"/>
      <c r="AA268" s="105"/>
    </row>
    <row r="269" ht="26.25" hidden="1" customHeight="1">
      <c r="A269" s="111">
        <v>145.0</v>
      </c>
      <c r="B269" s="106" t="s">
        <v>595</v>
      </c>
      <c r="C269" s="78" t="s">
        <v>546</v>
      </c>
      <c r="D269" s="79"/>
      <c r="E269" s="79"/>
      <c r="F269" s="107" t="s">
        <v>405</v>
      </c>
      <c r="G269" s="103" t="s">
        <v>6</v>
      </c>
      <c r="H269" s="78" t="s">
        <v>109</v>
      </c>
      <c r="I269" s="104">
        <v>45512.0</v>
      </c>
      <c r="J269" s="103" t="s">
        <v>186</v>
      </c>
      <c r="K269" s="101" t="b">
        <v>0</v>
      </c>
      <c r="L269" s="83"/>
      <c r="M269" s="85">
        <f t="shared" si="1"/>
        <v>88</v>
      </c>
      <c r="N269" s="85"/>
      <c r="O269" s="85" t="str">
        <f>IFERROR(__xludf.DUMMYFUNCTION("IFERROR(
  TEXT(
    MAX(FILTER(Remark!A:A, TRIM(Remark!B:B) = TRIM(B269))),
    ""dd/mm/yyyy""
  ) &amp; "" - "" &amp;
  FILTER(
    Remark!C:C,
    TRIM(Remark!B:B) = TRIM(B269),
    Remark!A:A = MAX(FILTER(Remark!A:A, TRIM(Remark!B:B) = TRIM(B269)))
  ),
  """&amp;"""
)"),"")</f>
        <v/>
      </c>
      <c r="P269" s="85" t="str">
        <f>IFERROR(__xludf.DUMMYFUNCTION("TEXTJOIN(CHAR(10), TRUE, IFERROR(
  FILTER(TEXT(Remark!A:A, ""dd/mm/yyyy"") &amp; "" - "" &amp; Remark!C:C, TRIM(Remark!B:B) = TRIM(B269)),
  """"
))"),"")</f>
        <v/>
      </c>
      <c r="Q269" s="85" t="str">
        <f>IFERROR(__xludf.DUMMYFUNCTION("IFERROR(
  FILTER(
    Remark!D:D,
    Remark!A:A = MAX(FILTER(Remark!A:A, TRIM(Remark!B:B) = TRIM(B269)))
  ),
  """"
)"),"")</f>
        <v/>
      </c>
      <c r="R269" s="86" t="str">
        <f t="shared" si="2"/>
        <v>Prepare for Showcase</v>
      </c>
      <c r="S269" s="101" t="b">
        <v>0</v>
      </c>
      <c r="T269" s="102"/>
      <c r="U269" s="105">
        <v>2.0</v>
      </c>
      <c r="V269" s="105"/>
      <c r="W269" s="105">
        <v>1.0</v>
      </c>
      <c r="X269" s="105"/>
      <c r="Y269" s="105"/>
      <c r="Z269" s="105"/>
      <c r="AA269" s="105"/>
    </row>
    <row r="270" ht="26.25" hidden="1" customHeight="1">
      <c r="A270" s="111">
        <v>148.0</v>
      </c>
      <c r="B270" s="106" t="s">
        <v>596</v>
      </c>
      <c r="C270" s="78" t="s">
        <v>546</v>
      </c>
      <c r="D270" s="79"/>
      <c r="E270" s="79"/>
      <c r="F270" s="107" t="s">
        <v>405</v>
      </c>
      <c r="G270" s="103" t="s">
        <v>6</v>
      </c>
      <c r="H270" s="78" t="s">
        <v>109</v>
      </c>
      <c r="I270" s="104">
        <v>45512.0</v>
      </c>
      <c r="J270" s="103" t="s">
        <v>186</v>
      </c>
      <c r="K270" s="101" t="b">
        <v>0</v>
      </c>
      <c r="L270" s="83"/>
      <c r="M270" s="85">
        <f t="shared" si="1"/>
        <v>88</v>
      </c>
      <c r="N270" s="85"/>
      <c r="O270" s="85" t="str">
        <f>IFERROR(__xludf.DUMMYFUNCTION("IFERROR(
  TEXT(
    MAX(FILTER(Remark!A:A, TRIM(Remark!B:B) = TRIM(B270))),
    ""dd/mm/yyyy""
  ) &amp; "" - "" &amp;
  FILTER(
    Remark!C:C,
    TRIM(Remark!B:B) = TRIM(B270),
    Remark!A:A = MAX(FILTER(Remark!A:A, TRIM(Remark!B:B) = TRIM(B270)))
  ),
  """&amp;"""
)"),"")</f>
        <v/>
      </c>
      <c r="P270" s="85" t="str">
        <f>IFERROR(__xludf.DUMMYFUNCTION("TEXTJOIN(CHAR(10), TRUE, IFERROR(
  FILTER(TEXT(Remark!A:A, ""dd/mm/yyyy"") &amp; "" - "" &amp; Remark!C:C, TRIM(Remark!B:B) = TRIM(B270)),
  """"
))"),"")</f>
        <v/>
      </c>
      <c r="Q270" s="85" t="str">
        <f>IFERROR(__xludf.DUMMYFUNCTION("IFERROR(
  FILTER(
    Remark!D:D,
    Remark!A:A = MAX(FILTER(Remark!A:A, TRIM(Remark!B:B) = TRIM(B270)))
  ),
  """"
)"),"")</f>
        <v/>
      </c>
      <c r="R270" s="86" t="str">
        <f t="shared" si="2"/>
        <v>Prepare for Showcase</v>
      </c>
      <c r="S270" s="101" t="b">
        <v>0</v>
      </c>
      <c r="T270" s="102"/>
      <c r="U270" s="105">
        <v>2.0</v>
      </c>
      <c r="V270" s="105"/>
      <c r="W270" s="105"/>
      <c r="X270" s="105"/>
      <c r="Y270" s="105"/>
      <c r="Z270" s="105"/>
      <c r="AA270" s="105"/>
    </row>
    <row r="271" ht="26.25" hidden="1" customHeight="1">
      <c r="A271" s="111">
        <v>264.0</v>
      </c>
      <c r="B271" s="106" t="s">
        <v>597</v>
      </c>
      <c r="C271" s="78" t="s">
        <v>546</v>
      </c>
      <c r="D271" s="79"/>
      <c r="E271" s="79"/>
      <c r="F271" s="107" t="s">
        <v>435</v>
      </c>
      <c r="G271" s="103" t="s">
        <v>598</v>
      </c>
      <c r="H271" s="78" t="s">
        <v>119</v>
      </c>
      <c r="I271" s="81">
        <v>45841.0</v>
      </c>
      <c r="J271" s="78" t="s">
        <v>92</v>
      </c>
      <c r="K271" s="101" t="b">
        <v>1</v>
      </c>
      <c r="L271" s="83"/>
      <c r="M271" s="85">
        <f t="shared" si="1"/>
        <v>41</v>
      </c>
      <c r="N271" s="85"/>
      <c r="O271" s="85" t="str">
        <f>IFERROR(__xludf.DUMMYFUNCTION("IFERROR(
  TEXT(
    MAX(FILTER(Remark!A:A, TRIM(Remark!B:B) = TRIM(B271))),
    ""dd/mm/yyyy""
  ) &amp; "" - "" &amp;
  FILTER(
    Remark!C:C,
    TRIM(Remark!B:B) = TRIM(B271),
    Remark!A:A = MAX(FILTER(Remark!A:A, TRIM(Remark!B:B) = TRIM(B271)))
  ),
  """&amp;"""
)"),"")</f>
        <v/>
      </c>
      <c r="P271" s="85" t="str">
        <f>IFERROR(__xludf.DUMMYFUNCTION("TEXTJOIN(CHAR(10), TRUE, IFERROR(
  FILTER(TEXT(Remark!A:A, ""dd/mm/yyyy"") &amp; "" - "" &amp; Remark!C:C, TRIM(Remark!B:B) = TRIM(B271)),
  """"
))"),"")</f>
        <v/>
      </c>
      <c r="Q271" s="85" t="str">
        <f>IFERROR(__xludf.DUMMYFUNCTION("IFERROR(
  FILTER(
    Remark!D:D,
    Remark!A:A = MAX(FILTER(Remark!A:A, TRIM(Remark!B:B) = TRIM(B271)))
  ),
  """"
)"),"")</f>
        <v/>
      </c>
      <c r="R271" s="86" t="str">
        <f t="shared" si="2"/>
        <v>Prepare for Showcase</v>
      </c>
      <c r="S271" s="101" t="b">
        <v>0</v>
      </c>
      <c r="T271" s="102"/>
      <c r="U271" s="105"/>
      <c r="V271" s="105"/>
      <c r="W271" s="105"/>
      <c r="X271" s="105"/>
      <c r="Y271" s="105"/>
      <c r="Z271" s="105"/>
      <c r="AA271" s="105"/>
    </row>
    <row r="272" ht="26.25" hidden="1" customHeight="1">
      <c r="A272" s="63">
        <v>453.0</v>
      </c>
      <c r="B272" s="64" t="s">
        <v>43</v>
      </c>
      <c r="C272" s="78" t="s">
        <v>546</v>
      </c>
      <c r="D272" s="112">
        <v>46086.0</v>
      </c>
      <c r="E272" s="99">
        <v>46082.0</v>
      </c>
      <c r="F272" s="78" t="s">
        <v>414</v>
      </c>
      <c r="G272" s="80" t="s">
        <v>5</v>
      </c>
      <c r="H272" s="80" t="s">
        <v>551</v>
      </c>
      <c r="I272" s="100">
        <v>46087.0</v>
      </c>
      <c r="J272" s="80" t="s">
        <v>110</v>
      </c>
      <c r="K272" s="82" t="b">
        <v>0</v>
      </c>
      <c r="L272" s="94"/>
      <c r="M272" s="84">
        <f t="shared" si="1"/>
        <v>6</v>
      </c>
      <c r="N272" s="84"/>
      <c r="O272" s="84"/>
      <c r="P272" s="84"/>
      <c r="Q272" s="84"/>
      <c r="R272" s="86" t="str">
        <f t="shared" si="2"/>
        <v>Learning</v>
      </c>
      <c r="S272" s="87" t="b">
        <v>0</v>
      </c>
      <c r="T272" s="88"/>
      <c r="U272" s="84"/>
      <c r="V272" s="89"/>
      <c r="W272" s="89"/>
      <c r="X272" s="89"/>
      <c r="Y272" s="89"/>
      <c r="Z272" s="89"/>
      <c r="AA272" s="89">
        <f t="shared" ref="AA272:AA273" si="7">sum(V272:X272)</f>
        <v>0</v>
      </c>
    </row>
    <row r="273" ht="26.25" hidden="1" customHeight="1">
      <c r="A273" s="63">
        <v>454.0</v>
      </c>
      <c r="B273" s="64" t="s">
        <v>44</v>
      </c>
      <c r="C273" s="78" t="s">
        <v>546</v>
      </c>
      <c r="D273" s="112">
        <v>46086.0</v>
      </c>
      <c r="E273" s="99">
        <v>46082.0</v>
      </c>
      <c r="F273" s="78" t="s">
        <v>414</v>
      </c>
      <c r="G273" s="80" t="s">
        <v>5</v>
      </c>
      <c r="H273" s="80" t="s">
        <v>551</v>
      </c>
      <c r="I273" s="100">
        <v>46088.0</v>
      </c>
      <c r="J273" s="80" t="s">
        <v>110</v>
      </c>
      <c r="K273" s="82" t="b">
        <v>0</v>
      </c>
      <c r="L273" s="94"/>
      <c r="M273" s="84">
        <f t="shared" si="1"/>
        <v>6</v>
      </c>
      <c r="N273" s="84"/>
      <c r="O273" s="84"/>
      <c r="P273" s="84"/>
      <c r="Q273" s="84"/>
      <c r="R273" s="86" t="str">
        <f t="shared" si="2"/>
        <v>Learning</v>
      </c>
      <c r="S273" s="87" t="b">
        <v>0</v>
      </c>
      <c r="T273" s="88"/>
      <c r="U273" s="84"/>
      <c r="V273" s="89"/>
      <c r="W273" s="89"/>
      <c r="X273" s="89"/>
      <c r="Y273" s="89"/>
      <c r="Z273" s="89"/>
      <c r="AA273" s="89">
        <f t="shared" si="7"/>
        <v>0</v>
      </c>
    </row>
    <row r="274" ht="26.25" hidden="1" customHeight="1">
      <c r="A274" s="111">
        <v>265.0</v>
      </c>
      <c r="B274" s="106" t="s">
        <v>599</v>
      </c>
      <c r="C274" s="78" t="s">
        <v>546</v>
      </c>
      <c r="D274" s="79"/>
      <c r="E274" s="79"/>
      <c r="F274" s="107" t="s">
        <v>435</v>
      </c>
      <c r="G274" s="103" t="s">
        <v>598</v>
      </c>
      <c r="H274" s="78" t="s">
        <v>91</v>
      </c>
      <c r="I274" s="81">
        <v>45960.0</v>
      </c>
      <c r="J274" s="78" t="s">
        <v>79</v>
      </c>
      <c r="K274" s="101" t="b">
        <v>1</v>
      </c>
      <c r="L274" s="83"/>
      <c r="M274" s="85">
        <f t="shared" si="1"/>
        <v>24</v>
      </c>
      <c r="N274" s="105"/>
      <c r="O274" s="85" t="str">
        <f>IFERROR(__xludf.DUMMYFUNCTION("IFERROR(
  TEXT(
    MAX(FILTER(Remark!A:A, TRIM(Remark!B:B) = TRIM(B274))),
    ""dd/mm/yyyy""
  ) &amp; "" - "" &amp;
  FILTER(
    Remark!C:C,
    TRIM(Remark!B:B) = TRIM(B274),
    Remark!A:A = MAX(FILTER(Remark!A:A, TRIM(Remark!B:B) = TRIM(B274)))
  ),
  """&amp;"""
)"),"")</f>
        <v/>
      </c>
      <c r="P274" s="85" t="str">
        <f>IFERROR(__xludf.DUMMYFUNCTION("TEXTJOIN(CHAR(10), TRUE, IFERROR(
  FILTER(TEXT(Remark!A:A, ""dd/mm/yyyy"") &amp; "" - "" &amp; Remark!C:C, TRIM(Remark!B:B) = TRIM(B274)),
  """"
))"),"")</f>
        <v/>
      </c>
      <c r="Q274" s="85" t="str">
        <f>IFERROR(__xludf.DUMMYFUNCTION("IFERROR(
  FILTER(
    Remark!D:D,
    Remark!A:A = MAX(FILTER(Remark!A:A, TRIM(Remark!B:B) = TRIM(B274)))
  ),
  """"
)"),"")</f>
        <v/>
      </c>
      <c r="R274" s="86" t="str">
        <f t="shared" si="2"/>
        <v>Learning</v>
      </c>
      <c r="S274" s="101" t="b">
        <v>0</v>
      </c>
      <c r="T274" s="102"/>
      <c r="U274" s="105"/>
      <c r="V274" s="105"/>
      <c r="W274" s="105"/>
      <c r="X274" s="105"/>
      <c r="Y274" s="105"/>
      <c r="Z274" s="105"/>
      <c r="AA274" s="105"/>
    </row>
    <row r="275" ht="26.25" hidden="1" customHeight="1">
      <c r="A275" s="77">
        <v>268.0</v>
      </c>
      <c r="B275" s="106" t="s">
        <v>600</v>
      </c>
      <c r="C275" s="78" t="s">
        <v>546</v>
      </c>
      <c r="D275" s="79"/>
      <c r="E275" s="79"/>
      <c r="F275" s="107" t="s">
        <v>435</v>
      </c>
      <c r="G275" s="103" t="s">
        <v>598</v>
      </c>
      <c r="H275" s="78" t="s">
        <v>109</v>
      </c>
      <c r="I275" s="104">
        <v>45505.0</v>
      </c>
      <c r="J275" s="103" t="s">
        <v>101</v>
      </c>
      <c r="K275" s="101" t="b">
        <v>0</v>
      </c>
      <c r="L275" s="83" t="s">
        <v>601</v>
      </c>
      <c r="M275" s="85">
        <f t="shared" si="1"/>
        <v>89</v>
      </c>
      <c r="N275" s="85"/>
      <c r="O275" s="85" t="str">
        <f>IFERROR(__xludf.DUMMYFUNCTION("IFERROR(
  TEXT(
    MAX(FILTER(Remark!A:A, TRIM(Remark!B:B) = TRIM(B275))),
    ""dd/mm/yyyy""
  ) &amp; "" - "" &amp;
  FILTER(
    Remark!C:C,
    TRIM(Remark!B:B) = TRIM(B275),
    Remark!A:A = MAX(FILTER(Remark!A:A, TRIM(Remark!B:B) = TRIM(B275)))
  ),
  """&amp;"""
)"),"")</f>
        <v/>
      </c>
      <c r="P275" s="85" t="str">
        <f>IFERROR(__xludf.DUMMYFUNCTION("TEXTJOIN(CHAR(10), TRUE, IFERROR(
  FILTER(TEXT(Remark!A:A, ""dd/mm/yyyy"") &amp; "" - "" &amp; Remark!C:C, TRIM(Remark!B:B) = TRIM(B275)),
  """"
))"),"")</f>
        <v/>
      </c>
      <c r="Q275" s="85" t="str">
        <f>IFERROR(__xludf.DUMMYFUNCTION("IFERROR(
  FILTER(
    Remark!D:D,
    Remark!A:A = MAX(FILTER(Remark!A:A, TRIM(Remark!B:B) = TRIM(B275)))
  ),
  """"
)"),"")</f>
        <v/>
      </c>
      <c r="R275" s="86" t="str">
        <f t="shared" si="2"/>
        <v>Prepare for Showcase</v>
      </c>
      <c r="S275" s="101" t="b">
        <v>0</v>
      </c>
      <c r="T275" s="102"/>
      <c r="U275" s="105">
        <v>4.0</v>
      </c>
      <c r="V275" s="105"/>
      <c r="W275" s="105"/>
      <c r="X275" s="105"/>
      <c r="Y275" s="105"/>
      <c r="Z275" s="105"/>
      <c r="AA275" s="105"/>
    </row>
    <row r="276" ht="26.25" hidden="1" customHeight="1">
      <c r="A276" s="111">
        <v>287.0</v>
      </c>
      <c r="B276" s="106" t="s">
        <v>602</v>
      </c>
      <c r="C276" s="78" t="s">
        <v>546</v>
      </c>
      <c r="D276" s="79"/>
      <c r="E276" s="79"/>
      <c r="F276" s="107" t="s">
        <v>435</v>
      </c>
      <c r="G276" s="103" t="s">
        <v>598</v>
      </c>
      <c r="H276" s="78" t="s">
        <v>91</v>
      </c>
      <c r="I276" s="104">
        <v>45568.0</v>
      </c>
      <c r="J276" s="103" t="s">
        <v>101</v>
      </c>
      <c r="K276" s="101" t="b">
        <v>1</v>
      </c>
      <c r="L276" s="83"/>
      <c r="M276" s="85">
        <f t="shared" si="1"/>
        <v>80</v>
      </c>
      <c r="N276" s="85"/>
      <c r="O276" s="85" t="str">
        <f>IFERROR(__xludf.DUMMYFUNCTION("IFERROR(
  TEXT(
    MAX(FILTER(Remark!A:A, TRIM(Remark!B:B) = TRIM(B276))),
    ""dd/mm/yyyy""
  ) &amp; "" - "" &amp;
  FILTER(
    Remark!C:C,
    TRIM(Remark!B:B) = TRIM(B276),
    Remark!A:A = MAX(FILTER(Remark!A:A, TRIM(Remark!B:B) = TRIM(B276)))
  ),
  """&amp;"""
)"),"14/10/2025 - [Caleb]
Shy and hesitant to ask the mentor when having questions.
Faces a language barrier when using the LMS.")</f>
        <v>14/10/2025 - [Caleb]
Shy and hesitant to ask the mentor when having questions.
Faces a language barrier when using the LMS.</v>
      </c>
      <c r="P276" s="85" t="str">
        <f>IFERROR(__xludf.DUMMYFUNCTION("TEXTJOIN(CHAR(10), TRUE, IFERROR(
  FILTER(TEXT(Remark!A:A, ""dd/mm/yyyy"") &amp; "" - "" &amp; Remark!C:C, TRIM(Remark!B:B) = TRIM(B276)),
  """"
))"),"14/10/2025 - [Caleb]
Shy and hesitant to ask the mentor when having questions.
Faces a language barrier when using the LMS.")</f>
        <v>14/10/2025 - [Caleb]
Shy and hesitant to ask the mentor when having questions.
Faces a language barrier when using the LMS.</v>
      </c>
      <c r="Q276" s="85" t="str">
        <f>IFERROR(__xludf.DUMMYFUNCTION("IFERROR(
  FILTER(
    Remark!D:D,
    Remark!A:A = MAX(FILTER(Remark!A:A, TRIM(Remark!B:B) = TRIM(B276)))
  ),
  """"
)"),"No")</f>
        <v>No</v>
      </c>
      <c r="R276" s="86" t="str">
        <f t="shared" si="2"/>
        <v>Prepare for Showcase</v>
      </c>
      <c r="S276" s="101" t="b">
        <v>0</v>
      </c>
      <c r="T276" s="102"/>
      <c r="U276" s="105">
        <v>1.0</v>
      </c>
      <c r="V276" s="105"/>
      <c r="W276" s="105"/>
      <c r="X276" s="105"/>
      <c r="Y276" s="105"/>
      <c r="Z276" s="105"/>
      <c r="AA276" s="105"/>
    </row>
    <row r="277" ht="26.25" hidden="1" customHeight="1">
      <c r="A277" s="111">
        <v>288.0</v>
      </c>
      <c r="B277" s="106" t="s">
        <v>603</v>
      </c>
      <c r="C277" s="78" t="s">
        <v>546</v>
      </c>
      <c r="D277" s="79"/>
      <c r="E277" s="79"/>
      <c r="F277" s="107" t="s">
        <v>435</v>
      </c>
      <c r="G277" s="103" t="s">
        <v>598</v>
      </c>
      <c r="H277" s="78" t="s">
        <v>91</v>
      </c>
      <c r="I277" s="104">
        <v>45568.0</v>
      </c>
      <c r="J277" s="103" t="s">
        <v>101</v>
      </c>
      <c r="K277" s="101" t="b">
        <v>1</v>
      </c>
      <c r="L277" s="83"/>
      <c r="M277" s="85">
        <f t="shared" si="1"/>
        <v>80</v>
      </c>
      <c r="N277" s="85"/>
      <c r="O277" s="85" t="str">
        <f>IFERROR(__xludf.DUMMYFUNCTION("IFERROR(
  TEXT(
    MAX(FILTER(Remark!A:A, TRIM(Remark!B:B) = TRIM(B277))),
    ""dd/mm/yyyy""
  ) &amp; "" - "" &amp;
  FILTER(
    Remark!C:C,
    TRIM(Remark!B:B) = TRIM(B277),
    Remark!A:A = MAX(FILTER(Remark!A:A, TRIM(Remark!B:B) = TRIM(B277)))
  ),
  """&amp;"""
)"),"14/10/2025 - [Caleb]
Often needs to help his younger brother communicate with the mentor or ask questions.
Easily gets distracted when sitting with Bernard.")</f>
        <v>14/10/2025 - [Caleb]
Often needs to help his younger brother communicate with the mentor or ask questions.
Easily gets distracted when sitting with Bernard.</v>
      </c>
      <c r="P277" s="85" t="str">
        <f>IFERROR(__xludf.DUMMYFUNCTION("TEXTJOIN(CHAR(10), TRUE, IFERROR(
  FILTER(TEXT(Remark!A:A, ""dd/mm/yyyy"") &amp; "" - "" &amp; Remark!C:C, TRIM(Remark!B:B) = TRIM(B277)),
  """"
))"),"02/10/2025 - [Caleb]
Issue with mentor changes.
Student tends to skip pages without fully understanding the content. When the mentor is not around, the student often randomly presses buttons in Scratch.
Mentor is given suggested ways to ensure the student"&amp;" fully understands the content before moving forward.
Mentor also advised to talk to the student personally about the observed issues to help the student build awareness and practice self-reflection.
14/10/2025 - [Caleb]
Often needs to help his younger br"&amp;"other communicate with the mentor or ask questions.
Easily gets distracted when sitting with Bernard.")</f>
        <v>02/10/2025 - [Caleb]
Issue with mentor changes.
Student tends to skip pages without fully understanding the content. When the mentor is not around, the student often randomly presses buttons in Scratch.
Mentor is given suggested ways to ensure the student fully understands the content before moving forward.
Mentor also advised to talk to the student personally about the observed issues to help the student build awareness and practice self-reflection.
14/10/2025 - [Caleb]
Often needs to help his younger brother communicate with the mentor or ask questions.
Easily gets distracted when sitting with Bernard.</v>
      </c>
      <c r="Q277" s="85" t="str">
        <f>IFERROR(__xludf.DUMMYFUNCTION("IFERROR(
  FILTER(
    Remark!D:D,
    Remark!A:A = MAX(FILTER(Remark!A:A, TRIM(Remark!B:B) = TRIM(B277)))
  ),
  """"
)"),"No")</f>
        <v>No</v>
      </c>
      <c r="R277" s="86" t="str">
        <f t="shared" si="2"/>
        <v>Prepare for Showcase</v>
      </c>
      <c r="S277" s="101" t="b">
        <v>0</v>
      </c>
      <c r="T277" s="102"/>
      <c r="U277" s="105">
        <v>1.0</v>
      </c>
      <c r="V277" s="105"/>
      <c r="W277" s="105"/>
      <c r="X277" s="105"/>
      <c r="Y277" s="105"/>
      <c r="Z277" s="105"/>
      <c r="AA277" s="105"/>
    </row>
    <row r="278" ht="26.25" hidden="1" customHeight="1">
      <c r="A278" s="77">
        <v>325.0</v>
      </c>
      <c r="B278" s="71" t="s">
        <v>604</v>
      </c>
      <c r="C278" s="78" t="s">
        <v>546</v>
      </c>
      <c r="D278" s="79"/>
      <c r="E278" s="79"/>
      <c r="F278" s="78" t="s">
        <v>435</v>
      </c>
      <c r="G278" s="80" t="s">
        <v>598</v>
      </c>
      <c r="H278" s="80" t="s">
        <v>109</v>
      </c>
      <c r="I278" s="100">
        <v>45722.0</v>
      </c>
      <c r="J278" s="80" t="s">
        <v>126</v>
      </c>
      <c r="K278" s="82" t="b">
        <v>1</v>
      </c>
      <c r="L278" s="94"/>
      <c r="M278" s="84">
        <f t="shared" si="1"/>
        <v>58</v>
      </c>
      <c r="N278" s="84"/>
      <c r="O278" s="85" t="str">
        <f>IFERROR(__xludf.DUMMYFUNCTION("IFERROR(
  TEXT(
    MAX(FILTER(Remark!A:A, TRIM(Remark!B:B) = TRIM(B278))),
    ""dd/mm/yyyy""
  ) &amp; "" - "" &amp;
  FILTER(
    Remark!C:C,
    TRIM(Remark!B:B) = TRIM(B278),
    Remark!A:A = MAX(FILTER(Remark!A:A, TRIM(Remark!B:B) = TRIM(B278)))
  ),
  """&amp;"""
)"),"")</f>
        <v/>
      </c>
      <c r="P278" s="85" t="str">
        <f>IFERROR(__xludf.DUMMYFUNCTION("TEXTJOIN(CHAR(10), TRUE, IFERROR(
  FILTER(TEXT(Remark!A:A, ""dd/mm/yyyy"") &amp; "" - "" &amp; Remark!C:C, TRIM(Remark!B:B) = TRIM(B278)),
  """"
))"),"")</f>
        <v/>
      </c>
      <c r="Q278" s="85" t="str">
        <f>IFERROR(__xludf.DUMMYFUNCTION("IFERROR(
  FILTER(
    Remark!D:D,
    Remark!A:A = MAX(FILTER(Remark!A:A, TRIM(Remark!B:B) = TRIM(B278)))
  ),
  """"
)"),"")</f>
        <v/>
      </c>
      <c r="R278" s="86" t="str">
        <f t="shared" si="2"/>
        <v>Prepare for Showcase</v>
      </c>
      <c r="S278" s="82" t="b">
        <v>0</v>
      </c>
      <c r="T278" s="88"/>
      <c r="U278" s="89">
        <v>6.0</v>
      </c>
      <c r="V278" s="89"/>
      <c r="W278" s="89">
        <v>1.0</v>
      </c>
      <c r="X278" s="89"/>
      <c r="Y278" s="89"/>
      <c r="Z278" s="89"/>
      <c r="AA278" s="89"/>
    </row>
    <row r="279" ht="26.25" hidden="1" customHeight="1">
      <c r="A279" s="77">
        <v>326.0</v>
      </c>
      <c r="B279" s="71" t="s">
        <v>605</v>
      </c>
      <c r="C279" s="78" t="s">
        <v>546</v>
      </c>
      <c r="D279" s="79"/>
      <c r="E279" s="79"/>
      <c r="F279" s="78" t="s">
        <v>435</v>
      </c>
      <c r="G279" s="80" t="s">
        <v>598</v>
      </c>
      <c r="H279" s="80" t="s">
        <v>109</v>
      </c>
      <c r="I279" s="100">
        <v>45722.0</v>
      </c>
      <c r="J279" s="80" t="s">
        <v>126</v>
      </c>
      <c r="K279" s="82" t="b">
        <v>1</v>
      </c>
      <c r="L279" s="94"/>
      <c r="M279" s="84">
        <f t="shared" si="1"/>
        <v>58</v>
      </c>
      <c r="N279" s="84"/>
      <c r="O279" s="85" t="str">
        <f>IFERROR(__xludf.DUMMYFUNCTION("IFERROR(
  TEXT(
    MAX(FILTER(Remark!A:A, TRIM(Remark!B:B) = TRIM(B279))),
    ""dd/mm/yyyy""
  ) &amp; "" - "" &amp;
  FILTER(
    Remark!C:C,
    TRIM(Remark!B:B) = TRIM(B279),
    Remark!A:A = MAX(FILTER(Remark!A:A, TRIM(Remark!B:B) = TRIM(B279)))
  ),
  """&amp;"""
)"),"")</f>
        <v/>
      </c>
      <c r="P279" s="85" t="str">
        <f>IFERROR(__xludf.DUMMYFUNCTION("TEXTJOIN(CHAR(10), TRUE, IFERROR(
  FILTER(TEXT(Remark!A:A, ""dd/mm/yyyy"") &amp; "" - "" &amp; Remark!C:C, TRIM(Remark!B:B) = TRIM(B279)),
  """"
))"),"")</f>
        <v/>
      </c>
      <c r="Q279" s="85" t="str">
        <f>IFERROR(__xludf.DUMMYFUNCTION("IFERROR(
  FILTER(
    Remark!D:D,
    Remark!A:A = MAX(FILTER(Remark!A:A, TRIM(Remark!B:B) = TRIM(B279)))
  ),
  """"
)"),"")</f>
        <v/>
      </c>
      <c r="R279" s="86" t="str">
        <f t="shared" si="2"/>
        <v>Prepare for Showcase</v>
      </c>
      <c r="S279" s="82" t="b">
        <v>0</v>
      </c>
      <c r="T279" s="88"/>
      <c r="U279" s="89">
        <v>5.0</v>
      </c>
      <c r="V279" s="89"/>
      <c r="W279" s="89"/>
      <c r="X279" s="89"/>
      <c r="Y279" s="89"/>
      <c r="Z279" s="89"/>
      <c r="AA279" s="89"/>
    </row>
    <row r="280" ht="26.25" hidden="1" customHeight="1">
      <c r="A280" s="77">
        <v>337.0</v>
      </c>
      <c r="B280" s="71" t="s">
        <v>606</v>
      </c>
      <c r="C280" s="78" t="s">
        <v>546</v>
      </c>
      <c r="D280" s="79"/>
      <c r="E280" s="79"/>
      <c r="F280" s="78" t="s">
        <v>435</v>
      </c>
      <c r="G280" s="80" t="s">
        <v>598</v>
      </c>
      <c r="H280" s="80" t="s">
        <v>607</v>
      </c>
      <c r="I280" s="81">
        <v>45722.0</v>
      </c>
      <c r="J280" s="80" t="s">
        <v>159</v>
      </c>
      <c r="K280" s="82" t="b">
        <v>1</v>
      </c>
      <c r="L280" s="83"/>
      <c r="M280" s="84">
        <f t="shared" si="1"/>
        <v>58</v>
      </c>
      <c r="N280" s="84"/>
      <c r="O280" s="85" t="str">
        <f>IFERROR(__xludf.DUMMYFUNCTION("IFERROR(
  TEXT(
    MAX(FILTER(Remark!A:A, TRIM(Remark!B:B) = TRIM(B280))),
    ""dd/mm/yyyy""
  ) &amp; "" - "" &amp;
  FILTER(
    Remark!C:C,
    TRIM(Remark!B:B) = TRIM(B280),
    Remark!A:A = MAX(FILTER(Remark!A:A, TRIM(Remark!B:B) = TRIM(B280)))
  ),
  """&amp;"""
)"),"23/10/2025 - [Caleb]
Requires occasional mentor support to keep moving forward.
Spent quite some time getting used to Pencil2D.")</f>
        <v>23/10/2025 - [Caleb]
Requires occasional mentor support to keep moving forward.
Spent quite some time getting used to Pencil2D.</v>
      </c>
      <c r="P280" s="85" t="str">
        <f>IFERROR(__xludf.DUMMYFUNCTION("TEXTJOIN(CHAR(10), TRUE, IFERROR(
  FILTER(TEXT(Remark!A:A, ""dd/mm/yyyy"") &amp; "" - "" &amp; Remark!C:C, TRIM(Remark!B:B) = TRIM(B280)),
  """"
))"),"23/10/2025 - [Caleb]
Requires occasional mentor support to keep moving forward.
Spent quite some time getting used to Pencil2D.")</f>
        <v>23/10/2025 - [Caleb]
Requires occasional mentor support to keep moving forward.
Spent quite some time getting used to Pencil2D.</v>
      </c>
      <c r="Q280" s="85" t="str">
        <f>IFERROR(__xludf.DUMMYFUNCTION("IFERROR(
  FILTER(
    Remark!D:D,
    Remark!A:A = MAX(FILTER(Remark!A:A, TRIM(Remark!B:B) = TRIM(B280)))
  ),
  """"
)"),"No")</f>
        <v>No</v>
      </c>
      <c r="R280" s="86" t="str">
        <f t="shared" si="2"/>
        <v>Prepare for Showcase</v>
      </c>
      <c r="S280" s="82" t="b">
        <v>0</v>
      </c>
      <c r="T280" s="88" t="s">
        <v>608</v>
      </c>
      <c r="U280" s="89">
        <v>3.0</v>
      </c>
      <c r="V280" s="89"/>
      <c r="W280" s="89"/>
      <c r="X280" s="89"/>
      <c r="Y280" s="89"/>
      <c r="Z280" s="89"/>
      <c r="AA280" s="89"/>
    </row>
    <row r="281" ht="26.25" hidden="1" customHeight="1">
      <c r="A281" s="77">
        <v>336.0</v>
      </c>
      <c r="B281" s="71" t="s">
        <v>609</v>
      </c>
      <c r="C281" s="78" t="s">
        <v>546</v>
      </c>
      <c r="D281" s="79"/>
      <c r="E281" s="79"/>
      <c r="F281" s="78" t="s">
        <v>435</v>
      </c>
      <c r="G281" s="80" t="s">
        <v>598</v>
      </c>
      <c r="H281" s="80" t="s">
        <v>109</v>
      </c>
      <c r="I281" s="81">
        <v>45722.0</v>
      </c>
      <c r="J281" s="80" t="s">
        <v>126</v>
      </c>
      <c r="K281" s="82" t="b">
        <v>1</v>
      </c>
      <c r="L281" s="94"/>
      <c r="M281" s="84">
        <f t="shared" si="1"/>
        <v>58</v>
      </c>
      <c r="N281" s="84"/>
      <c r="O281" s="85" t="str">
        <f>IFERROR(__xludf.DUMMYFUNCTION("IFERROR(
  TEXT(
    MAX(FILTER(Remark!A:A, TRIM(Remark!B:B) = TRIM(B281))),
    ""dd/mm/yyyy""
  ) &amp; "" - "" &amp;
  FILTER(
    Remark!C:C,
    TRIM(Remark!B:B) = TRIM(B281),
    Remark!A:A = MAX(FILTER(Remark!A:A, TRIM(Remark!B:B) = TRIM(B281)))
  ),
  """&amp;"""
)"),"")</f>
        <v/>
      </c>
      <c r="P281" s="85" t="str">
        <f>IFERROR(__xludf.DUMMYFUNCTION("TEXTJOIN(CHAR(10), TRUE, IFERROR(
  FILTER(TEXT(Remark!A:A, ""dd/mm/yyyy"") &amp; "" - "" &amp; Remark!C:C, TRIM(Remark!B:B) = TRIM(B281)),
  """"
))"),"")</f>
        <v/>
      </c>
      <c r="Q281" s="85" t="str">
        <f>IFERROR(__xludf.DUMMYFUNCTION("IFERROR(
  FILTER(
    Remark!D:D,
    Remark!A:A = MAX(FILTER(Remark!A:A, TRIM(Remark!B:B) = TRIM(B281)))
  ),
  """"
)"),"")</f>
        <v/>
      </c>
      <c r="R281" s="86" t="str">
        <f t="shared" si="2"/>
        <v>Prepare for Showcase</v>
      </c>
      <c r="S281" s="82" t="b">
        <v>0</v>
      </c>
      <c r="T281" s="88"/>
      <c r="U281" s="89">
        <v>3.0</v>
      </c>
      <c r="V281" s="89"/>
      <c r="W281" s="89"/>
      <c r="X281" s="89"/>
      <c r="Y281" s="89"/>
      <c r="Z281" s="89"/>
      <c r="AA281" s="89"/>
    </row>
    <row r="282" ht="26.25" hidden="1" customHeight="1">
      <c r="A282" s="35">
        <v>388.0</v>
      </c>
      <c r="B282" s="36" t="s">
        <v>610</v>
      </c>
      <c r="C282" s="40" t="s">
        <v>611</v>
      </c>
      <c r="D282" s="38">
        <v>45839.0</v>
      </c>
      <c r="E282" s="51"/>
      <c r="F282" s="40" t="s">
        <v>132</v>
      </c>
      <c r="G282" s="57" t="s">
        <v>0</v>
      </c>
      <c r="H282" s="57" t="s">
        <v>173</v>
      </c>
      <c r="I282" s="58">
        <v>45841.0</v>
      </c>
      <c r="J282" s="57" t="s">
        <v>159</v>
      </c>
      <c r="K282" s="59" t="b">
        <v>1</v>
      </c>
      <c r="L282" s="44"/>
      <c r="M282" s="61">
        <f t="shared" si="1"/>
        <v>41</v>
      </c>
      <c r="N282" s="61"/>
      <c r="O282" s="45" t="str">
        <f>IFERROR(__xludf.DUMMYFUNCTION("IFERROR(
  TEXT(
    MAX(FILTER(Remark!A:A, TRIM(Remark!B:B) = TRIM(B282))),
    ""dd/mm/yyyy""
  ) &amp; "" - "" &amp;
  FILTER(
    Remark!C:C,
    TRIM(Remark!B:B) = TRIM(B282),
    Remark!A:A = MAX(FILTER(Remark!A:A, TRIM(Remark!B:B) = TRIM(B282)))
  ),
  """&amp;"""
)"),"15/10/2025 - [Caleb]
Mentor’s Comment: Esme has many ideas to work on during the learning process.
My Comment: This is great, as it shows that the student has a positive learning attitude. However, the mentor is advised to help Esme stay focused on her pr"&amp;"ogress while still allowing her creativity to shine during each project submission.")</f>
        <v>15/10/2025 - [Caleb]
Mentor’s Comment: Esme has many ideas to work on during the learning process.
My Comment: This is great, as it shows that the student has a positive learning attitude. However, the mentor is advised to help Esme stay focused on her progress while still allowing her creativity to shine during each project submission.</v>
      </c>
      <c r="P282" s="45" t="str">
        <f>IFERROR(__xludf.DUMMYFUNCTION("TEXTJOIN(CHAR(10), TRUE, IFERROR(
  FILTER(TEXT(Remark!A:A, ""dd/mm/yyyy"") &amp; "" - "" &amp; Remark!C:C, TRIM(Remark!B:B) = TRIM(B282)),
  """"
))"),"15/10/2025 - [Caleb]
Mentor’s Comment: Esme has many ideas to work on during the learning process.
My Comment: This is great, as it shows that the student has a positive learning attitude. However, the mentor is advised to help Esme stay focused on her pr"&amp;"ogress while still allowing her creativity to shine during each project submission.")</f>
        <v>15/10/2025 - [Caleb]
Mentor’s Comment: Esme has many ideas to work on during the learning process.
My Comment: This is great, as it shows that the student has a positive learning attitude. However, the mentor is advised to help Esme stay focused on her progress while still allowing her creativity to shine during each project submission.</v>
      </c>
      <c r="Q282" s="45" t="str">
        <f>IFERROR(__xludf.DUMMYFUNCTION("IFERROR(
  FILTER(
    Remark!D:D,
    Remark!A:A = MAX(FILTER(Remark!A:A, TRIM(Remark!B:B) = TRIM(B282)))
  ),
  """"
)"),"No")</f>
        <v>No</v>
      </c>
      <c r="R282" s="46" t="str">
        <f t="shared" si="2"/>
        <v>Prepare for Showcase</v>
      </c>
      <c r="S282" s="43" t="b">
        <v>1</v>
      </c>
      <c r="T282" s="52" t="s">
        <v>612</v>
      </c>
      <c r="U282" s="62">
        <v>3.0</v>
      </c>
      <c r="V282" s="62"/>
      <c r="W282" s="62">
        <v>1.0</v>
      </c>
      <c r="X282" s="62">
        <v>1.0</v>
      </c>
      <c r="Y282" s="62"/>
      <c r="Z282" s="62"/>
      <c r="AA282" s="49">
        <f>sum(V282:Z282)</f>
        <v>2</v>
      </c>
    </row>
    <row r="283" ht="26.25" hidden="1" customHeight="1">
      <c r="A283" s="66">
        <v>422.0</v>
      </c>
      <c r="B283" s="36" t="s">
        <v>37</v>
      </c>
      <c r="C283" s="40" t="s">
        <v>546</v>
      </c>
      <c r="D283" s="54">
        <v>46035.0</v>
      </c>
      <c r="E283" s="90">
        <v>46113.0</v>
      </c>
      <c r="F283" s="40" t="s">
        <v>540</v>
      </c>
      <c r="G283" s="40" t="s">
        <v>7</v>
      </c>
      <c r="H283" s="40" t="s">
        <v>109</v>
      </c>
      <c r="I283" s="42">
        <v>46036.0</v>
      </c>
      <c r="J283" s="40" t="s">
        <v>159</v>
      </c>
      <c r="K283" s="43" t="b">
        <v>0</v>
      </c>
      <c r="L283" s="44"/>
      <c r="M283" s="45">
        <f t="shared" si="1"/>
        <v>13</v>
      </c>
      <c r="N283" s="49"/>
      <c r="O283" s="45" t="str">
        <f>IFERROR(__xludf.DUMMYFUNCTION("IFERROR(
  TEXT(
    MAX(FILTER(Remark!A:A, TRIM(Remark!B:B) = TRIM(B283))),
    ""dd/mm/yyyy""
  ) &amp; "" - "" &amp;
  FILTER(
    Remark!C:C,
    TRIM(Remark!B:B) = TRIM(B283),
    Remark!A:A = MAX(FILTER(Remark!A:A, TRIM(Remark!B:B) = TRIM(B283)))
  ),
  """&amp;"""
)"),"")</f>
        <v/>
      </c>
      <c r="P283" s="45" t="str">
        <f>IFERROR(__xludf.DUMMYFUNCTION("TEXTJOIN(CHAR(10), TRUE, IFERROR(
  FILTER(TEXT(Remark!A:A, ""dd/mm/yyyy"") &amp; "" - "" &amp; Remark!C:C, TRIM(Remark!B:B) = TRIM(B283)),
  """"
))"),"")</f>
        <v/>
      </c>
      <c r="Q283" s="45" t="str">
        <f>IFERROR(__xludf.DUMMYFUNCTION("IFERROR(
  FILTER(
    Remark!D:D,
    Remark!A:A = MAX(FILTER(Remark!A:A, TRIM(Remark!B:B) = TRIM(B283)))
  ),
  """"
)"),"")</f>
        <v/>
      </c>
      <c r="R283" s="46" t="str">
        <f t="shared" si="2"/>
        <v>Learning</v>
      </c>
      <c r="S283" s="47"/>
      <c r="T283" s="48" t="s">
        <v>613</v>
      </c>
      <c r="U283" s="49"/>
      <c r="V283" s="49">
        <v>1.0</v>
      </c>
      <c r="W283" s="49"/>
      <c r="X283" s="49">
        <v>1.0</v>
      </c>
      <c r="Y283" s="49"/>
      <c r="Z283" s="49"/>
      <c r="AA283" s="49">
        <f t="shared" ref="AA283:AA284" si="8">sum(V283:X283)</f>
        <v>2</v>
      </c>
    </row>
    <row r="284" ht="26.25" hidden="1" customHeight="1">
      <c r="A284" s="66">
        <v>471.0</v>
      </c>
      <c r="B284" s="70" t="s">
        <v>614</v>
      </c>
      <c r="C284" s="40" t="s">
        <v>611</v>
      </c>
      <c r="D284" s="69">
        <v>46085.0</v>
      </c>
      <c r="E284" s="51"/>
      <c r="F284" s="40" t="s">
        <v>557</v>
      </c>
      <c r="G284" s="57" t="s">
        <v>0</v>
      </c>
      <c r="H284" s="57" t="s">
        <v>91</v>
      </c>
      <c r="I284" s="42">
        <v>46085.0</v>
      </c>
      <c r="J284" s="57" t="s">
        <v>79</v>
      </c>
      <c r="K284" s="59" t="b">
        <v>0</v>
      </c>
      <c r="L284" s="44"/>
      <c r="M284" s="61">
        <f t="shared" si="1"/>
        <v>6</v>
      </c>
      <c r="N284" s="61"/>
      <c r="O284" s="45" t="str">
        <f>IFERROR(__xludf.DUMMYFUNCTION("IFERROR(
  TEXT(
    MAX(FILTER(Remark!A:A, TRIM(Remark!B:B) = TRIM(B284))),
    ""dd/mm/yyyy""
  ) &amp; "" - "" &amp;
  FILTER(
    Remark!C:C,
    TRIM(Remark!B:B) = TRIM(B284),
    Remark!A:A = MAX(FILTER(Remark!A:A, TRIM(Remark!B:B) = TRIM(B284)))
  ),
  """&amp;"""
)"),"")</f>
        <v/>
      </c>
      <c r="P284" s="45" t="str">
        <f>IFERROR(__xludf.DUMMYFUNCTION("TEXTJOIN(CHAR(10), TRUE, IFERROR(
  FILTER(TEXT(Remark!A:A, ""dd/mm/yyyy"") &amp; "" - "" &amp; Remark!C:C, TRIM(Remark!B:B) = TRIM(B284)),
  """"
))"),"")</f>
        <v/>
      </c>
      <c r="Q284" s="45" t="str">
        <f>IFERROR(__xludf.DUMMYFUNCTION("IFERROR(
  FILTER(
    Remark!D:D,
    Remark!A:A = MAX(FILTER(Remark!A:A, TRIM(Remark!B:B) = TRIM(B284)))
  ),
  """"
)"),"")</f>
        <v/>
      </c>
      <c r="R284" s="46" t="str">
        <f t="shared" si="2"/>
        <v>Learning</v>
      </c>
      <c r="S284" s="47" t="b">
        <v>0</v>
      </c>
      <c r="T284" s="52"/>
      <c r="U284" s="62"/>
      <c r="V284" s="62"/>
      <c r="W284" s="62"/>
      <c r="X284" s="62"/>
      <c r="Y284" s="62"/>
      <c r="Z284" s="62"/>
      <c r="AA284" s="62">
        <f t="shared" si="8"/>
        <v>0</v>
      </c>
    </row>
    <row r="285" ht="26.25" hidden="1" customHeight="1">
      <c r="A285" s="95">
        <v>487.0</v>
      </c>
      <c r="B285" s="96" t="s">
        <v>615</v>
      </c>
      <c r="C285" s="78" t="s">
        <v>611</v>
      </c>
      <c r="D285" s="69">
        <v>46122.0</v>
      </c>
      <c r="E285" s="69">
        <v>46122.0</v>
      </c>
      <c r="F285" s="40" t="s">
        <v>512</v>
      </c>
      <c r="G285" s="80" t="s">
        <v>8</v>
      </c>
      <c r="H285" s="80" t="s">
        <v>181</v>
      </c>
      <c r="I285" s="81">
        <v>46122.0</v>
      </c>
      <c r="J285" s="57" t="s">
        <v>101</v>
      </c>
      <c r="K285" s="82" t="b">
        <v>0</v>
      </c>
      <c r="L285" s="94"/>
      <c r="M285" s="84">
        <f t="shared" si="1"/>
        <v>1</v>
      </c>
      <c r="N285" s="84"/>
      <c r="O285" s="84"/>
      <c r="P285" s="84"/>
      <c r="Q285" s="84"/>
      <c r="R285" s="86" t="str">
        <f t="shared" si="2"/>
        <v>Learning</v>
      </c>
      <c r="S285" s="82" t="b">
        <v>0</v>
      </c>
      <c r="T285" s="88" t="s">
        <v>616</v>
      </c>
      <c r="U285" s="84"/>
      <c r="V285" s="84"/>
      <c r="W285" s="84"/>
      <c r="X285" s="84"/>
      <c r="Y285" s="84"/>
      <c r="Z285" s="84"/>
      <c r="AA285" s="84"/>
    </row>
    <row r="286" ht="26.25" hidden="1" customHeight="1">
      <c r="A286" s="92">
        <v>496.0</v>
      </c>
      <c r="B286" s="75" t="s">
        <v>41</v>
      </c>
      <c r="C286" s="78" t="s">
        <v>611</v>
      </c>
      <c r="D286" s="69">
        <v>46122.0</v>
      </c>
      <c r="E286" s="69">
        <v>46122.0</v>
      </c>
      <c r="F286" s="40" t="s">
        <v>512</v>
      </c>
      <c r="G286" s="80" t="s">
        <v>8</v>
      </c>
      <c r="H286" s="80" t="s">
        <v>181</v>
      </c>
      <c r="I286" s="81">
        <v>46122.0</v>
      </c>
      <c r="J286" s="57" t="s">
        <v>101</v>
      </c>
      <c r="K286" s="82" t="b">
        <v>0</v>
      </c>
      <c r="L286" s="94"/>
      <c r="M286" s="84">
        <f t="shared" si="1"/>
        <v>1</v>
      </c>
      <c r="N286" s="84"/>
      <c r="O286" s="84"/>
      <c r="P286" s="84"/>
      <c r="Q286" s="84"/>
      <c r="R286" s="86" t="str">
        <f t="shared" si="2"/>
        <v>Learning</v>
      </c>
      <c r="S286" s="82" t="b">
        <v>0</v>
      </c>
      <c r="T286" s="88"/>
      <c r="U286" s="84"/>
      <c r="V286" s="84"/>
      <c r="W286" s="84"/>
      <c r="X286" s="84"/>
      <c r="Y286" s="84"/>
      <c r="Z286" s="84"/>
      <c r="AA286" s="84"/>
    </row>
    <row r="287" ht="26.25" hidden="1" customHeight="1">
      <c r="A287" s="111">
        <v>119.0</v>
      </c>
      <c r="B287" s="106" t="s">
        <v>617</v>
      </c>
      <c r="C287" s="78" t="s">
        <v>611</v>
      </c>
      <c r="D287" s="79"/>
      <c r="E287" s="79"/>
      <c r="F287" s="107" t="s">
        <v>540</v>
      </c>
      <c r="G287" s="103" t="s">
        <v>7</v>
      </c>
      <c r="H287" s="78" t="s">
        <v>109</v>
      </c>
      <c r="I287" s="104">
        <v>45476.0</v>
      </c>
      <c r="J287" s="103" t="s">
        <v>126</v>
      </c>
      <c r="K287" s="101" t="b">
        <v>1</v>
      </c>
      <c r="L287" s="83"/>
      <c r="M287" s="85">
        <f t="shared" si="1"/>
        <v>93</v>
      </c>
      <c r="N287" s="85"/>
      <c r="O287" s="85" t="str">
        <f>IFERROR(__xludf.DUMMYFUNCTION("IFERROR(
  TEXT(
    MAX(FILTER(Remark!A:A, TRIM(Remark!B:B) = TRIM(B287))),
    ""dd/mm/yyyy""
  ) &amp; "" - "" &amp;
  FILTER(
    Remark!C:C,
    TRIM(Remark!B:B) = TRIM(B287),
    Remark!A:A = MAX(FILTER(Remark!A:A, TRIM(Remark!B:B) = TRIM(B287)))
  ),
  """&amp;"""
)"),"")</f>
        <v/>
      </c>
      <c r="P287" s="85" t="str">
        <f>IFERROR(__xludf.DUMMYFUNCTION("TEXTJOIN(CHAR(10), TRUE, IFERROR(
  FILTER(TEXT(Remark!A:A, ""dd/mm/yyyy"") &amp; "" - "" &amp; Remark!C:C, TRIM(Remark!B:B) = TRIM(B287)),
  """"
))"),"")</f>
        <v/>
      </c>
      <c r="Q287" s="85" t="str">
        <f>IFERROR(__xludf.DUMMYFUNCTION("IFERROR(
  FILTER(
    Remark!D:D,
    Remark!A:A = MAX(FILTER(Remark!A:A, TRIM(Remark!B:B) = TRIM(B287)))
  ),
  """"
)"),"")</f>
        <v/>
      </c>
      <c r="R287" s="86" t="str">
        <f t="shared" si="2"/>
        <v>Prepare for Showcase</v>
      </c>
      <c r="S287" s="87" t="b">
        <v>0</v>
      </c>
      <c r="U287" s="105">
        <v>1.0</v>
      </c>
      <c r="V287" s="105"/>
      <c r="W287" s="105"/>
      <c r="X287" s="105"/>
      <c r="Y287" s="105"/>
      <c r="Z287" s="105"/>
      <c r="AA287" s="105"/>
    </row>
    <row r="288" ht="26.25" hidden="1" customHeight="1">
      <c r="A288" s="111">
        <v>210.0</v>
      </c>
      <c r="B288" s="106" t="s">
        <v>618</v>
      </c>
      <c r="C288" s="78" t="s">
        <v>611</v>
      </c>
      <c r="D288" s="79"/>
      <c r="E288" s="79"/>
      <c r="F288" s="107" t="s">
        <v>540</v>
      </c>
      <c r="G288" s="103" t="s">
        <v>7</v>
      </c>
      <c r="H288" s="78" t="s">
        <v>109</v>
      </c>
      <c r="I288" s="104">
        <v>45518.0</v>
      </c>
      <c r="J288" s="103" t="s">
        <v>126</v>
      </c>
      <c r="K288" s="101" t="b">
        <v>1</v>
      </c>
      <c r="L288" s="83"/>
      <c r="M288" s="85">
        <f t="shared" si="1"/>
        <v>87</v>
      </c>
      <c r="N288" s="85"/>
      <c r="O288" s="85" t="str">
        <f>IFERROR(__xludf.DUMMYFUNCTION("IFERROR(
  TEXT(
    MAX(FILTER(Remark!A:A, TRIM(Remark!B:B) = TRIM(B288))),
    ""dd/mm/yyyy""
  ) &amp; "" - "" &amp;
  FILTER(
    Remark!C:C,
    TRIM(Remark!B:B) = TRIM(B288),
    Remark!A:A = MAX(FILTER(Remark!A:A, TRIM(Remark!B:B) = TRIM(B288)))
  ),
  """&amp;"""
)"),"")</f>
        <v/>
      </c>
      <c r="P288" s="85" t="str">
        <f>IFERROR(__xludf.DUMMYFUNCTION("TEXTJOIN(CHAR(10), TRUE, IFERROR(
  FILTER(TEXT(Remark!A:A, ""dd/mm/yyyy"") &amp; "" - "" &amp; Remark!C:C, TRIM(Remark!B:B) = TRIM(B288)),
  """"
))"),"")</f>
        <v/>
      </c>
      <c r="Q288" s="85" t="str">
        <f>IFERROR(__xludf.DUMMYFUNCTION("IFERROR(
  FILTER(
    Remark!D:D,
    Remark!A:A = MAX(FILTER(Remark!A:A, TRIM(Remark!B:B) = TRIM(B288)))
  ),
  """"
)"),"")</f>
        <v/>
      </c>
      <c r="R288" s="86" t="str">
        <f t="shared" si="2"/>
        <v>Prepare for Showcase</v>
      </c>
      <c r="S288" s="101" t="b">
        <v>0</v>
      </c>
      <c r="T288" s="102"/>
      <c r="U288" s="105"/>
      <c r="V288" s="105"/>
      <c r="W288" s="105"/>
      <c r="X288" s="105"/>
      <c r="Y288" s="105"/>
      <c r="Z288" s="105"/>
      <c r="AA288" s="105"/>
    </row>
    <row r="289" ht="26.25" hidden="1" customHeight="1">
      <c r="A289" s="111">
        <v>216.0</v>
      </c>
      <c r="B289" s="106" t="s">
        <v>619</v>
      </c>
      <c r="C289" s="78" t="s">
        <v>611</v>
      </c>
      <c r="D289" s="79"/>
      <c r="E289" s="79"/>
      <c r="F289" s="107" t="s">
        <v>540</v>
      </c>
      <c r="G289" s="103" t="s">
        <v>7</v>
      </c>
      <c r="H289" s="78" t="s">
        <v>109</v>
      </c>
      <c r="I289" s="81">
        <v>45707.0</v>
      </c>
      <c r="J289" s="78" t="s">
        <v>79</v>
      </c>
      <c r="K289" s="101" t="b">
        <v>1</v>
      </c>
      <c r="L289" s="83"/>
      <c r="M289" s="85">
        <f t="shared" si="1"/>
        <v>60</v>
      </c>
      <c r="N289" s="105"/>
      <c r="O289" s="85" t="str">
        <f>IFERROR(__xludf.DUMMYFUNCTION("IFERROR(
  TEXT(
    MAX(FILTER(Remark!A:A, TRIM(Remark!B:B) = TRIM(B289))),
    ""dd/mm/yyyy""
  ) &amp; "" - "" &amp;
  FILTER(
    Remark!C:C,
    TRIM(Remark!B:B) = TRIM(B289),
    Remark!A:A = MAX(FILTER(Remark!A:A, TRIM(Remark!B:B) = TRIM(B289)))
  ),
  """&amp;"""
)"),"")</f>
        <v/>
      </c>
      <c r="P289" s="85" t="str">
        <f>IFERROR(__xludf.DUMMYFUNCTION("TEXTJOIN(CHAR(10), TRUE, IFERROR(
  FILTER(TEXT(Remark!A:A, ""dd/mm/yyyy"") &amp; "" - "" &amp; Remark!C:C, TRIM(Remark!B:B) = TRIM(B289)),
  """"
))"),"")</f>
        <v/>
      </c>
      <c r="Q289" s="85" t="str">
        <f>IFERROR(__xludf.DUMMYFUNCTION("IFERROR(
  FILTER(
    Remark!D:D,
    Remark!A:A = MAX(FILTER(Remark!A:A, TRIM(Remark!B:B) = TRIM(B289)))
  ),
  """"
)"),"")</f>
        <v/>
      </c>
      <c r="R289" s="86" t="str">
        <f t="shared" si="2"/>
        <v>Prepare for Showcase</v>
      </c>
      <c r="S289" s="101" t="b">
        <v>0</v>
      </c>
      <c r="T289" s="102"/>
      <c r="U289" s="105">
        <v>1.0</v>
      </c>
      <c r="V289" s="105"/>
      <c r="W289" s="105"/>
      <c r="X289" s="105"/>
      <c r="Y289" s="105"/>
      <c r="Z289" s="105"/>
      <c r="AA289" s="105"/>
    </row>
    <row r="290" ht="26.25" hidden="1" customHeight="1">
      <c r="A290" s="85"/>
      <c r="B290" s="106"/>
      <c r="C290" s="103"/>
      <c r="D290" s="93"/>
      <c r="E290" s="93"/>
      <c r="F290" s="103"/>
      <c r="G290" s="113"/>
      <c r="H290" s="113"/>
      <c r="I290" s="100"/>
      <c r="J290" s="113"/>
      <c r="K290" s="82" t="b">
        <v>0</v>
      </c>
      <c r="L290" s="94"/>
      <c r="M290" s="84">
        <f t="shared" si="1"/>
        <v>6590</v>
      </c>
      <c r="N290" s="84"/>
      <c r="O290" s="84"/>
      <c r="P290" s="84"/>
      <c r="Q290" s="84"/>
      <c r="R290" s="86" t="str">
        <f t="shared" si="2"/>
        <v>Prepare for Showcase</v>
      </c>
      <c r="S290" s="82" t="b">
        <v>0</v>
      </c>
      <c r="T290" s="88"/>
      <c r="U290" s="84"/>
      <c r="V290" s="84"/>
      <c r="W290" s="84"/>
      <c r="X290" s="84"/>
      <c r="Y290" s="84"/>
      <c r="Z290" s="84"/>
      <c r="AA290" s="84"/>
    </row>
    <row r="291" ht="26.25" hidden="1" customHeight="1">
      <c r="A291" s="85"/>
      <c r="B291" s="106"/>
      <c r="C291" s="103"/>
      <c r="D291" s="93"/>
      <c r="E291" s="93"/>
      <c r="F291" s="103"/>
      <c r="G291" s="113"/>
      <c r="H291" s="113"/>
      <c r="I291" s="100"/>
      <c r="J291" s="113"/>
      <c r="K291" s="82" t="b">
        <v>0</v>
      </c>
      <c r="L291" s="94"/>
      <c r="M291" s="84">
        <f t="shared" si="1"/>
        <v>6590</v>
      </c>
      <c r="N291" s="84"/>
      <c r="O291" s="84"/>
      <c r="P291" s="84"/>
      <c r="Q291" s="84"/>
      <c r="R291" s="86" t="str">
        <f t="shared" si="2"/>
        <v>Prepare for Showcase</v>
      </c>
      <c r="S291" s="82" t="b">
        <v>0</v>
      </c>
      <c r="T291" s="88"/>
      <c r="U291" s="84"/>
      <c r="V291" s="84"/>
      <c r="W291" s="84"/>
      <c r="X291" s="84"/>
      <c r="Y291" s="84"/>
      <c r="Z291" s="84"/>
      <c r="AA291" s="84"/>
    </row>
    <row r="292" ht="26.25" hidden="1" customHeight="1">
      <c r="A292" s="85"/>
      <c r="B292" s="106"/>
      <c r="C292" s="103"/>
      <c r="D292" s="93"/>
      <c r="E292" s="93"/>
      <c r="F292" s="103"/>
      <c r="G292" s="113"/>
      <c r="H292" s="113"/>
      <c r="I292" s="100"/>
      <c r="J292" s="113"/>
      <c r="K292" s="82" t="b">
        <v>0</v>
      </c>
      <c r="L292" s="94"/>
      <c r="M292" s="84">
        <f t="shared" si="1"/>
        <v>6590</v>
      </c>
      <c r="N292" s="84"/>
      <c r="O292" s="84"/>
      <c r="P292" s="84"/>
      <c r="Q292" s="84"/>
      <c r="R292" s="86" t="str">
        <f t="shared" si="2"/>
        <v>Prepare for Showcase</v>
      </c>
      <c r="S292" s="82" t="b">
        <v>0</v>
      </c>
      <c r="T292" s="88"/>
      <c r="U292" s="84"/>
      <c r="V292" s="84"/>
      <c r="W292" s="84"/>
      <c r="X292" s="84"/>
      <c r="Y292" s="84"/>
      <c r="Z292" s="84"/>
      <c r="AA292" s="84"/>
    </row>
    <row r="293" ht="26.25" hidden="1" customHeight="1">
      <c r="A293" s="85"/>
      <c r="B293" s="106"/>
      <c r="C293" s="103"/>
      <c r="D293" s="93"/>
      <c r="E293" s="93"/>
      <c r="F293" s="103"/>
      <c r="G293" s="113"/>
      <c r="H293" s="113"/>
      <c r="I293" s="100"/>
      <c r="J293" s="113"/>
      <c r="K293" s="82" t="b">
        <v>0</v>
      </c>
      <c r="L293" s="94"/>
      <c r="M293" s="84">
        <f t="shared" si="1"/>
        <v>6590</v>
      </c>
      <c r="N293" s="84"/>
      <c r="O293" s="84"/>
      <c r="P293" s="84"/>
      <c r="Q293" s="84"/>
      <c r="R293" s="86" t="str">
        <f t="shared" si="2"/>
        <v>Prepare for Showcase</v>
      </c>
      <c r="S293" s="82" t="b">
        <v>0</v>
      </c>
      <c r="T293" s="88"/>
      <c r="U293" s="84"/>
      <c r="V293" s="84"/>
      <c r="W293" s="84"/>
      <c r="X293" s="84"/>
      <c r="Y293" s="84"/>
      <c r="Z293" s="84"/>
      <c r="AA293" s="84"/>
    </row>
    <row r="294" ht="26.25" hidden="1" customHeight="1">
      <c r="A294" s="85"/>
      <c r="B294" s="106"/>
      <c r="C294" s="103"/>
      <c r="D294" s="93"/>
      <c r="E294" s="93"/>
      <c r="F294" s="103"/>
      <c r="G294" s="113"/>
      <c r="H294" s="113"/>
      <c r="I294" s="100"/>
      <c r="J294" s="113"/>
      <c r="K294" s="82" t="b">
        <v>0</v>
      </c>
      <c r="L294" s="94"/>
      <c r="M294" s="84">
        <f t="shared" si="1"/>
        <v>6590</v>
      </c>
      <c r="N294" s="84"/>
      <c r="O294" s="84"/>
      <c r="P294" s="84"/>
      <c r="Q294" s="84"/>
      <c r="R294" s="86" t="str">
        <f t="shared" si="2"/>
        <v>Prepare for Showcase</v>
      </c>
      <c r="S294" s="82" t="b">
        <v>0</v>
      </c>
      <c r="T294" s="88"/>
      <c r="U294" s="84"/>
      <c r="V294" s="84"/>
      <c r="W294" s="84"/>
      <c r="X294" s="84"/>
      <c r="Y294" s="84"/>
      <c r="Z294" s="84"/>
      <c r="AA294" s="84"/>
    </row>
    <row r="295" ht="26.25" hidden="1" customHeight="1">
      <c r="A295" s="85"/>
      <c r="B295" s="106"/>
      <c r="C295" s="103"/>
      <c r="D295" s="93"/>
      <c r="E295" s="93"/>
      <c r="F295" s="103"/>
      <c r="G295" s="113"/>
      <c r="H295" s="113"/>
      <c r="I295" s="100"/>
      <c r="J295" s="113"/>
      <c r="K295" s="82" t="b">
        <v>0</v>
      </c>
      <c r="L295" s="94"/>
      <c r="M295" s="84">
        <f t="shared" si="1"/>
        <v>6590</v>
      </c>
      <c r="N295" s="84"/>
      <c r="O295" s="84"/>
      <c r="P295" s="84"/>
      <c r="Q295" s="84"/>
      <c r="R295" s="86" t="str">
        <f t="shared" si="2"/>
        <v>Prepare for Showcase</v>
      </c>
      <c r="S295" s="82" t="b">
        <v>0</v>
      </c>
      <c r="T295" s="88"/>
      <c r="U295" s="84"/>
      <c r="V295" s="84"/>
      <c r="W295" s="84"/>
      <c r="X295" s="84"/>
      <c r="Y295" s="84"/>
      <c r="Z295" s="84"/>
      <c r="AA295" s="84"/>
    </row>
    <row r="296" ht="26.25" hidden="1" customHeight="1">
      <c r="A296" s="85"/>
      <c r="B296" s="106"/>
      <c r="C296" s="103"/>
      <c r="D296" s="93"/>
      <c r="E296" s="93"/>
      <c r="F296" s="103"/>
      <c r="G296" s="113"/>
      <c r="H296" s="113"/>
      <c r="I296" s="100"/>
      <c r="J296" s="113"/>
      <c r="K296" s="82" t="b">
        <v>0</v>
      </c>
      <c r="L296" s="94"/>
      <c r="M296" s="84">
        <f t="shared" si="1"/>
        <v>6590</v>
      </c>
      <c r="N296" s="84"/>
      <c r="O296" s="84"/>
      <c r="P296" s="84"/>
      <c r="Q296" s="84"/>
      <c r="R296" s="86" t="str">
        <f t="shared" si="2"/>
        <v>Prepare for Showcase</v>
      </c>
      <c r="S296" s="82" t="b">
        <v>0</v>
      </c>
      <c r="T296" s="88"/>
      <c r="U296" s="84"/>
      <c r="V296" s="84"/>
      <c r="W296" s="84"/>
      <c r="X296" s="84"/>
      <c r="Y296" s="84"/>
      <c r="Z296" s="84"/>
      <c r="AA296" s="84"/>
    </row>
    <row r="297" ht="26.25" hidden="1" customHeight="1">
      <c r="A297" s="85"/>
      <c r="B297" s="106"/>
      <c r="C297" s="103"/>
      <c r="D297" s="93"/>
      <c r="E297" s="93"/>
      <c r="F297" s="103"/>
      <c r="G297" s="113"/>
      <c r="H297" s="113"/>
      <c r="I297" s="100"/>
      <c r="J297" s="113"/>
      <c r="K297" s="82" t="b">
        <v>0</v>
      </c>
      <c r="L297" s="94"/>
      <c r="M297" s="84">
        <f t="shared" si="1"/>
        <v>6590</v>
      </c>
      <c r="N297" s="84"/>
      <c r="O297" s="84"/>
      <c r="P297" s="84"/>
      <c r="Q297" s="84"/>
      <c r="R297" s="86" t="str">
        <f t="shared" si="2"/>
        <v>Prepare for Showcase</v>
      </c>
      <c r="S297" s="82" t="b">
        <v>0</v>
      </c>
      <c r="T297" s="88"/>
      <c r="U297" s="84"/>
      <c r="V297" s="84"/>
      <c r="W297" s="84"/>
      <c r="X297" s="84"/>
      <c r="Y297" s="84"/>
      <c r="Z297" s="84"/>
      <c r="AA297" s="84"/>
    </row>
    <row r="298" ht="26.25" hidden="1" customHeight="1">
      <c r="A298" s="85"/>
      <c r="B298" s="106"/>
      <c r="C298" s="103"/>
      <c r="D298" s="93"/>
      <c r="E298" s="93"/>
      <c r="F298" s="103"/>
      <c r="G298" s="113"/>
      <c r="H298" s="113"/>
      <c r="I298" s="100"/>
      <c r="J298" s="113"/>
      <c r="K298" s="82" t="b">
        <v>0</v>
      </c>
      <c r="L298" s="94"/>
      <c r="M298" s="84">
        <f t="shared" si="1"/>
        <v>6590</v>
      </c>
      <c r="N298" s="84"/>
      <c r="O298" s="84"/>
      <c r="P298" s="84"/>
      <c r="Q298" s="84"/>
      <c r="R298" s="86" t="str">
        <f t="shared" si="2"/>
        <v>Prepare for Showcase</v>
      </c>
      <c r="S298" s="82" t="b">
        <v>0</v>
      </c>
      <c r="T298" s="88"/>
      <c r="U298" s="84"/>
      <c r="V298" s="84"/>
      <c r="W298" s="84"/>
      <c r="X298" s="84"/>
      <c r="Y298" s="84"/>
      <c r="Z298" s="84"/>
      <c r="AA298" s="84"/>
    </row>
    <row r="299" ht="26.25" hidden="1" customHeight="1">
      <c r="A299" s="85"/>
      <c r="B299" s="106"/>
      <c r="C299" s="103"/>
      <c r="D299" s="93"/>
      <c r="E299" s="93"/>
      <c r="F299" s="103"/>
      <c r="G299" s="113"/>
      <c r="H299" s="113"/>
      <c r="I299" s="100"/>
      <c r="J299" s="113"/>
      <c r="K299" s="82" t="b">
        <v>0</v>
      </c>
      <c r="L299" s="94"/>
      <c r="M299" s="84">
        <f t="shared" si="1"/>
        <v>6590</v>
      </c>
      <c r="N299" s="84"/>
      <c r="O299" s="84"/>
      <c r="P299" s="84"/>
      <c r="Q299" s="84"/>
      <c r="R299" s="86" t="str">
        <f t="shared" si="2"/>
        <v>Prepare for Showcase</v>
      </c>
      <c r="S299" s="82" t="b">
        <v>0</v>
      </c>
      <c r="T299" s="88"/>
      <c r="U299" s="84"/>
      <c r="V299" s="84"/>
      <c r="W299" s="84"/>
      <c r="X299" s="84"/>
      <c r="Y299" s="84"/>
      <c r="Z299" s="84"/>
      <c r="AA299" s="84"/>
    </row>
    <row r="300" ht="26.25" hidden="1" customHeight="1">
      <c r="A300" s="85"/>
      <c r="B300" s="106"/>
      <c r="C300" s="103"/>
      <c r="D300" s="93"/>
      <c r="E300" s="93"/>
      <c r="F300" s="103"/>
      <c r="G300" s="113"/>
      <c r="H300" s="113"/>
      <c r="I300" s="100"/>
      <c r="J300" s="113"/>
      <c r="K300" s="82" t="b">
        <v>0</v>
      </c>
      <c r="L300" s="94"/>
      <c r="M300" s="84">
        <f t="shared" si="1"/>
        <v>6590</v>
      </c>
      <c r="N300" s="84"/>
      <c r="O300" s="84"/>
      <c r="P300" s="84"/>
      <c r="Q300" s="84"/>
      <c r="R300" s="86" t="str">
        <f t="shared" si="2"/>
        <v>Prepare for Showcase</v>
      </c>
      <c r="S300" s="82" t="b">
        <v>0</v>
      </c>
      <c r="T300" s="88"/>
      <c r="U300" s="84"/>
      <c r="V300" s="84"/>
      <c r="W300" s="84"/>
      <c r="X300" s="84"/>
      <c r="Y300" s="84"/>
      <c r="Z300" s="84"/>
      <c r="AA300" s="84"/>
    </row>
    <row r="301" ht="26.25" hidden="1" customHeight="1">
      <c r="A301" s="85"/>
      <c r="B301" s="106"/>
      <c r="C301" s="103"/>
      <c r="D301" s="93"/>
      <c r="E301" s="93"/>
      <c r="F301" s="103"/>
      <c r="G301" s="113"/>
      <c r="H301" s="113"/>
      <c r="I301" s="100"/>
      <c r="J301" s="113"/>
      <c r="K301" s="82" t="b">
        <v>0</v>
      </c>
      <c r="L301" s="94"/>
      <c r="M301" s="84">
        <f t="shared" si="1"/>
        <v>6590</v>
      </c>
      <c r="N301" s="84"/>
      <c r="O301" s="84"/>
      <c r="P301" s="84"/>
      <c r="Q301" s="84"/>
      <c r="R301" s="86" t="str">
        <f t="shared" si="2"/>
        <v>Prepare for Showcase</v>
      </c>
      <c r="S301" s="82" t="b">
        <v>0</v>
      </c>
      <c r="T301" s="88"/>
      <c r="U301" s="84"/>
      <c r="V301" s="84"/>
      <c r="W301" s="84"/>
      <c r="X301" s="84"/>
      <c r="Y301" s="84"/>
      <c r="Z301" s="84"/>
      <c r="AA301" s="84"/>
    </row>
    <row r="302" ht="26.25" hidden="1" customHeight="1">
      <c r="A302" s="85"/>
      <c r="B302" s="106"/>
      <c r="C302" s="103"/>
      <c r="D302" s="93"/>
      <c r="E302" s="93"/>
      <c r="F302" s="103"/>
      <c r="G302" s="113"/>
      <c r="H302" s="113"/>
      <c r="I302" s="100"/>
      <c r="J302" s="113"/>
      <c r="K302" s="82" t="b">
        <v>0</v>
      </c>
      <c r="L302" s="94"/>
      <c r="M302" s="84">
        <f t="shared" si="1"/>
        <v>6590</v>
      </c>
      <c r="N302" s="84"/>
      <c r="O302" s="84"/>
      <c r="P302" s="84"/>
      <c r="Q302" s="84"/>
      <c r="R302" s="86" t="str">
        <f t="shared" si="2"/>
        <v>Prepare for Showcase</v>
      </c>
      <c r="S302" s="82" t="b">
        <v>0</v>
      </c>
      <c r="T302" s="88"/>
      <c r="U302" s="84"/>
      <c r="V302" s="84"/>
      <c r="W302" s="84"/>
      <c r="X302" s="84"/>
      <c r="Y302" s="84"/>
      <c r="Z302" s="84"/>
      <c r="AA302" s="84"/>
    </row>
    <row r="303" ht="26.25" hidden="1" customHeight="1">
      <c r="A303" s="85"/>
      <c r="B303" s="106"/>
      <c r="C303" s="103"/>
      <c r="D303" s="93"/>
      <c r="E303" s="93"/>
      <c r="F303" s="103"/>
      <c r="G303" s="113"/>
      <c r="H303" s="113"/>
      <c r="I303" s="100"/>
      <c r="J303" s="113"/>
      <c r="K303" s="82" t="b">
        <v>0</v>
      </c>
      <c r="L303" s="94"/>
      <c r="M303" s="84">
        <f t="shared" si="1"/>
        <v>6590</v>
      </c>
      <c r="N303" s="84"/>
      <c r="O303" s="84"/>
      <c r="P303" s="84"/>
      <c r="Q303" s="84"/>
      <c r="R303" s="86" t="str">
        <f t="shared" si="2"/>
        <v>Prepare for Showcase</v>
      </c>
      <c r="S303" s="82" t="b">
        <v>0</v>
      </c>
      <c r="T303" s="88"/>
      <c r="U303" s="84"/>
      <c r="V303" s="84"/>
      <c r="W303" s="84"/>
      <c r="X303" s="84"/>
      <c r="Y303" s="84"/>
      <c r="Z303" s="84"/>
      <c r="AA303" s="84"/>
    </row>
    <row r="304" ht="26.25" hidden="1" customHeight="1">
      <c r="A304" s="85"/>
      <c r="B304" s="106"/>
      <c r="C304" s="103"/>
      <c r="D304" s="93"/>
      <c r="E304" s="93"/>
      <c r="F304" s="103"/>
      <c r="G304" s="113"/>
      <c r="H304" s="113"/>
      <c r="I304" s="100"/>
      <c r="J304" s="113"/>
      <c r="K304" s="82" t="b">
        <v>0</v>
      </c>
      <c r="L304" s="94"/>
      <c r="M304" s="84">
        <f t="shared" si="1"/>
        <v>6590</v>
      </c>
      <c r="N304" s="84"/>
      <c r="O304" s="84"/>
      <c r="P304" s="84"/>
      <c r="Q304" s="84"/>
      <c r="R304" s="86" t="str">
        <f t="shared" si="2"/>
        <v>Prepare for Showcase</v>
      </c>
      <c r="S304" s="82" t="b">
        <v>0</v>
      </c>
      <c r="T304" s="88"/>
      <c r="U304" s="84"/>
      <c r="V304" s="84"/>
      <c r="W304" s="84"/>
      <c r="X304" s="84"/>
      <c r="Y304" s="84"/>
      <c r="Z304" s="84"/>
      <c r="AA304" s="84"/>
    </row>
    <row r="305" ht="26.25" hidden="1" customHeight="1">
      <c r="A305" s="85"/>
      <c r="B305" s="106"/>
      <c r="C305" s="103"/>
      <c r="D305" s="93"/>
      <c r="E305" s="93"/>
      <c r="F305" s="103"/>
      <c r="G305" s="113"/>
      <c r="H305" s="113"/>
      <c r="I305" s="100"/>
      <c r="J305" s="113"/>
      <c r="K305" s="82" t="b">
        <v>0</v>
      </c>
      <c r="L305" s="94"/>
      <c r="M305" s="84">
        <f t="shared" si="1"/>
        <v>6590</v>
      </c>
      <c r="N305" s="84"/>
      <c r="O305" s="84"/>
      <c r="P305" s="84"/>
      <c r="Q305" s="84"/>
      <c r="R305" s="86" t="str">
        <f t="shared" si="2"/>
        <v>Prepare for Showcase</v>
      </c>
      <c r="S305" s="82" t="b">
        <v>0</v>
      </c>
      <c r="T305" s="88"/>
      <c r="U305" s="84"/>
      <c r="V305" s="84"/>
      <c r="W305" s="84"/>
      <c r="X305" s="84"/>
      <c r="Y305" s="84"/>
      <c r="Z305" s="84"/>
      <c r="AA305" s="84"/>
    </row>
    <row r="306" ht="26.25" hidden="1" customHeight="1">
      <c r="A306" s="85"/>
      <c r="B306" s="106"/>
      <c r="C306" s="103"/>
      <c r="D306" s="93"/>
      <c r="E306" s="93"/>
      <c r="F306" s="103"/>
      <c r="G306" s="113"/>
      <c r="H306" s="113"/>
      <c r="I306" s="100"/>
      <c r="J306" s="113"/>
      <c r="K306" s="82" t="b">
        <v>0</v>
      </c>
      <c r="L306" s="94"/>
      <c r="M306" s="84">
        <f t="shared" si="1"/>
        <v>6590</v>
      </c>
      <c r="N306" s="84"/>
      <c r="O306" s="84"/>
      <c r="P306" s="84"/>
      <c r="Q306" s="84"/>
      <c r="R306" s="86" t="str">
        <f t="shared" si="2"/>
        <v>Prepare for Showcase</v>
      </c>
      <c r="S306" s="82" t="b">
        <v>0</v>
      </c>
      <c r="T306" s="88"/>
      <c r="U306" s="84"/>
      <c r="V306" s="84"/>
      <c r="W306" s="84"/>
      <c r="X306" s="84"/>
      <c r="Y306" s="84"/>
      <c r="Z306" s="84"/>
      <c r="AA306" s="84"/>
    </row>
    <row r="307" ht="26.25" hidden="1" customHeight="1">
      <c r="A307" s="85"/>
      <c r="B307" s="106"/>
      <c r="C307" s="103"/>
      <c r="D307" s="93"/>
      <c r="E307" s="93"/>
      <c r="F307" s="103"/>
      <c r="G307" s="113"/>
      <c r="H307" s="113"/>
      <c r="I307" s="100"/>
      <c r="J307" s="113"/>
      <c r="K307" s="82" t="b">
        <v>0</v>
      </c>
      <c r="L307" s="94"/>
      <c r="M307" s="84">
        <f t="shared" si="1"/>
        <v>6590</v>
      </c>
      <c r="N307" s="84"/>
      <c r="O307" s="84"/>
      <c r="P307" s="84"/>
      <c r="Q307" s="84"/>
      <c r="R307" s="86" t="str">
        <f t="shared" si="2"/>
        <v>Prepare for Showcase</v>
      </c>
      <c r="S307" s="82" t="b">
        <v>0</v>
      </c>
      <c r="T307" s="88"/>
      <c r="U307" s="84"/>
      <c r="V307" s="84"/>
      <c r="W307" s="84"/>
      <c r="X307" s="84"/>
      <c r="Y307" s="84"/>
      <c r="Z307" s="84"/>
      <c r="AA307" s="84"/>
    </row>
    <row r="308" ht="26.25" hidden="1" customHeight="1">
      <c r="A308" s="85"/>
      <c r="B308" s="106"/>
      <c r="C308" s="103"/>
      <c r="D308" s="93"/>
      <c r="E308" s="93"/>
      <c r="F308" s="103"/>
      <c r="G308" s="113"/>
      <c r="H308" s="113"/>
      <c r="I308" s="100"/>
      <c r="J308" s="113"/>
      <c r="K308" s="82" t="b">
        <v>0</v>
      </c>
      <c r="L308" s="94"/>
      <c r="M308" s="84">
        <f t="shared" si="1"/>
        <v>6590</v>
      </c>
      <c r="N308" s="84"/>
      <c r="O308" s="84"/>
      <c r="P308" s="84"/>
      <c r="Q308" s="84"/>
      <c r="R308" s="86" t="str">
        <f t="shared" si="2"/>
        <v>Prepare for Showcase</v>
      </c>
      <c r="S308" s="82" t="b">
        <v>0</v>
      </c>
      <c r="T308" s="88"/>
      <c r="U308" s="84"/>
      <c r="V308" s="84"/>
      <c r="W308" s="84"/>
      <c r="X308" s="84"/>
      <c r="Y308" s="84"/>
      <c r="Z308" s="84"/>
      <c r="AA308" s="84"/>
    </row>
    <row r="309" ht="26.25" hidden="1" customHeight="1">
      <c r="A309" s="85"/>
      <c r="B309" s="106"/>
      <c r="C309" s="103"/>
      <c r="D309" s="93"/>
      <c r="E309" s="93"/>
      <c r="F309" s="103"/>
      <c r="G309" s="113"/>
      <c r="H309" s="113"/>
      <c r="I309" s="100"/>
      <c r="J309" s="113"/>
      <c r="K309" s="82" t="b">
        <v>0</v>
      </c>
      <c r="L309" s="94"/>
      <c r="M309" s="84">
        <f t="shared" si="1"/>
        <v>6590</v>
      </c>
      <c r="N309" s="84"/>
      <c r="O309" s="84"/>
      <c r="P309" s="84"/>
      <c r="Q309" s="84"/>
      <c r="R309" s="86" t="str">
        <f t="shared" si="2"/>
        <v>Prepare for Showcase</v>
      </c>
      <c r="S309" s="82" t="b">
        <v>0</v>
      </c>
      <c r="T309" s="88"/>
      <c r="U309" s="84"/>
      <c r="V309" s="84"/>
      <c r="W309" s="84"/>
      <c r="X309" s="84"/>
      <c r="Y309" s="84"/>
      <c r="Z309" s="84"/>
      <c r="AA309" s="84"/>
    </row>
    <row r="310" ht="26.25" hidden="1" customHeight="1">
      <c r="A310" s="85"/>
      <c r="B310" s="106"/>
      <c r="C310" s="103"/>
      <c r="D310" s="93"/>
      <c r="E310" s="93"/>
      <c r="F310" s="103"/>
      <c r="G310" s="113"/>
      <c r="H310" s="113"/>
      <c r="I310" s="100"/>
      <c r="J310" s="113"/>
      <c r="K310" s="82" t="b">
        <v>0</v>
      </c>
      <c r="L310" s="94"/>
      <c r="M310" s="84">
        <f t="shared" si="1"/>
        <v>6590</v>
      </c>
      <c r="N310" s="84"/>
      <c r="O310" s="84"/>
      <c r="P310" s="84"/>
      <c r="Q310" s="84"/>
      <c r="R310" s="86" t="str">
        <f t="shared" si="2"/>
        <v>Prepare for Showcase</v>
      </c>
      <c r="S310" s="82" t="b">
        <v>0</v>
      </c>
      <c r="T310" s="88"/>
      <c r="U310" s="84"/>
      <c r="V310" s="84"/>
      <c r="W310" s="84"/>
      <c r="X310" s="84"/>
      <c r="Y310" s="84"/>
      <c r="Z310" s="84"/>
      <c r="AA310" s="84"/>
    </row>
    <row r="311" ht="26.25" hidden="1" customHeight="1">
      <c r="A311" s="85"/>
      <c r="B311" s="106"/>
      <c r="C311" s="103"/>
      <c r="D311" s="93"/>
      <c r="E311" s="93"/>
      <c r="F311" s="103"/>
      <c r="G311" s="113"/>
      <c r="H311" s="113"/>
      <c r="I311" s="100"/>
      <c r="J311" s="113"/>
      <c r="K311" s="82" t="b">
        <v>0</v>
      </c>
      <c r="L311" s="94"/>
      <c r="M311" s="84">
        <f t="shared" si="1"/>
        <v>6590</v>
      </c>
      <c r="N311" s="84"/>
      <c r="O311" s="84"/>
      <c r="P311" s="84"/>
      <c r="Q311" s="84"/>
      <c r="R311" s="86" t="str">
        <f t="shared" si="2"/>
        <v>Prepare for Showcase</v>
      </c>
      <c r="S311" s="82" t="b">
        <v>0</v>
      </c>
      <c r="T311" s="88"/>
      <c r="U311" s="84"/>
      <c r="V311" s="84"/>
      <c r="W311" s="84"/>
      <c r="X311" s="84"/>
      <c r="Y311" s="84"/>
      <c r="Z311" s="84"/>
      <c r="AA311" s="84"/>
    </row>
    <row r="312" ht="26.25" hidden="1" customHeight="1">
      <c r="A312" s="85"/>
      <c r="B312" s="106"/>
      <c r="C312" s="103"/>
      <c r="D312" s="93"/>
      <c r="E312" s="93"/>
      <c r="F312" s="103"/>
      <c r="G312" s="113"/>
      <c r="H312" s="113"/>
      <c r="I312" s="100"/>
      <c r="J312" s="113"/>
      <c r="K312" s="82" t="b">
        <v>0</v>
      </c>
      <c r="L312" s="94"/>
      <c r="M312" s="84">
        <f t="shared" si="1"/>
        <v>6590</v>
      </c>
      <c r="N312" s="84"/>
      <c r="O312" s="84"/>
      <c r="P312" s="84"/>
      <c r="Q312" s="84"/>
      <c r="R312" s="86" t="str">
        <f t="shared" si="2"/>
        <v>Prepare for Showcase</v>
      </c>
      <c r="S312" s="82" t="b">
        <v>0</v>
      </c>
      <c r="T312" s="88"/>
      <c r="U312" s="84"/>
      <c r="V312" s="84"/>
      <c r="W312" s="84"/>
      <c r="X312" s="84"/>
      <c r="Y312" s="84"/>
      <c r="Z312" s="84"/>
      <c r="AA312" s="84"/>
    </row>
    <row r="313" ht="26.25" hidden="1" customHeight="1">
      <c r="A313" s="85"/>
      <c r="B313" s="106"/>
      <c r="C313" s="103"/>
      <c r="D313" s="93"/>
      <c r="E313" s="93"/>
      <c r="F313" s="103"/>
      <c r="G313" s="113"/>
      <c r="H313" s="113"/>
      <c r="I313" s="100"/>
      <c r="J313" s="113"/>
      <c r="K313" s="82" t="b">
        <v>0</v>
      </c>
      <c r="L313" s="94"/>
      <c r="M313" s="84">
        <f t="shared" si="1"/>
        <v>6590</v>
      </c>
      <c r="N313" s="84"/>
      <c r="O313" s="84"/>
      <c r="P313" s="84"/>
      <c r="Q313" s="84"/>
      <c r="R313" s="86" t="str">
        <f t="shared" si="2"/>
        <v>Prepare for Showcase</v>
      </c>
      <c r="S313" s="82" t="b">
        <v>0</v>
      </c>
      <c r="T313" s="88"/>
      <c r="U313" s="84"/>
      <c r="V313" s="84"/>
      <c r="W313" s="84"/>
      <c r="X313" s="84"/>
      <c r="Y313" s="84"/>
      <c r="Z313" s="84"/>
      <c r="AA313" s="84"/>
    </row>
    <row r="314" ht="26.25" hidden="1" customHeight="1">
      <c r="A314" s="85"/>
      <c r="B314" s="106"/>
      <c r="C314" s="103"/>
      <c r="D314" s="93"/>
      <c r="E314" s="93"/>
      <c r="F314" s="103"/>
      <c r="G314" s="113"/>
      <c r="H314" s="113"/>
      <c r="I314" s="100"/>
      <c r="J314" s="113"/>
      <c r="K314" s="82" t="b">
        <v>0</v>
      </c>
      <c r="L314" s="94"/>
      <c r="M314" s="84">
        <f t="shared" si="1"/>
        <v>6590</v>
      </c>
      <c r="N314" s="84"/>
      <c r="O314" s="84"/>
      <c r="P314" s="84"/>
      <c r="Q314" s="84"/>
      <c r="R314" s="86" t="str">
        <f t="shared" si="2"/>
        <v>Prepare for Showcase</v>
      </c>
      <c r="S314" s="82" t="b">
        <v>0</v>
      </c>
      <c r="T314" s="88"/>
      <c r="U314" s="84"/>
      <c r="V314" s="84"/>
      <c r="W314" s="84"/>
      <c r="X314" s="84"/>
      <c r="Y314" s="84"/>
      <c r="Z314" s="84"/>
      <c r="AA314" s="84"/>
    </row>
    <row r="315" ht="26.25" hidden="1" customHeight="1">
      <c r="A315" s="85"/>
      <c r="B315" s="106"/>
      <c r="C315" s="103"/>
      <c r="D315" s="93"/>
      <c r="E315" s="93"/>
      <c r="F315" s="103"/>
      <c r="G315" s="113"/>
      <c r="H315" s="113"/>
      <c r="I315" s="100"/>
      <c r="J315" s="113"/>
      <c r="K315" s="82" t="b">
        <v>0</v>
      </c>
      <c r="L315" s="94"/>
      <c r="M315" s="84">
        <f t="shared" si="1"/>
        <v>6590</v>
      </c>
      <c r="N315" s="84"/>
      <c r="O315" s="84"/>
      <c r="P315" s="84"/>
      <c r="Q315" s="84"/>
      <c r="R315" s="86" t="str">
        <f t="shared" si="2"/>
        <v>Prepare for Showcase</v>
      </c>
      <c r="S315" s="82" t="b">
        <v>0</v>
      </c>
      <c r="T315" s="88"/>
      <c r="U315" s="84"/>
      <c r="V315" s="84"/>
      <c r="W315" s="84"/>
      <c r="X315" s="84"/>
      <c r="Y315" s="84"/>
      <c r="Z315" s="84"/>
      <c r="AA315" s="84"/>
    </row>
    <row r="316" ht="26.25" hidden="1" customHeight="1">
      <c r="A316" s="85"/>
      <c r="B316" s="106"/>
      <c r="C316" s="103"/>
      <c r="D316" s="93"/>
      <c r="E316" s="93"/>
      <c r="F316" s="103"/>
      <c r="G316" s="113"/>
      <c r="H316" s="113"/>
      <c r="I316" s="100"/>
      <c r="J316" s="113"/>
      <c r="K316" s="82" t="b">
        <v>0</v>
      </c>
      <c r="L316" s="94"/>
      <c r="M316" s="84">
        <f t="shared" si="1"/>
        <v>6590</v>
      </c>
      <c r="N316" s="84"/>
      <c r="O316" s="84"/>
      <c r="P316" s="84"/>
      <c r="Q316" s="84"/>
      <c r="R316" s="86" t="str">
        <f t="shared" si="2"/>
        <v>Prepare for Showcase</v>
      </c>
      <c r="S316" s="82" t="b">
        <v>0</v>
      </c>
      <c r="T316" s="88"/>
      <c r="U316" s="84"/>
      <c r="V316" s="84"/>
      <c r="W316" s="84"/>
      <c r="X316" s="84"/>
      <c r="Y316" s="84"/>
      <c r="Z316" s="84"/>
      <c r="AA316" s="84"/>
    </row>
    <row r="317" ht="26.25" hidden="1" customHeight="1">
      <c r="A317" s="85"/>
      <c r="B317" s="106"/>
      <c r="C317" s="103"/>
      <c r="D317" s="93"/>
      <c r="E317" s="93"/>
      <c r="F317" s="103"/>
      <c r="G317" s="113"/>
      <c r="H317" s="113"/>
      <c r="I317" s="100"/>
      <c r="J317" s="113"/>
      <c r="K317" s="82" t="b">
        <v>0</v>
      </c>
      <c r="L317" s="94"/>
      <c r="M317" s="84">
        <f t="shared" si="1"/>
        <v>6590</v>
      </c>
      <c r="N317" s="84"/>
      <c r="O317" s="84"/>
      <c r="P317" s="84"/>
      <c r="Q317" s="84"/>
      <c r="R317" s="86" t="str">
        <f t="shared" si="2"/>
        <v>Prepare for Showcase</v>
      </c>
      <c r="S317" s="82" t="b">
        <v>0</v>
      </c>
      <c r="T317" s="88"/>
      <c r="U317" s="84"/>
      <c r="V317" s="84"/>
      <c r="W317" s="84"/>
      <c r="X317" s="84"/>
      <c r="Y317" s="84"/>
      <c r="Z317" s="84"/>
      <c r="AA317" s="84"/>
    </row>
    <row r="318" ht="26.25" hidden="1" customHeight="1">
      <c r="A318" s="85"/>
      <c r="B318" s="106"/>
      <c r="C318" s="103"/>
      <c r="D318" s="93"/>
      <c r="E318" s="93"/>
      <c r="F318" s="103"/>
      <c r="G318" s="113"/>
      <c r="H318" s="113"/>
      <c r="I318" s="100"/>
      <c r="J318" s="113"/>
      <c r="K318" s="82" t="b">
        <v>0</v>
      </c>
      <c r="L318" s="94"/>
      <c r="M318" s="84">
        <f t="shared" si="1"/>
        <v>6590</v>
      </c>
      <c r="N318" s="84"/>
      <c r="O318" s="84"/>
      <c r="P318" s="84"/>
      <c r="Q318" s="84"/>
      <c r="R318" s="86" t="str">
        <f t="shared" si="2"/>
        <v>Prepare for Showcase</v>
      </c>
      <c r="S318" s="82" t="b">
        <v>0</v>
      </c>
      <c r="T318" s="88"/>
      <c r="U318" s="84"/>
      <c r="V318" s="84"/>
      <c r="W318" s="84"/>
      <c r="X318" s="84"/>
      <c r="Y318" s="84"/>
      <c r="Z318" s="84"/>
      <c r="AA318" s="84"/>
    </row>
    <row r="319" ht="26.25" hidden="1" customHeight="1">
      <c r="A319" s="85"/>
      <c r="B319" s="106"/>
      <c r="C319" s="103"/>
      <c r="D319" s="93"/>
      <c r="E319" s="93"/>
      <c r="F319" s="103"/>
      <c r="G319" s="113"/>
      <c r="H319" s="113"/>
      <c r="I319" s="100"/>
      <c r="J319" s="113"/>
      <c r="K319" s="82" t="b">
        <v>0</v>
      </c>
      <c r="L319" s="94"/>
      <c r="M319" s="84">
        <f t="shared" si="1"/>
        <v>6590</v>
      </c>
      <c r="N319" s="84"/>
      <c r="O319" s="84"/>
      <c r="P319" s="84"/>
      <c r="Q319" s="84"/>
      <c r="R319" s="86" t="str">
        <f t="shared" si="2"/>
        <v>Prepare for Showcase</v>
      </c>
      <c r="S319" s="82" t="b">
        <v>0</v>
      </c>
      <c r="T319" s="88"/>
      <c r="U319" s="84"/>
      <c r="V319" s="84"/>
      <c r="W319" s="84"/>
      <c r="X319" s="84"/>
      <c r="Y319" s="84"/>
      <c r="Z319" s="84"/>
      <c r="AA319" s="84"/>
    </row>
    <row r="320" ht="26.25" hidden="1" customHeight="1">
      <c r="A320" s="85"/>
      <c r="B320" s="106"/>
      <c r="C320" s="103"/>
      <c r="D320" s="93"/>
      <c r="E320" s="93"/>
      <c r="F320" s="103"/>
      <c r="G320" s="113"/>
      <c r="H320" s="113"/>
      <c r="I320" s="100"/>
      <c r="J320" s="113"/>
      <c r="K320" s="82" t="b">
        <v>0</v>
      </c>
      <c r="L320" s="94"/>
      <c r="M320" s="84">
        <f t="shared" si="1"/>
        <v>6590</v>
      </c>
      <c r="N320" s="84"/>
      <c r="O320" s="84"/>
      <c r="P320" s="84"/>
      <c r="Q320" s="84"/>
      <c r="R320" s="86" t="str">
        <f t="shared" si="2"/>
        <v>Prepare for Showcase</v>
      </c>
      <c r="S320" s="82" t="b">
        <v>0</v>
      </c>
      <c r="T320" s="88"/>
      <c r="U320" s="84"/>
      <c r="V320" s="84"/>
      <c r="W320" s="84"/>
      <c r="X320" s="84"/>
      <c r="Y320" s="84"/>
      <c r="Z320" s="84"/>
      <c r="AA320" s="84"/>
    </row>
    <row r="321" ht="26.25" hidden="1" customHeight="1">
      <c r="A321" s="85"/>
      <c r="B321" s="106"/>
      <c r="C321" s="103"/>
      <c r="D321" s="93"/>
      <c r="E321" s="93"/>
      <c r="F321" s="103"/>
      <c r="G321" s="113"/>
      <c r="H321" s="113"/>
      <c r="I321" s="100"/>
      <c r="J321" s="113"/>
      <c r="K321" s="82" t="b">
        <v>0</v>
      </c>
      <c r="L321" s="94"/>
      <c r="M321" s="84">
        <f t="shared" si="1"/>
        <v>6590</v>
      </c>
      <c r="N321" s="84"/>
      <c r="O321" s="84"/>
      <c r="P321" s="84"/>
      <c r="Q321" s="84"/>
      <c r="R321" s="86" t="str">
        <f t="shared" si="2"/>
        <v>Prepare for Showcase</v>
      </c>
      <c r="S321" s="82" t="b">
        <v>0</v>
      </c>
      <c r="T321" s="88"/>
      <c r="U321" s="84"/>
      <c r="V321" s="84"/>
      <c r="W321" s="84"/>
      <c r="X321" s="84"/>
      <c r="Y321" s="84"/>
      <c r="Z321" s="84"/>
      <c r="AA321" s="84"/>
    </row>
    <row r="322" ht="26.25" hidden="1" customHeight="1">
      <c r="A322" s="85"/>
      <c r="B322" s="106"/>
      <c r="C322" s="103"/>
      <c r="D322" s="93"/>
      <c r="E322" s="93"/>
      <c r="F322" s="103"/>
      <c r="G322" s="113"/>
      <c r="H322" s="113"/>
      <c r="I322" s="100"/>
      <c r="J322" s="113"/>
      <c r="K322" s="82" t="b">
        <v>0</v>
      </c>
      <c r="L322" s="94"/>
      <c r="M322" s="84">
        <f t="shared" si="1"/>
        <v>6590</v>
      </c>
      <c r="N322" s="84"/>
      <c r="O322" s="84"/>
      <c r="P322" s="84"/>
      <c r="Q322" s="84"/>
      <c r="R322" s="86" t="str">
        <f t="shared" si="2"/>
        <v>Prepare for Showcase</v>
      </c>
      <c r="S322" s="82" t="b">
        <v>0</v>
      </c>
      <c r="T322" s="88"/>
      <c r="U322" s="84"/>
      <c r="V322" s="84"/>
      <c r="W322" s="84"/>
      <c r="X322" s="84"/>
      <c r="Y322" s="84"/>
      <c r="Z322" s="84"/>
      <c r="AA322" s="84"/>
    </row>
    <row r="323" ht="26.25" hidden="1" customHeight="1">
      <c r="A323" s="85"/>
      <c r="B323" s="106"/>
      <c r="C323" s="103"/>
      <c r="D323" s="93"/>
      <c r="E323" s="93"/>
      <c r="F323" s="103"/>
      <c r="G323" s="113"/>
      <c r="H323" s="113"/>
      <c r="I323" s="100"/>
      <c r="J323" s="113"/>
      <c r="K323" s="82" t="b">
        <v>0</v>
      </c>
      <c r="L323" s="94"/>
      <c r="M323" s="84">
        <f t="shared" si="1"/>
        <v>6590</v>
      </c>
      <c r="N323" s="84"/>
      <c r="O323" s="84"/>
      <c r="P323" s="84"/>
      <c r="Q323" s="84"/>
      <c r="R323" s="86" t="str">
        <f t="shared" si="2"/>
        <v>Prepare for Showcase</v>
      </c>
      <c r="S323" s="82" t="b">
        <v>0</v>
      </c>
      <c r="T323" s="88"/>
      <c r="U323" s="84"/>
      <c r="V323" s="84"/>
      <c r="W323" s="84"/>
      <c r="X323" s="84"/>
      <c r="Y323" s="84"/>
      <c r="Z323" s="84"/>
      <c r="AA323" s="84"/>
    </row>
    <row r="324" ht="26.25" hidden="1" customHeight="1">
      <c r="A324" s="85"/>
      <c r="B324" s="106"/>
      <c r="C324" s="103"/>
      <c r="D324" s="93"/>
      <c r="E324" s="93"/>
      <c r="F324" s="103"/>
      <c r="G324" s="113"/>
      <c r="H324" s="113"/>
      <c r="I324" s="100"/>
      <c r="J324" s="113"/>
      <c r="K324" s="82" t="b">
        <v>0</v>
      </c>
      <c r="L324" s="94"/>
      <c r="M324" s="84">
        <f t="shared" si="1"/>
        <v>6590</v>
      </c>
      <c r="N324" s="84"/>
      <c r="O324" s="84"/>
      <c r="P324" s="84"/>
      <c r="Q324" s="84"/>
      <c r="R324" s="86" t="str">
        <f t="shared" si="2"/>
        <v>Prepare for Showcase</v>
      </c>
      <c r="S324" s="82" t="b">
        <v>0</v>
      </c>
      <c r="T324" s="88"/>
      <c r="U324" s="84"/>
      <c r="V324" s="84"/>
      <c r="W324" s="84"/>
      <c r="X324" s="84"/>
      <c r="Y324" s="84"/>
      <c r="Z324" s="84"/>
      <c r="AA324" s="84"/>
    </row>
    <row r="325" ht="26.25" hidden="1" customHeight="1">
      <c r="A325" s="85"/>
      <c r="B325" s="106"/>
      <c r="C325" s="103"/>
      <c r="D325" s="93"/>
      <c r="E325" s="93"/>
      <c r="F325" s="103"/>
      <c r="G325" s="113"/>
      <c r="H325" s="113"/>
      <c r="I325" s="100"/>
      <c r="J325" s="113"/>
      <c r="K325" s="82" t="b">
        <v>0</v>
      </c>
      <c r="L325" s="94"/>
      <c r="M325" s="84">
        <f t="shared" si="1"/>
        <v>6590</v>
      </c>
      <c r="N325" s="84"/>
      <c r="O325" s="84"/>
      <c r="P325" s="84"/>
      <c r="Q325" s="84"/>
      <c r="R325" s="86" t="str">
        <f t="shared" si="2"/>
        <v>Prepare for Showcase</v>
      </c>
      <c r="S325" s="82" t="b">
        <v>0</v>
      </c>
      <c r="T325" s="88"/>
      <c r="U325" s="84"/>
      <c r="V325" s="84"/>
      <c r="W325" s="84"/>
      <c r="X325" s="84"/>
      <c r="Y325" s="84"/>
      <c r="Z325" s="84"/>
      <c r="AA325" s="84"/>
    </row>
    <row r="326" ht="26.25" hidden="1" customHeight="1">
      <c r="A326" s="85"/>
      <c r="B326" s="106"/>
      <c r="C326" s="103"/>
      <c r="D326" s="93"/>
      <c r="E326" s="93"/>
      <c r="F326" s="103"/>
      <c r="G326" s="113"/>
      <c r="H326" s="113"/>
      <c r="I326" s="100"/>
      <c r="J326" s="113"/>
      <c r="K326" s="82" t="b">
        <v>0</v>
      </c>
      <c r="L326" s="94"/>
      <c r="M326" s="84">
        <f t="shared" si="1"/>
        <v>6590</v>
      </c>
      <c r="N326" s="84"/>
      <c r="O326" s="84"/>
      <c r="P326" s="84"/>
      <c r="Q326" s="84"/>
      <c r="R326" s="86" t="str">
        <f t="shared" si="2"/>
        <v>Prepare for Showcase</v>
      </c>
      <c r="S326" s="82" t="b">
        <v>0</v>
      </c>
      <c r="T326" s="88"/>
      <c r="U326" s="84"/>
      <c r="V326" s="84"/>
      <c r="W326" s="84"/>
      <c r="X326" s="84"/>
      <c r="Y326" s="84"/>
      <c r="Z326" s="84"/>
      <c r="AA326" s="84"/>
    </row>
    <row r="327" ht="26.25" hidden="1" customHeight="1">
      <c r="A327" s="85"/>
      <c r="B327" s="106"/>
      <c r="C327" s="103"/>
      <c r="D327" s="93"/>
      <c r="E327" s="93"/>
      <c r="F327" s="103"/>
      <c r="G327" s="113"/>
      <c r="H327" s="113"/>
      <c r="I327" s="100"/>
      <c r="J327" s="113"/>
      <c r="K327" s="82" t="b">
        <v>0</v>
      </c>
      <c r="L327" s="94"/>
      <c r="M327" s="84">
        <f t="shared" si="1"/>
        <v>6590</v>
      </c>
      <c r="N327" s="84"/>
      <c r="O327" s="84"/>
      <c r="P327" s="84"/>
      <c r="Q327" s="84"/>
      <c r="R327" s="86" t="str">
        <f t="shared" si="2"/>
        <v>Prepare for Showcase</v>
      </c>
      <c r="S327" s="82" t="b">
        <v>0</v>
      </c>
      <c r="T327" s="88"/>
      <c r="U327" s="84"/>
      <c r="V327" s="84"/>
      <c r="W327" s="84"/>
      <c r="X327" s="84"/>
      <c r="Y327" s="84"/>
      <c r="Z327" s="84"/>
      <c r="AA327" s="84"/>
    </row>
    <row r="328" ht="26.25" hidden="1" customHeight="1">
      <c r="A328" s="85"/>
      <c r="B328" s="106"/>
      <c r="C328" s="103"/>
      <c r="D328" s="93"/>
      <c r="E328" s="93"/>
      <c r="F328" s="103"/>
      <c r="G328" s="113"/>
      <c r="H328" s="113"/>
      <c r="I328" s="100"/>
      <c r="J328" s="113"/>
      <c r="K328" s="82" t="b">
        <v>0</v>
      </c>
      <c r="L328" s="94"/>
      <c r="M328" s="84">
        <f t="shared" si="1"/>
        <v>6590</v>
      </c>
      <c r="N328" s="84"/>
      <c r="O328" s="84"/>
      <c r="P328" s="84"/>
      <c r="Q328" s="84"/>
      <c r="R328" s="86" t="str">
        <f t="shared" si="2"/>
        <v>Prepare for Showcase</v>
      </c>
      <c r="S328" s="82" t="b">
        <v>0</v>
      </c>
      <c r="T328" s="88"/>
      <c r="U328" s="84"/>
      <c r="V328" s="84"/>
      <c r="W328" s="84"/>
      <c r="X328" s="84"/>
      <c r="Y328" s="84"/>
      <c r="Z328" s="84"/>
      <c r="AA328" s="84"/>
    </row>
    <row r="329" ht="26.25" hidden="1" customHeight="1">
      <c r="A329" s="85"/>
      <c r="B329" s="106"/>
      <c r="C329" s="103"/>
      <c r="D329" s="93"/>
      <c r="E329" s="93"/>
      <c r="F329" s="103"/>
      <c r="G329" s="113"/>
      <c r="H329" s="113"/>
      <c r="I329" s="100"/>
      <c r="J329" s="113"/>
      <c r="K329" s="82" t="b">
        <v>0</v>
      </c>
      <c r="L329" s="94"/>
      <c r="M329" s="84">
        <f t="shared" si="1"/>
        <v>6590</v>
      </c>
      <c r="N329" s="84"/>
      <c r="O329" s="84"/>
      <c r="P329" s="84"/>
      <c r="Q329" s="84"/>
      <c r="R329" s="86" t="str">
        <f t="shared" si="2"/>
        <v>Prepare for Showcase</v>
      </c>
      <c r="S329" s="82" t="b">
        <v>0</v>
      </c>
      <c r="T329" s="88"/>
      <c r="U329" s="84"/>
      <c r="V329" s="84"/>
      <c r="W329" s="84"/>
      <c r="X329" s="84"/>
      <c r="Y329" s="84"/>
      <c r="Z329" s="84"/>
      <c r="AA329" s="84"/>
    </row>
    <row r="330" ht="26.25" hidden="1" customHeight="1">
      <c r="A330" s="85"/>
      <c r="B330" s="106"/>
      <c r="C330" s="103"/>
      <c r="D330" s="93"/>
      <c r="E330" s="93"/>
      <c r="F330" s="103"/>
      <c r="G330" s="113"/>
      <c r="H330" s="113"/>
      <c r="I330" s="100"/>
      <c r="J330" s="113"/>
      <c r="K330" s="82" t="b">
        <v>0</v>
      </c>
      <c r="L330" s="94"/>
      <c r="M330" s="84">
        <f t="shared" si="1"/>
        <v>6590</v>
      </c>
      <c r="N330" s="84"/>
      <c r="O330" s="84"/>
      <c r="P330" s="84"/>
      <c r="Q330" s="84"/>
      <c r="R330" s="86" t="str">
        <f t="shared" si="2"/>
        <v>Prepare for Showcase</v>
      </c>
      <c r="S330" s="82" t="b">
        <v>0</v>
      </c>
      <c r="T330" s="88"/>
      <c r="U330" s="84"/>
      <c r="V330" s="84"/>
      <c r="W330" s="84"/>
      <c r="X330" s="84"/>
      <c r="Y330" s="84"/>
      <c r="Z330" s="84"/>
      <c r="AA330" s="84"/>
    </row>
    <row r="331" ht="26.25" hidden="1" customHeight="1">
      <c r="A331" s="85"/>
      <c r="B331" s="106"/>
      <c r="C331" s="103"/>
      <c r="D331" s="93"/>
      <c r="E331" s="93"/>
      <c r="F331" s="103"/>
      <c r="G331" s="113"/>
      <c r="H331" s="113"/>
      <c r="I331" s="100"/>
      <c r="J331" s="113"/>
      <c r="K331" s="82" t="b">
        <v>0</v>
      </c>
      <c r="L331" s="94"/>
      <c r="M331" s="84">
        <f t="shared" si="1"/>
        <v>6590</v>
      </c>
      <c r="N331" s="84"/>
      <c r="O331" s="84"/>
      <c r="P331" s="84"/>
      <c r="Q331" s="84"/>
      <c r="R331" s="86" t="str">
        <f t="shared" si="2"/>
        <v>Prepare for Showcase</v>
      </c>
      <c r="S331" s="82" t="b">
        <v>0</v>
      </c>
      <c r="T331" s="88"/>
      <c r="U331" s="84"/>
      <c r="V331" s="84"/>
      <c r="W331" s="84"/>
      <c r="X331" s="84"/>
      <c r="Y331" s="84"/>
      <c r="Z331" s="84"/>
      <c r="AA331" s="84"/>
    </row>
    <row r="332" ht="26.25" hidden="1" customHeight="1">
      <c r="A332" s="85"/>
      <c r="B332" s="106"/>
      <c r="C332" s="103"/>
      <c r="D332" s="93"/>
      <c r="E332" s="93"/>
      <c r="F332" s="103"/>
      <c r="G332" s="113"/>
      <c r="H332" s="113"/>
      <c r="I332" s="100"/>
      <c r="J332" s="113"/>
      <c r="K332" s="82" t="b">
        <v>0</v>
      </c>
      <c r="L332" s="94"/>
      <c r="M332" s="84">
        <f t="shared" si="1"/>
        <v>6590</v>
      </c>
      <c r="N332" s="84"/>
      <c r="O332" s="84"/>
      <c r="P332" s="84"/>
      <c r="Q332" s="84"/>
      <c r="R332" s="86" t="str">
        <f t="shared" si="2"/>
        <v>Prepare for Showcase</v>
      </c>
      <c r="S332" s="82" t="b">
        <v>0</v>
      </c>
      <c r="T332" s="88"/>
      <c r="U332" s="84"/>
      <c r="V332" s="84"/>
      <c r="W332" s="84"/>
      <c r="X332" s="84"/>
      <c r="Y332" s="84"/>
      <c r="Z332" s="84"/>
      <c r="AA332" s="84"/>
    </row>
    <row r="333" ht="26.25" hidden="1" customHeight="1">
      <c r="A333" s="85"/>
      <c r="B333" s="106"/>
      <c r="C333" s="103"/>
      <c r="D333" s="93"/>
      <c r="E333" s="93"/>
      <c r="F333" s="103"/>
      <c r="G333" s="113"/>
      <c r="H333" s="113"/>
      <c r="I333" s="100"/>
      <c r="J333" s="113"/>
      <c r="K333" s="82" t="b">
        <v>0</v>
      </c>
      <c r="L333" s="94"/>
      <c r="M333" s="84">
        <f t="shared" si="1"/>
        <v>6590</v>
      </c>
      <c r="N333" s="84"/>
      <c r="O333" s="84"/>
      <c r="P333" s="84"/>
      <c r="Q333" s="84"/>
      <c r="R333" s="86" t="str">
        <f t="shared" si="2"/>
        <v>Prepare for Showcase</v>
      </c>
      <c r="S333" s="82" t="b">
        <v>0</v>
      </c>
      <c r="T333" s="88"/>
      <c r="U333" s="84"/>
      <c r="V333" s="84"/>
      <c r="W333" s="84"/>
      <c r="X333" s="84"/>
      <c r="Y333" s="84"/>
      <c r="Z333" s="84"/>
      <c r="AA333" s="84"/>
    </row>
    <row r="334" ht="26.25" hidden="1" customHeight="1">
      <c r="A334" s="105"/>
      <c r="B334" s="71"/>
      <c r="C334" s="103"/>
      <c r="D334" s="93"/>
      <c r="E334" s="93"/>
      <c r="F334" s="103"/>
      <c r="G334" s="113"/>
      <c r="H334" s="113"/>
      <c r="I334" s="100"/>
      <c r="J334" s="113"/>
      <c r="K334" s="82" t="b">
        <v>0</v>
      </c>
      <c r="L334" s="94"/>
      <c r="M334" s="84">
        <f t="shared" si="1"/>
        <v>6590</v>
      </c>
      <c r="N334" s="84"/>
      <c r="O334" s="84"/>
      <c r="P334" s="84"/>
      <c r="Q334" s="84"/>
      <c r="R334" s="86" t="str">
        <f t="shared" si="2"/>
        <v>Prepare for Showcase</v>
      </c>
      <c r="S334" s="82" t="b">
        <v>0</v>
      </c>
      <c r="T334" s="88"/>
      <c r="U334" s="84"/>
      <c r="V334" s="84"/>
      <c r="W334" s="84"/>
      <c r="X334" s="84"/>
      <c r="Y334" s="84"/>
      <c r="Z334" s="84"/>
      <c r="AA334" s="84"/>
    </row>
    <row r="335" ht="26.25" hidden="1" customHeight="1">
      <c r="A335" s="85"/>
      <c r="B335" s="106"/>
      <c r="C335" s="103"/>
      <c r="D335" s="93"/>
      <c r="E335" s="93"/>
      <c r="F335" s="103"/>
      <c r="G335" s="113"/>
      <c r="H335" s="113"/>
      <c r="I335" s="100"/>
      <c r="J335" s="113"/>
      <c r="K335" s="82" t="b">
        <v>0</v>
      </c>
      <c r="L335" s="94"/>
      <c r="M335" s="84">
        <f t="shared" si="1"/>
        <v>6590</v>
      </c>
      <c r="N335" s="84"/>
      <c r="O335" s="84"/>
      <c r="P335" s="84"/>
      <c r="Q335" s="84"/>
      <c r="R335" s="86" t="str">
        <f t="shared" si="2"/>
        <v>Prepare for Showcase</v>
      </c>
      <c r="S335" s="82" t="b">
        <v>0</v>
      </c>
      <c r="T335" s="88"/>
      <c r="U335" s="84"/>
      <c r="V335" s="84"/>
      <c r="W335" s="84"/>
      <c r="X335" s="84"/>
      <c r="Y335" s="84"/>
      <c r="Z335" s="84"/>
      <c r="AA335" s="84"/>
    </row>
    <row r="336" ht="26.25" hidden="1" customHeight="1">
      <c r="A336" s="85"/>
      <c r="B336" s="106"/>
      <c r="C336" s="103"/>
      <c r="D336" s="93"/>
      <c r="E336" s="93"/>
      <c r="F336" s="103"/>
      <c r="G336" s="113"/>
      <c r="H336" s="113"/>
      <c r="I336" s="100"/>
      <c r="J336" s="113"/>
      <c r="K336" s="82" t="b">
        <v>0</v>
      </c>
      <c r="L336" s="94"/>
      <c r="M336" s="84">
        <f t="shared" si="1"/>
        <v>6590</v>
      </c>
      <c r="N336" s="84"/>
      <c r="O336" s="84"/>
      <c r="P336" s="84"/>
      <c r="Q336" s="84"/>
      <c r="R336" s="86" t="str">
        <f t="shared" si="2"/>
        <v>Prepare for Showcase</v>
      </c>
      <c r="S336" s="82" t="b">
        <v>0</v>
      </c>
      <c r="T336" s="88"/>
      <c r="U336" s="84"/>
      <c r="V336" s="84"/>
      <c r="W336" s="84"/>
      <c r="X336" s="84"/>
      <c r="Y336" s="84"/>
      <c r="Z336" s="84"/>
      <c r="AA336" s="84"/>
    </row>
    <row r="337" ht="26.25" hidden="1" customHeight="1">
      <c r="A337" s="85"/>
      <c r="B337" s="106"/>
      <c r="C337" s="103"/>
      <c r="D337" s="93"/>
      <c r="E337" s="93"/>
      <c r="F337" s="103"/>
      <c r="G337" s="113"/>
      <c r="H337" s="113"/>
      <c r="I337" s="100"/>
      <c r="J337" s="113"/>
      <c r="K337" s="82" t="b">
        <v>0</v>
      </c>
      <c r="L337" s="94"/>
      <c r="M337" s="84">
        <f t="shared" si="1"/>
        <v>6590</v>
      </c>
      <c r="N337" s="84"/>
      <c r="O337" s="84"/>
      <c r="P337" s="84"/>
      <c r="Q337" s="84"/>
      <c r="R337" s="86" t="str">
        <f t="shared" si="2"/>
        <v>Prepare for Showcase</v>
      </c>
      <c r="S337" s="82" t="b">
        <v>0</v>
      </c>
      <c r="T337" s="88"/>
      <c r="U337" s="84"/>
      <c r="V337" s="84"/>
      <c r="W337" s="84"/>
      <c r="X337" s="84"/>
      <c r="Y337" s="84"/>
      <c r="Z337" s="84"/>
      <c r="AA337" s="84"/>
    </row>
    <row r="338" ht="26.25" hidden="1" customHeight="1">
      <c r="A338" s="85"/>
      <c r="B338" s="106"/>
      <c r="C338" s="103"/>
      <c r="D338" s="93"/>
      <c r="E338" s="93"/>
      <c r="F338" s="103"/>
      <c r="G338" s="113"/>
      <c r="H338" s="113"/>
      <c r="I338" s="100"/>
      <c r="J338" s="113"/>
      <c r="K338" s="82" t="b">
        <v>0</v>
      </c>
      <c r="L338" s="94"/>
      <c r="M338" s="84">
        <f t="shared" si="1"/>
        <v>6590</v>
      </c>
      <c r="N338" s="84"/>
      <c r="O338" s="84"/>
      <c r="P338" s="84"/>
      <c r="Q338" s="84"/>
      <c r="R338" s="86" t="str">
        <f t="shared" si="2"/>
        <v>Prepare for Showcase</v>
      </c>
      <c r="S338" s="82" t="b">
        <v>0</v>
      </c>
      <c r="T338" s="88"/>
      <c r="U338" s="84"/>
      <c r="V338" s="84"/>
      <c r="W338" s="84"/>
      <c r="X338" s="84"/>
      <c r="Y338" s="84"/>
      <c r="Z338" s="84"/>
      <c r="AA338" s="84"/>
    </row>
    <row r="339" ht="26.25" hidden="1" customHeight="1">
      <c r="A339" s="85"/>
      <c r="B339" s="106"/>
      <c r="C339" s="103"/>
      <c r="D339" s="93"/>
      <c r="E339" s="93"/>
      <c r="F339" s="103"/>
      <c r="G339" s="113"/>
      <c r="H339" s="113"/>
      <c r="I339" s="100"/>
      <c r="J339" s="113"/>
      <c r="K339" s="82" t="b">
        <v>0</v>
      </c>
      <c r="L339" s="94"/>
      <c r="M339" s="84">
        <f t="shared" si="1"/>
        <v>6590</v>
      </c>
      <c r="N339" s="84"/>
      <c r="O339" s="84"/>
      <c r="P339" s="84"/>
      <c r="Q339" s="84"/>
      <c r="R339" s="86" t="str">
        <f t="shared" si="2"/>
        <v>Prepare for Showcase</v>
      </c>
      <c r="S339" s="82" t="b">
        <v>0</v>
      </c>
      <c r="T339" s="88"/>
      <c r="U339" s="84"/>
      <c r="V339" s="84"/>
      <c r="W339" s="84"/>
      <c r="X339" s="84"/>
      <c r="Y339" s="84"/>
      <c r="Z339" s="84"/>
      <c r="AA339" s="84"/>
    </row>
    <row r="340" ht="26.25" hidden="1" customHeight="1">
      <c r="A340" s="85"/>
      <c r="B340" s="106"/>
      <c r="C340" s="103"/>
      <c r="D340" s="93"/>
      <c r="E340" s="93"/>
      <c r="F340" s="103"/>
      <c r="G340" s="113"/>
      <c r="H340" s="113"/>
      <c r="I340" s="100"/>
      <c r="J340" s="113"/>
      <c r="K340" s="82" t="b">
        <v>0</v>
      </c>
      <c r="L340" s="94"/>
      <c r="M340" s="84">
        <f t="shared" si="1"/>
        <v>6590</v>
      </c>
      <c r="N340" s="84"/>
      <c r="O340" s="84"/>
      <c r="P340" s="84"/>
      <c r="Q340" s="84"/>
      <c r="R340" s="86" t="str">
        <f t="shared" si="2"/>
        <v>Prepare for Showcase</v>
      </c>
      <c r="S340" s="82" t="b">
        <v>0</v>
      </c>
      <c r="T340" s="88"/>
      <c r="U340" s="84"/>
      <c r="V340" s="84"/>
      <c r="W340" s="84"/>
      <c r="X340" s="84"/>
      <c r="Y340" s="84"/>
      <c r="Z340" s="84"/>
      <c r="AA340" s="84"/>
    </row>
    <row r="341" ht="26.25" hidden="1" customHeight="1">
      <c r="A341" s="85"/>
      <c r="B341" s="106"/>
      <c r="C341" s="103"/>
      <c r="D341" s="93"/>
      <c r="E341" s="93"/>
      <c r="F341" s="103"/>
      <c r="G341" s="113"/>
      <c r="H341" s="113"/>
      <c r="I341" s="100"/>
      <c r="J341" s="113"/>
      <c r="K341" s="82" t="b">
        <v>0</v>
      </c>
      <c r="L341" s="94"/>
      <c r="M341" s="84">
        <f t="shared" si="1"/>
        <v>6590</v>
      </c>
      <c r="N341" s="84"/>
      <c r="O341" s="84"/>
      <c r="P341" s="84"/>
      <c r="Q341" s="84"/>
      <c r="R341" s="86" t="str">
        <f t="shared" si="2"/>
        <v>Prepare for Showcase</v>
      </c>
      <c r="S341" s="82" t="b">
        <v>0</v>
      </c>
      <c r="T341" s="88"/>
      <c r="U341" s="84"/>
      <c r="V341" s="84"/>
      <c r="W341" s="84"/>
      <c r="X341" s="84"/>
      <c r="Y341" s="84"/>
      <c r="Z341" s="84"/>
      <c r="AA341" s="84"/>
    </row>
    <row r="342" ht="26.25" hidden="1" customHeight="1">
      <c r="A342" s="85"/>
      <c r="B342" s="106"/>
      <c r="C342" s="103"/>
      <c r="D342" s="93"/>
      <c r="E342" s="93"/>
      <c r="F342" s="103"/>
      <c r="G342" s="113"/>
      <c r="H342" s="113"/>
      <c r="I342" s="100"/>
      <c r="J342" s="113"/>
      <c r="K342" s="82" t="b">
        <v>0</v>
      </c>
      <c r="L342" s="94"/>
      <c r="M342" s="84">
        <f t="shared" si="1"/>
        <v>6590</v>
      </c>
      <c r="N342" s="84"/>
      <c r="O342" s="84"/>
      <c r="P342" s="84"/>
      <c r="Q342" s="84"/>
      <c r="R342" s="86" t="str">
        <f t="shared" si="2"/>
        <v>Prepare for Showcase</v>
      </c>
      <c r="S342" s="82" t="b">
        <v>0</v>
      </c>
      <c r="T342" s="88"/>
      <c r="U342" s="84"/>
      <c r="V342" s="84"/>
      <c r="W342" s="84"/>
      <c r="X342" s="84"/>
      <c r="Y342" s="84"/>
      <c r="Z342" s="84"/>
      <c r="AA342" s="84"/>
    </row>
    <row r="343" ht="26.25" hidden="1" customHeight="1">
      <c r="A343" s="85"/>
      <c r="B343" s="106"/>
      <c r="C343" s="103"/>
      <c r="D343" s="93"/>
      <c r="E343" s="93"/>
      <c r="F343" s="103"/>
      <c r="G343" s="113"/>
      <c r="H343" s="113"/>
      <c r="I343" s="100"/>
      <c r="J343" s="113"/>
      <c r="K343" s="82" t="b">
        <v>0</v>
      </c>
      <c r="L343" s="94"/>
      <c r="M343" s="84">
        <f t="shared" si="1"/>
        <v>6590</v>
      </c>
      <c r="N343" s="84"/>
      <c r="O343" s="84"/>
      <c r="P343" s="84"/>
      <c r="Q343" s="84"/>
      <c r="R343" s="86" t="str">
        <f t="shared" si="2"/>
        <v>Prepare for Showcase</v>
      </c>
      <c r="S343" s="82" t="b">
        <v>0</v>
      </c>
      <c r="T343" s="88"/>
      <c r="U343" s="84"/>
      <c r="V343" s="84"/>
      <c r="W343" s="84"/>
      <c r="X343" s="84"/>
      <c r="Y343" s="84"/>
      <c r="Z343" s="84"/>
      <c r="AA343" s="84"/>
    </row>
    <row r="344" ht="26.25" hidden="1" customHeight="1">
      <c r="A344" s="85"/>
      <c r="B344" s="106"/>
      <c r="C344" s="103"/>
      <c r="D344" s="93"/>
      <c r="E344" s="93"/>
      <c r="F344" s="103"/>
      <c r="G344" s="113"/>
      <c r="H344" s="113"/>
      <c r="I344" s="100"/>
      <c r="J344" s="113"/>
      <c r="K344" s="82" t="b">
        <v>0</v>
      </c>
      <c r="L344" s="94"/>
      <c r="M344" s="84">
        <f t="shared" si="1"/>
        <v>6590</v>
      </c>
      <c r="N344" s="84"/>
      <c r="O344" s="84"/>
      <c r="P344" s="84"/>
      <c r="Q344" s="84"/>
      <c r="R344" s="86" t="str">
        <f t="shared" si="2"/>
        <v>Prepare for Showcase</v>
      </c>
      <c r="S344" s="82" t="b">
        <v>0</v>
      </c>
      <c r="T344" s="88"/>
      <c r="U344" s="84"/>
      <c r="V344" s="84"/>
      <c r="W344" s="84"/>
      <c r="X344" s="84"/>
      <c r="Y344" s="84"/>
      <c r="Z344" s="84"/>
      <c r="AA344" s="84"/>
    </row>
    <row r="345" ht="26.25" hidden="1" customHeight="1">
      <c r="A345" s="85"/>
      <c r="B345" s="106"/>
      <c r="C345" s="103"/>
      <c r="D345" s="93"/>
      <c r="E345" s="93"/>
      <c r="F345" s="103"/>
      <c r="G345" s="113"/>
      <c r="H345" s="113"/>
      <c r="I345" s="100"/>
      <c r="J345" s="113"/>
      <c r="K345" s="82" t="b">
        <v>0</v>
      </c>
      <c r="L345" s="94"/>
      <c r="M345" s="84">
        <f t="shared" si="1"/>
        <v>6590</v>
      </c>
      <c r="N345" s="84"/>
      <c r="O345" s="84"/>
      <c r="P345" s="84"/>
      <c r="Q345" s="84"/>
      <c r="R345" s="86" t="str">
        <f t="shared" si="2"/>
        <v>Prepare for Showcase</v>
      </c>
      <c r="S345" s="82" t="b">
        <v>0</v>
      </c>
      <c r="T345" s="88"/>
      <c r="U345" s="84"/>
      <c r="V345" s="84"/>
      <c r="W345" s="84"/>
      <c r="X345" s="84"/>
      <c r="Y345" s="84"/>
      <c r="Z345" s="84"/>
      <c r="AA345" s="84"/>
    </row>
    <row r="346" ht="26.25" hidden="1" customHeight="1">
      <c r="A346" s="85"/>
      <c r="B346" s="106"/>
      <c r="C346" s="103"/>
      <c r="D346" s="93"/>
      <c r="E346" s="93"/>
      <c r="F346" s="103"/>
      <c r="G346" s="113"/>
      <c r="H346" s="113"/>
      <c r="I346" s="100"/>
      <c r="J346" s="113"/>
      <c r="K346" s="82" t="b">
        <v>0</v>
      </c>
      <c r="L346" s="94"/>
      <c r="M346" s="84">
        <f t="shared" si="1"/>
        <v>6590</v>
      </c>
      <c r="N346" s="84"/>
      <c r="O346" s="84"/>
      <c r="P346" s="84"/>
      <c r="Q346" s="84"/>
      <c r="R346" s="86" t="str">
        <f t="shared" si="2"/>
        <v>Prepare for Showcase</v>
      </c>
      <c r="S346" s="82" t="b">
        <v>0</v>
      </c>
      <c r="T346" s="88"/>
      <c r="U346" s="84"/>
      <c r="V346" s="84"/>
      <c r="W346" s="84"/>
      <c r="X346" s="84"/>
      <c r="Y346" s="84"/>
      <c r="Z346" s="84"/>
      <c r="AA346" s="84"/>
    </row>
    <row r="347" ht="26.25" hidden="1" customHeight="1">
      <c r="A347" s="85"/>
      <c r="B347" s="106"/>
      <c r="C347" s="103"/>
      <c r="D347" s="93"/>
      <c r="E347" s="93"/>
      <c r="F347" s="103"/>
      <c r="G347" s="113"/>
      <c r="H347" s="113"/>
      <c r="I347" s="100"/>
      <c r="J347" s="113"/>
      <c r="K347" s="82" t="b">
        <v>0</v>
      </c>
      <c r="L347" s="94"/>
      <c r="M347" s="84">
        <f t="shared" si="1"/>
        <v>6590</v>
      </c>
      <c r="N347" s="84"/>
      <c r="O347" s="84"/>
      <c r="P347" s="84"/>
      <c r="Q347" s="84"/>
      <c r="R347" s="86" t="str">
        <f t="shared" si="2"/>
        <v>Prepare for Showcase</v>
      </c>
      <c r="S347" s="82" t="b">
        <v>0</v>
      </c>
      <c r="T347" s="88"/>
      <c r="U347" s="84"/>
      <c r="V347" s="84"/>
      <c r="W347" s="84"/>
      <c r="X347" s="84"/>
      <c r="Y347" s="84"/>
      <c r="Z347" s="84"/>
      <c r="AA347" s="84"/>
    </row>
    <row r="348" ht="26.25" hidden="1" customHeight="1">
      <c r="A348" s="85"/>
      <c r="B348" s="106"/>
      <c r="C348" s="103"/>
      <c r="D348" s="93"/>
      <c r="E348" s="93"/>
      <c r="F348" s="103"/>
      <c r="G348" s="113"/>
      <c r="H348" s="113"/>
      <c r="I348" s="100"/>
      <c r="J348" s="113"/>
      <c r="K348" s="82" t="b">
        <v>0</v>
      </c>
      <c r="L348" s="94"/>
      <c r="M348" s="84">
        <f t="shared" si="1"/>
        <v>6590</v>
      </c>
      <c r="N348" s="84"/>
      <c r="O348" s="84"/>
      <c r="P348" s="84"/>
      <c r="Q348" s="84"/>
      <c r="R348" s="86" t="str">
        <f t="shared" si="2"/>
        <v>Prepare for Showcase</v>
      </c>
      <c r="S348" s="82" t="b">
        <v>0</v>
      </c>
      <c r="T348" s="88"/>
      <c r="U348" s="84"/>
      <c r="V348" s="84"/>
      <c r="W348" s="84"/>
      <c r="X348" s="84"/>
      <c r="Y348" s="84"/>
      <c r="Z348" s="84"/>
      <c r="AA348" s="84"/>
    </row>
    <row r="349" ht="26.25" hidden="1" customHeight="1">
      <c r="A349" s="85"/>
      <c r="B349" s="106"/>
      <c r="C349" s="103"/>
      <c r="D349" s="93"/>
      <c r="E349" s="93"/>
      <c r="F349" s="103"/>
      <c r="G349" s="113"/>
      <c r="H349" s="113"/>
      <c r="I349" s="100"/>
      <c r="J349" s="113"/>
      <c r="K349" s="82" t="b">
        <v>0</v>
      </c>
      <c r="L349" s="94"/>
      <c r="M349" s="84">
        <f t="shared" si="1"/>
        <v>6590</v>
      </c>
      <c r="N349" s="84"/>
      <c r="O349" s="84"/>
      <c r="P349" s="84"/>
      <c r="Q349" s="84"/>
      <c r="R349" s="86" t="str">
        <f t="shared" si="2"/>
        <v>Prepare for Showcase</v>
      </c>
      <c r="S349" s="82" t="b">
        <v>0</v>
      </c>
      <c r="T349" s="88"/>
      <c r="U349" s="84"/>
      <c r="V349" s="84"/>
      <c r="W349" s="84"/>
      <c r="X349" s="84"/>
      <c r="Y349" s="84"/>
      <c r="Z349" s="84"/>
      <c r="AA349" s="84"/>
    </row>
    <row r="350" ht="26.25" hidden="1" customHeight="1">
      <c r="A350" s="85"/>
      <c r="B350" s="106"/>
      <c r="C350" s="103"/>
      <c r="D350" s="93"/>
      <c r="E350" s="93"/>
      <c r="F350" s="103"/>
      <c r="G350" s="113"/>
      <c r="H350" s="113"/>
      <c r="I350" s="100"/>
      <c r="J350" s="113"/>
      <c r="K350" s="82" t="b">
        <v>0</v>
      </c>
      <c r="L350" s="94"/>
      <c r="M350" s="84">
        <f t="shared" si="1"/>
        <v>6590</v>
      </c>
      <c r="N350" s="84"/>
      <c r="O350" s="84"/>
      <c r="P350" s="84"/>
      <c r="Q350" s="84"/>
      <c r="R350" s="86" t="str">
        <f t="shared" si="2"/>
        <v>Prepare for Showcase</v>
      </c>
      <c r="S350" s="82" t="b">
        <v>0</v>
      </c>
      <c r="T350" s="88"/>
      <c r="U350" s="84"/>
      <c r="V350" s="84"/>
      <c r="W350" s="84"/>
      <c r="X350" s="84"/>
      <c r="Y350" s="84"/>
      <c r="Z350" s="84"/>
      <c r="AA350" s="84"/>
    </row>
    <row r="351" ht="26.25" hidden="1" customHeight="1">
      <c r="A351" s="85"/>
      <c r="B351" s="106"/>
      <c r="C351" s="103"/>
      <c r="D351" s="93"/>
      <c r="E351" s="93"/>
      <c r="F351" s="103"/>
      <c r="G351" s="113"/>
      <c r="H351" s="113"/>
      <c r="I351" s="100"/>
      <c r="J351" s="113"/>
      <c r="K351" s="82" t="b">
        <v>0</v>
      </c>
      <c r="L351" s="94"/>
      <c r="M351" s="84">
        <f t="shared" si="1"/>
        <v>6590</v>
      </c>
      <c r="N351" s="84"/>
      <c r="O351" s="84"/>
      <c r="P351" s="84"/>
      <c r="Q351" s="84"/>
      <c r="R351" s="86" t="str">
        <f t="shared" si="2"/>
        <v>Prepare for Showcase</v>
      </c>
      <c r="S351" s="82" t="b">
        <v>0</v>
      </c>
      <c r="T351" s="88"/>
      <c r="U351" s="84"/>
      <c r="V351" s="84"/>
      <c r="W351" s="84"/>
      <c r="X351" s="84"/>
      <c r="Y351" s="84"/>
      <c r="Z351" s="84"/>
      <c r="AA351" s="84"/>
    </row>
    <row r="352" ht="26.25" hidden="1" customHeight="1">
      <c r="A352" s="85"/>
      <c r="B352" s="106"/>
      <c r="C352" s="103"/>
      <c r="D352" s="93"/>
      <c r="E352" s="93"/>
      <c r="F352" s="103"/>
      <c r="G352" s="113"/>
      <c r="H352" s="113"/>
      <c r="I352" s="100"/>
      <c r="J352" s="113"/>
      <c r="K352" s="82" t="b">
        <v>0</v>
      </c>
      <c r="L352" s="94"/>
      <c r="M352" s="84">
        <f t="shared" si="1"/>
        <v>6590</v>
      </c>
      <c r="N352" s="84"/>
      <c r="O352" s="84"/>
      <c r="P352" s="84"/>
      <c r="Q352" s="84"/>
      <c r="R352" s="86" t="str">
        <f t="shared" si="2"/>
        <v>Prepare for Showcase</v>
      </c>
      <c r="S352" s="82" t="b">
        <v>0</v>
      </c>
      <c r="T352" s="88"/>
      <c r="U352" s="84"/>
      <c r="V352" s="84"/>
      <c r="W352" s="84"/>
      <c r="X352" s="84"/>
      <c r="Y352" s="84"/>
      <c r="Z352" s="84"/>
      <c r="AA352" s="84"/>
    </row>
    <row r="353" ht="26.25" hidden="1" customHeight="1">
      <c r="A353" s="85"/>
      <c r="B353" s="106"/>
      <c r="C353" s="103"/>
      <c r="D353" s="93"/>
      <c r="E353" s="93"/>
      <c r="F353" s="103"/>
      <c r="G353" s="113"/>
      <c r="H353" s="113"/>
      <c r="I353" s="100"/>
      <c r="J353" s="113"/>
      <c r="K353" s="82" t="b">
        <v>0</v>
      </c>
      <c r="L353" s="94"/>
      <c r="M353" s="84">
        <f t="shared" si="1"/>
        <v>6590</v>
      </c>
      <c r="N353" s="84"/>
      <c r="O353" s="84"/>
      <c r="P353" s="84"/>
      <c r="Q353" s="84"/>
      <c r="R353" s="86" t="str">
        <f t="shared" si="2"/>
        <v>Prepare for Showcase</v>
      </c>
      <c r="S353" s="82" t="b">
        <v>0</v>
      </c>
      <c r="T353" s="88"/>
      <c r="U353" s="84"/>
      <c r="V353" s="84"/>
      <c r="W353" s="84"/>
      <c r="X353" s="84"/>
      <c r="Y353" s="84"/>
      <c r="Z353" s="84"/>
      <c r="AA353" s="84"/>
    </row>
    <row r="354" ht="26.25" hidden="1" customHeight="1">
      <c r="A354" s="85"/>
      <c r="B354" s="106"/>
      <c r="C354" s="103"/>
      <c r="D354" s="93"/>
      <c r="E354" s="93"/>
      <c r="F354" s="103"/>
      <c r="G354" s="113"/>
      <c r="H354" s="113"/>
      <c r="I354" s="100"/>
      <c r="J354" s="113"/>
      <c r="K354" s="82" t="b">
        <v>0</v>
      </c>
      <c r="L354" s="94"/>
      <c r="M354" s="84">
        <f t="shared" si="1"/>
        <v>6590</v>
      </c>
      <c r="N354" s="84"/>
      <c r="O354" s="84"/>
      <c r="P354" s="84"/>
      <c r="Q354" s="84"/>
      <c r="R354" s="86" t="str">
        <f t="shared" si="2"/>
        <v>Prepare for Showcase</v>
      </c>
      <c r="S354" s="82" t="b">
        <v>0</v>
      </c>
      <c r="T354" s="88"/>
      <c r="U354" s="84"/>
      <c r="V354" s="84"/>
      <c r="W354" s="84"/>
      <c r="X354" s="84"/>
      <c r="Y354" s="84"/>
      <c r="Z354" s="84"/>
      <c r="AA354" s="84"/>
    </row>
    <row r="355" ht="26.25" hidden="1" customHeight="1">
      <c r="A355" s="85"/>
      <c r="B355" s="106"/>
      <c r="C355" s="103"/>
      <c r="D355" s="93"/>
      <c r="E355" s="93"/>
      <c r="F355" s="103"/>
      <c r="G355" s="113"/>
      <c r="H355" s="113"/>
      <c r="I355" s="100"/>
      <c r="J355" s="113"/>
      <c r="K355" s="82" t="b">
        <v>0</v>
      </c>
      <c r="L355" s="94"/>
      <c r="M355" s="84">
        <f t="shared" si="1"/>
        <v>6590</v>
      </c>
      <c r="N355" s="84"/>
      <c r="O355" s="84"/>
      <c r="P355" s="84"/>
      <c r="Q355" s="84"/>
      <c r="R355" s="86" t="str">
        <f t="shared" si="2"/>
        <v>Prepare for Showcase</v>
      </c>
      <c r="S355" s="82" t="b">
        <v>0</v>
      </c>
      <c r="T355" s="88"/>
      <c r="U355" s="84"/>
      <c r="V355" s="84"/>
      <c r="W355" s="84"/>
      <c r="X355" s="84"/>
      <c r="Y355" s="84"/>
      <c r="Z355" s="84"/>
      <c r="AA355" s="84"/>
    </row>
    <row r="356" ht="26.25" hidden="1" customHeight="1">
      <c r="A356" s="85"/>
      <c r="B356" s="106"/>
      <c r="C356" s="103"/>
      <c r="D356" s="93"/>
      <c r="E356" s="93"/>
      <c r="F356" s="103"/>
      <c r="G356" s="113"/>
      <c r="H356" s="113"/>
      <c r="I356" s="100"/>
      <c r="J356" s="113"/>
      <c r="K356" s="82" t="b">
        <v>0</v>
      </c>
      <c r="L356" s="94"/>
      <c r="M356" s="84">
        <f t="shared" si="1"/>
        <v>6590</v>
      </c>
      <c r="N356" s="84"/>
      <c r="O356" s="84"/>
      <c r="P356" s="84"/>
      <c r="Q356" s="84"/>
      <c r="R356" s="86" t="str">
        <f t="shared" si="2"/>
        <v>Prepare for Showcase</v>
      </c>
      <c r="S356" s="82" t="b">
        <v>0</v>
      </c>
      <c r="T356" s="88"/>
      <c r="U356" s="84"/>
      <c r="V356" s="84"/>
      <c r="W356" s="84"/>
      <c r="X356" s="84"/>
      <c r="Y356" s="84"/>
      <c r="Z356" s="84"/>
      <c r="AA356" s="84"/>
    </row>
    <row r="357" ht="26.25" hidden="1" customHeight="1">
      <c r="A357" s="85"/>
      <c r="B357" s="106"/>
      <c r="C357" s="103"/>
      <c r="D357" s="93"/>
      <c r="E357" s="93"/>
      <c r="F357" s="103"/>
      <c r="G357" s="113"/>
      <c r="H357" s="113"/>
      <c r="I357" s="100"/>
      <c r="J357" s="113"/>
      <c r="K357" s="82" t="b">
        <v>0</v>
      </c>
      <c r="L357" s="94"/>
      <c r="M357" s="84">
        <f t="shared" si="1"/>
        <v>6590</v>
      </c>
      <c r="N357" s="84"/>
      <c r="O357" s="84"/>
      <c r="P357" s="84"/>
      <c r="Q357" s="84"/>
      <c r="R357" s="86" t="str">
        <f t="shared" si="2"/>
        <v>Prepare for Showcase</v>
      </c>
      <c r="S357" s="82" t="b">
        <v>0</v>
      </c>
      <c r="T357" s="88"/>
      <c r="U357" s="84"/>
      <c r="V357" s="84"/>
      <c r="W357" s="84"/>
      <c r="X357" s="84"/>
      <c r="Y357" s="84"/>
      <c r="Z357" s="84"/>
      <c r="AA357" s="84"/>
    </row>
    <row r="358" ht="26.25" hidden="1" customHeight="1">
      <c r="A358" s="85"/>
      <c r="B358" s="106"/>
      <c r="C358" s="103"/>
      <c r="D358" s="93"/>
      <c r="E358" s="93"/>
      <c r="F358" s="103"/>
      <c r="G358" s="113"/>
      <c r="H358" s="113"/>
      <c r="I358" s="100"/>
      <c r="J358" s="113"/>
      <c r="K358" s="82" t="b">
        <v>0</v>
      </c>
      <c r="L358" s="94"/>
      <c r="M358" s="84">
        <f t="shared" si="1"/>
        <v>6590</v>
      </c>
      <c r="N358" s="84"/>
      <c r="O358" s="84"/>
      <c r="P358" s="84"/>
      <c r="Q358" s="84"/>
      <c r="R358" s="86" t="str">
        <f t="shared" si="2"/>
        <v>Prepare for Showcase</v>
      </c>
      <c r="S358" s="82" t="b">
        <v>0</v>
      </c>
      <c r="T358" s="88"/>
      <c r="U358" s="84"/>
      <c r="V358" s="84"/>
      <c r="W358" s="84"/>
      <c r="X358" s="84"/>
      <c r="Y358" s="84"/>
      <c r="Z358" s="84"/>
      <c r="AA358" s="84"/>
    </row>
    <row r="359" ht="26.25" hidden="1" customHeight="1">
      <c r="A359" s="85"/>
      <c r="B359" s="106"/>
      <c r="C359" s="103"/>
      <c r="D359" s="93"/>
      <c r="E359" s="93"/>
      <c r="F359" s="103"/>
      <c r="G359" s="113"/>
      <c r="H359" s="113"/>
      <c r="I359" s="100"/>
      <c r="J359" s="113"/>
      <c r="K359" s="82" t="b">
        <v>0</v>
      </c>
      <c r="L359" s="94"/>
      <c r="M359" s="84">
        <f t="shared" si="1"/>
        <v>6590</v>
      </c>
      <c r="N359" s="84"/>
      <c r="O359" s="84"/>
      <c r="P359" s="84"/>
      <c r="Q359" s="84"/>
      <c r="R359" s="86" t="str">
        <f t="shared" si="2"/>
        <v>Prepare for Showcase</v>
      </c>
      <c r="S359" s="82" t="b">
        <v>0</v>
      </c>
      <c r="T359" s="88"/>
      <c r="U359" s="84"/>
      <c r="V359" s="84"/>
      <c r="W359" s="84"/>
      <c r="X359" s="84"/>
      <c r="Y359" s="84"/>
      <c r="Z359" s="84"/>
      <c r="AA359" s="84"/>
    </row>
    <row r="360" ht="26.25" hidden="1" customHeight="1">
      <c r="A360" s="85"/>
      <c r="B360" s="106"/>
      <c r="C360" s="103"/>
      <c r="D360" s="93"/>
      <c r="E360" s="93"/>
      <c r="F360" s="103"/>
      <c r="G360" s="113"/>
      <c r="H360" s="113"/>
      <c r="I360" s="100"/>
      <c r="J360" s="113"/>
      <c r="K360" s="82" t="b">
        <v>0</v>
      </c>
      <c r="L360" s="94"/>
      <c r="M360" s="84">
        <f t="shared" si="1"/>
        <v>6590</v>
      </c>
      <c r="N360" s="84"/>
      <c r="O360" s="84"/>
      <c r="P360" s="84"/>
      <c r="Q360" s="84"/>
      <c r="R360" s="86" t="str">
        <f t="shared" si="2"/>
        <v>Prepare for Showcase</v>
      </c>
      <c r="S360" s="82" t="b">
        <v>0</v>
      </c>
      <c r="T360" s="88"/>
      <c r="U360" s="84"/>
      <c r="V360" s="84"/>
      <c r="W360" s="84"/>
      <c r="X360" s="84"/>
      <c r="Y360" s="84"/>
      <c r="Z360" s="84"/>
      <c r="AA360" s="84"/>
    </row>
    <row r="361" ht="26.25" hidden="1" customHeight="1">
      <c r="A361" s="85"/>
      <c r="B361" s="106"/>
      <c r="C361" s="103"/>
      <c r="D361" s="93"/>
      <c r="E361" s="93"/>
      <c r="F361" s="103"/>
      <c r="G361" s="113"/>
      <c r="H361" s="113"/>
      <c r="I361" s="100"/>
      <c r="J361" s="113"/>
      <c r="K361" s="82" t="b">
        <v>0</v>
      </c>
      <c r="L361" s="94"/>
      <c r="M361" s="84">
        <f t="shared" si="1"/>
        <v>6590</v>
      </c>
      <c r="N361" s="84"/>
      <c r="O361" s="84"/>
      <c r="P361" s="84"/>
      <c r="Q361" s="84"/>
      <c r="R361" s="86" t="str">
        <f t="shared" si="2"/>
        <v>Prepare for Showcase</v>
      </c>
      <c r="S361" s="82" t="b">
        <v>0</v>
      </c>
      <c r="T361" s="88"/>
      <c r="U361" s="84"/>
      <c r="V361" s="84"/>
      <c r="W361" s="84"/>
      <c r="X361" s="84"/>
      <c r="Y361" s="84"/>
      <c r="Z361" s="84"/>
      <c r="AA361" s="84"/>
    </row>
    <row r="362" ht="26.25" hidden="1" customHeight="1">
      <c r="A362" s="85"/>
      <c r="B362" s="106"/>
      <c r="C362" s="103"/>
      <c r="D362" s="93"/>
      <c r="E362" s="93"/>
      <c r="F362" s="103"/>
      <c r="G362" s="113"/>
      <c r="H362" s="113"/>
      <c r="I362" s="100"/>
      <c r="J362" s="113"/>
      <c r="K362" s="82" t="b">
        <v>0</v>
      </c>
      <c r="L362" s="94"/>
      <c r="M362" s="84">
        <f t="shared" si="1"/>
        <v>6590</v>
      </c>
      <c r="N362" s="84"/>
      <c r="O362" s="84"/>
      <c r="P362" s="84"/>
      <c r="Q362" s="84"/>
      <c r="R362" s="86" t="str">
        <f t="shared" si="2"/>
        <v>Prepare for Showcase</v>
      </c>
      <c r="S362" s="82" t="b">
        <v>0</v>
      </c>
      <c r="T362" s="88"/>
      <c r="U362" s="84"/>
      <c r="V362" s="84"/>
      <c r="W362" s="84"/>
      <c r="X362" s="84"/>
      <c r="Y362" s="84"/>
      <c r="Z362" s="84"/>
      <c r="AA362" s="84"/>
    </row>
    <row r="363" ht="26.25" hidden="1" customHeight="1">
      <c r="A363" s="85"/>
      <c r="B363" s="106"/>
      <c r="C363" s="103"/>
      <c r="D363" s="93"/>
      <c r="E363" s="93"/>
      <c r="F363" s="103"/>
      <c r="G363" s="113"/>
      <c r="H363" s="113"/>
      <c r="I363" s="100"/>
      <c r="J363" s="113"/>
      <c r="K363" s="82" t="b">
        <v>0</v>
      </c>
      <c r="L363" s="94"/>
      <c r="M363" s="84">
        <f t="shared" si="1"/>
        <v>6590</v>
      </c>
      <c r="N363" s="84"/>
      <c r="O363" s="84"/>
      <c r="P363" s="84"/>
      <c r="Q363" s="84"/>
      <c r="R363" s="86" t="str">
        <f t="shared" si="2"/>
        <v>Prepare for Showcase</v>
      </c>
      <c r="S363" s="82" t="b">
        <v>0</v>
      </c>
      <c r="T363" s="88"/>
      <c r="U363" s="84"/>
      <c r="V363" s="84"/>
      <c r="W363" s="84"/>
      <c r="X363" s="84"/>
      <c r="Y363" s="84"/>
      <c r="Z363" s="84"/>
      <c r="AA363" s="84"/>
    </row>
    <row r="364" ht="26.25" hidden="1" customHeight="1">
      <c r="A364" s="85"/>
      <c r="B364" s="106"/>
      <c r="C364" s="103"/>
      <c r="D364" s="93"/>
      <c r="E364" s="93"/>
      <c r="F364" s="103"/>
      <c r="G364" s="113"/>
      <c r="H364" s="113"/>
      <c r="I364" s="100"/>
      <c r="J364" s="113"/>
      <c r="K364" s="82" t="b">
        <v>0</v>
      </c>
      <c r="L364" s="94"/>
      <c r="M364" s="84">
        <f t="shared" si="1"/>
        <v>6590</v>
      </c>
      <c r="N364" s="84"/>
      <c r="O364" s="84"/>
      <c r="P364" s="84"/>
      <c r="Q364" s="84"/>
      <c r="R364" s="86" t="str">
        <f t="shared" si="2"/>
        <v>Prepare for Showcase</v>
      </c>
      <c r="S364" s="82" t="b">
        <v>0</v>
      </c>
      <c r="T364" s="88"/>
      <c r="U364" s="84"/>
      <c r="V364" s="84"/>
      <c r="W364" s="84"/>
      <c r="X364" s="84"/>
      <c r="Y364" s="84"/>
      <c r="Z364" s="84"/>
      <c r="AA364" s="84"/>
    </row>
    <row r="365" ht="26.25" hidden="1" customHeight="1">
      <c r="A365" s="85"/>
      <c r="B365" s="106"/>
      <c r="C365" s="103"/>
      <c r="D365" s="93"/>
      <c r="E365" s="93"/>
      <c r="F365" s="103"/>
      <c r="G365" s="113"/>
      <c r="H365" s="113"/>
      <c r="I365" s="100"/>
      <c r="J365" s="113"/>
      <c r="K365" s="82" t="b">
        <v>0</v>
      </c>
      <c r="L365" s="94"/>
      <c r="M365" s="84">
        <f t="shared" si="1"/>
        <v>6590</v>
      </c>
      <c r="N365" s="84"/>
      <c r="O365" s="84"/>
      <c r="P365" s="84"/>
      <c r="Q365" s="84"/>
      <c r="R365" s="86" t="str">
        <f t="shared" si="2"/>
        <v>Prepare for Showcase</v>
      </c>
      <c r="S365" s="82" t="b">
        <v>0</v>
      </c>
      <c r="T365" s="88"/>
      <c r="U365" s="84"/>
      <c r="V365" s="84"/>
      <c r="W365" s="84"/>
      <c r="X365" s="84"/>
      <c r="Y365" s="84"/>
      <c r="Z365" s="84"/>
      <c r="AA365" s="84"/>
    </row>
    <row r="366" ht="26.25" hidden="1" customHeight="1">
      <c r="A366" s="85"/>
      <c r="B366" s="106"/>
      <c r="C366" s="103"/>
      <c r="D366" s="93"/>
      <c r="E366" s="93"/>
      <c r="F366" s="103"/>
      <c r="G366" s="113"/>
      <c r="H366" s="113"/>
      <c r="I366" s="100"/>
      <c r="J366" s="113"/>
      <c r="K366" s="82" t="b">
        <v>0</v>
      </c>
      <c r="L366" s="94"/>
      <c r="M366" s="84">
        <f t="shared" si="1"/>
        <v>6590</v>
      </c>
      <c r="N366" s="84"/>
      <c r="O366" s="84"/>
      <c r="P366" s="84"/>
      <c r="Q366" s="84"/>
      <c r="R366" s="86" t="str">
        <f t="shared" si="2"/>
        <v>Prepare for Showcase</v>
      </c>
      <c r="S366" s="82" t="b">
        <v>0</v>
      </c>
      <c r="T366" s="88"/>
      <c r="U366" s="84"/>
      <c r="V366" s="84"/>
      <c r="W366" s="84"/>
      <c r="X366" s="84"/>
      <c r="Y366" s="84"/>
      <c r="Z366" s="84"/>
      <c r="AA366" s="84"/>
    </row>
    <row r="367" ht="26.25" hidden="1" customHeight="1">
      <c r="A367" s="85"/>
      <c r="B367" s="106"/>
      <c r="C367" s="103"/>
      <c r="D367" s="93"/>
      <c r="E367" s="93"/>
      <c r="F367" s="103"/>
      <c r="G367" s="113"/>
      <c r="H367" s="113"/>
      <c r="I367" s="100"/>
      <c r="J367" s="113"/>
      <c r="K367" s="82" t="b">
        <v>0</v>
      </c>
      <c r="L367" s="94"/>
      <c r="M367" s="84">
        <f t="shared" si="1"/>
        <v>6590</v>
      </c>
      <c r="N367" s="84"/>
      <c r="O367" s="84"/>
      <c r="P367" s="84"/>
      <c r="Q367" s="84"/>
      <c r="R367" s="86" t="str">
        <f t="shared" si="2"/>
        <v>Prepare for Showcase</v>
      </c>
      <c r="S367" s="82" t="b">
        <v>0</v>
      </c>
      <c r="T367" s="88"/>
      <c r="U367" s="84"/>
      <c r="V367" s="84"/>
      <c r="W367" s="84"/>
      <c r="X367" s="84"/>
      <c r="Y367" s="84"/>
      <c r="Z367" s="84"/>
      <c r="AA367" s="84"/>
    </row>
    <row r="368" ht="26.25" hidden="1" customHeight="1">
      <c r="A368" s="85"/>
      <c r="B368" s="106"/>
      <c r="C368" s="103"/>
      <c r="D368" s="93"/>
      <c r="E368" s="93"/>
      <c r="F368" s="103"/>
      <c r="G368" s="113"/>
      <c r="H368" s="113"/>
      <c r="I368" s="100"/>
      <c r="J368" s="113"/>
      <c r="K368" s="82" t="b">
        <v>0</v>
      </c>
      <c r="L368" s="94"/>
      <c r="M368" s="84">
        <f t="shared" si="1"/>
        <v>6590</v>
      </c>
      <c r="N368" s="84"/>
      <c r="O368" s="84"/>
      <c r="P368" s="84"/>
      <c r="Q368" s="84"/>
      <c r="R368" s="86" t="str">
        <f t="shared" si="2"/>
        <v>Prepare for Showcase</v>
      </c>
      <c r="S368" s="82" t="b">
        <v>0</v>
      </c>
      <c r="T368" s="88"/>
      <c r="U368" s="84"/>
      <c r="V368" s="84"/>
      <c r="W368" s="84"/>
      <c r="X368" s="84"/>
      <c r="Y368" s="84"/>
      <c r="Z368" s="84"/>
      <c r="AA368" s="84"/>
    </row>
    <row r="369" ht="26.25" hidden="1" customHeight="1">
      <c r="A369" s="85"/>
      <c r="B369" s="106"/>
      <c r="C369" s="103"/>
      <c r="D369" s="93"/>
      <c r="E369" s="93"/>
      <c r="F369" s="103"/>
      <c r="G369" s="113"/>
      <c r="H369" s="113"/>
      <c r="I369" s="100"/>
      <c r="J369" s="113"/>
      <c r="K369" s="82" t="b">
        <v>0</v>
      </c>
      <c r="L369" s="94"/>
      <c r="M369" s="84">
        <f t="shared" si="1"/>
        <v>6590</v>
      </c>
      <c r="N369" s="84"/>
      <c r="O369" s="84"/>
      <c r="P369" s="84"/>
      <c r="Q369" s="84"/>
      <c r="R369" s="86" t="str">
        <f t="shared" si="2"/>
        <v>Prepare for Showcase</v>
      </c>
      <c r="S369" s="82" t="b">
        <v>0</v>
      </c>
      <c r="T369" s="88"/>
      <c r="U369" s="84"/>
      <c r="V369" s="84"/>
      <c r="W369" s="84"/>
      <c r="X369" s="84"/>
      <c r="Y369" s="84"/>
      <c r="Z369" s="84"/>
      <c r="AA369" s="84"/>
    </row>
    <row r="370" ht="26.25" hidden="1" customHeight="1">
      <c r="A370" s="85"/>
      <c r="B370" s="106"/>
      <c r="C370" s="103"/>
      <c r="D370" s="93"/>
      <c r="E370" s="93"/>
      <c r="F370" s="103"/>
      <c r="G370" s="113"/>
      <c r="H370" s="113"/>
      <c r="I370" s="100"/>
      <c r="J370" s="113"/>
      <c r="K370" s="82" t="b">
        <v>0</v>
      </c>
      <c r="L370" s="94"/>
      <c r="M370" s="84">
        <f t="shared" si="1"/>
        <v>6590</v>
      </c>
      <c r="N370" s="84"/>
      <c r="O370" s="84"/>
      <c r="P370" s="84"/>
      <c r="Q370" s="84"/>
      <c r="R370" s="86" t="str">
        <f t="shared" si="2"/>
        <v>Prepare for Showcase</v>
      </c>
      <c r="S370" s="82" t="b">
        <v>0</v>
      </c>
      <c r="T370" s="88"/>
      <c r="U370" s="84"/>
      <c r="V370" s="84"/>
      <c r="W370" s="84"/>
      <c r="X370" s="84"/>
      <c r="Y370" s="84"/>
      <c r="Z370" s="84"/>
      <c r="AA370" s="84"/>
    </row>
    <row r="371" ht="26.25" hidden="1" customHeight="1">
      <c r="A371" s="85"/>
      <c r="B371" s="106"/>
      <c r="C371" s="103"/>
      <c r="D371" s="93"/>
      <c r="E371" s="93"/>
      <c r="F371" s="103"/>
      <c r="G371" s="113"/>
      <c r="H371" s="113"/>
      <c r="I371" s="100"/>
      <c r="J371" s="113"/>
      <c r="K371" s="82" t="b">
        <v>0</v>
      </c>
      <c r="L371" s="94"/>
      <c r="M371" s="84">
        <f t="shared" si="1"/>
        <v>6590</v>
      </c>
      <c r="N371" s="84"/>
      <c r="O371" s="84"/>
      <c r="P371" s="84"/>
      <c r="Q371" s="84"/>
      <c r="R371" s="86" t="str">
        <f t="shared" si="2"/>
        <v>Prepare for Showcase</v>
      </c>
      <c r="S371" s="82" t="b">
        <v>0</v>
      </c>
      <c r="T371" s="88"/>
      <c r="U371" s="84"/>
      <c r="V371" s="84"/>
      <c r="W371" s="84"/>
      <c r="X371" s="84"/>
      <c r="Y371" s="84"/>
      <c r="Z371" s="84"/>
      <c r="AA371" s="84"/>
    </row>
    <row r="372" ht="26.25" hidden="1" customHeight="1">
      <c r="A372" s="85"/>
      <c r="B372" s="106"/>
      <c r="C372" s="103"/>
      <c r="D372" s="93"/>
      <c r="E372" s="93"/>
      <c r="F372" s="103"/>
      <c r="G372" s="113"/>
      <c r="H372" s="113"/>
      <c r="I372" s="100"/>
      <c r="J372" s="113"/>
      <c r="K372" s="82" t="b">
        <v>0</v>
      </c>
      <c r="L372" s="94"/>
      <c r="M372" s="84">
        <f t="shared" si="1"/>
        <v>6590</v>
      </c>
      <c r="N372" s="84"/>
      <c r="O372" s="84"/>
      <c r="P372" s="84"/>
      <c r="Q372" s="84"/>
      <c r="R372" s="86" t="str">
        <f t="shared" si="2"/>
        <v>Prepare for Showcase</v>
      </c>
      <c r="S372" s="82" t="b">
        <v>0</v>
      </c>
      <c r="T372" s="88"/>
      <c r="U372" s="84"/>
      <c r="V372" s="84"/>
      <c r="W372" s="84"/>
      <c r="X372" s="84"/>
      <c r="Y372" s="84"/>
      <c r="Z372" s="84"/>
      <c r="AA372" s="84"/>
    </row>
    <row r="373" ht="26.25" hidden="1" customHeight="1">
      <c r="A373" s="85"/>
      <c r="B373" s="106"/>
      <c r="C373" s="103"/>
      <c r="D373" s="93"/>
      <c r="E373" s="93"/>
      <c r="F373" s="103"/>
      <c r="G373" s="113"/>
      <c r="H373" s="113"/>
      <c r="I373" s="100"/>
      <c r="J373" s="113"/>
      <c r="K373" s="82" t="b">
        <v>0</v>
      </c>
      <c r="L373" s="94"/>
      <c r="M373" s="84">
        <f t="shared" si="1"/>
        <v>6590</v>
      </c>
      <c r="N373" s="84"/>
      <c r="O373" s="84"/>
      <c r="P373" s="84"/>
      <c r="Q373" s="84"/>
      <c r="R373" s="86" t="str">
        <f t="shared" si="2"/>
        <v>Prepare for Showcase</v>
      </c>
      <c r="S373" s="82" t="b">
        <v>0</v>
      </c>
      <c r="T373" s="88"/>
      <c r="U373" s="84"/>
      <c r="V373" s="84"/>
      <c r="W373" s="84"/>
      <c r="X373" s="84"/>
      <c r="Y373" s="84"/>
      <c r="Z373" s="84"/>
      <c r="AA373" s="84"/>
    </row>
    <row r="374" ht="26.25" hidden="1" customHeight="1">
      <c r="A374" s="85"/>
      <c r="B374" s="106"/>
      <c r="C374" s="103"/>
      <c r="D374" s="93"/>
      <c r="E374" s="93"/>
      <c r="F374" s="103"/>
      <c r="G374" s="113"/>
      <c r="H374" s="113"/>
      <c r="I374" s="100"/>
      <c r="J374" s="113"/>
      <c r="K374" s="82" t="b">
        <v>0</v>
      </c>
      <c r="L374" s="94"/>
      <c r="M374" s="84">
        <f t="shared" si="1"/>
        <v>6590</v>
      </c>
      <c r="N374" s="84"/>
      <c r="O374" s="84"/>
      <c r="P374" s="84"/>
      <c r="Q374" s="84"/>
      <c r="R374" s="86" t="str">
        <f t="shared" si="2"/>
        <v>Prepare for Showcase</v>
      </c>
      <c r="S374" s="82" t="b">
        <v>0</v>
      </c>
      <c r="T374" s="88"/>
      <c r="U374" s="84"/>
      <c r="V374" s="84"/>
      <c r="W374" s="84"/>
      <c r="X374" s="84"/>
      <c r="Y374" s="84"/>
      <c r="Z374" s="84"/>
      <c r="AA374" s="84"/>
    </row>
    <row r="375" ht="26.25" hidden="1" customHeight="1">
      <c r="A375" s="85"/>
      <c r="B375" s="106"/>
      <c r="C375" s="103"/>
      <c r="D375" s="93"/>
      <c r="E375" s="93"/>
      <c r="F375" s="103"/>
      <c r="G375" s="113"/>
      <c r="H375" s="113"/>
      <c r="I375" s="100"/>
      <c r="J375" s="113"/>
      <c r="K375" s="82" t="b">
        <v>0</v>
      </c>
      <c r="L375" s="94"/>
      <c r="M375" s="84">
        <f t="shared" si="1"/>
        <v>6590</v>
      </c>
      <c r="N375" s="84"/>
      <c r="O375" s="84"/>
      <c r="P375" s="84"/>
      <c r="Q375" s="84"/>
      <c r="R375" s="86" t="str">
        <f t="shared" si="2"/>
        <v>Prepare for Showcase</v>
      </c>
      <c r="S375" s="82" t="b">
        <v>0</v>
      </c>
      <c r="T375" s="88"/>
      <c r="U375" s="84"/>
      <c r="V375" s="84"/>
      <c r="W375" s="84"/>
      <c r="X375" s="84"/>
      <c r="Y375" s="84"/>
      <c r="Z375" s="84"/>
      <c r="AA375" s="84"/>
    </row>
    <row r="376" ht="26.25" hidden="1" customHeight="1">
      <c r="A376" s="85"/>
      <c r="B376" s="106"/>
      <c r="C376" s="103"/>
      <c r="D376" s="93"/>
      <c r="E376" s="93"/>
      <c r="F376" s="103"/>
      <c r="G376" s="113"/>
      <c r="H376" s="113"/>
      <c r="I376" s="100"/>
      <c r="J376" s="113"/>
      <c r="K376" s="82" t="b">
        <v>0</v>
      </c>
      <c r="L376" s="94"/>
      <c r="M376" s="84">
        <f t="shared" si="1"/>
        <v>6590</v>
      </c>
      <c r="N376" s="84"/>
      <c r="O376" s="84"/>
      <c r="P376" s="84"/>
      <c r="Q376" s="84"/>
      <c r="R376" s="86" t="str">
        <f t="shared" si="2"/>
        <v>Prepare for Showcase</v>
      </c>
      <c r="S376" s="82" t="b">
        <v>0</v>
      </c>
      <c r="T376" s="88"/>
      <c r="U376" s="84"/>
      <c r="V376" s="84"/>
      <c r="W376" s="84"/>
      <c r="X376" s="84"/>
      <c r="Y376" s="84"/>
      <c r="Z376" s="84"/>
      <c r="AA376" s="84"/>
    </row>
    <row r="377" ht="26.25" hidden="1" customHeight="1">
      <c r="A377" s="85"/>
      <c r="B377" s="106"/>
      <c r="C377" s="103"/>
      <c r="D377" s="93"/>
      <c r="E377" s="93"/>
      <c r="F377" s="103"/>
      <c r="G377" s="113"/>
      <c r="H377" s="113"/>
      <c r="I377" s="100"/>
      <c r="J377" s="113"/>
      <c r="K377" s="82" t="b">
        <v>0</v>
      </c>
      <c r="L377" s="94"/>
      <c r="M377" s="84">
        <f t="shared" si="1"/>
        <v>6590</v>
      </c>
      <c r="N377" s="84"/>
      <c r="O377" s="84"/>
      <c r="P377" s="84"/>
      <c r="Q377" s="84"/>
      <c r="R377" s="86" t="str">
        <f t="shared" si="2"/>
        <v>Prepare for Showcase</v>
      </c>
      <c r="S377" s="82" t="b">
        <v>0</v>
      </c>
      <c r="T377" s="88"/>
      <c r="U377" s="84"/>
      <c r="V377" s="84"/>
      <c r="W377" s="84"/>
      <c r="X377" s="84"/>
      <c r="Y377" s="84"/>
      <c r="Z377" s="84"/>
      <c r="AA377" s="84"/>
    </row>
    <row r="378" ht="26.25" hidden="1" customHeight="1">
      <c r="A378" s="85"/>
      <c r="B378" s="106"/>
      <c r="C378" s="103"/>
      <c r="D378" s="93"/>
      <c r="E378" s="93"/>
      <c r="F378" s="103"/>
      <c r="G378" s="113"/>
      <c r="H378" s="113"/>
      <c r="I378" s="100"/>
      <c r="J378" s="113"/>
      <c r="K378" s="82" t="b">
        <v>0</v>
      </c>
      <c r="L378" s="94"/>
      <c r="M378" s="84">
        <f t="shared" si="1"/>
        <v>6590</v>
      </c>
      <c r="N378" s="84"/>
      <c r="O378" s="84"/>
      <c r="P378" s="84"/>
      <c r="Q378" s="84"/>
      <c r="R378" s="86" t="str">
        <f t="shared" si="2"/>
        <v>Prepare for Showcase</v>
      </c>
      <c r="S378" s="82" t="b">
        <v>0</v>
      </c>
      <c r="T378" s="88"/>
      <c r="U378" s="84"/>
      <c r="V378" s="84"/>
      <c r="W378" s="84"/>
      <c r="X378" s="84"/>
      <c r="Y378" s="84"/>
      <c r="Z378" s="84"/>
      <c r="AA378" s="84"/>
    </row>
    <row r="379" ht="26.25" hidden="1" customHeight="1">
      <c r="A379" s="85"/>
      <c r="B379" s="106"/>
      <c r="C379" s="103"/>
      <c r="D379" s="93"/>
      <c r="E379" s="93"/>
      <c r="F379" s="103"/>
      <c r="G379" s="113"/>
      <c r="H379" s="113"/>
      <c r="I379" s="100"/>
      <c r="J379" s="113"/>
      <c r="K379" s="82" t="b">
        <v>0</v>
      </c>
      <c r="L379" s="94"/>
      <c r="M379" s="84">
        <f t="shared" si="1"/>
        <v>6590</v>
      </c>
      <c r="N379" s="84"/>
      <c r="O379" s="84"/>
      <c r="P379" s="84"/>
      <c r="Q379" s="84"/>
      <c r="R379" s="86" t="str">
        <f t="shared" si="2"/>
        <v>Prepare for Showcase</v>
      </c>
      <c r="S379" s="82" t="b">
        <v>0</v>
      </c>
      <c r="T379" s="88"/>
      <c r="U379" s="84"/>
      <c r="V379" s="84"/>
      <c r="W379" s="84"/>
      <c r="X379" s="84"/>
      <c r="Y379" s="84"/>
      <c r="Z379" s="84"/>
      <c r="AA379" s="84"/>
    </row>
    <row r="380" ht="26.25" hidden="1" customHeight="1">
      <c r="A380" s="85"/>
      <c r="B380" s="106"/>
      <c r="C380" s="103"/>
      <c r="D380" s="93"/>
      <c r="E380" s="93"/>
      <c r="F380" s="103"/>
      <c r="G380" s="113"/>
      <c r="H380" s="113"/>
      <c r="I380" s="100"/>
      <c r="J380" s="113"/>
      <c r="K380" s="82" t="b">
        <v>0</v>
      </c>
      <c r="L380" s="94"/>
      <c r="M380" s="84">
        <f t="shared" si="1"/>
        <v>6590</v>
      </c>
      <c r="N380" s="84"/>
      <c r="O380" s="84"/>
      <c r="P380" s="84"/>
      <c r="Q380" s="84"/>
      <c r="R380" s="86" t="str">
        <f t="shared" si="2"/>
        <v>Prepare for Showcase</v>
      </c>
      <c r="S380" s="82" t="b">
        <v>0</v>
      </c>
      <c r="T380" s="88"/>
      <c r="U380" s="84"/>
      <c r="V380" s="84"/>
      <c r="W380" s="84"/>
      <c r="X380" s="84"/>
      <c r="Y380" s="84"/>
      <c r="Z380" s="84"/>
      <c r="AA380" s="84"/>
    </row>
    <row r="381" ht="26.25" hidden="1" customHeight="1">
      <c r="A381" s="85"/>
      <c r="B381" s="106"/>
      <c r="C381" s="103"/>
      <c r="D381" s="93"/>
      <c r="E381" s="93"/>
      <c r="F381" s="103"/>
      <c r="G381" s="113"/>
      <c r="H381" s="113"/>
      <c r="I381" s="100"/>
      <c r="J381" s="113"/>
      <c r="K381" s="82" t="b">
        <v>0</v>
      </c>
      <c r="L381" s="94"/>
      <c r="M381" s="84">
        <f t="shared" si="1"/>
        <v>6590</v>
      </c>
      <c r="N381" s="84"/>
      <c r="O381" s="84"/>
      <c r="P381" s="84"/>
      <c r="Q381" s="84"/>
      <c r="R381" s="86" t="str">
        <f t="shared" si="2"/>
        <v>Prepare for Showcase</v>
      </c>
      <c r="S381" s="82" t="b">
        <v>0</v>
      </c>
      <c r="T381" s="88"/>
      <c r="U381" s="84"/>
      <c r="V381" s="84"/>
      <c r="W381" s="84"/>
      <c r="X381" s="84"/>
      <c r="Y381" s="84"/>
      <c r="Z381" s="84"/>
      <c r="AA381" s="84"/>
    </row>
    <row r="382" ht="26.25" hidden="1" customHeight="1">
      <c r="A382" s="85"/>
      <c r="B382" s="106"/>
      <c r="C382" s="103"/>
      <c r="D382" s="93"/>
      <c r="E382" s="93"/>
      <c r="F382" s="103"/>
      <c r="G382" s="113"/>
      <c r="H382" s="113"/>
      <c r="I382" s="100"/>
      <c r="J382" s="113"/>
      <c r="K382" s="82" t="b">
        <v>0</v>
      </c>
      <c r="L382" s="94"/>
      <c r="M382" s="84">
        <f t="shared" si="1"/>
        <v>6590</v>
      </c>
      <c r="N382" s="84"/>
      <c r="O382" s="84"/>
      <c r="P382" s="84"/>
      <c r="Q382" s="84"/>
      <c r="R382" s="86" t="str">
        <f t="shared" si="2"/>
        <v>Prepare for Showcase</v>
      </c>
      <c r="S382" s="82" t="b">
        <v>0</v>
      </c>
      <c r="T382" s="88"/>
      <c r="U382" s="84"/>
      <c r="V382" s="84"/>
      <c r="W382" s="84"/>
      <c r="X382" s="84"/>
      <c r="Y382" s="84"/>
      <c r="Z382" s="84"/>
      <c r="AA382" s="84"/>
    </row>
    <row r="383" ht="26.25" hidden="1" customHeight="1">
      <c r="A383" s="85"/>
      <c r="B383" s="106"/>
      <c r="C383" s="103"/>
      <c r="D383" s="93"/>
      <c r="E383" s="93"/>
      <c r="F383" s="103"/>
      <c r="G383" s="113"/>
      <c r="H383" s="113"/>
      <c r="I383" s="100"/>
      <c r="J383" s="113"/>
      <c r="K383" s="82" t="b">
        <v>0</v>
      </c>
      <c r="L383" s="94"/>
      <c r="M383" s="84">
        <f t="shared" si="1"/>
        <v>6590</v>
      </c>
      <c r="N383" s="84"/>
      <c r="O383" s="84"/>
      <c r="P383" s="84"/>
      <c r="Q383" s="84"/>
      <c r="R383" s="86" t="str">
        <f t="shared" si="2"/>
        <v>Prepare for Showcase</v>
      </c>
      <c r="S383" s="82" t="b">
        <v>0</v>
      </c>
      <c r="T383" s="88"/>
      <c r="U383" s="84"/>
      <c r="V383" s="84"/>
      <c r="W383" s="84"/>
      <c r="X383" s="84"/>
      <c r="Y383" s="84"/>
      <c r="Z383" s="84"/>
      <c r="AA383" s="84"/>
    </row>
    <row r="384" ht="26.25" hidden="1" customHeight="1">
      <c r="A384" s="85"/>
      <c r="B384" s="106"/>
      <c r="C384" s="103"/>
      <c r="D384" s="93"/>
      <c r="E384" s="93"/>
      <c r="F384" s="103"/>
      <c r="G384" s="113"/>
      <c r="H384" s="113"/>
      <c r="I384" s="100"/>
      <c r="J384" s="113"/>
      <c r="K384" s="82" t="b">
        <v>0</v>
      </c>
      <c r="L384" s="94"/>
      <c r="M384" s="84">
        <f t="shared" si="1"/>
        <v>6590</v>
      </c>
      <c r="N384" s="84"/>
      <c r="O384" s="84"/>
      <c r="P384" s="84"/>
      <c r="Q384" s="84"/>
      <c r="R384" s="86" t="str">
        <f t="shared" si="2"/>
        <v>Prepare for Showcase</v>
      </c>
      <c r="S384" s="82" t="b">
        <v>0</v>
      </c>
      <c r="T384" s="88"/>
      <c r="U384" s="84"/>
      <c r="V384" s="84"/>
      <c r="W384" s="84"/>
      <c r="X384" s="84"/>
      <c r="Y384" s="84"/>
      <c r="Z384" s="84"/>
      <c r="AA384" s="84"/>
    </row>
    <row r="385" ht="26.25" hidden="1" customHeight="1">
      <c r="A385" s="85"/>
      <c r="B385" s="106"/>
      <c r="C385" s="103"/>
      <c r="D385" s="93"/>
      <c r="E385" s="93"/>
      <c r="F385" s="103"/>
      <c r="G385" s="113"/>
      <c r="H385" s="113"/>
      <c r="I385" s="100"/>
      <c r="J385" s="113"/>
      <c r="K385" s="82" t="b">
        <v>0</v>
      </c>
      <c r="L385" s="94"/>
      <c r="M385" s="84">
        <f t="shared" si="1"/>
        <v>6590</v>
      </c>
      <c r="N385" s="84"/>
      <c r="O385" s="84"/>
      <c r="P385" s="84"/>
      <c r="Q385" s="84"/>
      <c r="R385" s="86" t="str">
        <f t="shared" si="2"/>
        <v>Prepare for Showcase</v>
      </c>
      <c r="S385" s="82" t="b">
        <v>0</v>
      </c>
      <c r="T385" s="88"/>
      <c r="U385" s="84"/>
      <c r="V385" s="84"/>
      <c r="W385" s="84"/>
      <c r="X385" s="84"/>
      <c r="Y385" s="84"/>
      <c r="Z385" s="84"/>
      <c r="AA385" s="84"/>
    </row>
    <row r="386" ht="26.25" hidden="1" customHeight="1">
      <c r="A386" s="85"/>
      <c r="B386" s="106"/>
      <c r="C386" s="103"/>
      <c r="D386" s="93"/>
      <c r="E386" s="93"/>
      <c r="F386" s="103"/>
      <c r="G386" s="113"/>
      <c r="H386" s="113"/>
      <c r="I386" s="100"/>
      <c r="J386" s="113"/>
      <c r="K386" s="82" t="b">
        <v>0</v>
      </c>
      <c r="L386" s="94"/>
      <c r="M386" s="84">
        <f t="shared" si="1"/>
        <v>6590</v>
      </c>
      <c r="N386" s="84"/>
      <c r="O386" s="84"/>
      <c r="P386" s="84"/>
      <c r="Q386" s="84"/>
      <c r="R386" s="86" t="str">
        <f t="shared" si="2"/>
        <v>Prepare for Showcase</v>
      </c>
      <c r="S386" s="82" t="b">
        <v>0</v>
      </c>
      <c r="T386" s="88"/>
      <c r="U386" s="84"/>
      <c r="V386" s="84"/>
      <c r="W386" s="84"/>
      <c r="X386" s="84"/>
      <c r="Y386" s="84"/>
      <c r="Z386" s="84"/>
      <c r="AA386" s="84"/>
    </row>
    <row r="387" ht="26.25" hidden="1" customHeight="1">
      <c r="A387" s="85"/>
      <c r="B387" s="106"/>
      <c r="C387" s="103"/>
      <c r="D387" s="93"/>
      <c r="E387" s="93"/>
      <c r="F387" s="103"/>
      <c r="G387" s="113"/>
      <c r="H387" s="113"/>
      <c r="I387" s="100"/>
      <c r="J387" s="113"/>
      <c r="K387" s="82" t="b">
        <v>0</v>
      </c>
      <c r="L387" s="94"/>
      <c r="M387" s="84">
        <f t="shared" si="1"/>
        <v>6590</v>
      </c>
      <c r="N387" s="84"/>
      <c r="O387" s="84"/>
      <c r="P387" s="84"/>
      <c r="Q387" s="84"/>
      <c r="R387" s="86" t="str">
        <f t="shared" si="2"/>
        <v>Prepare for Showcase</v>
      </c>
      <c r="S387" s="82" t="b">
        <v>0</v>
      </c>
      <c r="T387" s="88"/>
      <c r="U387" s="84"/>
      <c r="V387" s="84"/>
      <c r="W387" s="84"/>
      <c r="X387" s="84"/>
      <c r="Y387" s="84"/>
      <c r="Z387" s="84"/>
      <c r="AA387" s="84"/>
    </row>
    <row r="388" ht="26.25" hidden="1" customHeight="1">
      <c r="A388" s="85"/>
      <c r="B388" s="106"/>
      <c r="C388" s="103"/>
      <c r="D388" s="93"/>
      <c r="E388" s="93"/>
      <c r="F388" s="103"/>
      <c r="G388" s="113"/>
      <c r="H388" s="113"/>
      <c r="I388" s="100"/>
      <c r="J388" s="113"/>
      <c r="K388" s="82" t="b">
        <v>0</v>
      </c>
      <c r="L388" s="94"/>
      <c r="M388" s="84">
        <f t="shared" si="1"/>
        <v>6590</v>
      </c>
      <c r="N388" s="84"/>
      <c r="O388" s="84"/>
      <c r="P388" s="84"/>
      <c r="Q388" s="84"/>
      <c r="R388" s="86" t="str">
        <f t="shared" si="2"/>
        <v>Prepare for Showcase</v>
      </c>
      <c r="S388" s="82" t="b">
        <v>0</v>
      </c>
      <c r="T388" s="88"/>
      <c r="U388" s="84"/>
      <c r="V388" s="84"/>
      <c r="W388" s="84"/>
      <c r="X388" s="84"/>
      <c r="Y388" s="84"/>
      <c r="Z388" s="84"/>
      <c r="AA388" s="84"/>
    </row>
    <row r="389" ht="26.25" hidden="1" customHeight="1">
      <c r="A389" s="85"/>
      <c r="B389" s="106"/>
      <c r="C389" s="103"/>
      <c r="D389" s="93"/>
      <c r="E389" s="93"/>
      <c r="F389" s="103"/>
      <c r="G389" s="113"/>
      <c r="H389" s="113"/>
      <c r="I389" s="100"/>
      <c r="J389" s="113"/>
      <c r="K389" s="82" t="b">
        <v>0</v>
      </c>
      <c r="L389" s="94"/>
      <c r="M389" s="84">
        <f t="shared" si="1"/>
        <v>6590</v>
      </c>
      <c r="N389" s="84"/>
      <c r="O389" s="84"/>
      <c r="P389" s="84"/>
      <c r="Q389" s="84"/>
      <c r="R389" s="86" t="str">
        <f t="shared" si="2"/>
        <v>Prepare for Showcase</v>
      </c>
      <c r="S389" s="82" t="b">
        <v>0</v>
      </c>
      <c r="T389" s="88"/>
      <c r="U389" s="84"/>
      <c r="V389" s="84"/>
      <c r="W389" s="84"/>
      <c r="X389" s="84"/>
      <c r="Y389" s="84"/>
      <c r="Z389" s="84"/>
      <c r="AA389" s="84"/>
    </row>
    <row r="390" ht="26.25" hidden="1" customHeight="1">
      <c r="A390" s="85"/>
      <c r="B390" s="106"/>
      <c r="C390" s="103"/>
      <c r="D390" s="93"/>
      <c r="E390" s="93"/>
      <c r="F390" s="103"/>
      <c r="G390" s="113"/>
      <c r="H390" s="113"/>
      <c r="I390" s="100"/>
      <c r="J390" s="113"/>
      <c r="K390" s="82" t="b">
        <v>0</v>
      </c>
      <c r="L390" s="94"/>
      <c r="M390" s="84">
        <f t="shared" si="1"/>
        <v>6590</v>
      </c>
      <c r="N390" s="84"/>
      <c r="O390" s="84"/>
      <c r="P390" s="84"/>
      <c r="Q390" s="84"/>
      <c r="R390" s="86" t="str">
        <f t="shared" si="2"/>
        <v>Prepare for Showcase</v>
      </c>
      <c r="S390" s="82" t="b">
        <v>0</v>
      </c>
      <c r="T390" s="88"/>
      <c r="U390" s="84"/>
      <c r="V390" s="84"/>
      <c r="W390" s="84"/>
      <c r="X390" s="84"/>
      <c r="Y390" s="84"/>
      <c r="Z390" s="84"/>
      <c r="AA390" s="84"/>
    </row>
    <row r="391" ht="26.25" hidden="1" customHeight="1">
      <c r="A391" s="85"/>
      <c r="B391" s="106"/>
      <c r="C391" s="103"/>
      <c r="D391" s="93"/>
      <c r="E391" s="93"/>
      <c r="F391" s="103"/>
      <c r="G391" s="113"/>
      <c r="H391" s="113"/>
      <c r="I391" s="100"/>
      <c r="J391" s="113"/>
      <c r="K391" s="82" t="b">
        <v>0</v>
      </c>
      <c r="L391" s="94"/>
      <c r="M391" s="84">
        <f t="shared" si="1"/>
        <v>6590</v>
      </c>
      <c r="N391" s="84"/>
      <c r="O391" s="84"/>
      <c r="P391" s="84"/>
      <c r="Q391" s="84"/>
      <c r="R391" s="86" t="str">
        <f t="shared" si="2"/>
        <v>Prepare for Showcase</v>
      </c>
      <c r="S391" s="82" t="b">
        <v>0</v>
      </c>
      <c r="T391" s="88"/>
      <c r="U391" s="84"/>
      <c r="V391" s="84"/>
      <c r="W391" s="84"/>
      <c r="X391" s="84"/>
      <c r="Y391" s="84"/>
      <c r="Z391" s="84"/>
      <c r="AA391" s="84"/>
    </row>
    <row r="392" ht="26.25" hidden="1" customHeight="1">
      <c r="A392" s="85"/>
      <c r="B392" s="106"/>
      <c r="C392" s="103"/>
      <c r="D392" s="93"/>
      <c r="E392" s="93"/>
      <c r="F392" s="103"/>
      <c r="G392" s="113"/>
      <c r="H392" s="113"/>
      <c r="I392" s="100"/>
      <c r="J392" s="113"/>
      <c r="K392" s="82" t="b">
        <v>0</v>
      </c>
      <c r="L392" s="94"/>
      <c r="M392" s="84">
        <f t="shared" si="1"/>
        <v>6590</v>
      </c>
      <c r="N392" s="84"/>
      <c r="O392" s="84"/>
      <c r="P392" s="84"/>
      <c r="Q392" s="84"/>
      <c r="R392" s="86" t="str">
        <f t="shared" si="2"/>
        <v>Prepare for Showcase</v>
      </c>
      <c r="S392" s="82" t="b">
        <v>0</v>
      </c>
      <c r="T392" s="88"/>
      <c r="U392" s="84"/>
      <c r="V392" s="84"/>
      <c r="W392" s="84"/>
      <c r="X392" s="84"/>
      <c r="Y392" s="84"/>
      <c r="Z392" s="84"/>
      <c r="AA392" s="84"/>
    </row>
    <row r="393" ht="26.25" hidden="1" customHeight="1">
      <c r="A393" s="85"/>
      <c r="B393" s="106"/>
      <c r="C393" s="103"/>
      <c r="D393" s="93"/>
      <c r="E393" s="93"/>
      <c r="F393" s="103"/>
      <c r="G393" s="113"/>
      <c r="H393" s="113"/>
      <c r="I393" s="100"/>
      <c r="J393" s="113"/>
      <c r="K393" s="82" t="b">
        <v>0</v>
      </c>
      <c r="L393" s="94"/>
      <c r="M393" s="84">
        <f t="shared" si="1"/>
        <v>6590</v>
      </c>
      <c r="N393" s="84"/>
      <c r="O393" s="84"/>
      <c r="P393" s="84"/>
      <c r="Q393" s="84"/>
      <c r="R393" s="86" t="str">
        <f t="shared" si="2"/>
        <v>Prepare for Showcase</v>
      </c>
      <c r="S393" s="82" t="b">
        <v>0</v>
      </c>
      <c r="T393" s="88"/>
      <c r="U393" s="84"/>
      <c r="V393" s="84"/>
      <c r="W393" s="84"/>
      <c r="X393" s="84"/>
      <c r="Y393" s="84"/>
      <c r="Z393" s="84"/>
      <c r="AA393" s="84"/>
    </row>
    <row r="394" ht="26.25" hidden="1" customHeight="1">
      <c r="A394" s="85"/>
      <c r="B394" s="106"/>
      <c r="C394" s="103"/>
      <c r="D394" s="93"/>
      <c r="E394" s="93"/>
      <c r="F394" s="103"/>
      <c r="G394" s="113"/>
      <c r="H394" s="113"/>
      <c r="I394" s="100"/>
      <c r="J394" s="113"/>
      <c r="K394" s="82" t="b">
        <v>0</v>
      </c>
      <c r="L394" s="94"/>
      <c r="M394" s="84">
        <f t="shared" si="1"/>
        <v>6590</v>
      </c>
      <c r="N394" s="84"/>
      <c r="O394" s="84"/>
      <c r="P394" s="84"/>
      <c r="Q394" s="84"/>
      <c r="R394" s="86" t="str">
        <f t="shared" si="2"/>
        <v>Prepare for Showcase</v>
      </c>
      <c r="S394" s="82" t="b">
        <v>0</v>
      </c>
      <c r="T394" s="88"/>
      <c r="U394" s="84"/>
      <c r="V394" s="84"/>
      <c r="W394" s="84"/>
      <c r="X394" s="84"/>
      <c r="Y394" s="84"/>
      <c r="Z394" s="84"/>
      <c r="AA394" s="84"/>
    </row>
    <row r="395" ht="26.25" hidden="1" customHeight="1">
      <c r="A395" s="85"/>
      <c r="B395" s="106"/>
      <c r="C395" s="103"/>
      <c r="D395" s="93"/>
      <c r="E395" s="93"/>
      <c r="F395" s="103"/>
      <c r="G395" s="113"/>
      <c r="H395" s="113"/>
      <c r="I395" s="100"/>
      <c r="J395" s="113"/>
      <c r="K395" s="82" t="b">
        <v>0</v>
      </c>
      <c r="L395" s="94"/>
      <c r="M395" s="84">
        <f t="shared" si="1"/>
        <v>6590</v>
      </c>
      <c r="N395" s="84"/>
      <c r="O395" s="84"/>
      <c r="P395" s="84"/>
      <c r="Q395" s="84"/>
      <c r="R395" s="86" t="str">
        <f t="shared" si="2"/>
        <v>Prepare for Showcase</v>
      </c>
      <c r="S395" s="82" t="b">
        <v>0</v>
      </c>
      <c r="T395" s="88"/>
      <c r="U395" s="84"/>
      <c r="V395" s="84"/>
      <c r="W395" s="84"/>
      <c r="X395" s="84"/>
      <c r="Y395" s="84"/>
      <c r="Z395" s="84"/>
      <c r="AA395" s="84"/>
    </row>
    <row r="396" ht="26.25" hidden="1" customHeight="1">
      <c r="A396" s="85"/>
      <c r="B396" s="106"/>
      <c r="C396" s="103"/>
      <c r="D396" s="93"/>
      <c r="E396" s="93"/>
      <c r="F396" s="103"/>
      <c r="G396" s="113"/>
      <c r="H396" s="113"/>
      <c r="I396" s="100"/>
      <c r="J396" s="113"/>
      <c r="K396" s="82" t="b">
        <v>0</v>
      </c>
      <c r="L396" s="94"/>
      <c r="M396" s="84">
        <f t="shared" si="1"/>
        <v>6590</v>
      </c>
      <c r="N396" s="84"/>
      <c r="O396" s="84"/>
      <c r="P396" s="84"/>
      <c r="Q396" s="84"/>
      <c r="R396" s="86" t="str">
        <f t="shared" si="2"/>
        <v>Prepare for Showcase</v>
      </c>
      <c r="S396" s="82" t="b">
        <v>0</v>
      </c>
      <c r="T396" s="88"/>
      <c r="U396" s="84"/>
      <c r="V396" s="84"/>
      <c r="W396" s="84"/>
      <c r="X396" s="84"/>
      <c r="Y396" s="84"/>
      <c r="Z396" s="84"/>
      <c r="AA396" s="84"/>
    </row>
    <row r="397" ht="26.25" hidden="1" customHeight="1">
      <c r="A397" s="85"/>
      <c r="B397" s="106"/>
      <c r="C397" s="103"/>
      <c r="D397" s="93"/>
      <c r="E397" s="93"/>
      <c r="F397" s="103"/>
      <c r="G397" s="113"/>
      <c r="H397" s="113"/>
      <c r="I397" s="100"/>
      <c r="J397" s="113"/>
      <c r="K397" s="82" t="b">
        <v>0</v>
      </c>
      <c r="L397" s="94"/>
      <c r="M397" s="84">
        <f t="shared" si="1"/>
        <v>6590</v>
      </c>
      <c r="N397" s="84"/>
      <c r="O397" s="84"/>
      <c r="P397" s="84"/>
      <c r="Q397" s="84"/>
      <c r="R397" s="86" t="str">
        <f t="shared" si="2"/>
        <v>Prepare for Showcase</v>
      </c>
      <c r="S397" s="82" t="b">
        <v>0</v>
      </c>
      <c r="T397" s="88"/>
      <c r="U397" s="84"/>
      <c r="V397" s="84"/>
      <c r="W397" s="84"/>
      <c r="X397" s="84"/>
      <c r="Y397" s="84"/>
      <c r="Z397" s="84"/>
      <c r="AA397" s="84"/>
    </row>
    <row r="398" ht="26.25" hidden="1" customHeight="1">
      <c r="A398" s="85"/>
      <c r="B398" s="106"/>
      <c r="C398" s="103"/>
      <c r="D398" s="93"/>
      <c r="E398" s="93"/>
      <c r="F398" s="103"/>
      <c r="G398" s="113"/>
      <c r="H398" s="113"/>
      <c r="I398" s="100"/>
      <c r="J398" s="113"/>
      <c r="K398" s="82" t="b">
        <v>0</v>
      </c>
      <c r="L398" s="94"/>
      <c r="M398" s="84">
        <f t="shared" si="1"/>
        <v>6590</v>
      </c>
      <c r="N398" s="84"/>
      <c r="O398" s="84"/>
      <c r="P398" s="84"/>
      <c r="Q398" s="84"/>
      <c r="R398" s="86" t="str">
        <f t="shared" si="2"/>
        <v>Prepare for Showcase</v>
      </c>
      <c r="S398" s="82" t="b">
        <v>0</v>
      </c>
      <c r="T398" s="88"/>
      <c r="U398" s="84"/>
      <c r="V398" s="84"/>
      <c r="W398" s="84"/>
      <c r="X398" s="84"/>
      <c r="Y398" s="84"/>
      <c r="Z398" s="84"/>
      <c r="AA398" s="84"/>
    </row>
    <row r="399" ht="26.25" hidden="1" customHeight="1">
      <c r="A399" s="85"/>
      <c r="B399" s="106"/>
      <c r="C399" s="103"/>
      <c r="D399" s="93"/>
      <c r="E399" s="93"/>
      <c r="F399" s="103"/>
      <c r="G399" s="113"/>
      <c r="H399" s="113"/>
      <c r="I399" s="100"/>
      <c r="J399" s="113"/>
      <c r="K399" s="82" t="b">
        <v>0</v>
      </c>
      <c r="L399" s="94"/>
      <c r="M399" s="84">
        <f t="shared" si="1"/>
        <v>6590</v>
      </c>
      <c r="N399" s="84"/>
      <c r="O399" s="84"/>
      <c r="P399" s="84"/>
      <c r="Q399" s="84"/>
      <c r="R399" s="86" t="str">
        <f t="shared" si="2"/>
        <v>Prepare for Showcase</v>
      </c>
      <c r="S399" s="82" t="b">
        <v>0</v>
      </c>
      <c r="T399" s="88"/>
      <c r="U399" s="84"/>
      <c r="V399" s="84"/>
      <c r="W399" s="84"/>
      <c r="X399" s="84"/>
      <c r="Y399" s="84"/>
      <c r="Z399" s="84"/>
      <c r="AA399" s="84"/>
    </row>
    <row r="400" ht="26.25" hidden="1" customHeight="1">
      <c r="A400" s="85"/>
      <c r="B400" s="106"/>
      <c r="C400" s="103"/>
      <c r="D400" s="93"/>
      <c r="E400" s="93"/>
      <c r="F400" s="103"/>
      <c r="G400" s="113"/>
      <c r="H400" s="113"/>
      <c r="I400" s="100"/>
      <c r="J400" s="113"/>
      <c r="K400" s="82" t="b">
        <v>0</v>
      </c>
      <c r="L400" s="94"/>
      <c r="M400" s="84">
        <f t="shared" si="1"/>
        <v>6590</v>
      </c>
      <c r="N400" s="84"/>
      <c r="O400" s="84"/>
      <c r="P400" s="84"/>
      <c r="Q400" s="84"/>
      <c r="R400" s="86" t="str">
        <f t="shared" si="2"/>
        <v>Prepare for Showcase</v>
      </c>
      <c r="S400" s="82" t="b">
        <v>0</v>
      </c>
      <c r="T400" s="88"/>
      <c r="U400" s="84"/>
      <c r="V400" s="84"/>
      <c r="W400" s="84"/>
      <c r="X400" s="84"/>
      <c r="Y400" s="84"/>
      <c r="Z400" s="84"/>
      <c r="AA400" s="84"/>
    </row>
    <row r="401" ht="26.25" hidden="1" customHeight="1">
      <c r="A401" s="85"/>
      <c r="B401" s="106"/>
      <c r="C401" s="103"/>
      <c r="D401" s="93"/>
      <c r="E401" s="93"/>
      <c r="F401" s="103"/>
      <c r="G401" s="113"/>
      <c r="H401" s="113"/>
      <c r="I401" s="100"/>
      <c r="J401" s="113"/>
      <c r="K401" s="82" t="b">
        <v>0</v>
      </c>
      <c r="L401" s="94"/>
      <c r="M401" s="84">
        <f t="shared" si="1"/>
        <v>6590</v>
      </c>
      <c r="N401" s="84"/>
      <c r="O401" s="84"/>
      <c r="P401" s="84"/>
      <c r="Q401" s="84"/>
      <c r="R401" s="86" t="str">
        <f t="shared" si="2"/>
        <v>Prepare for Showcase</v>
      </c>
      <c r="S401" s="82" t="b">
        <v>0</v>
      </c>
      <c r="T401" s="88"/>
      <c r="U401" s="84"/>
      <c r="V401" s="84"/>
      <c r="W401" s="84"/>
      <c r="X401" s="84"/>
      <c r="Y401" s="84"/>
      <c r="Z401" s="84"/>
      <c r="AA401" s="84"/>
    </row>
    <row r="402" ht="26.25" hidden="1" customHeight="1">
      <c r="A402" s="85"/>
      <c r="B402" s="106"/>
      <c r="C402" s="103"/>
      <c r="D402" s="93"/>
      <c r="E402" s="93"/>
      <c r="F402" s="103"/>
      <c r="G402" s="113"/>
      <c r="H402" s="113"/>
      <c r="I402" s="100"/>
      <c r="J402" s="113"/>
      <c r="K402" s="82" t="b">
        <v>0</v>
      </c>
      <c r="L402" s="94"/>
      <c r="M402" s="84">
        <f t="shared" si="1"/>
        <v>6590</v>
      </c>
      <c r="N402" s="84"/>
      <c r="O402" s="84"/>
      <c r="P402" s="84"/>
      <c r="Q402" s="84"/>
      <c r="R402" s="86" t="str">
        <f t="shared" si="2"/>
        <v>Prepare for Showcase</v>
      </c>
      <c r="S402" s="82" t="b">
        <v>0</v>
      </c>
      <c r="T402" s="88"/>
      <c r="U402" s="84"/>
      <c r="V402" s="84"/>
      <c r="W402" s="84"/>
      <c r="X402" s="84"/>
      <c r="Y402" s="84"/>
      <c r="Z402" s="84"/>
      <c r="AA402" s="84"/>
    </row>
    <row r="403" ht="26.25" hidden="1" customHeight="1">
      <c r="A403" s="85"/>
      <c r="B403" s="106"/>
      <c r="C403" s="103"/>
      <c r="D403" s="93"/>
      <c r="E403" s="93"/>
      <c r="F403" s="103"/>
      <c r="G403" s="113"/>
      <c r="H403" s="113"/>
      <c r="I403" s="100"/>
      <c r="J403" s="113"/>
      <c r="K403" s="82" t="b">
        <v>0</v>
      </c>
      <c r="L403" s="94"/>
      <c r="M403" s="84">
        <f t="shared" si="1"/>
        <v>6590</v>
      </c>
      <c r="N403" s="84"/>
      <c r="O403" s="84"/>
      <c r="P403" s="84"/>
      <c r="Q403" s="84"/>
      <c r="R403" s="86" t="str">
        <f t="shared" si="2"/>
        <v>Prepare for Showcase</v>
      </c>
      <c r="S403" s="82" t="b">
        <v>0</v>
      </c>
      <c r="T403" s="88"/>
      <c r="U403" s="84"/>
      <c r="V403" s="84"/>
      <c r="W403" s="84"/>
      <c r="X403" s="84"/>
      <c r="Y403" s="84"/>
      <c r="Z403" s="84"/>
      <c r="AA403" s="84"/>
    </row>
    <row r="404" ht="26.25" hidden="1" customHeight="1">
      <c r="A404" s="85"/>
      <c r="B404" s="106"/>
      <c r="C404" s="103"/>
      <c r="D404" s="93"/>
      <c r="E404" s="93"/>
      <c r="F404" s="103"/>
      <c r="G404" s="113"/>
      <c r="H404" s="113"/>
      <c r="I404" s="100"/>
      <c r="J404" s="113"/>
      <c r="K404" s="82" t="b">
        <v>0</v>
      </c>
      <c r="L404" s="94"/>
      <c r="M404" s="84">
        <f t="shared" si="1"/>
        <v>6590</v>
      </c>
      <c r="N404" s="84"/>
      <c r="O404" s="84"/>
      <c r="P404" s="84"/>
      <c r="Q404" s="84"/>
      <c r="R404" s="86" t="str">
        <f t="shared" si="2"/>
        <v>Prepare for Showcase</v>
      </c>
      <c r="S404" s="82" t="b">
        <v>0</v>
      </c>
      <c r="T404" s="88"/>
      <c r="U404" s="84"/>
      <c r="V404" s="84"/>
      <c r="W404" s="84"/>
      <c r="X404" s="84"/>
      <c r="Y404" s="84"/>
      <c r="Z404" s="84"/>
      <c r="AA404" s="84"/>
    </row>
    <row r="405" ht="26.25" hidden="1" customHeight="1">
      <c r="A405" s="85"/>
      <c r="B405" s="106"/>
      <c r="C405" s="103"/>
      <c r="D405" s="93"/>
      <c r="E405" s="93"/>
      <c r="F405" s="103"/>
      <c r="G405" s="113"/>
      <c r="H405" s="113"/>
      <c r="I405" s="100"/>
      <c r="J405" s="113"/>
      <c r="K405" s="82" t="b">
        <v>0</v>
      </c>
      <c r="L405" s="94"/>
      <c r="M405" s="84">
        <f t="shared" si="1"/>
        <v>6590</v>
      </c>
      <c r="N405" s="84"/>
      <c r="O405" s="84"/>
      <c r="P405" s="84"/>
      <c r="Q405" s="84"/>
      <c r="R405" s="86" t="str">
        <f t="shared" si="2"/>
        <v>Prepare for Showcase</v>
      </c>
      <c r="S405" s="82" t="b">
        <v>0</v>
      </c>
      <c r="T405" s="88"/>
      <c r="U405" s="84"/>
      <c r="V405" s="84"/>
      <c r="W405" s="84"/>
      <c r="X405" s="84"/>
      <c r="Y405" s="84"/>
      <c r="Z405" s="84"/>
      <c r="AA405" s="84"/>
    </row>
    <row r="406" ht="26.25" hidden="1" customHeight="1">
      <c r="A406" s="85"/>
      <c r="B406" s="106"/>
      <c r="C406" s="103"/>
      <c r="D406" s="93"/>
      <c r="E406" s="93"/>
      <c r="F406" s="103"/>
      <c r="G406" s="113"/>
      <c r="H406" s="113"/>
      <c r="I406" s="100"/>
      <c r="J406" s="113"/>
      <c r="K406" s="82" t="b">
        <v>0</v>
      </c>
      <c r="L406" s="94"/>
      <c r="M406" s="84">
        <f t="shared" si="1"/>
        <v>6590</v>
      </c>
      <c r="N406" s="84"/>
      <c r="O406" s="84"/>
      <c r="P406" s="84"/>
      <c r="Q406" s="84"/>
      <c r="R406" s="86" t="str">
        <f t="shared" si="2"/>
        <v>Prepare for Showcase</v>
      </c>
      <c r="S406" s="82" t="b">
        <v>0</v>
      </c>
      <c r="T406" s="88"/>
      <c r="U406" s="84"/>
      <c r="V406" s="84"/>
      <c r="W406" s="84"/>
      <c r="X406" s="84"/>
      <c r="Y406" s="84"/>
      <c r="Z406" s="84"/>
      <c r="AA406" s="84"/>
    </row>
    <row r="407" ht="26.25" hidden="1" customHeight="1">
      <c r="A407" s="85"/>
      <c r="B407" s="106"/>
      <c r="C407" s="103"/>
      <c r="D407" s="93"/>
      <c r="E407" s="93"/>
      <c r="F407" s="103"/>
      <c r="G407" s="113"/>
      <c r="H407" s="113"/>
      <c r="I407" s="100"/>
      <c r="J407" s="113"/>
      <c r="K407" s="82" t="b">
        <v>0</v>
      </c>
      <c r="L407" s="94"/>
      <c r="M407" s="84">
        <f t="shared" si="1"/>
        <v>6590</v>
      </c>
      <c r="N407" s="84"/>
      <c r="O407" s="84"/>
      <c r="P407" s="84"/>
      <c r="Q407" s="84"/>
      <c r="R407" s="86" t="str">
        <f t="shared" si="2"/>
        <v>Prepare for Showcase</v>
      </c>
      <c r="S407" s="82" t="b">
        <v>0</v>
      </c>
      <c r="T407" s="88"/>
      <c r="U407" s="84"/>
      <c r="V407" s="84"/>
      <c r="W407" s="84"/>
      <c r="X407" s="84"/>
      <c r="Y407" s="84"/>
      <c r="Z407" s="84"/>
      <c r="AA407" s="84"/>
    </row>
    <row r="408" ht="26.25" hidden="1" customHeight="1">
      <c r="A408" s="85"/>
      <c r="B408" s="106"/>
      <c r="C408" s="103"/>
      <c r="D408" s="93"/>
      <c r="E408" s="93"/>
      <c r="F408" s="103"/>
      <c r="G408" s="113"/>
      <c r="H408" s="113"/>
      <c r="I408" s="100"/>
      <c r="J408" s="113"/>
      <c r="K408" s="82" t="b">
        <v>0</v>
      </c>
      <c r="L408" s="94"/>
      <c r="M408" s="84">
        <f t="shared" si="1"/>
        <v>6590</v>
      </c>
      <c r="N408" s="84"/>
      <c r="O408" s="84"/>
      <c r="P408" s="84"/>
      <c r="Q408" s="84"/>
      <c r="R408" s="86" t="str">
        <f t="shared" si="2"/>
        <v>Prepare for Showcase</v>
      </c>
      <c r="S408" s="82" t="b">
        <v>0</v>
      </c>
      <c r="T408" s="88"/>
      <c r="U408" s="84"/>
      <c r="V408" s="84"/>
      <c r="W408" s="84"/>
      <c r="X408" s="84"/>
      <c r="Y408" s="84"/>
      <c r="Z408" s="84"/>
      <c r="AA408" s="84"/>
    </row>
    <row r="409" ht="26.25" hidden="1" customHeight="1">
      <c r="A409" s="85"/>
      <c r="B409" s="106"/>
      <c r="C409" s="103"/>
      <c r="D409" s="93"/>
      <c r="E409" s="93"/>
      <c r="F409" s="103"/>
      <c r="G409" s="113"/>
      <c r="H409" s="113"/>
      <c r="I409" s="100"/>
      <c r="J409" s="113"/>
      <c r="K409" s="82" t="b">
        <v>0</v>
      </c>
      <c r="L409" s="94"/>
      <c r="M409" s="84">
        <f t="shared" si="1"/>
        <v>6590</v>
      </c>
      <c r="N409" s="84"/>
      <c r="O409" s="84"/>
      <c r="P409" s="84"/>
      <c r="Q409" s="84"/>
      <c r="R409" s="86" t="str">
        <f t="shared" si="2"/>
        <v>Prepare for Showcase</v>
      </c>
      <c r="S409" s="82" t="b">
        <v>0</v>
      </c>
      <c r="T409" s="88"/>
      <c r="U409" s="84"/>
      <c r="V409" s="84"/>
      <c r="W409" s="84"/>
      <c r="X409" s="84"/>
      <c r="Y409" s="84"/>
      <c r="Z409" s="84"/>
      <c r="AA409" s="84"/>
    </row>
    <row r="410" ht="26.25" hidden="1" customHeight="1">
      <c r="A410" s="85"/>
      <c r="B410" s="106"/>
      <c r="C410" s="103"/>
      <c r="D410" s="93"/>
      <c r="E410" s="93"/>
      <c r="F410" s="103"/>
      <c r="G410" s="113"/>
      <c r="H410" s="113"/>
      <c r="I410" s="100"/>
      <c r="J410" s="113"/>
      <c r="K410" s="82" t="b">
        <v>0</v>
      </c>
      <c r="L410" s="94"/>
      <c r="M410" s="84">
        <f t="shared" si="1"/>
        <v>6590</v>
      </c>
      <c r="N410" s="84"/>
      <c r="O410" s="84"/>
      <c r="P410" s="84"/>
      <c r="Q410" s="84"/>
      <c r="R410" s="86" t="str">
        <f t="shared" si="2"/>
        <v>Prepare for Showcase</v>
      </c>
      <c r="S410" s="82" t="b">
        <v>0</v>
      </c>
      <c r="T410" s="88"/>
      <c r="U410" s="84"/>
      <c r="V410" s="84"/>
      <c r="W410" s="84"/>
      <c r="X410" s="84"/>
      <c r="Y410" s="84"/>
      <c r="Z410" s="84"/>
      <c r="AA410" s="84"/>
    </row>
    <row r="411" ht="26.25" hidden="1" customHeight="1">
      <c r="A411" s="85"/>
      <c r="B411" s="106"/>
      <c r="C411" s="103"/>
      <c r="D411" s="93"/>
      <c r="E411" s="93"/>
      <c r="F411" s="103"/>
      <c r="G411" s="113"/>
      <c r="H411" s="113"/>
      <c r="I411" s="100"/>
      <c r="J411" s="113"/>
      <c r="K411" s="82" t="b">
        <v>0</v>
      </c>
      <c r="L411" s="94"/>
      <c r="M411" s="84">
        <f t="shared" si="1"/>
        <v>6590</v>
      </c>
      <c r="N411" s="84"/>
      <c r="O411" s="84"/>
      <c r="P411" s="84"/>
      <c r="Q411" s="84"/>
      <c r="R411" s="86" t="str">
        <f t="shared" si="2"/>
        <v>Prepare for Showcase</v>
      </c>
      <c r="S411" s="82" t="b">
        <v>0</v>
      </c>
      <c r="T411" s="88"/>
      <c r="U411" s="84"/>
      <c r="V411" s="84"/>
      <c r="W411" s="84"/>
      <c r="X411" s="84"/>
      <c r="Y411" s="84"/>
      <c r="Z411" s="84"/>
      <c r="AA411" s="84"/>
    </row>
    <row r="412" ht="26.25" hidden="1" customHeight="1">
      <c r="A412" s="85"/>
      <c r="B412" s="106"/>
      <c r="C412" s="103"/>
      <c r="D412" s="93"/>
      <c r="E412" s="93"/>
      <c r="F412" s="103"/>
      <c r="G412" s="113"/>
      <c r="H412" s="113"/>
      <c r="I412" s="100"/>
      <c r="J412" s="113"/>
      <c r="K412" s="82" t="b">
        <v>0</v>
      </c>
      <c r="L412" s="94"/>
      <c r="M412" s="84">
        <f t="shared" si="1"/>
        <v>6590</v>
      </c>
      <c r="N412" s="84"/>
      <c r="O412" s="84"/>
      <c r="P412" s="84"/>
      <c r="Q412" s="84"/>
      <c r="R412" s="86" t="str">
        <f t="shared" si="2"/>
        <v>Prepare for Showcase</v>
      </c>
      <c r="S412" s="82" t="b">
        <v>0</v>
      </c>
      <c r="T412" s="88"/>
      <c r="U412" s="84"/>
      <c r="V412" s="84"/>
      <c r="W412" s="84"/>
      <c r="X412" s="84"/>
      <c r="Y412" s="84"/>
      <c r="Z412" s="84"/>
      <c r="AA412" s="84"/>
    </row>
    <row r="413" ht="26.25" hidden="1" customHeight="1">
      <c r="A413" s="85"/>
      <c r="B413" s="106"/>
      <c r="C413" s="103"/>
      <c r="D413" s="93"/>
      <c r="E413" s="93"/>
      <c r="F413" s="103"/>
      <c r="G413" s="113"/>
      <c r="H413" s="113"/>
      <c r="I413" s="100"/>
      <c r="J413" s="113"/>
      <c r="K413" s="82" t="b">
        <v>0</v>
      </c>
      <c r="L413" s="94"/>
      <c r="M413" s="84">
        <f t="shared" si="1"/>
        <v>6590</v>
      </c>
      <c r="N413" s="84"/>
      <c r="O413" s="84"/>
      <c r="P413" s="84"/>
      <c r="Q413" s="84"/>
      <c r="R413" s="86" t="str">
        <f t="shared" si="2"/>
        <v>Prepare for Showcase</v>
      </c>
      <c r="S413" s="82" t="b">
        <v>0</v>
      </c>
      <c r="T413" s="88"/>
      <c r="U413" s="84"/>
      <c r="V413" s="84"/>
      <c r="W413" s="84"/>
      <c r="X413" s="84"/>
      <c r="Y413" s="84"/>
      <c r="Z413" s="84"/>
      <c r="AA413" s="84"/>
    </row>
    <row r="414" ht="26.25" hidden="1" customHeight="1">
      <c r="A414" s="85"/>
      <c r="B414" s="106"/>
      <c r="C414" s="103"/>
      <c r="D414" s="93"/>
      <c r="E414" s="93"/>
      <c r="F414" s="103"/>
      <c r="G414" s="113"/>
      <c r="H414" s="113"/>
      <c r="I414" s="100"/>
      <c r="J414" s="113"/>
      <c r="K414" s="82" t="b">
        <v>0</v>
      </c>
      <c r="L414" s="94"/>
      <c r="M414" s="84">
        <f t="shared" si="1"/>
        <v>6590</v>
      </c>
      <c r="N414" s="84"/>
      <c r="O414" s="84"/>
      <c r="P414" s="84"/>
      <c r="Q414" s="84"/>
      <c r="R414" s="86" t="str">
        <f t="shared" si="2"/>
        <v>Prepare for Showcase</v>
      </c>
      <c r="S414" s="82" t="b">
        <v>0</v>
      </c>
      <c r="T414" s="88"/>
      <c r="U414" s="84"/>
      <c r="V414" s="84"/>
      <c r="W414" s="84"/>
      <c r="X414" s="84"/>
      <c r="Y414" s="84"/>
      <c r="Z414" s="84"/>
      <c r="AA414" s="84"/>
    </row>
    <row r="415" ht="26.25" hidden="1" customHeight="1">
      <c r="A415" s="85"/>
      <c r="B415" s="106"/>
      <c r="C415" s="103"/>
      <c r="D415" s="93"/>
      <c r="E415" s="93"/>
      <c r="F415" s="103"/>
      <c r="G415" s="113"/>
      <c r="H415" s="113"/>
      <c r="I415" s="100"/>
      <c r="J415" s="113"/>
      <c r="K415" s="82" t="b">
        <v>0</v>
      </c>
      <c r="L415" s="94"/>
      <c r="M415" s="84">
        <f t="shared" si="1"/>
        <v>6590</v>
      </c>
      <c r="N415" s="84"/>
      <c r="O415" s="84"/>
      <c r="P415" s="84"/>
      <c r="Q415" s="84"/>
      <c r="R415" s="86" t="str">
        <f t="shared" si="2"/>
        <v>Prepare for Showcase</v>
      </c>
      <c r="S415" s="82" t="b">
        <v>0</v>
      </c>
      <c r="T415" s="88"/>
      <c r="U415" s="84"/>
      <c r="V415" s="84"/>
      <c r="W415" s="84"/>
      <c r="X415" s="84"/>
      <c r="Y415" s="84"/>
      <c r="Z415" s="84"/>
      <c r="AA415" s="84"/>
    </row>
    <row r="416" ht="26.25" hidden="1" customHeight="1">
      <c r="A416" s="85"/>
      <c r="B416" s="106"/>
      <c r="C416" s="103"/>
      <c r="D416" s="93"/>
      <c r="E416" s="93"/>
      <c r="F416" s="103"/>
      <c r="G416" s="113"/>
      <c r="H416" s="113"/>
      <c r="I416" s="100"/>
      <c r="J416" s="113"/>
      <c r="K416" s="82" t="b">
        <v>0</v>
      </c>
      <c r="L416" s="94"/>
      <c r="M416" s="84">
        <f t="shared" si="1"/>
        <v>6590</v>
      </c>
      <c r="N416" s="84"/>
      <c r="O416" s="84"/>
      <c r="P416" s="84"/>
      <c r="Q416" s="84"/>
      <c r="R416" s="86" t="str">
        <f t="shared" si="2"/>
        <v>Prepare for Showcase</v>
      </c>
      <c r="S416" s="82" t="b">
        <v>0</v>
      </c>
      <c r="T416" s="88"/>
      <c r="U416" s="84"/>
      <c r="V416" s="84"/>
      <c r="W416" s="84"/>
      <c r="X416" s="84"/>
      <c r="Y416" s="84"/>
      <c r="Z416" s="84"/>
      <c r="AA416" s="84"/>
    </row>
    <row r="417" ht="26.25" hidden="1" customHeight="1">
      <c r="A417" s="85"/>
      <c r="B417" s="106"/>
      <c r="C417" s="103"/>
      <c r="D417" s="93"/>
      <c r="E417" s="93"/>
      <c r="F417" s="103"/>
      <c r="G417" s="113"/>
      <c r="H417" s="113"/>
      <c r="I417" s="100"/>
      <c r="J417" s="113"/>
      <c r="K417" s="82" t="b">
        <v>0</v>
      </c>
      <c r="L417" s="94"/>
      <c r="M417" s="84">
        <f t="shared" si="1"/>
        <v>6590</v>
      </c>
      <c r="N417" s="84"/>
      <c r="O417" s="84"/>
      <c r="P417" s="84"/>
      <c r="Q417" s="84"/>
      <c r="R417" s="86" t="str">
        <f t="shared" si="2"/>
        <v>Prepare for Showcase</v>
      </c>
      <c r="S417" s="82" t="b">
        <v>0</v>
      </c>
      <c r="T417" s="88"/>
      <c r="U417" s="84"/>
      <c r="V417" s="84"/>
      <c r="W417" s="84"/>
      <c r="X417" s="84"/>
      <c r="Y417" s="84"/>
      <c r="Z417" s="84"/>
      <c r="AA417" s="84"/>
    </row>
    <row r="418" ht="26.25" hidden="1" customHeight="1">
      <c r="A418" s="85"/>
      <c r="B418" s="106"/>
      <c r="C418" s="103"/>
      <c r="D418" s="93"/>
      <c r="E418" s="93"/>
      <c r="F418" s="103"/>
      <c r="G418" s="113"/>
      <c r="H418" s="113"/>
      <c r="I418" s="100"/>
      <c r="J418" s="113"/>
      <c r="K418" s="82" t="b">
        <v>0</v>
      </c>
      <c r="L418" s="94"/>
      <c r="M418" s="84">
        <f t="shared" si="1"/>
        <v>6590</v>
      </c>
      <c r="N418" s="84"/>
      <c r="O418" s="84"/>
      <c r="P418" s="84"/>
      <c r="Q418" s="84"/>
      <c r="R418" s="86" t="str">
        <f t="shared" si="2"/>
        <v>Prepare for Showcase</v>
      </c>
      <c r="S418" s="82" t="b">
        <v>0</v>
      </c>
      <c r="T418" s="88"/>
      <c r="U418" s="84"/>
      <c r="V418" s="84"/>
      <c r="W418" s="84"/>
      <c r="X418" s="84"/>
      <c r="Y418" s="84"/>
      <c r="Z418" s="84"/>
      <c r="AA418" s="84"/>
    </row>
    <row r="419" ht="26.25" hidden="1" customHeight="1">
      <c r="A419" s="85"/>
      <c r="B419" s="106"/>
      <c r="C419" s="103"/>
      <c r="D419" s="93"/>
      <c r="E419" s="93"/>
      <c r="F419" s="103"/>
      <c r="G419" s="113"/>
      <c r="H419" s="113"/>
      <c r="I419" s="100"/>
      <c r="J419" s="113"/>
      <c r="K419" s="82" t="b">
        <v>0</v>
      </c>
      <c r="L419" s="94"/>
      <c r="M419" s="84">
        <f t="shared" si="1"/>
        <v>6590</v>
      </c>
      <c r="N419" s="84"/>
      <c r="O419" s="84"/>
      <c r="P419" s="84"/>
      <c r="Q419" s="84"/>
      <c r="R419" s="86" t="str">
        <f t="shared" si="2"/>
        <v>Prepare for Showcase</v>
      </c>
      <c r="S419" s="82" t="b">
        <v>0</v>
      </c>
      <c r="T419" s="88"/>
      <c r="U419" s="84"/>
      <c r="V419" s="84"/>
      <c r="W419" s="84"/>
      <c r="X419" s="84"/>
      <c r="Y419" s="84"/>
      <c r="Z419" s="84"/>
      <c r="AA419" s="84"/>
    </row>
    <row r="420" ht="26.25" hidden="1" customHeight="1">
      <c r="A420" s="85"/>
      <c r="B420" s="106"/>
      <c r="C420" s="103"/>
      <c r="D420" s="93"/>
      <c r="E420" s="93"/>
      <c r="F420" s="103"/>
      <c r="G420" s="113"/>
      <c r="H420" s="113"/>
      <c r="I420" s="100"/>
      <c r="J420" s="113"/>
      <c r="K420" s="82" t="b">
        <v>0</v>
      </c>
      <c r="L420" s="94"/>
      <c r="M420" s="84">
        <f t="shared" si="1"/>
        <v>6590</v>
      </c>
      <c r="N420" s="84"/>
      <c r="O420" s="84"/>
      <c r="P420" s="84"/>
      <c r="Q420" s="84"/>
      <c r="R420" s="86" t="str">
        <f t="shared" si="2"/>
        <v>Prepare for Showcase</v>
      </c>
      <c r="S420" s="82" t="b">
        <v>0</v>
      </c>
      <c r="T420" s="88"/>
      <c r="U420" s="84"/>
      <c r="V420" s="84"/>
      <c r="W420" s="84"/>
      <c r="X420" s="84"/>
      <c r="Y420" s="84"/>
      <c r="Z420" s="84"/>
      <c r="AA420" s="84"/>
    </row>
    <row r="421" ht="26.25" hidden="1" customHeight="1">
      <c r="A421" s="85"/>
      <c r="B421" s="106"/>
      <c r="C421" s="103"/>
      <c r="D421" s="93"/>
      <c r="E421" s="93"/>
      <c r="F421" s="103"/>
      <c r="G421" s="113"/>
      <c r="H421" s="113"/>
      <c r="I421" s="100"/>
      <c r="J421" s="113"/>
      <c r="K421" s="82" t="b">
        <v>0</v>
      </c>
      <c r="L421" s="94"/>
      <c r="M421" s="84">
        <f t="shared" si="1"/>
        <v>6590</v>
      </c>
      <c r="N421" s="84"/>
      <c r="O421" s="84"/>
      <c r="P421" s="84"/>
      <c r="Q421" s="84"/>
      <c r="R421" s="86" t="str">
        <f t="shared" si="2"/>
        <v>Prepare for Showcase</v>
      </c>
      <c r="S421" s="82" t="b">
        <v>0</v>
      </c>
      <c r="T421" s="88"/>
      <c r="U421" s="84"/>
      <c r="V421" s="84"/>
      <c r="W421" s="84"/>
      <c r="X421" s="84"/>
      <c r="Y421" s="84"/>
      <c r="Z421" s="84"/>
      <c r="AA421" s="84"/>
    </row>
    <row r="422" ht="26.25" hidden="1" customHeight="1">
      <c r="A422" s="85"/>
      <c r="B422" s="106"/>
      <c r="C422" s="103"/>
      <c r="D422" s="93"/>
      <c r="E422" s="93"/>
      <c r="F422" s="103"/>
      <c r="G422" s="113"/>
      <c r="H422" s="113"/>
      <c r="I422" s="100"/>
      <c r="J422" s="113"/>
      <c r="K422" s="82" t="b">
        <v>0</v>
      </c>
      <c r="L422" s="94"/>
      <c r="M422" s="84">
        <f t="shared" si="1"/>
        <v>6590</v>
      </c>
      <c r="N422" s="84"/>
      <c r="O422" s="84"/>
      <c r="P422" s="84"/>
      <c r="Q422" s="84"/>
      <c r="R422" s="86" t="str">
        <f t="shared" si="2"/>
        <v>Prepare for Showcase</v>
      </c>
      <c r="S422" s="82" t="b">
        <v>0</v>
      </c>
      <c r="T422" s="88"/>
      <c r="U422" s="84"/>
      <c r="V422" s="84"/>
      <c r="W422" s="84"/>
      <c r="X422" s="84"/>
      <c r="Y422" s="84"/>
      <c r="Z422" s="84"/>
      <c r="AA422" s="84"/>
    </row>
    <row r="423" ht="26.25" hidden="1" customHeight="1">
      <c r="A423" s="85"/>
      <c r="B423" s="106"/>
      <c r="C423" s="103"/>
      <c r="D423" s="93"/>
      <c r="E423" s="93"/>
      <c r="F423" s="103"/>
      <c r="G423" s="113"/>
      <c r="H423" s="113"/>
      <c r="I423" s="100"/>
      <c r="J423" s="113"/>
      <c r="K423" s="82" t="b">
        <v>0</v>
      </c>
      <c r="L423" s="94"/>
      <c r="M423" s="84">
        <f t="shared" si="1"/>
        <v>6590</v>
      </c>
      <c r="N423" s="84"/>
      <c r="O423" s="84"/>
      <c r="P423" s="84"/>
      <c r="Q423" s="84"/>
      <c r="R423" s="86" t="str">
        <f t="shared" si="2"/>
        <v>Prepare for Showcase</v>
      </c>
      <c r="S423" s="82" t="b">
        <v>0</v>
      </c>
      <c r="T423" s="88"/>
      <c r="U423" s="84"/>
      <c r="V423" s="84"/>
      <c r="W423" s="84"/>
      <c r="X423" s="84"/>
      <c r="Y423" s="84"/>
      <c r="Z423" s="84"/>
      <c r="AA423" s="84"/>
    </row>
    <row r="424" ht="26.25" hidden="1" customHeight="1">
      <c r="A424" s="85"/>
      <c r="B424" s="106"/>
      <c r="C424" s="103"/>
      <c r="D424" s="93"/>
      <c r="E424" s="93"/>
      <c r="F424" s="103"/>
      <c r="G424" s="113"/>
      <c r="H424" s="113"/>
      <c r="I424" s="100"/>
      <c r="J424" s="113"/>
      <c r="K424" s="82" t="b">
        <v>0</v>
      </c>
      <c r="L424" s="94"/>
      <c r="M424" s="84">
        <f t="shared" si="1"/>
        <v>6590</v>
      </c>
      <c r="N424" s="84"/>
      <c r="O424" s="84"/>
      <c r="P424" s="84"/>
      <c r="Q424" s="84"/>
      <c r="R424" s="86" t="str">
        <f t="shared" si="2"/>
        <v>Prepare for Showcase</v>
      </c>
      <c r="S424" s="82" t="b">
        <v>0</v>
      </c>
      <c r="T424" s="88"/>
      <c r="U424" s="84"/>
      <c r="V424" s="84"/>
      <c r="W424" s="84"/>
      <c r="X424" s="84"/>
      <c r="Y424" s="84"/>
      <c r="Z424" s="84"/>
      <c r="AA424" s="84"/>
    </row>
    <row r="425" ht="26.25" hidden="1" customHeight="1">
      <c r="A425" s="85"/>
      <c r="B425" s="106"/>
      <c r="C425" s="103"/>
      <c r="D425" s="93"/>
      <c r="E425" s="93"/>
      <c r="F425" s="103"/>
      <c r="G425" s="113"/>
      <c r="H425" s="113"/>
      <c r="I425" s="100"/>
      <c r="J425" s="113"/>
      <c r="K425" s="82" t="b">
        <v>0</v>
      </c>
      <c r="L425" s="94"/>
      <c r="M425" s="84">
        <f t="shared" si="1"/>
        <v>6590</v>
      </c>
      <c r="N425" s="84"/>
      <c r="O425" s="84"/>
      <c r="P425" s="84"/>
      <c r="Q425" s="84"/>
      <c r="R425" s="86" t="str">
        <f t="shared" si="2"/>
        <v>Prepare for Showcase</v>
      </c>
      <c r="S425" s="82" t="b">
        <v>0</v>
      </c>
      <c r="T425" s="88"/>
      <c r="U425" s="84"/>
      <c r="V425" s="84"/>
      <c r="W425" s="84"/>
      <c r="X425" s="84"/>
      <c r="Y425" s="84"/>
      <c r="Z425" s="84"/>
      <c r="AA425" s="84"/>
    </row>
    <row r="426" ht="26.25" hidden="1" customHeight="1">
      <c r="A426" s="85"/>
      <c r="B426" s="106"/>
      <c r="C426" s="103"/>
      <c r="D426" s="93"/>
      <c r="E426" s="93"/>
      <c r="F426" s="103"/>
      <c r="G426" s="113"/>
      <c r="H426" s="113"/>
      <c r="I426" s="100"/>
      <c r="J426" s="113"/>
      <c r="K426" s="82" t="b">
        <v>0</v>
      </c>
      <c r="L426" s="94"/>
      <c r="M426" s="84">
        <f t="shared" si="1"/>
        <v>6590</v>
      </c>
      <c r="N426" s="84"/>
      <c r="O426" s="84"/>
      <c r="P426" s="84"/>
      <c r="Q426" s="84"/>
      <c r="R426" s="86" t="str">
        <f t="shared" si="2"/>
        <v>Prepare for Showcase</v>
      </c>
      <c r="S426" s="82" t="b">
        <v>0</v>
      </c>
      <c r="T426" s="88"/>
      <c r="U426" s="84"/>
      <c r="V426" s="84"/>
      <c r="W426" s="84"/>
      <c r="X426" s="84"/>
      <c r="Y426" s="84"/>
      <c r="Z426" s="84"/>
      <c r="AA426" s="84"/>
    </row>
    <row r="427" ht="26.25" hidden="1" customHeight="1">
      <c r="A427" s="85"/>
      <c r="B427" s="106"/>
      <c r="C427" s="103"/>
      <c r="D427" s="93"/>
      <c r="E427" s="93"/>
      <c r="F427" s="103"/>
      <c r="G427" s="113"/>
      <c r="H427" s="113"/>
      <c r="I427" s="100"/>
      <c r="J427" s="113"/>
      <c r="K427" s="82" t="b">
        <v>0</v>
      </c>
      <c r="L427" s="94"/>
      <c r="M427" s="84">
        <f t="shared" si="1"/>
        <v>6590</v>
      </c>
      <c r="N427" s="84"/>
      <c r="O427" s="84"/>
      <c r="P427" s="84"/>
      <c r="Q427" s="84"/>
      <c r="R427" s="86" t="str">
        <f t="shared" si="2"/>
        <v>Prepare for Showcase</v>
      </c>
      <c r="S427" s="82" t="b">
        <v>0</v>
      </c>
      <c r="T427" s="88"/>
      <c r="U427" s="84"/>
      <c r="V427" s="84"/>
      <c r="W427" s="84"/>
      <c r="X427" s="84"/>
      <c r="Y427" s="84"/>
      <c r="Z427" s="84"/>
      <c r="AA427" s="84"/>
    </row>
    <row r="428" ht="26.25" hidden="1" customHeight="1">
      <c r="A428" s="85"/>
      <c r="B428" s="106"/>
      <c r="C428" s="103"/>
      <c r="D428" s="93"/>
      <c r="E428" s="93"/>
      <c r="F428" s="103"/>
      <c r="G428" s="113"/>
      <c r="H428" s="113"/>
      <c r="I428" s="100"/>
      <c r="J428" s="113"/>
      <c r="K428" s="82" t="b">
        <v>0</v>
      </c>
      <c r="L428" s="94"/>
      <c r="M428" s="84">
        <f t="shared" si="1"/>
        <v>6590</v>
      </c>
      <c r="N428" s="84"/>
      <c r="O428" s="84"/>
      <c r="P428" s="84"/>
      <c r="Q428" s="84"/>
      <c r="R428" s="86" t="str">
        <f t="shared" si="2"/>
        <v>Prepare for Showcase</v>
      </c>
      <c r="S428" s="82" t="b">
        <v>0</v>
      </c>
      <c r="T428" s="88"/>
      <c r="U428" s="84"/>
      <c r="V428" s="84"/>
      <c r="W428" s="84"/>
      <c r="X428" s="84"/>
      <c r="Y428" s="84"/>
      <c r="Z428" s="84"/>
      <c r="AA428" s="84"/>
    </row>
    <row r="429" ht="26.25" hidden="1" customHeight="1">
      <c r="A429" s="85"/>
      <c r="B429" s="106"/>
      <c r="C429" s="103"/>
      <c r="D429" s="93"/>
      <c r="E429" s="93"/>
      <c r="F429" s="103"/>
      <c r="G429" s="113"/>
      <c r="H429" s="113"/>
      <c r="I429" s="100"/>
      <c r="J429" s="113"/>
      <c r="K429" s="82" t="b">
        <v>0</v>
      </c>
      <c r="L429" s="94"/>
      <c r="M429" s="84">
        <f t="shared" si="1"/>
        <v>6590</v>
      </c>
      <c r="N429" s="84"/>
      <c r="O429" s="84"/>
      <c r="P429" s="84"/>
      <c r="Q429" s="84"/>
      <c r="R429" s="86" t="str">
        <f t="shared" si="2"/>
        <v>Prepare for Showcase</v>
      </c>
      <c r="S429" s="82" t="b">
        <v>0</v>
      </c>
      <c r="T429" s="88"/>
      <c r="U429" s="84"/>
      <c r="V429" s="84"/>
      <c r="W429" s="84"/>
      <c r="X429" s="84"/>
      <c r="Y429" s="84"/>
      <c r="Z429" s="84"/>
      <c r="AA429" s="84"/>
    </row>
    <row r="430" ht="26.25" hidden="1" customHeight="1">
      <c r="A430" s="85"/>
      <c r="B430" s="106"/>
      <c r="C430" s="103"/>
      <c r="D430" s="93"/>
      <c r="E430" s="93"/>
      <c r="F430" s="103"/>
      <c r="G430" s="113"/>
      <c r="H430" s="113"/>
      <c r="I430" s="100"/>
      <c r="J430" s="113"/>
      <c r="K430" s="82" t="b">
        <v>0</v>
      </c>
      <c r="L430" s="94"/>
      <c r="M430" s="84">
        <f t="shared" si="1"/>
        <v>6590</v>
      </c>
      <c r="N430" s="84"/>
      <c r="O430" s="84"/>
      <c r="P430" s="84"/>
      <c r="Q430" s="84"/>
      <c r="R430" s="86" t="str">
        <f t="shared" si="2"/>
        <v>Prepare for Showcase</v>
      </c>
      <c r="S430" s="82" t="b">
        <v>0</v>
      </c>
      <c r="T430" s="88"/>
      <c r="U430" s="84"/>
      <c r="V430" s="84"/>
      <c r="W430" s="84"/>
      <c r="X430" s="84"/>
      <c r="Y430" s="84"/>
      <c r="Z430" s="84"/>
      <c r="AA430" s="84"/>
    </row>
    <row r="431" ht="26.25" hidden="1" customHeight="1">
      <c r="A431" s="85"/>
      <c r="B431" s="106"/>
      <c r="C431" s="103"/>
      <c r="D431" s="93"/>
      <c r="E431" s="93"/>
      <c r="F431" s="103"/>
      <c r="G431" s="113"/>
      <c r="H431" s="113"/>
      <c r="I431" s="100"/>
      <c r="J431" s="113"/>
      <c r="K431" s="82" t="b">
        <v>0</v>
      </c>
      <c r="L431" s="94"/>
      <c r="M431" s="84">
        <f t="shared" si="1"/>
        <v>6590</v>
      </c>
      <c r="N431" s="84"/>
      <c r="O431" s="84"/>
      <c r="P431" s="84"/>
      <c r="Q431" s="84"/>
      <c r="R431" s="86" t="str">
        <f t="shared" si="2"/>
        <v>Prepare for Showcase</v>
      </c>
      <c r="S431" s="82" t="b">
        <v>0</v>
      </c>
      <c r="T431" s="88"/>
      <c r="U431" s="84"/>
      <c r="V431" s="84"/>
      <c r="W431" s="84"/>
      <c r="X431" s="84"/>
      <c r="Y431" s="84"/>
      <c r="Z431" s="84"/>
      <c r="AA431" s="84"/>
    </row>
    <row r="432" ht="26.25" hidden="1" customHeight="1">
      <c r="A432" s="85"/>
      <c r="B432" s="106"/>
      <c r="C432" s="103"/>
      <c r="D432" s="93"/>
      <c r="E432" s="93"/>
      <c r="F432" s="103"/>
      <c r="G432" s="113"/>
      <c r="H432" s="113"/>
      <c r="I432" s="100"/>
      <c r="J432" s="113"/>
      <c r="K432" s="82" t="b">
        <v>0</v>
      </c>
      <c r="L432" s="94"/>
      <c r="M432" s="84">
        <f t="shared" si="1"/>
        <v>6590</v>
      </c>
      <c r="N432" s="84"/>
      <c r="O432" s="84"/>
      <c r="P432" s="84"/>
      <c r="Q432" s="84"/>
      <c r="R432" s="86" t="str">
        <f t="shared" si="2"/>
        <v>Prepare for Showcase</v>
      </c>
      <c r="S432" s="82" t="b">
        <v>0</v>
      </c>
      <c r="T432" s="88"/>
      <c r="U432" s="84"/>
      <c r="V432" s="84"/>
      <c r="W432" s="84"/>
      <c r="X432" s="84"/>
      <c r="Y432" s="84"/>
      <c r="Z432" s="84"/>
      <c r="AA432" s="84"/>
    </row>
    <row r="433" ht="26.25" hidden="1" customHeight="1">
      <c r="A433" s="85"/>
      <c r="B433" s="106"/>
      <c r="C433" s="103"/>
      <c r="D433" s="93"/>
      <c r="E433" s="93"/>
      <c r="F433" s="103"/>
      <c r="G433" s="113"/>
      <c r="H433" s="113"/>
      <c r="I433" s="100"/>
      <c r="J433" s="113"/>
      <c r="K433" s="82" t="b">
        <v>0</v>
      </c>
      <c r="L433" s="94"/>
      <c r="M433" s="84">
        <f t="shared" si="1"/>
        <v>6590</v>
      </c>
      <c r="N433" s="84"/>
      <c r="O433" s="84"/>
      <c r="P433" s="84"/>
      <c r="Q433" s="84"/>
      <c r="R433" s="86" t="str">
        <f t="shared" si="2"/>
        <v>Prepare for Showcase</v>
      </c>
      <c r="S433" s="82" t="b">
        <v>0</v>
      </c>
      <c r="T433" s="88"/>
      <c r="U433" s="84"/>
      <c r="V433" s="84"/>
      <c r="W433" s="84"/>
      <c r="X433" s="84"/>
      <c r="Y433" s="84"/>
      <c r="Z433" s="84"/>
      <c r="AA433" s="84"/>
    </row>
    <row r="434" ht="26.25" hidden="1" customHeight="1">
      <c r="A434" s="85"/>
      <c r="B434" s="106"/>
      <c r="C434" s="103"/>
      <c r="D434" s="93"/>
      <c r="E434" s="93"/>
      <c r="F434" s="103"/>
      <c r="G434" s="113"/>
      <c r="H434" s="113"/>
      <c r="I434" s="100"/>
      <c r="J434" s="113"/>
      <c r="K434" s="82" t="b">
        <v>0</v>
      </c>
      <c r="L434" s="94"/>
      <c r="M434" s="84">
        <f t="shared" si="1"/>
        <v>6590</v>
      </c>
      <c r="N434" s="84"/>
      <c r="O434" s="84"/>
      <c r="P434" s="84"/>
      <c r="Q434" s="84"/>
      <c r="R434" s="86" t="str">
        <f t="shared" si="2"/>
        <v>Prepare for Showcase</v>
      </c>
      <c r="S434" s="82" t="b">
        <v>0</v>
      </c>
      <c r="T434" s="88"/>
      <c r="U434" s="84"/>
      <c r="V434" s="84"/>
      <c r="W434" s="84"/>
      <c r="X434" s="84"/>
      <c r="Y434" s="84"/>
      <c r="Z434" s="84"/>
      <c r="AA434" s="84"/>
    </row>
    <row r="435" ht="26.25" hidden="1" customHeight="1">
      <c r="A435" s="85"/>
      <c r="B435" s="106"/>
      <c r="C435" s="103"/>
      <c r="D435" s="93"/>
      <c r="E435" s="93"/>
      <c r="F435" s="103"/>
      <c r="G435" s="113"/>
      <c r="H435" s="113"/>
      <c r="I435" s="100"/>
      <c r="J435" s="113"/>
      <c r="K435" s="82" t="b">
        <v>0</v>
      </c>
      <c r="L435" s="94"/>
      <c r="M435" s="84">
        <f t="shared" si="1"/>
        <v>6590</v>
      </c>
      <c r="N435" s="84"/>
      <c r="O435" s="84"/>
      <c r="P435" s="84"/>
      <c r="Q435" s="84"/>
      <c r="R435" s="86" t="str">
        <f t="shared" si="2"/>
        <v>Prepare for Showcase</v>
      </c>
      <c r="S435" s="82" t="b">
        <v>0</v>
      </c>
      <c r="T435" s="88"/>
      <c r="U435" s="84"/>
      <c r="V435" s="84"/>
      <c r="W435" s="84"/>
      <c r="X435" s="84"/>
      <c r="Y435" s="84"/>
      <c r="Z435" s="84"/>
      <c r="AA435" s="84"/>
    </row>
    <row r="436" ht="26.25" hidden="1" customHeight="1">
      <c r="A436" s="85"/>
      <c r="B436" s="106"/>
      <c r="C436" s="103"/>
      <c r="D436" s="93"/>
      <c r="E436" s="93"/>
      <c r="F436" s="103"/>
      <c r="G436" s="113"/>
      <c r="H436" s="113"/>
      <c r="I436" s="100"/>
      <c r="J436" s="113"/>
      <c r="K436" s="82" t="b">
        <v>0</v>
      </c>
      <c r="L436" s="94"/>
      <c r="M436" s="84">
        <f t="shared" si="1"/>
        <v>6590</v>
      </c>
      <c r="N436" s="84"/>
      <c r="O436" s="84"/>
      <c r="P436" s="84"/>
      <c r="Q436" s="84"/>
      <c r="R436" s="86" t="str">
        <f t="shared" si="2"/>
        <v>Prepare for Showcase</v>
      </c>
      <c r="S436" s="82" t="b">
        <v>0</v>
      </c>
      <c r="T436" s="88"/>
      <c r="U436" s="84"/>
      <c r="V436" s="84"/>
      <c r="W436" s="84"/>
      <c r="X436" s="84"/>
      <c r="Y436" s="84"/>
      <c r="Z436" s="84"/>
      <c r="AA436" s="84"/>
    </row>
    <row r="437" ht="26.25" hidden="1" customHeight="1">
      <c r="A437" s="85"/>
      <c r="B437" s="106"/>
      <c r="C437" s="103"/>
      <c r="D437" s="93"/>
      <c r="E437" s="93"/>
      <c r="F437" s="103"/>
      <c r="G437" s="113"/>
      <c r="H437" s="113"/>
      <c r="I437" s="100"/>
      <c r="J437" s="113"/>
      <c r="K437" s="82" t="b">
        <v>0</v>
      </c>
      <c r="L437" s="94"/>
      <c r="M437" s="84">
        <f t="shared" si="1"/>
        <v>6590</v>
      </c>
      <c r="N437" s="84"/>
      <c r="O437" s="84"/>
      <c r="P437" s="84"/>
      <c r="Q437" s="84"/>
      <c r="R437" s="86" t="str">
        <f t="shared" si="2"/>
        <v>Prepare for Showcase</v>
      </c>
      <c r="S437" s="82" t="b">
        <v>0</v>
      </c>
      <c r="T437" s="88"/>
      <c r="U437" s="84"/>
      <c r="V437" s="84"/>
      <c r="W437" s="84"/>
      <c r="X437" s="84"/>
      <c r="Y437" s="84"/>
      <c r="Z437" s="84"/>
      <c r="AA437" s="84"/>
    </row>
    <row r="438" ht="26.25" hidden="1" customHeight="1">
      <c r="A438" s="85"/>
      <c r="B438" s="106"/>
      <c r="C438" s="103"/>
      <c r="D438" s="93"/>
      <c r="E438" s="93"/>
      <c r="F438" s="103"/>
      <c r="G438" s="113"/>
      <c r="H438" s="113"/>
      <c r="I438" s="100"/>
      <c r="J438" s="113"/>
      <c r="K438" s="82" t="b">
        <v>0</v>
      </c>
      <c r="L438" s="94"/>
      <c r="M438" s="84">
        <f t="shared" si="1"/>
        <v>6590</v>
      </c>
      <c r="N438" s="84"/>
      <c r="O438" s="84"/>
      <c r="P438" s="84"/>
      <c r="Q438" s="84"/>
      <c r="R438" s="86" t="str">
        <f t="shared" si="2"/>
        <v>Prepare for Showcase</v>
      </c>
      <c r="S438" s="82" t="b">
        <v>0</v>
      </c>
      <c r="T438" s="88"/>
      <c r="U438" s="84"/>
      <c r="V438" s="84"/>
      <c r="W438" s="84"/>
      <c r="X438" s="84"/>
      <c r="Y438" s="84"/>
      <c r="Z438" s="84"/>
      <c r="AA438" s="84"/>
    </row>
    <row r="439" ht="26.25" hidden="1" customHeight="1">
      <c r="A439" s="85"/>
      <c r="B439" s="106"/>
      <c r="C439" s="103"/>
      <c r="D439" s="93"/>
      <c r="E439" s="93"/>
      <c r="F439" s="103"/>
      <c r="G439" s="113"/>
      <c r="H439" s="113"/>
      <c r="I439" s="100"/>
      <c r="J439" s="113"/>
      <c r="K439" s="82" t="b">
        <v>0</v>
      </c>
      <c r="L439" s="94"/>
      <c r="M439" s="84">
        <f t="shared" si="1"/>
        <v>6590</v>
      </c>
      <c r="N439" s="84"/>
      <c r="O439" s="84"/>
      <c r="P439" s="84"/>
      <c r="Q439" s="84"/>
      <c r="R439" s="86" t="str">
        <f t="shared" si="2"/>
        <v>Prepare for Showcase</v>
      </c>
      <c r="S439" s="82" t="b">
        <v>0</v>
      </c>
      <c r="T439" s="88"/>
      <c r="U439" s="84"/>
      <c r="V439" s="84"/>
      <c r="W439" s="84"/>
      <c r="X439" s="84"/>
      <c r="Y439" s="84"/>
      <c r="Z439" s="84"/>
      <c r="AA439" s="84"/>
    </row>
    <row r="440" ht="26.25" hidden="1" customHeight="1">
      <c r="A440" s="85"/>
      <c r="B440" s="106"/>
      <c r="C440" s="103"/>
      <c r="D440" s="93"/>
      <c r="E440" s="93"/>
      <c r="F440" s="103"/>
      <c r="G440" s="113"/>
      <c r="H440" s="113"/>
      <c r="I440" s="100"/>
      <c r="J440" s="113"/>
      <c r="K440" s="82" t="b">
        <v>0</v>
      </c>
      <c r="L440" s="94"/>
      <c r="M440" s="84">
        <f t="shared" si="1"/>
        <v>6590</v>
      </c>
      <c r="N440" s="84"/>
      <c r="O440" s="84"/>
      <c r="P440" s="84"/>
      <c r="Q440" s="84"/>
      <c r="R440" s="86" t="str">
        <f t="shared" si="2"/>
        <v>Prepare for Showcase</v>
      </c>
      <c r="S440" s="82" t="b">
        <v>0</v>
      </c>
      <c r="T440" s="88"/>
      <c r="U440" s="84"/>
      <c r="V440" s="84"/>
      <c r="W440" s="84"/>
      <c r="X440" s="84"/>
      <c r="Y440" s="84"/>
      <c r="Z440" s="84"/>
      <c r="AA440" s="84"/>
    </row>
    <row r="441" ht="26.25" hidden="1" customHeight="1">
      <c r="A441" s="85"/>
      <c r="B441" s="106"/>
      <c r="C441" s="103"/>
      <c r="D441" s="93"/>
      <c r="E441" s="93"/>
      <c r="F441" s="103"/>
      <c r="G441" s="113"/>
      <c r="H441" s="113"/>
      <c r="I441" s="100"/>
      <c r="J441" s="113"/>
      <c r="K441" s="82" t="b">
        <v>0</v>
      </c>
      <c r="L441" s="94"/>
      <c r="M441" s="84">
        <f t="shared" si="1"/>
        <v>6590</v>
      </c>
      <c r="N441" s="84"/>
      <c r="O441" s="84"/>
      <c r="P441" s="84"/>
      <c r="Q441" s="84"/>
      <c r="R441" s="86" t="str">
        <f t="shared" si="2"/>
        <v>Prepare for Showcase</v>
      </c>
      <c r="S441" s="82" t="b">
        <v>0</v>
      </c>
      <c r="T441" s="88"/>
      <c r="U441" s="84"/>
      <c r="V441" s="84"/>
      <c r="W441" s="84"/>
      <c r="X441" s="84"/>
      <c r="Y441" s="84"/>
      <c r="Z441" s="84"/>
      <c r="AA441" s="84"/>
    </row>
    <row r="442" ht="26.25" hidden="1" customHeight="1">
      <c r="A442" s="85"/>
      <c r="B442" s="106"/>
      <c r="C442" s="103"/>
      <c r="D442" s="93"/>
      <c r="E442" s="93"/>
      <c r="F442" s="103"/>
      <c r="G442" s="113"/>
      <c r="H442" s="113"/>
      <c r="I442" s="100"/>
      <c r="J442" s="113"/>
      <c r="K442" s="82" t="b">
        <v>0</v>
      </c>
      <c r="L442" s="94"/>
      <c r="M442" s="84">
        <f t="shared" si="1"/>
        <v>6590</v>
      </c>
      <c r="N442" s="84"/>
      <c r="O442" s="84"/>
      <c r="P442" s="84"/>
      <c r="Q442" s="84"/>
      <c r="R442" s="86" t="str">
        <f t="shared" si="2"/>
        <v>Prepare for Showcase</v>
      </c>
      <c r="S442" s="82" t="b">
        <v>0</v>
      </c>
      <c r="T442" s="88"/>
      <c r="U442" s="84"/>
      <c r="V442" s="84"/>
      <c r="W442" s="84"/>
      <c r="X442" s="84"/>
      <c r="Y442" s="84"/>
      <c r="Z442" s="84"/>
      <c r="AA442" s="84"/>
    </row>
    <row r="443" ht="26.25" hidden="1" customHeight="1">
      <c r="A443" s="85"/>
      <c r="B443" s="106"/>
      <c r="C443" s="103"/>
      <c r="D443" s="93"/>
      <c r="E443" s="93"/>
      <c r="F443" s="103"/>
      <c r="G443" s="113"/>
      <c r="H443" s="113"/>
      <c r="I443" s="100"/>
      <c r="J443" s="113"/>
      <c r="K443" s="82" t="b">
        <v>0</v>
      </c>
      <c r="L443" s="94"/>
      <c r="M443" s="84">
        <f t="shared" si="1"/>
        <v>6590</v>
      </c>
      <c r="N443" s="84"/>
      <c r="O443" s="84"/>
      <c r="P443" s="84"/>
      <c r="Q443" s="84"/>
      <c r="R443" s="86" t="str">
        <f t="shared" si="2"/>
        <v>Prepare for Showcase</v>
      </c>
      <c r="S443" s="82" t="b">
        <v>0</v>
      </c>
      <c r="T443" s="88"/>
      <c r="U443" s="84"/>
      <c r="V443" s="84"/>
      <c r="W443" s="84"/>
      <c r="X443" s="84"/>
      <c r="Y443" s="84"/>
      <c r="Z443" s="84"/>
      <c r="AA443" s="84"/>
    </row>
    <row r="444" ht="26.25" hidden="1" customHeight="1">
      <c r="A444" s="85"/>
      <c r="B444" s="106"/>
      <c r="C444" s="103"/>
      <c r="D444" s="93"/>
      <c r="E444" s="93"/>
      <c r="F444" s="103"/>
      <c r="G444" s="113"/>
      <c r="H444" s="113"/>
      <c r="I444" s="100"/>
      <c r="J444" s="113"/>
      <c r="K444" s="82" t="b">
        <v>0</v>
      </c>
      <c r="L444" s="94"/>
      <c r="M444" s="84">
        <f t="shared" si="1"/>
        <v>6590</v>
      </c>
      <c r="N444" s="84"/>
      <c r="O444" s="84"/>
      <c r="P444" s="84"/>
      <c r="Q444" s="84"/>
      <c r="R444" s="86" t="str">
        <f t="shared" si="2"/>
        <v>Prepare for Showcase</v>
      </c>
      <c r="S444" s="82" t="b">
        <v>0</v>
      </c>
      <c r="T444" s="88"/>
      <c r="U444" s="84"/>
      <c r="V444" s="84"/>
      <c r="W444" s="84"/>
      <c r="X444" s="84"/>
      <c r="Y444" s="84"/>
      <c r="Z444" s="84"/>
      <c r="AA444" s="84"/>
    </row>
    <row r="445" ht="26.25" hidden="1" customHeight="1">
      <c r="A445" s="85"/>
      <c r="B445" s="106"/>
      <c r="C445" s="103"/>
      <c r="D445" s="93"/>
      <c r="E445" s="93"/>
      <c r="F445" s="103"/>
      <c r="G445" s="113"/>
      <c r="H445" s="113"/>
      <c r="I445" s="100"/>
      <c r="J445" s="113"/>
      <c r="K445" s="82" t="b">
        <v>0</v>
      </c>
      <c r="L445" s="94"/>
      <c r="M445" s="84">
        <f t="shared" si="1"/>
        <v>6590</v>
      </c>
      <c r="N445" s="84"/>
      <c r="O445" s="84"/>
      <c r="P445" s="84"/>
      <c r="Q445" s="84"/>
      <c r="R445" s="86" t="str">
        <f t="shared" si="2"/>
        <v>Prepare for Showcase</v>
      </c>
      <c r="S445" s="82" t="b">
        <v>0</v>
      </c>
      <c r="T445" s="88"/>
      <c r="U445" s="84"/>
      <c r="V445" s="84"/>
      <c r="W445" s="84"/>
      <c r="X445" s="84"/>
      <c r="Y445" s="84"/>
      <c r="Z445" s="84"/>
      <c r="AA445" s="84"/>
    </row>
    <row r="446" ht="26.25" hidden="1" customHeight="1">
      <c r="A446" s="85"/>
      <c r="B446" s="106"/>
      <c r="C446" s="103"/>
      <c r="D446" s="93"/>
      <c r="E446" s="93"/>
      <c r="F446" s="103"/>
      <c r="G446" s="113"/>
      <c r="H446" s="113"/>
      <c r="I446" s="100"/>
      <c r="J446" s="113"/>
      <c r="K446" s="82" t="b">
        <v>0</v>
      </c>
      <c r="L446" s="94"/>
      <c r="M446" s="84">
        <f t="shared" si="1"/>
        <v>6590</v>
      </c>
      <c r="N446" s="84"/>
      <c r="O446" s="84"/>
      <c r="P446" s="84"/>
      <c r="Q446" s="84"/>
      <c r="R446" s="86" t="str">
        <f t="shared" si="2"/>
        <v>Prepare for Showcase</v>
      </c>
      <c r="S446" s="82" t="b">
        <v>0</v>
      </c>
      <c r="T446" s="88"/>
      <c r="U446" s="84"/>
      <c r="V446" s="84"/>
      <c r="W446" s="84"/>
      <c r="X446" s="84"/>
      <c r="Y446" s="84"/>
      <c r="Z446" s="84"/>
      <c r="AA446" s="84"/>
    </row>
    <row r="447" ht="26.25" hidden="1" customHeight="1">
      <c r="A447" s="85"/>
      <c r="B447" s="106"/>
      <c r="C447" s="103"/>
      <c r="D447" s="93"/>
      <c r="E447" s="93"/>
      <c r="F447" s="103"/>
      <c r="G447" s="113"/>
      <c r="H447" s="113"/>
      <c r="I447" s="100"/>
      <c r="J447" s="113"/>
      <c r="K447" s="82" t="b">
        <v>0</v>
      </c>
      <c r="L447" s="94"/>
      <c r="M447" s="84">
        <f t="shared" si="1"/>
        <v>6590</v>
      </c>
      <c r="N447" s="84"/>
      <c r="O447" s="84"/>
      <c r="P447" s="84"/>
      <c r="Q447" s="84"/>
      <c r="R447" s="86" t="str">
        <f t="shared" si="2"/>
        <v>Prepare for Showcase</v>
      </c>
      <c r="S447" s="82" t="b">
        <v>0</v>
      </c>
      <c r="T447" s="88"/>
      <c r="U447" s="84"/>
      <c r="V447" s="84"/>
      <c r="W447" s="84"/>
      <c r="X447" s="84"/>
      <c r="Y447" s="84"/>
      <c r="Z447" s="84"/>
      <c r="AA447" s="84"/>
    </row>
    <row r="448" ht="26.25" hidden="1" customHeight="1">
      <c r="A448" s="85"/>
      <c r="B448" s="106"/>
      <c r="C448" s="103"/>
      <c r="D448" s="93"/>
      <c r="E448" s="93"/>
      <c r="F448" s="103"/>
      <c r="G448" s="113"/>
      <c r="H448" s="113"/>
      <c r="I448" s="100"/>
      <c r="J448" s="113"/>
      <c r="K448" s="82" t="b">
        <v>0</v>
      </c>
      <c r="L448" s="94"/>
      <c r="M448" s="84">
        <f t="shared" si="1"/>
        <v>6590</v>
      </c>
      <c r="N448" s="84"/>
      <c r="O448" s="84"/>
      <c r="P448" s="84"/>
      <c r="Q448" s="84"/>
      <c r="R448" s="86" t="str">
        <f t="shared" si="2"/>
        <v>Prepare for Showcase</v>
      </c>
      <c r="S448" s="82" t="b">
        <v>0</v>
      </c>
      <c r="T448" s="88"/>
      <c r="U448" s="84"/>
      <c r="V448" s="84"/>
      <c r="W448" s="84"/>
      <c r="X448" s="84"/>
      <c r="Y448" s="84"/>
      <c r="Z448" s="84"/>
      <c r="AA448" s="84"/>
    </row>
    <row r="449" ht="26.25" hidden="1" customHeight="1">
      <c r="A449" s="85"/>
      <c r="B449" s="106"/>
      <c r="C449" s="103"/>
      <c r="D449" s="93"/>
      <c r="E449" s="93"/>
      <c r="F449" s="103"/>
      <c r="G449" s="113"/>
      <c r="H449" s="113"/>
      <c r="I449" s="100"/>
      <c r="J449" s="113"/>
      <c r="K449" s="82" t="b">
        <v>0</v>
      </c>
      <c r="L449" s="94"/>
      <c r="M449" s="84">
        <f t="shared" si="1"/>
        <v>6590</v>
      </c>
      <c r="N449" s="84"/>
      <c r="O449" s="84"/>
      <c r="P449" s="84"/>
      <c r="Q449" s="84"/>
      <c r="R449" s="86" t="str">
        <f t="shared" si="2"/>
        <v>Prepare for Showcase</v>
      </c>
      <c r="S449" s="82" t="b">
        <v>0</v>
      </c>
      <c r="T449" s="88"/>
      <c r="U449" s="84"/>
      <c r="V449" s="84"/>
      <c r="W449" s="84"/>
      <c r="X449" s="84"/>
      <c r="Y449" s="84"/>
      <c r="Z449" s="84"/>
      <c r="AA449" s="84"/>
    </row>
    <row r="450" ht="26.25" hidden="1" customHeight="1">
      <c r="A450" s="85"/>
      <c r="B450" s="106"/>
      <c r="C450" s="103"/>
      <c r="D450" s="93"/>
      <c r="E450" s="93"/>
      <c r="F450" s="103"/>
      <c r="G450" s="113"/>
      <c r="H450" s="113"/>
      <c r="I450" s="100"/>
      <c r="J450" s="113"/>
      <c r="K450" s="82" t="b">
        <v>0</v>
      </c>
      <c r="L450" s="94"/>
      <c r="M450" s="84">
        <f t="shared" si="1"/>
        <v>6590</v>
      </c>
      <c r="N450" s="84"/>
      <c r="O450" s="84"/>
      <c r="P450" s="84"/>
      <c r="Q450" s="84"/>
      <c r="R450" s="86" t="str">
        <f t="shared" si="2"/>
        <v>Prepare for Showcase</v>
      </c>
      <c r="S450" s="82" t="b">
        <v>0</v>
      </c>
      <c r="T450" s="88"/>
      <c r="U450" s="84"/>
      <c r="V450" s="84"/>
      <c r="W450" s="84"/>
      <c r="X450" s="84"/>
      <c r="Y450" s="84"/>
      <c r="Z450" s="84"/>
      <c r="AA450" s="84"/>
    </row>
    <row r="451" ht="26.25" hidden="1" customHeight="1">
      <c r="A451" s="85"/>
      <c r="B451" s="106"/>
      <c r="C451" s="103"/>
      <c r="D451" s="93"/>
      <c r="E451" s="93"/>
      <c r="F451" s="103"/>
      <c r="G451" s="113"/>
      <c r="H451" s="113"/>
      <c r="I451" s="100"/>
      <c r="J451" s="113"/>
      <c r="K451" s="82" t="b">
        <v>0</v>
      </c>
      <c r="L451" s="94"/>
      <c r="M451" s="84">
        <f t="shared" si="1"/>
        <v>6590</v>
      </c>
      <c r="N451" s="84"/>
      <c r="O451" s="84"/>
      <c r="P451" s="84"/>
      <c r="Q451" s="84"/>
      <c r="R451" s="86" t="str">
        <f t="shared" si="2"/>
        <v>Prepare for Showcase</v>
      </c>
      <c r="S451" s="82" t="b">
        <v>0</v>
      </c>
      <c r="T451" s="88"/>
      <c r="U451" s="84"/>
      <c r="V451" s="84"/>
      <c r="W451" s="84"/>
      <c r="X451" s="84"/>
      <c r="Y451" s="84"/>
      <c r="Z451" s="84"/>
      <c r="AA451" s="84"/>
    </row>
    <row r="452" ht="26.25" hidden="1" customHeight="1">
      <c r="A452" s="85"/>
      <c r="B452" s="106"/>
      <c r="C452" s="103"/>
      <c r="D452" s="93"/>
      <c r="E452" s="93"/>
      <c r="F452" s="103"/>
      <c r="G452" s="113"/>
      <c r="H452" s="113"/>
      <c r="I452" s="100"/>
      <c r="J452" s="113"/>
      <c r="K452" s="82" t="b">
        <v>0</v>
      </c>
      <c r="L452" s="94"/>
      <c r="M452" s="84">
        <f t="shared" si="1"/>
        <v>6590</v>
      </c>
      <c r="N452" s="84"/>
      <c r="O452" s="84"/>
      <c r="P452" s="84"/>
      <c r="Q452" s="84"/>
      <c r="R452" s="86" t="str">
        <f t="shared" si="2"/>
        <v>Prepare for Showcase</v>
      </c>
      <c r="S452" s="82" t="b">
        <v>0</v>
      </c>
      <c r="T452" s="88"/>
      <c r="U452" s="84"/>
      <c r="V452" s="84"/>
      <c r="W452" s="84"/>
      <c r="X452" s="84"/>
      <c r="Y452" s="84"/>
      <c r="Z452" s="84"/>
      <c r="AA452" s="84"/>
    </row>
    <row r="453" ht="26.25" hidden="1" customHeight="1">
      <c r="A453" s="85"/>
      <c r="B453" s="106"/>
      <c r="C453" s="103"/>
      <c r="D453" s="93"/>
      <c r="E453" s="93"/>
      <c r="F453" s="103"/>
      <c r="G453" s="113"/>
      <c r="H453" s="113"/>
      <c r="I453" s="100"/>
      <c r="J453" s="113"/>
      <c r="K453" s="82" t="b">
        <v>0</v>
      </c>
      <c r="L453" s="94"/>
      <c r="M453" s="84">
        <f t="shared" si="1"/>
        <v>6590</v>
      </c>
      <c r="N453" s="84"/>
      <c r="O453" s="84"/>
      <c r="P453" s="84"/>
      <c r="Q453" s="84"/>
      <c r="R453" s="86" t="str">
        <f t="shared" si="2"/>
        <v>Prepare for Showcase</v>
      </c>
      <c r="S453" s="82" t="b">
        <v>0</v>
      </c>
      <c r="T453" s="88"/>
      <c r="U453" s="84"/>
      <c r="V453" s="84"/>
      <c r="W453" s="84"/>
      <c r="X453" s="84"/>
      <c r="Y453" s="84"/>
      <c r="Z453" s="84"/>
      <c r="AA453" s="84"/>
    </row>
    <row r="454" ht="26.25" hidden="1" customHeight="1">
      <c r="A454" s="85"/>
      <c r="B454" s="106"/>
      <c r="C454" s="103"/>
      <c r="D454" s="93"/>
      <c r="E454" s="93"/>
      <c r="F454" s="103"/>
      <c r="G454" s="113"/>
      <c r="H454" s="113"/>
      <c r="I454" s="100"/>
      <c r="J454" s="113"/>
      <c r="K454" s="82" t="b">
        <v>0</v>
      </c>
      <c r="L454" s="94"/>
      <c r="M454" s="84">
        <f t="shared" si="1"/>
        <v>6590</v>
      </c>
      <c r="N454" s="84"/>
      <c r="O454" s="84"/>
      <c r="P454" s="84"/>
      <c r="Q454" s="84"/>
      <c r="R454" s="86" t="str">
        <f t="shared" si="2"/>
        <v>Prepare for Showcase</v>
      </c>
      <c r="S454" s="82" t="b">
        <v>0</v>
      </c>
      <c r="T454" s="88"/>
      <c r="U454" s="84"/>
      <c r="V454" s="84"/>
      <c r="W454" s="84"/>
      <c r="X454" s="84"/>
      <c r="Y454" s="84"/>
      <c r="Z454" s="84"/>
      <c r="AA454" s="84"/>
    </row>
    <row r="455" ht="26.25" hidden="1" customHeight="1">
      <c r="A455" s="85"/>
      <c r="B455" s="106"/>
      <c r="C455" s="103"/>
      <c r="D455" s="93"/>
      <c r="E455" s="93"/>
      <c r="F455" s="103"/>
      <c r="G455" s="113"/>
      <c r="H455" s="113"/>
      <c r="I455" s="100"/>
      <c r="J455" s="113"/>
      <c r="K455" s="82" t="b">
        <v>0</v>
      </c>
      <c r="L455" s="94"/>
      <c r="M455" s="84">
        <f t="shared" si="1"/>
        <v>6590</v>
      </c>
      <c r="N455" s="84"/>
      <c r="O455" s="84"/>
      <c r="P455" s="84"/>
      <c r="Q455" s="84"/>
      <c r="R455" s="86" t="str">
        <f t="shared" si="2"/>
        <v>Prepare for Showcase</v>
      </c>
      <c r="S455" s="82" t="b">
        <v>0</v>
      </c>
      <c r="T455" s="88"/>
      <c r="U455" s="84"/>
      <c r="V455" s="84"/>
      <c r="W455" s="84"/>
      <c r="X455" s="84"/>
      <c r="Y455" s="84"/>
      <c r="Z455" s="84"/>
      <c r="AA455" s="84"/>
    </row>
    <row r="456" ht="26.25" hidden="1" customHeight="1">
      <c r="A456" s="85"/>
      <c r="B456" s="106"/>
      <c r="C456" s="103"/>
      <c r="D456" s="93"/>
      <c r="E456" s="93"/>
      <c r="F456" s="103"/>
      <c r="G456" s="113"/>
      <c r="H456" s="113"/>
      <c r="I456" s="100"/>
      <c r="J456" s="113"/>
      <c r="K456" s="82" t="b">
        <v>0</v>
      </c>
      <c r="L456" s="94"/>
      <c r="M456" s="84">
        <f t="shared" si="1"/>
        <v>6590</v>
      </c>
      <c r="N456" s="84"/>
      <c r="O456" s="84"/>
      <c r="P456" s="84"/>
      <c r="Q456" s="84"/>
      <c r="R456" s="86" t="str">
        <f t="shared" si="2"/>
        <v>Prepare for Showcase</v>
      </c>
      <c r="S456" s="82" t="b">
        <v>0</v>
      </c>
      <c r="T456" s="88"/>
      <c r="U456" s="84"/>
      <c r="V456" s="84"/>
      <c r="W456" s="84"/>
      <c r="X456" s="84"/>
      <c r="Y456" s="84"/>
      <c r="Z456" s="84"/>
      <c r="AA456" s="84"/>
    </row>
    <row r="457" ht="26.25" hidden="1" customHeight="1">
      <c r="A457" s="85"/>
      <c r="B457" s="106"/>
      <c r="C457" s="103"/>
      <c r="D457" s="93"/>
      <c r="E457" s="93"/>
      <c r="F457" s="103"/>
      <c r="G457" s="113"/>
      <c r="H457" s="113"/>
      <c r="I457" s="100"/>
      <c r="J457" s="113"/>
      <c r="K457" s="82" t="b">
        <v>0</v>
      </c>
      <c r="L457" s="94"/>
      <c r="M457" s="84">
        <f t="shared" si="1"/>
        <v>6590</v>
      </c>
      <c r="N457" s="84"/>
      <c r="O457" s="84"/>
      <c r="P457" s="84"/>
      <c r="Q457" s="84"/>
      <c r="R457" s="86" t="str">
        <f t="shared" si="2"/>
        <v>Prepare for Showcase</v>
      </c>
      <c r="S457" s="82" t="b">
        <v>0</v>
      </c>
      <c r="T457" s="88"/>
      <c r="U457" s="84"/>
      <c r="V457" s="84"/>
      <c r="W457" s="84"/>
      <c r="X457" s="84"/>
      <c r="Y457" s="84"/>
      <c r="Z457" s="84"/>
      <c r="AA457" s="84"/>
    </row>
    <row r="458" ht="26.25" hidden="1" customHeight="1">
      <c r="A458" s="85"/>
      <c r="B458" s="106"/>
      <c r="C458" s="103"/>
      <c r="D458" s="93"/>
      <c r="E458" s="93"/>
      <c r="F458" s="103"/>
      <c r="G458" s="113"/>
      <c r="H458" s="113"/>
      <c r="I458" s="100"/>
      <c r="J458" s="113"/>
      <c r="K458" s="82" t="b">
        <v>0</v>
      </c>
      <c r="L458" s="94"/>
      <c r="M458" s="84">
        <f t="shared" si="1"/>
        <v>6590</v>
      </c>
      <c r="N458" s="84"/>
      <c r="O458" s="84"/>
      <c r="P458" s="84"/>
      <c r="Q458" s="84"/>
      <c r="R458" s="86" t="str">
        <f t="shared" si="2"/>
        <v>Prepare for Showcase</v>
      </c>
      <c r="S458" s="82" t="b">
        <v>0</v>
      </c>
      <c r="T458" s="88"/>
      <c r="U458" s="84"/>
      <c r="V458" s="84"/>
      <c r="W458" s="84"/>
      <c r="X458" s="84"/>
      <c r="Y458" s="84"/>
      <c r="Z458" s="84"/>
      <c r="AA458" s="84"/>
    </row>
    <row r="459" ht="26.25" hidden="1" customHeight="1">
      <c r="A459" s="85"/>
      <c r="B459" s="106"/>
      <c r="C459" s="103"/>
      <c r="D459" s="93"/>
      <c r="E459" s="93"/>
      <c r="F459" s="103"/>
      <c r="G459" s="113"/>
      <c r="H459" s="113"/>
      <c r="I459" s="100"/>
      <c r="J459" s="113"/>
      <c r="K459" s="82" t="b">
        <v>0</v>
      </c>
      <c r="L459" s="94"/>
      <c r="M459" s="84">
        <f t="shared" si="1"/>
        <v>6590</v>
      </c>
      <c r="N459" s="84"/>
      <c r="O459" s="84"/>
      <c r="P459" s="84"/>
      <c r="Q459" s="84"/>
      <c r="R459" s="86" t="str">
        <f t="shared" si="2"/>
        <v>Prepare for Showcase</v>
      </c>
      <c r="S459" s="82" t="b">
        <v>0</v>
      </c>
      <c r="T459" s="88"/>
      <c r="U459" s="84"/>
      <c r="V459" s="84"/>
      <c r="W459" s="84"/>
      <c r="X459" s="84"/>
      <c r="Y459" s="84"/>
      <c r="Z459" s="84"/>
      <c r="AA459" s="84"/>
    </row>
    <row r="460" ht="26.25" hidden="1" customHeight="1">
      <c r="A460" s="85"/>
      <c r="B460" s="106"/>
      <c r="C460" s="103"/>
      <c r="D460" s="93"/>
      <c r="E460" s="93"/>
      <c r="F460" s="103"/>
      <c r="G460" s="113"/>
      <c r="H460" s="113"/>
      <c r="I460" s="100"/>
      <c r="J460" s="113"/>
      <c r="K460" s="82" t="b">
        <v>0</v>
      </c>
      <c r="L460" s="94"/>
      <c r="M460" s="84">
        <f t="shared" si="1"/>
        <v>6590</v>
      </c>
      <c r="N460" s="84"/>
      <c r="O460" s="84"/>
      <c r="P460" s="84"/>
      <c r="Q460" s="84"/>
      <c r="R460" s="86" t="str">
        <f t="shared" si="2"/>
        <v>Prepare for Showcase</v>
      </c>
      <c r="S460" s="82" t="b">
        <v>0</v>
      </c>
      <c r="T460" s="88"/>
      <c r="U460" s="84"/>
      <c r="V460" s="84"/>
      <c r="W460" s="84"/>
      <c r="X460" s="84"/>
      <c r="Y460" s="84"/>
      <c r="Z460" s="84"/>
      <c r="AA460" s="84"/>
    </row>
    <row r="461" ht="26.25" hidden="1" customHeight="1">
      <c r="A461" s="85"/>
      <c r="B461" s="106"/>
      <c r="C461" s="103"/>
      <c r="D461" s="93"/>
      <c r="E461" s="93"/>
      <c r="F461" s="103"/>
      <c r="G461" s="113"/>
      <c r="H461" s="113"/>
      <c r="I461" s="100"/>
      <c r="J461" s="113"/>
      <c r="K461" s="82" t="b">
        <v>0</v>
      </c>
      <c r="L461" s="94"/>
      <c r="M461" s="84">
        <f t="shared" si="1"/>
        <v>6590</v>
      </c>
      <c r="N461" s="84"/>
      <c r="O461" s="84"/>
      <c r="P461" s="84"/>
      <c r="Q461" s="84"/>
      <c r="R461" s="86" t="str">
        <f t="shared" si="2"/>
        <v>Prepare for Showcase</v>
      </c>
      <c r="S461" s="82" t="b">
        <v>0</v>
      </c>
      <c r="T461" s="88"/>
      <c r="U461" s="84"/>
      <c r="V461" s="84"/>
      <c r="W461" s="84"/>
      <c r="X461" s="84"/>
      <c r="Y461" s="84"/>
      <c r="Z461" s="84"/>
      <c r="AA461" s="84"/>
    </row>
    <row r="462" ht="26.25" hidden="1" customHeight="1">
      <c r="A462" s="85"/>
      <c r="B462" s="106"/>
      <c r="C462" s="103"/>
      <c r="D462" s="93"/>
      <c r="E462" s="93"/>
      <c r="F462" s="103"/>
      <c r="G462" s="113"/>
      <c r="H462" s="113"/>
      <c r="I462" s="100"/>
      <c r="J462" s="113"/>
      <c r="K462" s="82" t="b">
        <v>0</v>
      </c>
      <c r="L462" s="94"/>
      <c r="M462" s="84">
        <f t="shared" si="1"/>
        <v>6590</v>
      </c>
      <c r="N462" s="84"/>
      <c r="O462" s="84"/>
      <c r="P462" s="84"/>
      <c r="Q462" s="84"/>
      <c r="R462" s="86" t="str">
        <f t="shared" si="2"/>
        <v>Prepare for Showcase</v>
      </c>
      <c r="S462" s="82" t="b">
        <v>0</v>
      </c>
      <c r="T462" s="88"/>
      <c r="U462" s="84"/>
      <c r="V462" s="84"/>
      <c r="W462" s="84"/>
      <c r="X462" s="84"/>
      <c r="Y462" s="84"/>
      <c r="Z462" s="84"/>
      <c r="AA462" s="84"/>
    </row>
    <row r="463" ht="26.25" hidden="1" customHeight="1">
      <c r="A463" s="85"/>
      <c r="B463" s="106"/>
      <c r="C463" s="103"/>
      <c r="D463" s="93"/>
      <c r="E463" s="93"/>
      <c r="F463" s="103"/>
      <c r="G463" s="113"/>
      <c r="H463" s="113"/>
      <c r="I463" s="100"/>
      <c r="J463" s="113"/>
      <c r="K463" s="82" t="b">
        <v>0</v>
      </c>
      <c r="L463" s="94"/>
      <c r="M463" s="84">
        <f t="shared" si="1"/>
        <v>6590</v>
      </c>
      <c r="N463" s="84"/>
      <c r="O463" s="84"/>
      <c r="P463" s="84"/>
      <c r="Q463" s="84"/>
      <c r="R463" s="86" t="str">
        <f t="shared" si="2"/>
        <v>Prepare for Showcase</v>
      </c>
      <c r="S463" s="82" t="b">
        <v>0</v>
      </c>
      <c r="T463" s="88"/>
      <c r="U463" s="84"/>
      <c r="V463" s="84"/>
      <c r="W463" s="84"/>
      <c r="X463" s="84"/>
      <c r="Y463" s="84"/>
      <c r="Z463" s="84"/>
      <c r="AA463" s="84"/>
    </row>
    <row r="464" ht="26.25" hidden="1" customHeight="1">
      <c r="A464" s="85"/>
      <c r="B464" s="106"/>
      <c r="C464" s="103"/>
      <c r="D464" s="93"/>
      <c r="E464" s="93"/>
      <c r="F464" s="103"/>
      <c r="G464" s="113"/>
      <c r="H464" s="113"/>
      <c r="I464" s="100"/>
      <c r="J464" s="113"/>
      <c r="K464" s="82" t="b">
        <v>0</v>
      </c>
      <c r="L464" s="94"/>
      <c r="M464" s="84">
        <f t="shared" si="1"/>
        <v>6590</v>
      </c>
      <c r="N464" s="84"/>
      <c r="O464" s="84"/>
      <c r="P464" s="84"/>
      <c r="Q464" s="84"/>
      <c r="R464" s="86" t="str">
        <f t="shared" si="2"/>
        <v>Prepare for Showcase</v>
      </c>
      <c r="S464" s="82" t="b">
        <v>0</v>
      </c>
      <c r="T464" s="88"/>
      <c r="U464" s="84"/>
      <c r="V464" s="84"/>
      <c r="W464" s="84"/>
      <c r="X464" s="84"/>
      <c r="Y464" s="84"/>
      <c r="Z464" s="84"/>
      <c r="AA464" s="84"/>
    </row>
    <row r="465" ht="26.25" hidden="1" customHeight="1">
      <c r="A465" s="85"/>
      <c r="B465" s="106"/>
      <c r="C465" s="103"/>
      <c r="D465" s="93"/>
      <c r="E465" s="93"/>
      <c r="F465" s="103"/>
      <c r="G465" s="113"/>
      <c r="H465" s="113"/>
      <c r="I465" s="100"/>
      <c r="J465" s="113"/>
      <c r="K465" s="82" t="b">
        <v>0</v>
      </c>
      <c r="L465" s="94"/>
      <c r="M465" s="84">
        <f t="shared" si="1"/>
        <v>6590</v>
      </c>
      <c r="N465" s="84"/>
      <c r="O465" s="84"/>
      <c r="P465" s="84"/>
      <c r="Q465" s="84"/>
      <c r="R465" s="86" t="str">
        <f t="shared" si="2"/>
        <v>Prepare for Showcase</v>
      </c>
      <c r="S465" s="82" t="b">
        <v>0</v>
      </c>
      <c r="T465" s="88"/>
      <c r="U465" s="84"/>
      <c r="V465" s="84"/>
      <c r="W465" s="84"/>
      <c r="X465" s="84"/>
      <c r="Y465" s="84"/>
      <c r="Z465" s="84"/>
      <c r="AA465" s="84"/>
    </row>
    <row r="466" ht="26.25" hidden="1" customHeight="1">
      <c r="A466" s="85"/>
      <c r="B466" s="106"/>
      <c r="C466" s="103"/>
      <c r="D466" s="93"/>
      <c r="E466" s="93"/>
      <c r="F466" s="103"/>
      <c r="G466" s="113"/>
      <c r="H466" s="113"/>
      <c r="I466" s="100"/>
      <c r="J466" s="113"/>
      <c r="K466" s="82" t="b">
        <v>0</v>
      </c>
      <c r="L466" s="94"/>
      <c r="M466" s="84">
        <f t="shared" si="1"/>
        <v>6590</v>
      </c>
      <c r="N466" s="84"/>
      <c r="O466" s="84"/>
      <c r="P466" s="84"/>
      <c r="Q466" s="84"/>
      <c r="R466" s="86" t="str">
        <f t="shared" si="2"/>
        <v>Prepare for Showcase</v>
      </c>
      <c r="S466" s="82" t="b">
        <v>0</v>
      </c>
      <c r="T466" s="88"/>
      <c r="U466" s="84"/>
      <c r="V466" s="84"/>
      <c r="W466" s="84"/>
      <c r="X466" s="84"/>
      <c r="Y466" s="84"/>
      <c r="Z466" s="84"/>
      <c r="AA466" s="84"/>
    </row>
    <row r="467" ht="26.25" hidden="1" customHeight="1">
      <c r="A467" s="85"/>
      <c r="B467" s="106"/>
      <c r="C467" s="103"/>
      <c r="D467" s="93"/>
      <c r="E467" s="93"/>
      <c r="F467" s="103"/>
      <c r="G467" s="113"/>
      <c r="H467" s="113"/>
      <c r="I467" s="100"/>
      <c r="J467" s="113"/>
      <c r="K467" s="82" t="b">
        <v>0</v>
      </c>
      <c r="L467" s="94"/>
      <c r="M467" s="84">
        <f t="shared" si="1"/>
        <v>6590</v>
      </c>
      <c r="N467" s="84"/>
      <c r="O467" s="84"/>
      <c r="P467" s="84"/>
      <c r="Q467" s="84"/>
      <c r="R467" s="86" t="str">
        <f t="shared" si="2"/>
        <v>Prepare for Showcase</v>
      </c>
      <c r="S467" s="82" t="b">
        <v>0</v>
      </c>
      <c r="T467" s="88"/>
      <c r="U467" s="84"/>
      <c r="V467" s="84"/>
      <c r="W467" s="84"/>
      <c r="X467" s="84"/>
      <c r="Y467" s="84"/>
      <c r="Z467" s="84"/>
      <c r="AA467" s="84"/>
    </row>
    <row r="468" ht="26.25" hidden="1" customHeight="1">
      <c r="A468" s="85"/>
      <c r="B468" s="106"/>
      <c r="C468" s="103"/>
      <c r="D468" s="93"/>
      <c r="E468" s="93"/>
      <c r="F468" s="103"/>
      <c r="G468" s="113"/>
      <c r="H468" s="113"/>
      <c r="I468" s="100"/>
      <c r="J468" s="113"/>
      <c r="K468" s="82" t="b">
        <v>0</v>
      </c>
      <c r="L468" s="94"/>
      <c r="M468" s="84">
        <f t="shared" si="1"/>
        <v>6590</v>
      </c>
      <c r="N468" s="84"/>
      <c r="O468" s="84"/>
      <c r="P468" s="84"/>
      <c r="Q468" s="84"/>
      <c r="R468" s="86" t="str">
        <f t="shared" si="2"/>
        <v>Prepare for Showcase</v>
      </c>
      <c r="S468" s="82" t="b">
        <v>0</v>
      </c>
      <c r="T468" s="88"/>
      <c r="U468" s="84"/>
      <c r="V468" s="84"/>
      <c r="W468" s="84"/>
      <c r="X468" s="84"/>
      <c r="Y468" s="84"/>
      <c r="Z468" s="84"/>
      <c r="AA468" s="84"/>
    </row>
    <row r="469" ht="26.25" hidden="1" customHeight="1">
      <c r="A469" s="85"/>
      <c r="B469" s="106"/>
      <c r="C469" s="103"/>
      <c r="D469" s="93"/>
      <c r="E469" s="93"/>
      <c r="F469" s="103"/>
      <c r="G469" s="113"/>
      <c r="H469" s="113"/>
      <c r="I469" s="100"/>
      <c r="J469" s="113"/>
      <c r="K469" s="82" t="b">
        <v>0</v>
      </c>
      <c r="L469" s="94"/>
      <c r="M469" s="84">
        <f t="shared" si="1"/>
        <v>6590</v>
      </c>
      <c r="N469" s="84"/>
      <c r="O469" s="84"/>
      <c r="P469" s="84"/>
      <c r="Q469" s="84"/>
      <c r="R469" s="86" t="str">
        <f t="shared" si="2"/>
        <v>Prepare for Showcase</v>
      </c>
      <c r="S469" s="82" t="b">
        <v>0</v>
      </c>
      <c r="T469" s="88"/>
      <c r="U469" s="84"/>
      <c r="V469" s="84"/>
      <c r="W469" s="84"/>
      <c r="X469" s="84"/>
      <c r="Y469" s="84"/>
      <c r="Z469" s="84"/>
      <c r="AA469" s="84"/>
    </row>
    <row r="470" ht="26.25" hidden="1" customHeight="1">
      <c r="A470" s="85"/>
      <c r="B470" s="106"/>
      <c r="C470" s="103"/>
      <c r="D470" s="93"/>
      <c r="E470" s="93"/>
      <c r="F470" s="103"/>
      <c r="G470" s="113"/>
      <c r="H470" s="113"/>
      <c r="I470" s="100"/>
      <c r="J470" s="113"/>
      <c r="K470" s="82" t="b">
        <v>0</v>
      </c>
      <c r="L470" s="94"/>
      <c r="M470" s="84">
        <f t="shared" si="1"/>
        <v>6590</v>
      </c>
      <c r="N470" s="84"/>
      <c r="O470" s="84"/>
      <c r="P470" s="84"/>
      <c r="Q470" s="84"/>
      <c r="R470" s="86" t="str">
        <f t="shared" si="2"/>
        <v>Prepare for Showcase</v>
      </c>
      <c r="S470" s="82" t="b">
        <v>0</v>
      </c>
      <c r="T470" s="88"/>
      <c r="U470" s="84"/>
      <c r="V470" s="84"/>
      <c r="W470" s="84"/>
      <c r="X470" s="84"/>
      <c r="Y470" s="84"/>
      <c r="Z470" s="84"/>
      <c r="AA470" s="84"/>
    </row>
    <row r="471" ht="26.25" hidden="1" customHeight="1">
      <c r="A471" s="85"/>
      <c r="B471" s="106"/>
      <c r="C471" s="103"/>
      <c r="D471" s="93"/>
      <c r="E471" s="93"/>
      <c r="F471" s="103"/>
      <c r="G471" s="113"/>
      <c r="H471" s="113"/>
      <c r="I471" s="100"/>
      <c r="J471" s="113"/>
      <c r="K471" s="82" t="b">
        <v>0</v>
      </c>
      <c r="L471" s="94"/>
      <c r="M471" s="84">
        <f t="shared" si="1"/>
        <v>6590</v>
      </c>
      <c r="N471" s="84"/>
      <c r="O471" s="84"/>
      <c r="P471" s="84"/>
      <c r="Q471" s="84"/>
      <c r="R471" s="86" t="str">
        <f t="shared" si="2"/>
        <v>Prepare for Showcase</v>
      </c>
      <c r="S471" s="82" t="b">
        <v>0</v>
      </c>
      <c r="T471" s="88"/>
      <c r="U471" s="84"/>
      <c r="V471" s="84"/>
      <c r="W471" s="84"/>
      <c r="X471" s="84"/>
      <c r="Y471" s="84"/>
      <c r="Z471" s="84"/>
      <c r="AA471" s="84"/>
    </row>
    <row r="472" ht="26.25" hidden="1" customHeight="1">
      <c r="A472" s="85"/>
      <c r="B472" s="106"/>
      <c r="C472" s="103"/>
      <c r="D472" s="93"/>
      <c r="E472" s="93"/>
      <c r="F472" s="103"/>
      <c r="G472" s="113"/>
      <c r="H472" s="113"/>
      <c r="I472" s="100"/>
      <c r="J472" s="113"/>
      <c r="K472" s="82" t="b">
        <v>0</v>
      </c>
      <c r="L472" s="94"/>
      <c r="M472" s="84">
        <f t="shared" si="1"/>
        <v>6590</v>
      </c>
      <c r="N472" s="84"/>
      <c r="O472" s="84"/>
      <c r="P472" s="84"/>
      <c r="Q472" s="84"/>
      <c r="R472" s="86" t="str">
        <f t="shared" si="2"/>
        <v>Prepare for Showcase</v>
      </c>
      <c r="S472" s="82" t="b">
        <v>0</v>
      </c>
      <c r="T472" s="88"/>
      <c r="U472" s="84"/>
      <c r="V472" s="84"/>
      <c r="W472" s="84"/>
      <c r="X472" s="84"/>
      <c r="Y472" s="84"/>
      <c r="Z472" s="84"/>
      <c r="AA472" s="84"/>
    </row>
    <row r="473" ht="26.25" hidden="1" customHeight="1">
      <c r="A473" s="85"/>
      <c r="B473" s="106"/>
      <c r="C473" s="103"/>
      <c r="D473" s="93"/>
      <c r="E473" s="93"/>
      <c r="F473" s="103"/>
      <c r="G473" s="113"/>
      <c r="H473" s="113"/>
      <c r="I473" s="100"/>
      <c r="J473" s="113"/>
      <c r="K473" s="82" t="b">
        <v>0</v>
      </c>
      <c r="L473" s="94"/>
      <c r="M473" s="84">
        <f t="shared" si="1"/>
        <v>6590</v>
      </c>
      <c r="N473" s="84"/>
      <c r="O473" s="84"/>
      <c r="P473" s="84"/>
      <c r="Q473" s="84"/>
      <c r="R473" s="86" t="str">
        <f t="shared" si="2"/>
        <v>Prepare for Showcase</v>
      </c>
      <c r="S473" s="82" t="b">
        <v>0</v>
      </c>
      <c r="T473" s="88"/>
      <c r="U473" s="84"/>
      <c r="V473" s="84"/>
      <c r="W473" s="84"/>
      <c r="X473" s="84"/>
      <c r="Y473" s="84"/>
      <c r="Z473" s="84"/>
      <c r="AA473" s="84"/>
    </row>
    <row r="474" ht="26.25" hidden="1" customHeight="1">
      <c r="A474" s="85"/>
      <c r="B474" s="106"/>
      <c r="C474" s="103"/>
      <c r="D474" s="93"/>
      <c r="E474" s="93"/>
      <c r="F474" s="103"/>
      <c r="G474" s="113"/>
      <c r="H474" s="113"/>
      <c r="I474" s="100"/>
      <c r="J474" s="113"/>
      <c r="K474" s="82" t="b">
        <v>0</v>
      </c>
      <c r="L474" s="94"/>
      <c r="M474" s="84">
        <f t="shared" si="1"/>
        <v>6590</v>
      </c>
      <c r="N474" s="84"/>
      <c r="O474" s="84"/>
      <c r="P474" s="84"/>
      <c r="Q474" s="84"/>
      <c r="R474" s="86" t="str">
        <f t="shared" si="2"/>
        <v>Prepare for Showcase</v>
      </c>
      <c r="S474" s="82" t="b">
        <v>0</v>
      </c>
      <c r="T474" s="88"/>
      <c r="U474" s="84"/>
      <c r="V474" s="84"/>
      <c r="W474" s="84"/>
      <c r="X474" s="84"/>
      <c r="Y474" s="84"/>
      <c r="Z474" s="84"/>
      <c r="AA474" s="84"/>
    </row>
    <row r="475" ht="26.25" hidden="1" customHeight="1">
      <c r="A475" s="85"/>
      <c r="B475" s="106"/>
      <c r="C475" s="103"/>
      <c r="D475" s="93"/>
      <c r="E475" s="93"/>
      <c r="F475" s="103"/>
      <c r="G475" s="113"/>
      <c r="H475" s="113"/>
      <c r="I475" s="100"/>
      <c r="J475" s="113"/>
      <c r="K475" s="82" t="b">
        <v>0</v>
      </c>
      <c r="L475" s="94"/>
      <c r="M475" s="84">
        <f t="shared" si="1"/>
        <v>6590</v>
      </c>
      <c r="N475" s="84"/>
      <c r="O475" s="84"/>
      <c r="P475" s="84"/>
      <c r="Q475" s="84"/>
      <c r="R475" s="86" t="str">
        <f t="shared" si="2"/>
        <v>Prepare for Showcase</v>
      </c>
      <c r="S475" s="82" t="b">
        <v>0</v>
      </c>
      <c r="T475" s="88"/>
      <c r="U475" s="84"/>
      <c r="V475" s="84"/>
      <c r="W475" s="84"/>
      <c r="X475" s="84"/>
      <c r="Y475" s="84"/>
      <c r="Z475" s="84"/>
      <c r="AA475" s="84"/>
    </row>
    <row r="476" ht="26.25" hidden="1" customHeight="1">
      <c r="A476" s="85"/>
      <c r="B476" s="106"/>
      <c r="C476" s="103"/>
      <c r="D476" s="93"/>
      <c r="E476" s="93"/>
      <c r="F476" s="103"/>
      <c r="G476" s="113"/>
      <c r="H476" s="113"/>
      <c r="I476" s="100"/>
      <c r="J476" s="113"/>
      <c r="K476" s="82" t="b">
        <v>0</v>
      </c>
      <c r="L476" s="94"/>
      <c r="M476" s="84">
        <f t="shared" si="1"/>
        <v>6590</v>
      </c>
      <c r="N476" s="84"/>
      <c r="O476" s="84"/>
      <c r="P476" s="84"/>
      <c r="Q476" s="84"/>
      <c r="R476" s="86" t="str">
        <f t="shared" si="2"/>
        <v>Prepare for Showcase</v>
      </c>
      <c r="S476" s="82" t="b">
        <v>0</v>
      </c>
      <c r="T476" s="88"/>
      <c r="U476" s="84"/>
      <c r="V476" s="84"/>
      <c r="W476" s="84"/>
      <c r="X476" s="84"/>
      <c r="Y476" s="84"/>
      <c r="Z476" s="84"/>
      <c r="AA476" s="84"/>
    </row>
    <row r="477" ht="26.25" hidden="1" customHeight="1">
      <c r="A477" s="85"/>
      <c r="B477" s="106"/>
      <c r="C477" s="103"/>
      <c r="D477" s="93"/>
      <c r="E477" s="93"/>
      <c r="F477" s="103"/>
      <c r="G477" s="113"/>
      <c r="H477" s="113"/>
      <c r="I477" s="100"/>
      <c r="J477" s="113"/>
      <c r="K477" s="82" t="b">
        <v>0</v>
      </c>
      <c r="L477" s="94"/>
      <c r="M477" s="84">
        <f t="shared" si="1"/>
        <v>6590</v>
      </c>
      <c r="N477" s="84"/>
      <c r="O477" s="84"/>
      <c r="P477" s="84"/>
      <c r="Q477" s="84"/>
      <c r="R477" s="86" t="str">
        <f t="shared" si="2"/>
        <v>Prepare for Showcase</v>
      </c>
      <c r="S477" s="82" t="b">
        <v>0</v>
      </c>
      <c r="T477" s="88"/>
      <c r="U477" s="84"/>
      <c r="V477" s="84"/>
      <c r="W477" s="84"/>
      <c r="X477" s="84"/>
      <c r="Y477" s="84"/>
      <c r="Z477" s="84"/>
      <c r="AA477" s="84"/>
    </row>
    <row r="478" ht="26.25" hidden="1" customHeight="1">
      <c r="A478" s="85"/>
      <c r="B478" s="106"/>
      <c r="C478" s="103"/>
      <c r="D478" s="93"/>
      <c r="E478" s="93"/>
      <c r="F478" s="103"/>
      <c r="G478" s="113"/>
      <c r="H478" s="113"/>
      <c r="I478" s="100"/>
      <c r="J478" s="113"/>
      <c r="K478" s="82" t="b">
        <v>0</v>
      </c>
      <c r="L478" s="94"/>
      <c r="M478" s="84">
        <f t="shared" si="1"/>
        <v>6590</v>
      </c>
      <c r="N478" s="84"/>
      <c r="O478" s="84"/>
      <c r="P478" s="84"/>
      <c r="Q478" s="84"/>
      <c r="R478" s="86" t="str">
        <f t="shared" si="2"/>
        <v>Prepare for Showcase</v>
      </c>
      <c r="S478" s="82" t="b">
        <v>0</v>
      </c>
      <c r="T478" s="88"/>
      <c r="U478" s="84"/>
      <c r="V478" s="84"/>
      <c r="W478" s="84"/>
      <c r="X478" s="84"/>
      <c r="Y478" s="84"/>
      <c r="Z478" s="84"/>
      <c r="AA478" s="84"/>
    </row>
    <row r="479" ht="26.25" hidden="1" customHeight="1">
      <c r="A479" s="85"/>
      <c r="B479" s="106"/>
      <c r="C479" s="103"/>
      <c r="D479" s="93"/>
      <c r="E479" s="93"/>
      <c r="F479" s="103"/>
      <c r="G479" s="113"/>
      <c r="H479" s="113"/>
      <c r="I479" s="100"/>
      <c r="J479" s="113"/>
      <c r="K479" s="82" t="b">
        <v>0</v>
      </c>
      <c r="L479" s="94"/>
      <c r="M479" s="84">
        <f t="shared" si="1"/>
        <v>6590</v>
      </c>
      <c r="N479" s="84"/>
      <c r="O479" s="84"/>
      <c r="P479" s="84"/>
      <c r="Q479" s="84"/>
      <c r="R479" s="86" t="str">
        <f t="shared" si="2"/>
        <v>Prepare for Showcase</v>
      </c>
      <c r="S479" s="82" t="b">
        <v>0</v>
      </c>
      <c r="T479" s="88"/>
      <c r="U479" s="84"/>
      <c r="V479" s="84"/>
      <c r="W479" s="84"/>
      <c r="X479" s="84"/>
      <c r="Y479" s="84"/>
      <c r="Z479" s="84"/>
      <c r="AA479" s="84"/>
    </row>
    <row r="480" ht="26.25" hidden="1" customHeight="1">
      <c r="A480" s="85"/>
      <c r="B480" s="106"/>
      <c r="C480" s="103"/>
      <c r="D480" s="93"/>
      <c r="E480" s="93"/>
      <c r="F480" s="103"/>
      <c r="G480" s="113"/>
      <c r="H480" s="113"/>
      <c r="I480" s="100"/>
      <c r="J480" s="113"/>
      <c r="K480" s="82" t="b">
        <v>0</v>
      </c>
      <c r="L480" s="94"/>
      <c r="M480" s="84">
        <f t="shared" si="1"/>
        <v>6590</v>
      </c>
      <c r="N480" s="84"/>
      <c r="O480" s="84"/>
      <c r="P480" s="84"/>
      <c r="Q480" s="84"/>
      <c r="R480" s="86" t="str">
        <f t="shared" si="2"/>
        <v>Prepare for Showcase</v>
      </c>
      <c r="S480" s="82" t="b">
        <v>0</v>
      </c>
      <c r="T480" s="88"/>
      <c r="U480" s="84"/>
      <c r="V480" s="84"/>
      <c r="W480" s="84"/>
      <c r="X480" s="84"/>
      <c r="Y480" s="84"/>
      <c r="Z480" s="84"/>
      <c r="AA480" s="84"/>
    </row>
    <row r="481" ht="26.25" hidden="1" customHeight="1">
      <c r="A481" s="85"/>
      <c r="B481" s="106"/>
      <c r="C481" s="103"/>
      <c r="D481" s="93"/>
      <c r="E481" s="93"/>
      <c r="F481" s="103"/>
      <c r="G481" s="113"/>
      <c r="H481" s="113"/>
      <c r="I481" s="100"/>
      <c r="J481" s="113"/>
      <c r="K481" s="82" t="b">
        <v>0</v>
      </c>
      <c r="L481" s="94"/>
      <c r="M481" s="84">
        <f t="shared" si="1"/>
        <v>6590</v>
      </c>
      <c r="N481" s="84"/>
      <c r="O481" s="84"/>
      <c r="P481" s="84"/>
      <c r="Q481" s="84"/>
      <c r="R481" s="86" t="str">
        <f t="shared" si="2"/>
        <v>Prepare for Showcase</v>
      </c>
      <c r="S481" s="82" t="b">
        <v>0</v>
      </c>
      <c r="T481" s="88"/>
      <c r="U481" s="84"/>
      <c r="V481" s="84"/>
      <c r="W481" s="84"/>
      <c r="X481" s="84"/>
      <c r="Y481" s="84"/>
      <c r="Z481" s="84"/>
      <c r="AA481" s="84"/>
    </row>
    <row r="482" ht="26.25" hidden="1" customHeight="1">
      <c r="A482" s="85"/>
      <c r="B482" s="106"/>
      <c r="C482" s="103"/>
      <c r="D482" s="93"/>
      <c r="E482" s="93"/>
      <c r="F482" s="103"/>
      <c r="G482" s="113"/>
      <c r="H482" s="113"/>
      <c r="I482" s="100"/>
      <c r="J482" s="113"/>
      <c r="K482" s="82" t="b">
        <v>0</v>
      </c>
      <c r="L482" s="94"/>
      <c r="M482" s="84">
        <f t="shared" si="1"/>
        <v>6590</v>
      </c>
      <c r="N482" s="84"/>
      <c r="O482" s="84"/>
      <c r="P482" s="84"/>
      <c r="Q482" s="84"/>
      <c r="R482" s="86" t="str">
        <f t="shared" si="2"/>
        <v>Prepare for Showcase</v>
      </c>
      <c r="S482" s="82" t="b">
        <v>0</v>
      </c>
      <c r="T482" s="88"/>
      <c r="U482" s="84"/>
      <c r="V482" s="84"/>
      <c r="W482" s="84"/>
      <c r="X482" s="84"/>
      <c r="Y482" s="84"/>
      <c r="Z482" s="84"/>
      <c r="AA482" s="84"/>
    </row>
    <row r="483" ht="26.25" hidden="1" customHeight="1">
      <c r="A483" s="85"/>
      <c r="B483" s="106"/>
      <c r="C483" s="103"/>
      <c r="D483" s="93"/>
      <c r="E483" s="93"/>
      <c r="F483" s="103"/>
      <c r="G483" s="113"/>
      <c r="H483" s="113"/>
      <c r="I483" s="100"/>
      <c r="J483" s="113"/>
      <c r="K483" s="82" t="b">
        <v>0</v>
      </c>
      <c r="L483" s="94"/>
      <c r="M483" s="84">
        <f t="shared" si="1"/>
        <v>6590</v>
      </c>
      <c r="N483" s="84"/>
      <c r="O483" s="84"/>
      <c r="P483" s="84"/>
      <c r="Q483" s="84"/>
      <c r="R483" s="86" t="str">
        <f t="shared" si="2"/>
        <v>Prepare for Showcase</v>
      </c>
      <c r="S483" s="82" t="b">
        <v>0</v>
      </c>
      <c r="T483" s="88"/>
      <c r="U483" s="84"/>
      <c r="V483" s="84"/>
      <c r="W483" s="84"/>
      <c r="X483" s="84"/>
      <c r="Y483" s="84"/>
      <c r="Z483" s="84"/>
      <c r="AA483" s="84"/>
    </row>
    <row r="484" ht="26.25" hidden="1" customHeight="1">
      <c r="A484" s="85"/>
      <c r="B484" s="106"/>
      <c r="C484" s="103"/>
      <c r="D484" s="93"/>
      <c r="E484" s="93"/>
      <c r="F484" s="103"/>
      <c r="G484" s="113"/>
      <c r="H484" s="113"/>
      <c r="I484" s="100"/>
      <c r="J484" s="113"/>
      <c r="K484" s="82" t="b">
        <v>0</v>
      </c>
      <c r="L484" s="94"/>
      <c r="M484" s="84">
        <f t="shared" si="1"/>
        <v>6590</v>
      </c>
      <c r="N484" s="84"/>
      <c r="O484" s="84"/>
      <c r="P484" s="84"/>
      <c r="Q484" s="84"/>
      <c r="R484" s="86" t="str">
        <f t="shared" si="2"/>
        <v>Prepare for Showcase</v>
      </c>
      <c r="S484" s="82" t="b">
        <v>0</v>
      </c>
      <c r="T484" s="88"/>
      <c r="U484" s="84"/>
      <c r="V484" s="84"/>
      <c r="W484" s="84"/>
      <c r="X484" s="84"/>
      <c r="Y484" s="84"/>
      <c r="Z484" s="84"/>
      <c r="AA484" s="84"/>
    </row>
    <row r="485" ht="26.25" hidden="1" customHeight="1">
      <c r="A485" s="85"/>
      <c r="B485" s="106"/>
      <c r="C485" s="103"/>
      <c r="D485" s="93"/>
      <c r="E485" s="93"/>
      <c r="F485" s="103"/>
      <c r="G485" s="113"/>
      <c r="H485" s="113"/>
      <c r="I485" s="100"/>
      <c r="J485" s="113"/>
      <c r="K485" s="82" t="b">
        <v>0</v>
      </c>
      <c r="L485" s="94"/>
      <c r="M485" s="84">
        <f t="shared" si="1"/>
        <v>6590</v>
      </c>
      <c r="N485" s="84"/>
      <c r="O485" s="84"/>
      <c r="P485" s="84"/>
      <c r="Q485" s="84"/>
      <c r="R485" s="86" t="str">
        <f t="shared" si="2"/>
        <v>Prepare for Showcase</v>
      </c>
      <c r="S485" s="82" t="b">
        <v>0</v>
      </c>
      <c r="T485" s="88"/>
      <c r="U485" s="84"/>
      <c r="V485" s="84"/>
      <c r="W485" s="84"/>
      <c r="X485" s="84"/>
      <c r="Y485" s="84"/>
      <c r="Z485" s="84"/>
      <c r="AA485" s="84"/>
    </row>
    <row r="486" ht="26.25" hidden="1" customHeight="1">
      <c r="A486" s="85"/>
      <c r="B486" s="106"/>
      <c r="C486" s="103"/>
      <c r="D486" s="93"/>
      <c r="E486" s="93"/>
      <c r="F486" s="103"/>
      <c r="G486" s="113"/>
      <c r="H486" s="113"/>
      <c r="I486" s="100"/>
      <c r="J486" s="113"/>
      <c r="K486" s="82" t="b">
        <v>0</v>
      </c>
      <c r="L486" s="94"/>
      <c r="M486" s="84">
        <f t="shared" si="1"/>
        <v>6590</v>
      </c>
      <c r="N486" s="84"/>
      <c r="O486" s="84"/>
      <c r="P486" s="84"/>
      <c r="Q486" s="84"/>
      <c r="R486" s="86" t="str">
        <f t="shared" si="2"/>
        <v>Prepare for Showcase</v>
      </c>
      <c r="S486" s="82" t="b">
        <v>0</v>
      </c>
      <c r="T486" s="88"/>
      <c r="U486" s="84"/>
      <c r="V486" s="84"/>
      <c r="W486" s="84"/>
      <c r="X486" s="84"/>
      <c r="Y486" s="84"/>
      <c r="Z486" s="84"/>
      <c r="AA486" s="84"/>
    </row>
    <row r="487" ht="26.25" hidden="1" customHeight="1">
      <c r="A487" s="85"/>
      <c r="B487" s="106"/>
      <c r="C487" s="103"/>
      <c r="D487" s="93"/>
      <c r="E487" s="93"/>
      <c r="F487" s="103"/>
      <c r="G487" s="113"/>
      <c r="H487" s="113"/>
      <c r="I487" s="100"/>
      <c r="J487" s="113"/>
      <c r="K487" s="82" t="b">
        <v>0</v>
      </c>
      <c r="L487" s="94"/>
      <c r="M487" s="84">
        <f t="shared" si="1"/>
        <v>6590</v>
      </c>
      <c r="N487" s="84"/>
      <c r="O487" s="84"/>
      <c r="P487" s="84"/>
      <c r="Q487" s="84"/>
      <c r="R487" s="86" t="str">
        <f t="shared" si="2"/>
        <v>Prepare for Showcase</v>
      </c>
      <c r="S487" s="82" t="b">
        <v>0</v>
      </c>
      <c r="T487" s="88"/>
      <c r="U487" s="84"/>
      <c r="V487" s="84"/>
      <c r="W487" s="84"/>
      <c r="X487" s="84"/>
      <c r="Y487" s="84"/>
      <c r="Z487" s="84"/>
      <c r="AA487" s="84"/>
    </row>
    <row r="488" ht="26.25" hidden="1" customHeight="1">
      <c r="A488" s="85"/>
      <c r="B488" s="106"/>
      <c r="C488" s="103"/>
      <c r="D488" s="93"/>
      <c r="E488" s="93"/>
      <c r="F488" s="103"/>
      <c r="G488" s="113"/>
      <c r="H488" s="113"/>
      <c r="I488" s="100"/>
      <c r="J488" s="113"/>
      <c r="K488" s="82" t="b">
        <v>0</v>
      </c>
      <c r="L488" s="94"/>
      <c r="M488" s="84">
        <f t="shared" si="1"/>
        <v>6590</v>
      </c>
      <c r="N488" s="84"/>
      <c r="O488" s="84"/>
      <c r="P488" s="84"/>
      <c r="Q488" s="84"/>
      <c r="R488" s="86" t="str">
        <f t="shared" si="2"/>
        <v>Prepare for Showcase</v>
      </c>
      <c r="S488" s="82" t="b">
        <v>0</v>
      </c>
      <c r="T488" s="88"/>
      <c r="U488" s="84"/>
      <c r="V488" s="84"/>
      <c r="W488" s="84"/>
      <c r="X488" s="84"/>
      <c r="Y488" s="84"/>
      <c r="Z488" s="84"/>
      <c r="AA488" s="84"/>
    </row>
    <row r="489" ht="26.25" hidden="1" customHeight="1">
      <c r="A489" s="85"/>
      <c r="B489" s="106"/>
      <c r="C489" s="103"/>
      <c r="D489" s="93"/>
      <c r="E489" s="93"/>
      <c r="F489" s="103"/>
      <c r="G489" s="113"/>
      <c r="H489" s="113"/>
      <c r="I489" s="100"/>
      <c r="J489" s="113"/>
      <c r="K489" s="82" t="b">
        <v>0</v>
      </c>
      <c r="L489" s="94"/>
      <c r="M489" s="84">
        <f t="shared" si="1"/>
        <v>6590</v>
      </c>
      <c r="N489" s="84"/>
      <c r="O489" s="84"/>
      <c r="P489" s="84"/>
      <c r="Q489" s="84"/>
      <c r="R489" s="86" t="str">
        <f t="shared" si="2"/>
        <v>Prepare for Showcase</v>
      </c>
      <c r="S489" s="82" t="b">
        <v>0</v>
      </c>
      <c r="T489" s="88"/>
      <c r="U489" s="84"/>
      <c r="V489" s="84"/>
      <c r="W489" s="84"/>
      <c r="X489" s="84"/>
      <c r="Y489" s="84"/>
      <c r="Z489" s="84"/>
      <c r="AA489" s="84"/>
    </row>
    <row r="490" ht="26.25" hidden="1" customHeight="1">
      <c r="A490" s="85"/>
      <c r="B490" s="106"/>
      <c r="C490" s="103"/>
      <c r="D490" s="93"/>
      <c r="E490" s="93"/>
      <c r="F490" s="103"/>
      <c r="G490" s="113"/>
      <c r="H490" s="113"/>
      <c r="I490" s="100"/>
      <c r="J490" s="113"/>
      <c r="K490" s="82" t="b">
        <v>0</v>
      </c>
      <c r="L490" s="94"/>
      <c r="M490" s="84">
        <f t="shared" si="1"/>
        <v>6590</v>
      </c>
      <c r="N490" s="84"/>
      <c r="O490" s="84"/>
      <c r="P490" s="84"/>
      <c r="Q490" s="84"/>
      <c r="R490" s="86" t="str">
        <f t="shared" si="2"/>
        <v>Prepare for Showcase</v>
      </c>
      <c r="S490" s="82" t="b">
        <v>0</v>
      </c>
      <c r="T490" s="88"/>
      <c r="U490" s="84"/>
      <c r="V490" s="84"/>
      <c r="W490" s="84"/>
      <c r="X490" s="84"/>
      <c r="Y490" s="84"/>
      <c r="Z490" s="84"/>
      <c r="AA490" s="84"/>
    </row>
    <row r="491" ht="26.25" hidden="1" customHeight="1">
      <c r="A491" s="85"/>
      <c r="B491" s="106"/>
      <c r="C491" s="103"/>
      <c r="D491" s="93"/>
      <c r="E491" s="93"/>
      <c r="F491" s="103"/>
      <c r="G491" s="113"/>
      <c r="H491" s="113"/>
      <c r="I491" s="100"/>
      <c r="J491" s="113"/>
      <c r="K491" s="82" t="b">
        <v>0</v>
      </c>
      <c r="L491" s="94"/>
      <c r="M491" s="84">
        <f t="shared" si="1"/>
        <v>6590</v>
      </c>
      <c r="N491" s="84"/>
      <c r="O491" s="84"/>
      <c r="P491" s="84"/>
      <c r="Q491" s="84"/>
      <c r="R491" s="86" t="str">
        <f t="shared" si="2"/>
        <v>Prepare for Showcase</v>
      </c>
      <c r="S491" s="82" t="b">
        <v>0</v>
      </c>
      <c r="T491" s="88"/>
      <c r="U491" s="84"/>
      <c r="V491" s="84"/>
      <c r="W491" s="84"/>
      <c r="X491" s="84"/>
      <c r="Y491" s="84"/>
      <c r="Z491" s="84"/>
      <c r="AA491" s="84"/>
    </row>
    <row r="492" ht="26.25" hidden="1" customHeight="1">
      <c r="A492" s="85"/>
      <c r="B492" s="106"/>
      <c r="C492" s="103"/>
      <c r="D492" s="93"/>
      <c r="E492" s="93"/>
      <c r="F492" s="103"/>
      <c r="G492" s="113"/>
      <c r="H492" s="113"/>
      <c r="I492" s="100"/>
      <c r="J492" s="113"/>
      <c r="K492" s="82" t="b">
        <v>0</v>
      </c>
      <c r="L492" s="94"/>
      <c r="M492" s="84">
        <f t="shared" si="1"/>
        <v>6590</v>
      </c>
      <c r="N492" s="84"/>
      <c r="O492" s="84"/>
      <c r="P492" s="84"/>
      <c r="Q492" s="84"/>
      <c r="R492" s="86" t="str">
        <f t="shared" si="2"/>
        <v>Prepare for Showcase</v>
      </c>
      <c r="S492" s="82" t="b">
        <v>0</v>
      </c>
      <c r="T492" s="88"/>
      <c r="U492" s="84"/>
      <c r="V492" s="84"/>
      <c r="W492" s="84"/>
      <c r="X492" s="84"/>
      <c r="Y492" s="84"/>
      <c r="Z492" s="84"/>
      <c r="AA492" s="84"/>
    </row>
    <row r="493" ht="26.25" hidden="1" customHeight="1">
      <c r="A493" s="85"/>
      <c r="B493" s="106"/>
      <c r="C493" s="103"/>
      <c r="D493" s="93"/>
      <c r="E493" s="93"/>
      <c r="F493" s="103"/>
      <c r="G493" s="113"/>
      <c r="H493" s="113"/>
      <c r="I493" s="100"/>
      <c r="J493" s="113"/>
      <c r="K493" s="82" t="b">
        <v>0</v>
      </c>
      <c r="L493" s="94"/>
      <c r="M493" s="84">
        <f t="shared" si="1"/>
        <v>6590</v>
      </c>
      <c r="N493" s="84"/>
      <c r="O493" s="84"/>
      <c r="P493" s="84"/>
      <c r="Q493" s="84"/>
      <c r="R493" s="86" t="str">
        <f t="shared" si="2"/>
        <v>Prepare for Showcase</v>
      </c>
      <c r="S493" s="82" t="b">
        <v>0</v>
      </c>
      <c r="T493" s="88"/>
      <c r="U493" s="84"/>
      <c r="V493" s="84"/>
      <c r="W493" s="84"/>
      <c r="X493" s="84"/>
      <c r="Y493" s="84"/>
      <c r="Z493" s="84"/>
      <c r="AA493" s="84"/>
    </row>
    <row r="494" ht="26.25" hidden="1" customHeight="1">
      <c r="A494" s="85"/>
      <c r="B494" s="106"/>
      <c r="C494" s="103"/>
      <c r="D494" s="93"/>
      <c r="E494" s="93"/>
      <c r="F494" s="103"/>
      <c r="G494" s="113"/>
      <c r="H494" s="113"/>
      <c r="I494" s="100"/>
      <c r="J494" s="113"/>
      <c r="K494" s="82" t="b">
        <v>0</v>
      </c>
      <c r="L494" s="94"/>
      <c r="M494" s="84">
        <f t="shared" si="1"/>
        <v>6590</v>
      </c>
      <c r="N494" s="84"/>
      <c r="O494" s="84"/>
      <c r="P494" s="84"/>
      <c r="Q494" s="84"/>
      <c r="R494" s="86" t="str">
        <f t="shared" si="2"/>
        <v>Prepare for Showcase</v>
      </c>
      <c r="S494" s="82" t="b">
        <v>0</v>
      </c>
      <c r="T494" s="88"/>
      <c r="U494" s="84"/>
      <c r="V494" s="84"/>
      <c r="W494" s="84"/>
      <c r="X494" s="84"/>
      <c r="Y494" s="84"/>
      <c r="Z494" s="84"/>
      <c r="AA494" s="84"/>
    </row>
    <row r="495" ht="26.25" hidden="1" customHeight="1">
      <c r="A495" s="85"/>
      <c r="B495" s="106"/>
      <c r="C495" s="103"/>
      <c r="D495" s="93"/>
      <c r="E495" s="93"/>
      <c r="F495" s="103"/>
      <c r="G495" s="113"/>
      <c r="H495" s="113"/>
      <c r="I495" s="100"/>
      <c r="J495" s="113"/>
      <c r="K495" s="82" t="b">
        <v>0</v>
      </c>
      <c r="L495" s="94"/>
      <c r="M495" s="84">
        <f t="shared" si="1"/>
        <v>6590</v>
      </c>
      <c r="N495" s="84"/>
      <c r="O495" s="84"/>
      <c r="P495" s="84"/>
      <c r="Q495" s="84"/>
      <c r="R495" s="86" t="str">
        <f t="shared" si="2"/>
        <v>Prepare for Showcase</v>
      </c>
      <c r="S495" s="82" t="b">
        <v>0</v>
      </c>
      <c r="T495" s="88"/>
      <c r="U495" s="84"/>
      <c r="V495" s="84"/>
      <c r="W495" s="84"/>
      <c r="X495" s="84"/>
      <c r="Y495" s="84"/>
      <c r="Z495" s="84"/>
      <c r="AA495" s="84"/>
    </row>
    <row r="496" ht="26.25" hidden="1" customHeight="1">
      <c r="A496" s="85"/>
      <c r="B496" s="106"/>
      <c r="C496" s="103"/>
      <c r="D496" s="93"/>
      <c r="E496" s="93"/>
      <c r="F496" s="103"/>
      <c r="G496" s="113"/>
      <c r="H496" s="113"/>
      <c r="I496" s="100"/>
      <c r="J496" s="113"/>
      <c r="K496" s="82" t="b">
        <v>0</v>
      </c>
      <c r="L496" s="94"/>
      <c r="M496" s="84">
        <f t="shared" si="1"/>
        <v>6590</v>
      </c>
      <c r="N496" s="84"/>
      <c r="O496" s="84"/>
      <c r="P496" s="84"/>
      <c r="Q496" s="84"/>
      <c r="R496" s="86" t="str">
        <f t="shared" si="2"/>
        <v>Prepare for Showcase</v>
      </c>
      <c r="S496" s="82" t="b">
        <v>0</v>
      </c>
      <c r="T496" s="88"/>
      <c r="U496" s="84"/>
      <c r="V496" s="84"/>
      <c r="W496" s="84"/>
      <c r="X496" s="84"/>
      <c r="Y496" s="84"/>
      <c r="Z496" s="84"/>
      <c r="AA496" s="84"/>
    </row>
    <row r="497" ht="26.25" hidden="1" customHeight="1">
      <c r="A497" s="85"/>
      <c r="B497" s="106"/>
      <c r="C497" s="103"/>
      <c r="D497" s="93"/>
      <c r="E497" s="93"/>
      <c r="F497" s="103"/>
      <c r="G497" s="113"/>
      <c r="H497" s="113"/>
      <c r="I497" s="100"/>
      <c r="J497" s="113"/>
      <c r="K497" s="82" t="b">
        <v>0</v>
      </c>
      <c r="L497" s="94"/>
      <c r="M497" s="84">
        <f t="shared" si="1"/>
        <v>6590</v>
      </c>
      <c r="N497" s="84"/>
      <c r="O497" s="84"/>
      <c r="P497" s="84"/>
      <c r="Q497" s="84"/>
      <c r="R497" s="86" t="str">
        <f t="shared" si="2"/>
        <v>Prepare for Showcase</v>
      </c>
      <c r="S497" s="82" t="b">
        <v>0</v>
      </c>
      <c r="T497" s="88"/>
      <c r="U497" s="84"/>
      <c r="V497" s="84"/>
      <c r="W497" s="84"/>
      <c r="X497" s="84"/>
      <c r="Y497" s="84"/>
      <c r="Z497" s="84"/>
      <c r="AA497" s="84"/>
    </row>
    <row r="498" ht="26.25" hidden="1" customHeight="1">
      <c r="A498" s="85"/>
      <c r="B498" s="106"/>
      <c r="C498" s="103"/>
      <c r="D498" s="93"/>
      <c r="E498" s="93"/>
      <c r="F498" s="103"/>
      <c r="G498" s="113"/>
      <c r="H498" s="113"/>
      <c r="I498" s="100"/>
      <c r="J498" s="113"/>
      <c r="K498" s="82" t="b">
        <v>0</v>
      </c>
      <c r="L498" s="94"/>
      <c r="M498" s="84">
        <f t="shared" si="1"/>
        <v>6590</v>
      </c>
      <c r="N498" s="84"/>
      <c r="O498" s="84"/>
      <c r="P498" s="84"/>
      <c r="Q498" s="84"/>
      <c r="R498" s="86" t="str">
        <f t="shared" si="2"/>
        <v>Prepare for Showcase</v>
      </c>
      <c r="S498" s="82" t="b">
        <v>0</v>
      </c>
      <c r="T498" s="88"/>
      <c r="U498" s="84"/>
      <c r="V498" s="84"/>
      <c r="W498" s="84"/>
      <c r="X498" s="84"/>
      <c r="Y498" s="84"/>
      <c r="Z498" s="84"/>
      <c r="AA498" s="84"/>
    </row>
    <row r="499" ht="26.25" hidden="1" customHeight="1">
      <c r="A499" s="85"/>
      <c r="B499" s="106"/>
      <c r="C499" s="103"/>
      <c r="D499" s="93"/>
      <c r="E499" s="93"/>
      <c r="F499" s="103"/>
      <c r="G499" s="113"/>
      <c r="H499" s="113"/>
      <c r="I499" s="100"/>
      <c r="J499" s="113"/>
      <c r="K499" s="82" t="b">
        <v>0</v>
      </c>
      <c r="L499" s="94"/>
      <c r="M499" s="84">
        <f t="shared" si="1"/>
        <v>6590</v>
      </c>
      <c r="N499" s="84"/>
      <c r="O499" s="84"/>
      <c r="P499" s="84"/>
      <c r="Q499" s="84"/>
      <c r="R499" s="86" t="str">
        <f t="shared" si="2"/>
        <v>Prepare for Showcase</v>
      </c>
      <c r="S499" s="82" t="b">
        <v>0</v>
      </c>
      <c r="T499" s="88"/>
      <c r="U499" s="84"/>
      <c r="V499" s="84"/>
      <c r="W499" s="84"/>
      <c r="X499" s="84"/>
      <c r="Y499" s="84"/>
      <c r="Z499" s="84"/>
      <c r="AA499" s="84"/>
    </row>
    <row r="500" ht="26.25" hidden="1" customHeight="1">
      <c r="A500" s="85"/>
      <c r="B500" s="106"/>
      <c r="C500" s="103"/>
      <c r="D500" s="93"/>
      <c r="E500" s="93"/>
      <c r="F500" s="103"/>
      <c r="G500" s="113"/>
      <c r="H500" s="113"/>
      <c r="I500" s="100"/>
      <c r="J500" s="113"/>
      <c r="K500" s="82" t="b">
        <v>0</v>
      </c>
      <c r="L500" s="94"/>
      <c r="M500" s="84">
        <f t="shared" si="1"/>
        <v>6590</v>
      </c>
      <c r="N500" s="84"/>
      <c r="O500" s="84"/>
      <c r="P500" s="84"/>
      <c r="Q500" s="84"/>
      <c r="R500" s="86" t="str">
        <f t="shared" si="2"/>
        <v>Prepare for Showcase</v>
      </c>
      <c r="S500" s="82" t="b">
        <v>0</v>
      </c>
      <c r="T500" s="88"/>
      <c r="U500" s="84"/>
      <c r="V500" s="84"/>
      <c r="W500" s="84"/>
      <c r="X500" s="84"/>
      <c r="Y500" s="84"/>
      <c r="Z500" s="84"/>
      <c r="AA500" s="84"/>
    </row>
    <row r="501" ht="26.25" hidden="1" customHeight="1">
      <c r="A501" s="85"/>
      <c r="B501" s="106"/>
      <c r="C501" s="103"/>
      <c r="D501" s="93"/>
      <c r="E501" s="93"/>
      <c r="F501" s="103"/>
      <c r="G501" s="113"/>
      <c r="H501" s="113"/>
      <c r="I501" s="100"/>
      <c r="J501" s="113"/>
      <c r="K501" s="82" t="b">
        <v>0</v>
      </c>
      <c r="L501" s="94"/>
      <c r="M501" s="84">
        <f t="shared" si="1"/>
        <v>6590</v>
      </c>
      <c r="N501" s="84"/>
      <c r="O501" s="84"/>
      <c r="P501" s="84"/>
      <c r="Q501" s="84"/>
      <c r="R501" s="86" t="str">
        <f t="shared" si="2"/>
        <v>Prepare for Showcase</v>
      </c>
      <c r="S501" s="82" t="b">
        <v>0</v>
      </c>
      <c r="T501" s="88"/>
      <c r="U501" s="84"/>
      <c r="V501" s="84"/>
      <c r="W501" s="84"/>
      <c r="X501" s="84"/>
      <c r="Y501" s="84"/>
      <c r="Z501" s="84"/>
      <c r="AA501" s="84"/>
    </row>
    <row r="502" ht="26.25" hidden="1" customHeight="1">
      <c r="A502" s="85"/>
      <c r="B502" s="106"/>
      <c r="C502" s="103"/>
      <c r="D502" s="93"/>
      <c r="E502" s="93"/>
      <c r="F502" s="103"/>
      <c r="G502" s="113"/>
      <c r="H502" s="113"/>
      <c r="I502" s="100"/>
      <c r="J502" s="113"/>
      <c r="K502" s="82" t="b">
        <v>0</v>
      </c>
      <c r="L502" s="94"/>
      <c r="M502" s="84">
        <f t="shared" si="1"/>
        <v>6590</v>
      </c>
      <c r="N502" s="84"/>
      <c r="O502" s="84"/>
      <c r="P502" s="84"/>
      <c r="Q502" s="84"/>
      <c r="R502" s="86" t="str">
        <f t="shared" si="2"/>
        <v>Prepare for Showcase</v>
      </c>
      <c r="S502" s="82" t="b">
        <v>0</v>
      </c>
      <c r="T502" s="88"/>
      <c r="U502" s="84"/>
      <c r="V502" s="84"/>
      <c r="W502" s="84"/>
      <c r="X502" s="84"/>
      <c r="Y502" s="84"/>
      <c r="Z502" s="84"/>
      <c r="AA502" s="84"/>
    </row>
    <row r="503" ht="26.25" hidden="1" customHeight="1">
      <c r="A503" s="85"/>
      <c r="B503" s="106"/>
      <c r="C503" s="103"/>
      <c r="D503" s="93"/>
      <c r="E503" s="93"/>
      <c r="F503" s="103"/>
      <c r="G503" s="113"/>
      <c r="H503" s="113"/>
      <c r="I503" s="100"/>
      <c r="J503" s="113"/>
      <c r="K503" s="82" t="b">
        <v>0</v>
      </c>
      <c r="L503" s="94"/>
      <c r="M503" s="84">
        <f t="shared" si="1"/>
        <v>6590</v>
      </c>
      <c r="N503" s="84"/>
      <c r="O503" s="84"/>
      <c r="P503" s="84"/>
      <c r="Q503" s="84"/>
      <c r="R503" s="86" t="str">
        <f t="shared" si="2"/>
        <v>Prepare for Showcase</v>
      </c>
      <c r="S503" s="82" t="b">
        <v>0</v>
      </c>
      <c r="T503" s="88"/>
      <c r="U503" s="84"/>
      <c r="V503" s="84"/>
      <c r="W503" s="84"/>
      <c r="X503" s="84"/>
      <c r="Y503" s="84"/>
      <c r="Z503" s="84"/>
      <c r="AA503" s="84"/>
    </row>
    <row r="504" ht="26.25" hidden="1" customHeight="1">
      <c r="A504" s="85"/>
      <c r="B504" s="106"/>
      <c r="C504" s="103"/>
      <c r="D504" s="93"/>
      <c r="E504" s="93"/>
      <c r="F504" s="103"/>
      <c r="G504" s="113"/>
      <c r="H504" s="113"/>
      <c r="I504" s="100"/>
      <c r="J504" s="113"/>
      <c r="K504" s="82" t="b">
        <v>0</v>
      </c>
      <c r="L504" s="94"/>
      <c r="M504" s="84">
        <f t="shared" si="1"/>
        <v>6590</v>
      </c>
      <c r="N504" s="84"/>
      <c r="O504" s="84"/>
      <c r="P504" s="84"/>
      <c r="Q504" s="84"/>
      <c r="R504" s="86" t="str">
        <f t="shared" si="2"/>
        <v>Prepare for Showcase</v>
      </c>
      <c r="S504" s="82" t="b">
        <v>0</v>
      </c>
      <c r="T504" s="88"/>
      <c r="U504" s="84"/>
      <c r="V504" s="84"/>
      <c r="W504" s="84"/>
      <c r="X504" s="84"/>
      <c r="Y504" s="84"/>
      <c r="Z504" s="84"/>
      <c r="AA504" s="84"/>
    </row>
    <row r="505" ht="26.25" hidden="1" customHeight="1">
      <c r="A505" s="85"/>
      <c r="B505" s="106"/>
      <c r="C505" s="103"/>
      <c r="D505" s="93"/>
      <c r="E505" s="93"/>
      <c r="F505" s="103"/>
      <c r="G505" s="113"/>
      <c r="H505" s="113"/>
      <c r="I505" s="100"/>
      <c r="J505" s="113"/>
      <c r="K505" s="82" t="b">
        <v>0</v>
      </c>
      <c r="L505" s="94"/>
      <c r="M505" s="84">
        <f t="shared" si="1"/>
        <v>6590</v>
      </c>
      <c r="N505" s="84"/>
      <c r="O505" s="84"/>
      <c r="P505" s="84"/>
      <c r="Q505" s="84"/>
      <c r="R505" s="86" t="str">
        <f t="shared" si="2"/>
        <v>Prepare for Showcase</v>
      </c>
      <c r="S505" s="82" t="b">
        <v>0</v>
      </c>
      <c r="T505" s="88"/>
      <c r="U505" s="84"/>
      <c r="V505" s="84"/>
      <c r="W505" s="84"/>
      <c r="X505" s="84"/>
      <c r="Y505" s="84"/>
      <c r="Z505" s="84"/>
      <c r="AA505" s="84"/>
    </row>
    <row r="506" ht="26.25" hidden="1" customHeight="1">
      <c r="A506" s="85"/>
      <c r="B506" s="106"/>
      <c r="C506" s="103"/>
      <c r="D506" s="93"/>
      <c r="E506" s="93"/>
      <c r="F506" s="103"/>
      <c r="G506" s="113"/>
      <c r="H506" s="113"/>
      <c r="I506" s="100"/>
      <c r="J506" s="113"/>
      <c r="K506" s="82" t="b">
        <v>0</v>
      </c>
      <c r="L506" s="94"/>
      <c r="M506" s="84">
        <f t="shared" si="1"/>
        <v>6590</v>
      </c>
      <c r="N506" s="84"/>
      <c r="O506" s="84"/>
      <c r="P506" s="84"/>
      <c r="Q506" s="84"/>
      <c r="R506" s="86" t="str">
        <f t="shared" si="2"/>
        <v>Prepare for Showcase</v>
      </c>
      <c r="S506" s="82" t="b">
        <v>0</v>
      </c>
      <c r="T506" s="88"/>
      <c r="U506" s="84"/>
      <c r="V506" s="84"/>
      <c r="W506" s="84"/>
      <c r="X506" s="84"/>
      <c r="Y506" s="84"/>
      <c r="Z506" s="84"/>
      <c r="AA506" s="84"/>
    </row>
    <row r="507" ht="26.25" hidden="1" customHeight="1">
      <c r="A507" s="85"/>
      <c r="B507" s="106"/>
      <c r="C507" s="103"/>
      <c r="D507" s="93"/>
      <c r="E507" s="93"/>
      <c r="F507" s="103"/>
      <c r="G507" s="113"/>
      <c r="H507" s="113"/>
      <c r="I507" s="100"/>
      <c r="J507" s="113"/>
      <c r="K507" s="82" t="b">
        <v>0</v>
      </c>
      <c r="L507" s="94"/>
      <c r="M507" s="84">
        <f t="shared" si="1"/>
        <v>6590</v>
      </c>
      <c r="N507" s="84"/>
      <c r="O507" s="84"/>
      <c r="P507" s="84"/>
      <c r="Q507" s="84"/>
      <c r="R507" s="86" t="str">
        <f t="shared" si="2"/>
        <v>Prepare for Showcase</v>
      </c>
      <c r="S507" s="82" t="b">
        <v>0</v>
      </c>
      <c r="T507" s="88"/>
      <c r="U507" s="84"/>
      <c r="V507" s="84"/>
      <c r="W507" s="84"/>
      <c r="X507" s="84"/>
      <c r="Y507" s="84"/>
      <c r="Z507" s="84"/>
      <c r="AA507" s="84"/>
    </row>
    <row r="508" ht="26.25" hidden="1" customHeight="1">
      <c r="A508" s="85"/>
      <c r="B508" s="106"/>
      <c r="C508" s="103"/>
      <c r="D508" s="93"/>
      <c r="E508" s="93"/>
      <c r="F508" s="103"/>
      <c r="G508" s="113"/>
      <c r="H508" s="113"/>
      <c r="I508" s="100"/>
      <c r="J508" s="113"/>
      <c r="K508" s="82" t="b">
        <v>0</v>
      </c>
      <c r="L508" s="94"/>
      <c r="M508" s="84">
        <f t="shared" si="1"/>
        <v>6590</v>
      </c>
      <c r="N508" s="84"/>
      <c r="O508" s="84"/>
      <c r="P508" s="84"/>
      <c r="Q508" s="84"/>
      <c r="R508" s="86" t="str">
        <f t="shared" si="2"/>
        <v>Prepare for Showcase</v>
      </c>
      <c r="S508" s="82" t="b">
        <v>0</v>
      </c>
      <c r="T508" s="88"/>
      <c r="U508" s="84"/>
      <c r="V508" s="84"/>
      <c r="W508" s="84"/>
      <c r="X508" s="84"/>
      <c r="Y508" s="84"/>
      <c r="Z508" s="84"/>
      <c r="AA508" s="84"/>
    </row>
    <row r="509" ht="26.25" hidden="1" customHeight="1">
      <c r="A509" s="85"/>
      <c r="B509" s="106"/>
      <c r="C509" s="103"/>
      <c r="D509" s="93"/>
      <c r="E509" s="93"/>
      <c r="F509" s="103"/>
      <c r="G509" s="113"/>
      <c r="H509" s="113"/>
      <c r="I509" s="100"/>
      <c r="J509" s="113"/>
      <c r="K509" s="82" t="b">
        <v>0</v>
      </c>
      <c r="L509" s="94"/>
      <c r="M509" s="84">
        <f t="shared" si="1"/>
        <v>6590</v>
      </c>
      <c r="N509" s="84"/>
      <c r="O509" s="84"/>
      <c r="P509" s="84"/>
      <c r="Q509" s="84"/>
      <c r="R509" s="86" t="str">
        <f t="shared" si="2"/>
        <v>Prepare for Showcase</v>
      </c>
      <c r="S509" s="82" t="b">
        <v>0</v>
      </c>
      <c r="T509" s="88"/>
      <c r="U509" s="84"/>
      <c r="V509" s="84"/>
      <c r="W509" s="84"/>
      <c r="X509" s="84"/>
      <c r="Y509" s="84"/>
      <c r="Z509" s="84"/>
      <c r="AA509" s="84"/>
    </row>
    <row r="510" ht="26.25" hidden="1" customHeight="1">
      <c r="A510" s="85"/>
      <c r="B510" s="106"/>
      <c r="C510" s="103"/>
      <c r="D510" s="93"/>
      <c r="E510" s="93"/>
      <c r="F510" s="103"/>
      <c r="G510" s="113"/>
      <c r="H510" s="113"/>
      <c r="I510" s="100"/>
      <c r="J510" s="113"/>
      <c r="K510" s="82" t="b">
        <v>0</v>
      </c>
      <c r="L510" s="94"/>
      <c r="M510" s="84">
        <f t="shared" si="1"/>
        <v>6590</v>
      </c>
      <c r="N510" s="84"/>
      <c r="O510" s="84"/>
      <c r="P510" s="84"/>
      <c r="Q510" s="84"/>
      <c r="R510" s="86" t="str">
        <f t="shared" si="2"/>
        <v>Prepare for Showcase</v>
      </c>
      <c r="S510" s="82" t="b">
        <v>0</v>
      </c>
      <c r="T510" s="88"/>
      <c r="U510" s="84"/>
      <c r="V510" s="84"/>
      <c r="W510" s="84"/>
      <c r="X510" s="84"/>
      <c r="Y510" s="84"/>
      <c r="Z510" s="84"/>
      <c r="AA510" s="84"/>
    </row>
    <row r="511" ht="26.25" hidden="1" customHeight="1">
      <c r="A511" s="85"/>
      <c r="B511" s="106"/>
      <c r="C511" s="103"/>
      <c r="D511" s="93"/>
      <c r="E511" s="93"/>
      <c r="F511" s="103"/>
      <c r="G511" s="113"/>
      <c r="H511" s="113"/>
      <c r="I511" s="100"/>
      <c r="J511" s="113"/>
      <c r="K511" s="82" t="b">
        <v>0</v>
      </c>
      <c r="L511" s="94"/>
      <c r="M511" s="84">
        <f t="shared" si="1"/>
        <v>6590</v>
      </c>
      <c r="N511" s="84"/>
      <c r="O511" s="84"/>
      <c r="P511" s="84"/>
      <c r="Q511" s="84"/>
      <c r="R511" s="86" t="str">
        <f t="shared" si="2"/>
        <v>Prepare for Showcase</v>
      </c>
      <c r="S511" s="82" t="b">
        <v>0</v>
      </c>
      <c r="T511" s="88"/>
      <c r="U511" s="84"/>
      <c r="V511" s="84"/>
      <c r="W511" s="84"/>
      <c r="X511" s="84"/>
      <c r="Y511" s="84"/>
      <c r="Z511" s="84"/>
      <c r="AA511" s="84"/>
    </row>
    <row r="512" ht="26.25" hidden="1" customHeight="1">
      <c r="A512" s="85"/>
      <c r="B512" s="106"/>
      <c r="C512" s="103"/>
      <c r="D512" s="93"/>
      <c r="E512" s="93"/>
      <c r="F512" s="103"/>
      <c r="G512" s="113"/>
      <c r="H512" s="113"/>
      <c r="I512" s="100"/>
      <c r="J512" s="113"/>
      <c r="K512" s="82" t="b">
        <v>0</v>
      </c>
      <c r="L512" s="94"/>
      <c r="M512" s="84">
        <f t="shared" si="1"/>
        <v>6590</v>
      </c>
      <c r="N512" s="84"/>
      <c r="O512" s="84"/>
      <c r="P512" s="84"/>
      <c r="Q512" s="84"/>
      <c r="R512" s="86" t="str">
        <f t="shared" si="2"/>
        <v>Prepare for Showcase</v>
      </c>
      <c r="S512" s="82" t="b">
        <v>0</v>
      </c>
      <c r="T512" s="88"/>
      <c r="U512" s="84"/>
      <c r="V512" s="84"/>
      <c r="W512" s="84"/>
      <c r="X512" s="84"/>
      <c r="Y512" s="84"/>
      <c r="Z512" s="84"/>
      <c r="AA512" s="84"/>
    </row>
    <row r="513" ht="26.25" hidden="1" customHeight="1">
      <c r="A513" s="85"/>
      <c r="B513" s="106"/>
      <c r="C513" s="103"/>
      <c r="D513" s="93"/>
      <c r="E513" s="93"/>
      <c r="F513" s="103"/>
      <c r="G513" s="113"/>
      <c r="H513" s="113"/>
      <c r="I513" s="100"/>
      <c r="J513" s="113"/>
      <c r="K513" s="82" t="b">
        <v>0</v>
      </c>
      <c r="L513" s="94"/>
      <c r="M513" s="84">
        <f t="shared" si="1"/>
        <v>6590</v>
      </c>
      <c r="N513" s="84"/>
      <c r="O513" s="84"/>
      <c r="P513" s="84"/>
      <c r="Q513" s="84"/>
      <c r="R513" s="86" t="str">
        <f t="shared" si="2"/>
        <v>Prepare for Showcase</v>
      </c>
      <c r="S513" s="82" t="b">
        <v>0</v>
      </c>
      <c r="T513" s="88"/>
      <c r="U513" s="84"/>
      <c r="V513" s="84"/>
      <c r="W513" s="84"/>
      <c r="X513" s="84"/>
      <c r="Y513" s="84"/>
      <c r="Z513" s="84"/>
      <c r="AA513" s="84"/>
    </row>
    <row r="514" ht="26.25" hidden="1" customHeight="1">
      <c r="A514" s="85"/>
      <c r="B514" s="106"/>
      <c r="C514" s="103"/>
      <c r="D514" s="93"/>
      <c r="E514" s="93"/>
      <c r="F514" s="103"/>
      <c r="G514" s="113"/>
      <c r="H514" s="113"/>
      <c r="I514" s="100"/>
      <c r="J514" s="113"/>
      <c r="K514" s="82" t="b">
        <v>0</v>
      </c>
      <c r="L514" s="94"/>
      <c r="M514" s="84">
        <f t="shared" si="1"/>
        <v>6590</v>
      </c>
      <c r="N514" s="84"/>
      <c r="O514" s="84"/>
      <c r="P514" s="84"/>
      <c r="Q514" s="84"/>
      <c r="R514" s="86" t="str">
        <f t="shared" si="2"/>
        <v>Prepare for Showcase</v>
      </c>
      <c r="S514" s="82" t="b">
        <v>0</v>
      </c>
      <c r="T514" s="88"/>
      <c r="U514" s="84"/>
      <c r="V514" s="84"/>
      <c r="W514" s="84"/>
      <c r="X514" s="84"/>
      <c r="Y514" s="84"/>
      <c r="Z514" s="84"/>
      <c r="AA514" s="84"/>
    </row>
    <row r="515" ht="26.25" hidden="1" customHeight="1">
      <c r="A515" s="85"/>
      <c r="B515" s="106"/>
      <c r="C515" s="103"/>
      <c r="D515" s="93"/>
      <c r="E515" s="93"/>
      <c r="F515" s="103"/>
      <c r="G515" s="113"/>
      <c r="H515" s="113"/>
      <c r="I515" s="100"/>
      <c r="J515" s="113"/>
      <c r="K515" s="82" t="b">
        <v>0</v>
      </c>
      <c r="L515" s="94"/>
      <c r="M515" s="84">
        <f t="shared" si="1"/>
        <v>6590</v>
      </c>
      <c r="N515" s="84"/>
      <c r="O515" s="84"/>
      <c r="P515" s="84"/>
      <c r="Q515" s="84"/>
      <c r="R515" s="86" t="str">
        <f t="shared" si="2"/>
        <v>Prepare for Showcase</v>
      </c>
      <c r="S515" s="82" t="b">
        <v>0</v>
      </c>
      <c r="T515" s="88"/>
      <c r="U515" s="84"/>
      <c r="V515" s="84"/>
      <c r="W515" s="84"/>
      <c r="X515" s="84"/>
      <c r="Y515" s="84"/>
      <c r="Z515" s="84"/>
      <c r="AA515" s="84"/>
    </row>
    <row r="516" ht="26.25" hidden="1" customHeight="1">
      <c r="A516" s="85"/>
      <c r="B516" s="106"/>
      <c r="C516" s="103"/>
      <c r="D516" s="93"/>
      <c r="E516" s="93"/>
      <c r="F516" s="103"/>
      <c r="G516" s="113"/>
      <c r="H516" s="113"/>
      <c r="I516" s="100"/>
      <c r="J516" s="113"/>
      <c r="K516" s="82" t="b">
        <v>0</v>
      </c>
      <c r="L516" s="94"/>
      <c r="M516" s="84">
        <f t="shared" si="1"/>
        <v>6590</v>
      </c>
      <c r="N516" s="84"/>
      <c r="O516" s="84"/>
      <c r="P516" s="84"/>
      <c r="Q516" s="84"/>
      <c r="R516" s="86" t="str">
        <f t="shared" si="2"/>
        <v>Prepare for Showcase</v>
      </c>
      <c r="S516" s="82" t="b">
        <v>0</v>
      </c>
      <c r="T516" s="88"/>
      <c r="U516" s="84"/>
      <c r="V516" s="84"/>
      <c r="W516" s="84"/>
      <c r="X516" s="84"/>
      <c r="Y516" s="84"/>
      <c r="Z516" s="84"/>
      <c r="AA516" s="84"/>
    </row>
    <row r="517" ht="26.25" hidden="1" customHeight="1">
      <c r="A517" s="85"/>
      <c r="B517" s="106"/>
      <c r="C517" s="103"/>
      <c r="D517" s="93"/>
      <c r="E517" s="93"/>
      <c r="F517" s="103"/>
      <c r="G517" s="113"/>
      <c r="H517" s="113"/>
      <c r="I517" s="100"/>
      <c r="J517" s="113"/>
      <c r="K517" s="82" t="b">
        <v>0</v>
      </c>
      <c r="L517" s="94"/>
      <c r="M517" s="84">
        <f t="shared" si="1"/>
        <v>6590</v>
      </c>
      <c r="N517" s="84"/>
      <c r="O517" s="84"/>
      <c r="P517" s="84"/>
      <c r="Q517" s="84"/>
      <c r="R517" s="86" t="str">
        <f t="shared" si="2"/>
        <v>Prepare for Showcase</v>
      </c>
      <c r="S517" s="82" t="b">
        <v>0</v>
      </c>
      <c r="T517" s="88"/>
      <c r="U517" s="84"/>
      <c r="V517" s="84"/>
      <c r="W517" s="84"/>
      <c r="X517" s="84"/>
      <c r="Y517" s="84"/>
      <c r="Z517" s="84"/>
      <c r="AA517" s="84"/>
    </row>
    <row r="518" ht="26.25" hidden="1" customHeight="1">
      <c r="A518" s="85"/>
      <c r="B518" s="106"/>
      <c r="C518" s="103"/>
      <c r="D518" s="93"/>
      <c r="E518" s="93"/>
      <c r="F518" s="103"/>
      <c r="G518" s="113"/>
      <c r="H518" s="113"/>
      <c r="I518" s="100"/>
      <c r="J518" s="113"/>
      <c r="K518" s="82" t="b">
        <v>0</v>
      </c>
      <c r="L518" s="94"/>
      <c r="M518" s="84">
        <f t="shared" si="1"/>
        <v>6590</v>
      </c>
      <c r="N518" s="84"/>
      <c r="O518" s="84"/>
      <c r="P518" s="84"/>
      <c r="Q518" s="84"/>
      <c r="R518" s="86" t="str">
        <f t="shared" si="2"/>
        <v>Prepare for Showcase</v>
      </c>
      <c r="S518" s="82" t="b">
        <v>0</v>
      </c>
      <c r="T518" s="88"/>
      <c r="U518" s="84"/>
      <c r="V518" s="84"/>
      <c r="W518" s="84"/>
      <c r="X518" s="84"/>
      <c r="Y518" s="84"/>
      <c r="Z518" s="84"/>
      <c r="AA518" s="84"/>
    </row>
    <row r="519" ht="26.25" hidden="1" customHeight="1">
      <c r="A519" s="85"/>
      <c r="B519" s="106"/>
      <c r="C519" s="103"/>
      <c r="D519" s="93"/>
      <c r="E519" s="93"/>
      <c r="F519" s="103"/>
      <c r="G519" s="113"/>
      <c r="H519" s="113"/>
      <c r="I519" s="100"/>
      <c r="J519" s="113"/>
      <c r="K519" s="82" t="b">
        <v>0</v>
      </c>
      <c r="L519" s="94"/>
      <c r="M519" s="84">
        <f t="shared" si="1"/>
        <v>6590</v>
      </c>
      <c r="N519" s="84"/>
      <c r="O519" s="84"/>
      <c r="P519" s="84"/>
      <c r="Q519" s="84"/>
      <c r="R519" s="86" t="str">
        <f t="shared" si="2"/>
        <v>Prepare for Showcase</v>
      </c>
      <c r="S519" s="82" t="b">
        <v>0</v>
      </c>
      <c r="T519" s="88"/>
      <c r="U519" s="84"/>
      <c r="V519" s="84"/>
      <c r="W519" s="84"/>
      <c r="X519" s="84"/>
      <c r="Y519" s="84"/>
      <c r="Z519" s="84"/>
      <c r="AA519" s="84"/>
    </row>
    <row r="520" ht="26.25" hidden="1" customHeight="1">
      <c r="A520" s="85"/>
      <c r="B520" s="106"/>
      <c r="C520" s="103"/>
      <c r="D520" s="93"/>
      <c r="E520" s="93"/>
      <c r="F520" s="103"/>
      <c r="G520" s="113"/>
      <c r="H520" s="113"/>
      <c r="I520" s="100"/>
      <c r="J520" s="113"/>
      <c r="K520" s="82" t="b">
        <v>0</v>
      </c>
      <c r="L520" s="94"/>
      <c r="M520" s="84">
        <f t="shared" si="1"/>
        <v>6590</v>
      </c>
      <c r="N520" s="84"/>
      <c r="O520" s="84"/>
      <c r="P520" s="84"/>
      <c r="Q520" s="84"/>
      <c r="R520" s="86" t="str">
        <f t="shared" si="2"/>
        <v>Prepare for Showcase</v>
      </c>
      <c r="S520" s="82" t="b">
        <v>0</v>
      </c>
      <c r="T520" s="88"/>
      <c r="U520" s="84"/>
      <c r="V520" s="84"/>
      <c r="W520" s="84"/>
      <c r="X520" s="84"/>
      <c r="Y520" s="84"/>
      <c r="Z520" s="84"/>
      <c r="AA520" s="84"/>
    </row>
    <row r="521" ht="26.25" hidden="1" customHeight="1">
      <c r="A521" s="85"/>
      <c r="B521" s="106"/>
      <c r="C521" s="103"/>
      <c r="D521" s="93"/>
      <c r="E521" s="93"/>
      <c r="F521" s="103"/>
      <c r="G521" s="113"/>
      <c r="H521" s="113"/>
      <c r="I521" s="100"/>
      <c r="J521" s="113"/>
      <c r="K521" s="82" t="b">
        <v>0</v>
      </c>
      <c r="L521" s="94"/>
      <c r="M521" s="84">
        <f t="shared" si="1"/>
        <v>6590</v>
      </c>
      <c r="N521" s="84"/>
      <c r="O521" s="84"/>
      <c r="P521" s="84"/>
      <c r="Q521" s="84"/>
      <c r="R521" s="86" t="str">
        <f t="shared" si="2"/>
        <v>Prepare for Showcase</v>
      </c>
      <c r="S521" s="82" t="b">
        <v>0</v>
      </c>
      <c r="T521" s="88"/>
      <c r="U521" s="84"/>
      <c r="V521" s="84"/>
      <c r="W521" s="84"/>
      <c r="X521" s="84"/>
      <c r="Y521" s="84"/>
      <c r="Z521" s="84"/>
      <c r="AA521" s="84"/>
    </row>
    <row r="522" ht="26.25" hidden="1" customHeight="1">
      <c r="A522" s="85"/>
      <c r="B522" s="106"/>
      <c r="C522" s="103"/>
      <c r="D522" s="93"/>
      <c r="E522" s="93"/>
      <c r="F522" s="103"/>
      <c r="G522" s="113"/>
      <c r="H522" s="113"/>
      <c r="I522" s="100"/>
      <c r="J522" s="113"/>
      <c r="K522" s="82" t="b">
        <v>0</v>
      </c>
      <c r="L522" s="94"/>
      <c r="M522" s="84">
        <f t="shared" si="1"/>
        <v>6590</v>
      </c>
      <c r="N522" s="84"/>
      <c r="O522" s="84"/>
      <c r="P522" s="84"/>
      <c r="Q522" s="84"/>
      <c r="R522" s="86" t="str">
        <f t="shared" si="2"/>
        <v>Prepare for Showcase</v>
      </c>
      <c r="S522" s="82" t="b">
        <v>0</v>
      </c>
      <c r="T522" s="88"/>
      <c r="U522" s="84"/>
      <c r="V522" s="84"/>
      <c r="W522" s="84"/>
      <c r="X522" s="84"/>
      <c r="Y522" s="84"/>
      <c r="Z522" s="84"/>
      <c r="AA522" s="84"/>
    </row>
    <row r="523" ht="26.25" hidden="1" customHeight="1">
      <c r="A523" s="85"/>
      <c r="B523" s="106"/>
      <c r="C523" s="103"/>
      <c r="D523" s="93"/>
      <c r="E523" s="93"/>
      <c r="F523" s="103"/>
      <c r="G523" s="113"/>
      <c r="H523" s="113"/>
      <c r="I523" s="100"/>
      <c r="J523" s="113"/>
      <c r="K523" s="82" t="b">
        <v>0</v>
      </c>
      <c r="L523" s="94"/>
      <c r="M523" s="84">
        <f t="shared" si="1"/>
        <v>6590</v>
      </c>
      <c r="N523" s="84"/>
      <c r="O523" s="84"/>
      <c r="P523" s="84"/>
      <c r="Q523" s="84"/>
      <c r="R523" s="86" t="str">
        <f t="shared" si="2"/>
        <v>Prepare for Showcase</v>
      </c>
      <c r="S523" s="82" t="b">
        <v>0</v>
      </c>
      <c r="T523" s="88"/>
      <c r="U523" s="84"/>
      <c r="V523" s="84"/>
      <c r="W523" s="84"/>
      <c r="X523" s="84"/>
      <c r="Y523" s="84"/>
      <c r="Z523" s="84"/>
      <c r="AA523" s="84"/>
    </row>
    <row r="524" ht="26.25" hidden="1" customHeight="1">
      <c r="A524" s="85"/>
      <c r="B524" s="106"/>
      <c r="C524" s="103"/>
      <c r="D524" s="93"/>
      <c r="E524" s="93"/>
      <c r="F524" s="103"/>
      <c r="G524" s="113"/>
      <c r="H524" s="113"/>
      <c r="I524" s="100"/>
      <c r="J524" s="113"/>
      <c r="K524" s="82" t="b">
        <v>0</v>
      </c>
      <c r="L524" s="94"/>
      <c r="M524" s="84">
        <f t="shared" si="1"/>
        <v>6590</v>
      </c>
      <c r="N524" s="84"/>
      <c r="O524" s="84"/>
      <c r="P524" s="84"/>
      <c r="Q524" s="84"/>
      <c r="R524" s="86" t="str">
        <f t="shared" si="2"/>
        <v>Prepare for Showcase</v>
      </c>
      <c r="S524" s="82" t="b">
        <v>0</v>
      </c>
      <c r="T524" s="88"/>
      <c r="U524" s="84"/>
      <c r="V524" s="84"/>
      <c r="W524" s="84"/>
      <c r="X524" s="84"/>
      <c r="Y524" s="84"/>
      <c r="Z524" s="84"/>
      <c r="AA524" s="84"/>
    </row>
    <row r="525" ht="26.25" hidden="1" customHeight="1">
      <c r="A525" s="85"/>
      <c r="B525" s="106"/>
      <c r="C525" s="103"/>
      <c r="D525" s="93"/>
      <c r="E525" s="93"/>
      <c r="F525" s="103"/>
      <c r="G525" s="113"/>
      <c r="H525" s="113"/>
      <c r="I525" s="100"/>
      <c r="J525" s="113"/>
      <c r="K525" s="82" t="b">
        <v>0</v>
      </c>
      <c r="L525" s="94"/>
      <c r="M525" s="84">
        <f t="shared" si="1"/>
        <v>6590</v>
      </c>
      <c r="N525" s="84"/>
      <c r="O525" s="84"/>
      <c r="P525" s="84"/>
      <c r="Q525" s="84"/>
      <c r="R525" s="86" t="str">
        <f t="shared" si="2"/>
        <v>Prepare for Showcase</v>
      </c>
      <c r="S525" s="82" t="b">
        <v>0</v>
      </c>
      <c r="T525" s="88"/>
      <c r="U525" s="84"/>
      <c r="V525" s="84"/>
      <c r="W525" s="84"/>
      <c r="X525" s="84"/>
      <c r="Y525" s="84"/>
      <c r="Z525" s="84"/>
      <c r="AA525" s="84"/>
    </row>
    <row r="526" ht="26.25" hidden="1" customHeight="1">
      <c r="A526" s="85"/>
      <c r="B526" s="106"/>
      <c r="C526" s="103"/>
      <c r="D526" s="93"/>
      <c r="E526" s="93"/>
      <c r="F526" s="103"/>
      <c r="G526" s="113"/>
      <c r="H526" s="113"/>
      <c r="I526" s="100"/>
      <c r="J526" s="113"/>
      <c r="K526" s="82" t="b">
        <v>0</v>
      </c>
      <c r="L526" s="94"/>
      <c r="M526" s="84">
        <f t="shared" si="1"/>
        <v>6590</v>
      </c>
      <c r="N526" s="84"/>
      <c r="O526" s="84"/>
      <c r="P526" s="84"/>
      <c r="Q526" s="84"/>
      <c r="R526" s="86" t="str">
        <f t="shared" si="2"/>
        <v>Prepare for Showcase</v>
      </c>
      <c r="S526" s="82" t="b">
        <v>0</v>
      </c>
      <c r="T526" s="88"/>
      <c r="U526" s="84"/>
      <c r="V526" s="84"/>
      <c r="W526" s="84"/>
      <c r="X526" s="84"/>
      <c r="Y526" s="84"/>
      <c r="Z526" s="84"/>
      <c r="AA526" s="84"/>
    </row>
    <row r="527" ht="26.25" hidden="1" customHeight="1">
      <c r="A527" s="85"/>
      <c r="B527" s="106"/>
      <c r="C527" s="103"/>
      <c r="D527" s="93"/>
      <c r="E527" s="93"/>
      <c r="F527" s="103"/>
      <c r="G527" s="113"/>
      <c r="H527" s="113"/>
      <c r="I527" s="100"/>
      <c r="J527" s="113"/>
      <c r="K527" s="82" t="b">
        <v>0</v>
      </c>
      <c r="L527" s="94"/>
      <c r="M527" s="84">
        <f t="shared" si="1"/>
        <v>6590</v>
      </c>
      <c r="N527" s="84"/>
      <c r="O527" s="84"/>
      <c r="P527" s="84"/>
      <c r="Q527" s="84"/>
      <c r="R527" s="86" t="str">
        <f t="shared" si="2"/>
        <v>Prepare for Showcase</v>
      </c>
      <c r="S527" s="82" t="b">
        <v>0</v>
      </c>
      <c r="T527" s="88"/>
      <c r="U527" s="84"/>
      <c r="V527" s="84"/>
      <c r="W527" s="84"/>
      <c r="X527" s="84"/>
      <c r="Y527" s="84"/>
      <c r="Z527" s="84"/>
      <c r="AA527" s="84"/>
    </row>
    <row r="528" ht="26.25" hidden="1" customHeight="1">
      <c r="A528" s="85"/>
      <c r="B528" s="106"/>
      <c r="C528" s="103"/>
      <c r="D528" s="93"/>
      <c r="E528" s="93"/>
      <c r="F528" s="103"/>
      <c r="G528" s="113"/>
      <c r="H528" s="113"/>
      <c r="I528" s="100"/>
      <c r="J528" s="113"/>
      <c r="K528" s="82" t="b">
        <v>0</v>
      </c>
      <c r="L528" s="94"/>
      <c r="M528" s="84">
        <f t="shared" si="1"/>
        <v>6590</v>
      </c>
      <c r="N528" s="84"/>
      <c r="O528" s="84"/>
      <c r="P528" s="84"/>
      <c r="Q528" s="84"/>
      <c r="R528" s="86" t="str">
        <f t="shared" si="2"/>
        <v>Prepare for Showcase</v>
      </c>
      <c r="S528" s="82" t="b">
        <v>0</v>
      </c>
      <c r="T528" s="88"/>
      <c r="U528" s="84"/>
      <c r="V528" s="84"/>
      <c r="W528" s="84"/>
      <c r="X528" s="84"/>
      <c r="Y528" s="84"/>
      <c r="Z528" s="84"/>
      <c r="AA528" s="84"/>
    </row>
    <row r="529" ht="26.25" hidden="1" customHeight="1">
      <c r="A529" s="85"/>
      <c r="B529" s="106"/>
      <c r="C529" s="103"/>
      <c r="D529" s="93"/>
      <c r="E529" s="93"/>
      <c r="F529" s="103"/>
      <c r="G529" s="113"/>
      <c r="H529" s="113"/>
      <c r="I529" s="100"/>
      <c r="J529" s="113"/>
      <c r="K529" s="82" t="b">
        <v>0</v>
      </c>
      <c r="L529" s="94"/>
      <c r="M529" s="84">
        <f t="shared" si="1"/>
        <v>6590</v>
      </c>
      <c r="N529" s="84"/>
      <c r="O529" s="84"/>
      <c r="P529" s="84"/>
      <c r="Q529" s="84"/>
      <c r="R529" s="86" t="str">
        <f t="shared" si="2"/>
        <v>Prepare for Showcase</v>
      </c>
      <c r="S529" s="82" t="b">
        <v>0</v>
      </c>
      <c r="T529" s="88"/>
      <c r="U529" s="84"/>
      <c r="V529" s="84"/>
      <c r="W529" s="84"/>
      <c r="X529" s="84"/>
      <c r="Y529" s="84"/>
      <c r="Z529" s="84"/>
      <c r="AA529" s="84"/>
    </row>
    <row r="530" ht="26.25" hidden="1" customHeight="1">
      <c r="A530" s="85"/>
      <c r="B530" s="106"/>
      <c r="C530" s="103"/>
      <c r="D530" s="93"/>
      <c r="E530" s="93"/>
      <c r="F530" s="103"/>
      <c r="G530" s="113"/>
      <c r="H530" s="113"/>
      <c r="I530" s="100"/>
      <c r="J530" s="113"/>
      <c r="K530" s="82" t="b">
        <v>0</v>
      </c>
      <c r="L530" s="94"/>
      <c r="M530" s="84">
        <f t="shared" si="1"/>
        <v>6590</v>
      </c>
      <c r="N530" s="84"/>
      <c r="O530" s="84"/>
      <c r="P530" s="84"/>
      <c r="Q530" s="84"/>
      <c r="R530" s="86" t="str">
        <f t="shared" si="2"/>
        <v>Prepare for Showcase</v>
      </c>
      <c r="S530" s="82" t="b">
        <v>0</v>
      </c>
      <c r="T530" s="88"/>
      <c r="U530" s="84"/>
      <c r="V530" s="84"/>
      <c r="W530" s="84"/>
      <c r="X530" s="84"/>
      <c r="Y530" s="84"/>
      <c r="Z530" s="84"/>
      <c r="AA530" s="84"/>
    </row>
    <row r="531" ht="26.25" hidden="1" customHeight="1">
      <c r="A531" s="85"/>
      <c r="B531" s="106"/>
      <c r="C531" s="103"/>
      <c r="D531" s="93"/>
      <c r="E531" s="93"/>
      <c r="F531" s="103"/>
      <c r="G531" s="113"/>
      <c r="H531" s="113"/>
      <c r="I531" s="100"/>
      <c r="J531" s="113"/>
      <c r="K531" s="82" t="b">
        <v>0</v>
      </c>
      <c r="L531" s="94"/>
      <c r="M531" s="84">
        <f t="shared" si="1"/>
        <v>6590</v>
      </c>
      <c r="N531" s="84"/>
      <c r="O531" s="84"/>
      <c r="P531" s="84"/>
      <c r="Q531" s="84"/>
      <c r="R531" s="86" t="str">
        <f t="shared" si="2"/>
        <v>Prepare for Showcase</v>
      </c>
      <c r="S531" s="82" t="b">
        <v>0</v>
      </c>
      <c r="T531" s="88"/>
      <c r="U531" s="84"/>
      <c r="V531" s="84"/>
      <c r="W531" s="84"/>
      <c r="X531" s="84"/>
      <c r="Y531" s="84"/>
      <c r="Z531" s="84"/>
      <c r="AA531" s="84"/>
    </row>
    <row r="532" ht="26.25" hidden="1" customHeight="1">
      <c r="A532" s="85"/>
      <c r="B532" s="106"/>
      <c r="C532" s="103"/>
      <c r="D532" s="93"/>
      <c r="E532" s="93"/>
      <c r="F532" s="103"/>
      <c r="G532" s="113"/>
      <c r="H532" s="113"/>
      <c r="I532" s="100"/>
      <c r="J532" s="113"/>
      <c r="K532" s="82" t="b">
        <v>0</v>
      </c>
      <c r="L532" s="94"/>
      <c r="M532" s="84">
        <f t="shared" si="1"/>
        <v>6590</v>
      </c>
      <c r="N532" s="84"/>
      <c r="O532" s="84"/>
      <c r="P532" s="84"/>
      <c r="Q532" s="84"/>
      <c r="R532" s="86" t="str">
        <f t="shared" si="2"/>
        <v>Prepare for Showcase</v>
      </c>
      <c r="S532" s="82" t="b">
        <v>0</v>
      </c>
      <c r="T532" s="88"/>
      <c r="U532" s="84"/>
      <c r="V532" s="84"/>
      <c r="W532" s="84"/>
      <c r="X532" s="84"/>
      <c r="Y532" s="84"/>
      <c r="Z532" s="84"/>
      <c r="AA532" s="84"/>
    </row>
    <row r="533" ht="26.25" hidden="1" customHeight="1">
      <c r="A533" s="85"/>
      <c r="B533" s="106"/>
      <c r="C533" s="103"/>
      <c r="D533" s="93"/>
      <c r="E533" s="93"/>
      <c r="F533" s="103"/>
      <c r="G533" s="113"/>
      <c r="H533" s="113"/>
      <c r="I533" s="100"/>
      <c r="J533" s="113"/>
      <c r="K533" s="82" t="b">
        <v>0</v>
      </c>
      <c r="L533" s="94"/>
      <c r="M533" s="84">
        <f t="shared" si="1"/>
        <v>6590</v>
      </c>
      <c r="N533" s="84"/>
      <c r="O533" s="84"/>
      <c r="P533" s="84"/>
      <c r="Q533" s="84"/>
      <c r="R533" s="86" t="str">
        <f t="shared" si="2"/>
        <v>Prepare for Showcase</v>
      </c>
      <c r="S533" s="82" t="b">
        <v>0</v>
      </c>
      <c r="T533" s="88"/>
      <c r="U533" s="84"/>
      <c r="V533" s="84"/>
      <c r="W533" s="84"/>
      <c r="X533" s="84"/>
      <c r="Y533" s="84"/>
      <c r="Z533" s="84"/>
      <c r="AA533" s="84"/>
    </row>
    <row r="534" ht="26.25" hidden="1" customHeight="1">
      <c r="A534" s="85"/>
      <c r="B534" s="106"/>
      <c r="C534" s="103"/>
      <c r="D534" s="93"/>
      <c r="E534" s="93"/>
      <c r="F534" s="103"/>
      <c r="G534" s="113"/>
      <c r="H534" s="113"/>
      <c r="I534" s="100"/>
      <c r="J534" s="113"/>
      <c r="K534" s="82" t="b">
        <v>0</v>
      </c>
      <c r="L534" s="94"/>
      <c r="M534" s="84">
        <f t="shared" si="1"/>
        <v>6590</v>
      </c>
      <c r="N534" s="84"/>
      <c r="O534" s="84"/>
      <c r="P534" s="84"/>
      <c r="Q534" s="84"/>
      <c r="R534" s="86" t="str">
        <f t="shared" si="2"/>
        <v>Prepare for Showcase</v>
      </c>
      <c r="S534" s="82" t="b">
        <v>0</v>
      </c>
      <c r="T534" s="88"/>
      <c r="U534" s="84"/>
      <c r="V534" s="84"/>
      <c r="W534" s="84"/>
      <c r="X534" s="84"/>
      <c r="Y534" s="84"/>
      <c r="Z534" s="84"/>
      <c r="AA534" s="84"/>
    </row>
    <row r="535" ht="26.25" hidden="1" customHeight="1">
      <c r="A535" s="85"/>
      <c r="B535" s="106"/>
      <c r="C535" s="103"/>
      <c r="D535" s="93"/>
      <c r="E535" s="93"/>
      <c r="F535" s="103"/>
      <c r="G535" s="113"/>
      <c r="H535" s="113"/>
      <c r="I535" s="100"/>
      <c r="J535" s="113"/>
      <c r="K535" s="82" t="b">
        <v>0</v>
      </c>
      <c r="L535" s="94"/>
      <c r="M535" s="84">
        <f t="shared" si="1"/>
        <v>6590</v>
      </c>
      <c r="N535" s="84"/>
      <c r="O535" s="84"/>
      <c r="P535" s="84"/>
      <c r="Q535" s="84"/>
      <c r="R535" s="86" t="str">
        <f t="shared" si="2"/>
        <v>Prepare for Showcase</v>
      </c>
      <c r="S535" s="82" t="b">
        <v>0</v>
      </c>
      <c r="T535" s="88"/>
      <c r="U535" s="84"/>
      <c r="V535" s="84"/>
      <c r="W535" s="84"/>
      <c r="X535" s="84"/>
      <c r="Y535" s="84"/>
      <c r="Z535" s="84"/>
      <c r="AA535" s="84"/>
    </row>
    <row r="536" ht="26.25" hidden="1" customHeight="1">
      <c r="A536" s="85"/>
      <c r="B536" s="106"/>
      <c r="C536" s="103"/>
      <c r="D536" s="93"/>
      <c r="E536" s="93"/>
      <c r="F536" s="103"/>
      <c r="G536" s="113"/>
      <c r="H536" s="113"/>
      <c r="I536" s="100"/>
      <c r="J536" s="113"/>
      <c r="K536" s="82" t="b">
        <v>0</v>
      </c>
      <c r="L536" s="94"/>
      <c r="M536" s="84">
        <f t="shared" si="1"/>
        <v>6590</v>
      </c>
      <c r="N536" s="84"/>
      <c r="O536" s="84"/>
      <c r="P536" s="84"/>
      <c r="Q536" s="84"/>
      <c r="R536" s="86" t="str">
        <f t="shared" si="2"/>
        <v>Prepare for Showcase</v>
      </c>
      <c r="S536" s="82" t="b">
        <v>0</v>
      </c>
      <c r="T536" s="88"/>
      <c r="U536" s="84"/>
      <c r="V536" s="84"/>
      <c r="W536" s="84"/>
      <c r="X536" s="84"/>
      <c r="Y536" s="84"/>
      <c r="Z536" s="84"/>
      <c r="AA536" s="84"/>
    </row>
    <row r="537" ht="26.25" hidden="1" customHeight="1">
      <c r="A537" s="85"/>
      <c r="B537" s="106"/>
      <c r="C537" s="103"/>
      <c r="D537" s="93"/>
      <c r="E537" s="93"/>
      <c r="F537" s="103"/>
      <c r="G537" s="113"/>
      <c r="H537" s="113"/>
      <c r="I537" s="100"/>
      <c r="J537" s="113"/>
      <c r="K537" s="82" t="b">
        <v>0</v>
      </c>
      <c r="L537" s="94"/>
      <c r="M537" s="84">
        <f t="shared" si="1"/>
        <v>6590</v>
      </c>
      <c r="N537" s="84"/>
      <c r="O537" s="84"/>
      <c r="P537" s="84"/>
      <c r="Q537" s="84"/>
      <c r="R537" s="86" t="str">
        <f t="shared" si="2"/>
        <v>Prepare for Showcase</v>
      </c>
      <c r="S537" s="82" t="b">
        <v>0</v>
      </c>
      <c r="T537" s="88"/>
      <c r="U537" s="84"/>
      <c r="V537" s="84"/>
      <c r="W537" s="84"/>
      <c r="X537" s="84"/>
      <c r="Y537" s="84"/>
      <c r="Z537" s="84"/>
      <c r="AA537" s="84"/>
    </row>
    <row r="538" ht="26.25" hidden="1" customHeight="1">
      <c r="A538" s="85"/>
      <c r="B538" s="106"/>
      <c r="C538" s="103"/>
      <c r="D538" s="93"/>
      <c r="E538" s="93"/>
      <c r="F538" s="103"/>
      <c r="G538" s="113"/>
      <c r="H538" s="113"/>
      <c r="I538" s="100"/>
      <c r="J538" s="113"/>
      <c r="K538" s="82" t="b">
        <v>0</v>
      </c>
      <c r="L538" s="94"/>
      <c r="M538" s="84">
        <f t="shared" si="1"/>
        <v>6590</v>
      </c>
      <c r="N538" s="84"/>
      <c r="O538" s="84"/>
      <c r="P538" s="84"/>
      <c r="Q538" s="84"/>
      <c r="R538" s="86" t="str">
        <f t="shared" si="2"/>
        <v>Prepare for Showcase</v>
      </c>
      <c r="S538" s="82" t="b">
        <v>0</v>
      </c>
      <c r="T538" s="88"/>
      <c r="U538" s="84"/>
      <c r="V538" s="84"/>
      <c r="W538" s="84"/>
      <c r="X538" s="84"/>
      <c r="Y538" s="84"/>
      <c r="Z538" s="84"/>
      <c r="AA538" s="84"/>
    </row>
    <row r="539" ht="26.25" hidden="1" customHeight="1">
      <c r="A539" s="85"/>
      <c r="B539" s="106"/>
      <c r="C539" s="103"/>
      <c r="D539" s="93"/>
      <c r="E539" s="93"/>
      <c r="F539" s="103"/>
      <c r="G539" s="113"/>
      <c r="H539" s="113"/>
      <c r="I539" s="100"/>
      <c r="J539" s="113"/>
      <c r="K539" s="82" t="b">
        <v>0</v>
      </c>
      <c r="L539" s="94"/>
      <c r="M539" s="84">
        <f t="shared" si="1"/>
        <v>6590</v>
      </c>
      <c r="N539" s="84"/>
      <c r="O539" s="84"/>
      <c r="P539" s="84"/>
      <c r="Q539" s="84"/>
      <c r="R539" s="86" t="str">
        <f t="shared" si="2"/>
        <v>Prepare for Showcase</v>
      </c>
      <c r="S539" s="82" t="b">
        <v>0</v>
      </c>
      <c r="T539" s="88"/>
      <c r="U539" s="84"/>
      <c r="V539" s="84"/>
      <c r="W539" s="84"/>
      <c r="X539" s="84"/>
      <c r="Y539" s="84"/>
      <c r="Z539" s="84"/>
      <c r="AA539" s="84"/>
    </row>
    <row r="540" ht="26.25" hidden="1" customHeight="1">
      <c r="A540" s="85"/>
      <c r="B540" s="106"/>
      <c r="C540" s="103"/>
      <c r="D540" s="93"/>
      <c r="E540" s="93"/>
      <c r="F540" s="103"/>
      <c r="G540" s="113"/>
      <c r="H540" s="113"/>
      <c r="I540" s="100"/>
      <c r="J540" s="113"/>
      <c r="K540" s="82" t="b">
        <v>0</v>
      </c>
      <c r="L540" s="94"/>
      <c r="M540" s="84">
        <f t="shared" si="1"/>
        <v>6590</v>
      </c>
      <c r="N540" s="84"/>
      <c r="O540" s="84"/>
      <c r="P540" s="84"/>
      <c r="Q540" s="84"/>
      <c r="R540" s="86" t="str">
        <f t="shared" si="2"/>
        <v>Prepare for Showcase</v>
      </c>
      <c r="S540" s="82" t="b">
        <v>0</v>
      </c>
      <c r="T540" s="88"/>
      <c r="U540" s="84"/>
      <c r="V540" s="84"/>
      <c r="W540" s="84"/>
      <c r="X540" s="84"/>
      <c r="Y540" s="84"/>
      <c r="Z540" s="84"/>
      <c r="AA540" s="84"/>
    </row>
    <row r="541" ht="26.25" hidden="1" customHeight="1">
      <c r="A541" s="85"/>
      <c r="B541" s="106"/>
      <c r="C541" s="103"/>
      <c r="D541" s="93"/>
      <c r="E541" s="93"/>
      <c r="F541" s="103"/>
      <c r="G541" s="113"/>
      <c r="H541" s="113"/>
      <c r="I541" s="100"/>
      <c r="J541" s="113"/>
      <c r="K541" s="82" t="b">
        <v>0</v>
      </c>
      <c r="L541" s="94"/>
      <c r="M541" s="84">
        <f t="shared" si="1"/>
        <v>6590</v>
      </c>
      <c r="N541" s="84"/>
      <c r="O541" s="84"/>
      <c r="P541" s="84"/>
      <c r="Q541" s="84"/>
      <c r="R541" s="86" t="str">
        <f t="shared" si="2"/>
        <v>Prepare for Showcase</v>
      </c>
      <c r="S541" s="82" t="b">
        <v>0</v>
      </c>
      <c r="T541" s="88"/>
      <c r="U541" s="84"/>
      <c r="V541" s="84"/>
      <c r="W541" s="84"/>
      <c r="X541" s="84"/>
      <c r="Y541" s="84"/>
      <c r="Z541" s="84"/>
      <c r="AA541" s="84"/>
    </row>
    <row r="542" ht="26.25" hidden="1" customHeight="1">
      <c r="A542" s="85"/>
      <c r="B542" s="106"/>
      <c r="C542" s="103"/>
      <c r="D542" s="93"/>
      <c r="E542" s="93"/>
      <c r="F542" s="103"/>
      <c r="G542" s="113"/>
      <c r="H542" s="113"/>
      <c r="I542" s="100"/>
      <c r="J542" s="113"/>
      <c r="K542" s="82" t="b">
        <v>0</v>
      </c>
      <c r="L542" s="94"/>
      <c r="M542" s="84">
        <f t="shared" si="1"/>
        <v>6590</v>
      </c>
      <c r="N542" s="84"/>
      <c r="O542" s="84"/>
      <c r="P542" s="84"/>
      <c r="Q542" s="84"/>
      <c r="R542" s="86" t="str">
        <f t="shared" si="2"/>
        <v>Prepare for Showcase</v>
      </c>
      <c r="S542" s="82" t="b">
        <v>0</v>
      </c>
      <c r="T542" s="88"/>
      <c r="U542" s="84"/>
      <c r="V542" s="84"/>
      <c r="W542" s="84"/>
      <c r="X542" s="84"/>
      <c r="Y542" s="84"/>
      <c r="Z542" s="84"/>
      <c r="AA542" s="84"/>
    </row>
    <row r="543" ht="26.25" hidden="1" customHeight="1">
      <c r="A543" s="85"/>
      <c r="B543" s="106"/>
      <c r="C543" s="103"/>
      <c r="D543" s="93"/>
      <c r="E543" s="93"/>
      <c r="F543" s="103"/>
      <c r="G543" s="113"/>
      <c r="H543" s="113"/>
      <c r="I543" s="100"/>
      <c r="J543" s="113"/>
      <c r="K543" s="82" t="b">
        <v>0</v>
      </c>
      <c r="L543" s="94"/>
      <c r="M543" s="84">
        <f t="shared" si="1"/>
        <v>6590</v>
      </c>
      <c r="N543" s="84"/>
      <c r="O543" s="84"/>
      <c r="P543" s="84"/>
      <c r="Q543" s="84"/>
      <c r="R543" s="86" t="str">
        <f t="shared" si="2"/>
        <v>Prepare for Showcase</v>
      </c>
      <c r="S543" s="82" t="b">
        <v>0</v>
      </c>
      <c r="T543" s="88"/>
      <c r="U543" s="84"/>
      <c r="V543" s="84"/>
      <c r="W543" s="84"/>
      <c r="X543" s="84"/>
      <c r="Y543" s="84"/>
      <c r="Z543" s="84"/>
      <c r="AA543" s="84"/>
    </row>
    <row r="544" ht="26.25" hidden="1" customHeight="1">
      <c r="A544" s="85"/>
      <c r="B544" s="106"/>
      <c r="C544" s="103"/>
      <c r="D544" s="93"/>
      <c r="E544" s="93"/>
      <c r="F544" s="103"/>
      <c r="G544" s="113"/>
      <c r="H544" s="113"/>
      <c r="I544" s="100"/>
      <c r="J544" s="113"/>
      <c r="K544" s="82" t="b">
        <v>0</v>
      </c>
      <c r="L544" s="94"/>
      <c r="M544" s="84">
        <f t="shared" si="1"/>
        <v>6590</v>
      </c>
      <c r="N544" s="84"/>
      <c r="O544" s="84"/>
      <c r="P544" s="84"/>
      <c r="Q544" s="84"/>
      <c r="R544" s="86" t="str">
        <f t="shared" si="2"/>
        <v>Prepare for Showcase</v>
      </c>
      <c r="S544" s="82" t="b">
        <v>0</v>
      </c>
      <c r="T544" s="88"/>
      <c r="U544" s="84"/>
      <c r="V544" s="84"/>
      <c r="W544" s="84"/>
      <c r="X544" s="84"/>
      <c r="Y544" s="84"/>
      <c r="Z544" s="84"/>
      <c r="AA544" s="84"/>
    </row>
    <row r="545" ht="26.25" hidden="1" customHeight="1">
      <c r="A545" s="85"/>
      <c r="B545" s="106"/>
      <c r="C545" s="103"/>
      <c r="D545" s="93"/>
      <c r="E545" s="93"/>
      <c r="F545" s="103"/>
      <c r="G545" s="113"/>
      <c r="H545" s="113"/>
      <c r="I545" s="100"/>
      <c r="J545" s="113"/>
      <c r="K545" s="82" t="b">
        <v>0</v>
      </c>
      <c r="L545" s="94"/>
      <c r="M545" s="84">
        <f t="shared" si="1"/>
        <v>6590</v>
      </c>
      <c r="N545" s="84"/>
      <c r="O545" s="84"/>
      <c r="P545" s="84"/>
      <c r="Q545" s="84"/>
      <c r="R545" s="86" t="str">
        <f t="shared" si="2"/>
        <v>Prepare for Showcase</v>
      </c>
      <c r="S545" s="82" t="b">
        <v>0</v>
      </c>
      <c r="T545" s="88"/>
      <c r="U545" s="84"/>
      <c r="V545" s="84"/>
      <c r="W545" s="84"/>
      <c r="X545" s="84"/>
      <c r="Y545" s="84"/>
      <c r="Z545" s="84"/>
      <c r="AA545" s="84"/>
    </row>
    <row r="546" ht="26.25" hidden="1" customHeight="1">
      <c r="A546" s="85"/>
      <c r="B546" s="106"/>
      <c r="C546" s="103"/>
      <c r="D546" s="93"/>
      <c r="E546" s="93"/>
      <c r="F546" s="103"/>
      <c r="G546" s="113"/>
      <c r="H546" s="113"/>
      <c r="I546" s="100"/>
      <c r="J546" s="113"/>
      <c r="K546" s="82" t="b">
        <v>0</v>
      </c>
      <c r="L546" s="94"/>
      <c r="M546" s="84">
        <f t="shared" si="1"/>
        <v>6590</v>
      </c>
      <c r="N546" s="84"/>
      <c r="O546" s="84"/>
      <c r="P546" s="84"/>
      <c r="Q546" s="84"/>
      <c r="R546" s="86" t="str">
        <f t="shared" si="2"/>
        <v>Prepare for Showcase</v>
      </c>
      <c r="S546" s="82" t="b">
        <v>0</v>
      </c>
      <c r="T546" s="88"/>
      <c r="U546" s="84"/>
      <c r="V546" s="84"/>
      <c r="W546" s="84"/>
      <c r="X546" s="84"/>
      <c r="Y546" s="84"/>
      <c r="Z546" s="84"/>
      <c r="AA546" s="84"/>
    </row>
    <row r="547" ht="26.25" hidden="1" customHeight="1">
      <c r="A547" s="85"/>
      <c r="B547" s="106"/>
      <c r="C547" s="103"/>
      <c r="D547" s="93"/>
      <c r="E547" s="93"/>
      <c r="F547" s="103"/>
      <c r="G547" s="113"/>
      <c r="H547" s="113"/>
      <c r="I547" s="100"/>
      <c r="J547" s="113"/>
      <c r="K547" s="82" t="b">
        <v>0</v>
      </c>
      <c r="L547" s="94"/>
      <c r="M547" s="84">
        <f t="shared" si="1"/>
        <v>6590</v>
      </c>
      <c r="N547" s="84"/>
      <c r="O547" s="84"/>
      <c r="P547" s="84"/>
      <c r="Q547" s="84"/>
      <c r="R547" s="86" t="str">
        <f t="shared" si="2"/>
        <v>Prepare for Showcase</v>
      </c>
      <c r="S547" s="82" t="b">
        <v>0</v>
      </c>
      <c r="T547" s="88"/>
      <c r="U547" s="84"/>
      <c r="V547" s="84"/>
      <c r="W547" s="84"/>
      <c r="X547" s="84"/>
      <c r="Y547" s="84"/>
      <c r="Z547" s="84"/>
      <c r="AA547" s="84"/>
    </row>
    <row r="548" ht="26.25" hidden="1" customHeight="1">
      <c r="A548" s="85"/>
      <c r="B548" s="106"/>
      <c r="C548" s="103"/>
      <c r="D548" s="93"/>
      <c r="E548" s="93"/>
      <c r="F548" s="103"/>
      <c r="G548" s="113"/>
      <c r="H548" s="113"/>
      <c r="I548" s="100"/>
      <c r="J548" s="113"/>
      <c r="K548" s="82" t="b">
        <v>0</v>
      </c>
      <c r="L548" s="94"/>
      <c r="M548" s="84">
        <f t="shared" si="1"/>
        <v>6590</v>
      </c>
      <c r="N548" s="84"/>
      <c r="O548" s="84"/>
      <c r="P548" s="84"/>
      <c r="Q548" s="84"/>
      <c r="R548" s="86" t="str">
        <f t="shared" si="2"/>
        <v>Prepare for Showcase</v>
      </c>
      <c r="S548" s="82" t="b">
        <v>0</v>
      </c>
      <c r="T548" s="88"/>
      <c r="U548" s="84"/>
      <c r="V548" s="84"/>
      <c r="W548" s="84"/>
      <c r="X548" s="84"/>
      <c r="Y548" s="84"/>
      <c r="Z548" s="84"/>
      <c r="AA548" s="84"/>
    </row>
    <row r="549" ht="26.25" hidden="1" customHeight="1">
      <c r="A549" s="85"/>
      <c r="B549" s="106"/>
      <c r="C549" s="103"/>
      <c r="D549" s="93"/>
      <c r="E549" s="93"/>
      <c r="F549" s="103"/>
      <c r="G549" s="113"/>
      <c r="H549" s="113"/>
      <c r="I549" s="100"/>
      <c r="J549" s="113"/>
      <c r="K549" s="82" t="b">
        <v>0</v>
      </c>
      <c r="L549" s="94"/>
      <c r="M549" s="84">
        <f t="shared" si="1"/>
        <v>6590</v>
      </c>
      <c r="N549" s="84"/>
      <c r="O549" s="84"/>
      <c r="P549" s="84"/>
      <c r="Q549" s="84"/>
      <c r="R549" s="86" t="str">
        <f t="shared" si="2"/>
        <v>Prepare for Showcase</v>
      </c>
      <c r="S549" s="82" t="b">
        <v>0</v>
      </c>
      <c r="T549" s="88"/>
      <c r="U549" s="84"/>
      <c r="V549" s="84"/>
      <c r="W549" s="84"/>
      <c r="X549" s="84"/>
      <c r="Y549" s="84"/>
      <c r="Z549" s="84"/>
      <c r="AA549" s="84"/>
    </row>
    <row r="550" ht="26.25" hidden="1" customHeight="1">
      <c r="A550" s="85"/>
      <c r="B550" s="106"/>
      <c r="C550" s="103"/>
      <c r="D550" s="93"/>
      <c r="E550" s="93"/>
      <c r="F550" s="103"/>
      <c r="G550" s="113"/>
      <c r="H550" s="113"/>
      <c r="I550" s="100"/>
      <c r="J550" s="113"/>
      <c r="K550" s="82" t="b">
        <v>0</v>
      </c>
      <c r="L550" s="94"/>
      <c r="M550" s="84">
        <f t="shared" si="1"/>
        <v>6590</v>
      </c>
      <c r="N550" s="84"/>
      <c r="O550" s="84"/>
      <c r="P550" s="84"/>
      <c r="Q550" s="84"/>
      <c r="R550" s="86" t="str">
        <f t="shared" si="2"/>
        <v>Prepare for Showcase</v>
      </c>
      <c r="S550" s="82" t="b">
        <v>0</v>
      </c>
      <c r="T550" s="88"/>
      <c r="U550" s="84"/>
      <c r="V550" s="84"/>
      <c r="W550" s="84"/>
      <c r="X550" s="84"/>
      <c r="Y550" s="84"/>
      <c r="Z550" s="84"/>
      <c r="AA550" s="84"/>
    </row>
    <row r="551" ht="26.25" hidden="1" customHeight="1">
      <c r="A551" s="85"/>
      <c r="B551" s="106"/>
      <c r="C551" s="103"/>
      <c r="D551" s="93"/>
      <c r="E551" s="93"/>
      <c r="F551" s="103"/>
      <c r="G551" s="113"/>
      <c r="H551" s="113"/>
      <c r="I551" s="100"/>
      <c r="J551" s="113"/>
      <c r="K551" s="82" t="b">
        <v>0</v>
      </c>
      <c r="L551" s="94"/>
      <c r="M551" s="84">
        <f t="shared" si="1"/>
        <v>6590</v>
      </c>
      <c r="N551" s="84"/>
      <c r="O551" s="84"/>
      <c r="P551" s="84"/>
      <c r="Q551" s="84"/>
      <c r="R551" s="86" t="str">
        <f t="shared" si="2"/>
        <v>Prepare for Showcase</v>
      </c>
      <c r="S551" s="82" t="b">
        <v>0</v>
      </c>
      <c r="T551" s="88"/>
      <c r="U551" s="84"/>
      <c r="V551" s="84"/>
      <c r="W551" s="84"/>
      <c r="X551" s="84"/>
      <c r="Y551" s="84"/>
      <c r="Z551" s="84"/>
      <c r="AA551" s="84"/>
    </row>
    <row r="552" ht="26.25" hidden="1" customHeight="1">
      <c r="A552" s="85"/>
      <c r="B552" s="106"/>
      <c r="C552" s="103"/>
      <c r="D552" s="93"/>
      <c r="E552" s="93"/>
      <c r="F552" s="103"/>
      <c r="G552" s="113"/>
      <c r="H552" s="113"/>
      <c r="I552" s="100"/>
      <c r="J552" s="113"/>
      <c r="K552" s="82" t="b">
        <v>0</v>
      </c>
      <c r="L552" s="94"/>
      <c r="M552" s="84">
        <f t="shared" si="1"/>
        <v>6590</v>
      </c>
      <c r="N552" s="84"/>
      <c r="O552" s="84"/>
      <c r="P552" s="84"/>
      <c r="Q552" s="84"/>
      <c r="R552" s="86" t="str">
        <f t="shared" si="2"/>
        <v>Prepare for Showcase</v>
      </c>
      <c r="S552" s="82" t="b">
        <v>0</v>
      </c>
      <c r="T552" s="88"/>
      <c r="U552" s="84"/>
      <c r="V552" s="84"/>
      <c r="W552" s="84"/>
      <c r="X552" s="84"/>
      <c r="Y552" s="84"/>
      <c r="Z552" s="84"/>
      <c r="AA552" s="84"/>
    </row>
    <row r="553" ht="26.25" hidden="1" customHeight="1">
      <c r="A553" s="85"/>
      <c r="B553" s="106"/>
      <c r="C553" s="103"/>
      <c r="D553" s="93"/>
      <c r="E553" s="93"/>
      <c r="F553" s="103"/>
      <c r="G553" s="113"/>
      <c r="H553" s="113"/>
      <c r="I553" s="100"/>
      <c r="J553" s="113"/>
      <c r="K553" s="82" t="b">
        <v>0</v>
      </c>
      <c r="L553" s="94"/>
      <c r="M553" s="84">
        <f t="shared" si="1"/>
        <v>6590</v>
      </c>
      <c r="N553" s="84"/>
      <c r="O553" s="84"/>
      <c r="P553" s="84"/>
      <c r="Q553" s="84"/>
      <c r="R553" s="86" t="str">
        <f t="shared" si="2"/>
        <v>Prepare for Showcase</v>
      </c>
      <c r="S553" s="82" t="b">
        <v>0</v>
      </c>
      <c r="T553" s="88"/>
      <c r="U553" s="84"/>
      <c r="V553" s="84"/>
      <c r="W553" s="84"/>
      <c r="X553" s="84"/>
      <c r="Y553" s="84"/>
      <c r="Z553" s="84"/>
      <c r="AA553" s="84"/>
    </row>
    <row r="554" ht="26.25" hidden="1" customHeight="1">
      <c r="A554" s="85"/>
      <c r="B554" s="106"/>
      <c r="C554" s="103"/>
      <c r="D554" s="93"/>
      <c r="E554" s="93"/>
      <c r="F554" s="103"/>
      <c r="G554" s="113"/>
      <c r="H554" s="113"/>
      <c r="I554" s="100"/>
      <c r="J554" s="113"/>
      <c r="K554" s="82" t="b">
        <v>0</v>
      </c>
      <c r="L554" s="94"/>
      <c r="M554" s="84">
        <f t="shared" si="1"/>
        <v>6590</v>
      </c>
      <c r="N554" s="84"/>
      <c r="O554" s="84"/>
      <c r="P554" s="84"/>
      <c r="Q554" s="84"/>
      <c r="R554" s="86" t="str">
        <f t="shared" si="2"/>
        <v>Prepare for Showcase</v>
      </c>
      <c r="S554" s="82" t="b">
        <v>0</v>
      </c>
      <c r="T554" s="88"/>
      <c r="U554" s="84"/>
      <c r="V554" s="84"/>
      <c r="W554" s="84"/>
      <c r="X554" s="84"/>
      <c r="Y554" s="84"/>
      <c r="Z554" s="84"/>
      <c r="AA554" s="84"/>
    </row>
    <row r="555" ht="26.25" hidden="1" customHeight="1">
      <c r="A555" s="85"/>
      <c r="B555" s="106"/>
      <c r="C555" s="103"/>
      <c r="D555" s="93"/>
      <c r="E555" s="93"/>
      <c r="F555" s="103"/>
      <c r="G555" s="113"/>
      <c r="H555" s="113"/>
      <c r="I555" s="100"/>
      <c r="J555" s="113"/>
      <c r="K555" s="82" t="b">
        <v>0</v>
      </c>
      <c r="L555" s="94"/>
      <c r="M555" s="84">
        <f t="shared" si="1"/>
        <v>6590</v>
      </c>
      <c r="N555" s="84"/>
      <c r="O555" s="84"/>
      <c r="P555" s="84"/>
      <c r="Q555" s="84"/>
      <c r="R555" s="86" t="str">
        <f t="shared" si="2"/>
        <v>Prepare for Showcase</v>
      </c>
      <c r="S555" s="82" t="b">
        <v>0</v>
      </c>
      <c r="T555" s="88"/>
      <c r="U555" s="84"/>
      <c r="V555" s="84"/>
      <c r="W555" s="84"/>
      <c r="X555" s="84"/>
      <c r="Y555" s="84"/>
      <c r="Z555" s="84"/>
      <c r="AA555" s="84"/>
    </row>
    <row r="556" ht="26.25" hidden="1" customHeight="1">
      <c r="A556" s="85"/>
      <c r="B556" s="106"/>
      <c r="C556" s="103"/>
      <c r="D556" s="93"/>
      <c r="E556" s="93"/>
      <c r="F556" s="103"/>
      <c r="G556" s="113"/>
      <c r="H556" s="113"/>
      <c r="I556" s="100"/>
      <c r="J556" s="113"/>
      <c r="K556" s="82" t="b">
        <v>0</v>
      </c>
      <c r="L556" s="94"/>
      <c r="M556" s="84">
        <f t="shared" si="1"/>
        <v>6590</v>
      </c>
      <c r="N556" s="84"/>
      <c r="O556" s="84"/>
      <c r="P556" s="84"/>
      <c r="Q556" s="84"/>
      <c r="R556" s="86" t="str">
        <f t="shared" si="2"/>
        <v>Prepare for Showcase</v>
      </c>
      <c r="S556" s="82" t="b">
        <v>0</v>
      </c>
      <c r="T556" s="88"/>
      <c r="U556" s="84"/>
      <c r="V556" s="84"/>
      <c r="W556" s="84"/>
      <c r="X556" s="84"/>
      <c r="Y556" s="84"/>
      <c r="Z556" s="84"/>
      <c r="AA556" s="84"/>
    </row>
    <row r="557" ht="26.25" hidden="1" customHeight="1">
      <c r="A557" s="85"/>
      <c r="B557" s="106"/>
      <c r="C557" s="103"/>
      <c r="D557" s="93"/>
      <c r="E557" s="93"/>
      <c r="F557" s="103"/>
      <c r="G557" s="113"/>
      <c r="H557" s="113"/>
      <c r="I557" s="100"/>
      <c r="J557" s="113"/>
      <c r="K557" s="82" t="b">
        <v>0</v>
      </c>
      <c r="L557" s="94"/>
      <c r="M557" s="84">
        <f t="shared" si="1"/>
        <v>6590</v>
      </c>
      <c r="N557" s="84"/>
      <c r="O557" s="84"/>
      <c r="P557" s="84"/>
      <c r="Q557" s="84"/>
      <c r="R557" s="86" t="str">
        <f t="shared" si="2"/>
        <v>Prepare for Showcase</v>
      </c>
      <c r="S557" s="82" t="b">
        <v>0</v>
      </c>
      <c r="T557" s="88"/>
      <c r="U557" s="84"/>
      <c r="V557" s="84"/>
      <c r="W557" s="84"/>
      <c r="X557" s="84"/>
      <c r="Y557" s="84"/>
      <c r="Z557" s="84"/>
      <c r="AA557" s="84"/>
    </row>
    <row r="558" ht="26.25" hidden="1" customHeight="1">
      <c r="A558" s="85"/>
      <c r="B558" s="106"/>
      <c r="C558" s="103"/>
      <c r="D558" s="93"/>
      <c r="E558" s="93"/>
      <c r="F558" s="103"/>
      <c r="G558" s="113"/>
      <c r="H558" s="113"/>
      <c r="I558" s="100"/>
      <c r="J558" s="113"/>
      <c r="K558" s="82" t="b">
        <v>0</v>
      </c>
      <c r="L558" s="94"/>
      <c r="M558" s="84">
        <f t="shared" si="1"/>
        <v>6590</v>
      </c>
      <c r="N558" s="84"/>
      <c r="O558" s="84"/>
      <c r="P558" s="84"/>
      <c r="Q558" s="84"/>
      <c r="R558" s="86" t="str">
        <f t="shared" si="2"/>
        <v>Prepare for Showcase</v>
      </c>
      <c r="S558" s="82" t="b">
        <v>0</v>
      </c>
      <c r="T558" s="88"/>
      <c r="U558" s="84"/>
      <c r="V558" s="84"/>
      <c r="W558" s="84"/>
      <c r="X558" s="84"/>
      <c r="Y558" s="84"/>
      <c r="Z558" s="84"/>
      <c r="AA558" s="84"/>
    </row>
    <row r="559" ht="26.25" hidden="1" customHeight="1">
      <c r="A559" s="85"/>
      <c r="B559" s="106"/>
      <c r="C559" s="103"/>
      <c r="D559" s="93"/>
      <c r="E559" s="93"/>
      <c r="F559" s="103"/>
      <c r="G559" s="113"/>
      <c r="H559" s="113"/>
      <c r="I559" s="100"/>
      <c r="J559" s="113"/>
      <c r="K559" s="82" t="b">
        <v>0</v>
      </c>
      <c r="L559" s="94"/>
      <c r="M559" s="84">
        <f t="shared" si="1"/>
        <v>6590</v>
      </c>
      <c r="N559" s="84"/>
      <c r="O559" s="84"/>
      <c r="P559" s="84"/>
      <c r="Q559" s="84"/>
      <c r="R559" s="86" t="str">
        <f t="shared" si="2"/>
        <v>Prepare for Showcase</v>
      </c>
      <c r="S559" s="82" t="b">
        <v>0</v>
      </c>
      <c r="T559" s="88"/>
      <c r="U559" s="84"/>
      <c r="V559" s="84"/>
      <c r="W559" s="84"/>
      <c r="X559" s="84"/>
      <c r="Y559" s="84"/>
      <c r="Z559" s="84"/>
      <c r="AA559" s="84"/>
    </row>
    <row r="560" ht="26.25" hidden="1" customHeight="1">
      <c r="A560" s="85"/>
      <c r="B560" s="106"/>
      <c r="C560" s="103"/>
      <c r="D560" s="93"/>
      <c r="E560" s="93"/>
      <c r="F560" s="103"/>
      <c r="G560" s="113"/>
      <c r="H560" s="113"/>
      <c r="I560" s="100"/>
      <c r="J560" s="113"/>
      <c r="K560" s="82" t="b">
        <v>0</v>
      </c>
      <c r="L560" s="94"/>
      <c r="M560" s="84">
        <f t="shared" si="1"/>
        <v>6590</v>
      </c>
      <c r="N560" s="84"/>
      <c r="O560" s="84"/>
      <c r="P560" s="84"/>
      <c r="Q560" s="84"/>
      <c r="R560" s="86" t="str">
        <f t="shared" si="2"/>
        <v>Prepare for Showcase</v>
      </c>
      <c r="S560" s="82" t="b">
        <v>0</v>
      </c>
      <c r="T560" s="88"/>
      <c r="U560" s="84"/>
      <c r="V560" s="84"/>
      <c r="W560" s="84"/>
      <c r="X560" s="84"/>
      <c r="Y560" s="84"/>
      <c r="Z560" s="84"/>
      <c r="AA560" s="84"/>
    </row>
    <row r="561" ht="26.25" hidden="1" customHeight="1">
      <c r="A561" s="85"/>
      <c r="B561" s="106"/>
      <c r="C561" s="103"/>
      <c r="D561" s="93"/>
      <c r="E561" s="93"/>
      <c r="F561" s="103"/>
      <c r="G561" s="113"/>
      <c r="H561" s="113"/>
      <c r="I561" s="100"/>
      <c r="J561" s="113"/>
      <c r="K561" s="82" t="b">
        <v>0</v>
      </c>
      <c r="L561" s="94"/>
      <c r="M561" s="84">
        <f t="shared" si="1"/>
        <v>6590</v>
      </c>
      <c r="N561" s="84"/>
      <c r="O561" s="84"/>
      <c r="P561" s="84"/>
      <c r="Q561" s="84"/>
      <c r="R561" s="86" t="str">
        <f t="shared" si="2"/>
        <v>Prepare for Showcase</v>
      </c>
      <c r="S561" s="82" t="b">
        <v>0</v>
      </c>
      <c r="T561" s="88"/>
      <c r="U561" s="84"/>
      <c r="V561" s="84"/>
      <c r="W561" s="84"/>
      <c r="X561" s="84"/>
      <c r="Y561" s="84"/>
      <c r="Z561" s="84"/>
      <c r="AA561" s="84"/>
    </row>
    <row r="562" ht="26.25" hidden="1" customHeight="1">
      <c r="A562" s="85"/>
      <c r="B562" s="106"/>
      <c r="C562" s="103"/>
      <c r="D562" s="93"/>
      <c r="E562" s="93"/>
      <c r="F562" s="103"/>
      <c r="G562" s="113"/>
      <c r="H562" s="113"/>
      <c r="I562" s="100"/>
      <c r="J562" s="113"/>
      <c r="K562" s="82" t="b">
        <v>0</v>
      </c>
      <c r="L562" s="94"/>
      <c r="M562" s="84">
        <f t="shared" si="1"/>
        <v>6590</v>
      </c>
      <c r="N562" s="84"/>
      <c r="O562" s="84"/>
      <c r="P562" s="84"/>
      <c r="Q562" s="84"/>
      <c r="R562" s="86" t="str">
        <f t="shared" si="2"/>
        <v>Prepare for Showcase</v>
      </c>
      <c r="S562" s="82" t="b">
        <v>0</v>
      </c>
      <c r="T562" s="88"/>
      <c r="U562" s="84"/>
      <c r="V562" s="84"/>
      <c r="W562" s="84"/>
      <c r="X562" s="84"/>
      <c r="Y562" s="84"/>
      <c r="Z562" s="84"/>
      <c r="AA562" s="84"/>
    </row>
    <row r="563" ht="26.25" hidden="1" customHeight="1">
      <c r="A563" s="85"/>
      <c r="B563" s="106"/>
      <c r="C563" s="103"/>
      <c r="D563" s="93"/>
      <c r="E563" s="93"/>
      <c r="F563" s="103"/>
      <c r="G563" s="113"/>
      <c r="H563" s="113"/>
      <c r="I563" s="100"/>
      <c r="J563" s="113"/>
      <c r="K563" s="82" t="b">
        <v>0</v>
      </c>
      <c r="L563" s="94"/>
      <c r="M563" s="84">
        <f t="shared" si="1"/>
        <v>6590</v>
      </c>
      <c r="N563" s="84"/>
      <c r="O563" s="84"/>
      <c r="P563" s="84"/>
      <c r="Q563" s="84"/>
      <c r="R563" s="86" t="str">
        <f t="shared" si="2"/>
        <v>Prepare for Showcase</v>
      </c>
      <c r="S563" s="82" t="b">
        <v>0</v>
      </c>
      <c r="T563" s="88"/>
      <c r="U563" s="84"/>
      <c r="V563" s="84"/>
      <c r="W563" s="84"/>
      <c r="X563" s="84"/>
      <c r="Y563" s="84"/>
      <c r="Z563" s="84"/>
      <c r="AA563" s="84"/>
    </row>
    <row r="564" ht="26.25" hidden="1" customHeight="1">
      <c r="A564" s="85"/>
      <c r="B564" s="106"/>
      <c r="C564" s="103"/>
      <c r="D564" s="93"/>
      <c r="E564" s="93"/>
      <c r="F564" s="103"/>
      <c r="G564" s="113"/>
      <c r="H564" s="113"/>
      <c r="I564" s="100"/>
      <c r="J564" s="113"/>
      <c r="K564" s="82" t="b">
        <v>0</v>
      </c>
      <c r="L564" s="94"/>
      <c r="M564" s="84">
        <f t="shared" si="1"/>
        <v>6590</v>
      </c>
      <c r="N564" s="84"/>
      <c r="O564" s="84"/>
      <c r="P564" s="84"/>
      <c r="Q564" s="84"/>
      <c r="R564" s="86" t="str">
        <f t="shared" si="2"/>
        <v>Prepare for Showcase</v>
      </c>
      <c r="S564" s="82" t="b">
        <v>0</v>
      </c>
      <c r="T564" s="88"/>
      <c r="U564" s="84"/>
      <c r="V564" s="84"/>
      <c r="W564" s="84"/>
      <c r="X564" s="84"/>
      <c r="Y564" s="84"/>
      <c r="Z564" s="84"/>
      <c r="AA564" s="84"/>
    </row>
    <row r="565" ht="26.25" hidden="1" customHeight="1">
      <c r="A565" s="85"/>
      <c r="B565" s="106"/>
      <c r="C565" s="103"/>
      <c r="D565" s="93"/>
      <c r="E565" s="93"/>
      <c r="F565" s="103"/>
      <c r="G565" s="113"/>
      <c r="H565" s="113"/>
      <c r="I565" s="100"/>
      <c r="J565" s="113"/>
      <c r="K565" s="82" t="b">
        <v>0</v>
      </c>
      <c r="L565" s="94"/>
      <c r="M565" s="84">
        <f t="shared" si="1"/>
        <v>6590</v>
      </c>
      <c r="N565" s="84"/>
      <c r="O565" s="84"/>
      <c r="P565" s="84"/>
      <c r="Q565" s="84"/>
      <c r="R565" s="86" t="str">
        <f t="shared" si="2"/>
        <v>Prepare for Showcase</v>
      </c>
      <c r="S565" s="82" t="b">
        <v>0</v>
      </c>
      <c r="T565" s="88"/>
      <c r="U565" s="84"/>
      <c r="V565" s="84"/>
      <c r="W565" s="84"/>
      <c r="X565" s="84"/>
      <c r="Y565" s="84"/>
      <c r="Z565" s="84"/>
      <c r="AA565" s="84"/>
    </row>
    <row r="566" ht="26.25" hidden="1" customHeight="1">
      <c r="A566" s="85"/>
      <c r="B566" s="106"/>
      <c r="C566" s="103"/>
      <c r="D566" s="93"/>
      <c r="E566" s="93"/>
      <c r="F566" s="103"/>
      <c r="G566" s="113"/>
      <c r="H566" s="113"/>
      <c r="I566" s="100"/>
      <c r="J566" s="113"/>
      <c r="K566" s="82" t="b">
        <v>0</v>
      </c>
      <c r="L566" s="94"/>
      <c r="M566" s="84">
        <f t="shared" si="1"/>
        <v>6590</v>
      </c>
      <c r="N566" s="84"/>
      <c r="O566" s="84"/>
      <c r="P566" s="84"/>
      <c r="Q566" s="84"/>
      <c r="R566" s="86" t="str">
        <f t="shared" si="2"/>
        <v>Prepare for Showcase</v>
      </c>
      <c r="S566" s="82" t="b">
        <v>0</v>
      </c>
      <c r="T566" s="88"/>
      <c r="U566" s="84"/>
      <c r="V566" s="84"/>
      <c r="W566" s="84"/>
      <c r="X566" s="84"/>
      <c r="Y566" s="84"/>
      <c r="Z566" s="84"/>
      <c r="AA566" s="84"/>
    </row>
    <row r="567" ht="26.25" hidden="1" customHeight="1">
      <c r="A567" s="85"/>
      <c r="B567" s="106"/>
      <c r="C567" s="103"/>
      <c r="D567" s="93"/>
      <c r="E567" s="93"/>
      <c r="F567" s="103"/>
      <c r="G567" s="113"/>
      <c r="H567" s="113"/>
      <c r="I567" s="100"/>
      <c r="J567" s="113"/>
      <c r="K567" s="82" t="b">
        <v>0</v>
      </c>
      <c r="L567" s="94"/>
      <c r="M567" s="84">
        <f t="shared" si="1"/>
        <v>6590</v>
      </c>
      <c r="N567" s="84"/>
      <c r="O567" s="84"/>
      <c r="P567" s="84"/>
      <c r="Q567" s="84"/>
      <c r="R567" s="86" t="str">
        <f t="shared" si="2"/>
        <v>Prepare for Showcase</v>
      </c>
      <c r="S567" s="82" t="b">
        <v>0</v>
      </c>
      <c r="T567" s="88"/>
      <c r="U567" s="84"/>
      <c r="V567" s="84"/>
      <c r="W567" s="84"/>
      <c r="X567" s="84"/>
      <c r="Y567" s="84"/>
      <c r="Z567" s="84"/>
      <c r="AA567" s="84"/>
    </row>
    <row r="568" ht="26.25" hidden="1" customHeight="1">
      <c r="A568" s="85"/>
      <c r="B568" s="106"/>
      <c r="C568" s="103"/>
      <c r="D568" s="93"/>
      <c r="E568" s="93"/>
      <c r="F568" s="103"/>
      <c r="G568" s="113"/>
      <c r="H568" s="113"/>
      <c r="I568" s="100"/>
      <c r="J568" s="113"/>
      <c r="K568" s="82" t="b">
        <v>0</v>
      </c>
      <c r="L568" s="94"/>
      <c r="M568" s="84">
        <f t="shared" si="1"/>
        <v>6590</v>
      </c>
      <c r="N568" s="84"/>
      <c r="O568" s="84"/>
      <c r="P568" s="84"/>
      <c r="Q568" s="84"/>
      <c r="R568" s="86" t="str">
        <f t="shared" si="2"/>
        <v>Prepare for Showcase</v>
      </c>
      <c r="S568" s="82" t="b">
        <v>0</v>
      </c>
      <c r="T568" s="88"/>
      <c r="U568" s="84"/>
      <c r="V568" s="84"/>
      <c r="W568" s="84"/>
      <c r="X568" s="84"/>
      <c r="Y568" s="84"/>
      <c r="Z568" s="84"/>
      <c r="AA568" s="84"/>
    </row>
    <row r="569" ht="26.25" hidden="1" customHeight="1">
      <c r="A569" s="85"/>
      <c r="B569" s="106"/>
      <c r="C569" s="103"/>
      <c r="D569" s="93"/>
      <c r="E569" s="93"/>
      <c r="F569" s="103"/>
      <c r="G569" s="113"/>
      <c r="H569" s="113"/>
      <c r="I569" s="100"/>
      <c r="J569" s="113"/>
      <c r="K569" s="82" t="b">
        <v>0</v>
      </c>
      <c r="L569" s="94"/>
      <c r="M569" s="84">
        <f t="shared" si="1"/>
        <v>6590</v>
      </c>
      <c r="N569" s="84"/>
      <c r="O569" s="84"/>
      <c r="P569" s="84"/>
      <c r="Q569" s="84"/>
      <c r="R569" s="86" t="str">
        <f t="shared" si="2"/>
        <v>Prepare for Showcase</v>
      </c>
      <c r="S569" s="82" t="b">
        <v>0</v>
      </c>
      <c r="T569" s="88"/>
      <c r="U569" s="84"/>
      <c r="V569" s="84"/>
      <c r="W569" s="84"/>
      <c r="X569" s="84"/>
      <c r="Y569" s="84"/>
      <c r="Z569" s="84"/>
      <c r="AA569" s="84"/>
    </row>
    <row r="570" ht="26.25" hidden="1" customHeight="1">
      <c r="A570" s="85"/>
      <c r="B570" s="106"/>
      <c r="C570" s="103"/>
      <c r="D570" s="93"/>
      <c r="E570" s="93"/>
      <c r="F570" s="103"/>
      <c r="G570" s="113"/>
      <c r="H570" s="113"/>
      <c r="I570" s="100"/>
      <c r="J570" s="113"/>
      <c r="K570" s="82" t="b">
        <v>0</v>
      </c>
      <c r="L570" s="94"/>
      <c r="M570" s="84">
        <f t="shared" si="1"/>
        <v>6590</v>
      </c>
      <c r="N570" s="84"/>
      <c r="O570" s="84"/>
      <c r="P570" s="84"/>
      <c r="Q570" s="84"/>
      <c r="R570" s="86" t="str">
        <f t="shared" si="2"/>
        <v>Prepare for Showcase</v>
      </c>
      <c r="S570" s="82" t="b">
        <v>0</v>
      </c>
      <c r="T570" s="88"/>
      <c r="U570" s="84"/>
      <c r="V570" s="84"/>
      <c r="W570" s="84"/>
      <c r="X570" s="84"/>
      <c r="Y570" s="84"/>
      <c r="Z570" s="84"/>
      <c r="AA570" s="84"/>
    </row>
    <row r="571" ht="26.25" hidden="1" customHeight="1">
      <c r="A571" s="85"/>
      <c r="B571" s="106"/>
      <c r="C571" s="103"/>
      <c r="D571" s="93"/>
      <c r="E571" s="93"/>
      <c r="F571" s="103"/>
      <c r="G571" s="113"/>
      <c r="H571" s="113"/>
      <c r="I571" s="100"/>
      <c r="J571" s="113"/>
      <c r="K571" s="82" t="b">
        <v>0</v>
      </c>
      <c r="L571" s="94"/>
      <c r="M571" s="84">
        <f t="shared" si="1"/>
        <v>6590</v>
      </c>
      <c r="N571" s="84"/>
      <c r="O571" s="84"/>
      <c r="P571" s="84"/>
      <c r="Q571" s="84"/>
      <c r="R571" s="86" t="str">
        <f t="shared" si="2"/>
        <v>Prepare for Showcase</v>
      </c>
      <c r="S571" s="82" t="b">
        <v>0</v>
      </c>
      <c r="T571" s="88"/>
      <c r="U571" s="84"/>
      <c r="V571" s="84"/>
      <c r="W571" s="84"/>
      <c r="X571" s="84"/>
      <c r="Y571" s="84"/>
      <c r="Z571" s="84"/>
      <c r="AA571" s="84"/>
    </row>
    <row r="572" ht="26.25" hidden="1" customHeight="1">
      <c r="A572" s="85"/>
      <c r="B572" s="106"/>
      <c r="C572" s="103"/>
      <c r="D572" s="93"/>
      <c r="E572" s="93"/>
      <c r="F572" s="103"/>
      <c r="G572" s="113"/>
      <c r="H572" s="113"/>
      <c r="I572" s="100"/>
      <c r="J572" s="113"/>
      <c r="K572" s="82" t="b">
        <v>0</v>
      </c>
      <c r="L572" s="94"/>
      <c r="M572" s="84">
        <f t="shared" si="1"/>
        <v>6590</v>
      </c>
      <c r="N572" s="84"/>
      <c r="O572" s="84"/>
      <c r="P572" s="84"/>
      <c r="Q572" s="84"/>
      <c r="R572" s="86" t="str">
        <f t="shared" si="2"/>
        <v>Prepare for Showcase</v>
      </c>
      <c r="S572" s="82" t="b">
        <v>0</v>
      </c>
      <c r="T572" s="88"/>
      <c r="U572" s="84"/>
      <c r="V572" s="84"/>
      <c r="W572" s="84"/>
      <c r="X572" s="84"/>
      <c r="Y572" s="84"/>
      <c r="Z572" s="84"/>
      <c r="AA572" s="84"/>
    </row>
    <row r="573" ht="26.25" hidden="1" customHeight="1">
      <c r="A573" s="85"/>
      <c r="B573" s="106"/>
      <c r="C573" s="103"/>
      <c r="D573" s="93"/>
      <c r="E573" s="93"/>
      <c r="F573" s="103"/>
      <c r="G573" s="113"/>
      <c r="H573" s="113"/>
      <c r="I573" s="100"/>
      <c r="J573" s="113"/>
      <c r="K573" s="82" t="b">
        <v>0</v>
      </c>
      <c r="L573" s="94"/>
      <c r="M573" s="84">
        <f t="shared" si="1"/>
        <v>6590</v>
      </c>
      <c r="N573" s="84"/>
      <c r="O573" s="84"/>
      <c r="P573" s="84"/>
      <c r="Q573" s="84"/>
      <c r="R573" s="86" t="str">
        <f t="shared" si="2"/>
        <v>Prepare for Showcase</v>
      </c>
      <c r="S573" s="82" t="b">
        <v>0</v>
      </c>
      <c r="T573" s="88"/>
      <c r="U573" s="84"/>
      <c r="V573" s="84"/>
      <c r="W573" s="84"/>
      <c r="X573" s="84"/>
      <c r="Y573" s="84"/>
      <c r="Z573" s="84"/>
      <c r="AA573" s="84"/>
    </row>
    <row r="574" ht="26.25" hidden="1" customHeight="1">
      <c r="A574" s="85"/>
      <c r="B574" s="106"/>
      <c r="C574" s="103"/>
      <c r="D574" s="93"/>
      <c r="E574" s="93"/>
      <c r="F574" s="103"/>
      <c r="G574" s="113"/>
      <c r="H574" s="113"/>
      <c r="I574" s="100"/>
      <c r="J574" s="113"/>
      <c r="K574" s="82" t="b">
        <v>0</v>
      </c>
      <c r="L574" s="94"/>
      <c r="M574" s="84">
        <f t="shared" si="1"/>
        <v>6590</v>
      </c>
      <c r="N574" s="84"/>
      <c r="O574" s="84"/>
      <c r="P574" s="84"/>
      <c r="Q574" s="84"/>
      <c r="R574" s="86" t="str">
        <f t="shared" si="2"/>
        <v>Prepare for Showcase</v>
      </c>
      <c r="S574" s="82" t="b">
        <v>0</v>
      </c>
      <c r="T574" s="88"/>
      <c r="U574" s="84"/>
      <c r="V574" s="84"/>
      <c r="W574" s="84"/>
      <c r="X574" s="84"/>
      <c r="Y574" s="84"/>
      <c r="Z574" s="84"/>
      <c r="AA574" s="84"/>
    </row>
    <row r="575" ht="26.25" hidden="1" customHeight="1">
      <c r="A575" s="85"/>
      <c r="B575" s="106"/>
      <c r="C575" s="103"/>
      <c r="D575" s="93"/>
      <c r="E575" s="93"/>
      <c r="F575" s="103"/>
      <c r="G575" s="113"/>
      <c r="H575" s="113"/>
      <c r="I575" s="100"/>
      <c r="J575" s="113"/>
      <c r="K575" s="82" t="b">
        <v>0</v>
      </c>
      <c r="L575" s="94"/>
      <c r="M575" s="84">
        <f t="shared" si="1"/>
        <v>6590</v>
      </c>
      <c r="N575" s="84"/>
      <c r="O575" s="84"/>
      <c r="P575" s="84"/>
      <c r="Q575" s="84"/>
      <c r="R575" s="86" t="str">
        <f t="shared" si="2"/>
        <v>Prepare for Showcase</v>
      </c>
      <c r="S575" s="82" t="b">
        <v>0</v>
      </c>
      <c r="T575" s="88"/>
      <c r="U575" s="84"/>
      <c r="V575" s="84"/>
      <c r="W575" s="84"/>
      <c r="X575" s="84"/>
      <c r="Y575" s="84"/>
      <c r="Z575" s="84"/>
      <c r="AA575" s="84"/>
    </row>
    <row r="576" ht="26.25" hidden="1" customHeight="1">
      <c r="A576" s="85"/>
      <c r="B576" s="106"/>
      <c r="C576" s="103"/>
      <c r="D576" s="93"/>
      <c r="E576" s="93"/>
      <c r="F576" s="103"/>
      <c r="G576" s="113"/>
      <c r="H576" s="113"/>
      <c r="I576" s="100"/>
      <c r="J576" s="113"/>
      <c r="K576" s="82" t="b">
        <v>0</v>
      </c>
      <c r="L576" s="94"/>
      <c r="M576" s="84">
        <f t="shared" si="1"/>
        <v>6590</v>
      </c>
      <c r="N576" s="84"/>
      <c r="O576" s="84"/>
      <c r="P576" s="84"/>
      <c r="Q576" s="84"/>
      <c r="R576" s="86" t="str">
        <f t="shared" si="2"/>
        <v>Prepare for Showcase</v>
      </c>
      <c r="S576" s="82" t="b">
        <v>0</v>
      </c>
      <c r="T576" s="88"/>
      <c r="U576" s="84"/>
      <c r="V576" s="84"/>
      <c r="W576" s="84"/>
      <c r="X576" s="84"/>
      <c r="Y576" s="84"/>
      <c r="Z576" s="84"/>
      <c r="AA576" s="84"/>
    </row>
    <row r="577" ht="26.25" hidden="1" customHeight="1">
      <c r="A577" s="85"/>
      <c r="B577" s="106"/>
      <c r="C577" s="103"/>
      <c r="D577" s="93"/>
      <c r="E577" s="93"/>
      <c r="F577" s="103"/>
      <c r="G577" s="113"/>
      <c r="H577" s="113"/>
      <c r="I577" s="100"/>
      <c r="J577" s="113"/>
      <c r="K577" s="82" t="b">
        <v>0</v>
      </c>
      <c r="L577" s="94"/>
      <c r="M577" s="84">
        <f t="shared" si="1"/>
        <v>6590</v>
      </c>
      <c r="N577" s="84"/>
      <c r="O577" s="84"/>
      <c r="P577" s="84"/>
      <c r="Q577" s="84"/>
      <c r="R577" s="86" t="str">
        <f t="shared" si="2"/>
        <v>Prepare for Showcase</v>
      </c>
      <c r="S577" s="82" t="b">
        <v>0</v>
      </c>
      <c r="T577" s="88"/>
      <c r="U577" s="84"/>
      <c r="V577" s="84"/>
      <c r="W577" s="84"/>
      <c r="X577" s="84"/>
      <c r="Y577" s="84"/>
      <c r="Z577" s="84"/>
      <c r="AA577" s="84"/>
    </row>
    <row r="578" ht="26.25" hidden="1" customHeight="1">
      <c r="A578" s="85"/>
      <c r="B578" s="106"/>
      <c r="C578" s="103"/>
      <c r="D578" s="93"/>
      <c r="E578" s="93"/>
      <c r="F578" s="103"/>
      <c r="G578" s="113"/>
      <c r="H578" s="113"/>
      <c r="I578" s="100"/>
      <c r="J578" s="113"/>
      <c r="K578" s="82" t="b">
        <v>0</v>
      </c>
      <c r="L578" s="94"/>
      <c r="M578" s="84">
        <f t="shared" si="1"/>
        <v>6590</v>
      </c>
      <c r="N578" s="84"/>
      <c r="O578" s="84"/>
      <c r="P578" s="84"/>
      <c r="Q578" s="84"/>
      <c r="R578" s="86" t="str">
        <f t="shared" si="2"/>
        <v>Prepare for Showcase</v>
      </c>
      <c r="S578" s="82" t="b">
        <v>0</v>
      </c>
      <c r="T578" s="88"/>
      <c r="U578" s="84"/>
      <c r="V578" s="84"/>
      <c r="W578" s="84"/>
      <c r="X578" s="84"/>
      <c r="Y578" s="84"/>
      <c r="Z578" s="84"/>
      <c r="AA578" s="84"/>
    </row>
    <row r="579" ht="26.25" hidden="1" customHeight="1">
      <c r="A579" s="85"/>
      <c r="B579" s="106"/>
      <c r="C579" s="103"/>
      <c r="D579" s="93"/>
      <c r="E579" s="93"/>
      <c r="F579" s="103"/>
      <c r="G579" s="113"/>
      <c r="H579" s="113"/>
      <c r="I579" s="100"/>
      <c r="J579" s="113"/>
      <c r="K579" s="82" t="b">
        <v>0</v>
      </c>
      <c r="L579" s="94"/>
      <c r="M579" s="84">
        <f t="shared" si="1"/>
        <v>6590</v>
      </c>
      <c r="N579" s="84"/>
      <c r="O579" s="84"/>
      <c r="P579" s="84"/>
      <c r="Q579" s="84"/>
      <c r="R579" s="86" t="str">
        <f t="shared" si="2"/>
        <v>Prepare for Showcase</v>
      </c>
      <c r="S579" s="82" t="b">
        <v>0</v>
      </c>
      <c r="T579" s="88"/>
      <c r="U579" s="84"/>
      <c r="V579" s="84"/>
      <c r="W579" s="84"/>
      <c r="X579" s="84"/>
      <c r="Y579" s="84"/>
      <c r="Z579" s="84"/>
      <c r="AA579" s="84"/>
    </row>
    <row r="580" ht="26.25" hidden="1" customHeight="1">
      <c r="A580" s="85"/>
      <c r="B580" s="106"/>
      <c r="C580" s="103"/>
      <c r="D580" s="93"/>
      <c r="E580" s="93"/>
      <c r="F580" s="103"/>
      <c r="G580" s="113"/>
      <c r="H580" s="113"/>
      <c r="I580" s="100"/>
      <c r="J580" s="113"/>
      <c r="K580" s="82" t="b">
        <v>0</v>
      </c>
      <c r="L580" s="94"/>
      <c r="M580" s="84">
        <f t="shared" si="1"/>
        <v>6590</v>
      </c>
      <c r="N580" s="84"/>
      <c r="O580" s="84"/>
      <c r="P580" s="84"/>
      <c r="Q580" s="84"/>
      <c r="R580" s="86" t="str">
        <f t="shared" si="2"/>
        <v>Prepare for Showcase</v>
      </c>
      <c r="S580" s="82" t="b">
        <v>0</v>
      </c>
      <c r="T580" s="88"/>
      <c r="U580" s="84"/>
      <c r="V580" s="84"/>
      <c r="W580" s="84"/>
      <c r="X580" s="84"/>
      <c r="Y580" s="84"/>
      <c r="Z580" s="84"/>
      <c r="AA580" s="84"/>
    </row>
    <row r="581" ht="26.25" hidden="1" customHeight="1">
      <c r="A581" s="85"/>
      <c r="B581" s="106"/>
      <c r="C581" s="103"/>
      <c r="D581" s="93"/>
      <c r="E581" s="93"/>
      <c r="F581" s="103"/>
      <c r="G581" s="113"/>
      <c r="H581" s="113"/>
      <c r="I581" s="100"/>
      <c r="J581" s="113"/>
      <c r="K581" s="82" t="b">
        <v>0</v>
      </c>
      <c r="L581" s="94"/>
      <c r="M581" s="84">
        <f t="shared" si="1"/>
        <v>6590</v>
      </c>
      <c r="N581" s="84"/>
      <c r="O581" s="84"/>
      <c r="P581" s="84"/>
      <c r="Q581" s="84"/>
      <c r="R581" s="86" t="str">
        <f t="shared" si="2"/>
        <v>Prepare for Showcase</v>
      </c>
      <c r="S581" s="82" t="b">
        <v>0</v>
      </c>
      <c r="T581" s="88"/>
      <c r="U581" s="84"/>
      <c r="V581" s="84"/>
      <c r="W581" s="84"/>
      <c r="X581" s="84"/>
      <c r="Y581" s="84"/>
      <c r="Z581" s="84"/>
      <c r="AA581" s="84"/>
    </row>
    <row r="582" ht="26.25" hidden="1" customHeight="1">
      <c r="A582" s="85"/>
      <c r="B582" s="106"/>
      <c r="C582" s="103"/>
      <c r="D582" s="93"/>
      <c r="E582" s="93"/>
      <c r="F582" s="103"/>
      <c r="G582" s="113"/>
      <c r="H582" s="113"/>
      <c r="I582" s="100"/>
      <c r="J582" s="113"/>
      <c r="K582" s="82" t="b">
        <v>0</v>
      </c>
      <c r="L582" s="94"/>
      <c r="M582" s="84">
        <f t="shared" si="1"/>
        <v>6590</v>
      </c>
      <c r="N582" s="84"/>
      <c r="O582" s="84"/>
      <c r="P582" s="84"/>
      <c r="Q582" s="84"/>
      <c r="R582" s="86" t="str">
        <f t="shared" si="2"/>
        <v>Prepare for Showcase</v>
      </c>
      <c r="S582" s="82" t="b">
        <v>0</v>
      </c>
      <c r="T582" s="88"/>
      <c r="U582" s="84"/>
      <c r="V582" s="84"/>
      <c r="W582" s="84"/>
      <c r="X582" s="84"/>
      <c r="Y582" s="84"/>
      <c r="Z582" s="84"/>
      <c r="AA582" s="84"/>
    </row>
    <row r="583" ht="26.25" hidden="1" customHeight="1">
      <c r="A583" s="85"/>
      <c r="B583" s="106"/>
      <c r="C583" s="103"/>
      <c r="D583" s="93"/>
      <c r="E583" s="93"/>
      <c r="F583" s="103"/>
      <c r="G583" s="113"/>
      <c r="H583" s="113"/>
      <c r="I583" s="100"/>
      <c r="J583" s="113"/>
      <c r="K583" s="82" t="b">
        <v>0</v>
      </c>
      <c r="L583" s="94"/>
      <c r="M583" s="84">
        <f t="shared" si="1"/>
        <v>6590</v>
      </c>
      <c r="N583" s="84"/>
      <c r="O583" s="84"/>
      <c r="P583" s="84"/>
      <c r="Q583" s="84"/>
      <c r="R583" s="86" t="str">
        <f t="shared" si="2"/>
        <v>Prepare for Showcase</v>
      </c>
      <c r="S583" s="82" t="b">
        <v>0</v>
      </c>
      <c r="T583" s="88"/>
      <c r="U583" s="84"/>
      <c r="V583" s="84"/>
      <c r="W583" s="84"/>
      <c r="X583" s="84"/>
      <c r="Y583" s="84"/>
      <c r="Z583" s="84"/>
      <c r="AA583" s="84"/>
    </row>
    <row r="584" ht="26.25" hidden="1" customHeight="1">
      <c r="A584" s="85"/>
      <c r="B584" s="106"/>
      <c r="C584" s="103"/>
      <c r="D584" s="93"/>
      <c r="E584" s="93"/>
      <c r="F584" s="103"/>
      <c r="G584" s="113"/>
      <c r="H584" s="113"/>
      <c r="I584" s="100"/>
      <c r="J584" s="113"/>
      <c r="K584" s="82" t="b">
        <v>0</v>
      </c>
      <c r="L584" s="94"/>
      <c r="M584" s="84">
        <f t="shared" si="1"/>
        <v>6590</v>
      </c>
      <c r="N584" s="84"/>
      <c r="O584" s="84"/>
      <c r="P584" s="84"/>
      <c r="Q584" s="84"/>
      <c r="R584" s="86" t="str">
        <f t="shared" si="2"/>
        <v>Prepare for Showcase</v>
      </c>
      <c r="S584" s="82" t="b">
        <v>0</v>
      </c>
      <c r="T584" s="88"/>
      <c r="U584" s="84"/>
      <c r="V584" s="84"/>
      <c r="W584" s="84"/>
      <c r="X584" s="84"/>
      <c r="Y584" s="84"/>
      <c r="Z584" s="84"/>
      <c r="AA584" s="84"/>
    </row>
    <row r="585" ht="26.25" hidden="1" customHeight="1">
      <c r="A585" s="85"/>
      <c r="B585" s="106"/>
      <c r="C585" s="103"/>
      <c r="D585" s="93"/>
      <c r="E585" s="93"/>
      <c r="F585" s="103"/>
      <c r="G585" s="113"/>
      <c r="H585" s="113"/>
      <c r="I585" s="100"/>
      <c r="J585" s="113"/>
      <c r="K585" s="82" t="b">
        <v>0</v>
      </c>
      <c r="L585" s="94"/>
      <c r="M585" s="84">
        <f t="shared" si="1"/>
        <v>6590</v>
      </c>
      <c r="N585" s="84"/>
      <c r="O585" s="84"/>
      <c r="P585" s="84"/>
      <c r="Q585" s="84"/>
      <c r="R585" s="86" t="str">
        <f t="shared" si="2"/>
        <v>Prepare for Showcase</v>
      </c>
      <c r="S585" s="82" t="b">
        <v>0</v>
      </c>
      <c r="T585" s="88"/>
      <c r="U585" s="84"/>
      <c r="V585" s="84"/>
      <c r="W585" s="84"/>
      <c r="X585" s="84"/>
      <c r="Y585" s="84"/>
      <c r="Z585" s="84"/>
      <c r="AA585" s="84"/>
    </row>
    <row r="586" ht="26.25" hidden="1" customHeight="1">
      <c r="A586" s="85"/>
      <c r="B586" s="106"/>
      <c r="C586" s="103"/>
      <c r="D586" s="93"/>
      <c r="E586" s="93"/>
      <c r="F586" s="103"/>
      <c r="G586" s="113"/>
      <c r="H586" s="113"/>
      <c r="I586" s="100"/>
      <c r="J586" s="113"/>
      <c r="K586" s="82" t="b">
        <v>0</v>
      </c>
      <c r="L586" s="94"/>
      <c r="M586" s="84">
        <f t="shared" si="1"/>
        <v>6590</v>
      </c>
      <c r="N586" s="84"/>
      <c r="O586" s="84"/>
      <c r="P586" s="84"/>
      <c r="Q586" s="84"/>
      <c r="R586" s="86" t="str">
        <f t="shared" si="2"/>
        <v>Prepare for Showcase</v>
      </c>
      <c r="S586" s="82" t="b">
        <v>0</v>
      </c>
      <c r="T586" s="88"/>
      <c r="U586" s="84"/>
      <c r="V586" s="84"/>
      <c r="W586" s="84"/>
      <c r="X586" s="84"/>
      <c r="Y586" s="84"/>
      <c r="Z586" s="84"/>
      <c r="AA586" s="84"/>
    </row>
    <row r="587" ht="26.25" hidden="1" customHeight="1">
      <c r="A587" s="85"/>
      <c r="B587" s="106"/>
      <c r="C587" s="103"/>
      <c r="D587" s="93"/>
      <c r="E587" s="93"/>
      <c r="F587" s="103"/>
      <c r="G587" s="113"/>
      <c r="H587" s="113"/>
      <c r="I587" s="100"/>
      <c r="J587" s="113"/>
      <c r="K587" s="82" t="b">
        <v>0</v>
      </c>
      <c r="L587" s="94"/>
      <c r="M587" s="84">
        <f t="shared" si="1"/>
        <v>6590</v>
      </c>
      <c r="N587" s="84"/>
      <c r="O587" s="84"/>
      <c r="P587" s="84"/>
      <c r="Q587" s="84"/>
      <c r="R587" s="86" t="str">
        <f t="shared" si="2"/>
        <v>Prepare for Showcase</v>
      </c>
      <c r="S587" s="82" t="b">
        <v>0</v>
      </c>
      <c r="T587" s="88"/>
      <c r="U587" s="84"/>
      <c r="V587" s="84"/>
      <c r="W587" s="84"/>
      <c r="X587" s="84"/>
      <c r="Y587" s="84"/>
      <c r="Z587" s="84"/>
      <c r="AA587" s="84"/>
    </row>
    <row r="588" ht="26.25" hidden="1" customHeight="1">
      <c r="A588" s="85"/>
      <c r="B588" s="106"/>
      <c r="C588" s="103"/>
      <c r="D588" s="93"/>
      <c r="E588" s="93"/>
      <c r="F588" s="103"/>
      <c r="G588" s="113"/>
      <c r="H588" s="113"/>
      <c r="I588" s="100"/>
      <c r="J588" s="113"/>
      <c r="K588" s="82" t="b">
        <v>0</v>
      </c>
      <c r="L588" s="94"/>
      <c r="M588" s="84">
        <f t="shared" si="1"/>
        <v>6590</v>
      </c>
      <c r="N588" s="84"/>
      <c r="O588" s="84"/>
      <c r="P588" s="84"/>
      <c r="Q588" s="84"/>
      <c r="R588" s="86" t="str">
        <f t="shared" si="2"/>
        <v>Prepare for Showcase</v>
      </c>
      <c r="S588" s="82" t="b">
        <v>0</v>
      </c>
      <c r="T588" s="88"/>
      <c r="U588" s="84"/>
      <c r="V588" s="84"/>
      <c r="W588" s="84"/>
      <c r="X588" s="84"/>
      <c r="Y588" s="84"/>
      <c r="Z588" s="84"/>
      <c r="AA588" s="84"/>
    </row>
    <row r="589" ht="26.25" hidden="1" customHeight="1">
      <c r="A589" s="85"/>
      <c r="B589" s="106"/>
      <c r="C589" s="103"/>
      <c r="D589" s="93"/>
      <c r="E589" s="93"/>
      <c r="F589" s="103"/>
      <c r="G589" s="113"/>
      <c r="H589" s="113"/>
      <c r="I589" s="100"/>
      <c r="J589" s="113"/>
      <c r="K589" s="82" t="b">
        <v>0</v>
      </c>
      <c r="L589" s="94"/>
      <c r="M589" s="84">
        <f t="shared" si="1"/>
        <v>6590</v>
      </c>
      <c r="N589" s="84"/>
      <c r="O589" s="84"/>
      <c r="P589" s="84"/>
      <c r="Q589" s="84"/>
      <c r="R589" s="86" t="str">
        <f t="shared" si="2"/>
        <v>Prepare for Showcase</v>
      </c>
      <c r="S589" s="82" t="b">
        <v>0</v>
      </c>
      <c r="T589" s="88"/>
      <c r="U589" s="84"/>
      <c r="V589" s="84"/>
      <c r="W589" s="84"/>
      <c r="X589" s="84"/>
      <c r="Y589" s="84"/>
      <c r="Z589" s="84"/>
      <c r="AA589" s="84"/>
    </row>
    <row r="590" ht="26.25" hidden="1" customHeight="1">
      <c r="A590" s="85"/>
      <c r="B590" s="106"/>
      <c r="C590" s="103"/>
      <c r="D590" s="93"/>
      <c r="E590" s="93"/>
      <c r="F590" s="103"/>
      <c r="G590" s="113"/>
      <c r="H590" s="113"/>
      <c r="I590" s="100"/>
      <c r="J590" s="113"/>
      <c r="K590" s="82" t="b">
        <v>0</v>
      </c>
      <c r="L590" s="94"/>
      <c r="M590" s="84">
        <f t="shared" si="1"/>
        <v>6590</v>
      </c>
      <c r="N590" s="84"/>
      <c r="O590" s="84"/>
      <c r="P590" s="84"/>
      <c r="Q590" s="84"/>
      <c r="R590" s="86" t="str">
        <f t="shared" si="2"/>
        <v>Prepare for Showcase</v>
      </c>
      <c r="S590" s="82" t="b">
        <v>0</v>
      </c>
      <c r="T590" s="88"/>
      <c r="U590" s="84"/>
      <c r="V590" s="84"/>
      <c r="W590" s="84"/>
      <c r="X590" s="84"/>
      <c r="Y590" s="84"/>
      <c r="Z590" s="84"/>
      <c r="AA590" s="84"/>
    </row>
    <row r="591" ht="26.25" hidden="1" customHeight="1">
      <c r="A591" s="85"/>
      <c r="B591" s="106"/>
      <c r="C591" s="103"/>
      <c r="D591" s="93"/>
      <c r="E591" s="93"/>
      <c r="F591" s="103"/>
      <c r="G591" s="113"/>
      <c r="H591" s="113"/>
      <c r="I591" s="100"/>
      <c r="J591" s="113"/>
      <c r="K591" s="82" t="b">
        <v>0</v>
      </c>
      <c r="L591" s="94"/>
      <c r="M591" s="84">
        <f t="shared" si="1"/>
        <v>6590</v>
      </c>
      <c r="N591" s="84"/>
      <c r="O591" s="84"/>
      <c r="P591" s="84"/>
      <c r="Q591" s="84"/>
      <c r="R591" s="86" t="str">
        <f t="shared" si="2"/>
        <v>Prepare for Showcase</v>
      </c>
      <c r="S591" s="82" t="b">
        <v>0</v>
      </c>
      <c r="T591" s="88"/>
      <c r="U591" s="84"/>
      <c r="V591" s="84"/>
      <c r="W591" s="84"/>
      <c r="X591" s="84"/>
      <c r="Y591" s="84"/>
      <c r="Z591" s="84"/>
      <c r="AA591" s="84"/>
    </row>
    <row r="592" ht="26.25" hidden="1" customHeight="1">
      <c r="A592" s="85"/>
      <c r="B592" s="106"/>
      <c r="C592" s="103"/>
      <c r="D592" s="93"/>
      <c r="E592" s="93"/>
      <c r="F592" s="103"/>
      <c r="G592" s="113"/>
      <c r="H592" s="113"/>
      <c r="I592" s="100"/>
      <c r="J592" s="113"/>
      <c r="K592" s="82" t="b">
        <v>0</v>
      </c>
      <c r="L592" s="94"/>
      <c r="M592" s="84">
        <f t="shared" si="1"/>
        <v>6590</v>
      </c>
      <c r="N592" s="84"/>
      <c r="O592" s="84"/>
      <c r="P592" s="84"/>
      <c r="Q592" s="84"/>
      <c r="R592" s="86" t="str">
        <f t="shared" si="2"/>
        <v>Prepare for Showcase</v>
      </c>
      <c r="S592" s="82" t="b">
        <v>0</v>
      </c>
      <c r="T592" s="88"/>
      <c r="U592" s="84"/>
      <c r="V592" s="84"/>
      <c r="W592" s="84"/>
      <c r="X592" s="84"/>
      <c r="Y592" s="84"/>
      <c r="Z592" s="84"/>
      <c r="AA592" s="84"/>
    </row>
    <row r="593" ht="26.25" hidden="1" customHeight="1">
      <c r="A593" s="85"/>
      <c r="B593" s="106"/>
      <c r="C593" s="103"/>
      <c r="D593" s="93"/>
      <c r="E593" s="93"/>
      <c r="F593" s="103"/>
      <c r="G593" s="113"/>
      <c r="H593" s="113"/>
      <c r="I593" s="100"/>
      <c r="J593" s="113"/>
      <c r="K593" s="82" t="b">
        <v>0</v>
      </c>
      <c r="L593" s="94"/>
      <c r="M593" s="84">
        <f t="shared" si="1"/>
        <v>6590</v>
      </c>
      <c r="N593" s="84"/>
      <c r="O593" s="84"/>
      <c r="P593" s="84"/>
      <c r="Q593" s="84"/>
      <c r="R593" s="86" t="str">
        <f t="shared" si="2"/>
        <v>Prepare for Showcase</v>
      </c>
      <c r="S593" s="82" t="b">
        <v>0</v>
      </c>
      <c r="T593" s="88"/>
      <c r="U593" s="84"/>
      <c r="V593" s="84"/>
      <c r="W593" s="84"/>
      <c r="X593" s="84"/>
      <c r="Y593" s="84"/>
      <c r="Z593" s="84"/>
      <c r="AA593" s="84"/>
    </row>
    <row r="594" ht="26.25" hidden="1" customHeight="1">
      <c r="A594" s="85"/>
      <c r="B594" s="106"/>
      <c r="C594" s="103"/>
      <c r="D594" s="93"/>
      <c r="E594" s="93"/>
      <c r="F594" s="103"/>
      <c r="G594" s="113"/>
      <c r="H594" s="113"/>
      <c r="I594" s="100"/>
      <c r="J594" s="113"/>
      <c r="K594" s="82" t="b">
        <v>0</v>
      </c>
      <c r="L594" s="94"/>
      <c r="M594" s="84">
        <f t="shared" si="1"/>
        <v>6590</v>
      </c>
      <c r="N594" s="84"/>
      <c r="O594" s="84"/>
      <c r="P594" s="84"/>
      <c r="Q594" s="84"/>
      <c r="R594" s="86" t="str">
        <f t="shared" si="2"/>
        <v>Prepare for Showcase</v>
      </c>
      <c r="S594" s="82" t="b">
        <v>0</v>
      </c>
      <c r="T594" s="88"/>
      <c r="U594" s="84"/>
      <c r="V594" s="84"/>
      <c r="W594" s="84"/>
      <c r="X594" s="84"/>
      <c r="Y594" s="84"/>
      <c r="Z594" s="84"/>
      <c r="AA594" s="84"/>
    </row>
    <row r="595" ht="26.25" hidden="1" customHeight="1">
      <c r="A595" s="85"/>
      <c r="B595" s="106"/>
      <c r="C595" s="103"/>
      <c r="D595" s="93"/>
      <c r="E595" s="93"/>
      <c r="F595" s="103"/>
      <c r="G595" s="113"/>
      <c r="H595" s="113"/>
      <c r="I595" s="100"/>
      <c r="J595" s="113"/>
      <c r="K595" s="82" t="b">
        <v>0</v>
      </c>
      <c r="L595" s="94"/>
      <c r="M595" s="84">
        <f t="shared" si="1"/>
        <v>6590</v>
      </c>
      <c r="N595" s="84"/>
      <c r="O595" s="84"/>
      <c r="P595" s="84"/>
      <c r="Q595" s="84"/>
      <c r="R595" s="86" t="str">
        <f t="shared" si="2"/>
        <v>Prepare for Showcase</v>
      </c>
      <c r="S595" s="82" t="b">
        <v>0</v>
      </c>
      <c r="T595" s="88"/>
      <c r="U595" s="84"/>
      <c r="V595" s="84"/>
      <c r="W595" s="84"/>
      <c r="X595" s="84"/>
      <c r="Y595" s="84"/>
      <c r="Z595" s="84"/>
      <c r="AA595" s="84"/>
    </row>
    <row r="596" ht="26.25" hidden="1" customHeight="1">
      <c r="A596" s="85"/>
      <c r="B596" s="106"/>
      <c r="C596" s="103"/>
      <c r="D596" s="93"/>
      <c r="E596" s="93"/>
      <c r="F596" s="103"/>
      <c r="G596" s="113"/>
      <c r="H596" s="113"/>
      <c r="I596" s="100"/>
      <c r="J596" s="113"/>
      <c r="K596" s="82" t="b">
        <v>0</v>
      </c>
      <c r="L596" s="94"/>
      <c r="M596" s="84">
        <f t="shared" si="1"/>
        <v>6590</v>
      </c>
      <c r="N596" s="84"/>
      <c r="O596" s="84"/>
      <c r="P596" s="84"/>
      <c r="Q596" s="84"/>
      <c r="R596" s="86" t="str">
        <f t="shared" si="2"/>
        <v>Prepare for Showcase</v>
      </c>
      <c r="S596" s="82" t="b">
        <v>0</v>
      </c>
      <c r="T596" s="88"/>
      <c r="U596" s="84"/>
      <c r="V596" s="84"/>
      <c r="W596" s="84"/>
      <c r="X596" s="84"/>
      <c r="Y596" s="84"/>
      <c r="Z596" s="84"/>
      <c r="AA596" s="84"/>
    </row>
    <row r="597" ht="26.25" hidden="1" customHeight="1">
      <c r="A597" s="85"/>
      <c r="B597" s="106"/>
      <c r="C597" s="103"/>
      <c r="D597" s="93"/>
      <c r="E597" s="93"/>
      <c r="F597" s="103"/>
      <c r="G597" s="113"/>
      <c r="H597" s="113"/>
      <c r="I597" s="100"/>
      <c r="J597" s="113"/>
      <c r="K597" s="82" t="b">
        <v>0</v>
      </c>
      <c r="L597" s="94"/>
      <c r="M597" s="84">
        <f t="shared" si="1"/>
        <v>6590</v>
      </c>
      <c r="N597" s="84"/>
      <c r="O597" s="84"/>
      <c r="P597" s="84"/>
      <c r="Q597" s="84"/>
      <c r="R597" s="86" t="str">
        <f t="shared" si="2"/>
        <v>Prepare for Showcase</v>
      </c>
      <c r="S597" s="82" t="b">
        <v>0</v>
      </c>
      <c r="T597" s="88"/>
      <c r="U597" s="84"/>
      <c r="V597" s="84"/>
      <c r="W597" s="84"/>
      <c r="X597" s="84"/>
      <c r="Y597" s="84"/>
      <c r="Z597" s="84"/>
      <c r="AA597" s="84"/>
    </row>
    <row r="598" ht="26.25" hidden="1" customHeight="1">
      <c r="A598" s="85"/>
      <c r="B598" s="106"/>
      <c r="C598" s="103"/>
      <c r="D598" s="93"/>
      <c r="E598" s="93"/>
      <c r="F598" s="103"/>
      <c r="G598" s="113"/>
      <c r="H598" s="113"/>
      <c r="I598" s="100"/>
      <c r="J598" s="113"/>
      <c r="K598" s="82" t="b">
        <v>0</v>
      </c>
      <c r="L598" s="94"/>
      <c r="M598" s="84">
        <f t="shared" si="1"/>
        <v>6590</v>
      </c>
      <c r="N598" s="84"/>
      <c r="O598" s="84"/>
      <c r="P598" s="84"/>
      <c r="Q598" s="84"/>
      <c r="R598" s="86" t="str">
        <f t="shared" si="2"/>
        <v>Prepare for Showcase</v>
      </c>
      <c r="S598" s="82" t="b">
        <v>0</v>
      </c>
      <c r="T598" s="88"/>
      <c r="U598" s="84"/>
      <c r="V598" s="84"/>
      <c r="W598" s="84"/>
      <c r="X598" s="84"/>
      <c r="Y598" s="84"/>
      <c r="Z598" s="84"/>
      <c r="AA598" s="84"/>
    </row>
    <row r="599" ht="26.25" hidden="1" customHeight="1">
      <c r="A599" s="85"/>
      <c r="B599" s="106"/>
      <c r="C599" s="103"/>
      <c r="D599" s="93"/>
      <c r="E599" s="93"/>
      <c r="F599" s="103"/>
      <c r="G599" s="113"/>
      <c r="H599" s="113"/>
      <c r="I599" s="100"/>
      <c r="J599" s="113"/>
      <c r="K599" s="82" t="b">
        <v>0</v>
      </c>
      <c r="L599" s="94"/>
      <c r="M599" s="84">
        <f t="shared" si="1"/>
        <v>6590</v>
      </c>
      <c r="N599" s="84"/>
      <c r="O599" s="84"/>
      <c r="P599" s="84"/>
      <c r="Q599" s="84"/>
      <c r="R599" s="86" t="str">
        <f t="shared" si="2"/>
        <v>Prepare for Showcase</v>
      </c>
      <c r="S599" s="82" t="b">
        <v>0</v>
      </c>
      <c r="T599" s="88"/>
      <c r="U599" s="84"/>
      <c r="V599" s="84"/>
      <c r="W599" s="84"/>
      <c r="X599" s="84"/>
      <c r="Y599" s="84"/>
      <c r="Z599" s="84"/>
      <c r="AA599" s="84"/>
    </row>
    <row r="600" ht="26.25" hidden="1" customHeight="1">
      <c r="A600" s="85"/>
      <c r="B600" s="106"/>
      <c r="C600" s="103"/>
      <c r="D600" s="93"/>
      <c r="E600" s="93"/>
      <c r="F600" s="103"/>
      <c r="G600" s="113"/>
      <c r="H600" s="113"/>
      <c r="I600" s="100"/>
      <c r="J600" s="113"/>
      <c r="K600" s="82" t="b">
        <v>0</v>
      </c>
      <c r="L600" s="94"/>
      <c r="M600" s="84">
        <f t="shared" si="1"/>
        <v>6590</v>
      </c>
      <c r="N600" s="84"/>
      <c r="O600" s="84"/>
      <c r="P600" s="84"/>
      <c r="Q600" s="84"/>
      <c r="R600" s="86" t="str">
        <f t="shared" si="2"/>
        <v>Prepare for Showcase</v>
      </c>
      <c r="S600" s="82" t="b">
        <v>0</v>
      </c>
      <c r="T600" s="88"/>
      <c r="U600" s="84"/>
      <c r="V600" s="84"/>
      <c r="W600" s="84"/>
      <c r="X600" s="84"/>
      <c r="Y600" s="84"/>
      <c r="Z600" s="84"/>
      <c r="AA600" s="84"/>
    </row>
    <row r="601" ht="26.25" hidden="1" customHeight="1">
      <c r="A601" s="85"/>
      <c r="B601" s="106"/>
      <c r="C601" s="103"/>
      <c r="D601" s="93"/>
      <c r="E601" s="93"/>
      <c r="F601" s="103"/>
      <c r="G601" s="113"/>
      <c r="H601" s="113"/>
      <c r="I601" s="100"/>
      <c r="J601" s="113"/>
      <c r="K601" s="82" t="b">
        <v>0</v>
      </c>
      <c r="L601" s="94"/>
      <c r="M601" s="84">
        <f t="shared" si="1"/>
        <v>6590</v>
      </c>
      <c r="N601" s="84"/>
      <c r="O601" s="84"/>
      <c r="P601" s="84"/>
      <c r="Q601" s="84"/>
      <c r="R601" s="86" t="str">
        <f t="shared" si="2"/>
        <v>Prepare for Showcase</v>
      </c>
      <c r="S601" s="82" t="b">
        <v>0</v>
      </c>
      <c r="T601" s="88"/>
      <c r="U601" s="84"/>
      <c r="V601" s="84"/>
      <c r="W601" s="84"/>
      <c r="X601" s="84"/>
      <c r="Y601" s="84"/>
      <c r="Z601" s="84"/>
      <c r="AA601" s="84"/>
    </row>
    <row r="602" ht="26.25" hidden="1" customHeight="1">
      <c r="A602" s="85"/>
      <c r="B602" s="106"/>
      <c r="C602" s="103"/>
      <c r="D602" s="93"/>
      <c r="E602" s="93"/>
      <c r="F602" s="103"/>
      <c r="G602" s="113"/>
      <c r="H602" s="113"/>
      <c r="I602" s="100"/>
      <c r="J602" s="113"/>
      <c r="K602" s="82" t="b">
        <v>0</v>
      </c>
      <c r="L602" s="94"/>
      <c r="M602" s="84">
        <f t="shared" si="1"/>
        <v>6590</v>
      </c>
      <c r="N602" s="84"/>
      <c r="O602" s="84"/>
      <c r="P602" s="84"/>
      <c r="Q602" s="84"/>
      <c r="R602" s="86" t="str">
        <f t="shared" si="2"/>
        <v>Prepare for Showcase</v>
      </c>
      <c r="S602" s="82" t="b">
        <v>0</v>
      </c>
      <c r="T602" s="88"/>
      <c r="U602" s="84"/>
      <c r="V602" s="84"/>
      <c r="W602" s="84"/>
      <c r="X602" s="84"/>
      <c r="Y602" s="84"/>
      <c r="Z602" s="84"/>
      <c r="AA602" s="84"/>
    </row>
    <row r="603" ht="26.25" hidden="1" customHeight="1">
      <c r="A603" s="85"/>
      <c r="B603" s="106"/>
      <c r="C603" s="103"/>
      <c r="D603" s="93"/>
      <c r="E603" s="93"/>
      <c r="F603" s="103"/>
      <c r="G603" s="113"/>
      <c r="H603" s="113"/>
      <c r="I603" s="100"/>
      <c r="J603" s="113"/>
      <c r="K603" s="82" t="b">
        <v>0</v>
      </c>
      <c r="L603" s="94"/>
      <c r="M603" s="84">
        <f t="shared" si="1"/>
        <v>6590</v>
      </c>
      <c r="N603" s="84"/>
      <c r="O603" s="84"/>
      <c r="P603" s="84"/>
      <c r="Q603" s="84"/>
      <c r="R603" s="86" t="str">
        <f t="shared" si="2"/>
        <v>Prepare for Showcase</v>
      </c>
      <c r="S603" s="82" t="b">
        <v>0</v>
      </c>
      <c r="T603" s="88"/>
      <c r="U603" s="84"/>
      <c r="V603" s="84"/>
      <c r="W603" s="84"/>
      <c r="X603" s="84"/>
      <c r="Y603" s="84"/>
      <c r="Z603" s="84"/>
      <c r="AA603" s="84"/>
    </row>
    <row r="604" ht="26.25" hidden="1" customHeight="1">
      <c r="A604" s="85"/>
      <c r="B604" s="106"/>
      <c r="C604" s="103"/>
      <c r="D604" s="93"/>
      <c r="E604" s="93"/>
      <c r="F604" s="103"/>
      <c r="G604" s="113"/>
      <c r="H604" s="113"/>
      <c r="I604" s="100"/>
      <c r="J604" s="113"/>
      <c r="K604" s="82" t="b">
        <v>0</v>
      </c>
      <c r="L604" s="94"/>
      <c r="M604" s="84">
        <f t="shared" si="1"/>
        <v>6590</v>
      </c>
      <c r="N604" s="84"/>
      <c r="O604" s="84"/>
      <c r="P604" s="84"/>
      <c r="Q604" s="84"/>
      <c r="R604" s="86" t="str">
        <f t="shared" si="2"/>
        <v>Prepare for Showcase</v>
      </c>
      <c r="S604" s="82" t="b">
        <v>0</v>
      </c>
      <c r="T604" s="88"/>
      <c r="U604" s="84"/>
      <c r="V604" s="84"/>
      <c r="W604" s="84"/>
      <c r="X604" s="84"/>
      <c r="Y604" s="84"/>
      <c r="Z604" s="84"/>
      <c r="AA604" s="84"/>
    </row>
    <row r="605" ht="26.25" hidden="1" customHeight="1">
      <c r="A605" s="85"/>
      <c r="B605" s="106"/>
      <c r="C605" s="103"/>
      <c r="D605" s="93"/>
      <c r="E605" s="93"/>
      <c r="F605" s="103"/>
      <c r="G605" s="113"/>
      <c r="H605" s="113"/>
      <c r="I605" s="100"/>
      <c r="J605" s="113"/>
      <c r="K605" s="82" t="b">
        <v>0</v>
      </c>
      <c r="L605" s="94"/>
      <c r="M605" s="84">
        <f t="shared" si="1"/>
        <v>6590</v>
      </c>
      <c r="N605" s="84"/>
      <c r="O605" s="84"/>
      <c r="P605" s="84"/>
      <c r="Q605" s="84"/>
      <c r="R605" s="86" t="str">
        <f t="shared" si="2"/>
        <v>Prepare for Showcase</v>
      </c>
      <c r="S605" s="82" t="b">
        <v>0</v>
      </c>
      <c r="T605" s="88"/>
      <c r="U605" s="84"/>
      <c r="V605" s="84"/>
      <c r="W605" s="84"/>
      <c r="X605" s="84"/>
      <c r="Y605" s="84"/>
      <c r="Z605" s="84"/>
      <c r="AA605" s="84"/>
    </row>
    <row r="606" ht="26.25" hidden="1" customHeight="1">
      <c r="A606" s="85"/>
      <c r="B606" s="106"/>
      <c r="C606" s="103"/>
      <c r="D606" s="93"/>
      <c r="E606" s="93"/>
      <c r="F606" s="103"/>
      <c r="G606" s="113"/>
      <c r="H606" s="113"/>
      <c r="I606" s="100"/>
      <c r="J606" s="113"/>
      <c r="K606" s="82" t="b">
        <v>0</v>
      </c>
      <c r="L606" s="94"/>
      <c r="M606" s="84">
        <f t="shared" si="1"/>
        <v>6590</v>
      </c>
      <c r="N606" s="84"/>
      <c r="O606" s="84"/>
      <c r="P606" s="84"/>
      <c r="Q606" s="84"/>
      <c r="R606" s="86" t="str">
        <f t="shared" si="2"/>
        <v>Prepare for Showcase</v>
      </c>
      <c r="S606" s="82" t="b">
        <v>0</v>
      </c>
      <c r="T606" s="88"/>
      <c r="U606" s="84"/>
      <c r="V606" s="84"/>
      <c r="W606" s="84"/>
      <c r="X606" s="84"/>
      <c r="Y606" s="84"/>
      <c r="Z606" s="84"/>
      <c r="AA606" s="84"/>
    </row>
    <row r="607" ht="26.25" hidden="1" customHeight="1">
      <c r="A607" s="85"/>
      <c r="B607" s="106"/>
      <c r="C607" s="103"/>
      <c r="D607" s="93"/>
      <c r="E607" s="93"/>
      <c r="F607" s="103"/>
      <c r="G607" s="113"/>
      <c r="H607" s="113"/>
      <c r="I607" s="100"/>
      <c r="J607" s="113"/>
      <c r="K607" s="82" t="b">
        <v>0</v>
      </c>
      <c r="L607" s="94"/>
      <c r="M607" s="84">
        <f t="shared" si="1"/>
        <v>6590</v>
      </c>
      <c r="N607" s="84"/>
      <c r="O607" s="84"/>
      <c r="P607" s="84"/>
      <c r="Q607" s="84"/>
      <c r="R607" s="86" t="str">
        <f t="shared" si="2"/>
        <v>Prepare for Showcase</v>
      </c>
      <c r="S607" s="82" t="b">
        <v>0</v>
      </c>
      <c r="T607" s="88"/>
      <c r="U607" s="84"/>
      <c r="V607" s="84"/>
      <c r="W607" s="84"/>
      <c r="X607" s="84"/>
      <c r="Y607" s="84"/>
      <c r="Z607" s="84"/>
      <c r="AA607" s="84"/>
    </row>
    <row r="608" ht="26.25" hidden="1" customHeight="1">
      <c r="A608" s="85"/>
      <c r="B608" s="106"/>
      <c r="C608" s="103"/>
      <c r="D608" s="93"/>
      <c r="E608" s="93"/>
      <c r="F608" s="103"/>
      <c r="G608" s="113"/>
      <c r="H608" s="113"/>
      <c r="I608" s="100"/>
      <c r="J608" s="113"/>
      <c r="K608" s="82" t="b">
        <v>0</v>
      </c>
      <c r="L608" s="94"/>
      <c r="M608" s="84">
        <f t="shared" si="1"/>
        <v>6590</v>
      </c>
      <c r="N608" s="84"/>
      <c r="O608" s="84"/>
      <c r="P608" s="84"/>
      <c r="Q608" s="84"/>
      <c r="R608" s="86" t="str">
        <f t="shared" si="2"/>
        <v>Prepare for Showcase</v>
      </c>
      <c r="S608" s="82" t="b">
        <v>0</v>
      </c>
      <c r="T608" s="88"/>
      <c r="U608" s="84"/>
      <c r="V608" s="84"/>
      <c r="W608" s="84"/>
      <c r="X608" s="84"/>
      <c r="Y608" s="84"/>
      <c r="Z608" s="84"/>
      <c r="AA608" s="84"/>
    </row>
    <row r="609" ht="26.25" hidden="1" customHeight="1">
      <c r="A609" s="85"/>
      <c r="B609" s="106"/>
      <c r="C609" s="103"/>
      <c r="D609" s="93"/>
      <c r="E609" s="93"/>
      <c r="F609" s="103"/>
      <c r="G609" s="113"/>
      <c r="H609" s="113"/>
      <c r="I609" s="100"/>
      <c r="J609" s="113"/>
      <c r="K609" s="82" t="b">
        <v>0</v>
      </c>
      <c r="L609" s="94"/>
      <c r="M609" s="84">
        <f t="shared" si="1"/>
        <v>6590</v>
      </c>
      <c r="N609" s="84"/>
      <c r="O609" s="84"/>
      <c r="P609" s="84"/>
      <c r="Q609" s="84"/>
      <c r="R609" s="86" t="str">
        <f t="shared" si="2"/>
        <v>Prepare for Showcase</v>
      </c>
      <c r="S609" s="82" t="b">
        <v>0</v>
      </c>
      <c r="T609" s="88"/>
      <c r="U609" s="84"/>
      <c r="V609" s="84"/>
      <c r="W609" s="84"/>
      <c r="X609" s="84"/>
      <c r="Y609" s="84"/>
      <c r="Z609" s="84"/>
      <c r="AA609" s="84"/>
    </row>
    <row r="610" ht="26.25" hidden="1" customHeight="1">
      <c r="A610" s="85"/>
      <c r="B610" s="106"/>
      <c r="C610" s="103"/>
      <c r="D610" s="93"/>
      <c r="E610" s="93"/>
      <c r="F610" s="103"/>
      <c r="G610" s="113"/>
      <c r="H610" s="113"/>
      <c r="I610" s="100"/>
      <c r="J610" s="113"/>
      <c r="K610" s="82" t="b">
        <v>0</v>
      </c>
      <c r="L610" s="94"/>
      <c r="M610" s="84">
        <f t="shared" si="1"/>
        <v>6590</v>
      </c>
      <c r="N610" s="84"/>
      <c r="O610" s="84"/>
      <c r="P610" s="84"/>
      <c r="Q610" s="84"/>
      <c r="R610" s="86" t="str">
        <f t="shared" si="2"/>
        <v>Prepare for Showcase</v>
      </c>
      <c r="S610" s="82" t="b">
        <v>0</v>
      </c>
      <c r="T610" s="88"/>
      <c r="U610" s="84"/>
      <c r="V610" s="84"/>
      <c r="W610" s="84"/>
      <c r="X610" s="84"/>
      <c r="Y610" s="84"/>
      <c r="Z610" s="84"/>
      <c r="AA610" s="84"/>
    </row>
    <row r="611" ht="26.25" hidden="1" customHeight="1">
      <c r="A611" s="85"/>
      <c r="B611" s="106"/>
      <c r="C611" s="103"/>
      <c r="D611" s="93"/>
      <c r="E611" s="93"/>
      <c r="F611" s="103"/>
      <c r="G611" s="113"/>
      <c r="H611" s="113"/>
      <c r="I611" s="100"/>
      <c r="J611" s="113"/>
      <c r="K611" s="82" t="b">
        <v>0</v>
      </c>
      <c r="L611" s="94"/>
      <c r="M611" s="84">
        <f t="shared" si="1"/>
        <v>6590</v>
      </c>
      <c r="N611" s="84"/>
      <c r="O611" s="84"/>
      <c r="P611" s="84"/>
      <c r="Q611" s="84"/>
      <c r="R611" s="86" t="str">
        <f t="shared" si="2"/>
        <v>Prepare for Showcase</v>
      </c>
      <c r="S611" s="82" t="b">
        <v>0</v>
      </c>
      <c r="T611" s="88"/>
      <c r="U611" s="84"/>
      <c r="V611" s="84"/>
      <c r="W611" s="84"/>
      <c r="X611" s="84"/>
      <c r="Y611" s="84"/>
      <c r="Z611" s="84"/>
      <c r="AA611" s="84"/>
    </row>
    <row r="612" ht="26.25" hidden="1" customHeight="1">
      <c r="A612" s="85"/>
      <c r="B612" s="106"/>
      <c r="C612" s="103"/>
      <c r="D612" s="93"/>
      <c r="E612" s="93"/>
      <c r="F612" s="103"/>
      <c r="G612" s="113"/>
      <c r="H612" s="113"/>
      <c r="I612" s="100"/>
      <c r="J612" s="113"/>
      <c r="K612" s="82" t="b">
        <v>0</v>
      </c>
      <c r="L612" s="94"/>
      <c r="M612" s="84">
        <f t="shared" si="1"/>
        <v>6590</v>
      </c>
      <c r="N612" s="84"/>
      <c r="O612" s="84"/>
      <c r="P612" s="84"/>
      <c r="Q612" s="84"/>
      <c r="R612" s="86" t="str">
        <f t="shared" si="2"/>
        <v>Prepare for Showcase</v>
      </c>
      <c r="S612" s="82" t="b">
        <v>0</v>
      </c>
      <c r="T612" s="88"/>
      <c r="U612" s="84"/>
      <c r="V612" s="84"/>
      <c r="W612" s="84"/>
      <c r="X612" s="84"/>
      <c r="Y612" s="84"/>
      <c r="Z612" s="84"/>
      <c r="AA612" s="84"/>
    </row>
    <row r="613" ht="26.25" hidden="1" customHeight="1">
      <c r="A613" s="85"/>
      <c r="B613" s="106"/>
      <c r="C613" s="103"/>
      <c r="D613" s="93"/>
      <c r="E613" s="93"/>
      <c r="F613" s="103"/>
      <c r="G613" s="113"/>
      <c r="H613" s="113"/>
      <c r="I613" s="100"/>
      <c r="J613" s="113"/>
      <c r="K613" s="82" t="b">
        <v>0</v>
      </c>
      <c r="L613" s="94"/>
      <c r="M613" s="84">
        <f t="shared" si="1"/>
        <v>6590</v>
      </c>
      <c r="N613" s="84"/>
      <c r="O613" s="84"/>
      <c r="P613" s="84"/>
      <c r="Q613" s="84"/>
      <c r="R613" s="86" t="str">
        <f t="shared" si="2"/>
        <v>Prepare for Showcase</v>
      </c>
      <c r="S613" s="82" t="b">
        <v>0</v>
      </c>
      <c r="T613" s="88"/>
      <c r="U613" s="84"/>
      <c r="V613" s="84"/>
      <c r="W613" s="84"/>
      <c r="X613" s="84"/>
      <c r="Y613" s="84"/>
      <c r="Z613" s="84"/>
      <c r="AA613" s="84"/>
    </row>
    <row r="614" ht="26.25" hidden="1" customHeight="1">
      <c r="A614" s="85"/>
      <c r="B614" s="106"/>
      <c r="C614" s="103"/>
      <c r="D614" s="93"/>
      <c r="E614" s="93"/>
      <c r="F614" s="103"/>
      <c r="G614" s="113"/>
      <c r="H614" s="113"/>
      <c r="I614" s="100"/>
      <c r="J614" s="113"/>
      <c r="K614" s="82" t="b">
        <v>0</v>
      </c>
      <c r="L614" s="94"/>
      <c r="M614" s="84">
        <f t="shared" si="1"/>
        <v>6590</v>
      </c>
      <c r="N614" s="84"/>
      <c r="O614" s="84"/>
      <c r="P614" s="84"/>
      <c r="Q614" s="84"/>
      <c r="R614" s="86" t="str">
        <f t="shared" si="2"/>
        <v>Prepare for Showcase</v>
      </c>
      <c r="S614" s="82" t="b">
        <v>0</v>
      </c>
      <c r="T614" s="88"/>
      <c r="U614" s="84"/>
      <c r="V614" s="84"/>
      <c r="W614" s="84"/>
      <c r="X614" s="84"/>
      <c r="Y614" s="84"/>
      <c r="Z614" s="84"/>
      <c r="AA614" s="84"/>
    </row>
    <row r="615" ht="26.25" hidden="1" customHeight="1">
      <c r="A615" s="85"/>
      <c r="B615" s="106"/>
      <c r="C615" s="103"/>
      <c r="D615" s="93"/>
      <c r="E615" s="93"/>
      <c r="F615" s="103"/>
      <c r="G615" s="113"/>
      <c r="H615" s="113"/>
      <c r="I615" s="100"/>
      <c r="J615" s="113"/>
      <c r="K615" s="82" t="b">
        <v>0</v>
      </c>
      <c r="L615" s="94"/>
      <c r="M615" s="84">
        <f t="shared" si="1"/>
        <v>6590</v>
      </c>
      <c r="N615" s="84"/>
      <c r="O615" s="84"/>
      <c r="P615" s="84"/>
      <c r="Q615" s="84"/>
      <c r="R615" s="86" t="str">
        <f t="shared" si="2"/>
        <v>Prepare for Showcase</v>
      </c>
      <c r="S615" s="82" t="b">
        <v>0</v>
      </c>
      <c r="T615" s="88"/>
      <c r="U615" s="84"/>
      <c r="V615" s="84"/>
      <c r="W615" s="84"/>
      <c r="X615" s="84"/>
      <c r="Y615" s="84"/>
      <c r="Z615" s="84"/>
      <c r="AA615" s="84"/>
    </row>
    <row r="616" ht="26.25" hidden="1" customHeight="1">
      <c r="A616" s="85"/>
      <c r="B616" s="106"/>
      <c r="C616" s="103"/>
      <c r="D616" s="93"/>
      <c r="E616" s="93"/>
      <c r="F616" s="103"/>
      <c r="G616" s="113"/>
      <c r="H616" s="113"/>
      <c r="I616" s="100"/>
      <c r="J616" s="113"/>
      <c r="K616" s="82" t="b">
        <v>0</v>
      </c>
      <c r="L616" s="94"/>
      <c r="M616" s="84">
        <f t="shared" si="1"/>
        <v>6590</v>
      </c>
      <c r="N616" s="84"/>
      <c r="O616" s="84"/>
      <c r="P616" s="84"/>
      <c r="Q616" s="84"/>
      <c r="R616" s="86" t="str">
        <f t="shared" si="2"/>
        <v>Prepare for Showcase</v>
      </c>
      <c r="S616" s="82" t="b">
        <v>0</v>
      </c>
      <c r="T616" s="88"/>
      <c r="U616" s="84"/>
      <c r="V616" s="84"/>
      <c r="W616" s="84"/>
      <c r="X616" s="84"/>
      <c r="Y616" s="84"/>
      <c r="Z616" s="84"/>
      <c r="AA616" s="84"/>
    </row>
    <row r="617" ht="26.25" hidden="1" customHeight="1">
      <c r="A617" s="85"/>
      <c r="B617" s="106"/>
      <c r="C617" s="103"/>
      <c r="D617" s="93"/>
      <c r="E617" s="93"/>
      <c r="F617" s="103"/>
      <c r="G617" s="113"/>
      <c r="H617" s="113"/>
      <c r="I617" s="100"/>
      <c r="J617" s="113"/>
      <c r="K617" s="82" t="b">
        <v>0</v>
      </c>
      <c r="L617" s="94"/>
      <c r="M617" s="84">
        <f t="shared" si="1"/>
        <v>6590</v>
      </c>
      <c r="N617" s="84"/>
      <c r="O617" s="84"/>
      <c r="P617" s="84"/>
      <c r="Q617" s="84"/>
      <c r="R617" s="86" t="str">
        <f t="shared" si="2"/>
        <v>Prepare for Showcase</v>
      </c>
      <c r="S617" s="82" t="b">
        <v>0</v>
      </c>
      <c r="T617" s="88"/>
      <c r="U617" s="84"/>
      <c r="V617" s="84"/>
      <c r="W617" s="84"/>
      <c r="X617" s="84"/>
      <c r="Y617" s="84"/>
      <c r="Z617" s="84"/>
      <c r="AA617" s="84"/>
    </row>
    <row r="618" ht="26.25" hidden="1" customHeight="1">
      <c r="A618" s="85"/>
      <c r="B618" s="106"/>
      <c r="C618" s="103"/>
      <c r="D618" s="93"/>
      <c r="E618" s="93"/>
      <c r="F618" s="103"/>
      <c r="G618" s="113"/>
      <c r="H618" s="113"/>
      <c r="I618" s="100"/>
      <c r="J618" s="113"/>
      <c r="K618" s="82" t="b">
        <v>0</v>
      </c>
      <c r="L618" s="94"/>
      <c r="M618" s="84">
        <f t="shared" si="1"/>
        <v>6590</v>
      </c>
      <c r="N618" s="84"/>
      <c r="O618" s="84"/>
      <c r="P618" s="84"/>
      <c r="Q618" s="84"/>
      <c r="R618" s="86" t="str">
        <f t="shared" si="2"/>
        <v>Prepare for Showcase</v>
      </c>
      <c r="S618" s="82" t="b">
        <v>0</v>
      </c>
      <c r="T618" s="88"/>
      <c r="U618" s="84"/>
      <c r="V618" s="84"/>
      <c r="W618" s="84"/>
      <c r="X618" s="84"/>
      <c r="Y618" s="84"/>
      <c r="Z618" s="84"/>
      <c r="AA618" s="84"/>
    </row>
    <row r="619" ht="26.25" hidden="1" customHeight="1">
      <c r="A619" s="85"/>
      <c r="B619" s="106"/>
      <c r="C619" s="103"/>
      <c r="D619" s="93"/>
      <c r="E619" s="93"/>
      <c r="F619" s="103"/>
      <c r="G619" s="113"/>
      <c r="H619" s="113"/>
      <c r="I619" s="100"/>
      <c r="J619" s="113"/>
      <c r="K619" s="82" t="b">
        <v>0</v>
      </c>
      <c r="L619" s="94"/>
      <c r="M619" s="84">
        <f t="shared" si="1"/>
        <v>6590</v>
      </c>
      <c r="N619" s="84"/>
      <c r="O619" s="84"/>
      <c r="P619" s="84"/>
      <c r="Q619" s="84"/>
      <c r="R619" s="86" t="str">
        <f t="shared" si="2"/>
        <v>Prepare for Showcase</v>
      </c>
      <c r="S619" s="82" t="b">
        <v>0</v>
      </c>
      <c r="T619" s="88"/>
      <c r="U619" s="84"/>
      <c r="V619" s="84"/>
      <c r="W619" s="84"/>
      <c r="X619" s="84"/>
      <c r="Y619" s="84"/>
      <c r="Z619" s="84"/>
      <c r="AA619" s="84"/>
    </row>
    <row r="620" ht="26.25" hidden="1" customHeight="1">
      <c r="A620" s="85"/>
      <c r="B620" s="106"/>
      <c r="C620" s="103"/>
      <c r="D620" s="93"/>
      <c r="E620" s="93"/>
      <c r="F620" s="103"/>
      <c r="G620" s="113"/>
      <c r="H620" s="113"/>
      <c r="I620" s="100"/>
      <c r="J620" s="113"/>
      <c r="K620" s="82" t="b">
        <v>0</v>
      </c>
      <c r="L620" s="94"/>
      <c r="M620" s="84">
        <f t="shared" si="1"/>
        <v>6590</v>
      </c>
      <c r="N620" s="84"/>
      <c r="O620" s="84"/>
      <c r="P620" s="84"/>
      <c r="Q620" s="84"/>
      <c r="R620" s="86" t="str">
        <f t="shared" si="2"/>
        <v>Prepare for Showcase</v>
      </c>
      <c r="S620" s="82" t="b">
        <v>0</v>
      </c>
      <c r="T620" s="88"/>
      <c r="U620" s="84"/>
      <c r="V620" s="84"/>
      <c r="W620" s="84"/>
      <c r="X620" s="84"/>
      <c r="Y620" s="84"/>
      <c r="Z620" s="84"/>
      <c r="AA620" s="84"/>
    </row>
    <row r="621" ht="26.25" hidden="1" customHeight="1">
      <c r="A621" s="85"/>
      <c r="B621" s="106"/>
      <c r="C621" s="103"/>
      <c r="D621" s="93"/>
      <c r="E621" s="93"/>
      <c r="F621" s="103"/>
      <c r="G621" s="113"/>
      <c r="H621" s="113"/>
      <c r="I621" s="100"/>
      <c r="J621" s="113"/>
      <c r="K621" s="82" t="b">
        <v>0</v>
      </c>
      <c r="L621" s="94"/>
      <c r="M621" s="84">
        <f t="shared" si="1"/>
        <v>6590</v>
      </c>
      <c r="N621" s="84"/>
      <c r="O621" s="84"/>
      <c r="P621" s="84"/>
      <c r="Q621" s="84"/>
      <c r="R621" s="86" t="str">
        <f t="shared" si="2"/>
        <v>Prepare for Showcase</v>
      </c>
      <c r="S621" s="82" t="b">
        <v>0</v>
      </c>
      <c r="T621" s="88"/>
      <c r="U621" s="84"/>
      <c r="V621" s="84"/>
      <c r="W621" s="84"/>
      <c r="X621" s="84"/>
      <c r="Y621" s="84"/>
      <c r="Z621" s="84"/>
      <c r="AA621" s="84"/>
    </row>
    <row r="622" ht="26.25" hidden="1" customHeight="1">
      <c r="A622" s="85"/>
      <c r="B622" s="106"/>
      <c r="C622" s="103"/>
      <c r="D622" s="93"/>
      <c r="E622" s="93"/>
      <c r="F622" s="103"/>
      <c r="G622" s="113"/>
      <c r="H622" s="113"/>
      <c r="I622" s="100"/>
      <c r="J622" s="113"/>
      <c r="K622" s="82" t="b">
        <v>0</v>
      </c>
      <c r="L622" s="94"/>
      <c r="M622" s="84">
        <f t="shared" si="1"/>
        <v>6590</v>
      </c>
      <c r="N622" s="84"/>
      <c r="O622" s="84"/>
      <c r="P622" s="84"/>
      <c r="Q622" s="84"/>
      <c r="R622" s="86" t="str">
        <f t="shared" si="2"/>
        <v>Prepare for Showcase</v>
      </c>
      <c r="S622" s="82" t="b">
        <v>0</v>
      </c>
      <c r="T622" s="88"/>
      <c r="U622" s="84"/>
      <c r="V622" s="84"/>
      <c r="W622" s="84"/>
      <c r="X622" s="84"/>
      <c r="Y622" s="84"/>
      <c r="Z622" s="84"/>
      <c r="AA622" s="84"/>
    </row>
    <row r="623" ht="26.25" hidden="1" customHeight="1">
      <c r="A623" s="85"/>
      <c r="B623" s="106"/>
      <c r="C623" s="103"/>
      <c r="D623" s="93"/>
      <c r="E623" s="93"/>
      <c r="F623" s="103"/>
      <c r="G623" s="113"/>
      <c r="H623" s="113"/>
      <c r="I623" s="100"/>
      <c r="J623" s="113"/>
      <c r="K623" s="82" t="b">
        <v>0</v>
      </c>
      <c r="L623" s="94"/>
      <c r="M623" s="84">
        <f t="shared" si="1"/>
        <v>6590</v>
      </c>
      <c r="N623" s="84"/>
      <c r="O623" s="84"/>
      <c r="P623" s="84"/>
      <c r="Q623" s="84"/>
      <c r="R623" s="86" t="str">
        <f t="shared" si="2"/>
        <v>Prepare for Showcase</v>
      </c>
      <c r="S623" s="82" t="b">
        <v>0</v>
      </c>
      <c r="T623" s="88"/>
      <c r="U623" s="84"/>
      <c r="V623" s="84"/>
      <c r="W623" s="84"/>
      <c r="X623" s="84"/>
      <c r="Y623" s="84"/>
      <c r="Z623" s="84"/>
      <c r="AA623" s="84"/>
    </row>
    <row r="624" ht="26.25" hidden="1" customHeight="1">
      <c r="A624" s="85"/>
      <c r="B624" s="106"/>
      <c r="C624" s="103"/>
      <c r="D624" s="93"/>
      <c r="E624" s="93"/>
      <c r="F624" s="103"/>
      <c r="G624" s="113"/>
      <c r="H624" s="113"/>
      <c r="I624" s="100"/>
      <c r="J624" s="113"/>
      <c r="K624" s="82" t="b">
        <v>0</v>
      </c>
      <c r="L624" s="94"/>
      <c r="M624" s="84">
        <f t="shared" si="1"/>
        <v>6590</v>
      </c>
      <c r="N624" s="84"/>
      <c r="O624" s="84"/>
      <c r="P624" s="84"/>
      <c r="Q624" s="84"/>
      <c r="R624" s="86" t="str">
        <f t="shared" si="2"/>
        <v>Prepare for Showcase</v>
      </c>
      <c r="S624" s="82" t="b">
        <v>0</v>
      </c>
      <c r="T624" s="88"/>
      <c r="U624" s="84"/>
      <c r="V624" s="84"/>
      <c r="W624" s="84"/>
      <c r="X624" s="84"/>
      <c r="Y624" s="84"/>
      <c r="Z624" s="84"/>
      <c r="AA624" s="84"/>
    </row>
    <row r="625" ht="26.25" hidden="1" customHeight="1">
      <c r="A625" s="85"/>
      <c r="B625" s="106"/>
      <c r="C625" s="103"/>
      <c r="D625" s="93"/>
      <c r="E625" s="93"/>
      <c r="F625" s="103"/>
      <c r="G625" s="113"/>
      <c r="H625" s="113"/>
      <c r="I625" s="100"/>
      <c r="J625" s="113"/>
      <c r="K625" s="82" t="b">
        <v>0</v>
      </c>
      <c r="L625" s="94"/>
      <c r="M625" s="84">
        <f t="shared" si="1"/>
        <v>6590</v>
      </c>
      <c r="N625" s="84"/>
      <c r="O625" s="84"/>
      <c r="P625" s="84"/>
      <c r="Q625" s="84"/>
      <c r="R625" s="86" t="str">
        <f t="shared" si="2"/>
        <v>Prepare for Showcase</v>
      </c>
      <c r="S625" s="82" t="b">
        <v>0</v>
      </c>
      <c r="T625" s="88"/>
      <c r="U625" s="84"/>
      <c r="V625" s="84"/>
      <c r="W625" s="84"/>
      <c r="X625" s="84"/>
      <c r="Y625" s="84"/>
      <c r="Z625" s="84"/>
      <c r="AA625" s="84"/>
    </row>
    <row r="626" ht="26.25" hidden="1" customHeight="1">
      <c r="A626" s="85"/>
      <c r="B626" s="106"/>
      <c r="C626" s="103"/>
      <c r="D626" s="93"/>
      <c r="E626" s="93"/>
      <c r="F626" s="103"/>
      <c r="G626" s="113"/>
      <c r="H626" s="113"/>
      <c r="I626" s="100"/>
      <c r="J626" s="113"/>
      <c r="K626" s="82" t="b">
        <v>0</v>
      </c>
      <c r="L626" s="94"/>
      <c r="M626" s="84">
        <f t="shared" si="1"/>
        <v>6590</v>
      </c>
      <c r="N626" s="84"/>
      <c r="O626" s="84"/>
      <c r="P626" s="84"/>
      <c r="Q626" s="84"/>
      <c r="R626" s="86" t="str">
        <f t="shared" si="2"/>
        <v>Prepare for Showcase</v>
      </c>
      <c r="S626" s="82" t="b">
        <v>0</v>
      </c>
      <c r="T626" s="88"/>
      <c r="U626" s="84"/>
      <c r="V626" s="84"/>
      <c r="W626" s="84"/>
      <c r="X626" s="84"/>
      <c r="Y626" s="84"/>
      <c r="Z626" s="84"/>
      <c r="AA626" s="84"/>
    </row>
    <row r="627" ht="26.25" hidden="1" customHeight="1">
      <c r="A627" s="85"/>
      <c r="B627" s="106"/>
      <c r="C627" s="103"/>
      <c r="D627" s="93"/>
      <c r="E627" s="93"/>
      <c r="F627" s="103"/>
      <c r="G627" s="113"/>
      <c r="H627" s="113"/>
      <c r="I627" s="100"/>
      <c r="J627" s="113"/>
      <c r="K627" s="82" t="b">
        <v>0</v>
      </c>
      <c r="L627" s="94"/>
      <c r="M627" s="84">
        <f t="shared" si="1"/>
        <v>6590</v>
      </c>
      <c r="N627" s="84"/>
      <c r="O627" s="84"/>
      <c r="P627" s="84"/>
      <c r="Q627" s="84"/>
      <c r="R627" s="86" t="str">
        <f t="shared" si="2"/>
        <v>Prepare for Showcase</v>
      </c>
      <c r="S627" s="82" t="b">
        <v>0</v>
      </c>
      <c r="T627" s="88"/>
      <c r="U627" s="84"/>
      <c r="V627" s="84"/>
      <c r="W627" s="84"/>
      <c r="X627" s="84"/>
      <c r="Y627" s="84"/>
      <c r="Z627" s="84"/>
      <c r="AA627" s="84"/>
    </row>
    <row r="628" ht="26.25" hidden="1" customHeight="1">
      <c r="A628" s="85"/>
      <c r="B628" s="106"/>
      <c r="C628" s="103"/>
      <c r="D628" s="93"/>
      <c r="E628" s="93"/>
      <c r="F628" s="103"/>
      <c r="G628" s="113"/>
      <c r="H628" s="113"/>
      <c r="I628" s="100"/>
      <c r="J628" s="113"/>
      <c r="K628" s="82" t="b">
        <v>0</v>
      </c>
      <c r="L628" s="94"/>
      <c r="M628" s="84">
        <f t="shared" si="1"/>
        <v>6590</v>
      </c>
      <c r="N628" s="84"/>
      <c r="O628" s="84"/>
      <c r="P628" s="84"/>
      <c r="Q628" s="84"/>
      <c r="R628" s="86" t="str">
        <f t="shared" si="2"/>
        <v>Prepare for Showcase</v>
      </c>
      <c r="S628" s="82" t="b">
        <v>0</v>
      </c>
      <c r="T628" s="88"/>
      <c r="U628" s="84"/>
      <c r="V628" s="84"/>
      <c r="W628" s="84"/>
      <c r="X628" s="84"/>
      <c r="Y628" s="84"/>
      <c r="Z628" s="84"/>
      <c r="AA628" s="84"/>
    </row>
    <row r="629" ht="26.25" hidden="1" customHeight="1">
      <c r="A629" s="85"/>
      <c r="B629" s="106"/>
      <c r="C629" s="103"/>
      <c r="D629" s="93"/>
      <c r="E629" s="93"/>
      <c r="F629" s="103"/>
      <c r="G629" s="113"/>
      <c r="H629" s="113"/>
      <c r="I629" s="100"/>
      <c r="J629" s="113"/>
      <c r="K629" s="82" t="b">
        <v>0</v>
      </c>
      <c r="L629" s="94"/>
      <c r="M629" s="84">
        <f t="shared" si="1"/>
        <v>6590</v>
      </c>
      <c r="N629" s="84"/>
      <c r="O629" s="84"/>
      <c r="P629" s="84"/>
      <c r="Q629" s="84"/>
      <c r="R629" s="86" t="str">
        <f t="shared" si="2"/>
        <v>Prepare for Showcase</v>
      </c>
      <c r="S629" s="82" t="b">
        <v>0</v>
      </c>
      <c r="T629" s="88"/>
      <c r="U629" s="84"/>
      <c r="V629" s="84"/>
      <c r="W629" s="84"/>
      <c r="X629" s="84"/>
      <c r="Y629" s="84"/>
      <c r="Z629" s="84"/>
      <c r="AA629" s="84"/>
    </row>
    <row r="630" ht="26.25" hidden="1" customHeight="1">
      <c r="A630" s="85"/>
      <c r="B630" s="106"/>
      <c r="C630" s="103"/>
      <c r="D630" s="93"/>
      <c r="E630" s="93"/>
      <c r="F630" s="103"/>
      <c r="G630" s="113"/>
      <c r="H630" s="113"/>
      <c r="I630" s="100"/>
      <c r="J630" s="113"/>
      <c r="K630" s="82" t="b">
        <v>0</v>
      </c>
      <c r="L630" s="94"/>
      <c r="M630" s="84">
        <f t="shared" si="1"/>
        <v>6590</v>
      </c>
      <c r="N630" s="84"/>
      <c r="O630" s="84"/>
      <c r="P630" s="84"/>
      <c r="Q630" s="84"/>
      <c r="R630" s="86" t="str">
        <f t="shared" si="2"/>
        <v>Prepare for Showcase</v>
      </c>
      <c r="S630" s="82" t="b">
        <v>0</v>
      </c>
      <c r="T630" s="88"/>
      <c r="U630" s="84"/>
      <c r="V630" s="84"/>
      <c r="W630" s="84"/>
      <c r="X630" s="84"/>
      <c r="Y630" s="84"/>
      <c r="Z630" s="84"/>
      <c r="AA630" s="84"/>
    </row>
    <row r="631" ht="26.25" hidden="1" customHeight="1">
      <c r="A631" s="85"/>
      <c r="B631" s="106"/>
      <c r="C631" s="103"/>
      <c r="D631" s="93"/>
      <c r="E631" s="93"/>
      <c r="F631" s="103"/>
      <c r="G631" s="113"/>
      <c r="H631" s="113"/>
      <c r="I631" s="100"/>
      <c r="J631" s="113"/>
      <c r="K631" s="82" t="b">
        <v>0</v>
      </c>
      <c r="L631" s="94"/>
      <c r="M631" s="84">
        <f t="shared" si="1"/>
        <v>6590</v>
      </c>
      <c r="N631" s="84"/>
      <c r="O631" s="84"/>
      <c r="P631" s="84"/>
      <c r="Q631" s="84"/>
      <c r="R631" s="86" t="str">
        <f t="shared" si="2"/>
        <v>Prepare for Showcase</v>
      </c>
      <c r="S631" s="82" t="b">
        <v>0</v>
      </c>
      <c r="T631" s="88"/>
      <c r="U631" s="84"/>
      <c r="V631" s="84"/>
      <c r="W631" s="84"/>
      <c r="X631" s="84"/>
      <c r="Y631" s="84"/>
      <c r="Z631" s="84"/>
      <c r="AA631" s="84"/>
    </row>
    <row r="632" ht="26.25" hidden="1" customHeight="1">
      <c r="A632" s="85"/>
      <c r="B632" s="106"/>
      <c r="C632" s="103"/>
      <c r="D632" s="93"/>
      <c r="E632" s="93"/>
      <c r="F632" s="103"/>
      <c r="G632" s="113"/>
      <c r="H632" s="113"/>
      <c r="I632" s="100"/>
      <c r="J632" s="113"/>
      <c r="K632" s="82" t="b">
        <v>0</v>
      </c>
      <c r="L632" s="94"/>
      <c r="M632" s="84">
        <f t="shared" si="1"/>
        <v>6590</v>
      </c>
      <c r="N632" s="84"/>
      <c r="O632" s="84"/>
      <c r="P632" s="84"/>
      <c r="Q632" s="84"/>
      <c r="R632" s="86" t="str">
        <f t="shared" si="2"/>
        <v>Prepare for Showcase</v>
      </c>
      <c r="S632" s="82" t="b">
        <v>0</v>
      </c>
      <c r="T632" s="88"/>
      <c r="U632" s="84"/>
      <c r="V632" s="84"/>
      <c r="W632" s="84"/>
      <c r="X632" s="84"/>
      <c r="Y632" s="84"/>
      <c r="Z632" s="84"/>
      <c r="AA632" s="84"/>
    </row>
    <row r="633" ht="26.25" hidden="1" customHeight="1">
      <c r="A633" s="85"/>
      <c r="B633" s="106"/>
      <c r="C633" s="103"/>
      <c r="D633" s="93"/>
      <c r="E633" s="93"/>
      <c r="F633" s="103"/>
      <c r="G633" s="113"/>
      <c r="H633" s="113"/>
      <c r="I633" s="100"/>
      <c r="J633" s="113"/>
      <c r="K633" s="82" t="b">
        <v>0</v>
      </c>
      <c r="L633" s="94"/>
      <c r="M633" s="84">
        <f t="shared" si="1"/>
        <v>6590</v>
      </c>
      <c r="N633" s="84"/>
      <c r="O633" s="84"/>
      <c r="P633" s="84"/>
      <c r="Q633" s="84"/>
      <c r="R633" s="86" t="str">
        <f t="shared" si="2"/>
        <v>Prepare for Showcase</v>
      </c>
      <c r="S633" s="82" t="b">
        <v>0</v>
      </c>
      <c r="T633" s="88"/>
      <c r="U633" s="84"/>
      <c r="V633" s="84"/>
      <c r="W633" s="84"/>
      <c r="X633" s="84"/>
      <c r="Y633" s="84"/>
      <c r="Z633" s="84"/>
      <c r="AA633" s="84"/>
    </row>
    <row r="634" ht="26.25" hidden="1" customHeight="1">
      <c r="A634" s="85"/>
      <c r="B634" s="106"/>
      <c r="C634" s="103"/>
      <c r="D634" s="93"/>
      <c r="E634" s="93"/>
      <c r="F634" s="103"/>
      <c r="G634" s="113"/>
      <c r="H634" s="113"/>
      <c r="I634" s="100"/>
      <c r="J634" s="113"/>
      <c r="K634" s="82" t="b">
        <v>0</v>
      </c>
      <c r="L634" s="94"/>
      <c r="M634" s="84">
        <f t="shared" si="1"/>
        <v>6590</v>
      </c>
      <c r="N634" s="84"/>
      <c r="O634" s="84"/>
      <c r="P634" s="84"/>
      <c r="Q634" s="84"/>
      <c r="R634" s="86" t="str">
        <f t="shared" si="2"/>
        <v>Prepare for Showcase</v>
      </c>
      <c r="S634" s="82" t="b">
        <v>0</v>
      </c>
      <c r="T634" s="88"/>
      <c r="U634" s="84"/>
      <c r="V634" s="84"/>
      <c r="W634" s="84"/>
      <c r="X634" s="84"/>
      <c r="Y634" s="84"/>
      <c r="Z634" s="84"/>
      <c r="AA634" s="84"/>
    </row>
    <row r="635" ht="26.25" hidden="1" customHeight="1">
      <c r="A635" s="85"/>
      <c r="B635" s="106"/>
      <c r="C635" s="103"/>
      <c r="D635" s="93"/>
      <c r="E635" s="93"/>
      <c r="F635" s="103"/>
      <c r="G635" s="113"/>
      <c r="H635" s="113"/>
      <c r="I635" s="100"/>
      <c r="J635" s="113"/>
      <c r="K635" s="82" t="b">
        <v>0</v>
      </c>
      <c r="L635" s="94"/>
      <c r="M635" s="84">
        <f t="shared" si="1"/>
        <v>6590</v>
      </c>
      <c r="N635" s="84"/>
      <c r="O635" s="84"/>
      <c r="P635" s="84"/>
      <c r="Q635" s="84"/>
      <c r="R635" s="86" t="str">
        <f t="shared" si="2"/>
        <v>Prepare for Showcase</v>
      </c>
      <c r="S635" s="82" t="b">
        <v>0</v>
      </c>
      <c r="T635" s="88"/>
      <c r="U635" s="84"/>
      <c r="V635" s="84"/>
      <c r="W635" s="84"/>
      <c r="X635" s="84"/>
      <c r="Y635" s="84"/>
      <c r="Z635" s="84"/>
      <c r="AA635" s="84"/>
    </row>
    <row r="636" ht="26.25" hidden="1" customHeight="1">
      <c r="A636" s="85"/>
      <c r="B636" s="106"/>
      <c r="C636" s="103"/>
      <c r="D636" s="93"/>
      <c r="E636" s="93"/>
      <c r="F636" s="103"/>
      <c r="G636" s="113"/>
      <c r="H636" s="113"/>
      <c r="I636" s="100"/>
      <c r="J636" s="113"/>
      <c r="K636" s="82" t="b">
        <v>0</v>
      </c>
      <c r="L636" s="94"/>
      <c r="M636" s="84">
        <f t="shared" si="1"/>
        <v>6590</v>
      </c>
      <c r="N636" s="84"/>
      <c r="O636" s="84"/>
      <c r="P636" s="84"/>
      <c r="Q636" s="84"/>
      <c r="R636" s="86" t="str">
        <f t="shared" si="2"/>
        <v>Prepare for Showcase</v>
      </c>
      <c r="S636" s="82" t="b">
        <v>0</v>
      </c>
      <c r="T636" s="88"/>
      <c r="U636" s="84"/>
      <c r="V636" s="84"/>
      <c r="W636" s="84"/>
      <c r="X636" s="84"/>
      <c r="Y636" s="84"/>
      <c r="Z636" s="84"/>
      <c r="AA636" s="84"/>
    </row>
    <row r="637" ht="26.25" hidden="1" customHeight="1">
      <c r="A637" s="85"/>
      <c r="B637" s="106"/>
      <c r="C637" s="103"/>
      <c r="D637" s="93"/>
      <c r="E637" s="93"/>
      <c r="F637" s="103"/>
      <c r="G637" s="113"/>
      <c r="H637" s="113"/>
      <c r="I637" s="100"/>
      <c r="J637" s="113"/>
      <c r="K637" s="82" t="b">
        <v>0</v>
      </c>
      <c r="L637" s="94"/>
      <c r="M637" s="84">
        <f t="shared" si="1"/>
        <v>6590</v>
      </c>
      <c r="N637" s="84"/>
      <c r="O637" s="84"/>
      <c r="P637" s="84"/>
      <c r="Q637" s="84"/>
      <c r="R637" s="86" t="str">
        <f t="shared" si="2"/>
        <v>Prepare for Showcase</v>
      </c>
      <c r="S637" s="82" t="b">
        <v>0</v>
      </c>
      <c r="T637" s="88"/>
      <c r="U637" s="84"/>
      <c r="V637" s="84"/>
      <c r="W637" s="84"/>
      <c r="X637" s="84"/>
      <c r="Y637" s="84"/>
      <c r="Z637" s="84"/>
      <c r="AA637" s="84"/>
    </row>
    <row r="638" ht="26.25" hidden="1" customHeight="1">
      <c r="A638" s="85"/>
      <c r="B638" s="106"/>
      <c r="C638" s="103"/>
      <c r="D638" s="93"/>
      <c r="E638" s="93"/>
      <c r="F638" s="103"/>
      <c r="G638" s="113"/>
      <c r="H638" s="113"/>
      <c r="I638" s="100"/>
      <c r="J638" s="113"/>
      <c r="K638" s="82" t="b">
        <v>0</v>
      </c>
      <c r="L638" s="94"/>
      <c r="M638" s="84">
        <f t="shared" si="1"/>
        <v>6590</v>
      </c>
      <c r="N638" s="84"/>
      <c r="O638" s="84"/>
      <c r="P638" s="84"/>
      <c r="Q638" s="84"/>
      <c r="R638" s="86" t="str">
        <f t="shared" si="2"/>
        <v>Prepare for Showcase</v>
      </c>
      <c r="S638" s="82" t="b">
        <v>0</v>
      </c>
      <c r="T638" s="88"/>
      <c r="U638" s="84"/>
      <c r="V638" s="84"/>
      <c r="W638" s="84"/>
      <c r="X638" s="84"/>
      <c r="Y638" s="84"/>
      <c r="Z638" s="84"/>
      <c r="AA638" s="84"/>
    </row>
    <row r="639" ht="26.25" hidden="1" customHeight="1">
      <c r="A639" s="85"/>
      <c r="B639" s="106"/>
      <c r="C639" s="103"/>
      <c r="D639" s="93"/>
      <c r="E639" s="93"/>
      <c r="F639" s="103"/>
      <c r="G639" s="113"/>
      <c r="H639" s="113"/>
      <c r="I639" s="100"/>
      <c r="J639" s="113"/>
      <c r="K639" s="82" t="b">
        <v>0</v>
      </c>
      <c r="L639" s="94"/>
      <c r="M639" s="84">
        <f t="shared" si="1"/>
        <v>6590</v>
      </c>
      <c r="N639" s="84"/>
      <c r="O639" s="84"/>
      <c r="P639" s="84"/>
      <c r="Q639" s="84"/>
      <c r="R639" s="86" t="str">
        <f t="shared" si="2"/>
        <v>Prepare for Showcase</v>
      </c>
      <c r="S639" s="82" t="b">
        <v>0</v>
      </c>
      <c r="T639" s="88"/>
      <c r="U639" s="84"/>
      <c r="V639" s="84"/>
      <c r="W639" s="84"/>
      <c r="X639" s="84"/>
      <c r="Y639" s="84"/>
      <c r="Z639" s="84"/>
      <c r="AA639" s="84"/>
    </row>
    <row r="640" ht="26.25" hidden="1" customHeight="1">
      <c r="A640" s="85"/>
      <c r="B640" s="106"/>
      <c r="C640" s="103"/>
      <c r="D640" s="93"/>
      <c r="E640" s="93"/>
      <c r="F640" s="103"/>
      <c r="G640" s="113"/>
      <c r="H640" s="113"/>
      <c r="I640" s="100"/>
      <c r="J640" s="113"/>
      <c r="K640" s="82" t="b">
        <v>0</v>
      </c>
      <c r="L640" s="94"/>
      <c r="M640" s="84">
        <f t="shared" si="1"/>
        <v>6590</v>
      </c>
      <c r="N640" s="84"/>
      <c r="O640" s="84"/>
      <c r="P640" s="84"/>
      <c r="Q640" s="84"/>
      <c r="R640" s="86" t="str">
        <f t="shared" si="2"/>
        <v>Prepare for Showcase</v>
      </c>
      <c r="S640" s="82" t="b">
        <v>0</v>
      </c>
      <c r="T640" s="88"/>
      <c r="U640" s="84"/>
      <c r="V640" s="84"/>
      <c r="W640" s="84"/>
      <c r="X640" s="84"/>
      <c r="Y640" s="84"/>
      <c r="Z640" s="84"/>
      <c r="AA640" s="84"/>
    </row>
    <row r="641" ht="26.25" hidden="1" customHeight="1">
      <c r="A641" s="85"/>
      <c r="B641" s="106"/>
      <c r="C641" s="103"/>
      <c r="D641" s="93"/>
      <c r="E641" s="93"/>
      <c r="F641" s="103"/>
      <c r="G641" s="113"/>
      <c r="H641" s="113"/>
      <c r="I641" s="100"/>
      <c r="J641" s="113"/>
      <c r="K641" s="82" t="b">
        <v>0</v>
      </c>
      <c r="L641" s="94"/>
      <c r="M641" s="84">
        <f t="shared" si="1"/>
        <v>6590</v>
      </c>
      <c r="N641" s="84"/>
      <c r="O641" s="84"/>
      <c r="P641" s="84"/>
      <c r="Q641" s="84"/>
      <c r="R641" s="86" t="str">
        <f t="shared" si="2"/>
        <v>Prepare for Showcase</v>
      </c>
      <c r="S641" s="82" t="b">
        <v>0</v>
      </c>
      <c r="T641" s="88"/>
      <c r="U641" s="84"/>
      <c r="V641" s="84"/>
      <c r="W641" s="84"/>
      <c r="X641" s="84"/>
      <c r="Y641" s="84"/>
      <c r="Z641" s="84"/>
      <c r="AA641" s="84"/>
    </row>
    <row r="642" ht="26.25" hidden="1" customHeight="1">
      <c r="A642" s="85"/>
      <c r="B642" s="106"/>
      <c r="C642" s="103"/>
      <c r="D642" s="93"/>
      <c r="E642" s="93"/>
      <c r="F642" s="103"/>
      <c r="G642" s="113"/>
      <c r="H642" s="113"/>
      <c r="I642" s="100"/>
      <c r="J642" s="113"/>
      <c r="K642" s="82" t="b">
        <v>0</v>
      </c>
      <c r="L642" s="94"/>
      <c r="M642" s="84">
        <f t="shared" si="1"/>
        <v>6590</v>
      </c>
      <c r="N642" s="84"/>
      <c r="O642" s="84"/>
      <c r="P642" s="84"/>
      <c r="Q642" s="84"/>
      <c r="R642" s="86" t="str">
        <f t="shared" si="2"/>
        <v>Prepare for Showcase</v>
      </c>
      <c r="S642" s="82" t="b">
        <v>0</v>
      </c>
      <c r="T642" s="88"/>
      <c r="U642" s="84"/>
      <c r="V642" s="84"/>
      <c r="W642" s="84"/>
      <c r="X642" s="84"/>
      <c r="Y642" s="84"/>
      <c r="Z642" s="84"/>
      <c r="AA642" s="84"/>
    </row>
    <row r="643" ht="26.25" hidden="1" customHeight="1">
      <c r="A643" s="85"/>
      <c r="B643" s="106"/>
      <c r="C643" s="103"/>
      <c r="D643" s="93"/>
      <c r="E643" s="93"/>
      <c r="F643" s="103"/>
      <c r="G643" s="113"/>
      <c r="H643" s="113"/>
      <c r="I643" s="100"/>
      <c r="J643" s="113"/>
      <c r="K643" s="82" t="b">
        <v>0</v>
      </c>
      <c r="L643" s="94"/>
      <c r="M643" s="84">
        <f t="shared" si="1"/>
        <v>6590</v>
      </c>
      <c r="N643" s="84"/>
      <c r="O643" s="84"/>
      <c r="P643" s="84"/>
      <c r="Q643" s="84"/>
      <c r="R643" s="86" t="str">
        <f t="shared" si="2"/>
        <v>Prepare for Showcase</v>
      </c>
      <c r="S643" s="82" t="b">
        <v>0</v>
      </c>
      <c r="T643" s="88"/>
      <c r="U643" s="84"/>
      <c r="V643" s="84"/>
      <c r="W643" s="84"/>
      <c r="X643" s="84"/>
      <c r="Y643" s="84"/>
      <c r="Z643" s="84"/>
      <c r="AA643" s="84"/>
    </row>
    <row r="644" ht="26.25" hidden="1" customHeight="1">
      <c r="A644" s="85"/>
      <c r="B644" s="106"/>
      <c r="C644" s="103"/>
      <c r="D644" s="93"/>
      <c r="E644" s="93"/>
      <c r="F644" s="103"/>
      <c r="G644" s="113"/>
      <c r="H644" s="113"/>
      <c r="I644" s="100"/>
      <c r="J644" s="113"/>
      <c r="K644" s="82" t="b">
        <v>0</v>
      </c>
      <c r="L644" s="94"/>
      <c r="M644" s="84">
        <f t="shared" si="1"/>
        <v>6590</v>
      </c>
      <c r="N644" s="84"/>
      <c r="O644" s="84"/>
      <c r="P644" s="84"/>
      <c r="Q644" s="84"/>
      <c r="R644" s="86" t="str">
        <f t="shared" si="2"/>
        <v>Prepare for Showcase</v>
      </c>
      <c r="S644" s="82" t="b">
        <v>0</v>
      </c>
      <c r="T644" s="88"/>
      <c r="U644" s="84"/>
      <c r="V644" s="84"/>
      <c r="W644" s="84"/>
      <c r="X644" s="84"/>
      <c r="Y644" s="84"/>
      <c r="Z644" s="84"/>
      <c r="AA644" s="84"/>
    </row>
    <row r="645" ht="26.25" hidden="1" customHeight="1">
      <c r="A645" s="85"/>
      <c r="B645" s="106"/>
      <c r="C645" s="103"/>
      <c r="D645" s="93"/>
      <c r="E645" s="93"/>
      <c r="F645" s="103"/>
      <c r="G645" s="113"/>
      <c r="H645" s="113"/>
      <c r="I645" s="100"/>
      <c r="J645" s="113"/>
      <c r="K645" s="82" t="b">
        <v>0</v>
      </c>
      <c r="L645" s="94"/>
      <c r="M645" s="84">
        <f t="shared" si="1"/>
        <v>6590</v>
      </c>
      <c r="N645" s="84"/>
      <c r="O645" s="84"/>
      <c r="P645" s="84"/>
      <c r="Q645" s="84"/>
      <c r="R645" s="86" t="str">
        <f t="shared" si="2"/>
        <v>Prepare for Showcase</v>
      </c>
      <c r="S645" s="82" t="b">
        <v>0</v>
      </c>
      <c r="T645" s="88"/>
      <c r="U645" s="84"/>
      <c r="V645" s="84"/>
      <c r="W645" s="84"/>
      <c r="X645" s="84"/>
      <c r="Y645" s="84"/>
      <c r="Z645" s="84"/>
      <c r="AA645" s="84"/>
    </row>
    <row r="646" ht="26.25" hidden="1" customHeight="1">
      <c r="A646" s="85"/>
      <c r="B646" s="106"/>
      <c r="C646" s="103"/>
      <c r="D646" s="93"/>
      <c r="E646" s="93"/>
      <c r="F646" s="103"/>
      <c r="G646" s="113"/>
      <c r="H646" s="113"/>
      <c r="I646" s="100"/>
      <c r="J646" s="113"/>
      <c r="K646" s="82" t="b">
        <v>0</v>
      </c>
      <c r="L646" s="94"/>
      <c r="M646" s="84">
        <f t="shared" si="1"/>
        <v>6590</v>
      </c>
      <c r="N646" s="84"/>
      <c r="O646" s="84"/>
      <c r="P646" s="84"/>
      <c r="Q646" s="84"/>
      <c r="R646" s="86" t="str">
        <f t="shared" si="2"/>
        <v>Prepare for Showcase</v>
      </c>
      <c r="S646" s="82" t="b">
        <v>0</v>
      </c>
      <c r="T646" s="88"/>
      <c r="U646" s="84"/>
      <c r="V646" s="84"/>
      <c r="W646" s="84"/>
      <c r="X646" s="84"/>
      <c r="Y646" s="84"/>
      <c r="Z646" s="84"/>
      <c r="AA646" s="84"/>
    </row>
    <row r="647" ht="26.25" hidden="1" customHeight="1">
      <c r="A647" s="85"/>
      <c r="B647" s="106"/>
      <c r="C647" s="103"/>
      <c r="D647" s="93"/>
      <c r="E647" s="93"/>
      <c r="F647" s="103"/>
      <c r="G647" s="113"/>
      <c r="H647" s="113"/>
      <c r="I647" s="100"/>
      <c r="J647" s="113"/>
      <c r="K647" s="82" t="b">
        <v>0</v>
      </c>
      <c r="L647" s="94"/>
      <c r="M647" s="84">
        <f t="shared" si="1"/>
        <v>6590</v>
      </c>
      <c r="N647" s="84"/>
      <c r="O647" s="84"/>
      <c r="P647" s="84"/>
      <c r="Q647" s="84"/>
      <c r="R647" s="86" t="str">
        <f t="shared" si="2"/>
        <v>Prepare for Showcase</v>
      </c>
      <c r="S647" s="82" t="b">
        <v>0</v>
      </c>
      <c r="T647" s="88"/>
      <c r="U647" s="84"/>
      <c r="V647" s="84"/>
      <c r="W647" s="84"/>
      <c r="X647" s="84"/>
      <c r="Y647" s="84"/>
      <c r="Z647" s="84"/>
      <c r="AA647" s="84"/>
    </row>
    <row r="648" ht="26.25" hidden="1" customHeight="1">
      <c r="A648" s="85"/>
      <c r="B648" s="106"/>
      <c r="C648" s="103"/>
      <c r="D648" s="93"/>
      <c r="E648" s="93"/>
      <c r="F648" s="103"/>
      <c r="G648" s="113"/>
      <c r="H648" s="113"/>
      <c r="I648" s="100"/>
      <c r="J648" s="113"/>
      <c r="K648" s="82" t="b">
        <v>0</v>
      </c>
      <c r="L648" s="94"/>
      <c r="M648" s="84">
        <f t="shared" si="1"/>
        <v>6590</v>
      </c>
      <c r="N648" s="84"/>
      <c r="O648" s="84"/>
      <c r="P648" s="84"/>
      <c r="Q648" s="84"/>
      <c r="R648" s="86" t="str">
        <f t="shared" si="2"/>
        <v>Prepare for Showcase</v>
      </c>
      <c r="S648" s="82" t="b">
        <v>0</v>
      </c>
      <c r="T648" s="88"/>
      <c r="U648" s="84"/>
      <c r="V648" s="84"/>
      <c r="W648" s="84"/>
      <c r="X648" s="84"/>
      <c r="Y648" s="84"/>
      <c r="Z648" s="84"/>
      <c r="AA648" s="84"/>
    </row>
    <row r="649" ht="26.25" hidden="1" customHeight="1">
      <c r="A649" s="85"/>
      <c r="B649" s="106"/>
      <c r="C649" s="103"/>
      <c r="D649" s="93"/>
      <c r="E649" s="93"/>
      <c r="F649" s="103"/>
      <c r="G649" s="113"/>
      <c r="H649" s="113"/>
      <c r="I649" s="100"/>
      <c r="J649" s="113"/>
      <c r="K649" s="82" t="b">
        <v>0</v>
      </c>
      <c r="L649" s="94"/>
      <c r="M649" s="84">
        <f t="shared" si="1"/>
        <v>6590</v>
      </c>
      <c r="N649" s="84"/>
      <c r="O649" s="84"/>
      <c r="P649" s="84"/>
      <c r="Q649" s="84"/>
      <c r="R649" s="86" t="str">
        <f t="shared" si="2"/>
        <v>Prepare for Showcase</v>
      </c>
      <c r="S649" s="82" t="b">
        <v>0</v>
      </c>
      <c r="T649" s="88"/>
      <c r="U649" s="84"/>
      <c r="V649" s="84"/>
      <c r="W649" s="84"/>
      <c r="X649" s="84"/>
      <c r="Y649" s="84"/>
      <c r="Z649" s="84"/>
      <c r="AA649" s="84"/>
    </row>
    <row r="650" ht="26.25" hidden="1" customHeight="1">
      <c r="A650" s="85"/>
      <c r="B650" s="106"/>
      <c r="C650" s="103"/>
      <c r="D650" s="93"/>
      <c r="E650" s="93"/>
      <c r="F650" s="103"/>
      <c r="G650" s="113"/>
      <c r="H650" s="113"/>
      <c r="I650" s="100"/>
      <c r="J650" s="113"/>
      <c r="K650" s="82" t="b">
        <v>0</v>
      </c>
      <c r="L650" s="94"/>
      <c r="M650" s="84">
        <f t="shared" si="1"/>
        <v>6590</v>
      </c>
      <c r="N650" s="84"/>
      <c r="O650" s="84"/>
      <c r="P650" s="84"/>
      <c r="Q650" s="84"/>
      <c r="R650" s="86" t="str">
        <f t="shared" si="2"/>
        <v>Prepare for Showcase</v>
      </c>
      <c r="S650" s="82" t="b">
        <v>0</v>
      </c>
      <c r="T650" s="88"/>
      <c r="U650" s="84"/>
      <c r="V650" s="84"/>
      <c r="W650" s="84"/>
      <c r="X650" s="84"/>
      <c r="Y650" s="84"/>
      <c r="Z650" s="84"/>
      <c r="AA650" s="84"/>
    </row>
    <row r="651" ht="26.25" hidden="1" customHeight="1">
      <c r="A651" s="85"/>
      <c r="B651" s="106"/>
      <c r="C651" s="103"/>
      <c r="D651" s="93"/>
      <c r="E651" s="93"/>
      <c r="F651" s="103"/>
      <c r="G651" s="113"/>
      <c r="H651" s="113"/>
      <c r="I651" s="100"/>
      <c r="J651" s="113"/>
      <c r="K651" s="82" t="b">
        <v>0</v>
      </c>
      <c r="L651" s="94"/>
      <c r="M651" s="84">
        <f t="shared" si="1"/>
        <v>6590</v>
      </c>
      <c r="N651" s="84"/>
      <c r="O651" s="84"/>
      <c r="P651" s="84"/>
      <c r="Q651" s="84"/>
      <c r="R651" s="86" t="str">
        <f t="shared" si="2"/>
        <v>Prepare for Showcase</v>
      </c>
      <c r="S651" s="82" t="b">
        <v>0</v>
      </c>
      <c r="T651" s="88"/>
      <c r="U651" s="84"/>
      <c r="V651" s="84"/>
      <c r="W651" s="84"/>
      <c r="X651" s="84"/>
      <c r="Y651" s="84"/>
      <c r="Z651" s="84"/>
      <c r="AA651" s="84"/>
    </row>
    <row r="652" ht="26.25" hidden="1" customHeight="1">
      <c r="A652" s="85"/>
      <c r="B652" s="106"/>
      <c r="C652" s="103"/>
      <c r="D652" s="93"/>
      <c r="E652" s="93"/>
      <c r="F652" s="103"/>
      <c r="G652" s="113"/>
      <c r="H652" s="113"/>
      <c r="I652" s="100"/>
      <c r="J652" s="113"/>
      <c r="K652" s="82" t="b">
        <v>0</v>
      </c>
      <c r="L652" s="94"/>
      <c r="M652" s="84">
        <f t="shared" si="1"/>
        <v>6590</v>
      </c>
      <c r="N652" s="84"/>
      <c r="O652" s="84"/>
      <c r="P652" s="84"/>
      <c r="Q652" s="84"/>
      <c r="R652" s="86" t="str">
        <f t="shared" si="2"/>
        <v>Prepare for Showcase</v>
      </c>
      <c r="S652" s="82" t="b">
        <v>0</v>
      </c>
      <c r="T652" s="88"/>
      <c r="U652" s="84"/>
      <c r="V652" s="84"/>
      <c r="W652" s="84"/>
      <c r="X652" s="84"/>
      <c r="Y652" s="84"/>
      <c r="Z652" s="84"/>
      <c r="AA652" s="84"/>
    </row>
    <row r="653" ht="26.25" hidden="1" customHeight="1">
      <c r="A653" s="85"/>
      <c r="B653" s="106"/>
      <c r="C653" s="103"/>
      <c r="D653" s="93"/>
      <c r="E653" s="93"/>
      <c r="F653" s="103"/>
      <c r="G653" s="113"/>
      <c r="H653" s="113"/>
      <c r="I653" s="100"/>
      <c r="J653" s="113"/>
      <c r="K653" s="82" t="b">
        <v>0</v>
      </c>
      <c r="L653" s="94"/>
      <c r="M653" s="84">
        <f t="shared" si="1"/>
        <v>6590</v>
      </c>
      <c r="N653" s="84"/>
      <c r="O653" s="84"/>
      <c r="P653" s="84"/>
      <c r="Q653" s="84"/>
      <c r="R653" s="86" t="str">
        <f t="shared" si="2"/>
        <v>Prepare for Showcase</v>
      </c>
      <c r="S653" s="82" t="b">
        <v>0</v>
      </c>
      <c r="T653" s="88"/>
      <c r="U653" s="84"/>
      <c r="V653" s="84"/>
      <c r="W653" s="84"/>
      <c r="X653" s="84"/>
      <c r="Y653" s="84"/>
      <c r="Z653" s="84"/>
      <c r="AA653" s="84"/>
    </row>
    <row r="654" ht="26.25" hidden="1" customHeight="1">
      <c r="A654" s="85"/>
      <c r="B654" s="106"/>
      <c r="C654" s="103"/>
      <c r="D654" s="93"/>
      <c r="E654" s="93"/>
      <c r="F654" s="103"/>
      <c r="G654" s="113"/>
      <c r="H654" s="113"/>
      <c r="I654" s="100"/>
      <c r="J654" s="113"/>
      <c r="K654" s="82" t="b">
        <v>0</v>
      </c>
      <c r="L654" s="94"/>
      <c r="M654" s="84">
        <f t="shared" si="1"/>
        <v>6590</v>
      </c>
      <c r="N654" s="84"/>
      <c r="O654" s="84"/>
      <c r="P654" s="84"/>
      <c r="Q654" s="84"/>
      <c r="R654" s="86" t="str">
        <f t="shared" si="2"/>
        <v>Prepare for Showcase</v>
      </c>
      <c r="S654" s="82" t="b">
        <v>0</v>
      </c>
      <c r="T654" s="88"/>
      <c r="U654" s="84"/>
      <c r="V654" s="84"/>
      <c r="W654" s="84"/>
      <c r="X654" s="84"/>
      <c r="Y654" s="84"/>
      <c r="Z654" s="84"/>
      <c r="AA654" s="84"/>
    </row>
    <row r="655" ht="26.25" hidden="1" customHeight="1">
      <c r="A655" s="85"/>
      <c r="B655" s="106"/>
      <c r="C655" s="103"/>
      <c r="D655" s="93"/>
      <c r="E655" s="93"/>
      <c r="F655" s="103"/>
      <c r="G655" s="113"/>
      <c r="H655" s="113"/>
      <c r="I655" s="100"/>
      <c r="J655" s="113"/>
      <c r="K655" s="82" t="b">
        <v>0</v>
      </c>
      <c r="L655" s="94"/>
      <c r="M655" s="84">
        <f t="shared" si="1"/>
        <v>6590</v>
      </c>
      <c r="N655" s="84"/>
      <c r="O655" s="84"/>
      <c r="P655" s="84"/>
      <c r="Q655" s="84"/>
      <c r="R655" s="86" t="str">
        <f t="shared" si="2"/>
        <v>Prepare for Showcase</v>
      </c>
      <c r="S655" s="82" t="b">
        <v>0</v>
      </c>
      <c r="T655" s="88"/>
      <c r="U655" s="84"/>
      <c r="V655" s="84"/>
      <c r="W655" s="84"/>
      <c r="X655" s="84"/>
      <c r="Y655" s="84"/>
      <c r="Z655" s="84"/>
      <c r="AA655" s="84"/>
    </row>
    <row r="656" ht="26.25" hidden="1" customHeight="1">
      <c r="A656" s="85"/>
      <c r="B656" s="106"/>
      <c r="C656" s="103"/>
      <c r="D656" s="93"/>
      <c r="E656" s="93"/>
      <c r="F656" s="103"/>
      <c r="G656" s="113"/>
      <c r="H656" s="113"/>
      <c r="I656" s="100"/>
      <c r="J656" s="113"/>
      <c r="K656" s="82" t="b">
        <v>0</v>
      </c>
      <c r="L656" s="94"/>
      <c r="M656" s="84">
        <f t="shared" si="1"/>
        <v>6590</v>
      </c>
      <c r="N656" s="84"/>
      <c r="O656" s="84"/>
      <c r="P656" s="84"/>
      <c r="Q656" s="84"/>
      <c r="R656" s="86" t="str">
        <f t="shared" si="2"/>
        <v>Prepare for Showcase</v>
      </c>
      <c r="S656" s="82" t="b">
        <v>0</v>
      </c>
      <c r="T656" s="88"/>
      <c r="U656" s="84"/>
      <c r="V656" s="84"/>
      <c r="W656" s="84"/>
      <c r="X656" s="84"/>
      <c r="Y656" s="84"/>
      <c r="Z656" s="84"/>
      <c r="AA656" s="84"/>
    </row>
    <row r="657" ht="26.25" hidden="1" customHeight="1">
      <c r="A657" s="85"/>
      <c r="B657" s="106"/>
      <c r="C657" s="103"/>
      <c r="D657" s="93"/>
      <c r="E657" s="93"/>
      <c r="F657" s="103"/>
      <c r="G657" s="113"/>
      <c r="H657" s="113"/>
      <c r="I657" s="100"/>
      <c r="J657" s="113"/>
      <c r="K657" s="82" t="b">
        <v>0</v>
      </c>
      <c r="L657" s="94"/>
      <c r="M657" s="84">
        <f t="shared" si="1"/>
        <v>6590</v>
      </c>
      <c r="N657" s="84"/>
      <c r="O657" s="84"/>
      <c r="P657" s="84"/>
      <c r="Q657" s="84"/>
      <c r="R657" s="86" t="str">
        <f t="shared" si="2"/>
        <v>Prepare for Showcase</v>
      </c>
      <c r="S657" s="82" t="b">
        <v>0</v>
      </c>
      <c r="T657" s="88"/>
      <c r="U657" s="84"/>
      <c r="V657" s="84"/>
      <c r="W657" s="84"/>
      <c r="X657" s="84"/>
      <c r="Y657" s="84"/>
      <c r="Z657" s="84"/>
      <c r="AA657" s="84"/>
    </row>
    <row r="658" ht="26.25" hidden="1" customHeight="1">
      <c r="A658" s="85"/>
      <c r="B658" s="106"/>
      <c r="C658" s="103"/>
      <c r="D658" s="93"/>
      <c r="E658" s="93"/>
      <c r="F658" s="103"/>
      <c r="G658" s="113"/>
      <c r="H658" s="113"/>
      <c r="I658" s="100"/>
      <c r="J658" s="113"/>
      <c r="K658" s="82" t="b">
        <v>0</v>
      </c>
      <c r="L658" s="94"/>
      <c r="M658" s="84">
        <f t="shared" si="1"/>
        <v>6590</v>
      </c>
      <c r="N658" s="84"/>
      <c r="O658" s="84"/>
      <c r="P658" s="84"/>
      <c r="Q658" s="84"/>
      <c r="R658" s="86" t="str">
        <f t="shared" si="2"/>
        <v>Prepare for Showcase</v>
      </c>
      <c r="S658" s="82" t="b">
        <v>0</v>
      </c>
      <c r="T658" s="88"/>
      <c r="U658" s="84"/>
      <c r="V658" s="84"/>
      <c r="W658" s="84"/>
      <c r="X658" s="84"/>
      <c r="Y658" s="84"/>
      <c r="Z658" s="84"/>
      <c r="AA658" s="84"/>
    </row>
    <row r="659" ht="26.25" hidden="1" customHeight="1">
      <c r="A659" s="85"/>
      <c r="B659" s="106"/>
      <c r="C659" s="103"/>
      <c r="D659" s="93"/>
      <c r="E659" s="93"/>
      <c r="F659" s="103"/>
      <c r="G659" s="113"/>
      <c r="H659" s="113"/>
      <c r="I659" s="100"/>
      <c r="J659" s="113"/>
      <c r="K659" s="82" t="b">
        <v>0</v>
      </c>
      <c r="L659" s="94"/>
      <c r="M659" s="84">
        <f t="shared" si="1"/>
        <v>6590</v>
      </c>
      <c r="N659" s="84"/>
      <c r="O659" s="84"/>
      <c r="P659" s="84"/>
      <c r="Q659" s="84"/>
      <c r="R659" s="86" t="str">
        <f t="shared" si="2"/>
        <v>Prepare for Showcase</v>
      </c>
      <c r="S659" s="82" t="b">
        <v>0</v>
      </c>
      <c r="T659" s="88"/>
      <c r="U659" s="84"/>
      <c r="V659" s="84"/>
      <c r="W659" s="84"/>
      <c r="X659" s="84"/>
      <c r="Y659" s="84"/>
      <c r="Z659" s="84"/>
      <c r="AA659" s="84"/>
    </row>
    <row r="660" ht="26.25" hidden="1" customHeight="1">
      <c r="A660" s="85"/>
      <c r="B660" s="106"/>
      <c r="C660" s="103"/>
      <c r="D660" s="93"/>
      <c r="E660" s="93"/>
      <c r="F660" s="103"/>
      <c r="G660" s="113"/>
      <c r="H660" s="113"/>
      <c r="I660" s="100"/>
      <c r="J660" s="113"/>
      <c r="K660" s="82" t="b">
        <v>0</v>
      </c>
      <c r="L660" s="94"/>
      <c r="M660" s="84">
        <f t="shared" si="1"/>
        <v>6590</v>
      </c>
      <c r="N660" s="84"/>
      <c r="O660" s="84"/>
      <c r="P660" s="84"/>
      <c r="Q660" s="84"/>
      <c r="R660" s="86" t="str">
        <f t="shared" si="2"/>
        <v>Prepare for Showcase</v>
      </c>
      <c r="S660" s="82" t="b">
        <v>0</v>
      </c>
      <c r="T660" s="88"/>
      <c r="U660" s="84"/>
      <c r="V660" s="84"/>
      <c r="W660" s="84"/>
      <c r="X660" s="84"/>
      <c r="Y660" s="84"/>
      <c r="Z660" s="84"/>
      <c r="AA660" s="84"/>
    </row>
    <row r="661" ht="26.25" hidden="1" customHeight="1">
      <c r="A661" s="85"/>
      <c r="B661" s="106"/>
      <c r="C661" s="103"/>
      <c r="D661" s="93"/>
      <c r="E661" s="93"/>
      <c r="F661" s="103"/>
      <c r="G661" s="113"/>
      <c r="H661" s="113"/>
      <c r="I661" s="100"/>
      <c r="J661" s="113"/>
      <c r="K661" s="82" t="b">
        <v>0</v>
      </c>
      <c r="L661" s="94"/>
      <c r="M661" s="84">
        <f t="shared" si="1"/>
        <v>6590</v>
      </c>
      <c r="N661" s="84"/>
      <c r="O661" s="84"/>
      <c r="P661" s="84"/>
      <c r="Q661" s="84"/>
      <c r="R661" s="86" t="str">
        <f t="shared" si="2"/>
        <v>Prepare for Showcase</v>
      </c>
      <c r="S661" s="82" t="b">
        <v>0</v>
      </c>
      <c r="T661" s="88"/>
      <c r="U661" s="84"/>
      <c r="V661" s="84"/>
      <c r="W661" s="84"/>
      <c r="X661" s="84"/>
      <c r="Y661" s="84"/>
      <c r="Z661" s="84"/>
      <c r="AA661" s="84"/>
    </row>
    <row r="662" ht="26.25" hidden="1" customHeight="1">
      <c r="A662" s="85"/>
      <c r="B662" s="106"/>
      <c r="C662" s="103"/>
      <c r="D662" s="93"/>
      <c r="E662" s="93"/>
      <c r="F662" s="103"/>
      <c r="G662" s="113"/>
      <c r="H662" s="113"/>
      <c r="I662" s="100"/>
      <c r="J662" s="113"/>
      <c r="K662" s="82" t="b">
        <v>0</v>
      </c>
      <c r="L662" s="94"/>
      <c r="M662" s="84">
        <f t="shared" si="1"/>
        <v>6590</v>
      </c>
      <c r="N662" s="84"/>
      <c r="O662" s="84"/>
      <c r="P662" s="84"/>
      <c r="Q662" s="84"/>
      <c r="R662" s="86" t="str">
        <f t="shared" si="2"/>
        <v>Prepare for Showcase</v>
      </c>
      <c r="S662" s="82" t="b">
        <v>0</v>
      </c>
      <c r="T662" s="88"/>
      <c r="U662" s="84"/>
      <c r="V662" s="84"/>
      <c r="W662" s="84"/>
      <c r="X662" s="84"/>
      <c r="Y662" s="84"/>
      <c r="Z662" s="84"/>
      <c r="AA662" s="84"/>
    </row>
    <row r="663" ht="26.25" hidden="1" customHeight="1">
      <c r="A663" s="85"/>
      <c r="B663" s="106"/>
      <c r="C663" s="103"/>
      <c r="D663" s="93"/>
      <c r="E663" s="93"/>
      <c r="F663" s="103"/>
      <c r="G663" s="113"/>
      <c r="H663" s="113"/>
      <c r="I663" s="100"/>
      <c r="J663" s="113"/>
      <c r="K663" s="82" t="b">
        <v>0</v>
      </c>
      <c r="L663" s="94"/>
      <c r="M663" s="84">
        <f t="shared" si="1"/>
        <v>6590</v>
      </c>
      <c r="N663" s="84"/>
      <c r="O663" s="84"/>
      <c r="P663" s="84"/>
      <c r="Q663" s="84"/>
      <c r="R663" s="86" t="str">
        <f t="shared" si="2"/>
        <v>Prepare for Showcase</v>
      </c>
      <c r="S663" s="82" t="b">
        <v>0</v>
      </c>
      <c r="T663" s="88"/>
      <c r="U663" s="84"/>
      <c r="V663" s="84"/>
      <c r="W663" s="84"/>
      <c r="X663" s="84"/>
      <c r="Y663" s="84"/>
      <c r="Z663" s="84"/>
      <c r="AA663" s="84"/>
    </row>
    <row r="664" ht="26.25" hidden="1" customHeight="1">
      <c r="A664" s="85"/>
      <c r="B664" s="106"/>
      <c r="C664" s="103"/>
      <c r="D664" s="93"/>
      <c r="E664" s="93"/>
      <c r="F664" s="103"/>
      <c r="G664" s="113"/>
      <c r="H664" s="113"/>
      <c r="I664" s="100"/>
      <c r="J664" s="113"/>
      <c r="K664" s="82" t="b">
        <v>0</v>
      </c>
      <c r="L664" s="94"/>
      <c r="M664" s="84">
        <f t="shared" si="1"/>
        <v>6590</v>
      </c>
      <c r="N664" s="84"/>
      <c r="O664" s="84"/>
      <c r="P664" s="84"/>
      <c r="Q664" s="84"/>
      <c r="R664" s="86" t="str">
        <f t="shared" si="2"/>
        <v>Prepare for Showcase</v>
      </c>
      <c r="S664" s="82" t="b">
        <v>0</v>
      </c>
      <c r="T664" s="88"/>
      <c r="U664" s="84"/>
      <c r="V664" s="84"/>
      <c r="W664" s="84"/>
      <c r="X664" s="84"/>
      <c r="Y664" s="84"/>
      <c r="Z664" s="84"/>
      <c r="AA664" s="84"/>
    </row>
    <row r="665" ht="26.25" hidden="1" customHeight="1">
      <c r="A665" s="85"/>
      <c r="B665" s="106"/>
      <c r="C665" s="103"/>
      <c r="D665" s="93"/>
      <c r="E665" s="93"/>
      <c r="F665" s="103"/>
      <c r="G665" s="113"/>
      <c r="H665" s="113"/>
      <c r="I665" s="100"/>
      <c r="J665" s="113"/>
      <c r="K665" s="82" t="b">
        <v>0</v>
      </c>
      <c r="L665" s="94"/>
      <c r="M665" s="84">
        <f t="shared" si="1"/>
        <v>6590</v>
      </c>
      <c r="N665" s="84"/>
      <c r="O665" s="84"/>
      <c r="P665" s="84"/>
      <c r="Q665" s="84"/>
      <c r="R665" s="86" t="str">
        <f t="shared" si="2"/>
        <v>Prepare for Showcase</v>
      </c>
      <c r="S665" s="82" t="b">
        <v>0</v>
      </c>
      <c r="T665" s="88"/>
      <c r="U665" s="84"/>
      <c r="V665" s="84"/>
      <c r="W665" s="84"/>
      <c r="X665" s="84"/>
      <c r="Y665" s="84"/>
      <c r="Z665" s="84"/>
      <c r="AA665" s="84"/>
    </row>
    <row r="666" ht="26.25" hidden="1" customHeight="1">
      <c r="A666" s="85"/>
      <c r="B666" s="106"/>
      <c r="C666" s="103"/>
      <c r="D666" s="93"/>
      <c r="E666" s="93"/>
      <c r="F666" s="103"/>
      <c r="G666" s="113"/>
      <c r="H666" s="113"/>
      <c r="I666" s="100"/>
      <c r="J666" s="113"/>
      <c r="K666" s="82" t="b">
        <v>0</v>
      </c>
      <c r="L666" s="94"/>
      <c r="M666" s="84">
        <f t="shared" si="1"/>
        <v>6590</v>
      </c>
      <c r="N666" s="84"/>
      <c r="O666" s="84"/>
      <c r="P666" s="84"/>
      <c r="Q666" s="84"/>
      <c r="R666" s="86" t="str">
        <f t="shared" si="2"/>
        <v>Prepare for Showcase</v>
      </c>
      <c r="S666" s="82" t="b">
        <v>0</v>
      </c>
      <c r="T666" s="88"/>
      <c r="U666" s="84"/>
      <c r="V666" s="84"/>
      <c r="W666" s="84"/>
      <c r="X666" s="84"/>
      <c r="Y666" s="84"/>
      <c r="Z666" s="84"/>
      <c r="AA666" s="84"/>
    </row>
    <row r="667" ht="26.25" hidden="1" customHeight="1">
      <c r="A667" s="85"/>
      <c r="B667" s="106"/>
      <c r="C667" s="103"/>
      <c r="D667" s="93"/>
      <c r="E667" s="93"/>
      <c r="F667" s="103"/>
      <c r="G667" s="113"/>
      <c r="H667" s="113"/>
      <c r="I667" s="100"/>
      <c r="J667" s="113"/>
      <c r="K667" s="82" t="b">
        <v>0</v>
      </c>
      <c r="L667" s="94"/>
      <c r="M667" s="84">
        <f t="shared" si="1"/>
        <v>6590</v>
      </c>
      <c r="N667" s="84"/>
      <c r="O667" s="84"/>
      <c r="P667" s="84"/>
      <c r="Q667" s="84"/>
      <c r="R667" s="86" t="str">
        <f t="shared" si="2"/>
        <v>Prepare for Showcase</v>
      </c>
      <c r="S667" s="82" t="b">
        <v>0</v>
      </c>
      <c r="T667" s="88"/>
      <c r="U667" s="84"/>
      <c r="V667" s="84"/>
      <c r="W667" s="84"/>
      <c r="X667" s="84"/>
      <c r="Y667" s="84"/>
      <c r="Z667" s="84"/>
      <c r="AA667" s="84"/>
    </row>
    <row r="668" ht="26.25" hidden="1" customHeight="1">
      <c r="A668" s="85"/>
      <c r="B668" s="106"/>
      <c r="C668" s="103"/>
      <c r="D668" s="93"/>
      <c r="E668" s="93"/>
      <c r="F668" s="103"/>
      <c r="G668" s="113"/>
      <c r="H668" s="113"/>
      <c r="I668" s="100"/>
      <c r="J668" s="113"/>
      <c r="K668" s="82" t="b">
        <v>0</v>
      </c>
      <c r="L668" s="94"/>
      <c r="M668" s="84">
        <f t="shared" si="1"/>
        <v>6590</v>
      </c>
      <c r="N668" s="84"/>
      <c r="O668" s="84"/>
      <c r="P668" s="84"/>
      <c r="Q668" s="84"/>
      <c r="R668" s="86" t="str">
        <f t="shared" si="2"/>
        <v>Prepare for Showcase</v>
      </c>
      <c r="S668" s="82" t="b">
        <v>0</v>
      </c>
      <c r="T668" s="88"/>
      <c r="U668" s="84"/>
      <c r="V668" s="84"/>
      <c r="W668" s="84"/>
      <c r="X668" s="84"/>
      <c r="Y668" s="84"/>
      <c r="Z668" s="84"/>
      <c r="AA668" s="84"/>
    </row>
    <row r="669" ht="26.25" hidden="1" customHeight="1">
      <c r="A669" s="85"/>
      <c r="B669" s="106"/>
      <c r="C669" s="103"/>
      <c r="D669" s="93"/>
      <c r="E669" s="93"/>
      <c r="F669" s="103"/>
      <c r="G669" s="113"/>
      <c r="H669" s="113"/>
      <c r="I669" s="100"/>
      <c r="J669" s="113"/>
      <c r="K669" s="82" t="b">
        <v>0</v>
      </c>
      <c r="L669" s="94"/>
      <c r="M669" s="84">
        <f t="shared" si="1"/>
        <v>6590</v>
      </c>
      <c r="N669" s="84"/>
      <c r="O669" s="84"/>
      <c r="P669" s="84"/>
      <c r="Q669" s="84"/>
      <c r="R669" s="86" t="str">
        <f t="shared" si="2"/>
        <v>Prepare for Showcase</v>
      </c>
      <c r="S669" s="82" t="b">
        <v>0</v>
      </c>
      <c r="T669" s="88"/>
      <c r="U669" s="84"/>
      <c r="V669" s="84"/>
      <c r="W669" s="84"/>
      <c r="X669" s="84"/>
      <c r="Y669" s="84"/>
      <c r="Z669" s="84"/>
      <c r="AA669" s="84"/>
    </row>
    <row r="670" ht="26.25" hidden="1" customHeight="1">
      <c r="A670" s="85"/>
      <c r="B670" s="106"/>
      <c r="C670" s="103"/>
      <c r="D670" s="93"/>
      <c r="E670" s="93"/>
      <c r="F670" s="103"/>
      <c r="G670" s="113"/>
      <c r="H670" s="113"/>
      <c r="I670" s="100"/>
      <c r="J670" s="113"/>
      <c r="K670" s="82" t="b">
        <v>0</v>
      </c>
      <c r="L670" s="94"/>
      <c r="M670" s="84">
        <f t="shared" si="1"/>
        <v>6590</v>
      </c>
      <c r="N670" s="84"/>
      <c r="O670" s="84"/>
      <c r="P670" s="84"/>
      <c r="Q670" s="84"/>
      <c r="R670" s="86" t="str">
        <f t="shared" si="2"/>
        <v>Prepare for Showcase</v>
      </c>
      <c r="S670" s="82" t="b">
        <v>0</v>
      </c>
      <c r="T670" s="88"/>
      <c r="U670" s="84"/>
      <c r="V670" s="84"/>
      <c r="W670" s="84"/>
      <c r="X670" s="84"/>
      <c r="Y670" s="84"/>
      <c r="Z670" s="84"/>
      <c r="AA670" s="84"/>
    </row>
    <row r="671" ht="26.25" hidden="1" customHeight="1">
      <c r="A671" s="85"/>
      <c r="B671" s="106"/>
      <c r="C671" s="103"/>
      <c r="D671" s="93"/>
      <c r="E671" s="93"/>
      <c r="F671" s="103"/>
      <c r="G671" s="113"/>
      <c r="H671" s="113"/>
      <c r="I671" s="100"/>
      <c r="J671" s="113"/>
      <c r="K671" s="82" t="b">
        <v>0</v>
      </c>
      <c r="L671" s="94"/>
      <c r="M671" s="84">
        <f t="shared" si="1"/>
        <v>6590</v>
      </c>
      <c r="N671" s="84"/>
      <c r="O671" s="84"/>
      <c r="P671" s="84"/>
      <c r="Q671" s="84"/>
      <c r="R671" s="86" t="str">
        <f t="shared" si="2"/>
        <v>Prepare for Showcase</v>
      </c>
      <c r="S671" s="82" t="b">
        <v>0</v>
      </c>
      <c r="T671" s="88"/>
      <c r="U671" s="84"/>
      <c r="V671" s="84"/>
      <c r="W671" s="84"/>
      <c r="X671" s="84"/>
      <c r="Y671" s="84"/>
      <c r="Z671" s="84"/>
      <c r="AA671" s="84"/>
    </row>
    <row r="672" ht="26.25" hidden="1" customHeight="1">
      <c r="A672" s="85"/>
      <c r="B672" s="106"/>
      <c r="C672" s="103"/>
      <c r="D672" s="93"/>
      <c r="E672" s="93"/>
      <c r="F672" s="103"/>
      <c r="G672" s="113"/>
      <c r="H672" s="113"/>
      <c r="I672" s="100"/>
      <c r="J672" s="113"/>
      <c r="K672" s="82" t="b">
        <v>0</v>
      </c>
      <c r="L672" s="94"/>
      <c r="M672" s="84">
        <f t="shared" si="1"/>
        <v>6590</v>
      </c>
      <c r="N672" s="84"/>
      <c r="O672" s="84"/>
      <c r="P672" s="84"/>
      <c r="Q672" s="84"/>
      <c r="R672" s="86" t="str">
        <f t="shared" si="2"/>
        <v>Prepare for Showcase</v>
      </c>
      <c r="S672" s="82" t="b">
        <v>0</v>
      </c>
      <c r="T672" s="88"/>
      <c r="U672" s="84"/>
      <c r="V672" s="84"/>
      <c r="W672" s="84"/>
      <c r="X672" s="84"/>
      <c r="Y672" s="84"/>
      <c r="Z672" s="84"/>
      <c r="AA672" s="84"/>
    </row>
    <row r="673" ht="26.25" hidden="1" customHeight="1">
      <c r="A673" s="85"/>
      <c r="B673" s="106"/>
      <c r="C673" s="103"/>
      <c r="D673" s="93"/>
      <c r="E673" s="93"/>
      <c r="F673" s="103"/>
      <c r="G673" s="113"/>
      <c r="H673" s="113"/>
      <c r="I673" s="100"/>
      <c r="J673" s="113"/>
      <c r="K673" s="82" t="b">
        <v>0</v>
      </c>
      <c r="L673" s="94"/>
      <c r="M673" s="84">
        <f t="shared" si="1"/>
        <v>6590</v>
      </c>
      <c r="N673" s="84"/>
      <c r="O673" s="84"/>
      <c r="P673" s="84"/>
      <c r="Q673" s="84"/>
      <c r="R673" s="86" t="str">
        <f t="shared" si="2"/>
        <v>Prepare for Showcase</v>
      </c>
      <c r="S673" s="82" t="b">
        <v>0</v>
      </c>
      <c r="T673" s="88"/>
      <c r="U673" s="84"/>
      <c r="V673" s="84"/>
      <c r="W673" s="84"/>
      <c r="X673" s="84"/>
      <c r="Y673" s="84"/>
      <c r="Z673" s="84"/>
      <c r="AA673" s="84"/>
    </row>
    <row r="674" ht="26.25" hidden="1" customHeight="1">
      <c r="A674" s="85"/>
      <c r="B674" s="106"/>
      <c r="C674" s="103"/>
      <c r="D674" s="93"/>
      <c r="E674" s="93"/>
      <c r="F674" s="103"/>
      <c r="G674" s="113"/>
      <c r="H674" s="113"/>
      <c r="I674" s="100"/>
      <c r="J674" s="113"/>
      <c r="K674" s="82" t="b">
        <v>0</v>
      </c>
      <c r="L674" s="94"/>
      <c r="M674" s="84">
        <f t="shared" si="1"/>
        <v>6590</v>
      </c>
      <c r="N674" s="84"/>
      <c r="O674" s="84"/>
      <c r="P674" s="84"/>
      <c r="Q674" s="84"/>
      <c r="R674" s="86" t="str">
        <f t="shared" si="2"/>
        <v>Prepare for Showcase</v>
      </c>
      <c r="S674" s="82" t="b">
        <v>0</v>
      </c>
      <c r="T674" s="88"/>
      <c r="U674" s="84"/>
      <c r="V674" s="84"/>
      <c r="W674" s="84"/>
      <c r="X674" s="84"/>
      <c r="Y674" s="84"/>
      <c r="Z674" s="84"/>
      <c r="AA674" s="84"/>
    </row>
    <row r="675" ht="26.25" hidden="1" customHeight="1">
      <c r="A675" s="85"/>
      <c r="B675" s="106"/>
      <c r="C675" s="103"/>
      <c r="D675" s="93"/>
      <c r="E675" s="93"/>
      <c r="F675" s="103"/>
      <c r="G675" s="113"/>
      <c r="H675" s="113"/>
      <c r="I675" s="100"/>
      <c r="J675" s="113"/>
      <c r="K675" s="82" t="b">
        <v>0</v>
      </c>
      <c r="L675" s="94"/>
      <c r="M675" s="84">
        <f t="shared" si="1"/>
        <v>6590</v>
      </c>
      <c r="N675" s="84"/>
      <c r="O675" s="84"/>
      <c r="P675" s="84"/>
      <c r="Q675" s="84"/>
      <c r="R675" s="86" t="str">
        <f t="shared" si="2"/>
        <v>Prepare for Showcase</v>
      </c>
      <c r="S675" s="82" t="b">
        <v>0</v>
      </c>
      <c r="T675" s="88"/>
      <c r="U675" s="84"/>
      <c r="V675" s="84"/>
      <c r="W675" s="84"/>
      <c r="X675" s="84"/>
      <c r="Y675" s="84"/>
      <c r="Z675" s="84"/>
      <c r="AA675" s="84"/>
    </row>
    <row r="676" ht="26.25" hidden="1" customHeight="1">
      <c r="A676" s="85"/>
      <c r="B676" s="106"/>
      <c r="C676" s="103"/>
      <c r="D676" s="93"/>
      <c r="E676" s="93"/>
      <c r="F676" s="103"/>
      <c r="G676" s="113"/>
      <c r="H676" s="113"/>
      <c r="I676" s="100"/>
      <c r="J676" s="113"/>
      <c r="K676" s="82" t="b">
        <v>0</v>
      </c>
      <c r="L676" s="94"/>
      <c r="M676" s="84">
        <f t="shared" si="1"/>
        <v>6590</v>
      </c>
      <c r="N676" s="84"/>
      <c r="O676" s="84"/>
      <c r="P676" s="84"/>
      <c r="Q676" s="84"/>
      <c r="R676" s="86" t="str">
        <f t="shared" si="2"/>
        <v>Prepare for Showcase</v>
      </c>
      <c r="S676" s="82" t="b">
        <v>0</v>
      </c>
      <c r="T676" s="88"/>
      <c r="U676" s="84"/>
      <c r="V676" s="84"/>
      <c r="W676" s="84"/>
      <c r="X676" s="84"/>
      <c r="Y676" s="84"/>
      <c r="Z676" s="84"/>
      <c r="AA676" s="84"/>
    </row>
    <row r="677" ht="26.25" hidden="1" customHeight="1">
      <c r="A677" s="85"/>
      <c r="B677" s="106"/>
      <c r="C677" s="103"/>
      <c r="D677" s="93"/>
      <c r="E677" s="93"/>
      <c r="F677" s="103"/>
      <c r="G677" s="113"/>
      <c r="H677" s="113"/>
      <c r="I677" s="100"/>
      <c r="J677" s="113"/>
      <c r="K677" s="82" t="b">
        <v>0</v>
      </c>
      <c r="L677" s="94"/>
      <c r="M677" s="84">
        <f t="shared" si="1"/>
        <v>6590</v>
      </c>
      <c r="N677" s="84"/>
      <c r="O677" s="84"/>
      <c r="P677" s="84"/>
      <c r="Q677" s="84"/>
      <c r="R677" s="86" t="str">
        <f t="shared" si="2"/>
        <v>Prepare for Showcase</v>
      </c>
      <c r="S677" s="82" t="b">
        <v>0</v>
      </c>
      <c r="T677" s="88"/>
      <c r="U677" s="84"/>
      <c r="V677" s="84"/>
      <c r="W677" s="84"/>
      <c r="X677" s="84"/>
      <c r="Y677" s="84"/>
      <c r="Z677" s="84"/>
      <c r="AA677" s="84"/>
    </row>
    <row r="678" ht="26.25" hidden="1" customHeight="1">
      <c r="A678" s="85"/>
      <c r="B678" s="106"/>
      <c r="C678" s="103"/>
      <c r="D678" s="93"/>
      <c r="E678" s="93"/>
      <c r="F678" s="103"/>
      <c r="G678" s="113"/>
      <c r="H678" s="113"/>
      <c r="I678" s="100"/>
      <c r="J678" s="113"/>
      <c r="K678" s="82" t="b">
        <v>0</v>
      </c>
      <c r="L678" s="94"/>
      <c r="M678" s="84">
        <f t="shared" si="1"/>
        <v>6590</v>
      </c>
      <c r="N678" s="84"/>
      <c r="O678" s="84"/>
      <c r="P678" s="84"/>
      <c r="Q678" s="84"/>
      <c r="R678" s="86" t="str">
        <f t="shared" si="2"/>
        <v>Prepare for Showcase</v>
      </c>
      <c r="S678" s="82" t="b">
        <v>0</v>
      </c>
      <c r="T678" s="88"/>
      <c r="U678" s="84"/>
      <c r="V678" s="84"/>
      <c r="W678" s="84"/>
      <c r="X678" s="84"/>
      <c r="Y678" s="84"/>
      <c r="Z678" s="84"/>
      <c r="AA678" s="84"/>
    </row>
    <row r="679" ht="26.25" hidden="1" customHeight="1">
      <c r="A679" s="85"/>
      <c r="B679" s="106"/>
      <c r="C679" s="103"/>
      <c r="D679" s="93"/>
      <c r="E679" s="93"/>
      <c r="F679" s="103"/>
      <c r="G679" s="113"/>
      <c r="H679" s="113"/>
      <c r="I679" s="100"/>
      <c r="J679" s="113"/>
      <c r="K679" s="82" t="b">
        <v>0</v>
      </c>
      <c r="L679" s="94"/>
      <c r="M679" s="84">
        <f t="shared" si="1"/>
        <v>6590</v>
      </c>
      <c r="N679" s="84"/>
      <c r="O679" s="84"/>
      <c r="P679" s="84"/>
      <c r="Q679" s="84"/>
      <c r="R679" s="86" t="str">
        <f t="shared" si="2"/>
        <v>Prepare for Showcase</v>
      </c>
      <c r="S679" s="82" t="b">
        <v>0</v>
      </c>
      <c r="T679" s="88"/>
      <c r="U679" s="84"/>
      <c r="V679" s="84"/>
      <c r="W679" s="84"/>
      <c r="X679" s="84"/>
      <c r="Y679" s="84"/>
      <c r="Z679" s="84"/>
      <c r="AA679" s="84"/>
    </row>
    <row r="680" ht="26.25" hidden="1" customHeight="1">
      <c r="A680" s="85"/>
      <c r="B680" s="106"/>
      <c r="C680" s="103"/>
      <c r="D680" s="93"/>
      <c r="E680" s="93"/>
      <c r="F680" s="103"/>
      <c r="G680" s="113"/>
      <c r="H680" s="113"/>
      <c r="I680" s="100"/>
      <c r="J680" s="113"/>
      <c r="K680" s="82" t="b">
        <v>0</v>
      </c>
      <c r="L680" s="94"/>
      <c r="M680" s="84">
        <f t="shared" si="1"/>
        <v>6590</v>
      </c>
      <c r="N680" s="84"/>
      <c r="O680" s="84"/>
      <c r="P680" s="84"/>
      <c r="Q680" s="84"/>
      <c r="R680" s="86" t="str">
        <f t="shared" si="2"/>
        <v>Prepare for Showcase</v>
      </c>
      <c r="S680" s="82" t="b">
        <v>0</v>
      </c>
      <c r="T680" s="88"/>
      <c r="U680" s="84"/>
      <c r="V680" s="84"/>
      <c r="W680" s="84"/>
      <c r="X680" s="84"/>
      <c r="Y680" s="84"/>
      <c r="Z680" s="84"/>
      <c r="AA680" s="84"/>
    </row>
    <row r="681" ht="26.25" hidden="1" customHeight="1">
      <c r="A681" s="85"/>
      <c r="B681" s="106"/>
      <c r="C681" s="103"/>
      <c r="D681" s="93"/>
      <c r="E681" s="93"/>
      <c r="F681" s="103"/>
      <c r="G681" s="113"/>
      <c r="H681" s="113"/>
      <c r="I681" s="100"/>
      <c r="J681" s="113"/>
      <c r="K681" s="82" t="b">
        <v>0</v>
      </c>
      <c r="L681" s="94"/>
      <c r="M681" s="84">
        <f t="shared" si="1"/>
        <v>6590</v>
      </c>
      <c r="N681" s="84"/>
      <c r="O681" s="84"/>
      <c r="P681" s="84"/>
      <c r="Q681" s="84"/>
      <c r="R681" s="86" t="str">
        <f t="shared" si="2"/>
        <v>Prepare for Showcase</v>
      </c>
      <c r="S681" s="82" t="b">
        <v>0</v>
      </c>
      <c r="T681" s="88"/>
      <c r="U681" s="84"/>
      <c r="V681" s="84"/>
      <c r="W681" s="84"/>
      <c r="X681" s="84"/>
      <c r="Y681" s="84"/>
      <c r="Z681" s="84"/>
      <c r="AA681" s="84"/>
    </row>
    <row r="682" ht="26.25" hidden="1" customHeight="1">
      <c r="A682" s="85"/>
      <c r="B682" s="106"/>
      <c r="C682" s="103"/>
      <c r="D682" s="93"/>
      <c r="E682" s="93"/>
      <c r="F682" s="103"/>
      <c r="G682" s="113"/>
      <c r="H682" s="113"/>
      <c r="I682" s="100"/>
      <c r="J682" s="113"/>
      <c r="K682" s="82" t="b">
        <v>0</v>
      </c>
      <c r="L682" s="94"/>
      <c r="M682" s="84">
        <f t="shared" si="1"/>
        <v>6590</v>
      </c>
      <c r="N682" s="84"/>
      <c r="O682" s="84"/>
      <c r="P682" s="84"/>
      <c r="Q682" s="84"/>
      <c r="R682" s="86" t="str">
        <f t="shared" si="2"/>
        <v>Prepare for Showcase</v>
      </c>
      <c r="S682" s="82" t="b">
        <v>0</v>
      </c>
      <c r="T682" s="88"/>
      <c r="U682" s="84"/>
      <c r="V682" s="84"/>
      <c r="W682" s="84"/>
      <c r="X682" s="84"/>
      <c r="Y682" s="84"/>
      <c r="Z682" s="84"/>
      <c r="AA682" s="84"/>
    </row>
    <row r="683" ht="26.25" hidden="1" customHeight="1">
      <c r="A683" s="85"/>
      <c r="B683" s="106"/>
      <c r="C683" s="103"/>
      <c r="D683" s="93"/>
      <c r="E683" s="93"/>
      <c r="F683" s="103"/>
      <c r="G683" s="113"/>
      <c r="H683" s="113"/>
      <c r="I683" s="100"/>
      <c r="J683" s="113"/>
      <c r="K683" s="82" t="b">
        <v>0</v>
      </c>
      <c r="L683" s="94"/>
      <c r="M683" s="84">
        <f t="shared" si="1"/>
        <v>6590</v>
      </c>
      <c r="N683" s="84"/>
      <c r="O683" s="84"/>
      <c r="P683" s="84"/>
      <c r="Q683" s="84"/>
      <c r="R683" s="86" t="str">
        <f t="shared" si="2"/>
        <v>Prepare for Showcase</v>
      </c>
      <c r="S683" s="82" t="b">
        <v>0</v>
      </c>
      <c r="T683" s="88"/>
      <c r="U683" s="84"/>
      <c r="V683" s="84"/>
      <c r="W683" s="84"/>
      <c r="X683" s="84"/>
      <c r="Y683" s="84"/>
      <c r="Z683" s="84"/>
      <c r="AA683" s="84"/>
    </row>
    <row r="684" ht="26.25" hidden="1" customHeight="1">
      <c r="A684" s="85"/>
      <c r="B684" s="106"/>
      <c r="C684" s="103"/>
      <c r="D684" s="93"/>
      <c r="E684" s="93"/>
      <c r="F684" s="103"/>
      <c r="G684" s="113"/>
      <c r="H684" s="113"/>
      <c r="I684" s="100"/>
      <c r="J684" s="113"/>
      <c r="K684" s="82" t="b">
        <v>0</v>
      </c>
      <c r="L684" s="94"/>
      <c r="M684" s="84">
        <f t="shared" si="1"/>
        <v>6590</v>
      </c>
      <c r="N684" s="84"/>
      <c r="O684" s="84"/>
      <c r="P684" s="84"/>
      <c r="Q684" s="84"/>
      <c r="R684" s="86" t="str">
        <f t="shared" si="2"/>
        <v>Prepare for Showcase</v>
      </c>
      <c r="S684" s="82" t="b">
        <v>0</v>
      </c>
      <c r="T684" s="88"/>
      <c r="U684" s="84"/>
      <c r="V684" s="84"/>
      <c r="W684" s="84"/>
      <c r="X684" s="84"/>
      <c r="Y684" s="84"/>
      <c r="Z684" s="84"/>
      <c r="AA684" s="84"/>
    </row>
    <row r="685" ht="26.25" hidden="1" customHeight="1">
      <c r="A685" s="85"/>
      <c r="B685" s="106"/>
      <c r="C685" s="103"/>
      <c r="D685" s="93"/>
      <c r="E685" s="93"/>
      <c r="F685" s="103"/>
      <c r="G685" s="113"/>
      <c r="H685" s="113"/>
      <c r="I685" s="100"/>
      <c r="J685" s="113"/>
      <c r="K685" s="82" t="b">
        <v>0</v>
      </c>
      <c r="L685" s="94"/>
      <c r="M685" s="84">
        <f t="shared" si="1"/>
        <v>6590</v>
      </c>
      <c r="N685" s="84"/>
      <c r="O685" s="84"/>
      <c r="P685" s="84"/>
      <c r="Q685" s="84"/>
      <c r="R685" s="86" t="str">
        <f t="shared" si="2"/>
        <v>Prepare for Showcase</v>
      </c>
      <c r="S685" s="82" t="b">
        <v>0</v>
      </c>
      <c r="T685" s="88"/>
      <c r="U685" s="84"/>
      <c r="V685" s="84"/>
      <c r="W685" s="84"/>
      <c r="X685" s="84"/>
      <c r="Y685" s="84"/>
      <c r="Z685" s="84"/>
      <c r="AA685" s="84"/>
    </row>
    <row r="686" ht="26.25" hidden="1" customHeight="1">
      <c r="A686" s="85"/>
      <c r="B686" s="106"/>
      <c r="C686" s="103"/>
      <c r="D686" s="93"/>
      <c r="E686" s="93"/>
      <c r="F686" s="103"/>
      <c r="G686" s="113"/>
      <c r="H686" s="113"/>
      <c r="I686" s="100"/>
      <c r="J686" s="113"/>
      <c r="K686" s="82" t="b">
        <v>0</v>
      </c>
      <c r="L686" s="94"/>
      <c r="M686" s="84">
        <f t="shared" si="1"/>
        <v>6590</v>
      </c>
      <c r="N686" s="84"/>
      <c r="O686" s="84"/>
      <c r="P686" s="84"/>
      <c r="Q686" s="84"/>
      <c r="R686" s="86" t="str">
        <f t="shared" si="2"/>
        <v>Prepare for Showcase</v>
      </c>
      <c r="S686" s="82" t="b">
        <v>0</v>
      </c>
      <c r="T686" s="88"/>
      <c r="U686" s="84"/>
      <c r="V686" s="84"/>
      <c r="W686" s="84"/>
      <c r="X686" s="84"/>
      <c r="Y686" s="84"/>
      <c r="Z686" s="84"/>
      <c r="AA686" s="84"/>
    </row>
    <row r="687" ht="26.25" hidden="1" customHeight="1">
      <c r="A687" s="85"/>
      <c r="B687" s="106"/>
      <c r="C687" s="103"/>
      <c r="D687" s="93"/>
      <c r="E687" s="93"/>
      <c r="F687" s="103"/>
      <c r="G687" s="113"/>
      <c r="H687" s="113"/>
      <c r="I687" s="100"/>
      <c r="J687" s="113"/>
      <c r="K687" s="82" t="b">
        <v>0</v>
      </c>
      <c r="L687" s="94"/>
      <c r="M687" s="84">
        <f t="shared" si="1"/>
        <v>6590</v>
      </c>
      <c r="N687" s="84"/>
      <c r="O687" s="84"/>
      <c r="P687" s="84"/>
      <c r="Q687" s="84"/>
      <c r="R687" s="86" t="str">
        <f t="shared" si="2"/>
        <v>Prepare for Showcase</v>
      </c>
      <c r="S687" s="82" t="b">
        <v>0</v>
      </c>
      <c r="T687" s="88"/>
      <c r="U687" s="84"/>
      <c r="V687" s="84"/>
      <c r="W687" s="84"/>
      <c r="X687" s="84"/>
      <c r="Y687" s="84"/>
      <c r="Z687" s="84"/>
      <c r="AA687" s="84"/>
    </row>
    <row r="688" ht="26.25" hidden="1" customHeight="1">
      <c r="A688" s="85"/>
      <c r="B688" s="106"/>
      <c r="C688" s="103"/>
      <c r="D688" s="93"/>
      <c r="E688" s="93"/>
      <c r="F688" s="103"/>
      <c r="G688" s="113"/>
      <c r="H688" s="113"/>
      <c r="I688" s="100"/>
      <c r="J688" s="113"/>
      <c r="K688" s="82" t="b">
        <v>0</v>
      </c>
      <c r="L688" s="94"/>
      <c r="M688" s="84">
        <f t="shared" si="1"/>
        <v>6590</v>
      </c>
      <c r="N688" s="84"/>
      <c r="O688" s="84"/>
      <c r="P688" s="84"/>
      <c r="Q688" s="84"/>
      <c r="R688" s="86" t="str">
        <f t="shared" si="2"/>
        <v>Prepare for Showcase</v>
      </c>
      <c r="S688" s="82" t="b">
        <v>0</v>
      </c>
      <c r="T688" s="88"/>
      <c r="U688" s="84"/>
      <c r="V688" s="84"/>
      <c r="W688" s="84"/>
      <c r="X688" s="84"/>
      <c r="Y688" s="84"/>
      <c r="Z688" s="84"/>
      <c r="AA688" s="84"/>
    </row>
    <row r="689" ht="26.25" hidden="1" customHeight="1">
      <c r="A689" s="85"/>
      <c r="B689" s="106"/>
      <c r="C689" s="103"/>
      <c r="D689" s="93"/>
      <c r="E689" s="93"/>
      <c r="F689" s="103"/>
      <c r="G689" s="113"/>
      <c r="H689" s="113"/>
      <c r="I689" s="100"/>
      <c r="J689" s="113"/>
      <c r="K689" s="82" t="b">
        <v>0</v>
      </c>
      <c r="L689" s="94"/>
      <c r="M689" s="84">
        <f t="shared" si="1"/>
        <v>6590</v>
      </c>
      <c r="N689" s="84"/>
      <c r="O689" s="84"/>
      <c r="P689" s="84"/>
      <c r="Q689" s="84"/>
      <c r="R689" s="86" t="str">
        <f t="shared" si="2"/>
        <v>Prepare for Showcase</v>
      </c>
      <c r="S689" s="82" t="b">
        <v>0</v>
      </c>
      <c r="T689" s="88"/>
      <c r="U689" s="84"/>
      <c r="V689" s="84"/>
      <c r="W689" s="84"/>
      <c r="X689" s="84"/>
      <c r="Y689" s="84"/>
      <c r="Z689" s="84"/>
      <c r="AA689" s="84"/>
    </row>
    <row r="690" ht="26.25" hidden="1" customHeight="1">
      <c r="A690" s="85"/>
      <c r="B690" s="106"/>
      <c r="C690" s="103"/>
      <c r="D690" s="93"/>
      <c r="E690" s="93"/>
      <c r="F690" s="103"/>
      <c r="G690" s="113"/>
      <c r="H690" s="113"/>
      <c r="I690" s="100"/>
      <c r="J690" s="113"/>
      <c r="K690" s="82" t="b">
        <v>0</v>
      </c>
      <c r="L690" s="94"/>
      <c r="M690" s="84">
        <f t="shared" si="1"/>
        <v>6590</v>
      </c>
      <c r="N690" s="84"/>
      <c r="O690" s="84"/>
      <c r="P690" s="84"/>
      <c r="Q690" s="84"/>
      <c r="R690" s="86" t="str">
        <f t="shared" si="2"/>
        <v>Prepare for Showcase</v>
      </c>
      <c r="S690" s="82" t="b">
        <v>0</v>
      </c>
      <c r="T690" s="88"/>
      <c r="U690" s="84"/>
      <c r="V690" s="84"/>
      <c r="W690" s="84"/>
      <c r="X690" s="84"/>
      <c r="Y690" s="84"/>
      <c r="Z690" s="84"/>
      <c r="AA690" s="84"/>
    </row>
    <row r="691" ht="26.25" hidden="1" customHeight="1">
      <c r="A691" s="85"/>
      <c r="B691" s="106"/>
      <c r="C691" s="103"/>
      <c r="D691" s="93"/>
      <c r="E691" s="93"/>
      <c r="F691" s="103"/>
      <c r="G691" s="113"/>
      <c r="H691" s="113"/>
      <c r="I691" s="100"/>
      <c r="J691" s="113"/>
      <c r="K691" s="82" t="b">
        <v>0</v>
      </c>
      <c r="L691" s="94"/>
      <c r="M691" s="84">
        <f t="shared" si="1"/>
        <v>6590</v>
      </c>
      <c r="N691" s="84"/>
      <c r="O691" s="84"/>
      <c r="P691" s="84"/>
      <c r="Q691" s="84"/>
      <c r="R691" s="86" t="str">
        <f t="shared" si="2"/>
        <v>Prepare for Showcase</v>
      </c>
      <c r="S691" s="82" t="b">
        <v>0</v>
      </c>
      <c r="T691" s="88"/>
      <c r="U691" s="84"/>
      <c r="V691" s="84"/>
      <c r="W691" s="84"/>
      <c r="X691" s="84"/>
      <c r="Y691" s="84"/>
      <c r="Z691" s="84"/>
      <c r="AA691" s="84"/>
    </row>
    <row r="692" ht="26.25" hidden="1" customHeight="1">
      <c r="A692" s="85"/>
      <c r="B692" s="106"/>
      <c r="C692" s="103"/>
      <c r="D692" s="93"/>
      <c r="E692" s="93"/>
      <c r="F692" s="103"/>
      <c r="G692" s="113"/>
      <c r="H692" s="113"/>
      <c r="I692" s="100"/>
      <c r="J692" s="113"/>
      <c r="K692" s="82" t="b">
        <v>0</v>
      </c>
      <c r="L692" s="94"/>
      <c r="M692" s="84">
        <f t="shared" si="1"/>
        <v>6590</v>
      </c>
      <c r="N692" s="84"/>
      <c r="O692" s="84"/>
      <c r="P692" s="84"/>
      <c r="Q692" s="84"/>
      <c r="R692" s="86" t="str">
        <f t="shared" si="2"/>
        <v>Prepare for Showcase</v>
      </c>
      <c r="S692" s="82" t="b">
        <v>0</v>
      </c>
      <c r="T692" s="88"/>
      <c r="U692" s="84"/>
      <c r="V692" s="84"/>
      <c r="W692" s="84"/>
      <c r="X692" s="84"/>
      <c r="Y692" s="84"/>
      <c r="Z692" s="84"/>
      <c r="AA692" s="84"/>
    </row>
    <row r="693" ht="26.25" hidden="1" customHeight="1">
      <c r="A693" s="85"/>
      <c r="B693" s="106"/>
      <c r="C693" s="103"/>
      <c r="D693" s="93"/>
      <c r="E693" s="93"/>
      <c r="F693" s="103"/>
      <c r="G693" s="113"/>
      <c r="H693" s="113"/>
      <c r="I693" s="100"/>
      <c r="J693" s="113"/>
      <c r="K693" s="82" t="b">
        <v>0</v>
      </c>
      <c r="L693" s="94"/>
      <c r="M693" s="84">
        <f t="shared" si="1"/>
        <v>6590</v>
      </c>
      <c r="N693" s="84"/>
      <c r="O693" s="84"/>
      <c r="P693" s="84"/>
      <c r="Q693" s="84"/>
      <c r="R693" s="86" t="str">
        <f t="shared" si="2"/>
        <v>Prepare for Showcase</v>
      </c>
      <c r="S693" s="82" t="b">
        <v>0</v>
      </c>
      <c r="T693" s="88"/>
      <c r="U693" s="84"/>
      <c r="V693" s="84"/>
      <c r="W693" s="84"/>
      <c r="X693" s="84"/>
      <c r="Y693" s="84"/>
      <c r="Z693" s="84"/>
      <c r="AA693" s="84"/>
    </row>
    <row r="694" ht="26.25" hidden="1" customHeight="1">
      <c r="A694" s="85"/>
      <c r="B694" s="106"/>
      <c r="C694" s="103"/>
      <c r="D694" s="93"/>
      <c r="E694" s="93"/>
      <c r="F694" s="103"/>
      <c r="G694" s="113"/>
      <c r="H694" s="113"/>
      <c r="I694" s="100"/>
      <c r="J694" s="113"/>
      <c r="K694" s="82" t="b">
        <v>0</v>
      </c>
      <c r="L694" s="94"/>
      <c r="M694" s="84">
        <f t="shared" si="1"/>
        <v>6590</v>
      </c>
      <c r="N694" s="84"/>
      <c r="O694" s="84"/>
      <c r="P694" s="84"/>
      <c r="Q694" s="84"/>
      <c r="R694" s="86" t="str">
        <f t="shared" si="2"/>
        <v>Prepare for Showcase</v>
      </c>
      <c r="S694" s="82" t="b">
        <v>0</v>
      </c>
      <c r="T694" s="88"/>
      <c r="U694" s="84"/>
      <c r="V694" s="84"/>
      <c r="W694" s="84"/>
      <c r="X694" s="84"/>
      <c r="Y694" s="84"/>
      <c r="Z694" s="84"/>
      <c r="AA694" s="84"/>
    </row>
    <row r="695" ht="26.25" hidden="1" customHeight="1">
      <c r="A695" s="85"/>
      <c r="B695" s="106"/>
      <c r="C695" s="103"/>
      <c r="D695" s="93"/>
      <c r="E695" s="93"/>
      <c r="F695" s="103"/>
      <c r="G695" s="113"/>
      <c r="H695" s="113"/>
      <c r="I695" s="100"/>
      <c r="J695" s="113"/>
      <c r="K695" s="82" t="b">
        <v>0</v>
      </c>
      <c r="L695" s="94"/>
      <c r="M695" s="84">
        <f t="shared" si="1"/>
        <v>6590</v>
      </c>
      <c r="N695" s="84"/>
      <c r="O695" s="84"/>
      <c r="P695" s="84"/>
      <c r="Q695" s="84"/>
      <c r="R695" s="86" t="str">
        <f t="shared" si="2"/>
        <v>Prepare for Showcase</v>
      </c>
      <c r="S695" s="82" t="b">
        <v>0</v>
      </c>
      <c r="T695" s="88"/>
      <c r="U695" s="84"/>
      <c r="V695" s="84"/>
      <c r="W695" s="84"/>
      <c r="X695" s="84"/>
      <c r="Y695" s="84"/>
      <c r="Z695" s="84"/>
      <c r="AA695" s="84"/>
    </row>
    <row r="696" ht="26.25" hidden="1" customHeight="1">
      <c r="A696" s="85"/>
      <c r="B696" s="106"/>
      <c r="C696" s="103"/>
      <c r="D696" s="93"/>
      <c r="E696" s="93"/>
      <c r="F696" s="103"/>
      <c r="G696" s="113"/>
      <c r="H696" s="113"/>
      <c r="I696" s="100"/>
      <c r="J696" s="113"/>
      <c r="K696" s="82" t="b">
        <v>0</v>
      </c>
      <c r="L696" s="94"/>
      <c r="M696" s="84">
        <f t="shared" si="1"/>
        <v>6590</v>
      </c>
      <c r="N696" s="84"/>
      <c r="O696" s="84"/>
      <c r="P696" s="84"/>
      <c r="Q696" s="84"/>
      <c r="R696" s="86" t="str">
        <f t="shared" si="2"/>
        <v>Prepare for Showcase</v>
      </c>
      <c r="S696" s="82" t="b">
        <v>0</v>
      </c>
      <c r="T696" s="88"/>
      <c r="U696" s="84"/>
      <c r="V696" s="84"/>
      <c r="W696" s="84"/>
      <c r="X696" s="84"/>
      <c r="Y696" s="84"/>
      <c r="Z696" s="84"/>
      <c r="AA696" s="84"/>
    </row>
    <row r="697" ht="26.25" hidden="1" customHeight="1">
      <c r="A697" s="85"/>
      <c r="B697" s="106"/>
      <c r="C697" s="103"/>
      <c r="D697" s="93"/>
      <c r="E697" s="93"/>
      <c r="F697" s="103"/>
      <c r="G697" s="113"/>
      <c r="H697" s="113"/>
      <c r="I697" s="100"/>
      <c r="J697" s="113"/>
      <c r="K697" s="82" t="b">
        <v>0</v>
      </c>
      <c r="L697" s="94"/>
      <c r="M697" s="84">
        <f t="shared" si="1"/>
        <v>6590</v>
      </c>
      <c r="N697" s="84"/>
      <c r="O697" s="84"/>
      <c r="P697" s="84"/>
      <c r="Q697" s="84"/>
      <c r="R697" s="86" t="str">
        <f t="shared" si="2"/>
        <v>Prepare for Showcase</v>
      </c>
      <c r="S697" s="82" t="b">
        <v>0</v>
      </c>
      <c r="T697" s="88"/>
      <c r="U697" s="84"/>
      <c r="V697" s="84"/>
      <c r="W697" s="84"/>
      <c r="X697" s="84"/>
      <c r="Y697" s="84"/>
      <c r="Z697" s="84"/>
      <c r="AA697" s="84"/>
    </row>
    <row r="698" ht="26.25" hidden="1" customHeight="1">
      <c r="A698" s="85"/>
      <c r="B698" s="106"/>
      <c r="C698" s="103"/>
      <c r="D698" s="93"/>
      <c r="E698" s="93"/>
      <c r="F698" s="103"/>
      <c r="G698" s="113"/>
      <c r="H698" s="113"/>
      <c r="I698" s="100"/>
      <c r="J698" s="113"/>
      <c r="K698" s="82" t="b">
        <v>0</v>
      </c>
      <c r="L698" s="94"/>
      <c r="M698" s="84">
        <f t="shared" si="1"/>
        <v>6590</v>
      </c>
      <c r="N698" s="84"/>
      <c r="O698" s="84"/>
      <c r="P698" s="84"/>
      <c r="Q698" s="84"/>
      <c r="R698" s="86" t="str">
        <f t="shared" si="2"/>
        <v>Prepare for Showcase</v>
      </c>
      <c r="S698" s="82" t="b">
        <v>0</v>
      </c>
      <c r="T698" s="88"/>
      <c r="U698" s="84"/>
      <c r="V698" s="84"/>
      <c r="W698" s="84"/>
      <c r="X698" s="84"/>
      <c r="Y698" s="84"/>
      <c r="Z698" s="84"/>
      <c r="AA698" s="84"/>
    </row>
    <row r="699" ht="26.25" hidden="1" customHeight="1">
      <c r="A699" s="85"/>
      <c r="B699" s="106"/>
      <c r="C699" s="103"/>
      <c r="D699" s="93"/>
      <c r="E699" s="93"/>
      <c r="F699" s="103"/>
      <c r="G699" s="113"/>
      <c r="H699" s="113"/>
      <c r="I699" s="100"/>
      <c r="J699" s="113"/>
      <c r="K699" s="82" t="b">
        <v>0</v>
      </c>
      <c r="L699" s="94"/>
      <c r="M699" s="84">
        <f t="shared" si="1"/>
        <v>6590</v>
      </c>
      <c r="N699" s="84"/>
      <c r="O699" s="84"/>
      <c r="P699" s="84"/>
      <c r="Q699" s="84"/>
      <c r="R699" s="86" t="str">
        <f t="shared" si="2"/>
        <v>Prepare for Showcase</v>
      </c>
      <c r="S699" s="82" t="b">
        <v>0</v>
      </c>
      <c r="T699" s="88"/>
      <c r="U699" s="84"/>
      <c r="V699" s="84"/>
      <c r="W699" s="84"/>
      <c r="X699" s="84"/>
      <c r="Y699" s="84"/>
      <c r="Z699" s="84"/>
      <c r="AA699" s="84"/>
    </row>
    <row r="700" ht="26.25" hidden="1" customHeight="1">
      <c r="A700" s="85"/>
      <c r="B700" s="106"/>
      <c r="C700" s="103"/>
      <c r="D700" s="93"/>
      <c r="E700" s="93"/>
      <c r="F700" s="103"/>
      <c r="G700" s="113"/>
      <c r="H700" s="113"/>
      <c r="I700" s="100"/>
      <c r="J700" s="113"/>
      <c r="K700" s="82" t="b">
        <v>0</v>
      </c>
      <c r="L700" s="94"/>
      <c r="M700" s="84">
        <f t="shared" si="1"/>
        <v>6590</v>
      </c>
      <c r="N700" s="84"/>
      <c r="O700" s="84"/>
      <c r="P700" s="84"/>
      <c r="Q700" s="84"/>
      <c r="R700" s="86" t="str">
        <f t="shared" si="2"/>
        <v>Prepare for Showcase</v>
      </c>
      <c r="S700" s="82" t="b">
        <v>0</v>
      </c>
      <c r="T700" s="88"/>
      <c r="U700" s="84"/>
      <c r="V700" s="84"/>
      <c r="W700" s="84"/>
      <c r="X700" s="84"/>
      <c r="Y700" s="84"/>
      <c r="Z700" s="84"/>
      <c r="AA700" s="84"/>
    </row>
    <row r="701" ht="26.25" hidden="1" customHeight="1">
      <c r="A701" s="85"/>
      <c r="B701" s="106"/>
      <c r="C701" s="103"/>
      <c r="D701" s="93"/>
      <c r="E701" s="93"/>
      <c r="F701" s="103"/>
      <c r="G701" s="113"/>
      <c r="H701" s="113"/>
      <c r="I701" s="100"/>
      <c r="J701" s="113"/>
      <c r="K701" s="82" t="b">
        <v>0</v>
      </c>
      <c r="L701" s="94"/>
      <c r="M701" s="84">
        <f t="shared" si="1"/>
        <v>6590</v>
      </c>
      <c r="N701" s="84"/>
      <c r="O701" s="84"/>
      <c r="P701" s="84"/>
      <c r="Q701" s="84"/>
      <c r="R701" s="86" t="str">
        <f t="shared" si="2"/>
        <v>Prepare for Showcase</v>
      </c>
      <c r="S701" s="82" t="b">
        <v>0</v>
      </c>
      <c r="T701" s="88"/>
      <c r="U701" s="84"/>
      <c r="V701" s="84"/>
      <c r="W701" s="84"/>
      <c r="X701" s="84"/>
      <c r="Y701" s="84"/>
      <c r="Z701" s="84"/>
      <c r="AA701" s="84"/>
    </row>
    <row r="702" ht="26.25" hidden="1" customHeight="1">
      <c r="A702" s="85"/>
      <c r="B702" s="106"/>
      <c r="C702" s="103"/>
      <c r="D702" s="93"/>
      <c r="E702" s="93"/>
      <c r="F702" s="103"/>
      <c r="G702" s="113"/>
      <c r="H702" s="113"/>
      <c r="I702" s="100"/>
      <c r="J702" s="113"/>
      <c r="K702" s="82" t="b">
        <v>0</v>
      </c>
      <c r="L702" s="94"/>
      <c r="M702" s="84">
        <f t="shared" si="1"/>
        <v>6590</v>
      </c>
      <c r="N702" s="84"/>
      <c r="O702" s="84"/>
      <c r="P702" s="84"/>
      <c r="Q702" s="84"/>
      <c r="R702" s="86" t="str">
        <f t="shared" si="2"/>
        <v>Prepare for Showcase</v>
      </c>
      <c r="S702" s="82" t="b">
        <v>0</v>
      </c>
      <c r="T702" s="88"/>
      <c r="U702" s="84"/>
      <c r="V702" s="84"/>
      <c r="W702" s="84"/>
      <c r="X702" s="84"/>
      <c r="Y702" s="84"/>
      <c r="Z702" s="84"/>
      <c r="AA702" s="84"/>
    </row>
    <row r="703" ht="26.25" hidden="1" customHeight="1">
      <c r="A703" s="85"/>
      <c r="B703" s="106"/>
      <c r="C703" s="103"/>
      <c r="D703" s="93"/>
      <c r="E703" s="93"/>
      <c r="F703" s="103"/>
      <c r="G703" s="113"/>
      <c r="H703" s="113"/>
      <c r="I703" s="100"/>
      <c r="J703" s="113"/>
      <c r="K703" s="82" t="b">
        <v>0</v>
      </c>
      <c r="L703" s="94"/>
      <c r="M703" s="84">
        <f t="shared" si="1"/>
        <v>6590</v>
      </c>
      <c r="N703" s="84"/>
      <c r="O703" s="84"/>
      <c r="P703" s="84"/>
      <c r="Q703" s="84"/>
      <c r="R703" s="86" t="str">
        <f t="shared" si="2"/>
        <v>Prepare for Showcase</v>
      </c>
      <c r="S703" s="82" t="b">
        <v>0</v>
      </c>
      <c r="T703" s="88"/>
      <c r="U703" s="84"/>
      <c r="V703" s="84"/>
      <c r="W703" s="84"/>
      <c r="X703" s="84"/>
      <c r="Y703" s="84"/>
      <c r="Z703" s="84"/>
      <c r="AA703" s="84"/>
    </row>
    <row r="704" ht="26.25" hidden="1" customHeight="1">
      <c r="A704" s="85"/>
      <c r="B704" s="106"/>
      <c r="C704" s="103"/>
      <c r="D704" s="93"/>
      <c r="E704" s="93"/>
      <c r="F704" s="103"/>
      <c r="G704" s="113"/>
      <c r="H704" s="113"/>
      <c r="I704" s="100"/>
      <c r="J704" s="113"/>
      <c r="K704" s="82" t="b">
        <v>0</v>
      </c>
      <c r="L704" s="94"/>
      <c r="M704" s="84">
        <f t="shared" si="1"/>
        <v>6590</v>
      </c>
      <c r="N704" s="84"/>
      <c r="O704" s="84"/>
      <c r="P704" s="84"/>
      <c r="Q704" s="84"/>
      <c r="R704" s="86" t="str">
        <f t="shared" si="2"/>
        <v>Prepare for Showcase</v>
      </c>
      <c r="S704" s="82" t="b">
        <v>0</v>
      </c>
      <c r="T704" s="88"/>
      <c r="U704" s="84"/>
      <c r="V704" s="84"/>
      <c r="W704" s="84"/>
      <c r="X704" s="84"/>
      <c r="Y704" s="84"/>
      <c r="Z704" s="84"/>
      <c r="AA704" s="84"/>
    </row>
    <row r="705" ht="26.25" hidden="1" customHeight="1">
      <c r="A705" s="85"/>
      <c r="B705" s="106"/>
      <c r="C705" s="103"/>
      <c r="D705" s="93"/>
      <c r="E705" s="93"/>
      <c r="F705" s="103"/>
      <c r="G705" s="113"/>
      <c r="H705" s="113"/>
      <c r="I705" s="100"/>
      <c r="J705" s="113"/>
      <c r="K705" s="82" t="b">
        <v>0</v>
      </c>
      <c r="L705" s="94"/>
      <c r="M705" s="84">
        <f t="shared" si="1"/>
        <v>6590</v>
      </c>
      <c r="N705" s="84"/>
      <c r="O705" s="84"/>
      <c r="P705" s="84"/>
      <c r="Q705" s="84"/>
      <c r="R705" s="86" t="str">
        <f t="shared" si="2"/>
        <v>Prepare for Showcase</v>
      </c>
      <c r="S705" s="82" t="b">
        <v>0</v>
      </c>
      <c r="T705" s="88"/>
      <c r="U705" s="84"/>
      <c r="V705" s="84"/>
      <c r="W705" s="84"/>
      <c r="X705" s="84"/>
      <c r="Y705" s="84"/>
      <c r="Z705" s="84"/>
      <c r="AA705" s="84"/>
    </row>
    <row r="706" ht="26.25" hidden="1" customHeight="1">
      <c r="A706" s="85"/>
      <c r="B706" s="106"/>
      <c r="C706" s="103"/>
      <c r="D706" s="93"/>
      <c r="E706" s="93"/>
      <c r="F706" s="103"/>
      <c r="G706" s="113"/>
      <c r="H706" s="113"/>
      <c r="I706" s="100"/>
      <c r="J706" s="113"/>
      <c r="K706" s="82" t="b">
        <v>0</v>
      </c>
      <c r="L706" s="94"/>
      <c r="M706" s="84">
        <f t="shared" si="1"/>
        <v>6590</v>
      </c>
      <c r="N706" s="84"/>
      <c r="O706" s="84"/>
      <c r="P706" s="84"/>
      <c r="Q706" s="84"/>
      <c r="R706" s="86" t="str">
        <f t="shared" si="2"/>
        <v>Prepare for Showcase</v>
      </c>
      <c r="S706" s="82" t="b">
        <v>0</v>
      </c>
      <c r="T706" s="88"/>
      <c r="U706" s="84"/>
      <c r="V706" s="84"/>
      <c r="W706" s="84"/>
      <c r="X706" s="84"/>
      <c r="Y706" s="84"/>
      <c r="Z706" s="84"/>
      <c r="AA706" s="84"/>
    </row>
    <row r="707" ht="26.25" hidden="1" customHeight="1">
      <c r="A707" s="85"/>
      <c r="B707" s="106"/>
      <c r="C707" s="103"/>
      <c r="D707" s="93"/>
      <c r="E707" s="93"/>
      <c r="F707" s="103"/>
      <c r="G707" s="113"/>
      <c r="H707" s="113"/>
      <c r="I707" s="100"/>
      <c r="J707" s="113"/>
      <c r="K707" s="82" t="b">
        <v>0</v>
      </c>
      <c r="L707" s="94"/>
      <c r="M707" s="84">
        <f t="shared" si="1"/>
        <v>6590</v>
      </c>
      <c r="N707" s="84"/>
      <c r="O707" s="84"/>
      <c r="P707" s="84"/>
      <c r="Q707" s="84"/>
      <c r="R707" s="86" t="str">
        <f t="shared" si="2"/>
        <v>Prepare for Showcase</v>
      </c>
      <c r="S707" s="82" t="b">
        <v>0</v>
      </c>
      <c r="T707" s="88"/>
      <c r="U707" s="84"/>
      <c r="V707" s="84"/>
      <c r="W707" s="84"/>
      <c r="X707" s="84"/>
      <c r="Y707" s="84"/>
      <c r="Z707" s="84"/>
      <c r="AA707" s="84"/>
    </row>
    <row r="708" ht="26.25" hidden="1" customHeight="1">
      <c r="A708" s="85"/>
      <c r="B708" s="106"/>
      <c r="C708" s="103"/>
      <c r="D708" s="93"/>
      <c r="E708" s="93"/>
      <c r="F708" s="103"/>
      <c r="G708" s="113"/>
      <c r="H708" s="113"/>
      <c r="I708" s="100"/>
      <c r="J708" s="113"/>
      <c r="K708" s="82" t="b">
        <v>0</v>
      </c>
      <c r="L708" s="94"/>
      <c r="M708" s="84">
        <f t="shared" si="1"/>
        <v>6590</v>
      </c>
      <c r="N708" s="84"/>
      <c r="O708" s="84"/>
      <c r="P708" s="84"/>
      <c r="Q708" s="84"/>
      <c r="R708" s="86" t="str">
        <f t="shared" si="2"/>
        <v>Prepare for Showcase</v>
      </c>
      <c r="S708" s="82" t="b">
        <v>0</v>
      </c>
      <c r="T708" s="88"/>
      <c r="U708" s="84"/>
      <c r="V708" s="84"/>
      <c r="W708" s="84"/>
      <c r="X708" s="84"/>
      <c r="Y708" s="84"/>
      <c r="Z708" s="84"/>
      <c r="AA708" s="84"/>
    </row>
    <row r="709" ht="26.25" hidden="1" customHeight="1">
      <c r="A709" s="85"/>
      <c r="B709" s="106"/>
      <c r="C709" s="103"/>
      <c r="D709" s="93"/>
      <c r="E709" s="93"/>
      <c r="F709" s="103"/>
      <c r="G709" s="113"/>
      <c r="H709" s="113"/>
      <c r="I709" s="100"/>
      <c r="J709" s="113"/>
      <c r="K709" s="82" t="b">
        <v>0</v>
      </c>
      <c r="L709" s="94"/>
      <c r="M709" s="84">
        <f t="shared" si="1"/>
        <v>6590</v>
      </c>
      <c r="N709" s="84"/>
      <c r="O709" s="84"/>
      <c r="P709" s="84"/>
      <c r="Q709" s="84"/>
      <c r="R709" s="86" t="str">
        <f t="shared" si="2"/>
        <v>Prepare for Showcase</v>
      </c>
      <c r="S709" s="82" t="b">
        <v>0</v>
      </c>
      <c r="T709" s="88"/>
      <c r="U709" s="84"/>
      <c r="V709" s="84"/>
      <c r="W709" s="84"/>
      <c r="X709" s="84"/>
      <c r="Y709" s="84"/>
      <c r="Z709" s="84"/>
      <c r="AA709" s="84"/>
    </row>
    <row r="710" ht="26.25" hidden="1" customHeight="1">
      <c r="A710" s="85"/>
      <c r="B710" s="106"/>
      <c r="C710" s="103"/>
      <c r="D710" s="93"/>
      <c r="E710" s="93"/>
      <c r="F710" s="103"/>
      <c r="G710" s="113"/>
      <c r="H710" s="113"/>
      <c r="I710" s="100"/>
      <c r="J710" s="113"/>
      <c r="K710" s="82" t="b">
        <v>0</v>
      </c>
      <c r="L710" s="94"/>
      <c r="M710" s="84">
        <f t="shared" si="1"/>
        <v>6590</v>
      </c>
      <c r="N710" s="84"/>
      <c r="O710" s="84"/>
      <c r="P710" s="84"/>
      <c r="Q710" s="84"/>
      <c r="R710" s="86" t="str">
        <f t="shared" si="2"/>
        <v>Prepare for Showcase</v>
      </c>
      <c r="S710" s="82" t="b">
        <v>0</v>
      </c>
      <c r="T710" s="88"/>
      <c r="U710" s="84"/>
      <c r="V710" s="84"/>
      <c r="W710" s="84"/>
      <c r="X710" s="84"/>
      <c r="Y710" s="84"/>
      <c r="Z710" s="84"/>
      <c r="AA710" s="84"/>
    </row>
    <row r="711" ht="26.25" hidden="1" customHeight="1">
      <c r="A711" s="85"/>
      <c r="B711" s="106"/>
      <c r="C711" s="103"/>
      <c r="D711" s="93"/>
      <c r="E711" s="93"/>
      <c r="F711" s="103"/>
      <c r="G711" s="113"/>
      <c r="H711" s="113"/>
      <c r="I711" s="100"/>
      <c r="J711" s="113"/>
      <c r="K711" s="82" t="b">
        <v>0</v>
      </c>
      <c r="L711" s="94"/>
      <c r="M711" s="84">
        <f t="shared" si="1"/>
        <v>6590</v>
      </c>
      <c r="N711" s="84"/>
      <c r="O711" s="84"/>
      <c r="P711" s="84"/>
      <c r="Q711" s="84"/>
      <c r="R711" s="86" t="str">
        <f t="shared" si="2"/>
        <v>Prepare for Showcase</v>
      </c>
      <c r="S711" s="82" t="b">
        <v>0</v>
      </c>
      <c r="T711" s="88"/>
      <c r="U711" s="84"/>
      <c r="V711" s="84"/>
      <c r="W711" s="84"/>
      <c r="X711" s="84"/>
      <c r="Y711" s="84"/>
      <c r="Z711" s="84"/>
      <c r="AA711" s="84"/>
    </row>
    <row r="712" ht="26.25" hidden="1" customHeight="1">
      <c r="A712" s="85"/>
      <c r="B712" s="106"/>
      <c r="C712" s="103"/>
      <c r="D712" s="93"/>
      <c r="E712" s="93"/>
      <c r="F712" s="103"/>
      <c r="G712" s="113"/>
      <c r="H712" s="113"/>
      <c r="I712" s="100"/>
      <c r="J712" s="113"/>
      <c r="K712" s="82" t="b">
        <v>0</v>
      </c>
      <c r="L712" s="94"/>
      <c r="M712" s="84">
        <f t="shared" si="1"/>
        <v>6590</v>
      </c>
      <c r="N712" s="84"/>
      <c r="O712" s="84"/>
      <c r="P712" s="84"/>
      <c r="Q712" s="84"/>
      <c r="R712" s="86" t="str">
        <f t="shared" si="2"/>
        <v>Prepare for Showcase</v>
      </c>
      <c r="S712" s="82" t="b">
        <v>0</v>
      </c>
      <c r="T712" s="88"/>
      <c r="U712" s="84"/>
      <c r="V712" s="84"/>
      <c r="W712" s="84"/>
      <c r="X712" s="84"/>
      <c r="Y712" s="84"/>
      <c r="Z712" s="84"/>
      <c r="AA712" s="84"/>
    </row>
    <row r="713" ht="26.25" hidden="1" customHeight="1">
      <c r="A713" s="85"/>
      <c r="B713" s="106"/>
      <c r="C713" s="103"/>
      <c r="D713" s="93"/>
      <c r="E713" s="93"/>
      <c r="F713" s="103"/>
      <c r="G713" s="113"/>
      <c r="H713" s="113"/>
      <c r="I713" s="100"/>
      <c r="J713" s="113"/>
      <c r="K713" s="82" t="b">
        <v>0</v>
      </c>
      <c r="L713" s="94"/>
      <c r="M713" s="84">
        <f t="shared" si="1"/>
        <v>6590</v>
      </c>
      <c r="N713" s="84"/>
      <c r="O713" s="84"/>
      <c r="P713" s="84"/>
      <c r="Q713" s="84"/>
      <c r="R713" s="86" t="str">
        <f t="shared" si="2"/>
        <v>Prepare for Showcase</v>
      </c>
      <c r="S713" s="82" t="b">
        <v>0</v>
      </c>
      <c r="T713" s="88"/>
      <c r="U713" s="84"/>
      <c r="V713" s="84"/>
      <c r="W713" s="84"/>
      <c r="X713" s="84"/>
      <c r="Y713" s="84"/>
      <c r="Z713" s="84"/>
      <c r="AA713" s="84"/>
    </row>
    <row r="714" ht="26.25" hidden="1" customHeight="1">
      <c r="A714" s="85"/>
      <c r="B714" s="106"/>
      <c r="C714" s="103"/>
      <c r="D714" s="93"/>
      <c r="E714" s="93"/>
      <c r="F714" s="103"/>
      <c r="G714" s="113"/>
      <c r="H714" s="113"/>
      <c r="I714" s="100"/>
      <c r="J714" s="113"/>
      <c r="K714" s="82" t="b">
        <v>0</v>
      </c>
      <c r="L714" s="94"/>
      <c r="M714" s="84">
        <f t="shared" si="1"/>
        <v>6590</v>
      </c>
      <c r="N714" s="84"/>
      <c r="O714" s="84"/>
      <c r="P714" s="84"/>
      <c r="Q714" s="84"/>
      <c r="R714" s="86" t="str">
        <f t="shared" si="2"/>
        <v>Prepare for Showcase</v>
      </c>
      <c r="S714" s="82" t="b">
        <v>0</v>
      </c>
      <c r="T714" s="88"/>
      <c r="U714" s="84"/>
      <c r="V714" s="84"/>
      <c r="W714" s="84"/>
      <c r="X714" s="84"/>
      <c r="Y714" s="84"/>
      <c r="Z714" s="84"/>
      <c r="AA714" s="84"/>
    </row>
    <row r="715" ht="26.25" hidden="1" customHeight="1">
      <c r="A715" s="85"/>
      <c r="B715" s="106"/>
      <c r="C715" s="103"/>
      <c r="D715" s="93"/>
      <c r="E715" s="93"/>
      <c r="F715" s="103"/>
      <c r="G715" s="113"/>
      <c r="H715" s="113"/>
      <c r="I715" s="100"/>
      <c r="J715" s="113"/>
      <c r="K715" s="82" t="b">
        <v>0</v>
      </c>
      <c r="L715" s="94"/>
      <c r="M715" s="84">
        <f t="shared" si="1"/>
        <v>6590</v>
      </c>
      <c r="N715" s="84"/>
      <c r="O715" s="84"/>
      <c r="P715" s="84"/>
      <c r="Q715" s="84"/>
      <c r="R715" s="86" t="str">
        <f t="shared" si="2"/>
        <v>Prepare for Showcase</v>
      </c>
      <c r="S715" s="82" t="b">
        <v>0</v>
      </c>
      <c r="T715" s="88"/>
      <c r="U715" s="84"/>
      <c r="V715" s="84"/>
      <c r="W715" s="84"/>
      <c r="X715" s="84"/>
      <c r="Y715" s="84"/>
      <c r="Z715" s="84"/>
      <c r="AA715" s="84"/>
    </row>
    <row r="716" ht="26.25" hidden="1" customHeight="1">
      <c r="A716" s="85"/>
      <c r="B716" s="106"/>
      <c r="C716" s="103"/>
      <c r="D716" s="93"/>
      <c r="E716" s="93"/>
      <c r="F716" s="103"/>
      <c r="G716" s="113"/>
      <c r="H716" s="113"/>
      <c r="I716" s="100"/>
      <c r="J716" s="113"/>
      <c r="K716" s="82" t="b">
        <v>0</v>
      </c>
      <c r="L716" s="94"/>
      <c r="M716" s="84">
        <f t="shared" si="1"/>
        <v>6590</v>
      </c>
      <c r="N716" s="84"/>
      <c r="O716" s="84"/>
      <c r="P716" s="84"/>
      <c r="Q716" s="84"/>
      <c r="R716" s="86" t="str">
        <f t="shared" si="2"/>
        <v>Prepare for Showcase</v>
      </c>
      <c r="S716" s="82" t="b">
        <v>0</v>
      </c>
      <c r="T716" s="88"/>
      <c r="U716" s="84"/>
      <c r="V716" s="84"/>
      <c r="W716" s="84"/>
      <c r="X716" s="84"/>
      <c r="Y716" s="84"/>
      <c r="Z716" s="84"/>
      <c r="AA716" s="84"/>
    </row>
    <row r="717" ht="26.25" hidden="1" customHeight="1">
      <c r="A717" s="85"/>
      <c r="B717" s="106"/>
      <c r="C717" s="103"/>
      <c r="D717" s="93"/>
      <c r="E717" s="93"/>
      <c r="F717" s="103"/>
      <c r="G717" s="113"/>
      <c r="H717" s="113"/>
      <c r="I717" s="100"/>
      <c r="J717" s="113"/>
      <c r="K717" s="82" t="b">
        <v>0</v>
      </c>
      <c r="L717" s="94"/>
      <c r="M717" s="84">
        <f t="shared" si="1"/>
        <v>6590</v>
      </c>
      <c r="N717" s="84"/>
      <c r="O717" s="84"/>
      <c r="P717" s="84"/>
      <c r="Q717" s="84"/>
      <c r="R717" s="86" t="str">
        <f t="shared" si="2"/>
        <v>Prepare for Showcase</v>
      </c>
      <c r="S717" s="82" t="b">
        <v>0</v>
      </c>
      <c r="T717" s="88"/>
      <c r="U717" s="84"/>
      <c r="V717" s="84"/>
      <c r="W717" s="84"/>
      <c r="X717" s="84"/>
      <c r="Y717" s="84"/>
      <c r="Z717" s="84"/>
      <c r="AA717" s="84"/>
    </row>
    <row r="718" ht="26.25" hidden="1" customHeight="1">
      <c r="A718" s="85"/>
      <c r="B718" s="106"/>
      <c r="C718" s="103"/>
      <c r="D718" s="93"/>
      <c r="E718" s="93"/>
      <c r="F718" s="103"/>
      <c r="G718" s="113"/>
      <c r="H718" s="113"/>
      <c r="I718" s="100"/>
      <c r="J718" s="113"/>
      <c r="K718" s="82" t="b">
        <v>0</v>
      </c>
      <c r="L718" s="94"/>
      <c r="M718" s="84">
        <f t="shared" si="1"/>
        <v>6590</v>
      </c>
      <c r="N718" s="84"/>
      <c r="O718" s="84"/>
      <c r="P718" s="84"/>
      <c r="Q718" s="84"/>
      <c r="R718" s="86" t="str">
        <f t="shared" si="2"/>
        <v>Prepare for Showcase</v>
      </c>
      <c r="S718" s="82" t="b">
        <v>0</v>
      </c>
      <c r="T718" s="88"/>
      <c r="U718" s="84"/>
      <c r="V718" s="84"/>
      <c r="W718" s="84"/>
      <c r="X718" s="84"/>
      <c r="Y718" s="84"/>
      <c r="Z718" s="84"/>
      <c r="AA718" s="84"/>
    </row>
    <row r="719" ht="26.25" hidden="1" customHeight="1">
      <c r="A719" s="85"/>
      <c r="B719" s="106"/>
      <c r="C719" s="103"/>
      <c r="D719" s="93"/>
      <c r="E719" s="93"/>
      <c r="F719" s="103"/>
      <c r="G719" s="113"/>
      <c r="H719" s="113"/>
      <c r="I719" s="100"/>
      <c r="J719" s="113"/>
      <c r="K719" s="82" t="b">
        <v>0</v>
      </c>
      <c r="L719" s="94"/>
      <c r="M719" s="84">
        <f t="shared" si="1"/>
        <v>6590</v>
      </c>
      <c r="N719" s="84"/>
      <c r="O719" s="84"/>
      <c r="P719" s="84"/>
      <c r="Q719" s="84"/>
      <c r="R719" s="86" t="str">
        <f t="shared" si="2"/>
        <v>Prepare for Showcase</v>
      </c>
      <c r="S719" s="82" t="b">
        <v>0</v>
      </c>
      <c r="T719" s="88"/>
      <c r="U719" s="84"/>
      <c r="V719" s="84"/>
      <c r="W719" s="84"/>
      <c r="X719" s="84"/>
      <c r="Y719" s="84"/>
      <c r="Z719" s="84"/>
      <c r="AA719" s="84"/>
    </row>
    <row r="720" ht="26.25" hidden="1" customHeight="1">
      <c r="A720" s="85"/>
      <c r="B720" s="106"/>
      <c r="C720" s="103"/>
      <c r="D720" s="93"/>
      <c r="E720" s="93"/>
      <c r="F720" s="103"/>
      <c r="G720" s="113"/>
      <c r="H720" s="113"/>
      <c r="I720" s="100"/>
      <c r="J720" s="113"/>
      <c r="K720" s="82" t="b">
        <v>0</v>
      </c>
      <c r="L720" s="94"/>
      <c r="M720" s="84">
        <f t="shared" si="1"/>
        <v>6590</v>
      </c>
      <c r="N720" s="84"/>
      <c r="O720" s="84"/>
      <c r="P720" s="84"/>
      <c r="Q720" s="84"/>
      <c r="R720" s="86" t="str">
        <f t="shared" si="2"/>
        <v>Prepare for Showcase</v>
      </c>
      <c r="S720" s="82" t="b">
        <v>0</v>
      </c>
      <c r="T720" s="88"/>
      <c r="U720" s="84"/>
      <c r="V720" s="84"/>
      <c r="W720" s="84"/>
      <c r="X720" s="84"/>
      <c r="Y720" s="84"/>
      <c r="Z720" s="84"/>
      <c r="AA720" s="84"/>
    </row>
    <row r="721" ht="26.25" hidden="1" customHeight="1">
      <c r="A721" s="85"/>
      <c r="B721" s="106"/>
      <c r="C721" s="103"/>
      <c r="D721" s="93"/>
      <c r="E721" s="93"/>
      <c r="F721" s="103"/>
      <c r="G721" s="113"/>
      <c r="H721" s="113"/>
      <c r="I721" s="100"/>
      <c r="J721" s="113"/>
      <c r="K721" s="82" t="b">
        <v>0</v>
      </c>
      <c r="L721" s="94"/>
      <c r="M721" s="84">
        <f t="shared" si="1"/>
        <v>6590</v>
      </c>
      <c r="N721" s="84"/>
      <c r="O721" s="84"/>
      <c r="P721" s="84"/>
      <c r="Q721" s="84"/>
      <c r="R721" s="86" t="str">
        <f t="shared" si="2"/>
        <v>Prepare for Showcase</v>
      </c>
      <c r="S721" s="82" t="b">
        <v>0</v>
      </c>
      <c r="T721" s="88"/>
      <c r="U721" s="84"/>
      <c r="V721" s="84"/>
      <c r="W721" s="84"/>
      <c r="X721" s="84"/>
      <c r="Y721" s="84"/>
      <c r="Z721" s="84"/>
      <c r="AA721" s="84"/>
    </row>
    <row r="722" ht="26.25" hidden="1" customHeight="1">
      <c r="A722" s="85"/>
      <c r="B722" s="106"/>
      <c r="C722" s="103"/>
      <c r="D722" s="93"/>
      <c r="E722" s="93"/>
      <c r="F722" s="103"/>
      <c r="G722" s="113"/>
      <c r="H722" s="113"/>
      <c r="I722" s="100"/>
      <c r="J722" s="113"/>
      <c r="K722" s="82" t="b">
        <v>0</v>
      </c>
      <c r="L722" s="94"/>
      <c r="M722" s="84">
        <f t="shared" si="1"/>
        <v>6590</v>
      </c>
      <c r="N722" s="84"/>
      <c r="O722" s="84"/>
      <c r="P722" s="84"/>
      <c r="Q722" s="84"/>
      <c r="R722" s="86" t="str">
        <f t="shared" si="2"/>
        <v>Prepare for Showcase</v>
      </c>
      <c r="S722" s="82" t="b">
        <v>0</v>
      </c>
      <c r="T722" s="88"/>
      <c r="U722" s="84"/>
      <c r="V722" s="84"/>
      <c r="W722" s="84"/>
      <c r="X722" s="84"/>
      <c r="Y722" s="84"/>
      <c r="Z722" s="84"/>
      <c r="AA722" s="84"/>
    </row>
    <row r="723" ht="26.25" hidden="1" customHeight="1">
      <c r="A723" s="85"/>
      <c r="B723" s="106"/>
      <c r="C723" s="103"/>
      <c r="D723" s="93"/>
      <c r="E723" s="93"/>
      <c r="F723" s="103"/>
      <c r="G723" s="113"/>
      <c r="H723" s="113"/>
      <c r="I723" s="100"/>
      <c r="J723" s="113"/>
      <c r="K723" s="82" t="b">
        <v>0</v>
      </c>
      <c r="L723" s="94"/>
      <c r="M723" s="84">
        <f t="shared" si="1"/>
        <v>6590</v>
      </c>
      <c r="N723" s="84"/>
      <c r="O723" s="84"/>
      <c r="P723" s="84"/>
      <c r="Q723" s="84"/>
      <c r="R723" s="86" t="str">
        <f t="shared" si="2"/>
        <v>Prepare for Showcase</v>
      </c>
      <c r="S723" s="82" t="b">
        <v>0</v>
      </c>
      <c r="T723" s="88"/>
      <c r="U723" s="84"/>
      <c r="V723" s="84"/>
      <c r="W723" s="84"/>
      <c r="X723" s="84"/>
      <c r="Y723" s="84"/>
      <c r="Z723" s="84"/>
      <c r="AA723" s="84"/>
    </row>
    <row r="724" ht="26.25" hidden="1" customHeight="1">
      <c r="A724" s="85"/>
      <c r="B724" s="106"/>
      <c r="C724" s="103"/>
      <c r="D724" s="93"/>
      <c r="E724" s="93"/>
      <c r="F724" s="103"/>
      <c r="G724" s="113"/>
      <c r="H724" s="113"/>
      <c r="I724" s="100"/>
      <c r="J724" s="113"/>
      <c r="K724" s="82" t="b">
        <v>0</v>
      </c>
      <c r="L724" s="94"/>
      <c r="M724" s="84">
        <f t="shared" si="1"/>
        <v>6590</v>
      </c>
      <c r="N724" s="84"/>
      <c r="O724" s="84"/>
      <c r="P724" s="84"/>
      <c r="Q724" s="84"/>
      <c r="R724" s="86" t="str">
        <f t="shared" si="2"/>
        <v>Prepare for Showcase</v>
      </c>
      <c r="S724" s="82" t="b">
        <v>0</v>
      </c>
      <c r="T724" s="88"/>
      <c r="U724" s="84"/>
      <c r="V724" s="84"/>
      <c r="W724" s="84"/>
      <c r="X724" s="84"/>
      <c r="Y724" s="84"/>
      <c r="Z724" s="84"/>
      <c r="AA724" s="84"/>
    </row>
    <row r="725" ht="26.25" hidden="1" customHeight="1">
      <c r="A725" s="85"/>
      <c r="B725" s="106"/>
      <c r="C725" s="103"/>
      <c r="D725" s="93"/>
      <c r="E725" s="93"/>
      <c r="F725" s="103"/>
      <c r="G725" s="113"/>
      <c r="H725" s="113"/>
      <c r="I725" s="100"/>
      <c r="J725" s="113"/>
      <c r="K725" s="82" t="b">
        <v>0</v>
      </c>
      <c r="L725" s="94"/>
      <c r="M725" s="84">
        <f t="shared" si="1"/>
        <v>6590</v>
      </c>
      <c r="N725" s="84"/>
      <c r="O725" s="84"/>
      <c r="P725" s="84"/>
      <c r="Q725" s="84"/>
      <c r="R725" s="86" t="str">
        <f t="shared" si="2"/>
        <v>Prepare for Showcase</v>
      </c>
      <c r="S725" s="82" t="b">
        <v>0</v>
      </c>
      <c r="T725" s="88"/>
      <c r="U725" s="84"/>
      <c r="V725" s="84"/>
      <c r="W725" s="84"/>
      <c r="X725" s="84"/>
      <c r="Y725" s="84"/>
      <c r="Z725" s="84"/>
      <c r="AA725" s="84"/>
    </row>
    <row r="726" ht="26.25" hidden="1" customHeight="1">
      <c r="A726" s="85"/>
      <c r="B726" s="106"/>
      <c r="C726" s="103"/>
      <c r="D726" s="93"/>
      <c r="E726" s="93"/>
      <c r="F726" s="103"/>
      <c r="G726" s="113"/>
      <c r="H726" s="113"/>
      <c r="I726" s="100"/>
      <c r="J726" s="113"/>
      <c r="K726" s="82" t="b">
        <v>0</v>
      </c>
      <c r="L726" s="94"/>
      <c r="M726" s="84">
        <f t="shared" si="1"/>
        <v>6590</v>
      </c>
      <c r="N726" s="84"/>
      <c r="O726" s="84"/>
      <c r="P726" s="84"/>
      <c r="Q726" s="84"/>
      <c r="R726" s="86" t="str">
        <f t="shared" si="2"/>
        <v>Prepare for Showcase</v>
      </c>
      <c r="S726" s="82" t="b">
        <v>0</v>
      </c>
      <c r="T726" s="88"/>
      <c r="U726" s="84"/>
      <c r="V726" s="84"/>
      <c r="W726" s="84"/>
      <c r="X726" s="84"/>
      <c r="Y726" s="84"/>
      <c r="Z726" s="84"/>
      <c r="AA726" s="84"/>
    </row>
    <row r="727" ht="26.25" hidden="1" customHeight="1">
      <c r="A727" s="85"/>
      <c r="B727" s="106"/>
      <c r="C727" s="103"/>
      <c r="D727" s="93"/>
      <c r="E727" s="93"/>
      <c r="F727" s="103"/>
      <c r="G727" s="113"/>
      <c r="H727" s="113"/>
      <c r="I727" s="100"/>
      <c r="J727" s="113"/>
      <c r="K727" s="82" t="b">
        <v>0</v>
      </c>
      <c r="L727" s="94"/>
      <c r="M727" s="84">
        <f t="shared" si="1"/>
        <v>6590</v>
      </c>
      <c r="N727" s="84"/>
      <c r="O727" s="84"/>
      <c r="P727" s="84"/>
      <c r="Q727" s="84"/>
      <c r="R727" s="86" t="str">
        <f t="shared" si="2"/>
        <v>Prepare for Showcase</v>
      </c>
      <c r="S727" s="82" t="b">
        <v>0</v>
      </c>
      <c r="T727" s="88"/>
      <c r="U727" s="84"/>
      <c r="V727" s="84"/>
      <c r="W727" s="84"/>
      <c r="X727" s="84"/>
      <c r="Y727" s="84"/>
      <c r="Z727" s="84"/>
      <c r="AA727" s="84"/>
    </row>
    <row r="728" ht="26.25" hidden="1" customHeight="1">
      <c r="A728" s="85"/>
      <c r="B728" s="106"/>
      <c r="C728" s="103"/>
      <c r="D728" s="93"/>
      <c r="E728" s="93"/>
      <c r="F728" s="103"/>
      <c r="G728" s="113"/>
      <c r="H728" s="113"/>
      <c r="I728" s="100"/>
      <c r="J728" s="113"/>
      <c r="K728" s="82" t="b">
        <v>0</v>
      </c>
      <c r="L728" s="94"/>
      <c r="M728" s="84">
        <f t="shared" si="1"/>
        <v>6590</v>
      </c>
      <c r="N728" s="84"/>
      <c r="O728" s="84"/>
      <c r="P728" s="84"/>
      <c r="Q728" s="84"/>
      <c r="R728" s="86" t="str">
        <f t="shared" si="2"/>
        <v>Prepare for Showcase</v>
      </c>
      <c r="S728" s="82" t="b">
        <v>0</v>
      </c>
      <c r="T728" s="88"/>
      <c r="U728" s="84"/>
      <c r="V728" s="84"/>
      <c r="W728" s="84"/>
      <c r="X728" s="84"/>
      <c r="Y728" s="84"/>
      <c r="Z728" s="84"/>
      <c r="AA728" s="84"/>
    </row>
    <row r="729" ht="26.25" hidden="1" customHeight="1">
      <c r="A729" s="85"/>
      <c r="B729" s="106"/>
      <c r="C729" s="103"/>
      <c r="D729" s="93"/>
      <c r="E729" s="93"/>
      <c r="F729" s="103"/>
      <c r="G729" s="113"/>
      <c r="H729" s="113"/>
      <c r="I729" s="100"/>
      <c r="J729" s="113"/>
      <c r="K729" s="82" t="b">
        <v>0</v>
      </c>
      <c r="L729" s="94"/>
      <c r="M729" s="84">
        <f t="shared" si="1"/>
        <v>6590</v>
      </c>
      <c r="N729" s="84"/>
      <c r="O729" s="84"/>
      <c r="P729" s="84"/>
      <c r="Q729" s="84"/>
      <c r="R729" s="86" t="str">
        <f t="shared" si="2"/>
        <v>Prepare for Showcase</v>
      </c>
      <c r="S729" s="82" t="b">
        <v>0</v>
      </c>
      <c r="T729" s="88"/>
      <c r="U729" s="84"/>
      <c r="V729" s="84"/>
      <c r="W729" s="84"/>
      <c r="X729" s="84"/>
      <c r="Y729" s="84"/>
      <c r="Z729" s="84"/>
      <c r="AA729" s="84"/>
    </row>
    <row r="730" ht="26.25" hidden="1" customHeight="1">
      <c r="A730" s="85"/>
      <c r="B730" s="106"/>
      <c r="C730" s="103"/>
      <c r="D730" s="93"/>
      <c r="E730" s="93"/>
      <c r="F730" s="103"/>
      <c r="G730" s="113"/>
      <c r="H730" s="113"/>
      <c r="I730" s="100"/>
      <c r="J730" s="113"/>
      <c r="K730" s="82" t="b">
        <v>0</v>
      </c>
      <c r="L730" s="94"/>
      <c r="M730" s="84">
        <f t="shared" si="1"/>
        <v>6590</v>
      </c>
      <c r="N730" s="84"/>
      <c r="O730" s="84"/>
      <c r="P730" s="84"/>
      <c r="Q730" s="84"/>
      <c r="R730" s="86" t="str">
        <f t="shared" si="2"/>
        <v>Prepare for Showcase</v>
      </c>
      <c r="S730" s="82" t="b">
        <v>0</v>
      </c>
      <c r="T730" s="88"/>
      <c r="U730" s="84"/>
      <c r="V730" s="84"/>
      <c r="W730" s="84"/>
      <c r="X730" s="84"/>
      <c r="Y730" s="84"/>
      <c r="Z730" s="84"/>
      <c r="AA730" s="84"/>
    </row>
    <row r="731" ht="26.25" hidden="1" customHeight="1">
      <c r="A731" s="85"/>
      <c r="B731" s="106"/>
      <c r="C731" s="103"/>
      <c r="D731" s="93"/>
      <c r="E731" s="93"/>
      <c r="F731" s="103"/>
      <c r="G731" s="113"/>
      <c r="H731" s="113"/>
      <c r="I731" s="100"/>
      <c r="J731" s="113"/>
      <c r="K731" s="82" t="b">
        <v>0</v>
      </c>
      <c r="L731" s="94"/>
      <c r="M731" s="84">
        <f t="shared" si="1"/>
        <v>6590</v>
      </c>
      <c r="N731" s="84"/>
      <c r="O731" s="84"/>
      <c r="P731" s="84"/>
      <c r="Q731" s="84"/>
      <c r="R731" s="86" t="str">
        <f t="shared" si="2"/>
        <v>Prepare for Showcase</v>
      </c>
      <c r="S731" s="82" t="b">
        <v>0</v>
      </c>
      <c r="T731" s="88"/>
      <c r="U731" s="84"/>
      <c r="V731" s="84"/>
      <c r="W731" s="84"/>
      <c r="X731" s="84"/>
      <c r="Y731" s="84"/>
      <c r="Z731" s="84"/>
      <c r="AA731" s="84"/>
    </row>
    <row r="732" ht="26.25" hidden="1" customHeight="1">
      <c r="A732" s="85"/>
      <c r="B732" s="106"/>
      <c r="C732" s="103"/>
      <c r="D732" s="93"/>
      <c r="E732" s="93"/>
      <c r="F732" s="103"/>
      <c r="G732" s="113"/>
      <c r="H732" s="113"/>
      <c r="I732" s="100"/>
      <c r="J732" s="113"/>
      <c r="K732" s="82" t="b">
        <v>0</v>
      </c>
      <c r="L732" s="94"/>
      <c r="M732" s="84">
        <f t="shared" si="1"/>
        <v>6590</v>
      </c>
      <c r="N732" s="84"/>
      <c r="O732" s="84"/>
      <c r="P732" s="84"/>
      <c r="Q732" s="84"/>
      <c r="R732" s="86" t="str">
        <f t="shared" si="2"/>
        <v>Prepare for Showcase</v>
      </c>
      <c r="S732" s="82" t="b">
        <v>0</v>
      </c>
      <c r="T732" s="88"/>
      <c r="U732" s="84"/>
      <c r="V732" s="84"/>
      <c r="W732" s="84"/>
      <c r="X732" s="84"/>
      <c r="Y732" s="84"/>
      <c r="Z732" s="84"/>
      <c r="AA732" s="84"/>
    </row>
    <row r="733" ht="26.25" hidden="1" customHeight="1">
      <c r="A733" s="85"/>
      <c r="B733" s="106"/>
      <c r="C733" s="103"/>
      <c r="D733" s="93"/>
      <c r="E733" s="93"/>
      <c r="F733" s="103"/>
      <c r="G733" s="113"/>
      <c r="H733" s="113"/>
      <c r="I733" s="100"/>
      <c r="J733" s="113"/>
      <c r="K733" s="82" t="b">
        <v>0</v>
      </c>
      <c r="L733" s="94"/>
      <c r="M733" s="84">
        <f t="shared" si="1"/>
        <v>6590</v>
      </c>
      <c r="N733" s="84"/>
      <c r="O733" s="84"/>
      <c r="P733" s="84"/>
      <c r="Q733" s="84"/>
      <c r="R733" s="86" t="str">
        <f t="shared" si="2"/>
        <v>Prepare for Showcase</v>
      </c>
      <c r="S733" s="82" t="b">
        <v>0</v>
      </c>
      <c r="T733" s="88"/>
      <c r="U733" s="84"/>
      <c r="V733" s="84"/>
      <c r="W733" s="84"/>
      <c r="X733" s="84"/>
      <c r="Y733" s="84"/>
      <c r="Z733" s="84"/>
      <c r="AA733" s="84"/>
    </row>
    <row r="734" ht="26.25" hidden="1" customHeight="1">
      <c r="A734" s="85"/>
      <c r="B734" s="106"/>
      <c r="C734" s="103"/>
      <c r="D734" s="93"/>
      <c r="E734" s="93"/>
      <c r="F734" s="103"/>
      <c r="G734" s="113"/>
      <c r="H734" s="113"/>
      <c r="I734" s="100"/>
      <c r="J734" s="113"/>
      <c r="K734" s="82" t="b">
        <v>0</v>
      </c>
      <c r="L734" s="94"/>
      <c r="M734" s="84">
        <f t="shared" si="1"/>
        <v>6590</v>
      </c>
      <c r="N734" s="84"/>
      <c r="O734" s="84"/>
      <c r="P734" s="84"/>
      <c r="Q734" s="84"/>
      <c r="R734" s="86" t="str">
        <f t="shared" si="2"/>
        <v>Prepare for Showcase</v>
      </c>
      <c r="S734" s="82" t="b">
        <v>0</v>
      </c>
      <c r="T734" s="88"/>
      <c r="U734" s="84"/>
      <c r="V734" s="84"/>
      <c r="W734" s="84"/>
      <c r="X734" s="84"/>
      <c r="Y734" s="84"/>
      <c r="Z734" s="84"/>
      <c r="AA734" s="84"/>
    </row>
    <row r="735" ht="26.25" hidden="1" customHeight="1">
      <c r="A735" s="85"/>
      <c r="B735" s="106"/>
      <c r="C735" s="103"/>
      <c r="D735" s="93"/>
      <c r="E735" s="93"/>
      <c r="F735" s="103"/>
      <c r="G735" s="113"/>
      <c r="H735" s="113"/>
      <c r="I735" s="100"/>
      <c r="J735" s="113"/>
      <c r="K735" s="82" t="b">
        <v>0</v>
      </c>
      <c r="L735" s="94"/>
      <c r="M735" s="84">
        <f t="shared" si="1"/>
        <v>6590</v>
      </c>
      <c r="N735" s="84"/>
      <c r="O735" s="84"/>
      <c r="P735" s="84"/>
      <c r="Q735" s="84"/>
      <c r="R735" s="86" t="str">
        <f t="shared" si="2"/>
        <v>Prepare for Showcase</v>
      </c>
      <c r="S735" s="82" t="b">
        <v>0</v>
      </c>
      <c r="T735" s="88"/>
      <c r="U735" s="84"/>
      <c r="V735" s="84"/>
      <c r="W735" s="84"/>
      <c r="X735" s="84"/>
      <c r="Y735" s="84"/>
      <c r="Z735" s="84"/>
      <c r="AA735" s="84"/>
    </row>
    <row r="736" ht="26.25" hidden="1" customHeight="1">
      <c r="A736" s="85"/>
      <c r="B736" s="106"/>
      <c r="C736" s="103"/>
      <c r="D736" s="93"/>
      <c r="E736" s="93"/>
      <c r="F736" s="103"/>
      <c r="G736" s="113"/>
      <c r="H736" s="113"/>
      <c r="I736" s="100"/>
      <c r="J736" s="113"/>
      <c r="K736" s="82" t="b">
        <v>0</v>
      </c>
      <c r="L736" s="94"/>
      <c r="M736" s="84">
        <f t="shared" si="1"/>
        <v>6590</v>
      </c>
      <c r="N736" s="84"/>
      <c r="O736" s="84"/>
      <c r="P736" s="84"/>
      <c r="Q736" s="84"/>
      <c r="R736" s="86" t="str">
        <f t="shared" si="2"/>
        <v>Prepare for Showcase</v>
      </c>
      <c r="S736" s="82" t="b">
        <v>0</v>
      </c>
      <c r="T736" s="88"/>
      <c r="U736" s="84"/>
      <c r="V736" s="84"/>
      <c r="W736" s="84"/>
      <c r="X736" s="84"/>
      <c r="Y736" s="84"/>
      <c r="Z736" s="84"/>
      <c r="AA736" s="84"/>
    </row>
    <row r="737" ht="26.25" hidden="1" customHeight="1">
      <c r="A737" s="85"/>
      <c r="B737" s="106"/>
      <c r="C737" s="103"/>
      <c r="D737" s="93"/>
      <c r="E737" s="93"/>
      <c r="F737" s="103"/>
      <c r="G737" s="113"/>
      <c r="H737" s="113"/>
      <c r="I737" s="100"/>
      <c r="J737" s="113"/>
      <c r="K737" s="82" t="b">
        <v>0</v>
      </c>
      <c r="L737" s="94"/>
      <c r="M737" s="84">
        <f t="shared" si="1"/>
        <v>6590</v>
      </c>
      <c r="N737" s="84"/>
      <c r="O737" s="84"/>
      <c r="P737" s="84"/>
      <c r="Q737" s="84"/>
      <c r="R737" s="86" t="str">
        <f t="shared" si="2"/>
        <v>Prepare for Showcase</v>
      </c>
      <c r="S737" s="82" t="b">
        <v>0</v>
      </c>
      <c r="T737" s="88"/>
      <c r="U737" s="84"/>
      <c r="V737" s="84"/>
      <c r="W737" s="84"/>
      <c r="X737" s="84"/>
      <c r="Y737" s="84"/>
      <c r="Z737" s="84"/>
      <c r="AA737" s="84"/>
    </row>
    <row r="738" ht="26.25" hidden="1" customHeight="1">
      <c r="A738" s="85"/>
      <c r="B738" s="106"/>
      <c r="C738" s="103"/>
      <c r="D738" s="93"/>
      <c r="E738" s="93"/>
      <c r="F738" s="103"/>
      <c r="G738" s="113"/>
      <c r="H738" s="113"/>
      <c r="I738" s="100"/>
      <c r="J738" s="113"/>
      <c r="K738" s="82" t="b">
        <v>0</v>
      </c>
      <c r="L738" s="94"/>
      <c r="M738" s="84">
        <f t="shared" si="1"/>
        <v>6590</v>
      </c>
      <c r="N738" s="84"/>
      <c r="O738" s="84"/>
      <c r="P738" s="84"/>
      <c r="Q738" s="84"/>
      <c r="R738" s="86" t="str">
        <f t="shared" si="2"/>
        <v>Prepare for Showcase</v>
      </c>
      <c r="S738" s="82" t="b">
        <v>0</v>
      </c>
      <c r="T738" s="88"/>
      <c r="U738" s="84"/>
      <c r="V738" s="84"/>
      <c r="W738" s="84"/>
      <c r="X738" s="84"/>
      <c r="Y738" s="84"/>
      <c r="Z738" s="84"/>
      <c r="AA738" s="84"/>
    </row>
    <row r="739" ht="26.25" hidden="1" customHeight="1">
      <c r="A739" s="85"/>
      <c r="B739" s="106"/>
      <c r="C739" s="103"/>
      <c r="D739" s="93"/>
      <c r="E739" s="93"/>
      <c r="F739" s="103"/>
      <c r="G739" s="113"/>
      <c r="H739" s="113"/>
      <c r="I739" s="100"/>
      <c r="J739" s="113"/>
      <c r="K739" s="82" t="b">
        <v>0</v>
      </c>
      <c r="L739" s="94"/>
      <c r="M739" s="84">
        <f t="shared" si="1"/>
        <v>6590</v>
      </c>
      <c r="N739" s="84"/>
      <c r="O739" s="84"/>
      <c r="P739" s="84"/>
      <c r="Q739" s="84"/>
      <c r="R739" s="86" t="str">
        <f t="shared" si="2"/>
        <v>Prepare for Showcase</v>
      </c>
      <c r="S739" s="82" t="b">
        <v>0</v>
      </c>
      <c r="T739" s="88"/>
      <c r="U739" s="84"/>
      <c r="V739" s="84"/>
      <c r="W739" s="84"/>
      <c r="X739" s="84"/>
      <c r="Y739" s="84"/>
      <c r="Z739" s="84"/>
      <c r="AA739" s="84"/>
    </row>
    <row r="740" ht="26.25" hidden="1" customHeight="1">
      <c r="A740" s="85"/>
      <c r="B740" s="106"/>
      <c r="C740" s="103"/>
      <c r="D740" s="93"/>
      <c r="E740" s="93"/>
      <c r="F740" s="103"/>
      <c r="G740" s="113"/>
      <c r="H740" s="113"/>
      <c r="I740" s="100"/>
      <c r="J740" s="113"/>
      <c r="K740" s="82" t="b">
        <v>0</v>
      </c>
      <c r="L740" s="94"/>
      <c r="M740" s="84">
        <f t="shared" si="1"/>
        <v>6590</v>
      </c>
      <c r="N740" s="84"/>
      <c r="O740" s="84"/>
      <c r="P740" s="84"/>
      <c r="Q740" s="84"/>
      <c r="R740" s="86" t="str">
        <f t="shared" si="2"/>
        <v>Prepare for Showcase</v>
      </c>
      <c r="S740" s="82" t="b">
        <v>0</v>
      </c>
      <c r="T740" s="88"/>
      <c r="U740" s="84"/>
      <c r="V740" s="84"/>
      <c r="W740" s="84"/>
      <c r="X740" s="84"/>
      <c r="Y740" s="84"/>
      <c r="Z740" s="84"/>
      <c r="AA740" s="84"/>
    </row>
    <row r="741" ht="26.25" hidden="1" customHeight="1">
      <c r="A741" s="85"/>
      <c r="B741" s="106"/>
      <c r="C741" s="103"/>
      <c r="D741" s="93"/>
      <c r="E741" s="93"/>
      <c r="F741" s="103"/>
      <c r="G741" s="113"/>
      <c r="H741" s="113"/>
      <c r="I741" s="100"/>
      <c r="J741" s="113"/>
      <c r="K741" s="82" t="b">
        <v>0</v>
      </c>
      <c r="L741" s="94"/>
      <c r="M741" s="84">
        <f t="shared" si="1"/>
        <v>6590</v>
      </c>
      <c r="N741" s="84"/>
      <c r="O741" s="84"/>
      <c r="P741" s="84"/>
      <c r="Q741" s="84"/>
      <c r="R741" s="86" t="str">
        <f t="shared" si="2"/>
        <v>Prepare for Showcase</v>
      </c>
      <c r="S741" s="82" t="b">
        <v>0</v>
      </c>
      <c r="T741" s="88"/>
      <c r="U741" s="84"/>
      <c r="V741" s="84"/>
      <c r="W741" s="84"/>
      <c r="X741" s="84"/>
      <c r="Y741" s="84"/>
      <c r="Z741" s="84"/>
      <c r="AA741" s="84"/>
    </row>
    <row r="742" ht="26.25" hidden="1" customHeight="1">
      <c r="A742" s="85"/>
      <c r="B742" s="106"/>
      <c r="C742" s="103"/>
      <c r="D742" s="93"/>
      <c r="E742" s="93"/>
      <c r="F742" s="103"/>
      <c r="G742" s="113"/>
      <c r="H742" s="113"/>
      <c r="I742" s="100"/>
      <c r="J742" s="113"/>
      <c r="K742" s="82" t="b">
        <v>0</v>
      </c>
      <c r="L742" s="94"/>
      <c r="M742" s="84">
        <f t="shared" si="1"/>
        <v>6590</v>
      </c>
      <c r="N742" s="84"/>
      <c r="O742" s="84"/>
      <c r="P742" s="84"/>
      <c r="Q742" s="84"/>
      <c r="R742" s="86" t="str">
        <f t="shared" si="2"/>
        <v>Prepare for Showcase</v>
      </c>
      <c r="S742" s="82" t="b">
        <v>0</v>
      </c>
      <c r="T742" s="88"/>
      <c r="U742" s="84"/>
      <c r="V742" s="84"/>
      <c r="W742" s="84"/>
      <c r="X742" s="84"/>
      <c r="Y742" s="84"/>
      <c r="Z742" s="84"/>
      <c r="AA742" s="84"/>
    </row>
    <row r="743" ht="26.25" hidden="1" customHeight="1">
      <c r="A743" s="85"/>
      <c r="B743" s="106"/>
      <c r="C743" s="103"/>
      <c r="D743" s="93"/>
      <c r="E743" s="93"/>
      <c r="F743" s="103"/>
      <c r="G743" s="113"/>
      <c r="H743" s="113"/>
      <c r="I743" s="100"/>
      <c r="J743" s="113"/>
      <c r="K743" s="82" t="b">
        <v>0</v>
      </c>
      <c r="L743" s="94"/>
      <c r="M743" s="84">
        <f t="shared" si="1"/>
        <v>6590</v>
      </c>
      <c r="N743" s="84"/>
      <c r="O743" s="84"/>
      <c r="P743" s="84"/>
      <c r="Q743" s="84"/>
      <c r="R743" s="86" t="str">
        <f t="shared" si="2"/>
        <v>Prepare for Showcase</v>
      </c>
      <c r="S743" s="82" t="b">
        <v>0</v>
      </c>
      <c r="T743" s="88"/>
      <c r="U743" s="84"/>
      <c r="V743" s="84"/>
      <c r="W743" s="84"/>
      <c r="X743" s="84"/>
      <c r="Y743" s="84"/>
      <c r="Z743" s="84"/>
      <c r="AA743" s="84"/>
    </row>
    <row r="744" ht="26.25" hidden="1" customHeight="1">
      <c r="A744" s="85"/>
      <c r="B744" s="106"/>
      <c r="C744" s="103"/>
      <c r="D744" s="93"/>
      <c r="E744" s="93"/>
      <c r="F744" s="103"/>
      <c r="G744" s="113"/>
      <c r="H744" s="113"/>
      <c r="I744" s="100"/>
      <c r="J744" s="113"/>
      <c r="K744" s="82" t="b">
        <v>0</v>
      </c>
      <c r="L744" s="94"/>
      <c r="M744" s="84">
        <f t="shared" si="1"/>
        <v>6590</v>
      </c>
      <c r="N744" s="84"/>
      <c r="O744" s="84"/>
      <c r="P744" s="84"/>
      <c r="Q744" s="84"/>
      <c r="R744" s="86" t="str">
        <f t="shared" si="2"/>
        <v>Prepare for Showcase</v>
      </c>
      <c r="S744" s="82" t="b">
        <v>0</v>
      </c>
      <c r="T744" s="88"/>
      <c r="U744" s="84"/>
      <c r="V744" s="84"/>
      <c r="W744" s="84"/>
      <c r="X744" s="84"/>
      <c r="Y744" s="84"/>
      <c r="Z744" s="84"/>
      <c r="AA744" s="84"/>
    </row>
    <row r="745" ht="26.25" hidden="1" customHeight="1">
      <c r="A745" s="85"/>
      <c r="B745" s="106"/>
      <c r="C745" s="103"/>
      <c r="D745" s="93"/>
      <c r="E745" s="93"/>
      <c r="F745" s="103"/>
      <c r="G745" s="113"/>
      <c r="H745" s="113"/>
      <c r="I745" s="100"/>
      <c r="J745" s="113"/>
      <c r="K745" s="82" t="b">
        <v>0</v>
      </c>
      <c r="L745" s="94"/>
      <c r="M745" s="84">
        <f t="shared" si="1"/>
        <v>6590</v>
      </c>
      <c r="N745" s="84"/>
      <c r="O745" s="84"/>
      <c r="P745" s="84"/>
      <c r="Q745" s="84"/>
      <c r="R745" s="86" t="str">
        <f t="shared" si="2"/>
        <v>Prepare for Showcase</v>
      </c>
      <c r="S745" s="82" t="b">
        <v>0</v>
      </c>
      <c r="T745" s="88"/>
      <c r="U745" s="84"/>
      <c r="V745" s="84"/>
      <c r="W745" s="84"/>
      <c r="X745" s="84"/>
      <c r="Y745" s="84"/>
      <c r="Z745" s="84"/>
      <c r="AA745" s="84"/>
    </row>
    <row r="746" ht="26.25" hidden="1" customHeight="1">
      <c r="A746" s="85"/>
      <c r="B746" s="106"/>
      <c r="C746" s="103"/>
      <c r="D746" s="93"/>
      <c r="E746" s="93"/>
      <c r="F746" s="103"/>
      <c r="G746" s="113"/>
      <c r="H746" s="113"/>
      <c r="I746" s="100"/>
      <c r="J746" s="113"/>
      <c r="K746" s="82" t="b">
        <v>0</v>
      </c>
      <c r="L746" s="94"/>
      <c r="M746" s="84">
        <f t="shared" si="1"/>
        <v>6590</v>
      </c>
      <c r="N746" s="84"/>
      <c r="O746" s="84"/>
      <c r="P746" s="84"/>
      <c r="Q746" s="84"/>
      <c r="R746" s="86" t="str">
        <f t="shared" si="2"/>
        <v>Prepare for Showcase</v>
      </c>
      <c r="S746" s="82" t="b">
        <v>0</v>
      </c>
      <c r="T746" s="88"/>
      <c r="U746" s="84"/>
      <c r="V746" s="84"/>
      <c r="W746" s="84"/>
      <c r="X746" s="84"/>
      <c r="Y746" s="84"/>
      <c r="Z746" s="84"/>
      <c r="AA746" s="84"/>
    </row>
    <row r="747" ht="26.25" hidden="1" customHeight="1">
      <c r="A747" s="85"/>
      <c r="B747" s="106"/>
      <c r="C747" s="103"/>
      <c r="D747" s="93"/>
      <c r="E747" s="93"/>
      <c r="F747" s="103"/>
      <c r="G747" s="113"/>
      <c r="H747" s="113"/>
      <c r="I747" s="100"/>
      <c r="J747" s="113"/>
      <c r="K747" s="82" t="b">
        <v>0</v>
      </c>
      <c r="L747" s="94"/>
      <c r="M747" s="84">
        <f t="shared" si="1"/>
        <v>6590</v>
      </c>
      <c r="N747" s="84"/>
      <c r="O747" s="84"/>
      <c r="P747" s="84"/>
      <c r="Q747" s="84"/>
      <c r="R747" s="86" t="str">
        <f t="shared" si="2"/>
        <v>Prepare for Showcase</v>
      </c>
      <c r="S747" s="82" t="b">
        <v>0</v>
      </c>
      <c r="T747" s="88"/>
      <c r="U747" s="84"/>
      <c r="V747" s="84"/>
      <c r="W747" s="84"/>
      <c r="X747" s="84"/>
      <c r="Y747" s="84"/>
      <c r="Z747" s="84"/>
      <c r="AA747" s="84"/>
    </row>
    <row r="748" ht="26.25" hidden="1" customHeight="1">
      <c r="A748" s="85"/>
      <c r="B748" s="106"/>
      <c r="C748" s="103"/>
      <c r="D748" s="93"/>
      <c r="E748" s="93"/>
      <c r="F748" s="103"/>
      <c r="G748" s="113"/>
      <c r="H748" s="113"/>
      <c r="I748" s="100"/>
      <c r="J748" s="113"/>
      <c r="K748" s="82" t="b">
        <v>0</v>
      </c>
      <c r="L748" s="94"/>
      <c r="M748" s="84">
        <f t="shared" si="1"/>
        <v>6590</v>
      </c>
      <c r="N748" s="84"/>
      <c r="O748" s="84"/>
      <c r="P748" s="84"/>
      <c r="Q748" s="84"/>
      <c r="R748" s="86" t="str">
        <f t="shared" si="2"/>
        <v>Prepare for Showcase</v>
      </c>
      <c r="S748" s="82" t="b">
        <v>0</v>
      </c>
      <c r="T748" s="88"/>
      <c r="U748" s="84"/>
      <c r="V748" s="84"/>
      <c r="W748" s="84"/>
      <c r="X748" s="84"/>
      <c r="Y748" s="84"/>
      <c r="Z748" s="84"/>
      <c r="AA748" s="84"/>
    </row>
    <row r="749" ht="26.25" hidden="1" customHeight="1">
      <c r="A749" s="85"/>
      <c r="B749" s="106"/>
      <c r="C749" s="103"/>
      <c r="D749" s="93"/>
      <c r="E749" s="93"/>
      <c r="F749" s="103"/>
      <c r="G749" s="113"/>
      <c r="H749" s="113"/>
      <c r="I749" s="100"/>
      <c r="J749" s="113"/>
      <c r="K749" s="82" t="b">
        <v>0</v>
      </c>
      <c r="L749" s="94"/>
      <c r="M749" s="84">
        <f t="shared" si="1"/>
        <v>6590</v>
      </c>
      <c r="N749" s="84"/>
      <c r="O749" s="84"/>
      <c r="P749" s="84"/>
      <c r="Q749" s="84"/>
      <c r="R749" s="86" t="str">
        <f t="shared" si="2"/>
        <v>Prepare for Showcase</v>
      </c>
      <c r="S749" s="82" t="b">
        <v>0</v>
      </c>
      <c r="T749" s="88"/>
      <c r="U749" s="84"/>
      <c r="V749" s="84"/>
      <c r="W749" s="84"/>
      <c r="X749" s="84"/>
      <c r="Y749" s="84"/>
      <c r="Z749" s="84"/>
      <c r="AA749" s="84"/>
    </row>
    <row r="750" ht="26.25" hidden="1" customHeight="1">
      <c r="A750" s="85"/>
      <c r="B750" s="106"/>
      <c r="C750" s="103"/>
      <c r="D750" s="93"/>
      <c r="E750" s="93"/>
      <c r="F750" s="103"/>
      <c r="G750" s="113"/>
      <c r="H750" s="113"/>
      <c r="I750" s="100"/>
      <c r="J750" s="113"/>
      <c r="K750" s="82" t="b">
        <v>0</v>
      </c>
      <c r="L750" s="94"/>
      <c r="M750" s="84">
        <f t="shared" si="1"/>
        <v>6590</v>
      </c>
      <c r="N750" s="84"/>
      <c r="O750" s="84"/>
      <c r="P750" s="84"/>
      <c r="Q750" s="84"/>
      <c r="R750" s="86" t="str">
        <f t="shared" si="2"/>
        <v>Prepare for Showcase</v>
      </c>
      <c r="S750" s="82" t="b">
        <v>0</v>
      </c>
      <c r="T750" s="88"/>
      <c r="U750" s="84"/>
      <c r="V750" s="84"/>
      <c r="W750" s="84"/>
      <c r="X750" s="84"/>
      <c r="Y750" s="84"/>
      <c r="Z750" s="84"/>
      <c r="AA750" s="84"/>
    </row>
    <row r="751" ht="26.25" hidden="1" customHeight="1">
      <c r="A751" s="85"/>
      <c r="B751" s="106"/>
      <c r="C751" s="103"/>
      <c r="D751" s="93"/>
      <c r="E751" s="93"/>
      <c r="F751" s="103"/>
      <c r="G751" s="113"/>
      <c r="H751" s="113"/>
      <c r="I751" s="100"/>
      <c r="J751" s="113"/>
      <c r="K751" s="82" t="b">
        <v>0</v>
      </c>
      <c r="L751" s="94"/>
      <c r="M751" s="84">
        <f t="shared" si="1"/>
        <v>6590</v>
      </c>
      <c r="N751" s="84"/>
      <c r="O751" s="84"/>
      <c r="P751" s="84"/>
      <c r="Q751" s="84"/>
      <c r="R751" s="86" t="str">
        <f t="shared" si="2"/>
        <v>Prepare for Showcase</v>
      </c>
      <c r="S751" s="82" t="b">
        <v>0</v>
      </c>
      <c r="T751" s="88"/>
      <c r="U751" s="84"/>
      <c r="V751" s="84"/>
      <c r="W751" s="84"/>
      <c r="X751" s="84"/>
      <c r="Y751" s="84"/>
      <c r="Z751" s="84"/>
      <c r="AA751" s="84"/>
    </row>
    <row r="752" ht="26.25" hidden="1" customHeight="1">
      <c r="A752" s="85"/>
      <c r="B752" s="106"/>
      <c r="C752" s="103"/>
      <c r="D752" s="93"/>
      <c r="E752" s="93"/>
      <c r="F752" s="103"/>
      <c r="G752" s="113"/>
      <c r="H752" s="113"/>
      <c r="I752" s="100"/>
      <c r="J752" s="113"/>
      <c r="K752" s="82" t="b">
        <v>0</v>
      </c>
      <c r="L752" s="94"/>
      <c r="M752" s="84">
        <f t="shared" si="1"/>
        <v>6590</v>
      </c>
      <c r="N752" s="84"/>
      <c r="O752" s="84"/>
      <c r="P752" s="84"/>
      <c r="Q752" s="84"/>
      <c r="R752" s="86" t="str">
        <f t="shared" si="2"/>
        <v>Prepare for Showcase</v>
      </c>
      <c r="S752" s="82" t="b">
        <v>0</v>
      </c>
      <c r="T752" s="88"/>
      <c r="U752" s="84"/>
      <c r="V752" s="84"/>
      <c r="W752" s="84"/>
      <c r="X752" s="84"/>
      <c r="Y752" s="84"/>
      <c r="Z752" s="84"/>
      <c r="AA752" s="84"/>
    </row>
    <row r="753" ht="26.25" hidden="1" customHeight="1">
      <c r="A753" s="85"/>
      <c r="B753" s="106"/>
      <c r="C753" s="103"/>
      <c r="D753" s="93"/>
      <c r="E753" s="93"/>
      <c r="F753" s="103"/>
      <c r="G753" s="113"/>
      <c r="H753" s="113"/>
      <c r="I753" s="100"/>
      <c r="J753" s="113"/>
      <c r="K753" s="82" t="b">
        <v>0</v>
      </c>
      <c r="L753" s="94"/>
      <c r="M753" s="84">
        <f t="shared" si="1"/>
        <v>6590</v>
      </c>
      <c r="N753" s="84"/>
      <c r="O753" s="84"/>
      <c r="P753" s="84"/>
      <c r="Q753" s="84"/>
      <c r="R753" s="86" t="str">
        <f t="shared" si="2"/>
        <v>Prepare for Showcase</v>
      </c>
      <c r="S753" s="82" t="b">
        <v>0</v>
      </c>
      <c r="T753" s="88"/>
      <c r="U753" s="84"/>
      <c r="V753" s="84"/>
      <c r="W753" s="84"/>
      <c r="X753" s="84"/>
      <c r="Y753" s="84"/>
      <c r="Z753" s="84"/>
      <c r="AA753" s="84"/>
    </row>
    <row r="754" ht="26.25" hidden="1" customHeight="1">
      <c r="A754" s="85"/>
      <c r="B754" s="106"/>
      <c r="C754" s="103"/>
      <c r="D754" s="93"/>
      <c r="E754" s="93"/>
      <c r="F754" s="103"/>
      <c r="G754" s="113"/>
      <c r="H754" s="113"/>
      <c r="I754" s="100"/>
      <c r="J754" s="113"/>
      <c r="K754" s="82" t="b">
        <v>0</v>
      </c>
      <c r="L754" s="94"/>
      <c r="M754" s="84">
        <f t="shared" si="1"/>
        <v>6590</v>
      </c>
      <c r="N754" s="84"/>
      <c r="O754" s="84"/>
      <c r="P754" s="84"/>
      <c r="Q754" s="84"/>
      <c r="R754" s="86" t="str">
        <f t="shared" si="2"/>
        <v>Prepare for Showcase</v>
      </c>
      <c r="S754" s="82" t="b">
        <v>0</v>
      </c>
      <c r="T754" s="88"/>
      <c r="U754" s="84"/>
      <c r="V754" s="84"/>
      <c r="W754" s="84"/>
      <c r="X754" s="84"/>
      <c r="Y754" s="84"/>
      <c r="Z754" s="84"/>
      <c r="AA754" s="84"/>
    </row>
    <row r="755" ht="26.25" hidden="1" customHeight="1">
      <c r="A755" s="85"/>
      <c r="B755" s="106"/>
      <c r="C755" s="103"/>
      <c r="D755" s="93"/>
      <c r="E755" s="93"/>
      <c r="F755" s="103"/>
      <c r="G755" s="113"/>
      <c r="H755" s="113"/>
      <c r="I755" s="100"/>
      <c r="J755" s="113"/>
      <c r="K755" s="82" t="b">
        <v>0</v>
      </c>
      <c r="L755" s="94"/>
      <c r="M755" s="84">
        <f t="shared" si="1"/>
        <v>6590</v>
      </c>
      <c r="N755" s="84"/>
      <c r="O755" s="84"/>
      <c r="P755" s="84"/>
      <c r="Q755" s="84"/>
      <c r="R755" s="86" t="str">
        <f t="shared" si="2"/>
        <v>Prepare for Showcase</v>
      </c>
      <c r="S755" s="82" t="b">
        <v>0</v>
      </c>
      <c r="T755" s="88"/>
      <c r="U755" s="84"/>
      <c r="V755" s="84"/>
      <c r="W755" s="84"/>
      <c r="X755" s="84"/>
      <c r="Y755" s="84"/>
      <c r="Z755" s="84"/>
      <c r="AA755" s="84"/>
    </row>
    <row r="756" ht="26.25" hidden="1" customHeight="1">
      <c r="A756" s="85"/>
      <c r="B756" s="106"/>
      <c r="C756" s="103"/>
      <c r="D756" s="93"/>
      <c r="E756" s="93"/>
      <c r="F756" s="103"/>
      <c r="G756" s="113"/>
      <c r="H756" s="113"/>
      <c r="I756" s="100"/>
      <c r="J756" s="113"/>
      <c r="K756" s="82" t="b">
        <v>0</v>
      </c>
      <c r="L756" s="94"/>
      <c r="M756" s="84">
        <f t="shared" si="1"/>
        <v>6590</v>
      </c>
      <c r="N756" s="84"/>
      <c r="O756" s="84"/>
      <c r="P756" s="84"/>
      <c r="Q756" s="84"/>
      <c r="R756" s="86" t="str">
        <f t="shared" si="2"/>
        <v>Prepare for Showcase</v>
      </c>
      <c r="S756" s="82" t="b">
        <v>0</v>
      </c>
      <c r="T756" s="88"/>
      <c r="U756" s="84"/>
      <c r="V756" s="84"/>
      <c r="W756" s="84"/>
      <c r="X756" s="84"/>
      <c r="Y756" s="84"/>
      <c r="Z756" s="84"/>
      <c r="AA756" s="84"/>
    </row>
    <row r="757" ht="26.25" hidden="1" customHeight="1">
      <c r="A757" s="85"/>
      <c r="B757" s="106"/>
      <c r="C757" s="103"/>
      <c r="D757" s="93"/>
      <c r="E757" s="93"/>
      <c r="F757" s="103"/>
      <c r="G757" s="113"/>
      <c r="H757" s="113"/>
      <c r="I757" s="100"/>
      <c r="J757" s="113"/>
      <c r="K757" s="82" t="b">
        <v>0</v>
      </c>
      <c r="L757" s="94"/>
      <c r="M757" s="84">
        <f t="shared" si="1"/>
        <v>6590</v>
      </c>
      <c r="N757" s="84"/>
      <c r="O757" s="84"/>
      <c r="P757" s="84"/>
      <c r="Q757" s="84"/>
      <c r="R757" s="86" t="str">
        <f t="shared" si="2"/>
        <v>Prepare for Showcase</v>
      </c>
      <c r="S757" s="82" t="b">
        <v>0</v>
      </c>
      <c r="T757" s="88"/>
      <c r="U757" s="84"/>
      <c r="V757" s="84"/>
      <c r="W757" s="84"/>
      <c r="X757" s="84"/>
      <c r="Y757" s="84"/>
      <c r="Z757" s="84"/>
      <c r="AA757" s="84"/>
    </row>
    <row r="758" ht="26.25" hidden="1" customHeight="1">
      <c r="A758" s="85"/>
      <c r="B758" s="106"/>
      <c r="C758" s="103"/>
      <c r="D758" s="93"/>
      <c r="E758" s="93"/>
      <c r="F758" s="103"/>
      <c r="G758" s="113"/>
      <c r="H758" s="113"/>
      <c r="I758" s="100"/>
      <c r="J758" s="113"/>
      <c r="K758" s="82" t="b">
        <v>0</v>
      </c>
      <c r="L758" s="94"/>
      <c r="M758" s="84">
        <f t="shared" si="1"/>
        <v>6590</v>
      </c>
      <c r="N758" s="84"/>
      <c r="O758" s="84"/>
      <c r="P758" s="84"/>
      <c r="Q758" s="84"/>
      <c r="R758" s="86" t="str">
        <f t="shared" si="2"/>
        <v>Prepare for Showcase</v>
      </c>
      <c r="S758" s="82" t="b">
        <v>0</v>
      </c>
      <c r="T758" s="88"/>
      <c r="U758" s="84"/>
      <c r="V758" s="84"/>
      <c r="W758" s="84"/>
      <c r="X758" s="84"/>
      <c r="Y758" s="84"/>
      <c r="Z758" s="84"/>
      <c r="AA758" s="84"/>
    </row>
    <row r="759" ht="26.25" hidden="1" customHeight="1">
      <c r="A759" s="85"/>
      <c r="B759" s="106"/>
      <c r="C759" s="103"/>
      <c r="D759" s="93"/>
      <c r="E759" s="93"/>
      <c r="F759" s="103"/>
      <c r="G759" s="113"/>
      <c r="H759" s="113"/>
      <c r="I759" s="100"/>
      <c r="J759" s="113"/>
      <c r="K759" s="82" t="b">
        <v>0</v>
      </c>
      <c r="L759" s="94"/>
      <c r="M759" s="84">
        <f t="shared" si="1"/>
        <v>6590</v>
      </c>
      <c r="N759" s="84"/>
      <c r="O759" s="84"/>
      <c r="P759" s="84"/>
      <c r="Q759" s="84"/>
      <c r="R759" s="86" t="str">
        <f t="shared" si="2"/>
        <v>Prepare for Showcase</v>
      </c>
      <c r="S759" s="82" t="b">
        <v>0</v>
      </c>
      <c r="T759" s="88"/>
      <c r="U759" s="84"/>
      <c r="V759" s="84"/>
      <c r="W759" s="84"/>
      <c r="X759" s="84"/>
      <c r="Y759" s="84"/>
      <c r="Z759" s="84"/>
      <c r="AA759" s="84"/>
    </row>
    <row r="760" ht="26.25" hidden="1" customHeight="1">
      <c r="A760" s="85"/>
      <c r="B760" s="106"/>
      <c r="C760" s="103"/>
      <c r="D760" s="93"/>
      <c r="E760" s="93"/>
      <c r="F760" s="103"/>
      <c r="G760" s="113"/>
      <c r="H760" s="113"/>
      <c r="I760" s="100"/>
      <c r="J760" s="113"/>
      <c r="K760" s="82" t="b">
        <v>0</v>
      </c>
      <c r="L760" s="94"/>
      <c r="M760" s="84">
        <f t="shared" si="1"/>
        <v>6590</v>
      </c>
      <c r="N760" s="84"/>
      <c r="O760" s="84"/>
      <c r="P760" s="84"/>
      <c r="Q760" s="84"/>
      <c r="R760" s="86" t="str">
        <f t="shared" si="2"/>
        <v>Prepare for Showcase</v>
      </c>
      <c r="S760" s="82" t="b">
        <v>0</v>
      </c>
      <c r="T760" s="88"/>
      <c r="U760" s="84"/>
      <c r="V760" s="84"/>
      <c r="W760" s="84"/>
      <c r="X760" s="84"/>
      <c r="Y760" s="84"/>
      <c r="Z760" s="84"/>
      <c r="AA760" s="84"/>
    </row>
    <row r="761" ht="26.25" hidden="1" customHeight="1">
      <c r="A761" s="85"/>
      <c r="B761" s="106"/>
      <c r="C761" s="103"/>
      <c r="D761" s="93"/>
      <c r="E761" s="93"/>
      <c r="F761" s="103"/>
      <c r="G761" s="113"/>
      <c r="H761" s="113"/>
      <c r="I761" s="100"/>
      <c r="J761" s="113"/>
      <c r="K761" s="82" t="b">
        <v>0</v>
      </c>
      <c r="L761" s="94"/>
      <c r="M761" s="84">
        <f t="shared" si="1"/>
        <v>6590</v>
      </c>
      <c r="N761" s="84"/>
      <c r="O761" s="84"/>
      <c r="P761" s="84"/>
      <c r="Q761" s="84"/>
      <c r="R761" s="86" t="str">
        <f t="shared" si="2"/>
        <v>Prepare for Showcase</v>
      </c>
      <c r="S761" s="82" t="b">
        <v>0</v>
      </c>
      <c r="T761" s="88"/>
      <c r="U761" s="84"/>
      <c r="V761" s="84"/>
      <c r="W761" s="84"/>
      <c r="X761" s="84"/>
      <c r="Y761" s="84"/>
      <c r="Z761" s="84"/>
      <c r="AA761" s="84"/>
    </row>
    <row r="762" ht="26.25" hidden="1" customHeight="1">
      <c r="A762" s="85"/>
      <c r="B762" s="106"/>
      <c r="C762" s="103"/>
      <c r="D762" s="93"/>
      <c r="E762" s="93"/>
      <c r="F762" s="103"/>
      <c r="G762" s="113"/>
      <c r="H762" s="113"/>
      <c r="I762" s="100"/>
      <c r="J762" s="113"/>
      <c r="K762" s="82" t="b">
        <v>0</v>
      </c>
      <c r="L762" s="94"/>
      <c r="M762" s="84">
        <f t="shared" si="1"/>
        <v>6590</v>
      </c>
      <c r="N762" s="84"/>
      <c r="O762" s="84"/>
      <c r="P762" s="84"/>
      <c r="Q762" s="84"/>
      <c r="R762" s="86" t="str">
        <f t="shared" si="2"/>
        <v>Prepare for Showcase</v>
      </c>
      <c r="S762" s="82" t="b">
        <v>0</v>
      </c>
      <c r="T762" s="88"/>
      <c r="U762" s="84"/>
      <c r="V762" s="84"/>
      <c r="W762" s="84"/>
      <c r="X762" s="84"/>
      <c r="Y762" s="84"/>
      <c r="Z762" s="84"/>
      <c r="AA762" s="84"/>
    </row>
    <row r="763" ht="26.25" hidden="1" customHeight="1">
      <c r="A763" s="85"/>
      <c r="B763" s="106"/>
      <c r="C763" s="103"/>
      <c r="D763" s="93"/>
      <c r="E763" s="93"/>
      <c r="F763" s="103"/>
      <c r="G763" s="113"/>
      <c r="H763" s="113"/>
      <c r="I763" s="100"/>
      <c r="J763" s="113"/>
      <c r="K763" s="82" t="b">
        <v>0</v>
      </c>
      <c r="L763" s="94"/>
      <c r="M763" s="84">
        <f t="shared" si="1"/>
        <v>6590</v>
      </c>
      <c r="N763" s="84"/>
      <c r="O763" s="84"/>
      <c r="P763" s="84"/>
      <c r="Q763" s="84"/>
      <c r="R763" s="86" t="str">
        <f t="shared" si="2"/>
        <v>Prepare for Showcase</v>
      </c>
      <c r="S763" s="82" t="b">
        <v>0</v>
      </c>
      <c r="T763" s="88"/>
      <c r="U763" s="84"/>
      <c r="V763" s="84"/>
      <c r="W763" s="84"/>
      <c r="X763" s="84"/>
      <c r="Y763" s="84"/>
      <c r="Z763" s="84"/>
      <c r="AA763" s="84"/>
    </row>
    <row r="764" ht="26.25" hidden="1" customHeight="1">
      <c r="A764" s="85"/>
      <c r="B764" s="106"/>
      <c r="C764" s="103"/>
      <c r="D764" s="93"/>
      <c r="E764" s="93"/>
      <c r="F764" s="103"/>
      <c r="G764" s="113"/>
      <c r="H764" s="113"/>
      <c r="I764" s="100"/>
      <c r="J764" s="113"/>
      <c r="K764" s="82" t="b">
        <v>0</v>
      </c>
      <c r="L764" s="94"/>
      <c r="M764" s="84">
        <f t="shared" si="1"/>
        <v>6590</v>
      </c>
      <c r="N764" s="84"/>
      <c r="O764" s="84"/>
      <c r="P764" s="84"/>
      <c r="Q764" s="84"/>
      <c r="R764" s="86" t="str">
        <f t="shared" si="2"/>
        <v>Prepare for Showcase</v>
      </c>
      <c r="S764" s="82" t="b">
        <v>0</v>
      </c>
      <c r="T764" s="88"/>
      <c r="U764" s="84"/>
      <c r="V764" s="84"/>
      <c r="W764" s="84"/>
      <c r="X764" s="84"/>
      <c r="Y764" s="84"/>
      <c r="Z764" s="84"/>
      <c r="AA764" s="84"/>
    </row>
    <row r="765" ht="26.25" hidden="1" customHeight="1">
      <c r="A765" s="85"/>
      <c r="B765" s="106"/>
      <c r="C765" s="103"/>
      <c r="D765" s="93"/>
      <c r="E765" s="93"/>
      <c r="F765" s="103"/>
      <c r="G765" s="113"/>
      <c r="H765" s="113"/>
      <c r="I765" s="100"/>
      <c r="J765" s="113"/>
      <c r="K765" s="82" t="b">
        <v>0</v>
      </c>
      <c r="L765" s="94"/>
      <c r="M765" s="84">
        <f t="shared" si="1"/>
        <v>6590</v>
      </c>
      <c r="N765" s="84"/>
      <c r="O765" s="84"/>
      <c r="P765" s="84"/>
      <c r="Q765" s="84"/>
      <c r="R765" s="86" t="str">
        <f t="shared" si="2"/>
        <v>Prepare for Showcase</v>
      </c>
      <c r="S765" s="82" t="b">
        <v>0</v>
      </c>
      <c r="T765" s="88"/>
      <c r="U765" s="84"/>
      <c r="V765" s="84"/>
      <c r="W765" s="84"/>
      <c r="X765" s="84"/>
      <c r="Y765" s="84"/>
      <c r="Z765" s="84"/>
      <c r="AA765" s="84"/>
    </row>
    <row r="766" ht="26.25" hidden="1" customHeight="1">
      <c r="A766" s="85"/>
      <c r="B766" s="106"/>
      <c r="C766" s="103"/>
      <c r="D766" s="93"/>
      <c r="E766" s="93"/>
      <c r="F766" s="103"/>
      <c r="G766" s="113"/>
      <c r="H766" s="113"/>
      <c r="I766" s="100"/>
      <c r="J766" s="113"/>
      <c r="K766" s="82" t="b">
        <v>0</v>
      </c>
      <c r="L766" s="94"/>
      <c r="M766" s="84">
        <f t="shared" si="1"/>
        <v>6590</v>
      </c>
      <c r="N766" s="84"/>
      <c r="O766" s="84"/>
      <c r="P766" s="84"/>
      <c r="Q766" s="84"/>
      <c r="R766" s="86" t="str">
        <f t="shared" si="2"/>
        <v>Prepare for Showcase</v>
      </c>
      <c r="S766" s="82" t="b">
        <v>0</v>
      </c>
      <c r="T766" s="88"/>
      <c r="U766" s="84"/>
      <c r="V766" s="84"/>
      <c r="W766" s="84"/>
      <c r="X766" s="84"/>
      <c r="Y766" s="84"/>
      <c r="Z766" s="84"/>
      <c r="AA766" s="84"/>
    </row>
    <row r="767" ht="26.25" hidden="1" customHeight="1">
      <c r="A767" s="85"/>
      <c r="B767" s="106"/>
      <c r="C767" s="103"/>
      <c r="D767" s="93"/>
      <c r="E767" s="93"/>
      <c r="F767" s="103"/>
      <c r="G767" s="113"/>
      <c r="H767" s="113"/>
      <c r="I767" s="100"/>
      <c r="J767" s="113"/>
      <c r="K767" s="82" t="b">
        <v>0</v>
      </c>
      <c r="L767" s="94"/>
      <c r="M767" s="84">
        <f t="shared" si="1"/>
        <v>6590</v>
      </c>
      <c r="N767" s="84"/>
      <c r="O767" s="84"/>
      <c r="P767" s="84"/>
      <c r="Q767" s="84"/>
      <c r="R767" s="86" t="str">
        <f t="shared" si="2"/>
        <v>Prepare for Showcase</v>
      </c>
      <c r="S767" s="82" t="b">
        <v>0</v>
      </c>
      <c r="T767" s="88"/>
      <c r="U767" s="84"/>
      <c r="V767" s="84"/>
      <c r="W767" s="84"/>
      <c r="X767" s="84"/>
      <c r="Y767" s="84"/>
      <c r="Z767" s="84"/>
      <c r="AA767" s="84"/>
    </row>
    <row r="768" ht="26.25" hidden="1" customHeight="1">
      <c r="A768" s="85"/>
      <c r="B768" s="106"/>
      <c r="C768" s="103"/>
      <c r="D768" s="93"/>
      <c r="E768" s="93"/>
      <c r="F768" s="103"/>
      <c r="G768" s="113"/>
      <c r="H768" s="113"/>
      <c r="I768" s="100"/>
      <c r="J768" s="113"/>
      <c r="K768" s="82" t="b">
        <v>0</v>
      </c>
      <c r="L768" s="94"/>
      <c r="M768" s="84">
        <f t="shared" si="1"/>
        <v>6590</v>
      </c>
      <c r="N768" s="84"/>
      <c r="O768" s="84"/>
      <c r="P768" s="84"/>
      <c r="Q768" s="84"/>
      <c r="R768" s="86" t="str">
        <f t="shared" si="2"/>
        <v>Prepare for Showcase</v>
      </c>
      <c r="S768" s="82" t="b">
        <v>0</v>
      </c>
      <c r="T768" s="88"/>
      <c r="U768" s="84"/>
      <c r="V768" s="84"/>
      <c r="W768" s="84"/>
      <c r="X768" s="84"/>
      <c r="Y768" s="84"/>
      <c r="Z768" s="84"/>
      <c r="AA768" s="84"/>
    </row>
    <row r="769" ht="26.25" hidden="1" customHeight="1">
      <c r="A769" s="85"/>
      <c r="B769" s="106"/>
      <c r="C769" s="103"/>
      <c r="D769" s="93"/>
      <c r="E769" s="93"/>
      <c r="F769" s="103"/>
      <c r="G769" s="113"/>
      <c r="H769" s="113"/>
      <c r="I769" s="100"/>
      <c r="J769" s="113"/>
      <c r="K769" s="82" t="b">
        <v>0</v>
      </c>
      <c r="L769" s="94"/>
      <c r="M769" s="84">
        <f t="shared" si="1"/>
        <v>6590</v>
      </c>
      <c r="N769" s="84"/>
      <c r="O769" s="84"/>
      <c r="P769" s="84"/>
      <c r="Q769" s="84"/>
      <c r="R769" s="86" t="str">
        <f t="shared" si="2"/>
        <v>Prepare for Showcase</v>
      </c>
      <c r="S769" s="82" t="b">
        <v>0</v>
      </c>
      <c r="T769" s="88"/>
      <c r="U769" s="84"/>
      <c r="V769" s="84"/>
      <c r="W769" s="84"/>
      <c r="X769" s="84"/>
      <c r="Y769" s="84"/>
      <c r="Z769" s="84"/>
      <c r="AA769" s="84"/>
    </row>
    <row r="770" ht="26.25" hidden="1" customHeight="1">
      <c r="A770" s="85"/>
      <c r="B770" s="106"/>
      <c r="C770" s="103"/>
      <c r="D770" s="93"/>
      <c r="E770" s="93"/>
      <c r="F770" s="103"/>
      <c r="G770" s="113"/>
      <c r="H770" s="113"/>
      <c r="I770" s="100"/>
      <c r="J770" s="113"/>
      <c r="K770" s="82" t="b">
        <v>0</v>
      </c>
      <c r="L770" s="94"/>
      <c r="M770" s="84">
        <f t="shared" si="1"/>
        <v>6590</v>
      </c>
      <c r="N770" s="84"/>
      <c r="O770" s="84"/>
      <c r="P770" s="84"/>
      <c r="Q770" s="84"/>
      <c r="R770" s="86" t="str">
        <f t="shared" si="2"/>
        <v>Prepare for Showcase</v>
      </c>
      <c r="S770" s="82" t="b">
        <v>0</v>
      </c>
      <c r="T770" s="88"/>
      <c r="U770" s="84"/>
      <c r="V770" s="84"/>
      <c r="W770" s="84"/>
      <c r="X770" s="84"/>
      <c r="Y770" s="84"/>
      <c r="Z770" s="84"/>
      <c r="AA770" s="84"/>
    </row>
    <row r="771" ht="26.25" hidden="1" customHeight="1">
      <c r="A771" s="85"/>
      <c r="B771" s="106"/>
      <c r="C771" s="103"/>
      <c r="D771" s="93"/>
      <c r="E771" s="93"/>
      <c r="F771" s="103"/>
      <c r="G771" s="113"/>
      <c r="H771" s="113"/>
      <c r="I771" s="100"/>
      <c r="J771" s="113"/>
      <c r="K771" s="82" t="b">
        <v>0</v>
      </c>
      <c r="L771" s="94"/>
      <c r="M771" s="84">
        <f t="shared" si="1"/>
        <v>6590</v>
      </c>
      <c r="N771" s="84"/>
      <c r="O771" s="84"/>
      <c r="P771" s="84"/>
      <c r="Q771" s="84"/>
      <c r="R771" s="86" t="str">
        <f t="shared" si="2"/>
        <v>Prepare for Showcase</v>
      </c>
      <c r="S771" s="82" t="b">
        <v>0</v>
      </c>
      <c r="T771" s="88"/>
      <c r="U771" s="84"/>
      <c r="V771" s="84"/>
      <c r="W771" s="84"/>
      <c r="X771" s="84"/>
      <c r="Y771" s="84"/>
      <c r="Z771" s="84"/>
      <c r="AA771" s="84"/>
    </row>
    <row r="772" ht="26.25" hidden="1" customHeight="1">
      <c r="A772" s="85"/>
      <c r="B772" s="106"/>
      <c r="C772" s="103"/>
      <c r="D772" s="93"/>
      <c r="E772" s="93"/>
      <c r="F772" s="103"/>
      <c r="G772" s="113"/>
      <c r="H772" s="113"/>
      <c r="I772" s="100"/>
      <c r="J772" s="113"/>
      <c r="K772" s="82" t="b">
        <v>0</v>
      </c>
      <c r="L772" s="94"/>
      <c r="M772" s="84">
        <f t="shared" si="1"/>
        <v>6590</v>
      </c>
      <c r="N772" s="84"/>
      <c r="O772" s="84"/>
      <c r="P772" s="84"/>
      <c r="Q772" s="84"/>
      <c r="R772" s="86" t="str">
        <f t="shared" si="2"/>
        <v>Prepare for Showcase</v>
      </c>
      <c r="S772" s="82" t="b">
        <v>0</v>
      </c>
      <c r="T772" s="88"/>
      <c r="U772" s="84"/>
      <c r="V772" s="84"/>
      <c r="W772" s="84"/>
      <c r="X772" s="84"/>
      <c r="Y772" s="84"/>
      <c r="Z772" s="84"/>
      <c r="AA772" s="84"/>
    </row>
    <row r="773" ht="26.25" hidden="1" customHeight="1">
      <c r="A773" s="85"/>
      <c r="B773" s="106"/>
      <c r="C773" s="103"/>
      <c r="D773" s="93"/>
      <c r="E773" s="93"/>
      <c r="F773" s="103"/>
      <c r="G773" s="113"/>
      <c r="H773" s="113"/>
      <c r="I773" s="100"/>
      <c r="J773" s="113"/>
      <c r="K773" s="82" t="b">
        <v>0</v>
      </c>
      <c r="L773" s="94"/>
      <c r="M773" s="84">
        <f t="shared" si="1"/>
        <v>6590</v>
      </c>
      <c r="N773" s="84"/>
      <c r="O773" s="84"/>
      <c r="P773" s="84"/>
      <c r="Q773" s="84"/>
      <c r="R773" s="86" t="str">
        <f t="shared" si="2"/>
        <v>Prepare for Showcase</v>
      </c>
      <c r="S773" s="82" t="b">
        <v>0</v>
      </c>
      <c r="T773" s="88"/>
      <c r="U773" s="84"/>
      <c r="V773" s="84"/>
      <c r="W773" s="84"/>
      <c r="X773" s="84"/>
      <c r="Y773" s="84"/>
      <c r="Z773" s="84"/>
      <c r="AA773" s="84"/>
    </row>
    <row r="774" ht="26.25" hidden="1" customHeight="1">
      <c r="A774" s="85"/>
      <c r="B774" s="106"/>
      <c r="C774" s="103"/>
      <c r="D774" s="93"/>
      <c r="E774" s="93"/>
      <c r="F774" s="103"/>
      <c r="G774" s="113"/>
      <c r="H774" s="113"/>
      <c r="I774" s="100"/>
      <c r="J774" s="113"/>
      <c r="K774" s="82" t="b">
        <v>0</v>
      </c>
      <c r="L774" s="94"/>
      <c r="M774" s="84">
        <f t="shared" si="1"/>
        <v>6590</v>
      </c>
      <c r="N774" s="84"/>
      <c r="O774" s="84"/>
      <c r="P774" s="84"/>
      <c r="Q774" s="84"/>
      <c r="R774" s="86" t="str">
        <f t="shared" si="2"/>
        <v>Prepare for Showcase</v>
      </c>
      <c r="S774" s="82" t="b">
        <v>0</v>
      </c>
      <c r="T774" s="88"/>
      <c r="U774" s="84"/>
      <c r="V774" s="84"/>
      <c r="W774" s="84"/>
      <c r="X774" s="84"/>
      <c r="Y774" s="84"/>
      <c r="Z774" s="84"/>
      <c r="AA774" s="84"/>
    </row>
    <row r="775" ht="26.25" hidden="1" customHeight="1">
      <c r="A775" s="85"/>
      <c r="B775" s="106"/>
      <c r="C775" s="103"/>
      <c r="D775" s="93"/>
      <c r="E775" s="93"/>
      <c r="F775" s="103"/>
      <c r="G775" s="113"/>
      <c r="H775" s="113"/>
      <c r="I775" s="100"/>
      <c r="J775" s="113"/>
      <c r="K775" s="82" t="b">
        <v>0</v>
      </c>
      <c r="L775" s="94"/>
      <c r="M775" s="84">
        <f t="shared" si="1"/>
        <v>6590</v>
      </c>
      <c r="N775" s="84"/>
      <c r="O775" s="84"/>
      <c r="P775" s="84"/>
      <c r="Q775" s="84"/>
      <c r="R775" s="86" t="str">
        <f t="shared" si="2"/>
        <v>Prepare for Showcase</v>
      </c>
      <c r="S775" s="82" t="b">
        <v>0</v>
      </c>
      <c r="T775" s="88"/>
      <c r="U775" s="84"/>
      <c r="V775" s="84"/>
      <c r="W775" s="84"/>
      <c r="X775" s="84"/>
      <c r="Y775" s="84"/>
      <c r="Z775" s="84"/>
      <c r="AA775" s="84"/>
    </row>
    <row r="776" ht="26.25" hidden="1" customHeight="1">
      <c r="A776" s="85"/>
      <c r="B776" s="106"/>
      <c r="C776" s="103"/>
      <c r="D776" s="93"/>
      <c r="E776" s="93"/>
      <c r="F776" s="103"/>
      <c r="G776" s="113"/>
      <c r="H776" s="113"/>
      <c r="I776" s="100"/>
      <c r="J776" s="113"/>
      <c r="K776" s="82" t="b">
        <v>0</v>
      </c>
      <c r="L776" s="94"/>
      <c r="M776" s="84">
        <f t="shared" si="1"/>
        <v>6590</v>
      </c>
      <c r="N776" s="84"/>
      <c r="O776" s="84"/>
      <c r="P776" s="84"/>
      <c r="Q776" s="84"/>
      <c r="R776" s="86" t="str">
        <f t="shared" si="2"/>
        <v>Prepare for Showcase</v>
      </c>
      <c r="S776" s="82" t="b">
        <v>0</v>
      </c>
      <c r="T776" s="88"/>
      <c r="U776" s="84"/>
      <c r="V776" s="84"/>
      <c r="W776" s="84"/>
      <c r="X776" s="84"/>
      <c r="Y776" s="84"/>
      <c r="Z776" s="84"/>
      <c r="AA776" s="84"/>
    </row>
    <row r="777" ht="26.25" hidden="1" customHeight="1">
      <c r="A777" s="85"/>
      <c r="B777" s="106"/>
      <c r="C777" s="103"/>
      <c r="D777" s="93"/>
      <c r="E777" s="93"/>
      <c r="F777" s="103"/>
      <c r="G777" s="113"/>
      <c r="H777" s="113"/>
      <c r="I777" s="100"/>
      <c r="J777" s="113"/>
      <c r="K777" s="82" t="b">
        <v>0</v>
      </c>
      <c r="L777" s="94"/>
      <c r="M777" s="84">
        <f t="shared" si="1"/>
        <v>6590</v>
      </c>
      <c r="N777" s="84"/>
      <c r="O777" s="84"/>
      <c r="P777" s="84"/>
      <c r="Q777" s="84"/>
      <c r="R777" s="86" t="str">
        <f t="shared" si="2"/>
        <v>Prepare for Showcase</v>
      </c>
      <c r="S777" s="82" t="b">
        <v>0</v>
      </c>
      <c r="T777" s="88"/>
      <c r="U777" s="84"/>
      <c r="V777" s="84"/>
      <c r="W777" s="84"/>
      <c r="X777" s="84"/>
      <c r="Y777" s="84"/>
      <c r="Z777" s="84"/>
      <c r="AA777" s="84"/>
    </row>
    <row r="778" ht="26.25" hidden="1" customHeight="1">
      <c r="A778" s="85"/>
      <c r="B778" s="106"/>
      <c r="C778" s="103"/>
      <c r="D778" s="93"/>
      <c r="E778" s="93"/>
      <c r="F778" s="103"/>
      <c r="G778" s="113"/>
      <c r="H778" s="113"/>
      <c r="I778" s="100"/>
      <c r="J778" s="113"/>
      <c r="K778" s="82" t="b">
        <v>0</v>
      </c>
      <c r="L778" s="94"/>
      <c r="M778" s="84">
        <f t="shared" si="1"/>
        <v>6590</v>
      </c>
      <c r="N778" s="84"/>
      <c r="O778" s="84"/>
      <c r="P778" s="84"/>
      <c r="Q778" s="84"/>
      <c r="R778" s="86" t="str">
        <f t="shared" si="2"/>
        <v>Prepare for Showcase</v>
      </c>
      <c r="S778" s="82" t="b">
        <v>0</v>
      </c>
      <c r="T778" s="88"/>
      <c r="U778" s="84"/>
      <c r="V778" s="84"/>
      <c r="W778" s="84"/>
      <c r="X778" s="84"/>
      <c r="Y778" s="84"/>
      <c r="Z778" s="84"/>
      <c r="AA778" s="84"/>
    </row>
    <row r="779" ht="26.25" hidden="1" customHeight="1">
      <c r="A779" s="85"/>
      <c r="B779" s="106"/>
      <c r="C779" s="103"/>
      <c r="D779" s="93"/>
      <c r="E779" s="93"/>
      <c r="F779" s="103"/>
      <c r="G779" s="113"/>
      <c r="H779" s="113"/>
      <c r="I779" s="100"/>
      <c r="J779" s="113"/>
      <c r="K779" s="82" t="b">
        <v>0</v>
      </c>
      <c r="L779" s="94"/>
      <c r="M779" s="84">
        <f t="shared" si="1"/>
        <v>6590</v>
      </c>
      <c r="N779" s="84"/>
      <c r="O779" s="84"/>
      <c r="P779" s="84"/>
      <c r="Q779" s="84"/>
      <c r="R779" s="86" t="str">
        <f t="shared" si="2"/>
        <v>Prepare for Showcase</v>
      </c>
      <c r="S779" s="82" t="b">
        <v>0</v>
      </c>
      <c r="T779" s="88"/>
      <c r="U779" s="84"/>
      <c r="V779" s="84"/>
      <c r="W779" s="84"/>
      <c r="X779" s="84"/>
      <c r="Y779" s="84"/>
      <c r="Z779" s="84"/>
      <c r="AA779" s="84"/>
    </row>
    <row r="780" ht="26.25" hidden="1" customHeight="1">
      <c r="A780" s="85"/>
      <c r="B780" s="106"/>
      <c r="C780" s="103"/>
      <c r="D780" s="93"/>
      <c r="E780" s="93"/>
      <c r="F780" s="103"/>
      <c r="G780" s="113"/>
      <c r="H780" s="113"/>
      <c r="I780" s="100"/>
      <c r="J780" s="113"/>
      <c r="K780" s="82" t="b">
        <v>0</v>
      </c>
      <c r="L780" s="94"/>
      <c r="M780" s="84">
        <f t="shared" si="1"/>
        <v>6590</v>
      </c>
      <c r="N780" s="84"/>
      <c r="O780" s="84"/>
      <c r="P780" s="84"/>
      <c r="Q780" s="84"/>
      <c r="R780" s="86" t="str">
        <f t="shared" si="2"/>
        <v>Prepare for Showcase</v>
      </c>
      <c r="S780" s="82" t="b">
        <v>0</v>
      </c>
      <c r="T780" s="88"/>
      <c r="U780" s="84"/>
      <c r="V780" s="84"/>
      <c r="W780" s="84"/>
      <c r="X780" s="84"/>
      <c r="Y780" s="84"/>
      <c r="Z780" s="84"/>
      <c r="AA780" s="84"/>
    </row>
    <row r="781" ht="26.25" hidden="1" customHeight="1">
      <c r="A781" s="85"/>
      <c r="B781" s="106"/>
      <c r="C781" s="103"/>
      <c r="D781" s="93"/>
      <c r="E781" s="93"/>
      <c r="F781" s="103"/>
      <c r="G781" s="113"/>
      <c r="H781" s="113"/>
      <c r="I781" s="100"/>
      <c r="J781" s="113"/>
      <c r="K781" s="82" t="b">
        <v>0</v>
      </c>
      <c r="L781" s="94"/>
      <c r="M781" s="84">
        <f t="shared" si="1"/>
        <v>6590</v>
      </c>
      <c r="N781" s="84"/>
      <c r="O781" s="84"/>
      <c r="P781" s="84"/>
      <c r="Q781" s="84"/>
      <c r="R781" s="86" t="str">
        <f t="shared" si="2"/>
        <v>Prepare for Showcase</v>
      </c>
      <c r="S781" s="82" t="b">
        <v>0</v>
      </c>
      <c r="T781" s="88"/>
      <c r="U781" s="84"/>
      <c r="V781" s="84"/>
      <c r="W781" s="84"/>
      <c r="X781" s="84"/>
      <c r="Y781" s="84"/>
      <c r="Z781" s="84"/>
      <c r="AA781" s="84"/>
    </row>
    <row r="782" ht="26.25" hidden="1" customHeight="1">
      <c r="A782" s="85"/>
      <c r="B782" s="106"/>
      <c r="C782" s="103"/>
      <c r="D782" s="93"/>
      <c r="E782" s="93"/>
      <c r="F782" s="103"/>
      <c r="G782" s="113"/>
      <c r="H782" s="113"/>
      <c r="I782" s="100"/>
      <c r="J782" s="113"/>
      <c r="K782" s="82" t="b">
        <v>0</v>
      </c>
      <c r="L782" s="94"/>
      <c r="M782" s="84">
        <f t="shared" si="1"/>
        <v>6590</v>
      </c>
      <c r="N782" s="84"/>
      <c r="O782" s="84"/>
      <c r="P782" s="84"/>
      <c r="Q782" s="84"/>
      <c r="R782" s="86" t="str">
        <f t="shared" si="2"/>
        <v>Prepare for Showcase</v>
      </c>
      <c r="S782" s="82" t="b">
        <v>0</v>
      </c>
      <c r="T782" s="88"/>
      <c r="U782" s="84"/>
      <c r="V782" s="84"/>
      <c r="W782" s="84"/>
      <c r="X782" s="84"/>
      <c r="Y782" s="84"/>
      <c r="Z782" s="84"/>
      <c r="AA782" s="84"/>
    </row>
    <row r="783" ht="26.25" hidden="1" customHeight="1">
      <c r="A783" s="85"/>
      <c r="B783" s="106"/>
      <c r="C783" s="103"/>
      <c r="D783" s="93"/>
      <c r="E783" s="93"/>
      <c r="F783" s="103"/>
      <c r="G783" s="113"/>
      <c r="H783" s="113"/>
      <c r="I783" s="100"/>
      <c r="J783" s="113"/>
      <c r="K783" s="82" t="b">
        <v>0</v>
      </c>
      <c r="L783" s="94"/>
      <c r="M783" s="84">
        <f t="shared" si="1"/>
        <v>6590</v>
      </c>
      <c r="N783" s="84"/>
      <c r="O783" s="84"/>
      <c r="P783" s="84"/>
      <c r="Q783" s="84"/>
      <c r="R783" s="86" t="str">
        <f t="shared" si="2"/>
        <v>Prepare for Showcase</v>
      </c>
      <c r="S783" s="82" t="b">
        <v>0</v>
      </c>
      <c r="T783" s="88"/>
      <c r="U783" s="84"/>
      <c r="V783" s="84"/>
      <c r="W783" s="84"/>
      <c r="X783" s="84"/>
      <c r="Y783" s="84"/>
      <c r="Z783" s="84"/>
      <c r="AA783" s="84"/>
    </row>
    <row r="784" ht="26.25" hidden="1" customHeight="1">
      <c r="A784" s="85"/>
      <c r="B784" s="106"/>
      <c r="C784" s="103"/>
      <c r="D784" s="93"/>
      <c r="E784" s="93"/>
      <c r="F784" s="103"/>
      <c r="G784" s="113"/>
      <c r="H784" s="113"/>
      <c r="I784" s="100"/>
      <c r="J784" s="113"/>
      <c r="K784" s="82" t="b">
        <v>0</v>
      </c>
      <c r="L784" s="94"/>
      <c r="M784" s="84">
        <f t="shared" si="1"/>
        <v>6590</v>
      </c>
      <c r="N784" s="84"/>
      <c r="O784" s="84"/>
      <c r="P784" s="84"/>
      <c r="Q784" s="84"/>
      <c r="R784" s="86" t="str">
        <f t="shared" si="2"/>
        <v>Prepare for Showcase</v>
      </c>
      <c r="S784" s="82" t="b">
        <v>0</v>
      </c>
      <c r="T784" s="88"/>
      <c r="U784" s="84"/>
      <c r="V784" s="84"/>
      <c r="W784" s="84"/>
      <c r="X784" s="84"/>
      <c r="Y784" s="84"/>
      <c r="Z784" s="84"/>
      <c r="AA784" s="84"/>
    </row>
    <row r="785" ht="26.25" hidden="1" customHeight="1">
      <c r="A785" s="85"/>
      <c r="B785" s="106"/>
      <c r="C785" s="103"/>
      <c r="D785" s="93"/>
      <c r="E785" s="93"/>
      <c r="F785" s="103"/>
      <c r="G785" s="113"/>
      <c r="H785" s="113"/>
      <c r="I785" s="100"/>
      <c r="J785" s="113"/>
      <c r="K785" s="82" t="b">
        <v>0</v>
      </c>
      <c r="L785" s="94"/>
      <c r="M785" s="84">
        <f t="shared" si="1"/>
        <v>6590</v>
      </c>
      <c r="N785" s="84"/>
      <c r="O785" s="84"/>
      <c r="P785" s="84"/>
      <c r="Q785" s="84"/>
      <c r="R785" s="86" t="str">
        <f t="shared" si="2"/>
        <v>Prepare for Showcase</v>
      </c>
      <c r="S785" s="82" t="b">
        <v>0</v>
      </c>
      <c r="T785" s="88"/>
      <c r="U785" s="84"/>
      <c r="V785" s="84"/>
      <c r="W785" s="84"/>
      <c r="X785" s="84"/>
      <c r="Y785" s="84"/>
      <c r="Z785" s="84"/>
      <c r="AA785" s="84"/>
    </row>
    <row r="786" ht="26.25" hidden="1" customHeight="1">
      <c r="A786" s="85"/>
      <c r="B786" s="106"/>
      <c r="C786" s="103"/>
      <c r="D786" s="93"/>
      <c r="E786" s="93"/>
      <c r="F786" s="103"/>
      <c r="G786" s="113"/>
      <c r="H786" s="113"/>
      <c r="I786" s="100"/>
      <c r="J786" s="113"/>
      <c r="K786" s="82" t="b">
        <v>0</v>
      </c>
      <c r="L786" s="94"/>
      <c r="M786" s="84">
        <f t="shared" si="1"/>
        <v>6590</v>
      </c>
      <c r="N786" s="84"/>
      <c r="O786" s="84"/>
      <c r="P786" s="84"/>
      <c r="Q786" s="84"/>
      <c r="R786" s="86" t="str">
        <f t="shared" si="2"/>
        <v>Prepare for Showcase</v>
      </c>
      <c r="S786" s="82" t="b">
        <v>0</v>
      </c>
      <c r="T786" s="88"/>
      <c r="U786" s="84"/>
      <c r="V786" s="84"/>
      <c r="W786" s="84"/>
      <c r="X786" s="84"/>
      <c r="Y786" s="84"/>
      <c r="Z786" s="84"/>
      <c r="AA786" s="84"/>
    </row>
    <row r="787" ht="26.25" hidden="1" customHeight="1">
      <c r="A787" s="85"/>
      <c r="B787" s="106"/>
      <c r="C787" s="103"/>
      <c r="D787" s="93"/>
      <c r="E787" s="93"/>
      <c r="F787" s="103"/>
      <c r="G787" s="113"/>
      <c r="H787" s="113"/>
      <c r="I787" s="100"/>
      <c r="J787" s="113"/>
      <c r="K787" s="82" t="b">
        <v>0</v>
      </c>
      <c r="L787" s="94"/>
      <c r="M787" s="84">
        <f t="shared" si="1"/>
        <v>6590</v>
      </c>
      <c r="N787" s="84"/>
      <c r="O787" s="84"/>
      <c r="P787" s="84"/>
      <c r="Q787" s="84"/>
      <c r="R787" s="86" t="str">
        <f t="shared" si="2"/>
        <v>Prepare for Showcase</v>
      </c>
      <c r="S787" s="82" t="b">
        <v>0</v>
      </c>
      <c r="T787" s="88"/>
      <c r="U787" s="84"/>
      <c r="V787" s="84"/>
      <c r="W787" s="84"/>
      <c r="X787" s="84"/>
      <c r="Y787" s="84"/>
      <c r="Z787" s="84"/>
      <c r="AA787" s="84"/>
    </row>
    <row r="788" ht="26.25" hidden="1" customHeight="1">
      <c r="A788" s="85"/>
      <c r="B788" s="106"/>
      <c r="C788" s="103"/>
      <c r="D788" s="93"/>
      <c r="E788" s="93"/>
      <c r="F788" s="103"/>
      <c r="G788" s="113"/>
      <c r="H788" s="113"/>
      <c r="I788" s="100"/>
      <c r="J788" s="113"/>
      <c r="K788" s="82" t="b">
        <v>0</v>
      </c>
      <c r="L788" s="94"/>
      <c r="M788" s="84">
        <f t="shared" si="1"/>
        <v>6590</v>
      </c>
      <c r="N788" s="84"/>
      <c r="O788" s="84"/>
      <c r="P788" s="84"/>
      <c r="Q788" s="84"/>
      <c r="R788" s="86" t="str">
        <f t="shared" si="2"/>
        <v>Prepare for Showcase</v>
      </c>
      <c r="S788" s="82" t="b">
        <v>0</v>
      </c>
      <c r="T788" s="88"/>
      <c r="U788" s="84"/>
      <c r="V788" s="84"/>
      <c r="W788" s="84"/>
      <c r="X788" s="84"/>
      <c r="Y788" s="84"/>
      <c r="Z788" s="84"/>
      <c r="AA788" s="84"/>
    </row>
    <row r="789" ht="26.25" hidden="1" customHeight="1">
      <c r="A789" s="85"/>
      <c r="B789" s="106"/>
      <c r="C789" s="103"/>
      <c r="D789" s="93"/>
      <c r="E789" s="93"/>
      <c r="F789" s="103"/>
      <c r="G789" s="113"/>
      <c r="H789" s="113"/>
      <c r="I789" s="100"/>
      <c r="J789" s="113"/>
      <c r="K789" s="82" t="b">
        <v>0</v>
      </c>
      <c r="L789" s="94"/>
      <c r="M789" s="84">
        <f t="shared" si="1"/>
        <v>6590</v>
      </c>
      <c r="N789" s="84"/>
      <c r="O789" s="84"/>
      <c r="P789" s="84"/>
      <c r="Q789" s="84"/>
      <c r="R789" s="86" t="str">
        <f t="shared" si="2"/>
        <v>Prepare for Showcase</v>
      </c>
      <c r="S789" s="82" t="b">
        <v>0</v>
      </c>
      <c r="T789" s="88"/>
      <c r="U789" s="84"/>
      <c r="V789" s="84"/>
      <c r="W789" s="84"/>
      <c r="X789" s="84"/>
      <c r="Y789" s="84"/>
      <c r="Z789" s="84"/>
      <c r="AA789" s="84"/>
    </row>
    <row r="790" ht="26.25" hidden="1" customHeight="1">
      <c r="A790" s="85"/>
      <c r="B790" s="106"/>
      <c r="C790" s="103"/>
      <c r="D790" s="93"/>
      <c r="E790" s="93"/>
      <c r="F790" s="103"/>
      <c r="G790" s="113"/>
      <c r="H790" s="113"/>
      <c r="I790" s="100"/>
      <c r="J790" s="113"/>
      <c r="K790" s="82" t="b">
        <v>0</v>
      </c>
      <c r="L790" s="94"/>
      <c r="M790" s="84">
        <f t="shared" si="1"/>
        <v>6590</v>
      </c>
      <c r="N790" s="84"/>
      <c r="O790" s="84"/>
      <c r="P790" s="84"/>
      <c r="Q790" s="84"/>
      <c r="R790" s="86" t="str">
        <f t="shared" si="2"/>
        <v>Prepare for Showcase</v>
      </c>
      <c r="S790" s="82" t="b">
        <v>0</v>
      </c>
      <c r="T790" s="88"/>
      <c r="U790" s="84"/>
      <c r="V790" s="84"/>
      <c r="W790" s="84"/>
      <c r="X790" s="84"/>
      <c r="Y790" s="84"/>
      <c r="Z790" s="84"/>
      <c r="AA790" s="84"/>
    </row>
    <row r="791" ht="26.25" hidden="1" customHeight="1">
      <c r="A791" s="85"/>
      <c r="B791" s="106"/>
      <c r="C791" s="103"/>
      <c r="D791" s="93"/>
      <c r="E791" s="93"/>
      <c r="F791" s="103"/>
      <c r="G791" s="113"/>
      <c r="H791" s="113"/>
      <c r="I791" s="100"/>
      <c r="J791" s="113"/>
      <c r="K791" s="82" t="b">
        <v>0</v>
      </c>
      <c r="L791" s="94"/>
      <c r="M791" s="84">
        <f t="shared" si="1"/>
        <v>6590</v>
      </c>
      <c r="N791" s="84"/>
      <c r="O791" s="84"/>
      <c r="P791" s="84"/>
      <c r="Q791" s="84"/>
      <c r="R791" s="86" t="str">
        <f t="shared" si="2"/>
        <v>Prepare for Showcase</v>
      </c>
      <c r="S791" s="82" t="b">
        <v>0</v>
      </c>
      <c r="T791" s="88"/>
      <c r="U791" s="84"/>
      <c r="V791" s="84"/>
      <c r="W791" s="84"/>
      <c r="X791" s="84"/>
      <c r="Y791" s="84"/>
      <c r="Z791" s="84"/>
      <c r="AA791" s="84"/>
    </row>
    <row r="792" ht="26.25" hidden="1" customHeight="1">
      <c r="A792" s="85"/>
      <c r="B792" s="106"/>
      <c r="C792" s="103"/>
      <c r="D792" s="93"/>
      <c r="E792" s="93"/>
      <c r="F792" s="103"/>
      <c r="G792" s="113"/>
      <c r="H792" s="113"/>
      <c r="I792" s="100"/>
      <c r="J792" s="113"/>
      <c r="K792" s="82" t="b">
        <v>0</v>
      </c>
      <c r="L792" s="94"/>
      <c r="M792" s="84">
        <f t="shared" si="1"/>
        <v>6590</v>
      </c>
      <c r="N792" s="84"/>
      <c r="O792" s="84"/>
      <c r="P792" s="84"/>
      <c r="Q792" s="84"/>
      <c r="R792" s="86" t="str">
        <f t="shared" si="2"/>
        <v>Prepare for Showcase</v>
      </c>
      <c r="S792" s="82" t="b">
        <v>0</v>
      </c>
      <c r="T792" s="88"/>
      <c r="U792" s="84"/>
      <c r="V792" s="84"/>
      <c r="W792" s="84"/>
      <c r="X792" s="84"/>
      <c r="Y792" s="84"/>
      <c r="Z792" s="84"/>
      <c r="AA792" s="84"/>
    </row>
    <row r="793" ht="26.25" hidden="1" customHeight="1">
      <c r="A793" s="85"/>
      <c r="B793" s="106"/>
      <c r="C793" s="103"/>
      <c r="D793" s="93"/>
      <c r="E793" s="93"/>
      <c r="F793" s="103"/>
      <c r="G793" s="113"/>
      <c r="H793" s="113"/>
      <c r="I793" s="100"/>
      <c r="J793" s="113"/>
      <c r="K793" s="82" t="b">
        <v>0</v>
      </c>
      <c r="L793" s="94"/>
      <c r="M793" s="84">
        <f t="shared" si="1"/>
        <v>6590</v>
      </c>
      <c r="N793" s="84"/>
      <c r="O793" s="84"/>
      <c r="P793" s="84"/>
      <c r="Q793" s="84"/>
      <c r="R793" s="86" t="str">
        <f t="shared" si="2"/>
        <v>Prepare for Showcase</v>
      </c>
      <c r="S793" s="82" t="b">
        <v>0</v>
      </c>
      <c r="T793" s="88"/>
      <c r="U793" s="84"/>
      <c r="V793" s="84"/>
      <c r="W793" s="84"/>
      <c r="X793" s="84"/>
      <c r="Y793" s="84"/>
      <c r="Z793" s="84"/>
      <c r="AA793" s="84"/>
    </row>
    <row r="794" ht="26.25" hidden="1" customHeight="1">
      <c r="A794" s="85"/>
      <c r="B794" s="106"/>
      <c r="C794" s="103"/>
      <c r="D794" s="93"/>
      <c r="E794" s="93"/>
      <c r="F794" s="103"/>
      <c r="G794" s="113"/>
      <c r="H794" s="113"/>
      <c r="I794" s="100"/>
      <c r="J794" s="113"/>
      <c r="K794" s="82" t="b">
        <v>0</v>
      </c>
      <c r="L794" s="94"/>
      <c r="M794" s="84">
        <f t="shared" si="1"/>
        <v>6590</v>
      </c>
      <c r="N794" s="84"/>
      <c r="O794" s="84"/>
      <c r="P794" s="84"/>
      <c r="Q794" s="84"/>
      <c r="R794" s="86" t="str">
        <f t="shared" si="2"/>
        <v>Prepare for Showcase</v>
      </c>
      <c r="S794" s="82" t="b">
        <v>0</v>
      </c>
      <c r="T794" s="88"/>
      <c r="U794" s="84"/>
      <c r="V794" s="84"/>
      <c r="W794" s="84"/>
      <c r="X794" s="84"/>
      <c r="Y794" s="84"/>
      <c r="Z794" s="84"/>
      <c r="AA794" s="84"/>
    </row>
    <row r="795" ht="26.25" hidden="1" customHeight="1">
      <c r="A795" s="85"/>
      <c r="B795" s="106"/>
      <c r="C795" s="103"/>
      <c r="D795" s="93"/>
      <c r="E795" s="93"/>
      <c r="F795" s="103"/>
      <c r="G795" s="113"/>
      <c r="H795" s="113"/>
      <c r="I795" s="100"/>
      <c r="J795" s="113"/>
      <c r="K795" s="82" t="b">
        <v>0</v>
      </c>
      <c r="L795" s="94"/>
      <c r="M795" s="84">
        <f t="shared" si="1"/>
        <v>6590</v>
      </c>
      <c r="N795" s="84"/>
      <c r="O795" s="84"/>
      <c r="P795" s="84"/>
      <c r="Q795" s="84"/>
      <c r="R795" s="86" t="str">
        <f t="shared" si="2"/>
        <v>Prepare for Showcase</v>
      </c>
      <c r="S795" s="82" t="b">
        <v>0</v>
      </c>
      <c r="T795" s="88"/>
      <c r="U795" s="84"/>
      <c r="V795" s="84"/>
      <c r="W795" s="84"/>
      <c r="X795" s="84"/>
      <c r="Y795" s="84"/>
      <c r="Z795" s="84"/>
      <c r="AA795" s="84"/>
    </row>
    <row r="796" ht="26.25" hidden="1" customHeight="1">
      <c r="A796" s="85"/>
      <c r="B796" s="106"/>
      <c r="C796" s="103"/>
      <c r="D796" s="93"/>
      <c r="E796" s="93"/>
      <c r="F796" s="103"/>
      <c r="G796" s="113"/>
      <c r="H796" s="113"/>
      <c r="I796" s="100"/>
      <c r="J796" s="113"/>
      <c r="K796" s="82" t="b">
        <v>0</v>
      </c>
      <c r="L796" s="94"/>
      <c r="M796" s="84">
        <f t="shared" si="1"/>
        <v>6590</v>
      </c>
      <c r="N796" s="84"/>
      <c r="O796" s="84"/>
      <c r="P796" s="84"/>
      <c r="Q796" s="84"/>
      <c r="R796" s="86" t="str">
        <f t="shared" si="2"/>
        <v>Prepare for Showcase</v>
      </c>
      <c r="S796" s="82" t="b">
        <v>0</v>
      </c>
      <c r="T796" s="88"/>
      <c r="U796" s="84"/>
      <c r="V796" s="84"/>
      <c r="W796" s="84"/>
      <c r="X796" s="84"/>
      <c r="Y796" s="84"/>
      <c r="Z796" s="84"/>
      <c r="AA796" s="84"/>
    </row>
    <row r="797" ht="26.25" hidden="1" customHeight="1">
      <c r="A797" s="85"/>
      <c r="B797" s="106"/>
      <c r="C797" s="103"/>
      <c r="D797" s="93"/>
      <c r="E797" s="93"/>
      <c r="F797" s="103"/>
      <c r="G797" s="113"/>
      <c r="H797" s="113"/>
      <c r="I797" s="100"/>
      <c r="J797" s="113"/>
      <c r="K797" s="82" t="b">
        <v>0</v>
      </c>
      <c r="L797" s="94"/>
      <c r="M797" s="84">
        <f t="shared" si="1"/>
        <v>6590</v>
      </c>
      <c r="N797" s="84"/>
      <c r="O797" s="84"/>
      <c r="P797" s="84"/>
      <c r="Q797" s="84"/>
      <c r="R797" s="86" t="str">
        <f t="shared" si="2"/>
        <v>Prepare for Showcase</v>
      </c>
      <c r="S797" s="82" t="b">
        <v>0</v>
      </c>
      <c r="T797" s="88"/>
      <c r="U797" s="84"/>
      <c r="V797" s="84"/>
      <c r="W797" s="84"/>
      <c r="X797" s="84"/>
      <c r="Y797" s="84"/>
      <c r="Z797" s="84"/>
      <c r="AA797" s="84"/>
    </row>
    <row r="798" ht="26.25" hidden="1" customHeight="1">
      <c r="A798" s="85"/>
      <c r="B798" s="106"/>
      <c r="C798" s="103"/>
      <c r="D798" s="93"/>
      <c r="E798" s="93"/>
      <c r="F798" s="103"/>
      <c r="G798" s="113"/>
      <c r="H798" s="113"/>
      <c r="I798" s="100"/>
      <c r="J798" s="113"/>
      <c r="K798" s="82" t="b">
        <v>0</v>
      </c>
      <c r="L798" s="94"/>
      <c r="M798" s="84">
        <f t="shared" si="1"/>
        <v>6590</v>
      </c>
      <c r="N798" s="84"/>
      <c r="O798" s="84"/>
      <c r="P798" s="84"/>
      <c r="Q798" s="84"/>
      <c r="R798" s="86" t="str">
        <f t="shared" si="2"/>
        <v>Prepare for Showcase</v>
      </c>
      <c r="S798" s="82" t="b">
        <v>0</v>
      </c>
      <c r="T798" s="88"/>
      <c r="U798" s="84"/>
      <c r="V798" s="84"/>
      <c r="W798" s="84"/>
      <c r="X798" s="84"/>
      <c r="Y798" s="84"/>
      <c r="Z798" s="84"/>
      <c r="AA798" s="84"/>
    </row>
    <row r="799" ht="26.25" hidden="1" customHeight="1">
      <c r="A799" s="85"/>
      <c r="B799" s="106"/>
      <c r="C799" s="103"/>
      <c r="D799" s="93"/>
      <c r="E799" s="93"/>
      <c r="F799" s="103"/>
      <c r="G799" s="113"/>
      <c r="H799" s="113"/>
      <c r="I799" s="100"/>
      <c r="J799" s="113"/>
      <c r="K799" s="82" t="b">
        <v>0</v>
      </c>
      <c r="L799" s="94"/>
      <c r="M799" s="84">
        <f t="shared" si="1"/>
        <v>6590</v>
      </c>
      <c r="N799" s="84"/>
      <c r="O799" s="84"/>
      <c r="P799" s="84"/>
      <c r="Q799" s="84"/>
      <c r="R799" s="86" t="str">
        <f t="shared" si="2"/>
        <v>Prepare for Showcase</v>
      </c>
      <c r="S799" s="82" t="b">
        <v>0</v>
      </c>
      <c r="T799" s="88"/>
      <c r="U799" s="84"/>
      <c r="V799" s="84"/>
      <c r="W799" s="84"/>
      <c r="X799" s="84"/>
      <c r="Y799" s="84"/>
      <c r="Z799" s="84"/>
      <c r="AA799" s="84"/>
    </row>
    <row r="800" ht="26.25" hidden="1" customHeight="1">
      <c r="A800" s="85"/>
      <c r="B800" s="106"/>
      <c r="C800" s="103"/>
      <c r="D800" s="93"/>
      <c r="E800" s="93"/>
      <c r="F800" s="103"/>
      <c r="G800" s="113"/>
      <c r="H800" s="113"/>
      <c r="I800" s="100"/>
      <c r="J800" s="113"/>
      <c r="K800" s="82" t="b">
        <v>0</v>
      </c>
      <c r="L800" s="94"/>
      <c r="M800" s="84">
        <f t="shared" si="1"/>
        <v>6590</v>
      </c>
      <c r="N800" s="84"/>
      <c r="O800" s="84"/>
      <c r="P800" s="84"/>
      <c r="Q800" s="84"/>
      <c r="R800" s="86" t="str">
        <f t="shared" si="2"/>
        <v>Prepare for Showcase</v>
      </c>
      <c r="S800" s="82" t="b">
        <v>0</v>
      </c>
      <c r="T800" s="88"/>
      <c r="U800" s="84"/>
      <c r="V800" s="84"/>
      <c r="W800" s="84"/>
      <c r="X800" s="84"/>
      <c r="Y800" s="84"/>
      <c r="Z800" s="84"/>
      <c r="AA800" s="84"/>
    </row>
    <row r="801" ht="26.25" hidden="1" customHeight="1">
      <c r="A801" s="85"/>
      <c r="B801" s="106"/>
      <c r="C801" s="103"/>
      <c r="D801" s="93"/>
      <c r="E801" s="93"/>
      <c r="F801" s="103"/>
      <c r="G801" s="113"/>
      <c r="H801" s="113"/>
      <c r="I801" s="100"/>
      <c r="J801" s="113"/>
      <c r="K801" s="82" t="b">
        <v>0</v>
      </c>
      <c r="L801" s="94"/>
      <c r="M801" s="84">
        <f t="shared" si="1"/>
        <v>6590</v>
      </c>
      <c r="N801" s="84"/>
      <c r="O801" s="84"/>
      <c r="P801" s="84"/>
      <c r="Q801" s="84"/>
      <c r="R801" s="86" t="str">
        <f t="shared" si="2"/>
        <v>Prepare for Showcase</v>
      </c>
      <c r="S801" s="82" t="b">
        <v>0</v>
      </c>
      <c r="T801" s="88"/>
      <c r="U801" s="84"/>
      <c r="V801" s="84"/>
      <c r="W801" s="84"/>
      <c r="X801" s="84"/>
      <c r="Y801" s="84"/>
      <c r="Z801" s="84"/>
      <c r="AA801" s="84"/>
    </row>
    <row r="802" ht="26.25" hidden="1" customHeight="1">
      <c r="A802" s="85"/>
      <c r="B802" s="106"/>
      <c r="C802" s="103"/>
      <c r="D802" s="93"/>
      <c r="E802" s="93"/>
      <c r="F802" s="103"/>
      <c r="G802" s="113"/>
      <c r="H802" s="113"/>
      <c r="I802" s="100"/>
      <c r="J802" s="113"/>
      <c r="K802" s="82" t="b">
        <v>0</v>
      </c>
      <c r="L802" s="94"/>
      <c r="M802" s="84">
        <f t="shared" si="1"/>
        <v>6590</v>
      </c>
      <c r="N802" s="84"/>
      <c r="O802" s="84"/>
      <c r="P802" s="84"/>
      <c r="Q802" s="84"/>
      <c r="R802" s="86" t="str">
        <f t="shared" si="2"/>
        <v>Prepare for Showcase</v>
      </c>
      <c r="S802" s="82" t="b">
        <v>0</v>
      </c>
      <c r="T802" s="88"/>
      <c r="U802" s="84"/>
      <c r="V802" s="84"/>
      <c r="W802" s="84"/>
      <c r="X802" s="84"/>
      <c r="Y802" s="84"/>
      <c r="Z802" s="84"/>
      <c r="AA802" s="84"/>
    </row>
    <row r="803" ht="26.25" hidden="1" customHeight="1">
      <c r="A803" s="85"/>
      <c r="B803" s="106"/>
      <c r="C803" s="103"/>
      <c r="D803" s="93"/>
      <c r="E803" s="93"/>
      <c r="F803" s="103"/>
      <c r="G803" s="113"/>
      <c r="H803" s="113"/>
      <c r="I803" s="100"/>
      <c r="J803" s="113"/>
      <c r="K803" s="82" t="b">
        <v>0</v>
      </c>
      <c r="L803" s="94"/>
      <c r="M803" s="84">
        <f t="shared" si="1"/>
        <v>6590</v>
      </c>
      <c r="N803" s="84"/>
      <c r="O803" s="84"/>
      <c r="P803" s="84"/>
      <c r="Q803" s="84"/>
      <c r="R803" s="86" t="str">
        <f t="shared" si="2"/>
        <v>Prepare for Showcase</v>
      </c>
      <c r="S803" s="82" t="b">
        <v>0</v>
      </c>
      <c r="T803" s="88"/>
      <c r="U803" s="84"/>
      <c r="V803" s="84"/>
      <c r="W803" s="84"/>
      <c r="X803" s="84"/>
      <c r="Y803" s="84"/>
      <c r="Z803" s="84"/>
      <c r="AA803" s="84"/>
    </row>
    <row r="804" ht="26.25" hidden="1" customHeight="1">
      <c r="A804" s="85"/>
      <c r="B804" s="106"/>
      <c r="C804" s="103"/>
      <c r="D804" s="93"/>
      <c r="E804" s="93"/>
      <c r="F804" s="103"/>
      <c r="G804" s="113"/>
      <c r="H804" s="113"/>
      <c r="I804" s="100"/>
      <c r="J804" s="113"/>
      <c r="K804" s="82" t="b">
        <v>0</v>
      </c>
      <c r="L804" s="94"/>
      <c r="M804" s="84">
        <f t="shared" si="1"/>
        <v>6590</v>
      </c>
      <c r="N804" s="84"/>
      <c r="O804" s="84"/>
      <c r="P804" s="84"/>
      <c r="Q804" s="84"/>
      <c r="R804" s="86" t="str">
        <f t="shared" si="2"/>
        <v>Prepare for Showcase</v>
      </c>
      <c r="S804" s="82" t="b">
        <v>0</v>
      </c>
      <c r="T804" s="88"/>
      <c r="U804" s="84"/>
      <c r="V804" s="84"/>
      <c r="W804" s="84"/>
      <c r="X804" s="84"/>
      <c r="Y804" s="84"/>
      <c r="Z804" s="84"/>
      <c r="AA804" s="84"/>
    </row>
    <row r="805" ht="26.25" hidden="1" customHeight="1">
      <c r="A805" s="85"/>
      <c r="B805" s="106"/>
      <c r="C805" s="103"/>
      <c r="D805" s="93"/>
      <c r="E805" s="93"/>
      <c r="F805" s="103"/>
      <c r="G805" s="113"/>
      <c r="H805" s="113"/>
      <c r="I805" s="100"/>
      <c r="J805" s="113"/>
      <c r="K805" s="82" t="b">
        <v>0</v>
      </c>
      <c r="L805" s="94"/>
      <c r="M805" s="84">
        <f t="shared" si="1"/>
        <v>6590</v>
      </c>
      <c r="N805" s="84"/>
      <c r="O805" s="84"/>
      <c r="P805" s="84"/>
      <c r="Q805" s="84"/>
      <c r="R805" s="86" t="str">
        <f t="shared" si="2"/>
        <v>Prepare for Showcase</v>
      </c>
      <c r="S805" s="82" t="b">
        <v>0</v>
      </c>
      <c r="T805" s="88"/>
      <c r="U805" s="84"/>
      <c r="V805" s="84"/>
      <c r="W805" s="84"/>
      <c r="X805" s="84"/>
      <c r="Y805" s="84"/>
      <c r="Z805" s="84"/>
      <c r="AA805" s="84"/>
    </row>
    <row r="806" ht="26.25" hidden="1" customHeight="1">
      <c r="A806" s="85"/>
      <c r="B806" s="106"/>
      <c r="C806" s="103"/>
      <c r="D806" s="93"/>
      <c r="E806" s="93"/>
      <c r="F806" s="103"/>
      <c r="G806" s="113"/>
      <c r="H806" s="113"/>
      <c r="I806" s="100"/>
      <c r="J806" s="113"/>
      <c r="K806" s="82" t="b">
        <v>0</v>
      </c>
      <c r="L806" s="94"/>
      <c r="M806" s="84">
        <f t="shared" si="1"/>
        <v>6590</v>
      </c>
      <c r="N806" s="84"/>
      <c r="O806" s="84"/>
      <c r="P806" s="84"/>
      <c r="Q806" s="84"/>
      <c r="R806" s="86" t="str">
        <f t="shared" si="2"/>
        <v>Prepare for Showcase</v>
      </c>
      <c r="S806" s="82" t="b">
        <v>0</v>
      </c>
      <c r="T806" s="88"/>
      <c r="U806" s="84"/>
      <c r="V806" s="84"/>
      <c r="W806" s="84"/>
      <c r="X806" s="84"/>
      <c r="Y806" s="84"/>
      <c r="Z806" s="84"/>
      <c r="AA806" s="84"/>
    </row>
    <row r="807" ht="26.25" hidden="1" customHeight="1">
      <c r="A807" s="85"/>
      <c r="B807" s="106"/>
      <c r="C807" s="103"/>
      <c r="D807" s="93"/>
      <c r="E807" s="93"/>
      <c r="F807" s="103"/>
      <c r="G807" s="113"/>
      <c r="H807" s="113"/>
      <c r="I807" s="100"/>
      <c r="J807" s="113"/>
      <c r="K807" s="82" t="b">
        <v>0</v>
      </c>
      <c r="L807" s="94"/>
      <c r="M807" s="84">
        <f t="shared" si="1"/>
        <v>6590</v>
      </c>
      <c r="N807" s="84"/>
      <c r="O807" s="84"/>
      <c r="P807" s="84"/>
      <c r="Q807" s="84"/>
      <c r="R807" s="86" t="str">
        <f t="shared" si="2"/>
        <v>Prepare for Showcase</v>
      </c>
      <c r="S807" s="82" t="b">
        <v>0</v>
      </c>
      <c r="T807" s="88"/>
      <c r="U807" s="84"/>
      <c r="V807" s="84"/>
      <c r="W807" s="84"/>
      <c r="X807" s="84"/>
      <c r="Y807" s="84"/>
      <c r="Z807" s="84"/>
      <c r="AA807" s="84"/>
    </row>
    <row r="808" ht="26.25" hidden="1" customHeight="1">
      <c r="A808" s="85"/>
      <c r="B808" s="106"/>
      <c r="C808" s="103"/>
      <c r="D808" s="93"/>
      <c r="E808" s="93"/>
      <c r="F808" s="103"/>
      <c r="G808" s="113"/>
      <c r="H808" s="113"/>
      <c r="I808" s="100"/>
      <c r="J808" s="113"/>
      <c r="K808" s="82" t="b">
        <v>0</v>
      </c>
      <c r="L808" s="94"/>
      <c r="M808" s="84">
        <f t="shared" si="1"/>
        <v>6590</v>
      </c>
      <c r="N808" s="84"/>
      <c r="O808" s="84"/>
      <c r="P808" s="84"/>
      <c r="Q808" s="84"/>
      <c r="R808" s="86" t="str">
        <f t="shared" si="2"/>
        <v>Prepare for Showcase</v>
      </c>
      <c r="S808" s="82" t="b">
        <v>0</v>
      </c>
      <c r="T808" s="88"/>
      <c r="U808" s="84"/>
      <c r="V808" s="84"/>
      <c r="W808" s="84"/>
      <c r="X808" s="84"/>
      <c r="Y808" s="84"/>
      <c r="Z808" s="84"/>
      <c r="AA808" s="84"/>
    </row>
    <row r="809" ht="26.25" hidden="1" customHeight="1">
      <c r="A809" s="85"/>
      <c r="B809" s="106"/>
      <c r="C809" s="103"/>
      <c r="D809" s="93"/>
      <c r="E809" s="93"/>
      <c r="F809" s="103"/>
      <c r="G809" s="113"/>
      <c r="H809" s="113"/>
      <c r="I809" s="100"/>
      <c r="J809" s="113"/>
      <c r="K809" s="82" t="b">
        <v>0</v>
      </c>
      <c r="L809" s="94"/>
      <c r="M809" s="84">
        <f t="shared" si="1"/>
        <v>6590</v>
      </c>
      <c r="N809" s="84"/>
      <c r="O809" s="84"/>
      <c r="P809" s="84"/>
      <c r="Q809" s="84"/>
      <c r="R809" s="86" t="str">
        <f t="shared" si="2"/>
        <v>Prepare for Showcase</v>
      </c>
      <c r="S809" s="82" t="b">
        <v>0</v>
      </c>
      <c r="T809" s="88"/>
      <c r="U809" s="84"/>
      <c r="V809" s="84"/>
      <c r="W809" s="84"/>
      <c r="X809" s="84"/>
      <c r="Y809" s="84"/>
      <c r="Z809" s="84"/>
      <c r="AA809" s="84"/>
    </row>
    <row r="810" ht="26.25" hidden="1" customHeight="1">
      <c r="A810" s="85"/>
      <c r="B810" s="106"/>
      <c r="C810" s="103"/>
      <c r="D810" s="93"/>
      <c r="E810" s="93"/>
      <c r="F810" s="103"/>
      <c r="G810" s="113"/>
      <c r="H810" s="113"/>
      <c r="I810" s="100"/>
      <c r="J810" s="113"/>
      <c r="K810" s="82" t="b">
        <v>0</v>
      </c>
      <c r="L810" s="94"/>
      <c r="M810" s="84">
        <f t="shared" si="1"/>
        <v>6590</v>
      </c>
      <c r="N810" s="84"/>
      <c r="O810" s="84"/>
      <c r="P810" s="84"/>
      <c r="Q810" s="84"/>
      <c r="R810" s="86" t="str">
        <f t="shared" si="2"/>
        <v>Prepare for Showcase</v>
      </c>
      <c r="S810" s="82" t="b">
        <v>0</v>
      </c>
      <c r="T810" s="88"/>
      <c r="U810" s="84"/>
      <c r="V810" s="84"/>
      <c r="W810" s="84"/>
      <c r="X810" s="84"/>
      <c r="Y810" s="84"/>
      <c r="Z810" s="84"/>
      <c r="AA810" s="84"/>
    </row>
    <row r="811" ht="26.25" hidden="1" customHeight="1">
      <c r="A811" s="85"/>
      <c r="B811" s="106"/>
      <c r="C811" s="103"/>
      <c r="D811" s="93"/>
      <c r="E811" s="93"/>
      <c r="F811" s="103"/>
      <c r="G811" s="113"/>
      <c r="H811" s="113"/>
      <c r="I811" s="100"/>
      <c r="J811" s="113"/>
      <c r="K811" s="82" t="b">
        <v>0</v>
      </c>
      <c r="L811" s="94"/>
      <c r="M811" s="84">
        <f t="shared" si="1"/>
        <v>6590</v>
      </c>
      <c r="N811" s="84"/>
      <c r="O811" s="84"/>
      <c r="P811" s="84"/>
      <c r="Q811" s="84"/>
      <c r="R811" s="86" t="str">
        <f t="shared" si="2"/>
        <v>Prepare for Showcase</v>
      </c>
      <c r="S811" s="82" t="b">
        <v>0</v>
      </c>
      <c r="T811" s="88"/>
      <c r="U811" s="84"/>
      <c r="V811" s="84"/>
      <c r="W811" s="84"/>
      <c r="X811" s="84"/>
      <c r="Y811" s="84"/>
      <c r="Z811" s="84"/>
      <c r="AA811" s="84"/>
    </row>
    <row r="812" ht="26.25" hidden="1" customHeight="1">
      <c r="A812" s="85"/>
      <c r="B812" s="106"/>
      <c r="C812" s="103"/>
      <c r="D812" s="93"/>
      <c r="E812" s="93"/>
      <c r="F812" s="103"/>
      <c r="G812" s="113"/>
      <c r="H812" s="113"/>
      <c r="I812" s="100"/>
      <c r="J812" s="113"/>
      <c r="K812" s="82" t="b">
        <v>0</v>
      </c>
      <c r="L812" s="94"/>
      <c r="M812" s="84">
        <f t="shared" si="1"/>
        <v>6590</v>
      </c>
      <c r="N812" s="84"/>
      <c r="O812" s="84"/>
      <c r="P812" s="84"/>
      <c r="Q812" s="84"/>
      <c r="R812" s="86" t="str">
        <f t="shared" si="2"/>
        <v>Prepare for Showcase</v>
      </c>
      <c r="S812" s="82" t="b">
        <v>0</v>
      </c>
      <c r="T812" s="88"/>
      <c r="U812" s="84"/>
      <c r="V812" s="84"/>
      <c r="W812" s="84"/>
      <c r="X812" s="84"/>
      <c r="Y812" s="84"/>
      <c r="Z812" s="84"/>
      <c r="AA812" s="84"/>
    </row>
    <row r="813" ht="26.25" hidden="1" customHeight="1">
      <c r="A813" s="85"/>
      <c r="B813" s="106"/>
      <c r="C813" s="103"/>
      <c r="D813" s="93"/>
      <c r="E813" s="93"/>
      <c r="F813" s="103"/>
      <c r="G813" s="113"/>
      <c r="H813" s="113"/>
      <c r="I813" s="100"/>
      <c r="J813" s="113"/>
      <c r="K813" s="82" t="b">
        <v>0</v>
      </c>
      <c r="L813" s="94"/>
      <c r="M813" s="84">
        <f t="shared" si="1"/>
        <v>6590</v>
      </c>
      <c r="N813" s="84"/>
      <c r="O813" s="84"/>
      <c r="P813" s="84"/>
      <c r="Q813" s="84"/>
      <c r="R813" s="86" t="str">
        <f t="shared" si="2"/>
        <v>Prepare for Showcase</v>
      </c>
      <c r="S813" s="82" t="b">
        <v>0</v>
      </c>
      <c r="T813" s="88"/>
      <c r="U813" s="84"/>
      <c r="V813" s="84"/>
      <c r="W813" s="84"/>
      <c r="X813" s="84"/>
      <c r="Y813" s="84"/>
      <c r="Z813" s="84"/>
      <c r="AA813" s="84"/>
    </row>
    <row r="814" ht="26.25" hidden="1" customHeight="1">
      <c r="A814" s="85"/>
      <c r="B814" s="106"/>
      <c r="C814" s="103"/>
      <c r="D814" s="93"/>
      <c r="E814" s="93"/>
      <c r="F814" s="103"/>
      <c r="G814" s="113"/>
      <c r="H814" s="113"/>
      <c r="I814" s="100"/>
      <c r="J814" s="113"/>
      <c r="K814" s="82" t="b">
        <v>0</v>
      </c>
      <c r="L814" s="94"/>
      <c r="M814" s="84">
        <f t="shared" si="1"/>
        <v>6590</v>
      </c>
      <c r="N814" s="84"/>
      <c r="O814" s="84"/>
      <c r="P814" s="84"/>
      <c r="Q814" s="84"/>
      <c r="R814" s="86" t="str">
        <f t="shared" si="2"/>
        <v>Prepare for Showcase</v>
      </c>
      <c r="S814" s="82" t="b">
        <v>0</v>
      </c>
      <c r="T814" s="88"/>
      <c r="U814" s="84"/>
      <c r="V814" s="84"/>
      <c r="W814" s="84"/>
      <c r="X814" s="84"/>
      <c r="Y814" s="84"/>
      <c r="Z814" s="84"/>
      <c r="AA814" s="84"/>
    </row>
    <row r="815" ht="26.25" hidden="1" customHeight="1">
      <c r="A815" s="85"/>
      <c r="B815" s="106"/>
      <c r="C815" s="103"/>
      <c r="D815" s="93"/>
      <c r="E815" s="93"/>
      <c r="F815" s="103"/>
      <c r="G815" s="113"/>
      <c r="H815" s="113"/>
      <c r="I815" s="100"/>
      <c r="J815" s="113"/>
      <c r="K815" s="82" t="b">
        <v>0</v>
      </c>
      <c r="L815" s="94"/>
      <c r="M815" s="84">
        <f t="shared" si="1"/>
        <v>6590</v>
      </c>
      <c r="N815" s="84"/>
      <c r="O815" s="84"/>
      <c r="P815" s="84"/>
      <c r="Q815" s="84"/>
      <c r="R815" s="86" t="str">
        <f t="shared" si="2"/>
        <v>Prepare for Showcase</v>
      </c>
      <c r="S815" s="82" t="b">
        <v>0</v>
      </c>
      <c r="T815" s="88"/>
      <c r="U815" s="84"/>
      <c r="V815" s="84"/>
      <c r="W815" s="84"/>
      <c r="X815" s="84"/>
      <c r="Y815" s="84"/>
      <c r="Z815" s="84"/>
      <c r="AA815" s="84"/>
    </row>
    <row r="816" ht="26.25" hidden="1" customHeight="1">
      <c r="A816" s="85"/>
      <c r="B816" s="106"/>
      <c r="C816" s="103"/>
      <c r="D816" s="93"/>
      <c r="E816" s="93"/>
      <c r="F816" s="103"/>
      <c r="G816" s="113"/>
      <c r="H816" s="113"/>
      <c r="I816" s="100"/>
      <c r="J816" s="113"/>
      <c r="K816" s="82" t="b">
        <v>0</v>
      </c>
      <c r="L816" s="94"/>
      <c r="M816" s="84">
        <f t="shared" si="1"/>
        <v>6590</v>
      </c>
      <c r="N816" s="84"/>
      <c r="O816" s="84"/>
      <c r="P816" s="84"/>
      <c r="Q816" s="84"/>
      <c r="R816" s="86" t="str">
        <f t="shared" si="2"/>
        <v>Prepare for Showcase</v>
      </c>
      <c r="S816" s="82" t="b">
        <v>0</v>
      </c>
      <c r="T816" s="88"/>
      <c r="U816" s="84"/>
      <c r="V816" s="84"/>
      <c r="W816" s="84"/>
      <c r="X816" s="84"/>
      <c r="Y816" s="84"/>
      <c r="Z816" s="84"/>
      <c r="AA816" s="84"/>
    </row>
    <row r="817" ht="26.25" hidden="1" customHeight="1">
      <c r="A817" s="85"/>
      <c r="B817" s="106"/>
      <c r="C817" s="103"/>
      <c r="D817" s="93"/>
      <c r="E817" s="93"/>
      <c r="F817" s="103"/>
      <c r="G817" s="113"/>
      <c r="H817" s="113"/>
      <c r="I817" s="100"/>
      <c r="J817" s="113"/>
      <c r="K817" s="82" t="b">
        <v>0</v>
      </c>
      <c r="L817" s="94"/>
      <c r="M817" s="84">
        <f t="shared" si="1"/>
        <v>6590</v>
      </c>
      <c r="N817" s="84"/>
      <c r="O817" s="84"/>
      <c r="P817" s="84"/>
      <c r="Q817" s="84"/>
      <c r="R817" s="86" t="str">
        <f t="shared" si="2"/>
        <v>Prepare for Showcase</v>
      </c>
      <c r="S817" s="82" t="b">
        <v>0</v>
      </c>
      <c r="T817" s="88"/>
      <c r="U817" s="84"/>
      <c r="V817" s="84"/>
      <c r="W817" s="84"/>
      <c r="X817" s="84"/>
      <c r="Y817" s="84"/>
      <c r="Z817" s="84"/>
      <c r="AA817" s="84"/>
    </row>
    <row r="818" ht="26.25" hidden="1" customHeight="1">
      <c r="A818" s="85"/>
      <c r="B818" s="106"/>
      <c r="C818" s="103"/>
      <c r="D818" s="93"/>
      <c r="E818" s="93"/>
      <c r="F818" s="103"/>
      <c r="G818" s="113"/>
      <c r="H818" s="113"/>
      <c r="I818" s="100"/>
      <c r="J818" s="113"/>
      <c r="K818" s="82" t="b">
        <v>0</v>
      </c>
      <c r="L818" s="94"/>
      <c r="M818" s="84">
        <f t="shared" si="1"/>
        <v>6590</v>
      </c>
      <c r="N818" s="84"/>
      <c r="O818" s="84"/>
      <c r="P818" s="84"/>
      <c r="Q818" s="84"/>
      <c r="R818" s="86" t="str">
        <f t="shared" si="2"/>
        <v>Prepare for Showcase</v>
      </c>
      <c r="S818" s="82" t="b">
        <v>0</v>
      </c>
      <c r="T818" s="88"/>
      <c r="U818" s="84"/>
      <c r="V818" s="84"/>
      <c r="W818" s="84"/>
      <c r="X818" s="84"/>
      <c r="Y818" s="84"/>
      <c r="Z818" s="84"/>
      <c r="AA818" s="84"/>
    </row>
    <row r="819" ht="26.25" hidden="1" customHeight="1">
      <c r="A819" s="85"/>
      <c r="B819" s="106"/>
      <c r="C819" s="103"/>
      <c r="D819" s="93"/>
      <c r="E819" s="93"/>
      <c r="F819" s="103"/>
      <c r="G819" s="113"/>
      <c r="H819" s="113"/>
      <c r="I819" s="100"/>
      <c r="J819" s="113"/>
      <c r="K819" s="82" t="b">
        <v>0</v>
      </c>
      <c r="L819" s="94"/>
      <c r="M819" s="84">
        <f t="shared" si="1"/>
        <v>6590</v>
      </c>
      <c r="N819" s="84"/>
      <c r="O819" s="84"/>
      <c r="P819" s="84"/>
      <c r="Q819" s="84"/>
      <c r="R819" s="86" t="str">
        <f t="shared" si="2"/>
        <v>Prepare for Showcase</v>
      </c>
      <c r="S819" s="82" t="b">
        <v>0</v>
      </c>
      <c r="T819" s="88"/>
      <c r="U819" s="84"/>
      <c r="V819" s="84"/>
      <c r="W819" s="84"/>
      <c r="X819" s="84"/>
      <c r="Y819" s="84"/>
      <c r="Z819" s="84"/>
      <c r="AA819" s="84"/>
    </row>
    <row r="820" ht="26.25" hidden="1" customHeight="1">
      <c r="A820" s="85"/>
      <c r="B820" s="106"/>
      <c r="C820" s="103"/>
      <c r="D820" s="93"/>
      <c r="E820" s="93"/>
      <c r="F820" s="103"/>
      <c r="G820" s="113"/>
      <c r="H820" s="113"/>
      <c r="I820" s="100"/>
      <c r="J820" s="113"/>
      <c r="K820" s="82" t="b">
        <v>0</v>
      </c>
      <c r="L820" s="94"/>
      <c r="M820" s="84">
        <f t="shared" si="1"/>
        <v>6590</v>
      </c>
      <c r="N820" s="84"/>
      <c r="O820" s="84"/>
      <c r="P820" s="84"/>
      <c r="Q820" s="84"/>
      <c r="R820" s="86" t="str">
        <f t="shared" si="2"/>
        <v>Prepare for Showcase</v>
      </c>
      <c r="S820" s="82" t="b">
        <v>0</v>
      </c>
      <c r="T820" s="88"/>
      <c r="U820" s="84"/>
      <c r="V820" s="84"/>
      <c r="W820" s="84"/>
      <c r="X820" s="84"/>
      <c r="Y820" s="84"/>
      <c r="Z820" s="84"/>
      <c r="AA820" s="84"/>
    </row>
    <row r="821" ht="26.25" hidden="1" customHeight="1">
      <c r="A821" s="85"/>
      <c r="B821" s="106"/>
      <c r="C821" s="103"/>
      <c r="D821" s="93"/>
      <c r="E821" s="93"/>
      <c r="F821" s="103"/>
      <c r="G821" s="113"/>
      <c r="H821" s="113"/>
      <c r="I821" s="100"/>
      <c r="J821" s="113"/>
      <c r="K821" s="82" t="b">
        <v>0</v>
      </c>
      <c r="L821" s="94"/>
      <c r="M821" s="84">
        <f t="shared" si="1"/>
        <v>6590</v>
      </c>
      <c r="N821" s="84"/>
      <c r="O821" s="84"/>
      <c r="P821" s="84"/>
      <c r="Q821" s="84"/>
      <c r="R821" s="86" t="str">
        <f t="shared" si="2"/>
        <v>Prepare for Showcase</v>
      </c>
      <c r="S821" s="82" t="b">
        <v>0</v>
      </c>
      <c r="T821" s="88"/>
      <c r="U821" s="84"/>
      <c r="V821" s="84"/>
      <c r="W821" s="84"/>
      <c r="X821" s="84"/>
      <c r="Y821" s="84"/>
      <c r="Z821" s="84"/>
      <c r="AA821" s="84"/>
    </row>
    <row r="822" ht="26.25" hidden="1" customHeight="1">
      <c r="A822" s="85"/>
      <c r="B822" s="106"/>
      <c r="C822" s="103"/>
      <c r="D822" s="93"/>
      <c r="E822" s="93"/>
      <c r="F822" s="103"/>
      <c r="G822" s="113"/>
      <c r="H822" s="113"/>
      <c r="I822" s="100"/>
      <c r="J822" s="113"/>
      <c r="K822" s="82" t="b">
        <v>0</v>
      </c>
      <c r="L822" s="94"/>
      <c r="M822" s="84">
        <f t="shared" si="1"/>
        <v>6590</v>
      </c>
      <c r="N822" s="84"/>
      <c r="O822" s="84"/>
      <c r="P822" s="84"/>
      <c r="Q822" s="84"/>
      <c r="R822" s="86" t="str">
        <f t="shared" si="2"/>
        <v>Prepare for Showcase</v>
      </c>
      <c r="S822" s="82" t="b">
        <v>0</v>
      </c>
      <c r="T822" s="88"/>
      <c r="U822" s="84"/>
      <c r="V822" s="84"/>
      <c r="W822" s="84"/>
      <c r="X822" s="84"/>
      <c r="Y822" s="84"/>
      <c r="Z822" s="84"/>
      <c r="AA822" s="84"/>
    </row>
    <row r="823" ht="26.25" hidden="1" customHeight="1">
      <c r="A823" s="85"/>
      <c r="B823" s="106"/>
      <c r="C823" s="103"/>
      <c r="D823" s="93"/>
      <c r="E823" s="93"/>
      <c r="F823" s="103"/>
      <c r="G823" s="113"/>
      <c r="H823" s="113"/>
      <c r="I823" s="100"/>
      <c r="J823" s="113"/>
      <c r="K823" s="82" t="b">
        <v>0</v>
      </c>
      <c r="L823" s="94"/>
      <c r="M823" s="84">
        <f t="shared" si="1"/>
        <v>6590</v>
      </c>
      <c r="N823" s="84"/>
      <c r="O823" s="84"/>
      <c r="P823" s="84"/>
      <c r="Q823" s="84"/>
      <c r="R823" s="86" t="str">
        <f t="shared" si="2"/>
        <v>Prepare for Showcase</v>
      </c>
      <c r="S823" s="82" t="b">
        <v>0</v>
      </c>
      <c r="T823" s="88"/>
      <c r="U823" s="84"/>
      <c r="V823" s="84"/>
      <c r="W823" s="84"/>
      <c r="X823" s="84"/>
      <c r="Y823" s="84"/>
      <c r="Z823" s="84"/>
      <c r="AA823" s="84"/>
    </row>
    <row r="824" ht="26.25" hidden="1" customHeight="1">
      <c r="A824" s="85"/>
      <c r="B824" s="106"/>
      <c r="C824" s="103"/>
      <c r="D824" s="93"/>
      <c r="E824" s="93"/>
      <c r="F824" s="103"/>
      <c r="G824" s="113"/>
      <c r="H824" s="113"/>
      <c r="I824" s="100"/>
      <c r="J824" s="113"/>
      <c r="K824" s="82" t="b">
        <v>0</v>
      </c>
      <c r="L824" s="94"/>
      <c r="M824" s="84">
        <f t="shared" si="1"/>
        <v>6590</v>
      </c>
      <c r="N824" s="84"/>
      <c r="O824" s="84"/>
      <c r="P824" s="84"/>
      <c r="Q824" s="84"/>
      <c r="R824" s="86" t="str">
        <f t="shared" si="2"/>
        <v>Prepare for Showcase</v>
      </c>
      <c r="S824" s="82" t="b">
        <v>0</v>
      </c>
      <c r="T824" s="88"/>
      <c r="U824" s="84"/>
      <c r="V824" s="84"/>
      <c r="W824" s="84"/>
      <c r="X824" s="84"/>
      <c r="Y824" s="84"/>
      <c r="Z824" s="84"/>
      <c r="AA824" s="84"/>
    </row>
    <row r="825" ht="26.25" hidden="1" customHeight="1">
      <c r="A825" s="85"/>
      <c r="B825" s="106"/>
      <c r="C825" s="103"/>
      <c r="D825" s="93"/>
      <c r="E825" s="93"/>
      <c r="F825" s="103"/>
      <c r="G825" s="113"/>
      <c r="H825" s="113"/>
      <c r="I825" s="100"/>
      <c r="J825" s="113"/>
      <c r="K825" s="82" t="b">
        <v>0</v>
      </c>
      <c r="L825" s="94"/>
      <c r="M825" s="84">
        <f t="shared" si="1"/>
        <v>6590</v>
      </c>
      <c r="N825" s="84"/>
      <c r="O825" s="84"/>
      <c r="P825" s="84"/>
      <c r="Q825" s="84"/>
      <c r="R825" s="86" t="str">
        <f t="shared" si="2"/>
        <v>Prepare for Showcase</v>
      </c>
      <c r="S825" s="82" t="b">
        <v>0</v>
      </c>
      <c r="T825" s="88"/>
      <c r="U825" s="84"/>
      <c r="V825" s="84"/>
      <c r="W825" s="84"/>
      <c r="X825" s="84"/>
      <c r="Y825" s="84"/>
      <c r="Z825" s="84"/>
      <c r="AA825" s="84"/>
    </row>
    <row r="826" ht="26.25" hidden="1" customHeight="1">
      <c r="A826" s="85"/>
      <c r="B826" s="106"/>
      <c r="C826" s="103"/>
      <c r="D826" s="93"/>
      <c r="E826" s="93"/>
      <c r="F826" s="103"/>
      <c r="G826" s="113"/>
      <c r="H826" s="113"/>
      <c r="I826" s="100"/>
      <c r="J826" s="113"/>
      <c r="K826" s="82" t="b">
        <v>0</v>
      </c>
      <c r="L826" s="94"/>
      <c r="M826" s="84">
        <f t="shared" si="1"/>
        <v>6590</v>
      </c>
      <c r="N826" s="84"/>
      <c r="O826" s="84"/>
      <c r="P826" s="84"/>
      <c r="Q826" s="84"/>
      <c r="R826" s="86" t="str">
        <f t="shared" si="2"/>
        <v>Prepare for Showcase</v>
      </c>
      <c r="S826" s="82" t="b">
        <v>0</v>
      </c>
      <c r="T826" s="88"/>
      <c r="U826" s="84"/>
      <c r="V826" s="84"/>
      <c r="W826" s="84"/>
      <c r="X826" s="84"/>
      <c r="Y826" s="84"/>
      <c r="Z826" s="84"/>
      <c r="AA826" s="84"/>
    </row>
    <row r="827" ht="26.25" hidden="1" customHeight="1">
      <c r="A827" s="85"/>
      <c r="B827" s="106"/>
      <c r="C827" s="103"/>
      <c r="D827" s="93"/>
      <c r="E827" s="93"/>
      <c r="F827" s="103"/>
      <c r="G827" s="113"/>
      <c r="H827" s="113"/>
      <c r="I827" s="100"/>
      <c r="J827" s="113"/>
      <c r="K827" s="82" t="b">
        <v>0</v>
      </c>
      <c r="L827" s="94"/>
      <c r="M827" s="84">
        <f t="shared" si="1"/>
        <v>6590</v>
      </c>
      <c r="N827" s="84"/>
      <c r="O827" s="84"/>
      <c r="P827" s="84"/>
      <c r="Q827" s="84"/>
      <c r="R827" s="86" t="str">
        <f t="shared" si="2"/>
        <v>Prepare for Showcase</v>
      </c>
      <c r="S827" s="82" t="b">
        <v>0</v>
      </c>
      <c r="T827" s="88"/>
      <c r="U827" s="84"/>
      <c r="V827" s="84"/>
      <c r="W827" s="84"/>
      <c r="X827" s="84"/>
      <c r="Y827" s="84"/>
      <c r="Z827" s="84"/>
      <c r="AA827" s="84"/>
    </row>
    <row r="828" ht="26.25" hidden="1" customHeight="1">
      <c r="A828" s="85"/>
      <c r="B828" s="106"/>
      <c r="C828" s="103"/>
      <c r="D828" s="93"/>
      <c r="E828" s="93"/>
      <c r="F828" s="103"/>
      <c r="G828" s="113"/>
      <c r="H828" s="113"/>
      <c r="I828" s="100"/>
      <c r="J828" s="113"/>
      <c r="K828" s="82" t="b">
        <v>0</v>
      </c>
      <c r="L828" s="94"/>
      <c r="M828" s="84">
        <f t="shared" si="1"/>
        <v>6590</v>
      </c>
      <c r="N828" s="84"/>
      <c r="O828" s="84"/>
      <c r="P828" s="84"/>
      <c r="Q828" s="84"/>
      <c r="R828" s="86" t="str">
        <f t="shared" si="2"/>
        <v>Prepare for Showcase</v>
      </c>
      <c r="S828" s="82" t="b">
        <v>0</v>
      </c>
      <c r="T828" s="88"/>
      <c r="U828" s="84"/>
      <c r="V828" s="84"/>
      <c r="W828" s="84"/>
      <c r="X828" s="84"/>
      <c r="Y828" s="84"/>
      <c r="Z828" s="84"/>
      <c r="AA828" s="84"/>
    </row>
    <row r="829" ht="26.25" hidden="1" customHeight="1">
      <c r="A829" s="85"/>
      <c r="B829" s="106"/>
      <c r="C829" s="103"/>
      <c r="D829" s="93"/>
      <c r="E829" s="93"/>
      <c r="F829" s="103"/>
      <c r="G829" s="113"/>
      <c r="H829" s="113"/>
      <c r="I829" s="100"/>
      <c r="J829" s="113"/>
      <c r="K829" s="82" t="b">
        <v>0</v>
      </c>
      <c r="L829" s="94"/>
      <c r="M829" s="84">
        <f t="shared" si="1"/>
        <v>6590</v>
      </c>
      <c r="N829" s="84"/>
      <c r="O829" s="84"/>
      <c r="P829" s="84"/>
      <c r="Q829" s="84"/>
      <c r="R829" s="86" t="str">
        <f t="shared" si="2"/>
        <v>Prepare for Showcase</v>
      </c>
      <c r="S829" s="82" t="b">
        <v>0</v>
      </c>
      <c r="T829" s="88"/>
      <c r="U829" s="84"/>
      <c r="V829" s="84"/>
      <c r="W829" s="84"/>
      <c r="X829" s="84"/>
      <c r="Y829" s="84"/>
      <c r="Z829" s="84"/>
      <c r="AA829" s="84"/>
    </row>
    <row r="830" ht="26.25" hidden="1" customHeight="1">
      <c r="A830" s="85"/>
      <c r="B830" s="106"/>
      <c r="C830" s="103"/>
      <c r="D830" s="93"/>
      <c r="E830" s="93"/>
      <c r="F830" s="103"/>
      <c r="G830" s="113"/>
      <c r="H830" s="113"/>
      <c r="I830" s="100"/>
      <c r="J830" s="113"/>
      <c r="K830" s="82" t="b">
        <v>0</v>
      </c>
      <c r="L830" s="94"/>
      <c r="M830" s="84">
        <f t="shared" si="1"/>
        <v>6590</v>
      </c>
      <c r="N830" s="84"/>
      <c r="O830" s="84"/>
      <c r="P830" s="84"/>
      <c r="Q830" s="84"/>
      <c r="R830" s="86" t="str">
        <f t="shared" si="2"/>
        <v>Prepare for Showcase</v>
      </c>
      <c r="S830" s="82" t="b">
        <v>0</v>
      </c>
      <c r="T830" s="88"/>
      <c r="U830" s="84"/>
      <c r="V830" s="84"/>
      <c r="W830" s="84"/>
      <c r="X830" s="84"/>
      <c r="Y830" s="84"/>
      <c r="Z830" s="84"/>
      <c r="AA830" s="84"/>
    </row>
    <row r="831" ht="26.25" hidden="1" customHeight="1">
      <c r="A831" s="85"/>
      <c r="B831" s="106"/>
      <c r="C831" s="103"/>
      <c r="D831" s="93"/>
      <c r="E831" s="93"/>
      <c r="F831" s="103"/>
      <c r="G831" s="113"/>
      <c r="H831" s="113"/>
      <c r="I831" s="100"/>
      <c r="J831" s="113"/>
      <c r="K831" s="82" t="b">
        <v>0</v>
      </c>
      <c r="L831" s="94"/>
      <c r="M831" s="84">
        <f t="shared" si="1"/>
        <v>6590</v>
      </c>
      <c r="N831" s="84"/>
      <c r="O831" s="84"/>
      <c r="P831" s="84"/>
      <c r="Q831" s="84"/>
      <c r="R831" s="86" t="str">
        <f t="shared" si="2"/>
        <v>Prepare for Showcase</v>
      </c>
      <c r="S831" s="82" t="b">
        <v>0</v>
      </c>
      <c r="T831" s="88"/>
      <c r="U831" s="84"/>
      <c r="V831" s="84"/>
      <c r="W831" s="84"/>
      <c r="X831" s="84"/>
      <c r="Y831" s="84"/>
      <c r="Z831" s="84"/>
      <c r="AA831" s="84"/>
    </row>
    <row r="832" ht="26.25" hidden="1" customHeight="1">
      <c r="A832" s="85"/>
      <c r="B832" s="106"/>
      <c r="C832" s="103"/>
      <c r="D832" s="93"/>
      <c r="E832" s="93"/>
      <c r="F832" s="103"/>
      <c r="G832" s="113"/>
      <c r="H832" s="113"/>
      <c r="I832" s="100"/>
      <c r="J832" s="113"/>
      <c r="K832" s="82" t="b">
        <v>0</v>
      </c>
      <c r="L832" s="94"/>
      <c r="M832" s="84">
        <f t="shared" si="1"/>
        <v>6590</v>
      </c>
      <c r="N832" s="84"/>
      <c r="O832" s="84"/>
      <c r="P832" s="84"/>
      <c r="Q832" s="84"/>
      <c r="R832" s="86" t="str">
        <f t="shared" si="2"/>
        <v>Prepare for Showcase</v>
      </c>
      <c r="S832" s="82" t="b">
        <v>0</v>
      </c>
      <c r="T832" s="88"/>
      <c r="U832" s="84"/>
      <c r="V832" s="84"/>
      <c r="W832" s="84"/>
      <c r="X832" s="84"/>
      <c r="Y832" s="84"/>
      <c r="Z832" s="84"/>
      <c r="AA832" s="84"/>
    </row>
    <row r="833" ht="26.25" hidden="1" customHeight="1">
      <c r="A833" s="85"/>
      <c r="B833" s="106"/>
      <c r="C833" s="103"/>
      <c r="D833" s="93"/>
      <c r="E833" s="93"/>
      <c r="F833" s="103"/>
      <c r="G833" s="113"/>
      <c r="H833" s="113"/>
      <c r="I833" s="100"/>
      <c r="J833" s="113"/>
      <c r="K833" s="82" t="b">
        <v>0</v>
      </c>
      <c r="L833" s="94"/>
      <c r="M833" s="84">
        <f t="shared" si="1"/>
        <v>6590</v>
      </c>
      <c r="N833" s="84"/>
      <c r="O833" s="84"/>
      <c r="P833" s="84"/>
      <c r="Q833" s="84"/>
      <c r="R833" s="86" t="str">
        <f t="shared" si="2"/>
        <v>Prepare for Showcase</v>
      </c>
      <c r="S833" s="82" t="b">
        <v>0</v>
      </c>
      <c r="T833" s="88"/>
      <c r="U833" s="84"/>
      <c r="V833" s="84"/>
      <c r="W833" s="84"/>
      <c r="X833" s="84"/>
      <c r="Y833" s="84"/>
      <c r="Z833" s="84"/>
      <c r="AA833" s="84"/>
    </row>
    <row r="834" ht="26.25" hidden="1" customHeight="1">
      <c r="A834" s="85"/>
      <c r="B834" s="106"/>
      <c r="C834" s="103"/>
      <c r="D834" s="93"/>
      <c r="E834" s="93"/>
      <c r="F834" s="103"/>
      <c r="G834" s="113"/>
      <c r="H834" s="113"/>
      <c r="I834" s="100"/>
      <c r="J834" s="113"/>
      <c r="K834" s="82" t="b">
        <v>0</v>
      </c>
      <c r="L834" s="94"/>
      <c r="M834" s="84">
        <f t="shared" si="1"/>
        <v>6590</v>
      </c>
      <c r="N834" s="84"/>
      <c r="O834" s="84"/>
      <c r="P834" s="84"/>
      <c r="Q834" s="84"/>
      <c r="R834" s="86" t="str">
        <f t="shared" si="2"/>
        <v>Prepare for Showcase</v>
      </c>
      <c r="S834" s="82" t="b">
        <v>0</v>
      </c>
      <c r="T834" s="88"/>
      <c r="U834" s="84"/>
      <c r="V834" s="84"/>
      <c r="W834" s="84"/>
      <c r="X834" s="84"/>
      <c r="Y834" s="84"/>
      <c r="Z834" s="84"/>
      <c r="AA834" s="84"/>
    </row>
    <row r="835" ht="26.25" hidden="1" customHeight="1">
      <c r="A835" s="85"/>
      <c r="B835" s="106"/>
      <c r="C835" s="103"/>
      <c r="D835" s="93"/>
      <c r="E835" s="93"/>
      <c r="F835" s="103"/>
      <c r="G835" s="113"/>
      <c r="H835" s="113"/>
      <c r="I835" s="100"/>
      <c r="J835" s="113"/>
      <c r="K835" s="82" t="b">
        <v>0</v>
      </c>
      <c r="L835" s="94"/>
      <c r="M835" s="84">
        <f t="shared" si="1"/>
        <v>6590</v>
      </c>
      <c r="N835" s="84"/>
      <c r="O835" s="84"/>
      <c r="P835" s="84"/>
      <c r="Q835" s="84"/>
      <c r="R835" s="86" t="str">
        <f t="shared" si="2"/>
        <v>Prepare for Showcase</v>
      </c>
      <c r="S835" s="82" t="b">
        <v>0</v>
      </c>
      <c r="T835" s="88"/>
      <c r="U835" s="84"/>
      <c r="V835" s="84"/>
      <c r="W835" s="84"/>
      <c r="X835" s="84"/>
      <c r="Y835" s="84"/>
      <c r="Z835" s="84"/>
      <c r="AA835" s="84"/>
    </row>
    <row r="836" ht="26.25" hidden="1" customHeight="1">
      <c r="A836" s="85"/>
      <c r="B836" s="106"/>
      <c r="C836" s="103"/>
      <c r="D836" s="93"/>
      <c r="E836" s="93"/>
      <c r="F836" s="103"/>
      <c r="G836" s="113"/>
      <c r="H836" s="113"/>
      <c r="I836" s="100"/>
      <c r="J836" s="113"/>
      <c r="K836" s="82" t="b">
        <v>0</v>
      </c>
      <c r="L836" s="94"/>
      <c r="M836" s="84">
        <f t="shared" si="1"/>
        <v>6590</v>
      </c>
      <c r="N836" s="84"/>
      <c r="O836" s="84"/>
      <c r="P836" s="84"/>
      <c r="Q836" s="84"/>
      <c r="R836" s="86" t="str">
        <f t="shared" si="2"/>
        <v>Prepare for Showcase</v>
      </c>
      <c r="S836" s="82" t="b">
        <v>0</v>
      </c>
      <c r="T836" s="88"/>
      <c r="U836" s="84"/>
      <c r="V836" s="84"/>
      <c r="W836" s="84"/>
      <c r="X836" s="84"/>
      <c r="Y836" s="84"/>
      <c r="Z836" s="84"/>
      <c r="AA836" s="84"/>
    </row>
    <row r="837" ht="26.25" hidden="1" customHeight="1">
      <c r="A837" s="85"/>
      <c r="B837" s="106"/>
      <c r="C837" s="103"/>
      <c r="D837" s="93"/>
      <c r="E837" s="93"/>
      <c r="F837" s="103"/>
      <c r="G837" s="113"/>
      <c r="H837" s="113"/>
      <c r="I837" s="100"/>
      <c r="J837" s="113"/>
      <c r="K837" s="82" t="b">
        <v>0</v>
      </c>
      <c r="L837" s="94"/>
      <c r="M837" s="84">
        <f t="shared" si="1"/>
        <v>6590</v>
      </c>
      <c r="N837" s="84"/>
      <c r="O837" s="84"/>
      <c r="P837" s="84"/>
      <c r="Q837" s="84"/>
      <c r="R837" s="86" t="str">
        <f t="shared" si="2"/>
        <v>Prepare for Showcase</v>
      </c>
      <c r="S837" s="82" t="b">
        <v>0</v>
      </c>
      <c r="T837" s="88"/>
      <c r="U837" s="84"/>
      <c r="V837" s="84"/>
      <c r="W837" s="84"/>
      <c r="X837" s="84"/>
      <c r="Y837" s="84"/>
      <c r="Z837" s="84"/>
      <c r="AA837" s="84"/>
    </row>
    <row r="838" ht="26.25" hidden="1" customHeight="1">
      <c r="A838" s="85"/>
      <c r="B838" s="106"/>
      <c r="C838" s="103"/>
      <c r="D838" s="93"/>
      <c r="E838" s="93"/>
      <c r="F838" s="103"/>
      <c r="G838" s="113"/>
      <c r="H838" s="113"/>
      <c r="I838" s="100"/>
      <c r="J838" s="113"/>
      <c r="K838" s="82" t="b">
        <v>0</v>
      </c>
      <c r="L838" s="94"/>
      <c r="M838" s="84">
        <f t="shared" si="1"/>
        <v>6590</v>
      </c>
      <c r="N838" s="84"/>
      <c r="O838" s="84"/>
      <c r="P838" s="84"/>
      <c r="Q838" s="84"/>
      <c r="R838" s="86" t="str">
        <f t="shared" si="2"/>
        <v>Prepare for Showcase</v>
      </c>
      <c r="S838" s="82" t="b">
        <v>0</v>
      </c>
      <c r="T838" s="88"/>
      <c r="U838" s="84"/>
      <c r="V838" s="84"/>
      <c r="W838" s="84"/>
      <c r="X838" s="84"/>
      <c r="Y838" s="84"/>
      <c r="Z838" s="84"/>
      <c r="AA838" s="84"/>
    </row>
    <row r="839" ht="26.25" hidden="1" customHeight="1">
      <c r="A839" s="85"/>
      <c r="B839" s="106"/>
      <c r="C839" s="103"/>
      <c r="D839" s="93"/>
      <c r="E839" s="93"/>
      <c r="F839" s="103"/>
      <c r="G839" s="113"/>
      <c r="H839" s="113"/>
      <c r="I839" s="100"/>
      <c r="J839" s="113"/>
      <c r="K839" s="82" t="b">
        <v>0</v>
      </c>
      <c r="L839" s="94"/>
      <c r="M839" s="84">
        <f t="shared" si="1"/>
        <v>6590</v>
      </c>
      <c r="N839" s="84"/>
      <c r="O839" s="84"/>
      <c r="P839" s="84"/>
      <c r="Q839" s="84"/>
      <c r="R839" s="86" t="str">
        <f t="shared" si="2"/>
        <v>Prepare for Showcase</v>
      </c>
      <c r="S839" s="82" t="b">
        <v>0</v>
      </c>
      <c r="T839" s="88"/>
      <c r="U839" s="84"/>
      <c r="V839" s="84"/>
      <c r="W839" s="84"/>
      <c r="X839" s="84"/>
      <c r="Y839" s="84"/>
      <c r="Z839" s="84"/>
      <c r="AA839" s="84"/>
    </row>
    <row r="840" ht="26.25" hidden="1" customHeight="1">
      <c r="A840" s="85"/>
      <c r="B840" s="106"/>
      <c r="C840" s="103"/>
      <c r="D840" s="93"/>
      <c r="E840" s="93"/>
      <c r="F840" s="103"/>
      <c r="G840" s="113"/>
      <c r="H840" s="113"/>
      <c r="I840" s="100"/>
      <c r="J840" s="113"/>
      <c r="K840" s="82" t="b">
        <v>0</v>
      </c>
      <c r="L840" s="94"/>
      <c r="M840" s="84">
        <f t="shared" si="1"/>
        <v>6590</v>
      </c>
      <c r="N840" s="84"/>
      <c r="O840" s="84"/>
      <c r="P840" s="84"/>
      <c r="Q840" s="84"/>
      <c r="R840" s="86" t="str">
        <f t="shared" si="2"/>
        <v>Prepare for Showcase</v>
      </c>
      <c r="S840" s="82" t="b">
        <v>0</v>
      </c>
      <c r="T840" s="88"/>
      <c r="U840" s="84"/>
      <c r="V840" s="84"/>
      <c r="W840" s="84"/>
      <c r="X840" s="84"/>
      <c r="Y840" s="84"/>
      <c r="Z840" s="84"/>
      <c r="AA840" s="84"/>
    </row>
    <row r="841" ht="26.25" hidden="1" customHeight="1">
      <c r="A841" s="85"/>
      <c r="B841" s="106"/>
      <c r="C841" s="103"/>
      <c r="D841" s="93"/>
      <c r="E841" s="93"/>
      <c r="F841" s="103"/>
      <c r="G841" s="113"/>
      <c r="H841" s="113"/>
      <c r="I841" s="100"/>
      <c r="J841" s="113"/>
      <c r="K841" s="82" t="b">
        <v>0</v>
      </c>
      <c r="L841" s="94"/>
      <c r="M841" s="84">
        <f t="shared" si="1"/>
        <v>6590</v>
      </c>
      <c r="N841" s="84"/>
      <c r="O841" s="84"/>
      <c r="P841" s="84"/>
      <c r="Q841" s="84"/>
      <c r="R841" s="86" t="str">
        <f t="shared" si="2"/>
        <v>Prepare for Showcase</v>
      </c>
      <c r="S841" s="82" t="b">
        <v>0</v>
      </c>
      <c r="T841" s="88"/>
      <c r="U841" s="84"/>
      <c r="V841" s="84"/>
      <c r="W841" s="84"/>
      <c r="X841" s="84"/>
      <c r="Y841" s="84"/>
      <c r="Z841" s="84"/>
      <c r="AA841" s="84"/>
    </row>
    <row r="842" ht="26.25" hidden="1" customHeight="1">
      <c r="A842" s="85"/>
      <c r="B842" s="106"/>
      <c r="C842" s="103"/>
      <c r="D842" s="93"/>
      <c r="E842" s="93"/>
      <c r="F842" s="103"/>
      <c r="G842" s="113"/>
      <c r="H842" s="113"/>
      <c r="I842" s="100"/>
      <c r="J842" s="113"/>
      <c r="K842" s="82" t="b">
        <v>0</v>
      </c>
      <c r="L842" s="94"/>
      <c r="M842" s="84">
        <f t="shared" si="1"/>
        <v>6590</v>
      </c>
      <c r="N842" s="84"/>
      <c r="O842" s="84"/>
      <c r="P842" s="84"/>
      <c r="Q842" s="84"/>
      <c r="R842" s="86" t="str">
        <f t="shared" si="2"/>
        <v>Prepare for Showcase</v>
      </c>
      <c r="S842" s="82" t="b">
        <v>0</v>
      </c>
      <c r="T842" s="88"/>
      <c r="U842" s="84"/>
      <c r="V842" s="84"/>
      <c r="W842" s="84"/>
      <c r="X842" s="84"/>
      <c r="Y842" s="84"/>
      <c r="Z842" s="84"/>
      <c r="AA842" s="84"/>
    </row>
    <row r="843" ht="26.25" hidden="1" customHeight="1">
      <c r="A843" s="85"/>
      <c r="B843" s="106"/>
      <c r="C843" s="103"/>
      <c r="D843" s="93"/>
      <c r="E843" s="93"/>
      <c r="F843" s="103"/>
      <c r="G843" s="113"/>
      <c r="H843" s="113"/>
      <c r="I843" s="100"/>
      <c r="J843" s="113"/>
      <c r="K843" s="82" t="b">
        <v>0</v>
      </c>
      <c r="L843" s="94"/>
      <c r="M843" s="84">
        <f t="shared" si="1"/>
        <v>6590</v>
      </c>
      <c r="N843" s="84"/>
      <c r="O843" s="84"/>
      <c r="P843" s="84"/>
      <c r="Q843" s="84"/>
      <c r="R843" s="86" t="str">
        <f t="shared" si="2"/>
        <v>Prepare for Showcase</v>
      </c>
      <c r="S843" s="82" t="b">
        <v>0</v>
      </c>
      <c r="T843" s="88"/>
      <c r="U843" s="84"/>
      <c r="V843" s="84"/>
      <c r="W843" s="84"/>
      <c r="X843" s="84"/>
      <c r="Y843" s="84"/>
      <c r="Z843" s="84"/>
      <c r="AA843" s="84"/>
    </row>
    <row r="844" ht="26.25" hidden="1" customHeight="1">
      <c r="A844" s="85"/>
      <c r="B844" s="106"/>
      <c r="C844" s="103"/>
      <c r="D844" s="93"/>
      <c r="E844" s="93"/>
      <c r="F844" s="103"/>
      <c r="G844" s="113"/>
      <c r="H844" s="113"/>
      <c r="I844" s="100"/>
      <c r="J844" s="113"/>
      <c r="K844" s="82" t="b">
        <v>0</v>
      </c>
      <c r="L844" s="94"/>
      <c r="M844" s="84">
        <f t="shared" si="1"/>
        <v>6590</v>
      </c>
      <c r="N844" s="84"/>
      <c r="O844" s="84"/>
      <c r="P844" s="84"/>
      <c r="Q844" s="84"/>
      <c r="R844" s="86" t="str">
        <f t="shared" si="2"/>
        <v>Prepare for Showcase</v>
      </c>
      <c r="S844" s="82" t="b">
        <v>0</v>
      </c>
      <c r="T844" s="88"/>
      <c r="U844" s="84"/>
      <c r="V844" s="84"/>
      <c r="W844" s="84"/>
      <c r="X844" s="84"/>
      <c r="Y844" s="84"/>
      <c r="Z844" s="84"/>
      <c r="AA844" s="84"/>
    </row>
    <row r="845" ht="26.25" hidden="1" customHeight="1">
      <c r="A845" s="85"/>
      <c r="B845" s="106"/>
      <c r="C845" s="103"/>
      <c r="D845" s="93"/>
      <c r="E845" s="93"/>
      <c r="F845" s="103"/>
      <c r="G845" s="113"/>
      <c r="H845" s="113"/>
      <c r="I845" s="100"/>
      <c r="J845" s="113"/>
      <c r="K845" s="82" t="b">
        <v>0</v>
      </c>
      <c r="L845" s="94"/>
      <c r="M845" s="84">
        <f t="shared" si="1"/>
        <v>6590</v>
      </c>
      <c r="N845" s="84"/>
      <c r="O845" s="84"/>
      <c r="P845" s="84"/>
      <c r="Q845" s="84"/>
      <c r="R845" s="86" t="str">
        <f t="shared" si="2"/>
        <v>Prepare for Showcase</v>
      </c>
      <c r="S845" s="82" t="b">
        <v>0</v>
      </c>
      <c r="T845" s="88"/>
      <c r="U845" s="84"/>
      <c r="V845" s="84"/>
      <c r="W845" s="84"/>
      <c r="X845" s="84"/>
      <c r="Y845" s="84"/>
      <c r="Z845" s="84"/>
      <c r="AA845" s="84"/>
    </row>
    <row r="846" ht="26.25" hidden="1" customHeight="1">
      <c r="A846" s="85"/>
      <c r="B846" s="106"/>
      <c r="C846" s="103"/>
      <c r="D846" s="93"/>
      <c r="E846" s="93"/>
      <c r="F846" s="103"/>
      <c r="G846" s="113"/>
      <c r="H846" s="113"/>
      <c r="I846" s="100"/>
      <c r="J846" s="113"/>
      <c r="K846" s="82" t="b">
        <v>0</v>
      </c>
      <c r="L846" s="94"/>
      <c r="M846" s="84">
        <f t="shared" si="1"/>
        <v>6590</v>
      </c>
      <c r="N846" s="84"/>
      <c r="O846" s="84"/>
      <c r="P846" s="84"/>
      <c r="Q846" s="84"/>
      <c r="R846" s="86" t="str">
        <f t="shared" si="2"/>
        <v>Prepare for Showcase</v>
      </c>
      <c r="S846" s="82" t="b">
        <v>0</v>
      </c>
      <c r="T846" s="88"/>
      <c r="U846" s="84"/>
      <c r="V846" s="84"/>
      <c r="W846" s="84"/>
      <c r="X846" s="84"/>
      <c r="Y846" s="84"/>
      <c r="Z846" s="84"/>
      <c r="AA846" s="84"/>
    </row>
    <row r="847" ht="26.25" hidden="1" customHeight="1">
      <c r="A847" s="85"/>
      <c r="B847" s="106"/>
      <c r="C847" s="103"/>
      <c r="D847" s="93"/>
      <c r="E847" s="93"/>
      <c r="F847" s="103"/>
      <c r="G847" s="113"/>
      <c r="H847" s="113"/>
      <c r="I847" s="100"/>
      <c r="J847" s="113"/>
      <c r="K847" s="82" t="b">
        <v>0</v>
      </c>
      <c r="L847" s="94"/>
      <c r="M847" s="84">
        <f t="shared" si="1"/>
        <v>6590</v>
      </c>
      <c r="N847" s="84"/>
      <c r="O847" s="84"/>
      <c r="P847" s="84"/>
      <c r="Q847" s="84"/>
      <c r="R847" s="86" t="str">
        <f t="shared" si="2"/>
        <v>Prepare for Showcase</v>
      </c>
      <c r="S847" s="82" t="b">
        <v>0</v>
      </c>
      <c r="T847" s="88"/>
      <c r="U847" s="84"/>
      <c r="V847" s="84"/>
      <c r="W847" s="84"/>
      <c r="X847" s="84"/>
      <c r="Y847" s="84"/>
      <c r="Z847" s="84"/>
      <c r="AA847" s="84"/>
    </row>
    <row r="848" ht="26.25" hidden="1" customHeight="1">
      <c r="A848" s="85"/>
      <c r="B848" s="106"/>
      <c r="C848" s="103"/>
      <c r="D848" s="93"/>
      <c r="E848" s="93"/>
      <c r="F848" s="103"/>
      <c r="G848" s="113"/>
      <c r="H848" s="113"/>
      <c r="I848" s="100"/>
      <c r="J848" s="113"/>
      <c r="K848" s="82" t="b">
        <v>0</v>
      </c>
      <c r="L848" s="94"/>
      <c r="M848" s="84">
        <f t="shared" si="1"/>
        <v>6590</v>
      </c>
      <c r="N848" s="84"/>
      <c r="O848" s="84"/>
      <c r="P848" s="84"/>
      <c r="Q848" s="84"/>
      <c r="R848" s="86" t="str">
        <f t="shared" si="2"/>
        <v>Prepare for Showcase</v>
      </c>
      <c r="S848" s="82" t="b">
        <v>0</v>
      </c>
      <c r="T848" s="88"/>
      <c r="U848" s="84"/>
      <c r="V848" s="84"/>
      <c r="W848" s="84"/>
      <c r="X848" s="84"/>
      <c r="Y848" s="84"/>
      <c r="Z848" s="84"/>
      <c r="AA848" s="84"/>
    </row>
    <row r="849" ht="26.25" hidden="1" customHeight="1">
      <c r="A849" s="85"/>
      <c r="B849" s="106"/>
      <c r="C849" s="103"/>
      <c r="D849" s="93"/>
      <c r="E849" s="93"/>
      <c r="F849" s="103"/>
      <c r="G849" s="113"/>
      <c r="H849" s="113"/>
      <c r="I849" s="100"/>
      <c r="J849" s="113"/>
      <c r="K849" s="82" t="b">
        <v>0</v>
      </c>
      <c r="L849" s="94"/>
      <c r="M849" s="84">
        <f t="shared" si="1"/>
        <v>6590</v>
      </c>
      <c r="N849" s="84"/>
      <c r="O849" s="84"/>
      <c r="P849" s="84"/>
      <c r="Q849" s="84"/>
      <c r="R849" s="86" t="str">
        <f t="shared" si="2"/>
        <v>Prepare for Showcase</v>
      </c>
      <c r="S849" s="82" t="b">
        <v>0</v>
      </c>
      <c r="T849" s="88"/>
      <c r="U849" s="84"/>
      <c r="V849" s="84"/>
      <c r="W849" s="84"/>
      <c r="X849" s="84"/>
      <c r="Y849" s="84"/>
      <c r="Z849" s="84"/>
      <c r="AA849" s="84"/>
    </row>
    <row r="850" ht="26.25" hidden="1" customHeight="1">
      <c r="A850" s="85"/>
      <c r="B850" s="106"/>
      <c r="C850" s="103"/>
      <c r="D850" s="93"/>
      <c r="E850" s="93"/>
      <c r="F850" s="103"/>
      <c r="G850" s="113"/>
      <c r="H850" s="113"/>
      <c r="I850" s="100"/>
      <c r="J850" s="113"/>
      <c r="K850" s="82" t="b">
        <v>0</v>
      </c>
      <c r="L850" s="94"/>
      <c r="M850" s="84">
        <f t="shared" si="1"/>
        <v>6590</v>
      </c>
      <c r="N850" s="84"/>
      <c r="O850" s="84"/>
      <c r="P850" s="84"/>
      <c r="Q850" s="84"/>
      <c r="R850" s="86" t="str">
        <f t="shared" si="2"/>
        <v>Prepare for Showcase</v>
      </c>
      <c r="S850" s="82" t="b">
        <v>0</v>
      </c>
      <c r="T850" s="88"/>
      <c r="U850" s="84"/>
      <c r="V850" s="84"/>
      <c r="W850" s="84"/>
      <c r="X850" s="84"/>
      <c r="Y850" s="84"/>
      <c r="Z850" s="84"/>
      <c r="AA850" s="84"/>
    </row>
    <row r="851" ht="26.25" hidden="1" customHeight="1">
      <c r="A851" s="85"/>
      <c r="B851" s="106"/>
      <c r="C851" s="103"/>
      <c r="D851" s="93"/>
      <c r="E851" s="93"/>
      <c r="F851" s="103"/>
      <c r="G851" s="113"/>
      <c r="H851" s="113"/>
      <c r="I851" s="100"/>
      <c r="J851" s="113"/>
      <c r="K851" s="82" t="b">
        <v>0</v>
      </c>
      <c r="L851" s="94"/>
      <c r="M851" s="84">
        <f t="shared" si="1"/>
        <v>6590</v>
      </c>
      <c r="N851" s="84"/>
      <c r="O851" s="84"/>
      <c r="P851" s="84"/>
      <c r="Q851" s="84"/>
      <c r="R851" s="86" t="str">
        <f t="shared" si="2"/>
        <v>Prepare for Showcase</v>
      </c>
      <c r="S851" s="82" t="b">
        <v>0</v>
      </c>
      <c r="T851" s="88"/>
      <c r="U851" s="84"/>
      <c r="V851" s="84"/>
      <c r="W851" s="84"/>
      <c r="X851" s="84"/>
      <c r="Y851" s="84"/>
      <c r="Z851" s="84"/>
      <c r="AA851" s="84"/>
    </row>
    <row r="852" ht="26.25" hidden="1" customHeight="1">
      <c r="A852" s="85"/>
      <c r="B852" s="106"/>
      <c r="C852" s="103"/>
      <c r="D852" s="93"/>
      <c r="E852" s="93"/>
      <c r="F852" s="103"/>
      <c r="G852" s="113"/>
      <c r="H852" s="113"/>
      <c r="I852" s="100"/>
      <c r="J852" s="113"/>
      <c r="K852" s="82" t="b">
        <v>0</v>
      </c>
      <c r="L852" s="94"/>
      <c r="M852" s="84">
        <f t="shared" si="1"/>
        <v>6590</v>
      </c>
      <c r="N852" s="84"/>
      <c r="O852" s="84"/>
      <c r="P852" s="84"/>
      <c r="Q852" s="84"/>
      <c r="R852" s="86" t="str">
        <f t="shared" si="2"/>
        <v>Prepare for Showcase</v>
      </c>
      <c r="S852" s="82" t="b">
        <v>0</v>
      </c>
      <c r="T852" s="88"/>
      <c r="U852" s="84"/>
      <c r="V852" s="84"/>
      <c r="W852" s="84"/>
      <c r="X852" s="84"/>
      <c r="Y852" s="84"/>
      <c r="Z852" s="84"/>
      <c r="AA852" s="84"/>
    </row>
    <row r="853" ht="26.25" hidden="1" customHeight="1">
      <c r="A853" s="85"/>
      <c r="B853" s="106"/>
      <c r="C853" s="103"/>
      <c r="D853" s="93"/>
      <c r="E853" s="93"/>
      <c r="F853" s="103"/>
      <c r="G853" s="113"/>
      <c r="H853" s="113"/>
      <c r="I853" s="100"/>
      <c r="J853" s="113"/>
      <c r="K853" s="82" t="b">
        <v>0</v>
      </c>
      <c r="L853" s="94"/>
      <c r="M853" s="84">
        <f t="shared" si="1"/>
        <v>6590</v>
      </c>
      <c r="N853" s="84"/>
      <c r="O853" s="84"/>
      <c r="P853" s="84"/>
      <c r="Q853" s="84"/>
      <c r="R853" s="86" t="str">
        <f t="shared" si="2"/>
        <v>Prepare for Showcase</v>
      </c>
      <c r="S853" s="82" t="b">
        <v>0</v>
      </c>
      <c r="T853" s="88"/>
      <c r="U853" s="84"/>
      <c r="V853" s="84"/>
      <c r="W853" s="84"/>
      <c r="X853" s="84"/>
      <c r="Y853" s="84"/>
      <c r="Z853" s="84"/>
      <c r="AA853" s="84"/>
    </row>
    <row r="854" ht="26.25" hidden="1" customHeight="1">
      <c r="A854" s="85"/>
      <c r="B854" s="106"/>
      <c r="C854" s="103"/>
      <c r="D854" s="93"/>
      <c r="E854" s="93"/>
      <c r="F854" s="103"/>
      <c r="G854" s="113"/>
      <c r="H854" s="113"/>
      <c r="I854" s="100"/>
      <c r="J854" s="113"/>
      <c r="K854" s="82" t="b">
        <v>0</v>
      </c>
      <c r="L854" s="94"/>
      <c r="M854" s="84">
        <f t="shared" si="1"/>
        <v>6590</v>
      </c>
      <c r="N854" s="84"/>
      <c r="O854" s="84"/>
      <c r="P854" s="84"/>
      <c r="Q854" s="84"/>
      <c r="R854" s="86" t="str">
        <f t="shared" si="2"/>
        <v>Prepare for Showcase</v>
      </c>
      <c r="S854" s="82" t="b">
        <v>0</v>
      </c>
      <c r="T854" s="88"/>
      <c r="U854" s="84"/>
      <c r="V854" s="84"/>
      <c r="W854" s="84"/>
      <c r="X854" s="84"/>
      <c r="Y854" s="84"/>
      <c r="Z854" s="84"/>
      <c r="AA854" s="84"/>
    </row>
    <row r="855" ht="26.25" hidden="1" customHeight="1">
      <c r="A855" s="85"/>
      <c r="B855" s="106"/>
      <c r="C855" s="103"/>
      <c r="D855" s="93"/>
      <c r="E855" s="93"/>
      <c r="F855" s="103"/>
      <c r="G855" s="113"/>
      <c r="H855" s="113"/>
      <c r="I855" s="100"/>
      <c r="J855" s="113"/>
      <c r="K855" s="82" t="b">
        <v>0</v>
      </c>
      <c r="L855" s="94"/>
      <c r="M855" s="84">
        <f t="shared" si="1"/>
        <v>6590</v>
      </c>
      <c r="N855" s="84"/>
      <c r="O855" s="84"/>
      <c r="P855" s="84"/>
      <c r="Q855" s="84"/>
      <c r="R855" s="86" t="str">
        <f t="shared" si="2"/>
        <v>Prepare for Showcase</v>
      </c>
      <c r="S855" s="82" t="b">
        <v>0</v>
      </c>
      <c r="T855" s="88"/>
      <c r="U855" s="84"/>
      <c r="V855" s="84"/>
      <c r="W855" s="84"/>
      <c r="X855" s="84"/>
      <c r="Y855" s="84"/>
      <c r="Z855" s="84"/>
      <c r="AA855" s="84"/>
    </row>
    <row r="856" ht="26.25" hidden="1" customHeight="1">
      <c r="A856" s="85"/>
      <c r="B856" s="106"/>
      <c r="C856" s="103"/>
      <c r="D856" s="93"/>
      <c r="E856" s="93"/>
      <c r="F856" s="103"/>
      <c r="G856" s="113"/>
      <c r="H856" s="113"/>
      <c r="I856" s="100"/>
      <c r="J856" s="113"/>
      <c r="K856" s="82" t="b">
        <v>0</v>
      </c>
      <c r="L856" s="94"/>
      <c r="M856" s="84">
        <f t="shared" si="1"/>
        <v>6590</v>
      </c>
      <c r="N856" s="84"/>
      <c r="O856" s="84"/>
      <c r="P856" s="84"/>
      <c r="Q856" s="84"/>
      <c r="R856" s="86" t="str">
        <f t="shared" si="2"/>
        <v>Prepare for Showcase</v>
      </c>
      <c r="S856" s="82" t="b">
        <v>0</v>
      </c>
      <c r="T856" s="88"/>
      <c r="U856" s="84"/>
      <c r="V856" s="84"/>
      <c r="W856" s="84"/>
      <c r="X856" s="84"/>
      <c r="Y856" s="84"/>
      <c r="Z856" s="84"/>
      <c r="AA856" s="84"/>
    </row>
    <row r="857" ht="26.25" hidden="1" customHeight="1">
      <c r="A857" s="85"/>
      <c r="B857" s="106"/>
      <c r="C857" s="103"/>
      <c r="D857" s="93"/>
      <c r="E857" s="93"/>
      <c r="F857" s="103"/>
      <c r="G857" s="113"/>
      <c r="H857" s="113"/>
      <c r="I857" s="100"/>
      <c r="J857" s="113"/>
      <c r="K857" s="82" t="b">
        <v>0</v>
      </c>
      <c r="L857" s="94"/>
      <c r="M857" s="84">
        <f t="shared" si="1"/>
        <v>6590</v>
      </c>
      <c r="N857" s="84"/>
      <c r="O857" s="84"/>
      <c r="P857" s="84"/>
      <c r="Q857" s="84"/>
      <c r="R857" s="86" t="str">
        <f t="shared" si="2"/>
        <v>Prepare for Showcase</v>
      </c>
      <c r="S857" s="82" t="b">
        <v>0</v>
      </c>
      <c r="T857" s="88"/>
      <c r="U857" s="84"/>
      <c r="V857" s="84"/>
      <c r="W857" s="84"/>
      <c r="X857" s="84"/>
      <c r="Y857" s="84"/>
      <c r="Z857" s="84"/>
      <c r="AA857" s="84"/>
    </row>
    <row r="858" ht="26.25" hidden="1" customHeight="1">
      <c r="A858" s="85"/>
      <c r="B858" s="106"/>
      <c r="C858" s="103"/>
      <c r="D858" s="93"/>
      <c r="E858" s="93"/>
      <c r="F858" s="103"/>
      <c r="G858" s="113"/>
      <c r="H858" s="113"/>
      <c r="I858" s="100"/>
      <c r="J858" s="113"/>
      <c r="K858" s="82" t="b">
        <v>0</v>
      </c>
      <c r="L858" s="94"/>
      <c r="M858" s="84">
        <f t="shared" si="1"/>
        <v>6590</v>
      </c>
      <c r="N858" s="84"/>
      <c r="O858" s="84"/>
      <c r="P858" s="84"/>
      <c r="Q858" s="84"/>
      <c r="R858" s="86" t="str">
        <f t="shared" si="2"/>
        <v>Prepare for Showcase</v>
      </c>
      <c r="S858" s="82" t="b">
        <v>0</v>
      </c>
      <c r="T858" s="88"/>
      <c r="U858" s="84"/>
      <c r="V858" s="84"/>
      <c r="W858" s="84"/>
      <c r="X858" s="84"/>
      <c r="Y858" s="84"/>
      <c r="Z858" s="84"/>
      <c r="AA858" s="84"/>
    </row>
    <row r="859" ht="26.25" hidden="1" customHeight="1">
      <c r="A859" s="85"/>
      <c r="B859" s="106"/>
      <c r="C859" s="103"/>
      <c r="D859" s="93"/>
      <c r="E859" s="93"/>
      <c r="F859" s="103"/>
      <c r="G859" s="113"/>
      <c r="H859" s="113"/>
      <c r="I859" s="100"/>
      <c r="J859" s="113"/>
      <c r="K859" s="82" t="b">
        <v>0</v>
      </c>
      <c r="L859" s="94"/>
      <c r="M859" s="84">
        <f t="shared" si="1"/>
        <v>6590</v>
      </c>
      <c r="N859" s="84"/>
      <c r="O859" s="84"/>
      <c r="P859" s="84"/>
      <c r="Q859" s="84"/>
      <c r="R859" s="86" t="str">
        <f t="shared" si="2"/>
        <v>Prepare for Showcase</v>
      </c>
      <c r="S859" s="82" t="b">
        <v>0</v>
      </c>
      <c r="T859" s="88"/>
      <c r="U859" s="84"/>
      <c r="V859" s="84"/>
      <c r="W859" s="84"/>
      <c r="X859" s="84"/>
      <c r="Y859" s="84"/>
      <c r="Z859" s="84"/>
      <c r="AA859" s="84"/>
    </row>
    <row r="860" ht="26.25" hidden="1" customHeight="1">
      <c r="A860" s="85"/>
      <c r="B860" s="106"/>
      <c r="C860" s="103"/>
      <c r="D860" s="93"/>
      <c r="E860" s="93"/>
      <c r="F860" s="103"/>
      <c r="G860" s="113"/>
      <c r="H860" s="113"/>
      <c r="I860" s="100"/>
      <c r="J860" s="113"/>
      <c r="K860" s="82" t="b">
        <v>0</v>
      </c>
      <c r="L860" s="94"/>
      <c r="M860" s="84">
        <f t="shared" si="1"/>
        <v>6590</v>
      </c>
      <c r="N860" s="84"/>
      <c r="O860" s="84"/>
      <c r="P860" s="84"/>
      <c r="Q860" s="84"/>
      <c r="R860" s="86" t="str">
        <f t="shared" si="2"/>
        <v>Prepare for Showcase</v>
      </c>
      <c r="S860" s="82" t="b">
        <v>0</v>
      </c>
      <c r="T860" s="88"/>
      <c r="U860" s="84"/>
      <c r="V860" s="84"/>
      <c r="W860" s="84"/>
      <c r="X860" s="84"/>
      <c r="Y860" s="84"/>
      <c r="Z860" s="84"/>
      <c r="AA860" s="84"/>
    </row>
    <row r="861" ht="26.25" hidden="1" customHeight="1">
      <c r="A861" s="85"/>
      <c r="B861" s="106"/>
      <c r="C861" s="103"/>
      <c r="D861" s="93"/>
      <c r="E861" s="93"/>
      <c r="F861" s="103"/>
      <c r="G861" s="113"/>
      <c r="H861" s="113"/>
      <c r="I861" s="100"/>
      <c r="J861" s="113"/>
      <c r="K861" s="82" t="b">
        <v>0</v>
      </c>
      <c r="L861" s="94"/>
      <c r="M861" s="84">
        <f t="shared" si="1"/>
        <v>6590</v>
      </c>
      <c r="N861" s="84"/>
      <c r="O861" s="84"/>
      <c r="P861" s="84"/>
      <c r="Q861" s="84"/>
      <c r="R861" s="86" t="str">
        <f t="shared" si="2"/>
        <v>Prepare for Showcase</v>
      </c>
      <c r="S861" s="82" t="b">
        <v>0</v>
      </c>
      <c r="T861" s="88"/>
      <c r="U861" s="84"/>
      <c r="V861" s="84"/>
      <c r="W861" s="84"/>
      <c r="X861" s="84"/>
      <c r="Y861" s="84"/>
      <c r="Z861" s="84"/>
      <c r="AA861" s="84"/>
    </row>
    <row r="862" ht="26.25" hidden="1" customHeight="1">
      <c r="A862" s="85"/>
      <c r="B862" s="106"/>
      <c r="C862" s="103"/>
      <c r="D862" s="93"/>
      <c r="E862" s="93"/>
      <c r="F862" s="103"/>
      <c r="G862" s="113"/>
      <c r="H862" s="113"/>
      <c r="I862" s="100"/>
      <c r="J862" s="113"/>
      <c r="K862" s="82" t="b">
        <v>0</v>
      </c>
      <c r="L862" s="94"/>
      <c r="M862" s="84">
        <f t="shared" si="1"/>
        <v>6590</v>
      </c>
      <c r="N862" s="84"/>
      <c r="O862" s="84"/>
      <c r="P862" s="84"/>
      <c r="Q862" s="84"/>
      <c r="R862" s="86" t="str">
        <f t="shared" si="2"/>
        <v>Prepare for Showcase</v>
      </c>
      <c r="S862" s="82" t="b">
        <v>0</v>
      </c>
      <c r="T862" s="88"/>
      <c r="U862" s="84"/>
      <c r="V862" s="84"/>
      <c r="W862" s="84"/>
      <c r="X862" s="84"/>
      <c r="Y862" s="84"/>
      <c r="Z862" s="84"/>
      <c r="AA862" s="84"/>
    </row>
    <row r="863" ht="26.25" hidden="1" customHeight="1">
      <c r="A863" s="85"/>
      <c r="B863" s="106"/>
      <c r="C863" s="103"/>
      <c r="D863" s="93"/>
      <c r="E863" s="93"/>
      <c r="F863" s="103"/>
      <c r="G863" s="113"/>
      <c r="H863" s="113"/>
      <c r="I863" s="100"/>
      <c r="J863" s="113"/>
      <c r="K863" s="82" t="b">
        <v>0</v>
      </c>
      <c r="L863" s="94"/>
      <c r="M863" s="84">
        <f t="shared" si="1"/>
        <v>6590</v>
      </c>
      <c r="N863" s="84"/>
      <c r="O863" s="84"/>
      <c r="P863" s="84"/>
      <c r="Q863" s="84"/>
      <c r="R863" s="86" t="str">
        <f t="shared" si="2"/>
        <v>Prepare for Showcase</v>
      </c>
      <c r="S863" s="82" t="b">
        <v>0</v>
      </c>
      <c r="T863" s="88"/>
      <c r="U863" s="84"/>
      <c r="V863" s="84"/>
      <c r="W863" s="84"/>
      <c r="X863" s="84"/>
      <c r="Y863" s="84"/>
      <c r="Z863" s="84"/>
      <c r="AA863" s="84"/>
    </row>
    <row r="864" ht="26.25" hidden="1" customHeight="1">
      <c r="A864" s="85"/>
      <c r="B864" s="106"/>
      <c r="C864" s="103"/>
      <c r="D864" s="93"/>
      <c r="E864" s="93"/>
      <c r="F864" s="103"/>
      <c r="G864" s="113"/>
      <c r="H864" s="113"/>
      <c r="I864" s="100"/>
      <c r="J864" s="113"/>
      <c r="K864" s="82" t="b">
        <v>0</v>
      </c>
      <c r="L864" s="94"/>
      <c r="M864" s="84">
        <f t="shared" si="1"/>
        <v>6590</v>
      </c>
      <c r="N864" s="84"/>
      <c r="O864" s="84"/>
      <c r="P864" s="84"/>
      <c r="Q864" s="84"/>
      <c r="R864" s="86" t="str">
        <f t="shared" si="2"/>
        <v>Prepare for Showcase</v>
      </c>
      <c r="S864" s="82" t="b">
        <v>0</v>
      </c>
      <c r="T864" s="88"/>
      <c r="U864" s="84"/>
      <c r="V864" s="84"/>
      <c r="W864" s="84"/>
      <c r="X864" s="84"/>
      <c r="Y864" s="84"/>
      <c r="Z864" s="84"/>
      <c r="AA864" s="84"/>
    </row>
    <row r="865" ht="26.25" hidden="1" customHeight="1">
      <c r="A865" s="85"/>
      <c r="B865" s="106"/>
      <c r="C865" s="103"/>
      <c r="D865" s="93"/>
      <c r="E865" s="93"/>
      <c r="F865" s="103"/>
      <c r="G865" s="113"/>
      <c r="H865" s="113"/>
      <c r="I865" s="100"/>
      <c r="J865" s="113"/>
      <c r="K865" s="82" t="b">
        <v>0</v>
      </c>
      <c r="L865" s="94"/>
      <c r="M865" s="84">
        <f t="shared" si="1"/>
        <v>6590</v>
      </c>
      <c r="N865" s="84"/>
      <c r="O865" s="84"/>
      <c r="P865" s="84"/>
      <c r="Q865" s="84"/>
      <c r="R865" s="86" t="str">
        <f t="shared" si="2"/>
        <v>Prepare for Showcase</v>
      </c>
      <c r="S865" s="82" t="b">
        <v>0</v>
      </c>
      <c r="T865" s="88"/>
      <c r="U865" s="84"/>
      <c r="V865" s="84"/>
      <c r="W865" s="84"/>
      <c r="X865" s="84"/>
      <c r="Y865" s="84"/>
      <c r="Z865" s="84"/>
      <c r="AA865" s="84"/>
    </row>
    <row r="866" ht="26.25" hidden="1" customHeight="1">
      <c r="A866" s="85"/>
      <c r="B866" s="106"/>
      <c r="C866" s="103"/>
      <c r="D866" s="93"/>
      <c r="E866" s="93"/>
      <c r="F866" s="103"/>
      <c r="G866" s="113"/>
      <c r="H866" s="113"/>
      <c r="I866" s="100"/>
      <c r="J866" s="113"/>
      <c r="K866" s="82" t="b">
        <v>0</v>
      </c>
      <c r="L866" s="94"/>
      <c r="M866" s="84">
        <f t="shared" si="1"/>
        <v>6590</v>
      </c>
      <c r="N866" s="84"/>
      <c r="O866" s="84"/>
      <c r="P866" s="84"/>
      <c r="Q866" s="84"/>
      <c r="R866" s="86" t="str">
        <f t="shared" si="2"/>
        <v>Prepare for Showcase</v>
      </c>
      <c r="S866" s="82" t="b">
        <v>0</v>
      </c>
      <c r="T866" s="88"/>
      <c r="U866" s="84"/>
      <c r="V866" s="84"/>
      <c r="W866" s="84"/>
      <c r="X866" s="84"/>
      <c r="Y866" s="84"/>
      <c r="Z866" s="84"/>
      <c r="AA866" s="84"/>
    </row>
    <row r="867" ht="26.25" hidden="1" customHeight="1">
      <c r="A867" s="85"/>
      <c r="B867" s="106"/>
      <c r="C867" s="103"/>
      <c r="D867" s="93"/>
      <c r="E867" s="93"/>
      <c r="F867" s="103"/>
      <c r="G867" s="113"/>
      <c r="H867" s="113"/>
      <c r="I867" s="100"/>
      <c r="J867" s="113"/>
      <c r="K867" s="82" t="b">
        <v>0</v>
      </c>
      <c r="L867" s="94"/>
      <c r="M867" s="84">
        <f t="shared" si="1"/>
        <v>6590</v>
      </c>
      <c r="N867" s="84"/>
      <c r="O867" s="84"/>
      <c r="P867" s="84"/>
      <c r="Q867" s="84"/>
      <c r="R867" s="86" t="str">
        <f t="shared" si="2"/>
        <v>Prepare for Showcase</v>
      </c>
      <c r="S867" s="82" t="b">
        <v>0</v>
      </c>
      <c r="T867" s="88"/>
      <c r="U867" s="84"/>
      <c r="V867" s="84"/>
      <c r="W867" s="84"/>
      <c r="X867" s="84"/>
      <c r="Y867" s="84"/>
      <c r="Z867" s="84"/>
      <c r="AA867" s="84"/>
    </row>
    <row r="868" ht="26.25" hidden="1" customHeight="1">
      <c r="A868" s="85"/>
      <c r="B868" s="106"/>
      <c r="C868" s="103"/>
      <c r="D868" s="93"/>
      <c r="E868" s="93"/>
      <c r="F868" s="103"/>
      <c r="G868" s="113"/>
      <c r="H868" s="113"/>
      <c r="I868" s="100"/>
      <c r="J868" s="113"/>
      <c r="K868" s="82" t="b">
        <v>0</v>
      </c>
      <c r="L868" s="94"/>
      <c r="M868" s="84">
        <f t="shared" si="1"/>
        <v>6590</v>
      </c>
      <c r="N868" s="84"/>
      <c r="O868" s="84"/>
      <c r="P868" s="84"/>
      <c r="Q868" s="84"/>
      <c r="R868" s="86" t="str">
        <f t="shared" si="2"/>
        <v>Prepare for Showcase</v>
      </c>
      <c r="S868" s="82" t="b">
        <v>0</v>
      </c>
      <c r="T868" s="88"/>
      <c r="U868" s="84"/>
      <c r="V868" s="84"/>
      <c r="W868" s="84"/>
      <c r="X868" s="84"/>
      <c r="Y868" s="84"/>
      <c r="Z868" s="84"/>
      <c r="AA868" s="84"/>
    </row>
    <row r="869" ht="26.25" hidden="1" customHeight="1">
      <c r="A869" s="85"/>
      <c r="B869" s="106"/>
      <c r="C869" s="103"/>
      <c r="D869" s="93"/>
      <c r="E869" s="93"/>
      <c r="F869" s="103"/>
      <c r="G869" s="113"/>
      <c r="H869" s="113"/>
      <c r="I869" s="100"/>
      <c r="J869" s="113"/>
      <c r="K869" s="82" t="b">
        <v>0</v>
      </c>
      <c r="L869" s="94"/>
      <c r="M869" s="84">
        <f t="shared" si="1"/>
        <v>6590</v>
      </c>
      <c r="N869" s="84"/>
      <c r="O869" s="84"/>
      <c r="P869" s="84"/>
      <c r="Q869" s="84"/>
      <c r="R869" s="86" t="str">
        <f t="shared" si="2"/>
        <v>Prepare for Showcase</v>
      </c>
      <c r="S869" s="82" t="b">
        <v>0</v>
      </c>
      <c r="T869" s="88"/>
      <c r="U869" s="84"/>
      <c r="V869" s="84"/>
      <c r="W869" s="84"/>
      <c r="X869" s="84"/>
      <c r="Y869" s="84"/>
      <c r="Z869" s="84"/>
      <c r="AA869" s="84"/>
    </row>
    <row r="870" ht="26.25" hidden="1" customHeight="1">
      <c r="A870" s="85"/>
      <c r="B870" s="106"/>
      <c r="C870" s="103"/>
      <c r="D870" s="93"/>
      <c r="E870" s="93"/>
      <c r="F870" s="103"/>
      <c r="G870" s="113"/>
      <c r="H870" s="113"/>
      <c r="I870" s="100"/>
      <c r="J870" s="113"/>
      <c r="K870" s="82" t="b">
        <v>0</v>
      </c>
      <c r="L870" s="94"/>
      <c r="M870" s="84">
        <f t="shared" si="1"/>
        <v>6590</v>
      </c>
      <c r="N870" s="84"/>
      <c r="O870" s="84"/>
      <c r="P870" s="84"/>
      <c r="Q870" s="84"/>
      <c r="R870" s="86" t="str">
        <f t="shared" si="2"/>
        <v>Prepare for Showcase</v>
      </c>
      <c r="S870" s="82" t="b">
        <v>0</v>
      </c>
      <c r="T870" s="88"/>
      <c r="U870" s="84"/>
      <c r="V870" s="84"/>
      <c r="W870" s="84"/>
      <c r="X870" s="84"/>
      <c r="Y870" s="84"/>
      <c r="Z870" s="84"/>
      <c r="AA870" s="84"/>
    </row>
    <row r="871" ht="26.25" hidden="1" customHeight="1">
      <c r="A871" s="85"/>
      <c r="B871" s="106"/>
      <c r="C871" s="103"/>
      <c r="D871" s="93"/>
      <c r="E871" s="93"/>
      <c r="F871" s="103"/>
      <c r="G871" s="113"/>
      <c r="H871" s="113"/>
      <c r="I871" s="100"/>
      <c r="J871" s="113"/>
      <c r="K871" s="82" t="b">
        <v>0</v>
      </c>
      <c r="L871" s="94"/>
      <c r="M871" s="84">
        <f t="shared" si="1"/>
        <v>6590</v>
      </c>
      <c r="N871" s="84"/>
      <c r="O871" s="84"/>
      <c r="P871" s="84"/>
      <c r="Q871" s="84"/>
      <c r="R871" s="86" t="str">
        <f t="shared" si="2"/>
        <v>Prepare for Showcase</v>
      </c>
      <c r="S871" s="82" t="b">
        <v>0</v>
      </c>
      <c r="T871" s="88"/>
      <c r="U871" s="84"/>
      <c r="V871" s="84"/>
      <c r="W871" s="84"/>
      <c r="X871" s="84"/>
      <c r="Y871" s="84"/>
      <c r="Z871" s="84"/>
      <c r="AA871" s="84"/>
    </row>
    <row r="872" ht="26.25" hidden="1" customHeight="1">
      <c r="A872" s="85"/>
      <c r="B872" s="106"/>
      <c r="C872" s="103"/>
      <c r="D872" s="93"/>
      <c r="E872" s="93"/>
      <c r="F872" s="103"/>
      <c r="G872" s="113"/>
      <c r="H872" s="113"/>
      <c r="I872" s="100"/>
      <c r="J872" s="113"/>
      <c r="K872" s="82" t="b">
        <v>0</v>
      </c>
      <c r="L872" s="94"/>
      <c r="M872" s="84">
        <f t="shared" si="1"/>
        <v>6590</v>
      </c>
      <c r="N872" s="84"/>
      <c r="O872" s="84"/>
      <c r="P872" s="84"/>
      <c r="Q872" s="84"/>
      <c r="R872" s="86" t="str">
        <f t="shared" si="2"/>
        <v>Prepare for Showcase</v>
      </c>
      <c r="S872" s="82" t="b">
        <v>0</v>
      </c>
      <c r="T872" s="88"/>
      <c r="U872" s="84"/>
      <c r="V872" s="84"/>
      <c r="W872" s="84"/>
      <c r="X872" s="84"/>
      <c r="Y872" s="84"/>
      <c r="Z872" s="84"/>
      <c r="AA872" s="84"/>
    </row>
    <row r="873" ht="26.25" hidden="1" customHeight="1">
      <c r="A873" s="85"/>
      <c r="B873" s="106"/>
      <c r="C873" s="103"/>
      <c r="D873" s="93"/>
      <c r="E873" s="93"/>
      <c r="F873" s="103"/>
      <c r="G873" s="113"/>
      <c r="H873" s="113"/>
      <c r="I873" s="100"/>
      <c r="J873" s="113"/>
      <c r="K873" s="82" t="b">
        <v>0</v>
      </c>
      <c r="L873" s="94"/>
      <c r="M873" s="84">
        <f t="shared" si="1"/>
        <v>6590</v>
      </c>
      <c r="N873" s="84"/>
      <c r="O873" s="84"/>
      <c r="P873" s="84"/>
      <c r="Q873" s="84"/>
      <c r="R873" s="86" t="str">
        <f t="shared" si="2"/>
        <v>Prepare for Showcase</v>
      </c>
      <c r="S873" s="82" t="b">
        <v>0</v>
      </c>
      <c r="T873" s="88"/>
      <c r="U873" s="84"/>
      <c r="V873" s="84"/>
      <c r="W873" s="84"/>
      <c r="X873" s="84"/>
      <c r="Y873" s="84"/>
      <c r="Z873" s="84"/>
      <c r="AA873" s="84"/>
    </row>
    <row r="874" ht="26.25" hidden="1" customHeight="1">
      <c r="A874" s="85"/>
      <c r="B874" s="106"/>
      <c r="C874" s="103"/>
      <c r="D874" s="93"/>
      <c r="E874" s="93"/>
      <c r="F874" s="103"/>
      <c r="G874" s="113"/>
      <c r="H874" s="113"/>
      <c r="I874" s="100"/>
      <c r="J874" s="113"/>
      <c r="K874" s="82" t="b">
        <v>0</v>
      </c>
      <c r="L874" s="94"/>
      <c r="M874" s="84">
        <f t="shared" si="1"/>
        <v>6590</v>
      </c>
      <c r="N874" s="84"/>
      <c r="O874" s="84"/>
      <c r="P874" s="84"/>
      <c r="Q874" s="84"/>
      <c r="R874" s="86" t="str">
        <f t="shared" si="2"/>
        <v>Prepare for Showcase</v>
      </c>
      <c r="S874" s="82" t="b">
        <v>0</v>
      </c>
      <c r="T874" s="88"/>
      <c r="U874" s="84"/>
      <c r="V874" s="84"/>
      <c r="W874" s="84"/>
      <c r="X874" s="84"/>
      <c r="Y874" s="84"/>
      <c r="Z874" s="84"/>
      <c r="AA874" s="84"/>
    </row>
    <row r="875" ht="26.25" hidden="1" customHeight="1">
      <c r="A875" s="85"/>
      <c r="B875" s="106"/>
      <c r="C875" s="103"/>
      <c r="D875" s="93"/>
      <c r="E875" s="93"/>
      <c r="F875" s="103"/>
      <c r="G875" s="113"/>
      <c r="H875" s="113"/>
      <c r="I875" s="100"/>
      <c r="J875" s="113"/>
      <c r="K875" s="82" t="b">
        <v>0</v>
      </c>
      <c r="L875" s="94"/>
      <c r="M875" s="84">
        <f t="shared" si="1"/>
        <v>6590</v>
      </c>
      <c r="N875" s="84"/>
      <c r="O875" s="84"/>
      <c r="P875" s="84"/>
      <c r="Q875" s="84"/>
      <c r="R875" s="86" t="str">
        <f t="shared" si="2"/>
        <v>Prepare for Showcase</v>
      </c>
      <c r="S875" s="82" t="b">
        <v>0</v>
      </c>
      <c r="T875" s="88"/>
      <c r="U875" s="84"/>
      <c r="V875" s="84"/>
      <c r="W875" s="84"/>
      <c r="X875" s="84"/>
      <c r="Y875" s="84"/>
      <c r="Z875" s="84"/>
      <c r="AA875" s="84"/>
    </row>
    <row r="876" ht="26.25" hidden="1" customHeight="1">
      <c r="A876" s="85"/>
      <c r="B876" s="106"/>
      <c r="C876" s="103"/>
      <c r="D876" s="93"/>
      <c r="E876" s="93"/>
      <c r="F876" s="103"/>
      <c r="G876" s="113"/>
      <c r="H876" s="113"/>
      <c r="I876" s="100"/>
      <c r="J876" s="113"/>
      <c r="K876" s="82" t="b">
        <v>0</v>
      </c>
      <c r="L876" s="94"/>
      <c r="M876" s="84">
        <f t="shared" si="1"/>
        <v>6590</v>
      </c>
      <c r="N876" s="84"/>
      <c r="O876" s="84"/>
      <c r="P876" s="84"/>
      <c r="Q876" s="84"/>
      <c r="R876" s="86" t="str">
        <f t="shared" si="2"/>
        <v>Prepare for Showcase</v>
      </c>
      <c r="S876" s="82" t="b">
        <v>0</v>
      </c>
      <c r="T876" s="88"/>
      <c r="U876" s="84"/>
      <c r="V876" s="84"/>
      <c r="W876" s="84"/>
      <c r="X876" s="84"/>
      <c r="Y876" s="84"/>
      <c r="Z876" s="84"/>
      <c r="AA876" s="84"/>
    </row>
    <row r="877" ht="26.25" hidden="1" customHeight="1">
      <c r="A877" s="85"/>
      <c r="B877" s="106"/>
      <c r="C877" s="103"/>
      <c r="D877" s="93"/>
      <c r="E877" s="93"/>
      <c r="F877" s="103"/>
      <c r="G877" s="113"/>
      <c r="H877" s="113"/>
      <c r="I877" s="100"/>
      <c r="J877" s="113"/>
      <c r="K877" s="82" t="b">
        <v>0</v>
      </c>
      <c r="L877" s="94"/>
      <c r="M877" s="84">
        <f t="shared" si="1"/>
        <v>6590</v>
      </c>
      <c r="N877" s="84"/>
      <c r="O877" s="84"/>
      <c r="P877" s="84"/>
      <c r="Q877" s="84"/>
      <c r="R877" s="86" t="str">
        <f t="shared" si="2"/>
        <v>Prepare for Showcase</v>
      </c>
      <c r="S877" s="82" t="b">
        <v>0</v>
      </c>
      <c r="T877" s="88"/>
      <c r="U877" s="84"/>
      <c r="V877" s="84"/>
      <c r="W877" s="84"/>
      <c r="X877" s="84"/>
      <c r="Y877" s="84"/>
      <c r="Z877" s="84"/>
      <c r="AA877" s="84"/>
    </row>
    <row r="878" ht="26.25" hidden="1" customHeight="1">
      <c r="A878" s="85"/>
      <c r="B878" s="106"/>
      <c r="C878" s="103"/>
      <c r="D878" s="93"/>
      <c r="E878" s="93"/>
      <c r="F878" s="103"/>
      <c r="G878" s="113"/>
      <c r="H878" s="113"/>
      <c r="I878" s="100"/>
      <c r="J878" s="113"/>
      <c r="K878" s="82" t="b">
        <v>0</v>
      </c>
      <c r="L878" s="94"/>
      <c r="M878" s="84">
        <f t="shared" si="1"/>
        <v>6590</v>
      </c>
      <c r="N878" s="84"/>
      <c r="O878" s="84"/>
      <c r="P878" s="84"/>
      <c r="Q878" s="84"/>
      <c r="R878" s="86" t="str">
        <f t="shared" si="2"/>
        <v>Prepare for Showcase</v>
      </c>
      <c r="S878" s="82" t="b">
        <v>0</v>
      </c>
      <c r="T878" s="88"/>
      <c r="U878" s="84"/>
      <c r="V878" s="84"/>
      <c r="W878" s="84"/>
      <c r="X878" s="84"/>
      <c r="Y878" s="84"/>
      <c r="Z878" s="84"/>
      <c r="AA878" s="84"/>
    </row>
    <row r="879" ht="26.25" hidden="1" customHeight="1">
      <c r="A879" s="85"/>
      <c r="B879" s="106"/>
      <c r="C879" s="103"/>
      <c r="D879" s="93"/>
      <c r="E879" s="93"/>
      <c r="F879" s="103"/>
      <c r="G879" s="113"/>
      <c r="H879" s="113"/>
      <c r="I879" s="100"/>
      <c r="J879" s="113"/>
      <c r="K879" s="82" t="b">
        <v>0</v>
      </c>
      <c r="L879" s="94"/>
      <c r="M879" s="84">
        <f t="shared" si="1"/>
        <v>6590</v>
      </c>
      <c r="N879" s="84"/>
      <c r="O879" s="84"/>
      <c r="P879" s="84"/>
      <c r="Q879" s="84"/>
      <c r="R879" s="86" t="str">
        <f t="shared" si="2"/>
        <v>Prepare for Showcase</v>
      </c>
      <c r="S879" s="82" t="b">
        <v>0</v>
      </c>
      <c r="T879" s="88"/>
      <c r="U879" s="84"/>
      <c r="V879" s="84"/>
      <c r="W879" s="84"/>
      <c r="X879" s="84"/>
      <c r="Y879" s="84"/>
      <c r="Z879" s="84"/>
      <c r="AA879" s="84"/>
    </row>
    <row r="880" ht="26.25" hidden="1" customHeight="1">
      <c r="A880" s="85"/>
      <c r="B880" s="106"/>
      <c r="C880" s="103"/>
      <c r="D880" s="93"/>
      <c r="E880" s="93"/>
      <c r="F880" s="103"/>
      <c r="G880" s="113"/>
      <c r="H880" s="113"/>
      <c r="I880" s="100"/>
      <c r="J880" s="113"/>
      <c r="K880" s="82" t="b">
        <v>0</v>
      </c>
      <c r="L880" s="94"/>
      <c r="M880" s="84">
        <f t="shared" si="1"/>
        <v>6590</v>
      </c>
      <c r="N880" s="84"/>
      <c r="O880" s="84"/>
      <c r="P880" s="84"/>
      <c r="Q880" s="84"/>
      <c r="R880" s="86" t="str">
        <f t="shared" si="2"/>
        <v>Prepare for Showcase</v>
      </c>
      <c r="S880" s="82" t="b">
        <v>0</v>
      </c>
      <c r="T880" s="88"/>
      <c r="U880" s="84"/>
      <c r="V880" s="84"/>
      <c r="W880" s="84"/>
      <c r="X880" s="84"/>
      <c r="Y880" s="84"/>
      <c r="Z880" s="84"/>
      <c r="AA880" s="84"/>
    </row>
    <row r="881" ht="26.25" hidden="1" customHeight="1">
      <c r="A881" s="85"/>
      <c r="B881" s="106"/>
      <c r="C881" s="103"/>
      <c r="D881" s="93"/>
      <c r="E881" s="93"/>
      <c r="F881" s="103"/>
      <c r="G881" s="113"/>
      <c r="H881" s="113"/>
      <c r="I881" s="100"/>
      <c r="J881" s="113"/>
      <c r="K881" s="82" t="b">
        <v>0</v>
      </c>
      <c r="L881" s="94"/>
      <c r="M881" s="84">
        <f t="shared" si="1"/>
        <v>6590</v>
      </c>
      <c r="N881" s="84"/>
      <c r="O881" s="84"/>
      <c r="P881" s="84"/>
      <c r="Q881" s="84"/>
      <c r="R881" s="86" t="str">
        <f t="shared" si="2"/>
        <v>Prepare for Showcase</v>
      </c>
      <c r="S881" s="82" t="b">
        <v>0</v>
      </c>
      <c r="T881" s="88"/>
      <c r="U881" s="84"/>
      <c r="V881" s="84"/>
      <c r="W881" s="84"/>
      <c r="X881" s="84"/>
      <c r="Y881" s="84"/>
      <c r="Z881" s="84"/>
      <c r="AA881" s="84"/>
    </row>
    <row r="882" ht="26.25" hidden="1" customHeight="1">
      <c r="A882" s="85"/>
      <c r="B882" s="106"/>
      <c r="C882" s="103"/>
      <c r="D882" s="93"/>
      <c r="E882" s="93"/>
      <c r="F882" s="103"/>
      <c r="G882" s="113"/>
      <c r="H882" s="113"/>
      <c r="I882" s="100"/>
      <c r="J882" s="113"/>
      <c r="K882" s="82" t="b">
        <v>0</v>
      </c>
      <c r="L882" s="94"/>
      <c r="M882" s="84">
        <f t="shared" si="1"/>
        <v>6590</v>
      </c>
      <c r="N882" s="84"/>
      <c r="O882" s="84"/>
      <c r="P882" s="84"/>
      <c r="Q882" s="84"/>
      <c r="R882" s="86" t="str">
        <f t="shared" si="2"/>
        <v>Prepare for Showcase</v>
      </c>
      <c r="S882" s="82" t="b">
        <v>0</v>
      </c>
      <c r="T882" s="88"/>
      <c r="U882" s="84"/>
      <c r="V882" s="84"/>
      <c r="W882" s="84"/>
      <c r="X882" s="84"/>
      <c r="Y882" s="84"/>
      <c r="Z882" s="84"/>
      <c r="AA882" s="84"/>
    </row>
    <row r="883" ht="26.25" hidden="1" customHeight="1">
      <c r="A883" s="85"/>
      <c r="B883" s="106"/>
      <c r="C883" s="103"/>
      <c r="D883" s="93"/>
      <c r="E883" s="93"/>
      <c r="F883" s="103"/>
      <c r="G883" s="113"/>
      <c r="H883" s="113"/>
      <c r="I883" s="100"/>
      <c r="J883" s="113"/>
      <c r="K883" s="82" t="b">
        <v>0</v>
      </c>
      <c r="L883" s="94"/>
      <c r="M883" s="84">
        <f t="shared" si="1"/>
        <v>6590</v>
      </c>
      <c r="N883" s="84"/>
      <c r="O883" s="84"/>
      <c r="P883" s="84"/>
      <c r="Q883" s="84"/>
      <c r="R883" s="86" t="str">
        <f t="shared" si="2"/>
        <v>Prepare for Showcase</v>
      </c>
      <c r="S883" s="82" t="b">
        <v>0</v>
      </c>
      <c r="T883" s="88"/>
      <c r="U883" s="84"/>
      <c r="V883" s="84"/>
      <c r="W883" s="84"/>
      <c r="X883" s="84"/>
      <c r="Y883" s="84"/>
      <c r="Z883" s="84"/>
      <c r="AA883" s="84"/>
    </row>
    <row r="884" ht="26.25" hidden="1" customHeight="1">
      <c r="A884" s="85"/>
      <c r="B884" s="106"/>
      <c r="C884" s="103"/>
      <c r="D884" s="93"/>
      <c r="E884" s="93"/>
      <c r="F884" s="103"/>
      <c r="G884" s="113"/>
      <c r="H884" s="113"/>
      <c r="I884" s="100"/>
      <c r="J884" s="113"/>
      <c r="K884" s="82" t="b">
        <v>0</v>
      </c>
      <c r="L884" s="94"/>
      <c r="M884" s="84">
        <f t="shared" si="1"/>
        <v>6590</v>
      </c>
      <c r="N884" s="84"/>
      <c r="O884" s="84"/>
      <c r="P884" s="84"/>
      <c r="Q884" s="84"/>
      <c r="R884" s="86" t="str">
        <f t="shared" si="2"/>
        <v>Prepare for Showcase</v>
      </c>
      <c r="S884" s="82" t="b">
        <v>0</v>
      </c>
      <c r="T884" s="88"/>
      <c r="U884" s="84"/>
      <c r="V884" s="84"/>
      <c r="W884" s="84"/>
      <c r="X884" s="84"/>
      <c r="Y884" s="84"/>
      <c r="Z884" s="84"/>
      <c r="AA884" s="84"/>
    </row>
    <row r="885" ht="26.25" hidden="1" customHeight="1">
      <c r="A885" s="85"/>
      <c r="B885" s="106"/>
      <c r="C885" s="103"/>
      <c r="D885" s="93"/>
      <c r="E885" s="93"/>
      <c r="F885" s="103"/>
      <c r="G885" s="113"/>
      <c r="H885" s="113"/>
      <c r="I885" s="100"/>
      <c r="J885" s="113"/>
      <c r="K885" s="82" t="b">
        <v>0</v>
      </c>
      <c r="L885" s="94"/>
      <c r="M885" s="84">
        <f t="shared" si="1"/>
        <v>6590</v>
      </c>
      <c r="N885" s="84"/>
      <c r="O885" s="84"/>
      <c r="P885" s="84"/>
      <c r="Q885" s="84"/>
      <c r="R885" s="86" t="str">
        <f t="shared" si="2"/>
        <v>Prepare for Showcase</v>
      </c>
      <c r="S885" s="82" t="b">
        <v>0</v>
      </c>
      <c r="T885" s="88"/>
      <c r="U885" s="84"/>
      <c r="V885" s="84"/>
      <c r="W885" s="84"/>
      <c r="X885" s="84"/>
      <c r="Y885" s="84"/>
      <c r="Z885" s="84"/>
      <c r="AA885" s="84"/>
    </row>
    <row r="886" ht="26.25" hidden="1" customHeight="1">
      <c r="A886" s="85"/>
      <c r="B886" s="106"/>
      <c r="C886" s="103"/>
      <c r="D886" s="93"/>
      <c r="E886" s="93"/>
      <c r="F886" s="103"/>
      <c r="G886" s="113"/>
      <c r="H886" s="113"/>
      <c r="I886" s="100"/>
      <c r="J886" s="113"/>
      <c r="K886" s="82" t="b">
        <v>0</v>
      </c>
      <c r="L886" s="94"/>
      <c r="M886" s="84">
        <f t="shared" si="1"/>
        <v>6590</v>
      </c>
      <c r="N886" s="84"/>
      <c r="O886" s="84"/>
      <c r="P886" s="84"/>
      <c r="Q886" s="84"/>
      <c r="R886" s="86" t="str">
        <f t="shared" si="2"/>
        <v>Prepare for Showcase</v>
      </c>
      <c r="S886" s="82" t="b">
        <v>0</v>
      </c>
      <c r="T886" s="88"/>
      <c r="U886" s="84"/>
      <c r="V886" s="84"/>
      <c r="W886" s="84"/>
      <c r="X886" s="84"/>
      <c r="Y886" s="84"/>
      <c r="Z886" s="84"/>
      <c r="AA886" s="84"/>
    </row>
    <row r="887" ht="26.25" hidden="1" customHeight="1">
      <c r="A887" s="85"/>
      <c r="B887" s="106"/>
      <c r="C887" s="103"/>
      <c r="D887" s="93"/>
      <c r="E887" s="93"/>
      <c r="F887" s="103"/>
      <c r="G887" s="113"/>
      <c r="H887" s="113"/>
      <c r="I887" s="100"/>
      <c r="J887" s="113"/>
      <c r="K887" s="82" t="b">
        <v>0</v>
      </c>
      <c r="L887" s="94"/>
      <c r="M887" s="84">
        <f t="shared" si="1"/>
        <v>6590</v>
      </c>
      <c r="N887" s="84"/>
      <c r="O887" s="84"/>
      <c r="P887" s="84"/>
      <c r="Q887" s="84"/>
      <c r="R887" s="86" t="str">
        <f t="shared" si="2"/>
        <v>Prepare for Showcase</v>
      </c>
      <c r="S887" s="82" t="b">
        <v>0</v>
      </c>
      <c r="T887" s="88"/>
      <c r="U887" s="84"/>
      <c r="V887" s="84"/>
      <c r="W887" s="84"/>
      <c r="X887" s="84"/>
      <c r="Y887" s="84"/>
      <c r="Z887" s="84"/>
      <c r="AA887" s="84"/>
    </row>
    <row r="888" ht="26.25" hidden="1" customHeight="1">
      <c r="A888" s="85"/>
      <c r="B888" s="106"/>
      <c r="C888" s="103"/>
      <c r="D888" s="93"/>
      <c r="E888" s="93"/>
      <c r="F888" s="103"/>
      <c r="G888" s="113"/>
      <c r="H888" s="113"/>
      <c r="I888" s="100"/>
      <c r="J888" s="113"/>
      <c r="K888" s="82" t="b">
        <v>0</v>
      </c>
      <c r="L888" s="94"/>
      <c r="M888" s="84">
        <f t="shared" si="1"/>
        <v>6590</v>
      </c>
      <c r="N888" s="84"/>
      <c r="O888" s="84"/>
      <c r="P888" s="84"/>
      <c r="Q888" s="84"/>
      <c r="R888" s="86" t="str">
        <f t="shared" si="2"/>
        <v>Prepare for Showcase</v>
      </c>
      <c r="S888" s="82" t="b">
        <v>0</v>
      </c>
      <c r="T888" s="88"/>
      <c r="U888" s="84"/>
      <c r="V888" s="84"/>
      <c r="W888" s="84"/>
      <c r="X888" s="84"/>
      <c r="Y888" s="84"/>
      <c r="Z888" s="84"/>
      <c r="AA888" s="84"/>
    </row>
    <row r="889" ht="26.25" hidden="1" customHeight="1">
      <c r="A889" s="85"/>
      <c r="B889" s="106"/>
      <c r="C889" s="103"/>
      <c r="D889" s="93"/>
      <c r="E889" s="93"/>
      <c r="F889" s="103"/>
      <c r="G889" s="113"/>
      <c r="H889" s="113"/>
      <c r="I889" s="100"/>
      <c r="J889" s="113"/>
      <c r="K889" s="82" t="b">
        <v>0</v>
      </c>
      <c r="L889" s="94"/>
      <c r="M889" s="84">
        <f t="shared" si="1"/>
        <v>6590</v>
      </c>
      <c r="N889" s="84"/>
      <c r="O889" s="84"/>
      <c r="P889" s="84"/>
      <c r="Q889" s="84"/>
      <c r="R889" s="86" t="str">
        <f t="shared" si="2"/>
        <v>Prepare for Showcase</v>
      </c>
      <c r="S889" s="82" t="b">
        <v>0</v>
      </c>
      <c r="T889" s="88"/>
      <c r="U889" s="84"/>
      <c r="V889" s="84"/>
      <c r="W889" s="84"/>
      <c r="X889" s="84"/>
      <c r="Y889" s="84"/>
      <c r="Z889" s="84"/>
      <c r="AA889" s="84"/>
    </row>
    <row r="890" ht="26.25" hidden="1" customHeight="1">
      <c r="A890" s="85"/>
      <c r="B890" s="106"/>
      <c r="C890" s="103"/>
      <c r="D890" s="93"/>
      <c r="E890" s="93"/>
      <c r="F890" s="103"/>
      <c r="G890" s="113"/>
      <c r="H890" s="113"/>
      <c r="I890" s="100"/>
      <c r="J890" s="113"/>
      <c r="K890" s="82" t="b">
        <v>0</v>
      </c>
      <c r="L890" s="94"/>
      <c r="M890" s="84">
        <f t="shared" si="1"/>
        <v>6590</v>
      </c>
      <c r="N890" s="84"/>
      <c r="O890" s="84"/>
      <c r="P890" s="84"/>
      <c r="Q890" s="84"/>
      <c r="R890" s="86" t="str">
        <f t="shared" si="2"/>
        <v>Prepare for Showcase</v>
      </c>
      <c r="S890" s="82" t="b">
        <v>0</v>
      </c>
      <c r="T890" s="88"/>
      <c r="U890" s="84"/>
      <c r="V890" s="84"/>
      <c r="W890" s="84"/>
      <c r="X890" s="84"/>
      <c r="Y890" s="84"/>
      <c r="Z890" s="84"/>
      <c r="AA890" s="84"/>
    </row>
    <row r="891" ht="26.25" hidden="1" customHeight="1">
      <c r="A891" s="85"/>
      <c r="B891" s="106"/>
      <c r="C891" s="103"/>
      <c r="D891" s="93"/>
      <c r="E891" s="93"/>
      <c r="F891" s="103"/>
      <c r="G891" s="113"/>
      <c r="H891" s="113"/>
      <c r="I891" s="100"/>
      <c r="J891" s="113"/>
      <c r="K891" s="82" t="b">
        <v>0</v>
      </c>
      <c r="L891" s="94"/>
      <c r="M891" s="84">
        <f t="shared" si="1"/>
        <v>6590</v>
      </c>
      <c r="N891" s="84"/>
      <c r="O891" s="84"/>
      <c r="P891" s="84"/>
      <c r="Q891" s="84"/>
      <c r="R891" s="86" t="str">
        <f t="shared" si="2"/>
        <v>Prepare for Showcase</v>
      </c>
      <c r="S891" s="82" t="b">
        <v>0</v>
      </c>
      <c r="T891" s="88"/>
      <c r="U891" s="84"/>
      <c r="V891" s="84"/>
      <c r="W891" s="84"/>
      <c r="X891" s="84"/>
      <c r="Y891" s="84"/>
      <c r="Z891" s="84"/>
      <c r="AA891" s="84"/>
    </row>
    <row r="892" ht="26.25" hidden="1" customHeight="1">
      <c r="A892" s="85"/>
      <c r="B892" s="106"/>
      <c r="C892" s="103"/>
      <c r="D892" s="93"/>
      <c r="E892" s="93"/>
      <c r="F892" s="103"/>
      <c r="G892" s="113"/>
      <c r="H892" s="113"/>
      <c r="I892" s="100"/>
      <c r="J892" s="113"/>
      <c r="K892" s="82" t="b">
        <v>0</v>
      </c>
      <c r="L892" s="94"/>
      <c r="M892" s="84">
        <f t="shared" si="1"/>
        <v>6590</v>
      </c>
      <c r="N892" s="84"/>
      <c r="O892" s="84"/>
      <c r="P892" s="84"/>
      <c r="Q892" s="84"/>
      <c r="R892" s="86" t="str">
        <f t="shared" si="2"/>
        <v>Prepare for Showcase</v>
      </c>
      <c r="S892" s="82" t="b">
        <v>0</v>
      </c>
      <c r="T892" s="88"/>
      <c r="U892" s="84"/>
      <c r="V892" s="84"/>
      <c r="W892" s="84"/>
      <c r="X892" s="84"/>
      <c r="Y892" s="84"/>
      <c r="Z892" s="84"/>
      <c r="AA892" s="84"/>
    </row>
    <row r="893" ht="26.25" hidden="1" customHeight="1">
      <c r="A893" s="85"/>
      <c r="B893" s="106"/>
      <c r="C893" s="103"/>
      <c r="D893" s="93"/>
      <c r="E893" s="93"/>
      <c r="F893" s="103"/>
      <c r="G893" s="113"/>
      <c r="H893" s="113"/>
      <c r="I893" s="100"/>
      <c r="J893" s="113"/>
      <c r="K893" s="82" t="b">
        <v>0</v>
      </c>
      <c r="L893" s="94"/>
      <c r="M893" s="84">
        <f t="shared" si="1"/>
        <v>6590</v>
      </c>
      <c r="N893" s="84"/>
      <c r="O893" s="84"/>
      <c r="P893" s="84"/>
      <c r="Q893" s="84"/>
      <c r="R893" s="86" t="str">
        <f t="shared" si="2"/>
        <v>Prepare for Showcase</v>
      </c>
      <c r="S893" s="82" t="b">
        <v>0</v>
      </c>
      <c r="T893" s="88"/>
      <c r="U893" s="84"/>
      <c r="V893" s="84"/>
      <c r="W893" s="84"/>
      <c r="X893" s="84"/>
      <c r="Y893" s="84"/>
      <c r="Z893" s="84"/>
      <c r="AA893" s="84"/>
    </row>
    <row r="894" ht="26.25" hidden="1" customHeight="1">
      <c r="A894" s="85"/>
      <c r="B894" s="106"/>
      <c r="C894" s="103"/>
      <c r="D894" s="93"/>
      <c r="E894" s="93"/>
      <c r="F894" s="103"/>
      <c r="G894" s="113"/>
      <c r="H894" s="113"/>
      <c r="I894" s="100"/>
      <c r="J894" s="113"/>
      <c r="K894" s="82" t="b">
        <v>0</v>
      </c>
      <c r="L894" s="94"/>
      <c r="M894" s="84">
        <f t="shared" si="1"/>
        <v>6590</v>
      </c>
      <c r="N894" s="84"/>
      <c r="O894" s="84"/>
      <c r="P894" s="84"/>
      <c r="Q894" s="84"/>
      <c r="R894" s="86" t="str">
        <f t="shared" si="2"/>
        <v>Prepare for Showcase</v>
      </c>
      <c r="S894" s="82" t="b">
        <v>0</v>
      </c>
      <c r="T894" s="88"/>
      <c r="U894" s="84"/>
      <c r="V894" s="84"/>
      <c r="W894" s="84"/>
      <c r="X894" s="84"/>
      <c r="Y894" s="84"/>
      <c r="Z894" s="84"/>
      <c r="AA894" s="84"/>
    </row>
    <row r="895" ht="26.25" hidden="1" customHeight="1">
      <c r="A895" s="85"/>
      <c r="B895" s="106"/>
      <c r="C895" s="103"/>
      <c r="D895" s="93"/>
      <c r="E895" s="93"/>
      <c r="F895" s="103"/>
      <c r="G895" s="113"/>
      <c r="H895" s="113"/>
      <c r="I895" s="100"/>
      <c r="J895" s="113"/>
      <c r="K895" s="82" t="b">
        <v>0</v>
      </c>
      <c r="L895" s="94"/>
      <c r="M895" s="84">
        <f t="shared" si="1"/>
        <v>6590</v>
      </c>
      <c r="N895" s="84"/>
      <c r="O895" s="84"/>
      <c r="P895" s="84"/>
      <c r="Q895" s="84"/>
      <c r="R895" s="86" t="str">
        <f t="shared" si="2"/>
        <v>Prepare for Showcase</v>
      </c>
      <c r="S895" s="82" t="b">
        <v>0</v>
      </c>
      <c r="T895" s="88"/>
      <c r="U895" s="84"/>
      <c r="V895" s="84"/>
      <c r="W895" s="84"/>
      <c r="X895" s="84"/>
      <c r="Y895" s="84"/>
      <c r="Z895" s="84"/>
      <c r="AA895" s="84"/>
    </row>
    <row r="896" ht="26.25" hidden="1" customHeight="1">
      <c r="A896" s="85"/>
      <c r="B896" s="106"/>
      <c r="C896" s="103"/>
      <c r="D896" s="93"/>
      <c r="E896" s="93"/>
      <c r="F896" s="103"/>
      <c r="G896" s="113"/>
      <c r="H896" s="113"/>
      <c r="I896" s="100"/>
      <c r="J896" s="113"/>
      <c r="K896" s="82" t="b">
        <v>0</v>
      </c>
      <c r="L896" s="94"/>
      <c r="M896" s="84">
        <f t="shared" si="1"/>
        <v>6590</v>
      </c>
      <c r="N896" s="84"/>
      <c r="O896" s="84"/>
      <c r="P896" s="84"/>
      <c r="Q896" s="84"/>
      <c r="R896" s="86" t="str">
        <f t="shared" si="2"/>
        <v>Prepare for Showcase</v>
      </c>
      <c r="S896" s="82" t="b">
        <v>0</v>
      </c>
      <c r="T896" s="88"/>
      <c r="U896" s="84"/>
      <c r="V896" s="84"/>
      <c r="W896" s="84"/>
      <c r="X896" s="84"/>
      <c r="Y896" s="84"/>
      <c r="Z896" s="84"/>
      <c r="AA896" s="84"/>
    </row>
    <row r="897" ht="26.25" hidden="1" customHeight="1">
      <c r="A897" s="85"/>
      <c r="B897" s="106"/>
      <c r="C897" s="103"/>
      <c r="D897" s="93"/>
      <c r="E897" s="93"/>
      <c r="F897" s="103"/>
      <c r="G897" s="113"/>
      <c r="H897" s="113"/>
      <c r="I897" s="100"/>
      <c r="J897" s="113"/>
      <c r="K897" s="82" t="b">
        <v>0</v>
      </c>
      <c r="L897" s="94"/>
      <c r="M897" s="84">
        <f t="shared" si="1"/>
        <v>6590</v>
      </c>
      <c r="N897" s="84"/>
      <c r="O897" s="84"/>
      <c r="P897" s="84"/>
      <c r="Q897" s="84"/>
      <c r="R897" s="86" t="str">
        <f t="shared" si="2"/>
        <v>Prepare for Showcase</v>
      </c>
      <c r="S897" s="82" t="b">
        <v>0</v>
      </c>
      <c r="T897" s="88"/>
      <c r="U897" s="84"/>
      <c r="V897" s="84"/>
      <c r="W897" s="84"/>
      <c r="X897" s="84"/>
      <c r="Y897" s="84"/>
      <c r="Z897" s="84"/>
      <c r="AA897" s="84"/>
    </row>
    <row r="898" ht="26.25" hidden="1" customHeight="1">
      <c r="A898" s="85"/>
      <c r="B898" s="106"/>
      <c r="C898" s="103"/>
      <c r="D898" s="93"/>
      <c r="E898" s="93"/>
      <c r="F898" s="103"/>
      <c r="G898" s="113"/>
      <c r="H898" s="113"/>
      <c r="I898" s="100"/>
      <c r="J898" s="113"/>
      <c r="K898" s="82" t="b">
        <v>0</v>
      </c>
      <c r="L898" s="94"/>
      <c r="M898" s="84">
        <f t="shared" si="1"/>
        <v>6590</v>
      </c>
      <c r="N898" s="84"/>
      <c r="O898" s="84"/>
      <c r="P898" s="84"/>
      <c r="Q898" s="84"/>
      <c r="R898" s="86" t="str">
        <f t="shared" si="2"/>
        <v>Prepare for Showcase</v>
      </c>
      <c r="S898" s="82" t="b">
        <v>0</v>
      </c>
      <c r="T898" s="88"/>
      <c r="U898" s="84"/>
      <c r="V898" s="84"/>
      <c r="W898" s="84"/>
      <c r="X898" s="84"/>
      <c r="Y898" s="84"/>
      <c r="Z898" s="84"/>
      <c r="AA898" s="84"/>
    </row>
    <row r="899" ht="26.25" hidden="1" customHeight="1">
      <c r="A899" s="85"/>
      <c r="B899" s="106"/>
      <c r="C899" s="103"/>
      <c r="D899" s="93"/>
      <c r="E899" s="93"/>
      <c r="F899" s="103"/>
      <c r="G899" s="113"/>
      <c r="H899" s="113"/>
      <c r="I899" s="100"/>
      <c r="J899" s="113"/>
      <c r="K899" s="82" t="b">
        <v>0</v>
      </c>
      <c r="L899" s="94"/>
      <c r="M899" s="84">
        <f t="shared" si="1"/>
        <v>6590</v>
      </c>
      <c r="N899" s="84"/>
      <c r="O899" s="84"/>
      <c r="P899" s="84"/>
      <c r="Q899" s="84"/>
      <c r="R899" s="86" t="str">
        <f t="shared" si="2"/>
        <v>Prepare for Showcase</v>
      </c>
      <c r="S899" s="82" t="b">
        <v>0</v>
      </c>
      <c r="T899" s="88"/>
      <c r="U899" s="84"/>
      <c r="V899" s="84"/>
      <c r="W899" s="84"/>
      <c r="X899" s="84"/>
      <c r="Y899" s="84"/>
      <c r="Z899" s="84"/>
      <c r="AA899" s="84"/>
    </row>
    <row r="900" ht="26.25" hidden="1" customHeight="1">
      <c r="A900" s="85"/>
      <c r="B900" s="106"/>
      <c r="C900" s="103"/>
      <c r="D900" s="93"/>
      <c r="E900" s="93"/>
      <c r="F900" s="103"/>
      <c r="G900" s="113"/>
      <c r="H900" s="113"/>
      <c r="I900" s="100"/>
      <c r="J900" s="113"/>
      <c r="K900" s="82" t="b">
        <v>0</v>
      </c>
      <c r="L900" s="94"/>
      <c r="M900" s="84">
        <f t="shared" si="1"/>
        <v>6590</v>
      </c>
      <c r="N900" s="84"/>
      <c r="O900" s="84"/>
      <c r="P900" s="84"/>
      <c r="Q900" s="84"/>
      <c r="R900" s="86" t="str">
        <f t="shared" si="2"/>
        <v>Prepare for Showcase</v>
      </c>
      <c r="S900" s="82" t="b">
        <v>0</v>
      </c>
      <c r="T900" s="88"/>
      <c r="U900" s="84"/>
      <c r="V900" s="84"/>
      <c r="W900" s="84"/>
      <c r="X900" s="84"/>
      <c r="Y900" s="84"/>
      <c r="Z900" s="84"/>
      <c r="AA900" s="84"/>
    </row>
    <row r="901" ht="26.25" hidden="1" customHeight="1">
      <c r="A901" s="85"/>
      <c r="B901" s="106"/>
      <c r="C901" s="103"/>
      <c r="D901" s="93"/>
      <c r="E901" s="93"/>
      <c r="F901" s="103"/>
      <c r="G901" s="113"/>
      <c r="H901" s="113"/>
      <c r="I901" s="100"/>
      <c r="J901" s="113"/>
      <c r="K901" s="82" t="b">
        <v>0</v>
      </c>
      <c r="L901" s="94"/>
      <c r="M901" s="84">
        <f t="shared" si="1"/>
        <v>6590</v>
      </c>
      <c r="N901" s="84"/>
      <c r="O901" s="84"/>
      <c r="P901" s="84"/>
      <c r="Q901" s="84"/>
      <c r="R901" s="86" t="str">
        <f t="shared" si="2"/>
        <v>Prepare for Showcase</v>
      </c>
      <c r="S901" s="82" t="b">
        <v>0</v>
      </c>
      <c r="T901" s="88"/>
      <c r="U901" s="84"/>
      <c r="V901" s="84"/>
      <c r="W901" s="84"/>
      <c r="X901" s="84"/>
      <c r="Y901" s="84"/>
      <c r="Z901" s="84"/>
      <c r="AA901" s="84"/>
    </row>
    <row r="902" ht="26.25" hidden="1" customHeight="1">
      <c r="A902" s="85"/>
      <c r="B902" s="106"/>
      <c r="C902" s="103"/>
      <c r="D902" s="93"/>
      <c r="E902" s="93"/>
      <c r="F902" s="103"/>
      <c r="G902" s="113"/>
      <c r="H902" s="113"/>
      <c r="I902" s="100"/>
      <c r="J902" s="113"/>
      <c r="K902" s="82" t="b">
        <v>0</v>
      </c>
      <c r="L902" s="94"/>
      <c r="M902" s="84">
        <f t="shared" si="1"/>
        <v>6590</v>
      </c>
      <c r="N902" s="84"/>
      <c r="O902" s="84"/>
      <c r="P902" s="84"/>
      <c r="Q902" s="84"/>
      <c r="R902" s="86" t="str">
        <f t="shared" si="2"/>
        <v>Prepare for Showcase</v>
      </c>
      <c r="S902" s="82" t="b">
        <v>0</v>
      </c>
      <c r="T902" s="88"/>
      <c r="U902" s="84"/>
      <c r="V902" s="84"/>
      <c r="W902" s="84"/>
      <c r="X902" s="84"/>
      <c r="Y902" s="84"/>
      <c r="Z902" s="84"/>
      <c r="AA902" s="84"/>
    </row>
    <row r="903" ht="26.25" hidden="1" customHeight="1">
      <c r="A903" s="85"/>
      <c r="B903" s="106"/>
      <c r="C903" s="103"/>
      <c r="D903" s="93"/>
      <c r="E903" s="93"/>
      <c r="F903" s="103"/>
      <c r="G903" s="113"/>
      <c r="H903" s="113"/>
      <c r="I903" s="100"/>
      <c r="J903" s="113"/>
      <c r="K903" s="82" t="b">
        <v>0</v>
      </c>
      <c r="L903" s="94"/>
      <c r="M903" s="84">
        <f t="shared" si="1"/>
        <v>6590</v>
      </c>
      <c r="N903" s="84"/>
      <c r="O903" s="84"/>
      <c r="P903" s="84"/>
      <c r="Q903" s="84"/>
      <c r="R903" s="86" t="str">
        <f t="shared" si="2"/>
        <v>Prepare for Showcase</v>
      </c>
      <c r="S903" s="82" t="b">
        <v>0</v>
      </c>
      <c r="T903" s="88"/>
      <c r="U903" s="84"/>
      <c r="V903" s="84"/>
      <c r="W903" s="84"/>
      <c r="X903" s="84"/>
      <c r="Y903" s="84"/>
      <c r="Z903" s="84"/>
      <c r="AA903" s="84"/>
    </row>
    <row r="904" ht="26.25" hidden="1" customHeight="1">
      <c r="A904" s="85"/>
      <c r="B904" s="106"/>
      <c r="C904" s="103"/>
      <c r="D904" s="93"/>
      <c r="E904" s="93"/>
      <c r="F904" s="103"/>
      <c r="G904" s="113"/>
      <c r="H904" s="113"/>
      <c r="I904" s="100"/>
      <c r="J904" s="113"/>
      <c r="K904" s="82" t="b">
        <v>0</v>
      </c>
      <c r="L904" s="94"/>
      <c r="M904" s="84">
        <f t="shared" si="1"/>
        <v>6590</v>
      </c>
      <c r="N904" s="84"/>
      <c r="O904" s="84"/>
      <c r="P904" s="84"/>
      <c r="Q904" s="84"/>
      <c r="R904" s="86" t="str">
        <f t="shared" si="2"/>
        <v>Prepare for Showcase</v>
      </c>
      <c r="S904" s="82" t="b">
        <v>0</v>
      </c>
      <c r="T904" s="88"/>
      <c r="U904" s="84"/>
      <c r="V904" s="84"/>
      <c r="W904" s="84"/>
      <c r="X904" s="84"/>
      <c r="Y904" s="84"/>
      <c r="Z904" s="84"/>
      <c r="AA904" s="84"/>
    </row>
    <row r="905" ht="26.25" hidden="1" customHeight="1">
      <c r="A905" s="85"/>
      <c r="B905" s="106"/>
      <c r="C905" s="103"/>
      <c r="D905" s="93"/>
      <c r="E905" s="93"/>
      <c r="F905" s="103"/>
      <c r="G905" s="113"/>
      <c r="H905" s="113"/>
      <c r="I905" s="100"/>
      <c r="J905" s="113"/>
      <c r="K905" s="82" t="b">
        <v>0</v>
      </c>
      <c r="L905" s="94"/>
      <c r="M905" s="84">
        <f t="shared" si="1"/>
        <v>6590</v>
      </c>
      <c r="N905" s="84"/>
      <c r="O905" s="84"/>
      <c r="P905" s="84"/>
      <c r="Q905" s="84"/>
      <c r="R905" s="86" t="str">
        <f t="shared" si="2"/>
        <v>Prepare for Showcase</v>
      </c>
      <c r="S905" s="82" t="b">
        <v>0</v>
      </c>
      <c r="T905" s="88"/>
      <c r="U905" s="84"/>
      <c r="V905" s="84"/>
      <c r="W905" s="84"/>
      <c r="X905" s="84"/>
      <c r="Y905" s="84"/>
      <c r="Z905" s="84"/>
      <c r="AA905" s="84"/>
    </row>
    <row r="906" ht="26.25" hidden="1" customHeight="1">
      <c r="A906" s="85"/>
      <c r="B906" s="106"/>
      <c r="C906" s="103"/>
      <c r="D906" s="93"/>
      <c r="E906" s="93"/>
      <c r="F906" s="103"/>
      <c r="G906" s="113"/>
      <c r="H906" s="113"/>
      <c r="I906" s="100"/>
      <c r="J906" s="113"/>
      <c r="K906" s="82" t="b">
        <v>0</v>
      </c>
      <c r="L906" s="94"/>
      <c r="M906" s="84">
        <f t="shared" si="1"/>
        <v>6590</v>
      </c>
      <c r="N906" s="84"/>
      <c r="O906" s="84"/>
      <c r="P906" s="84"/>
      <c r="Q906" s="84"/>
      <c r="R906" s="86" t="str">
        <f t="shared" si="2"/>
        <v>Prepare for Showcase</v>
      </c>
      <c r="S906" s="82" t="b">
        <v>0</v>
      </c>
      <c r="T906" s="88"/>
      <c r="U906" s="84"/>
      <c r="V906" s="84"/>
      <c r="W906" s="84"/>
      <c r="X906" s="84"/>
      <c r="Y906" s="84"/>
      <c r="Z906" s="84"/>
      <c r="AA906" s="84"/>
    </row>
    <row r="907" ht="26.25" hidden="1" customHeight="1">
      <c r="A907" s="85"/>
      <c r="B907" s="106"/>
      <c r="C907" s="103"/>
      <c r="D907" s="93"/>
      <c r="E907" s="93"/>
      <c r="F907" s="103"/>
      <c r="G907" s="113"/>
      <c r="H907" s="113"/>
      <c r="I907" s="100"/>
      <c r="J907" s="113"/>
      <c r="K907" s="82" t="b">
        <v>0</v>
      </c>
      <c r="L907" s="94"/>
      <c r="M907" s="84">
        <f t="shared" si="1"/>
        <v>6590</v>
      </c>
      <c r="N907" s="84"/>
      <c r="O907" s="84"/>
      <c r="P907" s="84"/>
      <c r="Q907" s="84"/>
      <c r="R907" s="86" t="str">
        <f t="shared" si="2"/>
        <v>Prepare for Showcase</v>
      </c>
      <c r="S907" s="82" t="b">
        <v>0</v>
      </c>
      <c r="T907" s="88"/>
      <c r="U907" s="84"/>
      <c r="V907" s="84"/>
      <c r="W907" s="84"/>
      <c r="X907" s="84"/>
      <c r="Y907" s="84"/>
      <c r="Z907" s="84"/>
      <c r="AA907" s="84"/>
    </row>
    <row r="908" ht="26.25" hidden="1" customHeight="1">
      <c r="A908" s="85"/>
      <c r="B908" s="106"/>
      <c r="C908" s="103"/>
      <c r="D908" s="93"/>
      <c r="E908" s="93"/>
      <c r="F908" s="103"/>
      <c r="G908" s="113"/>
      <c r="H908" s="113"/>
      <c r="I908" s="100"/>
      <c r="J908" s="113"/>
      <c r="K908" s="82" t="b">
        <v>0</v>
      </c>
      <c r="L908" s="94"/>
      <c r="M908" s="84">
        <f t="shared" si="1"/>
        <v>6590</v>
      </c>
      <c r="N908" s="84"/>
      <c r="O908" s="84"/>
      <c r="P908" s="84"/>
      <c r="Q908" s="84"/>
      <c r="R908" s="86" t="str">
        <f t="shared" si="2"/>
        <v>Prepare for Showcase</v>
      </c>
      <c r="S908" s="82" t="b">
        <v>0</v>
      </c>
      <c r="T908" s="88"/>
      <c r="U908" s="84"/>
      <c r="V908" s="84"/>
      <c r="W908" s="84"/>
      <c r="X908" s="84"/>
      <c r="Y908" s="84"/>
      <c r="Z908" s="84"/>
      <c r="AA908" s="84"/>
    </row>
    <row r="909" ht="26.25" hidden="1" customHeight="1">
      <c r="A909" s="85"/>
      <c r="B909" s="106"/>
      <c r="C909" s="103"/>
      <c r="D909" s="93"/>
      <c r="E909" s="93"/>
      <c r="F909" s="103"/>
      <c r="G909" s="113"/>
      <c r="H909" s="113"/>
      <c r="I909" s="100"/>
      <c r="J909" s="113"/>
      <c r="K909" s="82" t="b">
        <v>0</v>
      </c>
      <c r="L909" s="94"/>
      <c r="M909" s="84">
        <f t="shared" si="1"/>
        <v>6590</v>
      </c>
      <c r="N909" s="84"/>
      <c r="O909" s="84"/>
      <c r="P909" s="84"/>
      <c r="Q909" s="84"/>
      <c r="R909" s="86" t="str">
        <f t="shared" si="2"/>
        <v>Prepare for Showcase</v>
      </c>
      <c r="S909" s="82" t="b">
        <v>0</v>
      </c>
      <c r="T909" s="88"/>
      <c r="U909" s="84"/>
      <c r="V909" s="84"/>
      <c r="W909" s="84"/>
      <c r="X909" s="84"/>
      <c r="Y909" s="84"/>
      <c r="Z909" s="84"/>
      <c r="AA909" s="84"/>
    </row>
    <row r="910" ht="26.25" hidden="1" customHeight="1">
      <c r="A910" s="85"/>
      <c r="B910" s="106"/>
      <c r="C910" s="103"/>
      <c r="D910" s="93"/>
      <c r="E910" s="93"/>
      <c r="F910" s="103"/>
      <c r="G910" s="113"/>
      <c r="H910" s="113"/>
      <c r="I910" s="100"/>
      <c r="J910" s="113"/>
      <c r="K910" s="82" t="b">
        <v>0</v>
      </c>
      <c r="L910" s="94"/>
      <c r="M910" s="84">
        <f t="shared" si="1"/>
        <v>6590</v>
      </c>
      <c r="N910" s="84"/>
      <c r="O910" s="84"/>
      <c r="P910" s="84"/>
      <c r="Q910" s="84"/>
      <c r="R910" s="86" t="str">
        <f t="shared" si="2"/>
        <v>Prepare for Showcase</v>
      </c>
      <c r="S910" s="82" t="b">
        <v>0</v>
      </c>
      <c r="T910" s="88"/>
      <c r="U910" s="84"/>
      <c r="V910" s="84"/>
      <c r="W910" s="84"/>
      <c r="X910" s="84"/>
      <c r="Y910" s="84"/>
      <c r="Z910" s="84"/>
      <c r="AA910" s="84"/>
    </row>
    <row r="911" ht="26.25" hidden="1" customHeight="1">
      <c r="A911" s="85"/>
      <c r="B911" s="106"/>
      <c r="C911" s="103"/>
      <c r="D911" s="93"/>
      <c r="E911" s="93"/>
      <c r="F911" s="103"/>
      <c r="G911" s="113"/>
      <c r="H911" s="113"/>
      <c r="I911" s="100"/>
      <c r="J911" s="113"/>
      <c r="K911" s="82" t="b">
        <v>0</v>
      </c>
      <c r="L911" s="94"/>
      <c r="M911" s="84">
        <f t="shared" si="1"/>
        <v>6590</v>
      </c>
      <c r="N911" s="84"/>
      <c r="O911" s="84"/>
      <c r="P911" s="84"/>
      <c r="Q911" s="84"/>
      <c r="R911" s="86" t="str">
        <f t="shared" si="2"/>
        <v>Prepare for Showcase</v>
      </c>
      <c r="S911" s="82" t="b">
        <v>0</v>
      </c>
      <c r="T911" s="88"/>
      <c r="U911" s="84"/>
      <c r="V911" s="84"/>
      <c r="W911" s="84"/>
      <c r="X911" s="84"/>
      <c r="Y911" s="84"/>
      <c r="Z911" s="84"/>
      <c r="AA911" s="84"/>
    </row>
    <row r="912" ht="26.25" hidden="1" customHeight="1">
      <c r="A912" s="85"/>
      <c r="B912" s="106"/>
      <c r="C912" s="103"/>
      <c r="D912" s="93"/>
      <c r="E912" s="93"/>
      <c r="F912" s="103"/>
      <c r="G912" s="113"/>
      <c r="H912" s="113"/>
      <c r="I912" s="100"/>
      <c r="J912" s="113"/>
      <c r="K912" s="82" t="b">
        <v>0</v>
      </c>
      <c r="L912" s="94"/>
      <c r="M912" s="84">
        <f t="shared" si="1"/>
        <v>6590</v>
      </c>
      <c r="N912" s="84"/>
      <c r="O912" s="84"/>
      <c r="P912" s="84"/>
      <c r="Q912" s="84"/>
      <c r="R912" s="86" t="str">
        <f t="shared" si="2"/>
        <v>Prepare for Showcase</v>
      </c>
      <c r="S912" s="82" t="b">
        <v>0</v>
      </c>
      <c r="T912" s="88"/>
      <c r="U912" s="84"/>
      <c r="V912" s="84"/>
      <c r="W912" s="84"/>
      <c r="X912" s="84"/>
      <c r="Y912" s="84"/>
      <c r="Z912" s="84"/>
      <c r="AA912" s="84"/>
    </row>
    <row r="913" ht="26.25" hidden="1" customHeight="1">
      <c r="A913" s="85"/>
      <c r="B913" s="106"/>
      <c r="C913" s="103"/>
      <c r="D913" s="93"/>
      <c r="E913" s="93"/>
      <c r="F913" s="103"/>
      <c r="G913" s="113"/>
      <c r="H913" s="113"/>
      <c r="I913" s="100"/>
      <c r="J913" s="113"/>
      <c r="K913" s="82" t="b">
        <v>0</v>
      </c>
      <c r="L913" s="94"/>
      <c r="M913" s="84">
        <f t="shared" si="1"/>
        <v>6590</v>
      </c>
      <c r="N913" s="84"/>
      <c r="O913" s="84"/>
      <c r="P913" s="84"/>
      <c r="Q913" s="84"/>
      <c r="R913" s="86" t="str">
        <f t="shared" si="2"/>
        <v>Prepare for Showcase</v>
      </c>
      <c r="S913" s="82" t="b">
        <v>0</v>
      </c>
      <c r="T913" s="88"/>
      <c r="U913" s="84"/>
      <c r="V913" s="84"/>
      <c r="W913" s="84"/>
      <c r="X913" s="84"/>
      <c r="Y913" s="84"/>
      <c r="Z913" s="84"/>
      <c r="AA913" s="84"/>
    </row>
    <row r="914" ht="26.25" hidden="1" customHeight="1">
      <c r="A914" s="85"/>
      <c r="B914" s="106"/>
      <c r="C914" s="103"/>
      <c r="D914" s="93"/>
      <c r="E914" s="93"/>
      <c r="F914" s="103"/>
      <c r="G914" s="113"/>
      <c r="H914" s="113"/>
      <c r="I914" s="100"/>
      <c r="J914" s="113"/>
      <c r="K914" s="82" t="b">
        <v>0</v>
      </c>
      <c r="L914" s="94"/>
      <c r="M914" s="84">
        <f t="shared" si="1"/>
        <v>6590</v>
      </c>
      <c r="N914" s="84"/>
      <c r="O914" s="84"/>
      <c r="P914" s="84"/>
      <c r="Q914" s="84"/>
      <c r="R914" s="86" t="str">
        <f t="shared" si="2"/>
        <v>Prepare for Showcase</v>
      </c>
      <c r="S914" s="82" t="b">
        <v>0</v>
      </c>
      <c r="T914" s="88"/>
      <c r="U914" s="84"/>
      <c r="V914" s="84"/>
      <c r="W914" s="84"/>
      <c r="X914" s="84"/>
      <c r="Y914" s="84"/>
      <c r="Z914" s="84"/>
      <c r="AA914" s="84"/>
    </row>
    <row r="915" ht="26.25" hidden="1" customHeight="1">
      <c r="A915" s="85"/>
      <c r="B915" s="106"/>
      <c r="C915" s="103"/>
      <c r="D915" s="93"/>
      <c r="E915" s="93"/>
      <c r="F915" s="103"/>
      <c r="G915" s="113"/>
      <c r="H915" s="113"/>
      <c r="I915" s="100"/>
      <c r="J915" s="113"/>
      <c r="K915" s="82" t="b">
        <v>0</v>
      </c>
      <c r="L915" s="94"/>
      <c r="M915" s="84">
        <f t="shared" si="1"/>
        <v>6590</v>
      </c>
      <c r="N915" s="84"/>
      <c r="O915" s="84"/>
      <c r="P915" s="84"/>
      <c r="Q915" s="84"/>
      <c r="R915" s="86" t="str">
        <f t="shared" si="2"/>
        <v>Prepare for Showcase</v>
      </c>
      <c r="S915" s="82" t="b">
        <v>0</v>
      </c>
      <c r="T915" s="88"/>
      <c r="U915" s="84"/>
      <c r="V915" s="84"/>
      <c r="W915" s="84"/>
      <c r="X915" s="84"/>
      <c r="Y915" s="84"/>
      <c r="Z915" s="84"/>
      <c r="AA915" s="84"/>
    </row>
    <row r="916" ht="26.25" hidden="1" customHeight="1">
      <c r="A916" s="85"/>
      <c r="B916" s="106"/>
      <c r="C916" s="103"/>
      <c r="D916" s="93"/>
      <c r="E916" s="93"/>
      <c r="F916" s="103"/>
      <c r="G916" s="113"/>
      <c r="H916" s="113"/>
      <c r="I916" s="100"/>
      <c r="J916" s="113"/>
      <c r="K916" s="82" t="b">
        <v>0</v>
      </c>
      <c r="L916" s="94"/>
      <c r="M916" s="84">
        <f t="shared" si="1"/>
        <v>6590</v>
      </c>
      <c r="N916" s="84"/>
      <c r="O916" s="84"/>
      <c r="P916" s="84"/>
      <c r="Q916" s="84"/>
      <c r="R916" s="86" t="str">
        <f t="shared" si="2"/>
        <v>Prepare for Showcase</v>
      </c>
      <c r="S916" s="82" t="b">
        <v>0</v>
      </c>
      <c r="T916" s="88"/>
      <c r="U916" s="84"/>
      <c r="V916" s="84"/>
      <c r="W916" s="84"/>
      <c r="X916" s="84"/>
      <c r="Y916" s="84"/>
      <c r="Z916" s="84"/>
      <c r="AA916" s="84"/>
    </row>
    <row r="917" ht="26.25" hidden="1" customHeight="1">
      <c r="A917" s="85"/>
      <c r="B917" s="106"/>
      <c r="C917" s="103"/>
      <c r="D917" s="93"/>
      <c r="E917" s="93"/>
      <c r="F917" s="103"/>
      <c r="G917" s="113"/>
      <c r="H917" s="113"/>
      <c r="I917" s="100"/>
      <c r="J917" s="113"/>
      <c r="K917" s="82" t="b">
        <v>0</v>
      </c>
      <c r="L917" s="94"/>
      <c r="M917" s="84">
        <f t="shared" si="1"/>
        <v>6590</v>
      </c>
      <c r="N917" s="84"/>
      <c r="O917" s="84"/>
      <c r="P917" s="84"/>
      <c r="Q917" s="84"/>
      <c r="R917" s="86" t="str">
        <f t="shared" si="2"/>
        <v>Prepare for Showcase</v>
      </c>
      <c r="S917" s="82" t="b">
        <v>0</v>
      </c>
      <c r="T917" s="88"/>
      <c r="U917" s="84"/>
      <c r="V917" s="84"/>
      <c r="W917" s="84"/>
      <c r="X917" s="84"/>
      <c r="Y917" s="84"/>
      <c r="Z917" s="84"/>
      <c r="AA917" s="84"/>
    </row>
    <row r="918" ht="26.25" hidden="1" customHeight="1">
      <c r="A918" s="85"/>
      <c r="B918" s="106"/>
      <c r="C918" s="103"/>
      <c r="D918" s="93"/>
      <c r="E918" s="93"/>
      <c r="F918" s="103"/>
      <c r="G918" s="113"/>
      <c r="H918" s="113"/>
      <c r="I918" s="100"/>
      <c r="J918" s="113"/>
      <c r="K918" s="82" t="b">
        <v>0</v>
      </c>
      <c r="L918" s="94"/>
      <c r="M918" s="84">
        <f t="shared" si="1"/>
        <v>6590</v>
      </c>
      <c r="N918" s="84"/>
      <c r="O918" s="84"/>
      <c r="P918" s="84"/>
      <c r="Q918" s="84"/>
      <c r="R918" s="86" t="str">
        <f t="shared" si="2"/>
        <v>Prepare for Showcase</v>
      </c>
      <c r="S918" s="82" t="b">
        <v>0</v>
      </c>
      <c r="T918" s="88"/>
      <c r="U918" s="84"/>
      <c r="V918" s="84"/>
      <c r="W918" s="84"/>
      <c r="X918" s="84"/>
      <c r="Y918" s="84"/>
      <c r="Z918" s="84"/>
      <c r="AA918" s="84"/>
    </row>
    <row r="919" ht="26.25" hidden="1" customHeight="1">
      <c r="A919" s="85"/>
      <c r="B919" s="106"/>
      <c r="C919" s="103"/>
      <c r="D919" s="93"/>
      <c r="E919" s="93"/>
      <c r="F919" s="103"/>
      <c r="G919" s="113"/>
      <c r="H919" s="113"/>
      <c r="I919" s="100"/>
      <c r="J919" s="113"/>
      <c r="K919" s="82" t="b">
        <v>0</v>
      </c>
      <c r="L919" s="94"/>
      <c r="M919" s="84">
        <f t="shared" si="1"/>
        <v>6590</v>
      </c>
      <c r="N919" s="84"/>
      <c r="O919" s="84"/>
      <c r="P919" s="84"/>
      <c r="Q919" s="84"/>
      <c r="R919" s="86" t="str">
        <f t="shared" si="2"/>
        <v>Prepare for Showcase</v>
      </c>
      <c r="S919" s="82" t="b">
        <v>0</v>
      </c>
      <c r="T919" s="88"/>
      <c r="U919" s="84"/>
      <c r="V919" s="84"/>
      <c r="W919" s="84"/>
      <c r="X919" s="84"/>
      <c r="Y919" s="84"/>
      <c r="Z919" s="84"/>
      <c r="AA919" s="84"/>
    </row>
    <row r="920" ht="26.25" hidden="1" customHeight="1">
      <c r="A920" s="85"/>
      <c r="B920" s="106"/>
      <c r="C920" s="103"/>
      <c r="D920" s="93"/>
      <c r="E920" s="93"/>
      <c r="F920" s="103"/>
      <c r="G920" s="113"/>
      <c r="H920" s="113"/>
      <c r="I920" s="100"/>
      <c r="J920" s="113"/>
      <c r="K920" s="82" t="b">
        <v>0</v>
      </c>
      <c r="L920" s="94"/>
      <c r="M920" s="84">
        <f t="shared" si="1"/>
        <v>6590</v>
      </c>
      <c r="N920" s="84"/>
      <c r="O920" s="84"/>
      <c r="P920" s="84"/>
      <c r="Q920" s="84"/>
      <c r="R920" s="86" t="str">
        <f t="shared" si="2"/>
        <v>Prepare for Showcase</v>
      </c>
      <c r="S920" s="82" t="b">
        <v>0</v>
      </c>
      <c r="T920" s="88"/>
      <c r="U920" s="84"/>
      <c r="V920" s="84"/>
      <c r="W920" s="84"/>
      <c r="X920" s="84"/>
      <c r="Y920" s="84"/>
      <c r="Z920" s="84"/>
      <c r="AA920" s="84"/>
    </row>
    <row r="921" ht="26.25" hidden="1" customHeight="1">
      <c r="A921" s="85"/>
      <c r="B921" s="106"/>
      <c r="C921" s="103"/>
      <c r="D921" s="93"/>
      <c r="E921" s="93"/>
      <c r="F921" s="103"/>
      <c r="G921" s="113"/>
      <c r="H921" s="113"/>
      <c r="I921" s="100"/>
      <c r="J921" s="113"/>
      <c r="K921" s="82" t="b">
        <v>0</v>
      </c>
      <c r="L921" s="94"/>
      <c r="M921" s="84">
        <f t="shared" si="1"/>
        <v>6590</v>
      </c>
      <c r="N921" s="84"/>
      <c r="O921" s="84"/>
      <c r="P921" s="84"/>
      <c r="Q921" s="84"/>
      <c r="R921" s="86" t="str">
        <f t="shared" si="2"/>
        <v>Prepare for Showcase</v>
      </c>
      <c r="S921" s="82" t="b">
        <v>0</v>
      </c>
      <c r="T921" s="88"/>
      <c r="U921" s="84"/>
      <c r="V921" s="84"/>
      <c r="W921" s="84"/>
      <c r="X921" s="84"/>
      <c r="Y921" s="84"/>
      <c r="Z921" s="84"/>
      <c r="AA921" s="84"/>
    </row>
    <row r="922" ht="26.25" hidden="1" customHeight="1">
      <c r="A922" s="85"/>
      <c r="B922" s="106"/>
      <c r="C922" s="103"/>
      <c r="D922" s="93"/>
      <c r="E922" s="93"/>
      <c r="F922" s="103"/>
      <c r="G922" s="113"/>
      <c r="H922" s="113"/>
      <c r="I922" s="100"/>
      <c r="J922" s="113"/>
      <c r="K922" s="82" t="b">
        <v>0</v>
      </c>
      <c r="L922" s="94"/>
      <c r="M922" s="84">
        <f t="shared" si="1"/>
        <v>6590</v>
      </c>
      <c r="N922" s="84"/>
      <c r="O922" s="84"/>
      <c r="P922" s="84"/>
      <c r="Q922" s="84"/>
      <c r="R922" s="86" t="str">
        <f t="shared" si="2"/>
        <v>Prepare for Showcase</v>
      </c>
      <c r="S922" s="82" t="b">
        <v>0</v>
      </c>
      <c r="T922" s="88"/>
      <c r="U922" s="84"/>
      <c r="V922" s="84"/>
      <c r="W922" s="84"/>
      <c r="X922" s="84"/>
      <c r="Y922" s="84"/>
      <c r="Z922" s="84"/>
      <c r="AA922" s="84"/>
    </row>
    <row r="923" ht="26.25" hidden="1" customHeight="1">
      <c r="A923" s="85"/>
      <c r="B923" s="106"/>
      <c r="C923" s="103"/>
      <c r="D923" s="93"/>
      <c r="E923" s="93"/>
      <c r="F923" s="103"/>
      <c r="G923" s="113"/>
      <c r="H923" s="113"/>
      <c r="I923" s="100"/>
      <c r="J923" s="113"/>
      <c r="K923" s="82" t="b">
        <v>0</v>
      </c>
      <c r="L923" s="94"/>
      <c r="M923" s="84">
        <f t="shared" si="1"/>
        <v>6590</v>
      </c>
      <c r="N923" s="84"/>
      <c r="O923" s="84"/>
      <c r="P923" s="84"/>
      <c r="Q923" s="84"/>
      <c r="R923" s="86" t="str">
        <f t="shared" si="2"/>
        <v>Prepare for Showcase</v>
      </c>
      <c r="S923" s="82" t="b">
        <v>0</v>
      </c>
      <c r="T923" s="88"/>
      <c r="U923" s="84"/>
      <c r="V923" s="84"/>
      <c r="W923" s="84"/>
      <c r="X923" s="84"/>
      <c r="Y923" s="84"/>
      <c r="Z923" s="84"/>
      <c r="AA923" s="84"/>
    </row>
    <row r="924" ht="26.25" hidden="1" customHeight="1">
      <c r="A924" s="85"/>
      <c r="B924" s="106"/>
      <c r="C924" s="103"/>
      <c r="D924" s="93"/>
      <c r="E924" s="93"/>
      <c r="F924" s="103"/>
      <c r="G924" s="113"/>
      <c r="H924" s="113"/>
      <c r="I924" s="100"/>
      <c r="J924" s="113"/>
      <c r="K924" s="82" t="b">
        <v>0</v>
      </c>
      <c r="L924" s="94"/>
      <c r="M924" s="84">
        <f t="shared" si="1"/>
        <v>6590</v>
      </c>
      <c r="N924" s="84"/>
      <c r="O924" s="84"/>
      <c r="P924" s="84"/>
      <c r="Q924" s="84"/>
      <c r="R924" s="86" t="str">
        <f t="shared" si="2"/>
        <v>Prepare for Showcase</v>
      </c>
      <c r="S924" s="82" t="b">
        <v>0</v>
      </c>
      <c r="T924" s="88"/>
      <c r="U924" s="84"/>
      <c r="V924" s="84"/>
      <c r="W924" s="84"/>
      <c r="X924" s="84"/>
      <c r="Y924" s="84"/>
      <c r="Z924" s="84"/>
      <c r="AA924" s="84"/>
    </row>
    <row r="925" ht="26.25" hidden="1" customHeight="1">
      <c r="A925" s="85"/>
      <c r="B925" s="106"/>
      <c r="C925" s="103"/>
      <c r="D925" s="93"/>
      <c r="E925" s="93"/>
      <c r="F925" s="103"/>
      <c r="G925" s="113"/>
      <c r="H925" s="113"/>
      <c r="I925" s="100"/>
      <c r="J925" s="113"/>
      <c r="K925" s="82" t="b">
        <v>0</v>
      </c>
      <c r="L925" s="94"/>
      <c r="M925" s="84">
        <f t="shared" si="1"/>
        <v>6590</v>
      </c>
      <c r="N925" s="84"/>
      <c r="O925" s="84"/>
      <c r="P925" s="84"/>
      <c r="Q925" s="84"/>
      <c r="R925" s="86" t="str">
        <f t="shared" si="2"/>
        <v>Prepare for Showcase</v>
      </c>
      <c r="S925" s="82" t="b">
        <v>0</v>
      </c>
      <c r="T925" s="88"/>
      <c r="U925" s="84"/>
      <c r="V925" s="84"/>
      <c r="W925" s="84"/>
      <c r="X925" s="84"/>
      <c r="Y925" s="84"/>
      <c r="Z925" s="84"/>
      <c r="AA925" s="84"/>
    </row>
    <row r="926" ht="26.25" hidden="1" customHeight="1">
      <c r="A926" s="85"/>
      <c r="B926" s="106"/>
      <c r="C926" s="103"/>
      <c r="D926" s="93"/>
      <c r="E926" s="93"/>
      <c r="F926" s="103"/>
      <c r="G926" s="113"/>
      <c r="H926" s="113"/>
      <c r="I926" s="100"/>
      <c r="J926" s="113"/>
      <c r="K926" s="82" t="b">
        <v>0</v>
      </c>
      <c r="L926" s="94"/>
      <c r="M926" s="84">
        <f t="shared" si="1"/>
        <v>6590</v>
      </c>
      <c r="N926" s="84"/>
      <c r="O926" s="84"/>
      <c r="P926" s="84"/>
      <c r="Q926" s="84"/>
      <c r="R926" s="86" t="str">
        <f t="shared" si="2"/>
        <v>Prepare for Showcase</v>
      </c>
      <c r="S926" s="82" t="b">
        <v>0</v>
      </c>
      <c r="T926" s="88"/>
      <c r="U926" s="84"/>
      <c r="V926" s="84"/>
      <c r="W926" s="84"/>
      <c r="X926" s="84"/>
      <c r="Y926" s="84"/>
      <c r="Z926" s="84"/>
      <c r="AA926" s="84"/>
    </row>
    <row r="927" ht="26.25" hidden="1" customHeight="1">
      <c r="A927" s="85"/>
      <c r="B927" s="106"/>
      <c r="C927" s="103"/>
      <c r="D927" s="93"/>
      <c r="E927" s="93"/>
      <c r="F927" s="103"/>
      <c r="G927" s="113"/>
      <c r="H927" s="113"/>
      <c r="I927" s="100"/>
      <c r="J927" s="113"/>
      <c r="K927" s="82" t="b">
        <v>0</v>
      </c>
      <c r="L927" s="94"/>
      <c r="M927" s="84">
        <f t="shared" si="1"/>
        <v>6590</v>
      </c>
      <c r="N927" s="84"/>
      <c r="O927" s="84"/>
      <c r="P927" s="84"/>
      <c r="Q927" s="84"/>
      <c r="R927" s="86" t="str">
        <f t="shared" si="2"/>
        <v>Prepare for Showcase</v>
      </c>
      <c r="S927" s="82" t="b">
        <v>0</v>
      </c>
      <c r="T927" s="88"/>
      <c r="U927" s="84"/>
      <c r="V927" s="84"/>
      <c r="W927" s="84"/>
      <c r="X927" s="84"/>
      <c r="Y927" s="84"/>
      <c r="Z927" s="84"/>
      <c r="AA927" s="84"/>
    </row>
    <row r="928" ht="26.25" hidden="1" customHeight="1">
      <c r="A928" s="85"/>
      <c r="B928" s="106"/>
      <c r="C928" s="103"/>
      <c r="D928" s="93"/>
      <c r="E928" s="93"/>
      <c r="F928" s="103"/>
      <c r="G928" s="113"/>
      <c r="H928" s="113"/>
      <c r="I928" s="100"/>
      <c r="J928" s="113"/>
      <c r="K928" s="82" t="b">
        <v>0</v>
      </c>
      <c r="L928" s="94"/>
      <c r="M928" s="84">
        <f t="shared" si="1"/>
        <v>6590</v>
      </c>
      <c r="N928" s="84"/>
      <c r="O928" s="84"/>
      <c r="P928" s="84"/>
      <c r="Q928" s="84"/>
      <c r="R928" s="86" t="str">
        <f t="shared" si="2"/>
        <v>Prepare for Showcase</v>
      </c>
      <c r="S928" s="82" t="b">
        <v>0</v>
      </c>
      <c r="T928" s="88"/>
      <c r="U928" s="84"/>
      <c r="V928" s="84"/>
      <c r="W928" s="84"/>
      <c r="X928" s="84"/>
      <c r="Y928" s="84"/>
      <c r="Z928" s="84"/>
      <c r="AA928" s="84"/>
    </row>
    <row r="929" ht="26.25" hidden="1" customHeight="1">
      <c r="A929" s="85"/>
      <c r="B929" s="106"/>
      <c r="C929" s="103"/>
      <c r="D929" s="93"/>
      <c r="E929" s="93"/>
      <c r="F929" s="103"/>
      <c r="G929" s="113"/>
      <c r="H929" s="113"/>
      <c r="I929" s="100"/>
      <c r="J929" s="113"/>
      <c r="K929" s="82" t="b">
        <v>0</v>
      </c>
      <c r="L929" s="94"/>
      <c r="M929" s="84">
        <f t="shared" si="1"/>
        <v>6590</v>
      </c>
      <c r="N929" s="84"/>
      <c r="O929" s="84"/>
      <c r="P929" s="84"/>
      <c r="Q929" s="84"/>
      <c r="R929" s="86" t="str">
        <f t="shared" si="2"/>
        <v>Prepare for Showcase</v>
      </c>
      <c r="S929" s="82" t="b">
        <v>0</v>
      </c>
      <c r="T929" s="88"/>
      <c r="U929" s="84"/>
      <c r="V929" s="84"/>
      <c r="W929" s="84"/>
      <c r="X929" s="84"/>
      <c r="Y929" s="84"/>
      <c r="Z929" s="84"/>
      <c r="AA929" s="84"/>
    </row>
    <row r="930" ht="26.25" hidden="1" customHeight="1">
      <c r="A930" s="85"/>
      <c r="B930" s="106"/>
      <c r="C930" s="103"/>
      <c r="D930" s="93"/>
      <c r="E930" s="93"/>
      <c r="F930" s="103"/>
      <c r="G930" s="113"/>
      <c r="H930" s="113"/>
      <c r="I930" s="100"/>
      <c r="J930" s="113"/>
      <c r="K930" s="82" t="b">
        <v>0</v>
      </c>
      <c r="L930" s="94"/>
      <c r="M930" s="84">
        <f t="shared" si="1"/>
        <v>6590</v>
      </c>
      <c r="N930" s="84"/>
      <c r="O930" s="84"/>
      <c r="P930" s="84"/>
      <c r="Q930" s="84"/>
      <c r="R930" s="86" t="str">
        <f t="shared" si="2"/>
        <v>Prepare for Showcase</v>
      </c>
      <c r="S930" s="82" t="b">
        <v>0</v>
      </c>
      <c r="T930" s="88"/>
      <c r="U930" s="84"/>
      <c r="V930" s="84"/>
      <c r="W930" s="84"/>
      <c r="X930" s="84"/>
      <c r="Y930" s="84"/>
      <c r="Z930" s="84"/>
      <c r="AA930" s="84"/>
    </row>
    <row r="931" ht="26.25" hidden="1" customHeight="1">
      <c r="A931" s="85"/>
      <c r="B931" s="106"/>
      <c r="C931" s="103"/>
      <c r="D931" s="93"/>
      <c r="E931" s="93"/>
      <c r="F931" s="103"/>
      <c r="G931" s="113"/>
      <c r="H931" s="113"/>
      <c r="I931" s="100"/>
      <c r="J931" s="113"/>
      <c r="K931" s="82" t="b">
        <v>0</v>
      </c>
      <c r="L931" s="94"/>
      <c r="M931" s="84">
        <f t="shared" si="1"/>
        <v>6590</v>
      </c>
      <c r="N931" s="84"/>
      <c r="O931" s="84"/>
      <c r="P931" s="84"/>
      <c r="Q931" s="84"/>
      <c r="R931" s="86" t="str">
        <f t="shared" si="2"/>
        <v>Prepare for Showcase</v>
      </c>
      <c r="S931" s="82" t="b">
        <v>0</v>
      </c>
      <c r="T931" s="88"/>
      <c r="U931" s="84"/>
      <c r="V931" s="84"/>
      <c r="W931" s="84"/>
      <c r="X931" s="84"/>
      <c r="Y931" s="84"/>
      <c r="Z931" s="84"/>
      <c r="AA931" s="84"/>
    </row>
    <row r="932" ht="26.25" hidden="1" customHeight="1">
      <c r="A932" s="85"/>
      <c r="B932" s="106"/>
      <c r="C932" s="103"/>
      <c r="D932" s="93"/>
      <c r="E932" s="93"/>
      <c r="F932" s="103"/>
      <c r="G932" s="113"/>
      <c r="H932" s="113"/>
      <c r="I932" s="100"/>
      <c r="J932" s="113"/>
      <c r="K932" s="82" t="b">
        <v>0</v>
      </c>
      <c r="L932" s="94"/>
      <c r="M932" s="84">
        <f t="shared" si="1"/>
        <v>6590</v>
      </c>
      <c r="N932" s="84"/>
      <c r="O932" s="84"/>
      <c r="P932" s="84"/>
      <c r="Q932" s="84"/>
      <c r="R932" s="86" t="str">
        <f t="shared" si="2"/>
        <v>Prepare for Showcase</v>
      </c>
      <c r="S932" s="82" t="b">
        <v>0</v>
      </c>
      <c r="T932" s="88"/>
      <c r="U932" s="84"/>
      <c r="V932" s="84"/>
      <c r="W932" s="84"/>
      <c r="X932" s="84"/>
      <c r="Y932" s="84"/>
      <c r="Z932" s="84"/>
      <c r="AA932" s="84"/>
    </row>
    <row r="933" ht="26.25" hidden="1" customHeight="1">
      <c r="A933" s="85"/>
      <c r="B933" s="106"/>
      <c r="C933" s="103"/>
      <c r="D933" s="93"/>
      <c r="E933" s="93"/>
      <c r="F933" s="103"/>
      <c r="G933" s="113"/>
      <c r="H933" s="113"/>
      <c r="I933" s="100"/>
      <c r="J933" s="113"/>
      <c r="K933" s="82" t="b">
        <v>0</v>
      </c>
      <c r="L933" s="94"/>
      <c r="M933" s="84">
        <f t="shared" si="1"/>
        <v>6590</v>
      </c>
      <c r="N933" s="84"/>
      <c r="O933" s="84"/>
      <c r="P933" s="84"/>
      <c r="Q933" s="84"/>
      <c r="R933" s="86" t="str">
        <f t="shared" si="2"/>
        <v>Prepare for Showcase</v>
      </c>
      <c r="S933" s="82" t="b">
        <v>0</v>
      </c>
      <c r="T933" s="88"/>
      <c r="U933" s="84"/>
      <c r="V933" s="84"/>
      <c r="W933" s="84"/>
      <c r="X933" s="84"/>
      <c r="Y933" s="84"/>
      <c r="Z933" s="84"/>
      <c r="AA933" s="84"/>
    </row>
    <row r="934" ht="26.25" hidden="1" customHeight="1">
      <c r="A934" s="85"/>
      <c r="B934" s="106"/>
      <c r="C934" s="103"/>
      <c r="D934" s="93"/>
      <c r="E934" s="93"/>
      <c r="F934" s="103"/>
      <c r="G934" s="113"/>
      <c r="H934" s="113"/>
      <c r="I934" s="100"/>
      <c r="J934" s="113"/>
      <c r="K934" s="82" t="b">
        <v>0</v>
      </c>
      <c r="L934" s="94"/>
      <c r="M934" s="84">
        <f t="shared" si="1"/>
        <v>6590</v>
      </c>
      <c r="N934" s="84"/>
      <c r="O934" s="84"/>
      <c r="P934" s="84"/>
      <c r="Q934" s="84"/>
      <c r="R934" s="86" t="str">
        <f t="shared" si="2"/>
        <v>Prepare for Showcase</v>
      </c>
      <c r="S934" s="82" t="b">
        <v>0</v>
      </c>
      <c r="T934" s="88"/>
      <c r="U934" s="84"/>
      <c r="V934" s="84"/>
      <c r="W934" s="84"/>
      <c r="X934" s="84"/>
      <c r="Y934" s="84"/>
      <c r="Z934" s="84"/>
      <c r="AA934" s="84"/>
    </row>
    <row r="935" ht="26.25" hidden="1" customHeight="1">
      <c r="A935" s="85"/>
      <c r="B935" s="106"/>
      <c r="C935" s="103"/>
      <c r="D935" s="93"/>
      <c r="E935" s="93"/>
      <c r="F935" s="103"/>
      <c r="G935" s="113"/>
      <c r="H935" s="113"/>
      <c r="I935" s="100"/>
      <c r="J935" s="113"/>
      <c r="K935" s="82" t="b">
        <v>0</v>
      </c>
      <c r="L935" s="94"/>
      <c r="M935" s="84">
        <f t="shared" si="1"/>
        <v>6590</v>
      </c>
      <c r="N935" s="84"/>
      <c r="O935" s="84"/>
      <c r="P935" s="84"/>
      <c r="Q935" s="84"/>
      <c r="R935" s="86" t="str">
        <f t="shared" si="2"/>
        <v>Prepare for Showcase</v>
      </c>
      <c r="S935" s="82" t="b">
        <v>0</v>
      </c>
      <c r="T935" s="88"/>
      <c r="U935" s="84"/>
      <c r="V935" s="84"/>
      <c r="W935" s="84"/>
      <c r="X935" s="84"/>
      <c r="Y935" s="84"/>
      <c r="Z935" s="84"/>
      <c r="AA935" s="84"/>
    </row>
    <row r="936" ht="26.25" hidden="1" customHeight="1">
      <c r="A936" s="85"/>
      <c r="B936" s="106"/>
      <c r="C936" s="103"/>
      <c r="D936" s="93"/>
      <c r="E936" s="93"/>
      <c r="F936" s="103"/>
      <c r="G936" s="113"/>
      <c r="H936" s="113"/>
      <c r="I936" s="100"/>
      <c r="J936" s="113"/>
      <c r="K936" s="82" t="b">
        <v>0</v>
      </c>
      <c r="L936" s="94"/>
      <c r="M936" s="84">
        <f t="shared" si="1"/>
        <v>6590</v>
      </c>
      <c r="N936" s="84"/>
      <c r="O936" s="84"/>
      <c r="P936" s="84"/>
      <c r="Q936" s="84"/>
      <c r="R936" s="86" t="str">
        <f t="shared" si="2"/>
        <v>Prepare for Showcase</v>
      </c>
      <c r="S936" s="82" t="b">
        <v>0</v>
      </c>
      <c r="T936" s="88"/>
      <c r="U936" s="84"/>
      <c r="V936" s="84"/>
      <c r="W936" s="84"/>
      <c r="X936" s="84"/>
      <c r="Y936" s="84"/>
      <c r="Z936" s="84"/>
      <c r="AA936" s="84"/>
    </row>
    <row r="937" ht="26.25" hidden="1" customHeight="1">
      <c r="A937" s="85"/>
      <c r="B937" s="106"/>
      <c r="C937" s="103"/>
      <c r="D937" s="93"/>
      <c r="E937" s="93"/>
      <c r="F937" s="103"/>
      <c r="G937" s="113"/>
      <c r="H937" s="113"/>
      <c r="I937" s="100"/>
      <c r="J937" s="113"/>
      <c r="K937" s="82" t="b">
        <v>0</v>
      </c>
      <c r="L937" s="94"/>
      <c r="M937" s="84">
        <f t="shared" si="1"/>
        <v>6590</v>
      </c>
      <c r="N937" s="84"/>
      <c r="O937" s="84"/>
      <c r="P937" s="84"/>
      <c r="Q937" s="84"/>
      <c r="R937" s="86" t="str">
        <f t="shared" si="2"/>
        <v>Prepare for Showcase</v>
      </c>
      <c r="S937" s="82" t="b">
        <v>0</v>
      </c>
      <c r="T937" s="88"/>
      <c r="U937" s="84"/>
      <c r="V937" s="84"/>
      <c r="W937" s="84"/>
      <c r="X937" s="84"/>
      <c r="Y937" s="84"/>
      <c r="Z937" s="84"/>
      <c r="AA937" s="84"/>
    </row>
    <row r="938" ht="26.25" hidden="1" customHeight="1">
      <c r="A938" s="85"/>
      <c r="B938" s="106"/>
      <c r="C938" s="103"/>
      <c r="D938" s="93"/>
      <c r="E938" s="93"/>
      <c r="F938" s="103"/>
      <c r="G938" s="113"/>
      <c r="H938" s="113"/>
      <c r="I938" s="100"/>
      <c r="J938" s="113"/>
      <c r="K938" s="82" t="b">
        <v>0</v>
      </c>
      <c r="L938" s="94"/>
      <c r="M938" s="84">
        <f t="shared" si="1"/>
        <v>6590</v>
      </c>
      <c r="N938" s="84"/>
      <c r="O938" s="84"/>
      <c r="P938" s="84"/>
      <c r="Q938" s="84"/>
      <c r="R938" s="86" t="str">
        <f t="shared" si="2"/>
        <v>Prepare for Showcase</v>
      </c>
      <c r="S938" s="82" t="b">
        <v>0</v>
      </c>
      <c r="T938" s="88"/>
      <c r="U938" s="84"/>
      <c r="V938" s="84"/>
      <c r="W938" s="84"/>
      <c r="X938" s="84"/>
      <c r="Y938" s="84"/>
      <c r="Z938" s="84"/>
      <c r="AA938" s="84"/>
    </row>
    <row r="939" ht="26.25" hidden="1" customHeight="1">
      <c r="A939" s="85"/>
      <c r="B939" s="106"/>
      <c r="C939" s="103"/>
      <c r="D939" s="93"/>
      <c r="E939" s="93"/>
      <c r="F939" s="103"/>
      <c r="G939" s="113"/>
      <c r="H939" s="113"/>
      <c r="I939" s="100"/>
      <c r="J939" s="113"/>
      <c r="K939" s="82" t="b">
        <v>0</v>
      </c>
      <c r="L939" s="94"/>
      <c r="M939" s="84">
        <f t="shared" si="1"/>
        <v>6590</v>
      </c>
      <c r="N939" s="84"/>
      <c r="O939" s="84"/>
      <c r="P939" s="84"/>
      <c r="Q939" s="84"/>
      <c r="R939" s="86" t="str">
        <f t="shared" si="2"/>
        <v>Prepare for Showcase</v>
      </c>
      <c r="S939" s="82" t="b">
        <v>0</v>
      </c>
      <c r="T939" s="88"/>
      <c r="U939" s="84"/>
      <c r="V939" s="84"/>
      <c r="W939" s="84"/>
      <c r="X939" s="84"/>
      <c r="Y939" s="84"/>
      <c r="Z939" s="84"/>
      <c r="AA939" s="84"/>
    </row>
    <row r="940" ht="26.25" hidden="1" customHeight="1">
      <c r="A940" s="85"/>
      <c r="B940" s="106"/>
      <c r="C940" s="103"/>
      <c r="D940" s="93"/>
      <c r="E940" s="93"/>
      <c r="F940" s="103"/>
      <c r="G940" s="113"/>
      <c r="H940" s="113"/>
      <c r="I940" s="100"/>
      <c r="J940" s="113"/>
      <c r="K940" s="82" t="b">
        <v>0</v>
      </c>
      <c r="L940" s="94"/>
      <c r="M940" s="84">
        <f t="shared" si="1"/>
        <v>6590</v>
      </c>
      <c r="N940" s="84"/>
      <c r="O940" s="84"/>
      <c r="P940" s="84"/>
      <c r="Q940" s="84"/>
      <c r="R940" s="86" t="str">
        <f t="shared" si="2"/>
        <v>Prepare for Showcase</v>
      </c>
      <c r="S940" s="82" t="b">
        <v>0</v>
      </c>
      <c r="T940" s="88"/>
      <c r="U940" s="84"/>
      <c r="V940" s="84"/>
      <c r="W940" s="84"/>
      <c r="X940" s="84"/>
      <c r="Y940" s="84"/>
      <c r="Z940" s="84"/>
      <c r="AA940" s="84"/>
    </row>
    <row r="941" ht="26.25" hidden="1" customHeight="1">
      <c r="A941" s="85"/>
      <c r="B941" s="106"/>
      <c r="C941" s="103"/>
      <c r="D941" s="93"/>
      <c r="E941" s="93"/>
      <c r="F941" s="103"/>
      <c r="G941" s="113"/>
      <c r="H941" s="113"/>
      <c r="I941" s="100"/>
      <c r="J941" s="113"/>
      <c r="K941" s="82" t="b">
        <v>0</v>
      </c>
      <c r="L941" s="94"/>
      <c r="M941" s="84">
        <f t="shared" si="1"/>
        <v>6590</v>
      </c>
      <c r="N941" s="84"/>
      <c r="O941" s="84"/>
      <c r="P941" s="84"/>
      <c r="Q941" s="84"/>
      <c r="R941" s="86" t="str">
        <f t="shared" si="2"/>
        <v>Prepare for Showcase</v>
      </c>
      <c r="S941" s="82" t="b">
        <v>0</v>
      </c>
      <c r="T941" s="88"/>
      <c r="U941" s="84"/>
      <c r="V941" s="84"/>
      <c r="W941" s="84"/>
      <c r="X941" s="84"/>
      <c r="Y941" s="84"/>
      <c r="Z941" s="84"/>
      <c r="AA941" s="84"/>
    </row>
    <row r="942" ht="26.25" hidden="1" customHeight="1">
      <c r="A942" s="85"/>
      <c r="B942" s="106"/>
      <c r="C942" s="103"/>
      <c r="D942" s="93"/>
      <c r="E942" s="93"/>
      <c r="F942" s="103"/>
      <c r="G942" s="113"/>
      <c r="H942" s="113"/>
      <c r="I942" s="100"/>
      <c r="J942" s="113"/>
      <c r="K942" s="82" t="b">
        <v>0</v>
      </c>
      <c r="L942" s="94"/>
      <c r="M942" s="84">
        <f t="shared" si="1"/>
        <v>6590</v>
      </c>
      <c r="N942" s="84"/>
      <c r="O942" s="84"/>
      <c r="P942" s="84"/>
      <c r="Q942" s="84"/>
      <c r="R942" s="86" t="str">
        <f t="shared" si="2"/>
        <v>Prepare for Showcase</v>
      </c>
      <c r="S942" s="82" t="b">
        <v>0</v>
      </c>
      <c r="T942" s="88"/>
      <c r="U942" s="84"/>
      <c r="V942" s="84"/>
      <c r="W942" s="84"/>
      <c r="X942" s="84"/>
      <c r="Y942" s="84"/>
      <c r="Z942" s="84"/>
      <c r="AA942" s="84"/>
    </row>
    <row r="943" ht="26.25" hidden="1" customHeight="1">
      <c r="A943" s="85"/>
      <c r="B943" s="106"/>
      <c r="C943" s="103"/>
      <c r="D943" s="93"/>
      <c r="E943" s="93"/>
      <c r="F943" s="103"/>
      <c r="G943" s="113"/>
      <c r="H943" s="113"/>
      <c r="I943" s="100"/>
      <c r="J943" s="113"/>
      <c r="K943" s="82" t="b">
        <v>0</v>
      </c>
      <c r="L943" s="94"/>
      <c r="M943" s="84">
        <f t="shared" si="1"/>
        <v>6590</v>
      </c>
      <c r="N943" s="84"/>
      <c r="O943" s="84"/>
      <c r="P943" s="84"/>
      <c r="Q943" s="84"/>
      <c r="R943" s="86" t="str">
        <f t="shared" si="2"/>
        <v>Prepare for Showcase</v>
      </c>
      <c r="S943" s="82" t="b">
        <v>0</v>
      </c>
      <c r="T943" s="88"/>
      <c r="U943" s="84"/>
      <c r="V943" s="84"/>
      <c r="W943" s="84"/>
      <c r="X943" s="84"/>
      <c r="Y943" s="84"/>
      <c r="Z943" s="84"/>
      <c r="AA943" s="84"/>
    </row>
    <row r="944" ht="26.25" hidden="1" customHeight="1">
      <c r="A944" s="85"/>
      <c r="B944" s="106"/>
      <c r="C944" s="103"/>
      <c r="D944" s="93"/>
      <c r="E944" s="93"/>
      <c r="F944" s="103"/>
      <c r="G944" s="113"/>
      <c r="H944" s="113"/>
      <c r="I944" s="100"/>
      <c r="J944" s="113"/>
      <c r="K944" s="82" t="b">
        <v>0</v>
      </c>
      <c r="L944" s="94"/>
      <c r="M944" s="84">
        <f t="shared" si="1"/>
        <v>6590</v>
      </c>
      <c r="N944" s="84"/>
      <c r="O944" s="84"/>
      <c r="P944" s="84"/>
      <c r="Q944" s="84"/>
      <c r="R944" s="86" t="str">
        <f t="shared" si="2"/>
        <v>Prepare for Showcase</v>
      </c>
      <c r="S944" s="82" t="b">
        <v>0</v>
      </c>
      <c r="T944" s="88"/>
      <c r="U944" s="84"/>
      <c r="V944" s="84"/>
      <c r="W944" s="84"/>
      <c r="X944" s="84"/>
      <c r="Y944" s="84"/>
      <c r="Z944" s="84"/>
      <c r="AA944" s="84"/>
    </row>
    <row r="945" ht="26.25" hidden="1" customHeight="1">
      <c r="A945" s="85"/>
      <c r="B945" s="106"/>
      <c r="C945" s="103"/>
      <c r="D945" s="93"/>
      <c r="E945" s="93"/>
      <c r="F945" s="103"/>
      <c r="G945" s="113"/>
      <c r="H945" s="113"/>
      <c r="I945" s="100"/>
      <c r="J945" s="113"/>
      <c r="K945" s="82" t="b">
        <v>0</v>
      </c>
      <c r="L945" s="94"/>
      <c r="M945" s="84">
        <f t="shared" si="1"/>
        <v>6590</v>
      </c>
      <c r="N945" s="84"/>
      <c r="O945" s="84"/>
      <c r="P945" s="84"/>
      <c r="Q945" s="84"/>
      <c r="R945" s="86" t="str">
        <f t="shared" si="2"/>
        <v>Prepare for Showcase</v>
      </c>
      <c r="S945" s="82" t="b">
        <v>0</v>
      </c>
      <c r="T945" s="88"/>
      <c r="U945" s="84"/>
      <c r="V945" s="84"/>
      <c r="W945" s="84"/>
      <c r="X945" s="84"/>
      <c r="Y945" s="84"/>
      <c r="Z945" s="84"/>
      <c r="AA945" s="84"/>
    </row>
    <row r="946" ht="26.25" hidden="1" customHeight="1">
      <c r="A946" s="85"/>
      <c r="B946" s="106"/>
      <c r="C946" s="103"/>
      <c r="D946" s="93"/>
      <c r="E946" s="93"/>
      <c r="F946" s="103"/>
      <c r="G946" s="113"/>
      <c r="H946" s="113"/>
      <c r="I946" s="100"/>
      <c r="J946" s="113"/>
      <c r="K946" s="82" t="b">
        <v>0</v>
      </c>
      <c r="L946" s="94"/>
      <c r="M946" s="84">
        <f t="shared" si="1"/>
        <v>6590</v>
      </c>
      <c r="N946" s="84"/>
      <c r="O946" s="84"/>
      <c r="P946" s="84"/>
      <c r="Q946" s="84"/>
      <c r="R946" s="86" t="str">
        <f t="shared" si="2"/>
        <v>Prepare for Showcase</v>
      </c>
      <c r="S946" s="82" t="b">
        <v>0</v>
      </c>
      <c r="T946" s="88"/>
      <c r="U946" s="84"/>
      <c r="V946" s="84"/>
      <c r="W946" s="84"/>
      <c r="X946" s="84"/>
      <c r="Y946" s="84"/>
      <c r="Z946" s="84"/>
      <c r="AA946" s="84"/>
    </row>
    <row r="947" ht="26.25" hidden="1" customHeight="1">
      <c r="A947" s="85"/>
      <c r="B947" s="106"/>
      <c r="C947" s="103"/>
      <c r="D947" s="93"/>
      <c r="E947" s="93"/>
      <c r="F947" s="103"/>
      <c r="G947" s="113"/>
      <c r="H947" s="113"/>
      <c r="I947" s="100"/>
      <c r="J947" s="113"/>
      <c r="K947" s="82" t="b">
        <v>0</v>
      </c>
      <c r="L947" s="94"/>
      <c r="M947" s="84">
        <f t="shared" si="1"/>
        <v>6590</v>
      </c>
      <c r="N947" s="84"/>
      <c r="O947" s="84"/>
      <c r="P947" s="84"/>
      <c r="Q947" s="84"/>
      <c r="R947" s="86" t="str">
        <f t="shared" si="2"/>
        <v>Prepare for Showcase</v>
      </c>
      <c r="S947" s="82" t="b">
        <v>0</v>
      </c>
      <c r="T947" s="88"/>
      <c r="U947" s="84"/>
      <c r="V947" s="84"/>
      <c r="W947" s="84"/>
      <c r="X947" s="84"/>
      <c r="Y947" s="84"/>
      <c r="Z947" s="84"/>
      <c r="AA947" s="84"/>
    </row>
    <row r="948" ht="26.25" hidden="1" customHeight="1">
      <c r="A948" s="85"/>
      <c r="B948" s="106"/>
      <c r="C948" s="103"/>
      <c r="D948" s="93"/>
      <c r="E948" s="93"/>
      <c r="F948" s="103"/>
      <c r="G948" s="113"/>
      <c r="H948" s="113"/>
      <c r="I948" s="100"/>
      <c r="J948" s="113"/>
      <c r="K948" s="82" t="b">
        <v>0</v>
      </c>
      <c r="L948" s="94"/>
      <c r="M948" s="84">
        <f t="shared" si="1"/>
        <v>6590</v>
      </c>
      <c r="N948" s="84"/>
      <c r="O948" s="84"/>
      <c r="P948" s="84"/>
      <c r="Q948" s="84"/>
      <c r="R948" s="86" t="str">
        <f t="shared" si="2"/>
        <v>Prepare for Showcase</v>
      </c>
      <c r="S948" s="82" t="b">
        <v>0</v>
      </c>
      <c r="T948" s="88"/>
      <c r="U948" s="84"/>
      <c r="V948" s="84"/>
      <c r="W948" s="84"/>
      <c r="X948" s="84"/>
      <c r="Y948" s="84"/>
      <c r="Z948" s="84"/>
      <c r="AA948" s="84"/>
    </row>
    <row r="949" ht="26.25" hidden="1" customHeight="1">
      <c r="A949" s="85"/>
      <c r="B949" s="106"/>
      <c r="C949" s="103"/>
      <c r="D949" s="93"/>
      <c r="E949" s="93"/>
      <c r="F949" s="103"/>
      <c r="G949" s="113"/>
      <c r="H949" s="113"/>
      <c r="I949" s="100"/>
      <c r="J949" s="113"/>
      <c r="K949" s="82" t="b">
        <v>0</v>
      </c>
      <c r="L949" s="94"/>
      <c r="M949" s="84">
        <f t="shared" si="1"/>
        <v>6590</v>
      </c>
      <c r="N949" s="84"/>
      <c r="O949" s="84"/>
      <c r="P949" s="84"/>
      <c r="Q949" s="84"/>
      <c r="R949" s="86" t="str">
        <f t="shared" si="2"/>
        <v>Prepare for Showcase</v>
      </c>
      <c r="S949" s="82" t="b">
        <v>0</v>
      </c>
      <c r="T949" s="88"/>
      <c r="U949" s="84"/>
      <c r="V949" s="84"/>
      <c r="W949" s="84"/>
      <c r="X949" s="84"/>
      <c r="Y949" s="84"/>
      <c r="Z949" s="84"/>
      <c r="AA949" s="84"/>
    </row>
    <row r="950" ht="26.25" hidden="1" customHeight="1">
      <c r="A950" s="85"/>
      <c r="B950" s="106"/>
      <c r="C950" s="103"/>
      <c r="D950" s="93"/>
      <c r="E950" s="93"/>
      <c r="F950" s="103"/>
      <c r="G950" s="113"/>
      <c r="H950" s="113"/>
      <c r="I950" s="100"/>
      <c r="J950" s="113"/>
      <c r="K950" s="82" t="b">
        <v>0</v>
      </c>
      <c r="L950" s="94"/>
      <c r="M950" s="84">
        <f t="shared" si="1"/>
        <v>6590</v>
      </c>
      <c r="N950" s="84"/>
      <c r="O950" s="84"/>
      <c r="P950" s="84"/>
      <c r="Q950" s="84"/>
      <c r="R950" s="86" t="str">
        <f t="shared" si="2"/>
        <v>Prepare for Showcase</v>
      </c>
      <c r="S950" s="82" t="b">
        <v>0</v>
      </c>
      <c r="T950" s="88"/>
      <c r="U950" s="84"/>
      <c r="V950" s="84"/>
      <c r="W950" s="84"/>
      <c r="X950" s="84"/>
      <c r="Y950" s="84"/>
      <c r="Z950" s="84"/>
      <c r="AA950" s="84"/>
    </row>
    <row r="951" ht="26.25" hidden="1" customHeight="1">
      <c r="A951" s="85"/>
      <c r="B951" s="106"/>
      <c r="C951" s="103"/>
      <c r="D951" s="93"/>
      <c r="E951" s="93"/>
      <c r="F951" s="103"/>
      <c r="G951" s="113"/>
      <c r="H951" s="113"/>
      <c r="I951" s="100"/>
      <c r="J951" s="113"/>
      <c r="K951" s="82" t="b">
        <v>0</v>
      </c>
      <c r="L951" s="94"/>
      <c r="M951" s="84">
        <f t="shared" si="1"/>
        <v>6590</v>
      </c>
      <c r="N951" s="84"/>
      <c r="O951" s="84"/>
      <c r="P951" s="84"/>
      <c r="Q951" s="84"/>
      <c r="R951" s="86" t="str">
        <f t="shared" si="2"/>
        <v>Prepare for Showcase</v>
      </c>
      <c r="S951" s="82" t="b">
        <v>0</v>
      </c>
      <c r="T951" s="88"/>
      <c r="U951" s="84"/>
      <c r="V951" s="84"/>
      <c r="W951" s="84"/>
      <c r="X951" s="84"/>
      <c r="Y951" s="84"/>
      <c r="Z951" s="84"/>
      <c r="AA951" s="84"/>
    </row>
    <row r="952" ht="26.25" hidden="1" customHeight="1">
      <c r="A952" s="85"/>
      <c r="B952" s="106"/>
      <c r="C952" s="103"/>
      <c r="D952" s="93"/>
      <c r="E952" s="93"/>
      <c r="F952" s="103"/>
      <c r="G952" s="113"/>
      <c r="H952" s="113"/>
      <c r="I952" s="100"/>
      <c r="J952" s="113"/>
      <c r="K952" s="82" t="b">
        <v>0</v>
      </c>
      <c r="L952" s="94"/>
      <c r="M952" s="84">
        <f t="shared" si="1"/>
        <v>6590</v>
      </c>
      <c r="N952" s="84"/>
      <c r="O952" s="84"/>
      <c r="P952" s="84"/>
      <c r="Q952" s="84"/>
      <c r="R952" s="86" t="str">
        <f t="shared" si="2"/>
        <v>Prepare for Showcase</v>
      </c>
      <c r="S952" s="82" t="b">
        <v>0</v>
      </c>
      <c r="T952" s="88"/>
      <c r="U952" s="84"/>
      <c r="V952" s="84"/>
      <c r="W952" s="84"/>
      <c r="X952" s="84"/>
      <c r="Y952" s="84"/>
      <c r="Z952" s="84"/>
      <c r="AA952" s="84"/>
    </row>
    <row r="953" ht="26.25" hidden="1" customHeight="1">
      <c r="A953" s="85"/>
      <c r="B953" s="106"/>
      <c r="C953" s="103"/>
      <c r="D953" s="93"/>
      <c r="E953" s="93"/>
      <c r="F953" s="103"/>
      <c r="G953" s="113"/>
      <c r="H953" s="113"/>
      <c r="I953" s="100"/>
      <c r="J953" s="113"/>
      <c r="K953" s="82" t="b">
        <v>0</v>
      </c>
      <c r="L953" s="94"/>
      <c r="M953" s="84">
        <f t="shared" si="1"/>
        <v>6590</v>
      </c>
      <c r="N953" s="84"/>
      <c r="O953" s="84"/>
      <c r="P953" s="84"/>
      <c r="Q953" s="84"/>
      <c r="R953" s="86" t="str">
        <f t="shared" si="2"/>
        <v>Prepare for Showcase</v>
      </c>
      <c r="S953" s="82" t="b">
        <v>0</v>
      </c>
      <c r="T953" s="88"/>
      <c r="U953" s="84"/>
      <c r="V953" s="84"/>
      <c r="W953" s="84"/>
      <c r="X953" s="84"/>
      <c r="Y953" s="84"/>
      <c r="Z953" s="84"/>
      <c r="AA953" s="84"/>
    </row>
    <row r="954" ht="26.25" hidden="1" customHeight="1">
      <c r="A954" s="85"/>
      <c r="B954" s="106"/>
      <c r="C954" s="103"/>
      <c r="D954" s="93"/>
      <c r="E954" s="93"/>
      <c r="F954" s="103"/>
      <c r="G954" s="113"/>
      <c r="H954" s="113"/>
      <c r="I954" s="100"/>
      <c r="J954" s="113"/>
      <c r="K954" s="82" t="b">
        <v>0</v>
      </c>
      <c r="L954" s="94"/>
      <c r="M954" s="84">
        <f t="shared" si="1"/>
        <v>6590</v>
      </c>
      <c r="N954" s="84"/>
      <c r="O954" s="84"/>
      <c r="P954" s="84"/>
      <c r="Q954" s="84"/>
      <c r="R954" s="86" t="str">
        <f t="shared" si="2"/>
        <v>Prepare for Showcase</v>
      </c>
      <c r="S954" s="82" t="b">
        <v>0</v>
      </c>
      <c r="T954" s="88"/>
      <c r="U954" s="84"/>
      <c r="V954" s="84"/>
      <c r="W954" s="84"/>
      <c r="X954" s="84"/>
      <c r="Y954" s="84"/>
      <c r="Z954" s="84"/>
      <c r="AA954" s="84"/>
    </row>
    <row r="955" ht="26.25" hidden="1" customHeight="1">
      <c r="A955" s="85"/>
      <c r="B955" s="106"/>
      <c r="C955" s="103"/>
      <c r="D955" s="93"/>
      <c r="E955" s="93"/>
      <c r="F955" s="103"/>
      <c r="G955" s="113"/>
      <c r="H955" s="113"/>
      <c r="I955" s="100"/>
      <c r="J955" s="113"/>
      <c r="K955" s="82" t="b">
        <v>0</v>
      </c>
      <c r="L955" s="94"/>
      <c r="M955" s="84">
        <f t="shared" si="1"/>
        <v>6590</v>
      </c>
      <c r="N955" s="84"/>
      <c r="O955" s="84"/>
      <c r="P955" s="84"/>
      <c r="Q955" s="84"/>
      <c r="R955" s="86" t="str">
        <f t="shared" si="2"/>
        <v>Prepare for Showcase</v>
      </c>
      <c r="S955" s="82" t="b">
        <v>0</v>
      </c>
      <c r="T955" s="88"/>
      <c r="U955" s="84"/>
      <c r="V955" s="84"/>
      <c r="W955" s="84"/>
      <c r="X955" s="84"/>
      <c r="Y955" s="84"/>
      <c r="Z955" s="84"/>
      <c r="AA955" s="84"/>
    </row>
    <row r="956" ht="26.25" hidden="1" customHeight="1">
      <c r="A956" s="85"/>
      <c r="B956" s="106"/>
      <c r="C956" s="103"/>
      <c r="D956" s="93"/>
      <c r="E956" s="93"/>
      <c r="F956" s="103"/>
      <c r="G956" s="113"/>
      <c r="H956" s="113"/>
      <c r="I956" s="100"/>
      <c r="J956" s="113"/>
      <c r="K956" s="82" t="b">
        <v>0</v>
      </c>
      <c r="L956" s="94"/>
      <c r="M956" s="84">
        <f t="shared" si="1"/>
        <v>6590</v>
      </c>
      <c r="N956" s="84"/>
      <c r="O956" s="84"/>
      <c r="P956" s="84"/>
      <c r="Q956" s="84"/>
      <c r="R956" s="86" t="str">
        <f t="shared" si="2"/>
        <v>Prepare for Showcase</v>
      </c>
      <c r="S956" s="82" t="b">
        <v>0</v>
      </c>
      <c r="T956" s="88"/>
      <c r="U956" s="84"/>
      <c r="V956" s="84"/>
      <c r="W956" s="84"/>
      <c r="X956" s="84"/>
      <c r="Y956" s="84"/>
      <c r="Z956" s="84"/>
      <c r="AA956" s="84"/>
    </row>
    <row r="957" ht="26.25" hidden="1" customHeight="1">
      <c r="A957" s="85"/>
      <c r="B957" s="106"/>
      <c r="C957" s="103"/>
      <c r="D957" s="93"/>
      <c r="E957" s="93"/>
      <c r="F957" s="103"/>
      <c r="G957" s="113"/>
      <c r="H957" s="113"/>
      <c r="I957" s="100"/>
      <c r="J957" s="113"/>
      <c r="K957" s="82" t="b">
        <v>0</v>
      </c>
      <c r="L957" s="94"/>
      <c r="M957" s="84">
        <f t="shared" si="1"/>
        <v>6590</v>
      </c>
      <c r="N957" s="84"/>
      <c r="O957" s="84"/>
      <c r="P957" s="84"/>
      <c r="Q957" s="84"/>
      <c r="R957" s="86" t="str">
        <f t="shared" si="2"/>
        <v>Prepare for Showcase</v>
      </c>
      <c r="S957" s="82" t="b">
        <v>0</v>
      </c>
      <c r="T957" s="88"/>
      <c r="U957" s="84"/>
      <c r="V957" s="84"/>
      <c r="W957" s="84"/>
      <c r="X957" s="84"/>
      <c r="Y957" s="84"/>
      <c r="Z957" s="84"/>
      <c r="AA957" s="84"/>
    </row>
    <row r="958" ht="26.25" hidden="1" customHeight="1">
      <c r="A958" s="85"/>
      <c r="B958" s="106"/>
      <c r="C958" s="103"/>
      <c r="D958" s="93"/>
      <c r="E958" s="93"/>
      <c r="F958" s="103"/>
      <c r="G958" s="113"/>
      <c r="H958" s="113"/>
      <c r="I958" s="100"/>
      <c r="J958" s="113"/>
      <c r="K958" s="82" t="b">
        <v>0</v>
      </c>
      <c r="L958" s="94"/>
      <c r="M958" s="84">
        <f t="shared" si="1"/>
        <v>6590</v>
      </c>
      <c r="N958" s="84"/>
      <c r="O958" s="84"/>
      <c r="P958" s="84"/>
      <c r="Q958" s="84"/>
      <c r="R958" s="86" t="str">
        <f t="shared" si="2"/>
        <v>Prepare for Showcase</v>
      </c>
      <c r="S958" s="82" t="b">
        <v>0</v>
      </c>
      <c r="T958" s="88"/>
      <c r="U958" s="84"/>
      <c r="V958" s="84"/>
      <c r="W958" s="84"/>
      <c r="X958" s="84"/>
      <c r="Y958" s="84"/>
      <c r="Z958" s="84"/>
      <c r="AA958" s="84"/>
    </row>
    <row r="959" ht="26.25" hidden="1" customHeight="1">
      <c r="A959" s="85"/>
      <c r="B959" s="106"/>
      <c r="C959" s="103"/>
      <c r="D959" s="93"/>
      <c r="E959" s="93"/>
      <c r="F959" s="103"/>
      <c r="G959" s="113"/>
      <c r="H959" s="113"/>
      <c r="I959" s="100"/>
      <c r="J959" s="113"/>
      <c r="K959" s="82" t="b">
        <v>0</v>
      </c>
      <c r="L959" s="94"/>
      <c r="M959" s="84">
        <f t="shared" si="1"/>
        <v>6590</v>
      </c>
      <c r="N959" s="84"/>
      <c r="O959" s="84"/>
      <c r="P959" s="84"/>
      <c r="Q959" s="84"/>
      <c r="R959" s="86" t="str">
        <f t="shared" si="2"/>
        <v>Prepare for Showcase</v>
      </c>
      <c r="S959" s="82" t="b">
        <v>0</v>
      </c>
      <c r="T959" s="88"/>
      <c r="U959" s="84"/>
      <c r="V959" s="84"/>
      <c r="W959" s="84"/>
      <c r="X959" s="84"/>
      <c r="Y959" s="84"/>
      <c r="Z959" s="84"/>
      <c r="AA959" s="84"/>
    </row>
    <row r="960" ht="26.25" hidden="1" customHeight="1">
      <c r="A960" s="85"/>
      <c r="B960" s="106"/>
      <c r="C960" s="103"/>
      <c r="D960" s="93"/>
      <c r="E960" s="93"/>
      <c r="F960" s="103"/>
      <c r="G960" s="113"/>
      <c r="H960" s="113"/>
      <c r="I960" s="100"/>
      <c r="J960" s="113"/>
      <c r="K960" s="82" t="b">
        <v>0</v>
      </c>
      <c r="L960" s="94"/>
      <c r="M960" s="84">
        <f t="shared" si="1"/>
        <v>6590</v>
      </c>
      <c r="N960" s="84"/>
      <c r="O960" s="84"/>
      <c r="P960" s="84"/>
      <c r="Q960" s="84"/>
      <c r="R960" s="86" t="str">
        <f t="shared" si="2"/>
        <v>Prepare for Showcase</v>
      </c>
      <c r="S960" s="82" t="b">
        <v>0</v>
      </c>
      <c r="T960" s="88"/>
      <c r="U960" s="84"/>
      <c r="V960" s="84"/>
      <c r="W960" s="84"/>
      <c r="X960" s="84"/>
      <c r="Y960" s="84"/>
      <c r="Z960" s="84"/>
      <c r="AA960" s="84"/>
    </row>
    <row r="961" ht="26.25" hidden="1" customHeight="1">
      <c r="A961" s="85"/>
      <c r="B961" s="106"/>
      <c r="C961" s="103"/>
      <c r="D961" s="93"/>
      <c r="E961" s="93"/>
      <c r="F961" s="103"/>
      <c r="G961" s="113"/>
      <c r="H961" s="113"/>
      <c r="I961" s="100"/>
      <c r="J961" s="113"/>
      <c r="K961" s="82" t="b">
        <v>0</v>
      </c>
      <c r="L961" s="94"/>
      <c r="M961" s="84">
        <f t="shared" si="1"/>
        <v>6590</v>
      </c>
      <c r="N961" s="84"/>
      <c r="O961" s="84"/>
      <c r="P961" s="84"/>
      <c r="Q961" s="84"/>
      <c r="R961" s="86" t="str">
        <f t="shared" si="2"/>
        <v>Prepare for Showcase</v>
      </c>
      <c r="S961" s="82" t="b">
        <v>0</v>
      </c>
      <c r="T961" s="88"/>
      <c r="U961" s="84"/>
      <c r="V961" s="84"/>
      <c r="W961" s="84"/>
      <c r="X961" s="84"/>
      <c r="Y961" s="84"/>
      <c r="Z961" s="84"/>
      <c r="AA961" s="84"/>
    </row>
    <row r="962" ht="26.25" hidden="1" customHeight="1">
      <c r="A962" s="85"/>
      <c r="B962" s="106"/>
      <c r="C962" s="103"/>
      <c r="D962" s="93"/>
      <c r="E962" s="93"/>
      <c r="F962" s="103"/>
      <c r="G962" s="113"/>
      <c r="H962" s="113"/>
      <c r="I962" s="100"/>
      <c r="J962" s="113"/>
      <c r="K962" s="82" t="b">
        <v>0</v>
      </c>
      <c r="L962" s="94"/>
      <c r="M962" s="84">
        <f t="shared" si="1"/>
        <v>6590</v>
      </c>
      <c r="N962" s="84"/>
      <c r="O962" s="84"/>
      <c r="P962" s="84"/>
      <c r="Q962" s="84"/>
      <c r="R962" s="86" t="str">
        <f t="shared" si="2"/>
        <v>Prepare for Showcase</v>
      </c>
      <c r="S962" s="82" t="b">
        <v>0</v>
      </c>
      <c r="T962" s="88"/>
      <c r="U962" s="84"/>
      <c r="V962" s="84"/>
      <c r="W962" s="84"/>
      <c r="X962" s="84"/>
      <c r="Y962" s="84"/>
      <c r="Z962" s="84"/>
      <c r="AA962" s="84"/>
    </row>
    <row r="963" ht="26.25" hidden="1" customHeight="1">
      <c r="A963" s="85"/>
      <c r="B963" s="106"/>
      <c r="C963" s="103"/>
      <c r="D963" s="93"/>
      <c r="E963" s="93"/>
      <c r="F963" s="103"/>
      <c r="G963" s="113"/>
      <c r="H963" s="113"/>
      <c r="I963" s="100"/>
      <c r="J963" s="113"/>
      <c r="K963" s="82" t="b">
        <v>0</v>
      </c>
      <c r="L963" s="94"/>
      <c r="M963" s="84">
        <f t="shared" si="1"/>
        <v>6590</v>
      </c>
      <c r="N963" s="84"/>
      <c r="O963" s="84"/>
      <c r="P963" s="84"/>
      <c r="Q963" s="84"/>
      <c r="R963" s="86" t="str">
        <f t="shared" si="2"/>
        <v>Prepare for Showcase</v>
      </c>
      <c r="S963" s="82" t="b">
        <v>0</v>
      </c>
      <c r="T963" s="88"/>
      <c r="U963" s="84"/>
      <c r="V963" s="84"/>
      <c r="W963" s="84"/>
      <c r="X963" s="84"/>
      <c r="Y963" s="84"/>
      <c r="Z963" s="84"/>
      <c r="AA963" s="84"/>
    </row>
    <row r="964" ht="26.25" hidden="1" customHeight="1">
      <c r="A964" s="85"/>
      <c r="B964" s="106"/>
      <c r="C964" s="103"/>
      <c r="D964" s="93"/>
      <c r="E964" s="93"/>
      <c r="F964" s="103"/>
      <c r="G964" s="113"/>
      <c r="H964" s="113"/>
      <c r="I964" s="100"/>
      <c r="J964" s="113"/>
      <c r="K964" s="82" t="b">
        <v>0</v>
      </c>
      <c r="L964" s="94"/>
      <c r="M964" s="84">
        <f t="shared" si="1"/>
        <v>6590</v>
      </c>
      <c r="N964" s="84"/>
      <c r="O964" s="84"/>
      <c r="P964" s="84"/>
      <c r="Q964" s="84"/>
      <c r="R964" s="86" t="str">
        <f t="shared" si="2"/>
        <v>Prepare for Showcase</v>
      </c>
      <c r="S964" s="82" t="b">
        <v>0</v>
      </c>
      <c r="T964" s="88"/>
      <c r="U964" s="84"/>
      <c r="V964" s="84"/>
      <c r="W964" s="84"/>
      <c r="X964" s="84"/>
      <c r="Y964" s="84"/>
      <c r="Z964" s="84"/>
      <c r="AA964" s="84"/>
    </row>
    <row r="965" ht="26.25" hidden="1" customHeight="1">
      <c r="A965" s="85"/>
      <c r="B965" s="106"/>
      <c r="C965" s="103"/>
      <c r="D965" s="93"/>
      <c r="E965" s="93"/>
      <c r="F965" s="103"/>
      <c r="G965" s="113"/>
      <c r="H965" s="113"/>
      <c r="I965" s="100"/>
      <c r="J965" s="113"/>
      <c r="K965" s="82" t="b">
        <v>0</v>
      </c>
      <c r="L965" s="94"/>
      <c r="M965" s="84">
        <f t="shared" si="1"/>
        <v>6590</v>
      </c>
      <c r="N965" s="84"/>
      <c r="O965" s="84"/>
      <c r="P965" s="84"/>
      <c r="Q965" s="84"/>
      <c r="R965" s="86" t="str">
        <f t="shared" si="2"/>
        <v>Prepare for Showcase</v>
      </c>
      <c r="S965" s="82" t="b">
        <v>0</v>
      </c>
      <c r="T965" s="88"/>
      <c r="U965" s="84"/>
      <c r="V965" s="84"/>
      <c r="W965" s="84"/>
      <c r="X965" s="84"/>
      <c r="Y965" s="84"/>
      <c r="Z965" s="84"/>
      <c r="AA965" s="84"/>
    </row>
    <row r="966" ht="26.25" hidden="1" customHeight="1">
      <c r="A966" s="85"/>
      <c r="B966" s="106"/>
      <c r="C966" s="103"/>
      <c r="D966" s="93"/>
      <c r="E966" s="93"/>
      <c r="F966" s="103"/>
      <c r="G966" s="113"/>
      <c r="H966" s="113"/>
      <c r="I966" s="100"/>
      <c r="J966" s="113"/>
      <c r="K966" s="82" t="b">
        <v>0</v>
      </c>
      <c r="L966" s="94"/>
      <c r="M966" s="84">
        <f t="shared" si="1"/>
        <v>6590</v>
      </c>
      <c r="N966" s="84"/>
      <c r="O966" s="84"/>
      <c r="P966" s="84"/>
      <c r="Q966" s="84"/>
      <c r="R966" s="86" t="str">
        <f t="shared" si="2"/>
        <v>Prepare for Showcase</v>
      </c>
      <c r="S966" s="82" t="b">
        <v>0</v>
      </c>
      <c r="T966" s="88"/>
      <c r="U966" s="84"/>
      <c r="V966" s="84"/>
      <c r="W966" s="84"/>
      <c r="X966" s="84"/>
      <c r="Y966" s="84"/>
      <c r="Z966" s="84"/>
      <c r="AA966" s="84"/>
    </row>
    <row r="967" ht="26.25" hidden="1" customHeight="1">
      <c r="A967" s="85"/>
      <c r="B967" s="106"/>
      <c r="C967" s="103"/>
      <c r="D967" s="93"/>
      <c r="E967" s="93"/>
      <c r="F967" s="103"/>
      <c r="G967" s="113"/>
      <c r="H967" s="113"/>
      <c r="I967" s="100"/>
      <c r="J967" s="113"/>
      <c r="K967" s="82" t="b">
        <v>0</v>
      </c>
      <c r="L967" s="94"/>
      <c r="M967" s="84">
        <f t="shared" si="1"/>
        <v>6590</v>
      </c>
      <c r="N967" s="84"/>
      <c r="O967" s="84"/>
      <c r="P967" s="84"/>
      <c r="Q967" s="84"/>
      <c r="R967" s="86" t="str">
        <f t="shared" si="2"/>
        <v>Prepare for Showcase</v>
      </c>
      <c r="S967" s="82" t="b">
        <v>0</v>
      </c>
      <c r="T967" s="88"/>
      <c r="U967" s="84"/>
      <c r="V967" s="84"/>
      <c r="W967" s="84"/>
      <c r="X967" s="84"/>
      <c r="Y967" s="84"/>
      <c r="Z967" s="84"/>
      <c r="AA967" s="84"/>
    </row>
    <row r="968" ht="26.25" hidden="1" customHeight="1">
      <c r="A968" s="85"/>
      <c r="B968" s="106"/>
      <c r="C968" s="103"/>
      <c r="D968" s="93"/>
      <c r="E968" s="93"/>
      <c r="F968" s="103"/>
      <c r="G968" s="113"/>
      <c r="H968" s="113"/>
      <c r="I968" s="100"/>
      <c r="J968" s="113"/>
      <c r="K968" s="82" t="b">
        <v>0</v>
      </c>
      <c r="L968" s="94"/>
      <c r="M968" s="84">
        <f t="shared" si="1"/>
        <v>6590</v>
      </c>
      <c r="N968" s="84"/>
      <c r="O968" s="84"/>
      <c r="P968" s="84"/>
      <c r="Q968" s="84"/>
      <c r="R968" s="86" t="str">
        <f t="shared" si="2"/>
        <v>Prepare for Showcase</v>
      </c>
      <c r="S968" s="82" t="b">
        <v>0</v>
      </c>
      <c r="T968" s="88"/>
      <c r="U968" s="84"/>
      <c r="V968" s="84"/>
      <c r="W968" s="84"/>
      <c r="X968" s="84"/>
      <c r="Y968" s="84"/>
      <c r="Z968" s="84"/>
      <c r="AA968" s="84"/>
    </row>
    <row r="969" ht="26.25" hidden="1" customHeight="1">
      <c r="A969" s="85"/>
      <c r="B969" s="106"/>
      <c r="C969" s="103"/>
      <c r="D969" s="93"/>
      <c r="E969" s="93"/>
      <c r="F969" s="103"/>
      <c r="G969" s="113"/>
      <c r="H969" s="113"/>
      <c r="I969" s="100"/>
      <c r="J969" s="113"/>
      <c r="K969" s="82" t="b">
        <v>0</v>
      </c>
      <c r="L969" s="94"/>
      <c r="M969" s="84">
        <f t="shared" si="1"/>
        <v>6590</v>
      </c>
      <c r="N969" s="84"/>
      <c r="O969" s="84"/>
      <c r="P969" s="84"/>
      <c r="Q969" s="84"/>
      <c r="R969" s="86" t="str">
        <f t="shared" si="2"/>
        <v>Prepare for Showcase</v>
      </c>
      <c r="S969" s="82" t="b">
        <v>0</v>
      </c>
      <c r="T969" s="88"/>
      <c r="U969" s="84"/>
      <c r="V969" s="84"/>
      <c r="W969" s="84"/>
      <c r="X969" s="84"/>
      <c r="Y969" s="84"/>
      <c r="Z969" s="84"/>
      <c r="AA969" s="84"/>
    </row>
    <row r="970" ht="26.25" hidden="1" customHeight="1">
      <c r="A970" s="85"/>
      <c r="B970" s="106"/>
      <c r="C970" s="103"/>
      <c r="D970" s="93"/>
      <c r="E970" s="93"/>
      <c r="F970" s="103"/>
      <c r="G970" s="113"/>
      <c r="H970" s="113"/>
      <c r="I970" s="100"/>
      <c r="J970" s="113"/>
      <c r="K970" s="82" t="b">
        <v>0</v>
      </c>
      <c r="L970" s="94"/>
      <c r="M970" s="84">
        <f t="shared" si="1"/>
        <v>6590</v>
      </c>
      <c r="N970" s="84"/>
      <c r="O970" s="84"/>
      <c r="P970" s="84"/>
      <c r="Q970" s="84"/>
      <c r="R970" s="86" t="str">
        <f t="shared" si="2"/>
        <v>Prepare for Showcase</v>
      </c>
      <c r="S970" s="82" t="b">
        <v>0</v>
      </c>
      <c r="T970" s="88"/>
      <c r="U970" s="84"/>
      <c r="V970" s="84"/>
      <c r="W970" s="84"/>
      <c r="X970" s="84"/>
      <c r="Y970" s="84"/>
      <c r="Z970" s="84"/>
      <c r="AA970" s="84"/>
    </row>
    <row r="971" ht="26.25" hidden="1" customHeight="1">
      <c r="A971" s="85"/>
      <c r="B971" s="106"/>
      <c r="C971" s="103"/>
      <c r="D971" s="93"/>
      <c r="E971" s="93"/>
      <c r="F971" s="103"/>
      <c r="G971" s="113"/>
      <c r="H971" s="113"/>
      <c r="I971" s="100"/>
      <c r="J971" s="113"/>
      <c r="K971" s="82" t="b">
        <v>0</v>
      </c>
      <c r="L971" s="94"/>
      <c r="M971" s="84">
        <f t="shared" si="1"/>
        <v>6590</v>
      </c>
      <c r="N971" s="84"/>
      <c r="O971" s="84"/>
      <c r="P971" s="84"/>
      <c r="Q971" s="84"/>
      <c r="R971" s="86" t="str">
        <f t="shared" si="2"/>
        <v>Prepare for Showcase</v>
      </c>
      <c r="S971" s="82" t="b">
        <v>0</v>
      </c>
      <c r="T971" s="88"/>
      <c r="U971" s="84"/>
      <c r="V971" s="84"/>
      <c r="W971" s="84"/>
      <c r="X971" s="84"/>
      <c r="Y971" s="84"/>
      <c r="Z971" s="84"/>
      <c r="AA971" s="84"/>
    </row>
    <row r="972" ht="26.25" hidden="1" customHeight="1">
      <c r="A972" s="85"/>
      <c r="B972" s="106"/>
      <c r="C972" s="103"/>
      <c r="D972" s="93"/>
      <c r="E972" s="93"/>
      <c r="F972" s="103"/>
      <c r="G972" s="113"/>
      <c r="H972" s="113"/>
      <c r="I972" s="100"/>
      <c r="J972" s="113"/>
      <c r="K972" s="82" t="b">
        <v>0</v>
      </c>
      <c r="L972" s="94"/>
      <c r="M972" s="84">
        <f t="shared" si="1"/>
        <v>6590</v>
      </c>
      <c r="N972" s="84"/>
      <c r="O972" s="84"/>
      <c r="P972" s="84"/>
      <c r="Q972" s="84"/>
      <c r="R972" s="86" t="str">
        <f t="shared" si="2"/>
        <v>Prepare for Showcase</v>
      </c>
      <c r="S972" s="82" t="b">
        <v>0</v>
      </c>
      <c r="T972" s="88"/>
      <c r="U972" s="84"/>
      <c r="V972" s="84"/>
      <c r="W972" s="84"/>
      <c r="X972" s="84"/>
      <c r="Y972" s="84"/>
      <c r="Z972" s="84"/>
      <c r="AA972" s="84"/>
    </row>
    <row r="973" ht="26.25" hidden="1" customHeight="1">
      <c r="A973" s="85"/>
      <c r="B973" s="106"/>
      <c r="C973" s="103"/>
      <c r="D973" s="93"/>
      <c r="E973" s="93"/>
      <c r="F973" s="103"/>
      <c r="G973" s="113"/>
      <c r="H973" s="113"/>
      <c r="I973" s="100"/>
      <c r="J973" s="113"/>
      <c r="K973" s="82" t="b">
        <v>0</v>
      </c>
      <c r="L973" s="94"/>
      <c r="M973" s="84">
        <f t="shared" si="1"/>
        <v>6590</v>
      </c>
      <c r="N973" s="84"/>
      <c r="O973" s="84"/>
      <c r="P973" s="84"/>
      <c r="Q973" s="84"/>
      <c r="R973" s="86" t="str">
        <f t="shared" si="2"/>
        <v>Prepare for Showcase</v>
      </c>
      <c r="S973" s="82" t="b">
        <v>0</v>
      </c>
      <c r="T973" s="88"/>
      <c r="U973" s="84"/>
      <c r="V973" s="84"/>
      <c r="W973" s="84"/>
      <c r="X973" s="84"/>
      <c r="Y973" s="84"/>
      <c r="Z973" s="84"/>
      <c r="AA973" s="84"/>
    </row>
    <row r="974" ht="26.25" hidden="1" customHeight="1">
      <c r="A974" s="85"/>
      <c r="B974" s="106"/>
      <c r="C974" s="103"/>
      <c r="D974" s="93"/>
      <c r="E974" s="93"/>
      <c r="F974" s="103"/>
      <c r="G974" s="113"/>
      <c r="H974" s="113"/>
      <c r="I974" s="100"/>
      <c r="J974" s="113"/>
      <c r="K974" s="82" t="b">
        <v>0</v>
      </c>
      <c r="L974" s="94"/>
      <c r="M974" s="84">
        <f t="shared" si="1"/>
        <v>6590</v>
      </c>
      <c r="N974" s="84"/>
      <c r="O974" s="84"/>
      <c r="P974" s="84"/>
      <c r="Q974" s="84"/>
      <c r="R974" s="86" t="str">
        <f t="shared" si="2"/>
        <v>Prepare for Showcase</v>
      </c>
      <c r="S974" s="82" t="b">
        <v>0</v>
      </c>
      <c r="T974" s="88"/>
      <c r="U974" s="84"/>
      <c r="V974" s="84"/>
      <c r="W974" s="84"/>
      <c r="X974" s="84"/>
      <c r="Y974" s="84"/>
      <c r="Z974" s="84"/>
      <c r="AA974" s="84"/>
    </row>
    <row r="975" ht="26.25" hidden="1" customHeight="1">
      <c r="A975" s="85"/>
      <c r="B975" s="106"/>
      <c r="C975" s="103"/>
      <c r="D975" s="93"/>
      <c r="E975" s="93"/>
      <c r="F975" s="103"/>
      <c r="G975" s="113"/>
      <c r="H975" s="113"/>
      <c r="I975" s="100"/>
      <c r="J975" s="113"/>
      <c r="K975" s="82" t="b">
        <v>0</v>
      </c>
      <c r="L975" s="94"/>
      <c r="M975" s="84">
        <f t="shared" si="1"/>
        <v>6590</v>
      </c>
      <c r="N975" s="84"/>
      <c r="O975" s="84"/>
      <c r="P975" s="84"/>
      <c r="Q975" s="84"/>
      <c r="R975" s="86" t="str">
        <f t="shared" si="2"/>
        <v>Prepare for Showcase</v>
      </c>
      <c r="S975" s="82" t="b">
        <v>0</v>
      </c>
      <c r="T975" s="88"/>
      <c r="U975" s="84"/>
      <c r="V975" s="84"/>
      <c r="W975" s="84"/>
      <c r="X975" s="84"/>
      <c r="Y975" s="84"/>
      <c r="Z975" s="84"/>
      <c r="AA975" s="84"/>
    </row>
    <row r="976" ht="26.25" hidden="1" customHeight="1">
      <c r="A976" s="85"/>
      <c r="B976" s="106"/>
      <c r="C976" s="103"/>
      <c r="D976" s="93"/>
      <c r="E976" s="93"/>
      <c r="F976" s="103"/>
      <c r="G976" s="113"/>
      <c r="H976" s="113"/>
      <c r="I976" s="100"/>
      <c r="J976" s="113"/>
      <c r="K976" s="82" t="b">
        <v>0</v>
      </c>
      <c r="L976" s="94"/>
      <c r="M976" s="84">
        <f t="shared" si="1"/>
        <v>6590</v>
      </c>
      <c r="N976" s="84"/>
      <c r="O976" s="84"/>
      <c r="P976" s="84"/>
      <c r="Q976" s="84"/>
      <c r="R976" s="86" t="str">
        <f t="shared" si="2"/>
        <v>Prepare for Showcase</v>
      </c>
      <c r="S976" s="82" t="b">
        <v>0</v>
      </c>
      <c r="T976" s="88"/>
      <c r="U976" s="84"/>
      <c r="V976" s="84"/>
      <c r="W976" s="84"/>
      <c r="X976" s="84"/>
      <c r="Y976" s="84"/>
      <c r="Z976" s="84"/>
      <c r="AA976" s="84"/>
    </row>
    <row r="977" ht="26.25" hidden="1" customHeight="1">
      <c r="A977" s="85"/>
      <c r="B977" s="106"/>
      <c r="C977" s="103"/>
      <c r="D977" s="93"/>
      <c r="E977" s="93"/>
      <c r="F977" s="103"/>
      <c r="G977" s="113"/>
      <c r="H977" s="113"/>
      <c r="I977" s="100"/>
      <c r="J977" s="113"/>
      <c r="K977" s="82" t="b">
        <v>0</v>
      </c>
      <c r="L977" s="94"/>
      <c r="M977" s="84">
        <f t="shared" si="1"/>
        <v>6590</v>
      </c>
      <c r="N977" s="84"/>
      <c r="O977" s="84"/>
      <c r="P977" s="84"/>
      <c r="Q977" s="84"/>
      <c r="R977" s="86" t="str">
        <f t="shared" si="2"/>
        <v>Prepare for Showcase</v>
      </c>
      <c r="S977" s="82" t="b">
        <v>0</v>
      </c>
      <c r="T977" s="88"/>
      <c r="U977" s="84"/>
      <c r="V977" s="84"/>
      <c r="W977" s="84"/>
      <c r="X977" s="84"/>
      <c r="Y977" s="84"/>
      <c r="Z977" s="84"/>
      <c r="AA977" s="84"/>
    </row>
    <row r="978" ht="26.25" hidden="1" customHeight="1">
      <c r="A978" s="85"/>
      <c r="B978" s="106"/>
      <c r="C978" s="103"/>
      <c r="D978" s="93"/>
      <c r="E978" s="93"/>
      <c r="F978" s="103"/>
      <c r="G978" s="113"/>
      <c r="H978" s="113"/>
      <c r="I978" s="100"/>
      <c r="J978" s="113"/>
      <c r="K978" s="82" t="b">
        <v>0</v>
      </c>
      <c r="L978" s="94"/>
      <c r="M978" s="84">
        <f t="shared" si="1"/>
        <v>6590</v>
      </c>
      <c r="N978" s="84"/>
      <c r="O978" s="84"/>
      <c r="P978" s="84"/>
      <c r="Q978" s="84"/>
      <c r="R978" s="86" t="str">
        <f t="shared" si="2"/>
        <v>Prepare for Showcase</v>
      </c>
      <c r="S978" s="82" t="b">
        <v>0</v>
      </c>
      <c r="T978" s="88"/>
      <c r="U978" s="84"/>
      <c r="V978" s="84"/>
      <c r="W978" s="84"/>
      <c r="X978" s="84"/>
      <c r="Y978" s="84"/>
      <c r="Z978" s="84"/>
      <c r="AA978" s="84"/>
    </row>
    <row r="979" ht="26.25" hidden="1" customHeight="1">
      <c r="A979" s="85"/>
      <c r="B979" s="106"/>
      <c r="C979" s="103"/>
      <c r="D979" s="93"/>
      <c r="E979" s="93"/>
      <c r="F979" s="103"/>
      <c r="G979" s="113"/>
      <c r="H979" s="113"/>
      <c r="I979" s="100"/>
      <c r="J979" s="113"/>
      <c r="K979" s="82" t="b">
        <v>0</v>
      </c>
      <c r="L979" s="94"/>
      <c r="M979" s="84">
        <f t="shared" si="1"/>
        <v>6590</v>
      </c>
      <c r="N979" s="84"/>
      <c r="O979" s="84"/>
      <c r="P979" s="84"/>
      <c r="Q979" s="84"/>
      <c r="R979" s="86" t="str">
        <f t="shared" si="2"/>
        <v>Prepare for Showcase</v>
      </c>
      <c r="S979" s="82" t="b">
        <v>0</v>
      </c>
      <c r="T979" s="88"/>
      <c r="U979" s="84"/>
      <c r="V979" s="84"/>
      <c r="W979" s="84"/>
      <c r="X979" s="84"/>
      <c r="Y979" s="84"/>
      <c r="Z979" s="84"/>
      <c r="AA979" s="84"/>
    </row>
    <row r="980" ht="26.25" hidden="1" customHeight="1">
      <c r="A980" s="85"/>
      <c r="B980" s="106"/>
      <c r="C980" s="103"/>
      <c r="D980" s="93"/>
      <c r="E980" s="93"/>
      <c r="F980" s="103"/>
      <c r="G980" s="113"/>
      <c r="H980" s="113"/>
      <c r="I980" s="100"/>
      <c r="J980" s="113"/>
      <c r="K980" s="82" t="b">
        <v>0</v>
      </c>
      <c r="L980" s="94"/>
      <c r="M980" s="84">
        <f t="shared" si="1"/>
        <v>6590</v>
      </c>
      <c r="N980" s="84"/>
      <c r="O980" s="84"/>
      <c r="P980" s="84"/>
      <c r="Q980" s="84"/>
      <c r="R980" s="86" t="str">
        <f t="shared" si="2"/>
        <v>Prepare for Showcase</v>
      </c>
      <c r="S980" s="82" t="b">
        <v>0</v>
      </c>
      <c r="T980" s="88"/>
      <c r="U980" s="84"/>
      <c r="V980" s="84"/>
      <c r="W980" s="84"/>
      <c r="X980" s="84"/>
      <c r="Y980" s="84"/>
      <c r="Z980" s="84"/>
      <c r="AA980" s="84"/>
    </row>
    <row r="981" ht="26.25" hidden="1" customHeight="1">
      <c r="A981" s="85"/>
      <c r="B981" s="106"/>
      <c r="C981" s="103"/>
      <c r="D981" s="93"/>
      <c r="E981" s="93"/>
      <c r="F981" s="103"/>
      <c r="G981" s="113"/>
      <c r="H981" s="113"/>
      <c r="I981" s="100"/>
      <c r="J981" s="113"/>
      <c r="K981" s="82" t="b">
        <v>0</v>
      </c>
      <c r="L981" s="94"/>
      <c r="M981" s="84">
        <f t="shared" si="1"/>
        <v>6590</v>
      </c>
      <c r="N981" s="84"/>
      <c r="O981" s="84"/>
      <c r="P981" s="84"/>
      <c r="Q981" s="84"/>
      <c r="R981" s="86" t="str">
        <f t="shared" si="2"/>
        <v>Prepare for Showcase</v>
      </c>
      <c r="S981" s="82" t="b">
        <v>0</v>
      </c>
      <c r="T981" s="88"/>
      <c r="U981" s="84"/>
      <c r="V981" s="84"/>
      <c r="W981" s="84"/>
      <c r="X981" s="84"/>
      <c r="Y981" s="84"/>
      <c r="Z981" s="84"/>
      <c r="AA981" s="84"/>
    </row>
    <row r="982" ht="26.25" hidden="1" customHeight="1">
      <c r="A982" s="85"/>
      <c r="B982" s="106"/>
      <c r="C982" s="103"/>
      <c r="D982" s="93"/>
      <c r="E982" s="93"/>
      <c r="F982" s="103"/>
      <c r="G982" s="113"/>
      <c r="H982" s="113"/>
      <c r="I982" s="100"/>
      <c r="J982" s="113"/>
      <c r="K982" s="82" t="b">
        <v>0</v>
      </c>
      <c r="L982" s="94"/>
      <c r="M982" s="84">
        <f t="shared" si="1"/>
        <v>6590</v>
      </c>
      <c r="N982" s="84"/>
      <c r="O982" s="84"/>
      <c r="P982" s="84"/>
      <c r="Q982" s="84"/>
      <c r="R982" s="86" t="str">
        <f t="shared" si="2"/>
        <v>Prepare for Showcase</v>
      </c>
      <c r="S982" s="82" t="b">
        <v>0</v>
      </c>
      <c r="T982" s="88"/>
      <c r="U982" s="84"/>
      <c r="V982" s="84"/>
      <c r="W982" s="84"/>
      <c r="X982" s="84"/>
      <c r="Y982" s="84"/>
      <c r="Z982" s="84"/>
      <c r="AA982" s="84"/>
    </row>
    <row r="983" ht="26.25" hidden="1" customHeight="1">
      <c r="A983" s="85"/>
      <c r="B983" s="106"/>
      <c r="C983" s="103"/>
      <c r="D983" s="93"/>
      <c r="E983" s="93"/>
      <c r="F983" s="103"/>
      <c r="G983" s="113"/>
      <c r="H983" s="113"/>
      <c r="I983" s="100"/>
      <c r="J983" s="113"/>
      <c r="K983" s="82" t="b">
        <v>0</v>
      </c>
      <c r="L983" s="94"/>
      <c r="M983" s="84">
        <f t="shared" si="1"/>
        <v>6590</v>
      </c>
      <c r="N983" s="84"/>
      <c r="O983" s="84"/>
      <c r="P983" s="84"/>
      <c r="Q983" s="84"/>
      <c r="R983" s="86" t="str">
        <f t="shared" si="2"/>
        <v>Prepare for Showcase</v>
      </c>
      <c r="S983" s="82" t="b">
        <v>0</v>
      </c>
      <c r="T983" s="88"/>
      <c r="U983" s="84"/>
      <c r="V983" s="84"/>
      <c r="W983" s="84"/>
      <c r="X983" s="84"/>
      <c r="Y983" s="84"/>
      <c r="Z983" s="84"/>
      <c r="AA983" s="84"/>
    </row>
    <row r="984" ht="26.25" hidden="1" customHeight="1">
      <c r="A984" s="85"/>
      <c r="B984" s="106"/>
      <c r="C984" s="103"/>
      <c r="D984" s="93"/>
      <c r="E984" s="93"/>
      <c r="F984" s="103"/>
      <c r="G984" s="113"/>
      <c r="H984" s="113"/>
      <c r="I984" s="100"/>
      <c r="J984" s="113"/>
      <c r="K984" s="82" t="b">
        <v>0</v>
      </c>
      <c r="L984" s="94"/>
      <c r="M984" s="84">
        <f t="shared" si="1"/>
        <v>6590</v>
      </c>
      <c r="N984" s="84"/>
      <c r="O984" s="84"/>
      <c r="P984" s="84"/>
      <c r="Q984" s="84"/>
      <c r="R984" s="86" t="str">
        <f t="shared" si="2"/>
        <v>Prepare for Showcase</v>
      </c>
      <c r="S984" s="82" t="b">
        <v>0</v>
      </c>
      <c r="T984" s="88"/>
      <c r="U984" s="84"/>
      <c r="V984" s="84"/>
      <c r="W984" s="84"/>
      <c r="X984" s="84"/>
      <c r="Y984" s="84"/>
      <c r="Z984" s="84"/>
      <c r="AA984" s="84"/>
    </row>
    <row r="985" ht="26.25" hidden="1" customHeight="1">
      <c r="A985" s="85"/>
      <c r="B985" s="106"/>
      <c r="C985" s="103"/>
      <c r="D985" s="93"/>
      <c r="E985" s="93"/>
      <c r="F985" s="103"/>
      <c r="G985" s="113"/>
      <c r="H985" s="113"/>
      <c r="I985" s="100"/>
      <c r="J985" s="113"/>
      <c r="K985" s="82" t="b">
        <v>0</v>
      </c>
      <c r="L985" s="94"/>
      <c r="M985" s="84">
        <f t="shared" si="1"/>
        <v>6590</v>
      </c>
      <c r="N985" s="84"/>
      <c r="O985" s="84"/>
      <c r="P985" s="84"/>
      <c r="Q985" s="84"/>
      <c r="R985" s="86" t="str">
        <f t="shared" si="2"/>
        <v>Prepare for Showcase</v>
      </c>
      <c r="S985" s="82" t="b">
        <v>0</v>
      </c>
      <c r="T985" s="88"/>
      <c r="U985" s="84"/>
      <c r="V985" s="84"/>
      <c r="W985" s="84"/>
      <c r="X985" s="84"/>
      <c r="Y985" s="84"/>
      <c r="Z985" s="84"/>
      <c r="AA985" s="84"/>
    </row>
    <row r="986" ht="26.25" hidden="1" customHeight="1">
      <c r="A986" s="85"/>
      <c r="B986" s="106"/>
      <c r="C986" s="103"/>
      <c r="D986" s="93"/>
      <c r="E986" s="93"/>
      <c r="F986" s="103"/>
      <c r="G986" s="113"/>
      <c r="H986" s="113"/>
      <c r="I986" s="100"/>
      <c r="J986" s="113"/>
      <c r="K986" s="82" t="b">
        <v>0</v>
      </c>
      <c r="L986" s="94"/>
      <c r="M986" s="84">
        <f t="shared" si="1"/>
        <v>6590</v>
      </c>
      <c r="N986" s="84"/>
      <c r="O986" s="84"/>
      <c r="P986" s="84"/>
      <c r="Q986" s="84"/>
      <c r="R986" s="86" t="str">
        <f t="shared" si="2"/>
        <v>Prepare for Showcase</v>
      </c>
      <c r="S986" s="82" t="b">
        <v>0</v>
      </c>
      <c r="T986" s="88"/>
      <c r="U986" s="84"/>
      <c r="V986" s="84"/>
      <c r="W986" s="84"/>
      <c r="X986" s="84"/>
      <c r="Y986" s="84"/>
      <c r="Z986" s="84"/>
      <c r="AA986" s="84"/>
    </row>
    <row r="987" ht="26.25" hidden="1" customHeight="1">
      <c r="A987" s="85"/>
      <c r="B987" s="106"/>
      <c r="C987" s="103"/>
      <c r="D987" s="93"/>
      <c r="E987" s="93"/>
      <c r="F987" s="103"/>
      <c r="G987" s="113"/>
      <c r="H987" s="113"/>
      <c r="I987" s="100"/>
      <c r="J987" s="113"/>
      <c r="K987" s="82" t="b">
        <v>0</v>
      </c>
      <c r="L987" s="94"/>
      <c r="M987" s="84">
        <f t="shared" si="1"/>
        <v>6590</v>
      </c>
      <c r="N987" s="84"/>
      <c r="O987" s="84"/>
      <c r="P987" s="84"/>
      <c r="Q987" s="84"/>
      <c r="R987" s="86" t="str">
        <f t="shared" si="2"/>
        <v>Prepare for Showcase</v>
      </c>
      <c r="S987" s="82" t="b">
        <v>0</v>
      </c>
      <c r="T987" s="88"/>
      <c r="U987" s="84"/>
      <c r="V987" s="84"/>
      <c r="W987" s="84"/>
      <c r="X987" s="84"/>
      <c r="Y987" s="84"/>
      <c r="Z987" s="84"/>
      <c r="AA987" s="84"/>
    </row>
    <row r="988" ht="26.25" hidden="1" customHeight="1">
      <c r="A988" s="85"/>
      <c r="B988" s="106"/>
      <c r="C988" s="103"/>
      <c r="D988" s="93"/>
      <c r="E988" s="93"/>
      <c r="F988" s="103"/>
      <c r="G988" s="113"/>
      <c r="H988" s="113"/>
      <c r="I988" s="100"/>
      <c r="J988" s="113"/>
      <c r="K988" s="82" t="b">
        <v>0</v>
      </c>
      <c r="L988" s="94"/>
      <c r="M988" s="84">
        <f t="shared" si="1"/>
        <v>6590</v>
      </c>
      <c r="N988" s="84"/>
      <c r="O988" s="84"/>
      <c r="P988" s="84"/>
      <c r="Q988" s="84"/>
      <c r="R988" s="86" t="str">
        <f t="shared" si="2"/>
        <v>Prepare for Showcase</v>
      </c>
      <c r="S988" s="82" t="b">
        <v>0</v>
      </c>
      <c r="T988" s="88"/>
      <c r="U988" s="84"/>
      <c r="V988" s="84"/>
      <c r="W988" s="84"/>
      <c r="X988" s="84"/>
      <c r="Y988" s="84"/>
      <c r="Z988" s="84"/>
      <c r="AA988" s="84"/>
    </row>
    <row r="989" ht="26.25" hidden="1" customHeight="1">
      <c r="A989" s="85"/>
      <c r="B989" s="106"/>
      <c r="C989" s="103"/>
      <c r="D989" s="93"/>
      <c r="E989" s="93"/>
      <c r="F989" s="103"/>
      <c r="G989" s="113"/>
      <c r="H989" s="113"/>
      <c r="I989" s="100"/>
      <c r="J989" s="113"/>
      <c r="K989" s="82" t="b">
        <v>0</v>
      </c>
      <c r="L989" s="94"/>
      <c r="M989" s="84">
        <f t="shared" si="1"/>
        <v>6590</v>
      </c>
      <c r="N989" s="84"/>
      <c r="O989" s="84"/>
      <c r="P989" s="84"/>
      <c r="Q989" s="84"/>
      <c r="R989" s="86" t="str">
        <f t="shared" si="2"/>
        <v>Prepare for Showcase</v>
      </c>
      <c r="S989" s="82" t="b">
        <v>0</v>
      </c>
      <c r="T989" s="88"/>
      <c r="U989" s="84"/>
      <c r="V989" s="84"/>
      <c r="W989" s="84"/>
      <c r="X989" s="84"/>
      <c r="Y989" s="84"/>
      <c r="Z989" s="84"/>
      <c r="AA989" s="84"/>
    </row>
    <row r="990" ht="26.25" hidden="1" customHeight="1">
      <c r="A990" s="85"/>
      <c r="B990" s="106"/>
      <c r="C990" s="103"/>
      <c r="D990" s="93"/>
      <c r="E990" s="93"/>
      <c r="F990" s="103"/>
      <c r="G990" s="113"/>
      <c r="H990" s="113"/>
      <c r="I990" s="100"/>
      <c r="J990" s="113"/>
      <c r="K990" s="82" t="b">
        <v>0</v>
      </c>
      <c r="L990" s="94"/>
      <c r="M990" s="84">
        <f t="shared" si="1"/>
        <v>6590</v>
      </c>
      <c r="N990" s="84"/>
      <c r="O990" s="84"/>
      <c r="P990" s="84"/>
      <c r="Q990" s="84"/>
      <c r="R990" s="86" t="str">
        <f t="shared" si="2"/>
        <v>Prepare for Showcase</v>
      </c>
      <c r="S990" s="82" t="b">
        <v>0</v>
      </c>
      <c r="T990" s="88"/>
      <c r="U990" s="84"/>
      <c r="V990" s="84"/>
      <c r="W990" s="84"/>
      <c r="X990" s="84"/>
      <c r="Y990" s="84"/>
      <c r="Z990" s="84"/>
      <c r="AA990" s="84"/>
    </row>
    <row r="991" ht="26.25" hidden="1" customHeight="1">
      <c r="A991" s="85"/>
      <c r="B991" s="106"/>
      <c r="C991" s="103"/>
      <c r="D991" s="93"/>
      <c r="E991" s="93"/>
      <c r="F991" s="103"/>
      <c r="G991" s="113"/>
      <c r="H991" s="113"/>
      <c r="I991" s="100"/>
      <c r="J991" s="113"/>
      <c r="K991" s="82" t="b">
        <v>0</v>
      </c>
      <c r="L991" s="94"/>
      <c r="M991" s="84">
        <f t="shared" si="1"/>
        <v>6590</v>
      </c>
      <c r="N991" s="84"/>
      <c r="O991" s="84"/>
      <c r="P991" s="84"/>
      <c r="Q991" s="84"/>
      <c r="R991" s="86" t="str">
        <f t="shared" si="2"/>
        <v>Prepare for Showcase</v>
      </c>
      <c r="S991" s="82" t="b">
        <v>0</v>
      </c>
      <c r="T991" s="88"/>
      <c r="U991" s="84"/>
      <c r="V991" s="84"/>
      <c r="W991" s="84"/>
      <c r="X991" s="84"/>
      <c r="Y991" s="84"/>
      <c r="Z991" s="84"/>
      <c r="AA991" s="84"/>
    </row>
    <row r="992" ht="26.25" hidden="1" customHeight="1">
      <c r="A992" s="85"/>
      <c r="B992" s="106"/>
      <c r="C992" s="103"/>
      <c r="D992" s="93"/>
      <c r="E992" s="93"/>
      <c r="F992" s="103"/>
      <c r="G992" s="113"/>
      <c r="H992" s="113"/>
      <c r="I992" s="100"/>
      <c r="J992" s="113"/>
      <c r="K992" s="82" t="b">
        <v>0</v>
      </c>
      <c r="L992" s="94"/>
      <c r="M992" s="84">
        <f t="shared" si="1"/>
        <v>6590</v>
      </c>
      <c r="N992" s="84"/>
      <c r="O992" s="84"/>
      <c r="P992" s="84"/>
      <c r="Q992" s="84"/>
      <c r="R992" s="86" t="str">
        <f t="shared" si="2"/>
        <v>Prepare for Showcase</v>
      </c>
      <c r="S992" s="82" t="b">
        <v>0</v>
      </c>
      <c r="T992" s="88"/>
      <c r="U992" s="84"/>
      <c r="V992" s="84"/>
      <c r="W992" s="84"/>
      <c r="X992" s="84"/>
      <c r="Y992" s="84"/>
      <c r="Z992" s="84"/>
      <c r="AA992" s="84"/>
    </row>
    <row r="993" ht="26.25" hidden="1" customHeight="1">
      <c r="A993" s="85"/>
      <c r="B993" s="106"/>
      <c r="C993" s="103"/>
      <c r="D993" s="93"/>
      <c r="E993" s="93"/>
      <c r="F993" s="103"/>
      <c r="G993" s="113"/>
      <c r="H993" s="113"/>
      <c r="I993" s="100"/>
      <c r="J993" s="113"/>
      <c r="K993" s="82" t="b">
        <v>0</v>
      </c>
      <c r="L993" s="94"/>
      <c r="M993" s="84">
        <f t="shared" si="1"/>
        <v>6590</v>
      </c>
      <c r="N993" s="84"/>
      <c r="O993" s="84"/>
      <c r="P993" s="84"/>
      <c r="Q993" s="84"/>
      <c r="R993" s="86" t="str">
        <f t="shared" si="2"/>
        <v>Prepare for Showcase</v>
      </c>
      <c r="S993" s="82" t="b">
        <v>0</v>
      </c>
      <c r="T993" s="88"/>
      <c r="U993" s="84"/>
      <c r="V993" s="84"/>
      <c r="W993" s="84"/>
      <c r="X993" s="84"/>
      <c r="Y993" s="84"/>
      <c r="Z993" s="84"/>
      <c r="AA993" s="84"/>
    </row>
    <row r="994" ht="26.25" hidden="1" customHeight="1">
      <c r="A994" s="85"/>
      <c r="B994" s="106"/>
      <c r="C994" s="103"/>
      <c r="D994" s="93"/>
      <c r="E994" s="93"/>
      <c r="F994" s="103"/>
      <c r="G994" s="113"/>
      <c r="H994" s="113"/>
      <c r="I994" s="100"/>
      <c r="J994" s="113"/>
      <c r="K994" s="82" t="b">
        <v>0</v>
      </c>
      <c r="L994" s="94"/>
      <c r="M994" s="84">
        <f t="shared" si="1"/>
        <v>6590</v>
      </c>
      <c r="N994" s="84"/>
      <c r="O994" s="84"/>
      <c r="P994" s="84"/>
      <c r="Q994" s="84"/>
      <c r="R994" s="86" t="str">
        <f t="shared" si="2"/>
        <v>Prepare for Showcase</v>
      </c>
      <c r="S994" s="82" t="b">
        <v>0</v>
      </c>
      <c r="T994" s="88"/>
      <c r="U994" s="84"/>
      <c r="V994" s="84"/>
      <c r="W994" s="84"/>
      <c r="X994" s="84"/>
      <c r="Y994" s="84"/>
      <c r="Z994" s="84"/>
      <c r="AA994" s="84"/>
    </row>
    <row r="995" ht="26.25" hidden="1" customHeight="1">
      <c r="A995" s="85"/>
      <c r="B995" s="106"/>
      <c r="C995" s="103"/>
      <c r="D995" s="93"/>
      <c r="E995" s="93"/>
      <c r="F995" s="103"/>
      <c r="G995" s="113"/>
      <c r="H995" s="113"/>
      <c r="I995" s="100"/>
      <c r="J995" s="113"/>
      <c r="K995" s="82" t="b">
        <v>0</v>
      </c>
      <c r="L995" s="94"/>
      <c r="M995" s="84">
        <f t="shared" si="1"/>
        <v>6590</v>
      </c>
      <c r="N995" s="84"/>
      <c r="O995" s="84"/>
      <c r="P995" s="84"/>
      <c r="Q995" s="84"/>
      <c r="R995" s="86" t="str">
        <f t="shared" si="2"/>
        <v>Prepare for Showcase</v>
      </c>
      <c r="S995" s="82" t="b">
        <v>0</v>
      </c>
      <c r="T995" s="88"/>
      <c r="U995" s="84"/>
      <c r="V995" s="84"/>
      <c r="W995" s="84"/>
      <c r="X995" s="84"/>
      <c r="Y995" s="84"/>
      <c r="Z995" s="84"/>
      <c r="AA995" s="84"/>
    </row>
    <row r="996" ht="26.25" hidden="1" customHeight="1">
      <c r="A996" s="85"/>
      <c r="B996" s="106"/>
      <c r="C996" s="103"/>
      <c r="D996" s="93"/>
      <c r="E996" s="93"/>
      <c r="F996" s="103"/>
      <c r="G996" s="113"/>
      <c r="H996" s="113"/>
      <c r="I996" s="100"/>
      <c r="J996" s="113"/>
      <c r="K996" s="82" t="b">
        <v>0</v>
      </c>
      <c r="L996" s="94"/>
      <c r="M996" s="84">
        <f t="shared" si="1"/>
        <v>6590</v>
      </c>
      <c r="N996" s="84"/>
      <c r="O996" s="84"/>
      <c r="P996" s="84"/>
      <c r="Q996" s="84"/>
      <c r="R996" s="86" t="str">
        <f t="shared" si="2"/>
        <v>Prepare for Showcase</v>
      </c>
      <c r="S996" s="82" t="b">
        <v>0</v>
      </c>
      <c r="T996" s="88"/>
      <c r="U996" s="84"/>
      <c r="V996" s="84"/>
      <c r="W996" s="84"/>
      <c r="X996" s="84"/>
      <c r="Y996" s="84"/>
      <c r="Z996" s="84"/>
      <c r="AA996" s="84"/>
    </row>
    <row r="997" ht="26.25" hidden="1" customHeight="1">
      <c r="A997" s="85"/>
      <c r="B997" s="106"/>
      <c r="C997" s="103"/>
      <c r="D997" s="93"/>
      <c r="E997" s="93"/>
      <c r="F997" s="103"/>
      <c r="G997" s="113"/>
      <c r="H997" s="113"/>
      <c r="I997" s="100"/>
      <c r="J997" s="113"/>
      <c r="K997" s="82" t="b">
        <v>0</v>
      </c>
      <c r="L997" s="94"/>
      <c r="M997" s="84">
        <f t="shared" si="1"/>
        <v>6590</v>
      </c>
      <c r="N997" s="84"/>
      <c r="O997" s="84"/>
      <c r="P997" s="84"/>
      <c r="Q997" s="84"/>
      <c r="R997" s="86" t="str">
        <f t="shared" si="2"/>
        <v>Prepare for Showcase</v>
      </c>
      <c r="S997" s="82" t="b">
        <v>0</v>
      </c>
      <c r="T997" s="88"/>
      <c r="U997" s="84"/>
      <c r="V997" s="84"/>
      <c r="W997" s="84"/>
      <c r="X997" s="84"/>
      <c r="Y997" s="84"/>
      <c r="Z997" s="84"/>
      <c r="AA997" s="84"/>
    </row>
    <row r="998" ht="26.25" hidden="1" customHeight="1">
      <c r="A998" s="85"/>
      <c r="B998" s="106"/>
      <c r="C998" s="103"/>
      <c r="D998" s="93"/>
      <c r="E998" s="93"/>
      <c r="F998" s="103"/>
      <c r="G998" s="113"/>
      <c r="H998" s="113"/>
      <c r="I998" s="100"/>
      <c r="J998" s="113"/>
      <c r="K998" s="82" t="b">
        <v>0</v>
      </c>
      <c r="L998" s="94"/>
      <c r="M998" s="84">
        <f t="shared" si="1"/>
        <v>6590</v>
      </c>
      <c r="N998" s="84"/>
      <c r="O998" s="84"/>
      <c r="P998" s="84"/>
      <c r="Q998" s="84"/>
      <c r="R998" s="86" t="str">
        <f t="shared" si="2"/>
        <v>Prepare for Showcase</v>
      </c>
      <c r="S998" s="82" t="b">
        <v>0</v>
      </c>
      <c r="T998" s="88"/>
      <c r="U998" s="84"/>
      <c r="V998" s="84"/>
      <c r="W998" s="84"/>
      <c r="X998" s="84"/>
      <c r="Y998" s="84"/>
      <c r="Z998" s="84"/>
      <c r="AA998" s="84"/>
    </row>
    <row r="999" ht="26.25" hidden="1" customHeight="1">
      <c r="A999" s="85"/>
      <c r="B999" s="106"/>
      <c r="C999" s="103"/>
      <c r="D999" s="93"/>
      <c r="E999" s="93"/>
      <c r="F999" s="103"/>
      <c r="G999" s="113"/>
      <c r="H999" s="113"/>
      <c r="I999" s="100"/>
      <c r="J999" s="113"/>
      <c r="K999" s="82" t="b">
        <v>0</v>
      </c>
      <c r="L999" s="94"/>
      <c r="M999" s="84">
        <f t="shared" si="1"/>
        <v>6590</v>
      </c>
      <c r="N999" s="84"/>
      <c r="O999" s="84"/>
      <c r="P999" s="84"/>
      <c r="Q999" s="84"/>
      <c r="R999" s="86" t="str">
        <f t="shared" si="2"/>
        <v>Prepare for Showcase</v>
      </c>
      <c r="S999" s="82" t="b">
        <v>0</v>
      </c>
      <c r="T999" s="88"/>
      <c r="U999" s="84"/>
      <c r="V999" s="84"/>
      <c r="W999" s="84"/>
      <c r="X999" s="84"/>
      <c r="Y999" s="84"/>
      <c r="Z999" s="84"/>
      <c r="AA999" s="84"/>
    </row>
    <row r="1000" ht="26.25" hidden="1" customHeight="1">
      <c r="A1000" s="85"/>
      <c r="B1000" s="106"/>
      <c r="C1000" s="103"/>
      <c r="D1000" s="93"/>
      <c r="E1000" s="93"/>
      <c r="F1000" s="103"/>
      <c r="G1000" s="113"/>
      <c r="H1000" s="113"/>
      <c r="I1000" s="100"/>
      <c r="J1000" s="113"/>
      <c r="K1000" s="82" t="b">
        <v>0</v>
      </c>
      <c r="L1000" s="94"/>
      <c r="M1000" s="84">
        <f t="shared" si="1"/>
        <v>6590</v>
      </c>
      <c r="N1000" s="84"/>
      <c r="O1000" s="84"/>
      <c r="P1000" s="84"/>
      <c r="Q1000" s="84"/>
      <c r="R1000" s="86" t="str">
        <f t="shared" si="2"/>
        <v>Prepare for Showcase</v>
      </c>
      <c r="S1000" s="82" t="b">
        <v>0</v>
      </c>
      <c r="T1000" s="88"/>
      <c r="U1000" s="84"/>
      <c r="V1000" s="84"/>
      <c r="W1000" s="84"/>
      <c r="X1000" s="84"/>
      <c r="Y1000" s="84"/>
      <c r="Z1000" s="84"/>
      <c r="AA1000" s="84"/>
    </row>
    <row r="1001" ht="26.25" hidden="1" customHeight="1">
      <c r="A1001" s="85"/>
      <c r="B1001" s="106"/>
      <c r="C1001" s="103"/>
      <c r="D1001" s="93"/>
      <c r="E1001" s="93"/>
      <c r="F1001" s="103"/>
      <c r="G1001" s="113"/>
      <c r="H1001" s="113"/>
      <c r="I1001" s="100"/>
      <c r="J1001" s="113"/>
      <c r="K1001" s="82" t="b">
        <v>0</v>
      </c>
      <c r="L1001" s="94"/>
      <c r="M1001" s="84">
        <f t="shared" si="1"/>
        <v>6590</v>
      </c>
      <c r="N1001" s="84"/>
      <c r="O1001" s="84"/>
      <c r="P1001" s="84"/>
      <c r="Q1001" s="84"/>
      <c r="R1001" s="86" t="str">
        <f t="shared" si="2"/>
        <v>Prepare for Showcase</v>
      </c>
      <c r="S1001" s="82" t="b">
        <v>0</v>
      </c>
      <c r="T1001" s="88"/>
      <c r="U1001" s="84"/>
      <c r="V1001" s="84"/>
      <c r="W1001" s="84"/>
      <c r="X1001" s="84"/>
      <c r="Y1001" s="84"/>
      <c r="Z1001" s="84"/>
      <c r="AA1001" s="84"/>
    </row>
    <row r="1002" ht="26.25" hidden="1" customHeight="1">
      <c r="A1002" s="85"/>
      <c r="B1002" s="106"/>
      <c r="C1002" s="103"/>
      <c r="D1002" s="93"/>
      <c r="E1002" s="93"/>
      <c r="F1002" s="103"/>
      <c r="G1002" s="113"/>
      <c r="H1002" s="113"/>
      <c r="I1002" s="100"/>
      <c r="J1002" s="113"/>
      <c r="K1002" s="82" t="b">
        <v>0</v>
      </c>
      <c r="L1002" s="94"/>
      <c r="M1002" s="84">
        <f t="shared" si="1"/>
        <v>6590</v>
      </c>
      <c r="N1002" s="84"/>
      <c r="O1002" s="84"/>
      <c r="P1002" s="84"/>
      <c r="Q1002" s="84"/>
      <c r="R1002" s="86" t="str">
        <f t="shared" si="2"/>
        <v>Prepare for Showcase</v>
      </c>
      <c r="S1002" s="82" t="b">
        <v>0</v>
      </c>
      <c r="T1002" s="88"/>
      <c r="U1002" s="84"/>
      <c r="V1002" s="84"/>
      <c r="W1002" s="84"/>
      <c r="X1002" s="84"/>
      <c r="Y1002" s="84"/>
      <c r="Z1002" s="84"/>
      <c r="AA1002" s="84"/>
    </row>
    <row r="1003" ht="26.25" hidden="1" customHeight="1">
      <c r="A1003" s="85"/>
      <c r="B1003" s="106"/>
      <c r="C1003" s="103"/>
      <c r="D1003" s="93"/>
      <c r="E1003" s="93"/>
      <c r="F1003" s="103"/>
      <c r="G1003" s="113"/>
      <c r="H1003" s="113"/>
      <c r="I1003" s="100"/>
      <c r="J1003" s="113"/>
      <c r="K1003" s="82" t="b">
        <v>0</v>
      </c>
      <c r="L1003" s="94"/>
      <c r="M1003" s="84">
        <f t="shared" si="1"/>
        <v>6590</v>
      </c>
      <c r="N1003" s="84"/>
      <c r="O1003" s="84"/>
      <c r="P1003" s="84"/>
      <c r="Q1003" s="84"/>
      <c r="R1003" s="86" t="str">
        <f t="shared" si="2"/>
        <v>Prepare for Showcase</v>
      </c>
      <c r="S1003" s="82" t="b">
        <v>0</v>
      </c>
      <c r="T1003" s="88"/>
      <c r="U1003" s="84"/>
      <c r="V1003" s="84"/>
      <c r="W1003" s="84"/>
      <c r="X1003" s="84"/>
      <c r="Y1003" s="84"/>
      <c r="Z1003" s="84"/>
      <c r="AA1003" s="84"/>
    </row>
    <row r="1004" ht="26.25" hidden="1" customHeight="1">
      <c r="A1004" s="85"/>
      <c r="B1004" s="106"/>
      <c r="C1004" s="103"/>
      <c r="D1004" s="93"/>
      <c r="E1004" s="93"/>
      <c r="F1004" s="103"/>
      <c r="G1004" s="113"/>
      <c r="H1004" s="113"/>
      <c r="I1004" s="100"/>
      <c r="J1004" s="113"/>
      <c r="K1004" s="82" t="b">
        <v>0</v>
      </c>
      <c r="L1004" s="94"/>
      <c r="M1004" s="84">
        <f t="shared" si="1"/>
        <v>6590</v>
      </c>
      <c r="N1004" s="84"/>
      <c r="O1004" s="84"/>
      <c r="P1004" s="84"/>
      <c r="Q1004" s="84"/>
      <c r="R1004" s="86" t="str">
        <f t="shared" si="2"/>
        <v>Prepare for Showcase</v>
      </c>
      <c r="S1004" s="82" t="b">
        <v>0</v>
      </c>
      <c r="T1004" s="88"/>
      <c r="U1004" s="84"/>
      <c r="V1004" s="84"/>
      <c r="W1004" s="84"/>
      <c r="X1004" s="84"/>
      <c r="Y1004" s="84"/>
      <c r="Z1004" s="84"/>
      <c r="AA1004" s="84"/>
    </row>
    <row r="1005" ht="26.25" hidden="1" customHeight="1">
      <c r="A1005" s="85"/>
      <c r="B1005" s="106"/>
      <c r="C1005" s="103"/>
      <c r="D1005" s="93"/>
      <c r="E1005" s="93"/>
      <c r="F1005" s="103"/>
      <c r="G1005" s="113"/>
      <c r="H1005" s="113"/>
      <c r="I1005" s="100"/>
      <c r="J1005" s="113"/>
      <c r="K1005" s="82" t="b">
        <v>0</v>
      </c>
      <c r="L1005" s="94"/>
      <c r="M1005" s="84">
        <f t="shared" si="1"/>
        <v>6590</v>
      </c>
      <c r="N1005" s="84"/>
      <c r="O1005" s="84"/>
      <c r="P1005" s="84"/>
      <c r="Q1005" s="84"/>
      <c r="R1005" s="86" t="str">
        <f t="shared" si="2"/>
        <v>Prepare for Showcase</v>
      </c>
      <c r="S1005" s="82" t="b">
        <v>0</v>
      </c>
      <c r="T1005" s="88"/>
      <c r="U1005" s="84"/>
      <c r="V1005" s="84"/>
      <c r="W1005" s="84"/>
      <c r="X1005" s="84"/>
      <c r="Y1005" s="84"/>
      <c r="Z1005" s="84"/>
      <c r="AA1005" s="84"/>
    </row>
    <row r="1006" ht="26.25" hidden="1" customHeight="1">
      <c r="A1006" s="85"/>
      <c r="B1006" s="106"/>
      <c r="C1006" s="103"/>
      <c r="D1006" s="93"/>
      <c r="E1006" s="93"/>
      <c r="F1006" s="103"/>
      <c r="G1006" s="113"/>
      <c r="H1006" s="113"/>
      <c r="I1006" s="100"/>
      <c r="J1006" s="113"/>
      <c r="K1006" s="82" t="b">
        <v>0</v>
      </c>
      <c r="L1006" s="94"/>
      <c r="M1006" s="84">
        <f t="shared" si="1"/>
        <v>6590</v>
      </c>
      <c r="N1006" s="84"/>
      <c r="O1006" s="84"/>
      <c r="P1006" s="84"/>
      <c r="Q1006" s="84"/>
      <c r="R1006" s="86" t="str">
        <f t="shared" si="2"/>
        <v>Prepare for Showcase</v>
      </c>
      <c r="S1006" s="82" t="b">
        <v>0</v>
      </c>
      <c r="T1006" s="88"/>
      <c r="U1006" s="84"/>
      <c r="V1006" s="84"/>
      <c r="W1006" s="84"/>
      <c r="X1006" s="84"/>
      <c r="Y1006" s="84"/>
      <c r="Z1006" s="84"/>
      <c r="AA1006" s="84"/>
    </row>
    <row r="1007" ht="26.25" hidden="1" customHeight="1">
      <c r="A1007" s="85"/>
      <c r="B1007" s="106"/>
      <c r="C1007" s="103"/>
      <c r="D1007" s="93"/>
      <c r="E1007" s="93"/>
      <c r="F1007" s="103"/>
      <c r="G1007" s="113"/>
      <c r="H1007" s="113"/>
      <c r="I1007" s="100"/>
      <c r="J1007" s="113"/>
      <c r="K1007" s="82" t="b">
        <v>0</v>
      </c>
      <c r="L1007" s="94"/>
      <c r="M1007" s="84">
        <f t="shared" si="1"/>
        <v>6590</v>
      </c>
      <c r="N1007" s="84"/>
      <c r="O1007" s="84"/>
      <c r="P1007" s="84"/>
      <c r="Q1007" s="84"/>
      <c r="R1007" s="86" t="str">
        <f t="shared" si="2"/>
        <v>Prepare for Showcase</v>
      </c>
      <c r="S1007" s="82" t="b">
        <v>0</v>
      </c>
      <c r="T1007" s="88"/>
      <c r="U1007" s="84"/>
      <c r="V1007" s="84"/>
      <c r="W1007" s="84"/>
      <c r="X1007" s="84"/>
      <c r="Y1007" s="84"/>
      <c r="Z1007" s="84"/>
      <c r="AA1007" s="84"/>
    </row>
    <row r="1008" ht="26.25" hidden="1" customHeight="1">
      <c r="A1008" s="85"/>
      <c r="B1008" s="106"/>
      <c r="C1008" s="103"/>
      <c r="D1008" s="93"/>
      <c r="E1008" s="93"/>
      <c r="F1008" s="103"/>
      <c r="G1008" s="113"/>
      <c r="H1008" s="113"/>
      <c r="I1008" s="100"/>
      <c r="J1008" s="113"/>
      <c r="K1008" s="82" t="b">
        <v>0</v>
      </c>
      <c r="L1008" s="94"/>
      <c r="M1008" s="84">
        <f t="shared" si="1"/>
        <v>6590</v>
      </c>
      <c r="N1008" s="84"/>
      <c r="O1008" s="84"/>
      <c r="P1008" s="84"/>
      <c r="Q1008" s="84"/>
      <c r="R1008" s="86" t="str">
        <f t="shared" si="2"/>
        <v>Prepare for Showcase</v>
      </c>
      <c r="S1008" s="82" t="b">
        <v>0</v>
      </c>
      <c r="T1008" s="88"/>
      <c r="U1008" s="84"/>
      <c r="V1008" s="84"/>
      <c r="W1008" s="84"/>
      <c r="X1008" s="84"/>
      <c r="Y1008" s="84"/>
      <c r="Z1008" s="84"/>
      <c r="AA1008" s="84"/>
    </row>
    <row r="1009" ht="26.25" hidden="1" customHeight="1">
      <c r="A1009" s="85"/>
      <c r="B1009" s="106"/>
      <c r="C1009" s="103"/>
      <c r="D1009" s="93"/>
      <c r="E1009" s="93"/>
      <c r="F1009" s="103"/>
      <c r="G1009" s="113"/>
      <c r="H1009" s="113"/>
      <c r="I1009" s="100"/>
      <c r="J1009" s="113"/>
      <c r="K1009" s="82" t="b">
        <v>0</v>
      </c>
      <c r="L1009" s="94"/>
      <c r="M1009" s="84">
        <f t="shared" si="1"/>
        <v>6590</v>
      </c>
      <c r="N1009" s="84"/>
      <c r="O1009" s="84"/>
      <c r="P1009" s="84"/>
      <c r="Q1009" s="84"/>
      <c r="R1009" s="86" t="str">
        <f t="shared" si="2"/>
        <v>Prepare for Showcase</v>
      </c>
      <c r="S1009" s="82" t="b">
        <v>0</v>
      </c>
      <c r="T1009" s="88"/>
      <c r="U1009" s="84"/>
      <c r="V1009" s="84"/>
      <c r="W1009" s="84"/>
      <c r="X1009" s="84"/>
      <c r="Y1009" s="84"/>
      <c r="Z1009" s="84"/>
      <c r="AA1009" s="84"/>
    </row>
    <row r="1010" ht="26.25" hidden="1" customHeight="1">
      <c r="A1010" s="85"/>
      <c r="B1010" s="106"/>
      <c r="C1010" s="103"/>
      <c r="D1010" s="93"/>
      <c r="E1010" s="93"/>
      <c r="F1010" s="103"/>
      <c r="G1010" s="113"/>
      <c r="H1010" s="113"/>
      <c r="I1010" s="100"/>
      <c r="J1010" s="113"/>
      <c r="K1010" s="82" t="b">
        <v>0</v>
      </c>
      <c r="L1010" s="94"/>
      <c r="M1010" s="84">
        <f t="shared" si="1"/>
        <v>6590</v>
      </c>
      <c r="N1010" s="84"/>
      <c r="O1010" s="84"/>
      <c r="P1010" s="84"/>
      <c r="Q1010" s="84"/>
      <c r="R1010" s="86" t="str">
        <f t="shared" si="2"/>
        <v>Prepare for Showcase</v>
      </c>
      <c r="S1010" s="82" t="b">
        <v>0</v>
      </c>
      <c r="T1010" s="88"/>
      <c r="U1010" s="84"/>
      <c r="V1010" s="84"/>
      <c r="W1010" s="84"/>
      <c r="X1010" s="84"/>
      <c r="Y1010" s="84"/>
      <c r="Z1010" s="84"/>
      <c r="AA1010" s="84"/>
    </row>
    <row r="1011" ht="26.25" hidden="1" customHeight="1">
      <c r="A1011" s="85"/>
      <c r="B1011" s="106"/>
      <c r="C1011" s="103"/>
      <c r="D1011" s="93"/>
      <c r="E1011" s="93"/>
      <c r="F1011" s="103"/>
      <c r="G1011" s="113"/>
      <c r="H1011" s="113"/>
      <c r="I1011" s="100"/>
      <c r="J1011" s="113"/>
      <c r="K1011" s="82" t="b">
        <v>0</v>
      </c>
      <c r="L1011" s="94"/>
      <c r="M1011" s="84">
        <f t="shared" si="1"/>
        <v>6590</v>
      </c>
      <c r="N1011" s="84"/>
      <c r="O1011" s="84"/>
      <c r="P1011" s="84"/>
      <c r="Q1011" s="84"/>
      <c r="R1011" s="86" t="str">
        <f t="shared" si="2"/>
        <v>Prepare for Showcase</v>
      </c>
      <c r="S1011" s="82" t="b">
        <v>0</v>
      </c>
      <c r="T1011" s="88"/>
      <c r="U1011" s="84"/>
      <c r="V1011" s="84"/>
      <c r="W1011" s="84"/>
      <c r="X1011" s="84"/>
      <c r="Y1011" s="84"/>
      <c r="Z1011" s="84"/>
      <c r="AA1011" s="84"/>
    </row>
    <row r="1012" ht="26.25" hidden="1" customHeight="1">
      <c r="A1012" s="85"/>
      <c r="B1012" s="106"/>
      <c r="C1012" s="103"/>
      <c r="D1012" s="93"/>
      <c r="E1012" s="93"/>
      <c r="F1012" s="103"/>
      <c r="G1012" s="113"/>
      <c r="H1012" s="113"/>
      <c r="I1012" s="100"/>
      <c r="J1012" s="113"/>
      <c r="K1012" s="82" t="b">
        <v>0</v>
      </c>
      <c r="L1012" s="94"/>
      <c r="M1012" s="84">
        <f t="shared" si="1"/>
        <v>6590</v>
      </c>
      <c r="N1012" s="84"/>
      <c r="O1012" s="84"/>
      <c r="P1012" s="84"/>
      <c r="Q1012" s="84"/>
      <c r="R1012" s="86" t="str">
        <f t="shared" si="2"/>
        <v>Prepare for Showcase</v>
      </c>
      <c r="S1012" s="82" t="b">
        <v>0</v>
      </c>
      <c r="T1012" s="88"/>
      <c r="U1012" s="84"/>
      <c r="V1012" s="84"/>
      <c r="W1012" s="84"/>
      <c r="X1012" s="84"/>
      <c r="Y1012" s="84"/>
      <c r="Z1012" s="84"/>
      <c r="AA1012" s="84"/>
    </row>
    <row r="1013" ht="26.25" hidden="1" customHeight="1">
      <c r="A1013" s="85"/>
      <c r="B1013" s="106"/>
      <c r="C1013" s="103"/>
      <c r="D1013" s="93"/>
      <c r="E1013" s="93"/>
      <c r="F1013" s="103"/>
      <c r="G1013" s="113"/>
      <c r="H1013" s="113"/>
      <c r="I1013" s="100"/>
      <c r="J1013" s="113"/>
      <c r="K1013" s="82" t="b">
        <v>0</v>
      </c>
      <c r="L1013" s="94"/>
      <c r="M1013" s="84">
        <f t="shared" si="1"/>
        <v>6590</v>
      </c>
      <c r="N1013" s="84"/>
      <c r="O1013" s="84"/>
      <c r="P1013" s="84"/>
      <c r="Q1013" s="84"/>
      <c r="R1013" s="86" t="str">
        <f t="shared" si="2"/>
        <v>Prepare for Showcase</v>
      </c>
      <c r="S1013" s="82" t="b">
        <v>0</v>
      </c>
      <c r="T1013" s="88"/>
      <c r="U1013" s="84"/>
      <c r="V1013" s="84"/>
      <c r="W1013" s="84"/>
      <c r="X1013" s="84"/>
      <c r="Y1013" s="84"/>
      <c r="Z1013" s="84"/>
      <c r="AA1013" s="84"/>
    </row>
    <row r="1014" ht="26.25" hidden="1" customHeight="1">
      <c r="A1014" s="85"/>
      <c r="B1014" s="106"/>
      <c r="C1014" s="103"/>
      <c r="D1014" s="93"/>
      <c r="E1014" s="93"/>
      <c r="F1014" s="103"/>
      <c r="G1014" s="113"/>
      <c r="H1014" s="113"/>
      <c r="I1014" s="100"/>
      <c r="J1014" s="113"/>
      <c r="K1014" s="82" t="b">
        <v>0</v>
      </c>
      <c r="L1014" s="94"/>
      <c r="M1014" s="84">
        <f t="shared" si="1"/>
        <v>6590</v>
      </c>
      <c r="N1014" s="84"/>
      <c r="O1014" s="84"/>
      <c r="P1014" s="84"/>
      <c r="Q1014" s="84"/>
      <c r="R1014" s="86" t="str">
        <f t="shared" si="2"/>
        <v>Prepare for Showcase</v>
      </c>
      <c r="S1014" s="82" t="b">
        <v>0</v>
      </c>
      <c r="T1014" s="88"/>
      <c r="U1014" s="84"/>
      <c r="V1014" s="84"/>
      <c r="W1014" s="84"/>
      <c r="X1014" s="84"/>
      <c r="Y1014" s="84"/>
      <c r="Z1014" s="84"/>
      <c r="AA1014" s="84"/>
    </row>
    <row r="1015" ht="26.25" hidden="1" customHeight="1">
      <c r="A1015" s="85"/>
      <c r="B1015" s="106"/>
      <c r="C1015" s="103"/>
      <c r="D1015" s="93"/>
      <c r="E1015" s="93"/>
      <c r="F1015" s="103"/>
      <c r="G1015" s="113"/>
      <c r="H1015" s="113"/>
      <c r="I1015" s="100"/>
      <c r="J1015" s="113"/>
      <c r="K1015" s="82" t="b">
        <v>0</v>
      </c>
      <c r="L1015" s="94"/>
      <c r="M1015" s="84">
        <f t="shared" si="1"/>
        <v>6590</v>
      </c>
      <c r="N1015" s="84"/>
      <c r="O1015" s="84"/>
      <c r="P1015" s="84"/>
      <c r="Q1015" s="84"/>
      <c r="R1015" s="86" t="str">
        <f t="shared" si="2"/>
        <v>Prepare for Showcase</v>
      </c>
      <c r="S1015" s="82" t="b">
        <v>0</v>
      </c>
      <c r="T1015" s="88"/>
      <c r="U1015" s="84"/>
      <c r="V1015" s="84"/>
      <c r="W1015" s="84"/>
      <c r="X1015" s="84"/>
      <c r="Y1015" s="84"/>
      <c r="Z1015" s="84"/>
      <c r="AA1015" s="84"/>
    </row>
    <row r="1016" ht="26.25" hidden="1" customHeight="1">
      <c r="A1016" s="85"/>
      <c r="B1016" s="106"/>
      <c r="C1016" s="103"/>
      <c r="D1016" s="93"/>
      <c r="E1016" s="93"/>
      <c r="F1016" s="103"/>
      <c r="G1016" s="113"/>
      <c r="H1016" s="113"/>
      <c r="I1016" s="100"/>
      <c r="J1016" s="113"/>
      <c r="K1016" s="82" t="b">
        <v>0</v>
      </c>
      <c r="L1016" s="94"/>
      <c r="M1016" s="84">
        <f t="shared" si="1"/>
        <v>6590</v>
      </c>
      <c r="N1016" s="84"/>
      <c r="O1016" s="84"/>
      <c r="P1016" s="84"/>
      <c r="Q1016" s="84"/>
      <c r="R1016" s="86" t="str">
        <f t="shared" si="2"/>
        <v>Prepare for Showcase</v>
      </c>
      <c r="S1016" s="82" t="b">
        <v>0</v>
      </c>
      <c r="T1016" s="88"/>
      <c r="U1016" s="84"/>
      <c r="V1016" s="84"/>
      <c r="W1016" s="84"/>
      <c r="X1016" s="84"/>
      <c r="Y1016" s="84"/>
      <c r="Z1016" s="84"/>
      <c r="AA1016" s="84"/>
    </row>
    <row r="1017" ht="26.25" hidden="1" customHeight="1">
      <c r="A1017" s="85"/>
      <c r="B1017" s="106"/>
      <c r="C1017" s="103"/>
      <c r="D1017" s="93"/>
      <c r="E1017" s="93"/>
      <c r="F1017" s="103"/>
      <c r="G1017" s="113"/>
      <c r="H1017" s="113"/>
      <c r="I1017" s="100"/>
      <c r="J1017" s="113"/>
      <c r="K1017" s="82" t="b">
        <v>0</v>
      </c>
      <c r="L1017" s="94"/>
      <c r="M1017" s="84">
        <f t="shared" si="1"/>
        <v>6590</v>
      </c>
      <c r="N1017" s="84"/>
      <c r="O1017" s="84"/>
      <c r="P1017" s="84"/>
      <c r="Q1017" s="84"/>
      <c r="R1017" s="86" t="str">
        <f t="shared" si="2"/>
        <v>Prepare for Showcase</v>
      </c>
      <c r="S1017" s="82" t="b">
        <v>0</v>
      </c>
      <c r="T1017" s="88"/>
      <c r="U1017" s="84"/>
      <c r="V1017" s="84"/>
      <c r="W1017" s="84"/>
      <c r="X1017" s="84"/>
      <c r="Y1017" s="84"/>
      <c r="Z1017" s="84"/>
      <c r="AA1017" s="84"/>
    </row>
    <row r="1018" ht="26.25" hidden="1" customHeight="1">
      <c r="A1018" s="85"/>
      <c r="B1018" s="106"/>
      <c r="C1018" s="103"/>
      <c r="D1018" s="93"/>
      <c r="E1018" s="93"/>
      <c r="F1018" s="103"/>
      <c r="G1018" s="113"/>
      <c r="H1018" s="113"/>
      <c r="I1018" s="100"/>
      <c r="J1018" s="113"/>
      <c r="K1018" s="82" t="b">
        <v>0</v>
      </c>
      <c r="L1018" s="94"/>
      <c r="M1018" s="84">
        <f t="shared" si="1"/>
        <v>6590</v>
      </c>
      <c r="N1018" s="84"/>
      <c r="O1018" s="84"/>
      <c r="P1018" s="84"/>
      <c r="Q1018" s="84"/>
      <c r="R1018" s="86" t="str">
        <f t="shared" si="2"/>
        <v>Prepare for Showcase</v>
      </c>
      <c r="S1018" s="82" t="b">
        <v>0</v>
      </c>
      <c r="T1018" s="88"/>
      <c r="U1018" s="84"/>
      <c r="V1018" s="84"/>
      <c r="W1018" s="84"/>
      <c r="X1018" s="84"/>
      <c r="Y1018" s="84"/>
      <c r="Z1018" s="84"/>
      <c r="AA1018" s="84"/>
    </row>
    <row r="1019" ht="26.25" hidden="1" customHeight="1">
      <c r="A1019" s="85"/>
      <c r="B1019" s="106"/>
      <c r="C1019" s="103"/>
      <c r="D1019" s="93"/>
      <c r="E1019" s="93"/>
      <c r="F1019" s="103"/>
      <c r="G1019" s="113"/>
      <c r="H1019" s="113"/>
      <c r="I1019" s="100"/>
      <c r="J1019" s="113"/>
      <c r="K1019" s="82" t="b">
        <v>0</v>
      </c>
      <c r="L1019" s="94"/>
      <c r="M1019" s="84">
        <f t="shared" si="1"/>
        <v>6590</v>
      </c>
      <c r="N1019" s="84"/>
      <c r="O1019" s="84"/>
      <c r="P1019" s="84"/>
      <c r="Q1019" s="84"/>
      <c r="R1019" s="86" t="str">
        <f t="shared" si="2"/>
        <v>Prepare for Showcase</v>
      </c>
      <c r="S1019" s="82" t="b">
        <v>0</v>
      </c>
      <c r="T1019" s="88"/>
      <c r="U1019" s="84"/>
      <c r="V1019" s="84"/>
      <c r="W1019" s="84"/>
      <c r="X1019" s="84"/>
      <c r="Y1019" s="84"/>
      <c r="Z1019" s="84"/>
      <c r="AA1019" s="84"/>
    </row>
    <row r="1020" ht="26.25" hidden="1" customHeight="1">
      <c r="A1020" s="85"/>
      <c r="B1020" s="106"/>
      <c r="C1020" s="103"/>
      <c r="D1020" s="93"/>
      <c r="E1020" s="93"/>
      <c r="F1020" s="103"/>
      <c r="G1020" s="113"/>
      <c r="H1020" s="113"/>
      <c r="I1020" s="100"/>
      <c r="J1020" s="113"/>
      <c r="K1020" s="82" t="b">
        <v>0</v>
      </c>
      <c r="L1020" s="94"/>
      <c r="M1020" s="84">
        <f t="shared" si="1"/>
        <v>6590</v>
      </c>
      <c r="N1020" s="84"/>
      <c r="O1020" s="84"/>
      <c r="P1020" s="84"/>
      <c r="Q1020" s="84"/>
      <c r="R1020" s="86" t="str">
        <f t="shared" si="2"/>
        <v>Prepare for Showcase</v>
      </c>
      <c r="S1020" s="82" t="b">
        <v>0</v>
      </c>
      <c r="T1020" s="88"/>
      <c r="U1020" s="84"/>
      <c r="V1020" s="84"/>
      <c r="W1020" s="84"/>
      <c r="X1020" s="84"/>
      <c r="Y1020" s="84"/>
      <c r="Z1020" s="84"/>
      <c r="AA1020" s="84"/>
    </row>
    <row r="1021" ht="26.25" hidden="1" customHeight="1">
      <c r="A1021" s="85"/>
      <c r="B1021" s="106"/>
      <c r="C1021" s="103"/>
      <c r="D1021" s="93"/>
      <c r="E1021" s="93"/>
      <c r="F1021" s="103"/>
      <c r="G1021" s="113"/>
      <c r="H1021" s="113"/>
      <c r="I1021" s="100"/>
      <c r="J1021" s="113"/>
      <c r="K1021" s="82" t="b">
        <v>0</v>
      </c>
      <c r="L1021" s="94"/>
      <c r="M1021" s="84">
        <f t="shared" si="1"/>
        <v>6590</v>
      </c>
      <c r="N1021" s="84"/>
      <c r="O1021" s="84"/>
      <c r="P1021" s="84"/>
      <c r="Q1021" s="84"/>
      <c r="R1021" s="86" t="str">
        <f t="shared" si="2"/>
        <v>Prepare for Showcase</v>
      </c>
      <c r="S1021" s="82" t="b">
        <v>0</v>
      </c>
      <c r="T1021" s="88"/>
      <c r="U1021" s="84"/>
      <c r="V1021" s="84"/>
      <c r="W1021" s="84"/>
      <c r="X1021" s="84"/>
      <c r="Y1021" s="84"/>
      <c r="Z1021" s="84"/>
      <c r="AA1021" s="84"/>
    </row>
    <row r="1022" ht="26.25" hidden="1" customHeight="1">
      <c r="A1022" s="85"/>
      <c r="B1022" s="106"/>
      <c r="C1022" s="103"/>
      <c r="D1022" s="93"/>
      <c r="E1022" s="93"/>
      <c r="F1022" s="103"/>
      <c r="G1022" s="113"/>
      <c r="H1022" s="113"/>
      <c r="I1022" s="100"/>
      <c r="J1022" s="113"/>
      <c r="K1022" s="82" t="b">
        <v>0</v>
      </c>
      <c r="L1022" s="94"/>
      <c r="M1022" s="84">
        <f t="shared" si="1"/>
        <v>6590</v>
      </c>
      <c r="N1022" s="84"/>
      <c r="O1022" s="84"/>
      <c r="P1022" s="84"/>
      <c r="Q1022" s="84"/>
      <c r="R1022" s="86" t="str">
        <f t="shared" si="2"/>
        <v>Prepare for Showcase</v>
      </c>
      <c r="S1022" s="82" t="b">
        <v>0</v>
      </c>
      <c r="T1022" s="88"/>
      <c r="U1022" s="84"/>
      <c r="V1022" s="84"/>
      <c r="W1022" s="84"/>
      <c r="X1022" s="84"/>
      <c r="Y1022" s="84"/>
      <c r="Z1022" s="84"/>
      <c r="AA1022" s="84"/>
    </row>
    <row r="1023" ht="26.25" hidden="1" customHeight="1">
      <c r="A1023" s="85"/>
      <c r="B1023" s="106"/>
      <c r="C1023" s="103"/>
      <c r="D1023" s="93"/>
      <c r="E1023" s="93"/>
      <c r="F1023" s="103"/>
      <c r="G1023" s="113"/>
      <c r="H1023" s="113"/>
      <c r="I1023" s="100"/>
      <c r="J1023" s="113"/>
      <c r="K1023" s="82" t="b">
        <v>0</v>
      </c>
      <c r="L1023" s="94"/>
      <c r="M1023" s="84">
        <f t="shared" si="1"/>
        <v>6590</v>
      </c>
      <c r="N1023" s="84"/>
      <c r="O1023" s="84"/>
      <c r="P1023" s="84"/>
      <c r="Q1023" s="84"/>
      <c r="R1023" s="86" t="str">
        <f t="shared" si="2"/>
        <v>Prepare for Showcase</v>
      </c>
      <c r="S1023" s="82" t="b">
        <v>0</v>
      </c>
      <c r="T1023" s="88"/>
      <c r="U1023" s="84"/>
      <c r="V1023" s="84"/>
      <c r="W1023" s="84"/>
      <c r="X1023" s="84"/>
      <c r="Y1023" s="84"/>
      <c r="Z1023" s="84"/>
      <c r="AA1023" s="84"/>
    </row>
    <row r="1024" ht="26.25" hidden="1" customHeight="1">
      <c r="A1024" s="85"/>
      <c r="B1024" s="106"/>
      <c r="C1024" s="103"/>
      <c r="D1024" s="93"/>
      <c r="E1024" s="93"/>
      <c r="F1024" s="103"/>
      <c r="G1024" s="113"/>
      <c r="H1024" s="113"/>
      <c r="I1024" s="100"/>
      <c r="J1024" s="113"/>
      <c r="K1024" s="82" t="b">
        <v>0</v>
      </c>
      <c r="L1024" s="94"/>
      <c r="M1024" s="84">
        <f t="shared" si="1"/>
        <v>6590</v>
      </c>
      <c r="N1024" s="84"/>
      <c r="O1024" s="84"/>
      <c r="P1024" s="84"/>
      <c r="Q1024" s="84"/>
      <c r="R1024" s="86" t="str">
        <f t="shared" si="2"/>
        <v>Prepare for Showcase</v>
      </c>
      <c r="S1024" s="82" t="b">
        <v>0</v>
      </c>
      <c r="T1024" s="88"/>
      <c r="U1024" s="84"/>
      <c r="V1024" s="84"/>
      <c r="W1024" s="84"/>
      <c r="X1024" s="84"/>
      <c r="Y1024" s="84"/>
      <c r="Z1024" s="84"/>
      <c r="AA1024" s="84"/>
    </row>
    <row r="1025" ht="26.25" hidden="1" customHeight="1">
      <c r="A1025" s="85"/>
      <c r="B1025" s="106"/>
      <c r="C1025" s="103"/>
      <c r="D1025" s="93"/>
      <c r="E1025" s="93"/>
      <c r="F1025" s="103"/>
      <c r="G1025" s="113"/>
      <c r="H1025" s="113"/>
      <c r="I1025" s="100"/>
      <c r="J1025" s="113"/>
      <c r="K1025" s="82" t="b">
        <v>0</v>
      </c>
      <c r="L1025" s="94"/>
      <c r="M1025" s="84">
        <f t="shared" si="1"/>
        <v>6590</v>
      </c>
      <c r="N1025" s="84"/>
      <c r="O1025" s="84"/>
      <c r="P1025" s="84"/>
      <c r="Q1025" s="84"/>
      <c r="R1025" s="86" t="str">
        <f t="shared" si="2"/>
        <v>Prepare for Showcase</v>
      </c>
      <c r="S1025" s="82" t="b">
        <v>0</v>
      </c>
      <c r="T1025" s="88"/>
      <c r="U1025" s="84"/>
      <c r="V1025" s="84"/>
      <c r="W1025" s="84"/>
      <c r="X1025" s="84"/>
      <c r="Y1025" s="84"/>
      <c r="Z1025" s="84"/>
      <c r="AA1025" s="84"/>
    </row>
    <row r="1026" ht="26.25" hidden="1" customHeight="1">
      <c r="A1026" s="85"/>
      <c r="B1026" s="106"/>
      <c r="C1026" s="103"/>
      <c r="D1026" s="93"/>
      <c r="E1026" s="93"/>
      <c r="F1026" s="103"/>
      <c r="G1026" s="113"/>
      <c r="H1026" s="113"/>
      <c r="I1026" s="100"/>
      <c r="J1026" s="113"/>
      <c r="K1026" s="82" t="b">
        <v>0</v>
      </c>
      <c r="L1026" s="94"/>
      <c r="M1026" s="84">
        <f t="shared" si="1"/>
        <v>6590</v>
      </c>
      <c r="N1026" s="84"/>
      <c r="O1026" s="84"/>
      <c r="P1026" s="84"/>
      <c r="Q1026" s="84"/>
      <c r="R1026" s="86" t="str">
        <f t="shared" si="2"/>
        <v>Prepare for Showcase</v>
      </c>
      <c r="S1026" s="82" t="b">
        <v>0</v>
      </c>
      <c r="T1026" s="88"/>
      <c r="U1026" s="84"/>
      <c r="V1026" s="84"/>
      <c r="W1026" s="84"/>
      <c r="X1026" s="84"/>
      <c r="Y1026" s="84"/>
      <c r="Z1026" s="84"/>
      <c r="AA1026" s="84"/>
    </row>
    <row r="1027" ht="26.25" hidden="1" customHeight="1">
      <c r="A1027" s="85"/>
      <c r="B1027" s="106"/>
      <c r="C1027" s="103"/>
      <c r="D1027" s="93"/>
      <c r="E1027" s="93"/>
      <c r="F1027" s="103"/>
      <c r="G1027" s="113"/>
      <c r="H1027" s="113"/>
      <c r="I1027" s="100"/>
      <c r="J1027" s="113"/>
      <c r="K1027" s="82" t="b">
        <v>0</v>
      </c>
      <c r="L1027" s="94"/>
      <c r="M1027" s="84">
        <f t="shared" si="1"/>
        <v>6590</v>
      </c>
      <c r="N1027" s="84"/>
      <c r="O1027" s="84"/>
      <c r="P1027" s="84"/>
      <c r="Q1027" s="84"/>
      <c r="R1027" s="86" t="str">
        <f t="shared" si="2"/>
        <v>Prepare for Showcase</v>
      </c>
      <c r="S1027" s="82" t="b">
        <v>0</v>
      </c>
      <c r="T1027" s="88"/>
      <c r="U1027" s="84"/>
      <c r="V1027" s="84"/>
      <c r="W1027" s="84"/>
      <c r="X1027" s="84"/>
      <c r="Y1027" s="84"/>
      <c r="Z1027" s="84"/>
      <c r="AA1027" s="84"/>
    </row>
    <row r="1028" ht="26.25" hidden="1" customHeight="1">
      <c r="A1028" s="85"/>
      <c r="B1028" s="106"/>
      <c r="C1028" s="103"/>
      <c r="D1028" s="93"/>
      <c r="E1028" s="93"/>
      <c r="F1028" s="103"/>
      <c r="G1028" s="113"/>
      <c r="H1028" s="113"/>
      <c r="I1028" s="100"/>
      <c r="J1028" s="113"/>
      <c r="K1028" s="82" t="b">
        <v>0</v>
      </c>
      <c r="L1028" s="94"/>
      <c r="M1028" s="84">
        <f t="shared" si="1"/>
        <v>6590</v>
      </c>
      <c r="N1028" s="84"/>
      <c r="O1028" s="84"/>
      <c r="P1028" s="84"/>
      <c r="Q1028" s="84"/>
      <c r="R1028" s="86" t="str">
        <f t="shared" si="2"/>
        <v>Prepare for Showcase</v>
      </c>
      <c r="S1028" s="82" t="b">
        <v>0</v>
      </c>
      <c r="T1028" s="88"/>
      <c r="U1028" s="84"/>
      <c r="V1028" s="84"/>
      <c r="W1028" s="84"/>
      <c r="X1028" s="84"/>
      <c r="Y1028" s="84"/>
      <c r="Z1028" s="84"/>
      <c r="AA1028" s="84"/>
    </row>
    <row r="1029" ht="26.25" hidden="1" customHeight="1">
      <c r="A1029" s="85"/>
      <c r="B1029" s="106"/>
      <c r="C1029" s="103"/>
      <c r="D1029" s="93"/>
      <c r="E1029" s="93"/>
      <c r="F1029" s="103"/>
      <c r="G1029" s="113"/>
      <c r="H1029" s="113"/>
      <c r="I1029" s="100"/>
      <c r="J1029" s="113"/>
      <c r="K1029" s="82" t="b">
        <v>0</v>
      </c>
      <c r="L1029" s="94"/>
      <c r="M1029" s="84">
        <f t="shared" si="1"/>
        <v>6590</v>
      </c>
      <c r="N1029" s="84"/>
      <c r="O1029" s="84"/>
      <c r="P1029" s="84"/>
      <c r="Q1029" s="84"/>
      <c r="R1029" s="86" t="str">
        <f t="shared" si="2"/>
        <v>Prepare for Showcase</v>
      </c>
      <c r="S1029" s="82" t="b">
        <v>0</v>
      </c>
      <c r="T1029" s="88"/>
      <c r="U1029" s="84"/>
      <c r="V1029" s="84"/>
      <c r="W1029" s="84"/>
      <c r="X1029" s="84"/>
      <c r="Y1029" s="84"/>
      <c r="Z1029" s="84"/>
      <c r="AA1029" s="84"/>
    </row>
    <row r="1030" ht="26.25" hidden="1" customHeight="1">
      <c r="A1030" s="85"/>
      <c r="B1030" s="106"/>
      <c r="C1030" s="103"/>
      <c r="D1030" s="93"/>
      <c r="E1030" s="93"/>
      <c r="F1030" s="103"/>
      <c r="G1030" s="113"/>
      <c r="H1030" s="113"/>
      <c r="I1030" s="100"/>
      <c r="J1030" s="113"/>
      <c r="K1030" s="82" t="b">
        <v>0</v>
      </c>
      <c r="L1030" s="94"/>
      <c r="M1030" s="84">
        <f t="shared" si="1"/>
        <v>6590</v>
      </c>
      <c r="N1030" s="84"/>
      <c r="O1030" s="84"/>
      <c r="P1030" s="84"/>
      <c r="Q1030" s="84"/>
      <c r="R1030" s="86" t="str">
        <f t="shared" si="2"/>
        <v>Prepare for Showcase</v>
      </c>
      <c r="S1030" s="82" t="b">
        <v>0</v>
      </c>
      <c r="T1030" s="88"/>
      <c r="U1030" s="84"/>
      <c r="V1030" s="84"/>
      <c r="W1030" s="84"/>
      <c r="X1030" s="84"/>
      <c r="Y1030" s="84"/>
      <c r="Z1030" s="84"/>
      <c r="AA1030" s="84"/>
    </row>
    <row r="1031" ht="26.25" hidden="1" customHeight="1">
      <c r="A1031" s="85"/>
      <c r="B1031" s="106"/>
      <c r="C1031" s="103"/>
      <c r="D1031" s="93"/>
      <c r="E1031" s="93"/>
      <c r="F1031" s="103"/>
      <c r="G1031" s="113"/>
      <c r="H1031" s="113"/>
      <c r="I1031" s="100"/>
      <c r="J1031" s="113"/>
      <c r="K1031" s="82" t="b">
        <v>0</v>
      </c>
      <c r="L1031" s="94"/>
      <c r="M1031" s="84">
        <f t="shared" si="1"/>
        <v>6590</v>
      </c>
      <c r="N1031" s="84"/>
      <c r="O1031" s="84"/>
      <c r="P1031" s="84"/>
      <c r="Q1031" s="84"/>
      <c r="R1031" s="86" t="str">
        <f t="shared" si="2"/>
        <v>Prepare for Showcase</v>
      </c>
      <c r="S1031" s="82" t="b">
        <v>0</v>
      </c>
      <c r="T1031" s="88"/>
      <c r="U1031" s="84"/>
      <c r="V1031" s="84"/>
      <c r="W1031" s="84"/>
      <c r="X1031" s="84"/>
      <c r="Y1031" s="84"/>
      <c r="Z1031" s="84"/>
      <c r="AA1031" s="84"/>
    </row>
    <row r="1032" ht="26.25" hidden="1" customHeight="1">
      <c r="A1032" s="85"/>
      <c r="B1032" s="106"/>
      <c r="C1032" s="103"/>
      <c r="D1032" s="93"/>
      <c r="E1032" s="93"/>
      <c r="F1032" s="103"/>
      <c r="G1032" s="113"/>
      <c r="H1032" s="113"/>
      <c r="I1032" s="100"/>
      <c r="J1032" s="113"/>
      <c r="K1032" s="82" t="b">
        <v>0</v>
      </c>
      <c r="L1032" s="94"/>
      <c r="M1032" s="84">
        <f t="shared" si="1"/>
        <v>6590</v>
      </c>
      <c r="N1032" s="84"/>
      <c r="O1032" s="84"/>
      <c r="P1032" s="84"/>
      <c r="Q1032" s="84"/>
      <c r="R1032" s="86" t="str">
        <f t="shared" si="2"/>
        <v>Prepare for Showcase</v>
      </c>
      <c r="S1032" s="82" t="b">
        <v>0</v>
      </c>
      <c r="T1032" s="88"/>
      <c r="U1032" s="84"/>
      <c r="V1032" s="84"/>
      <c r="W1032" s="84"/>
      <c r="X1032" s="84"/>
      <c r="Y1032" s="84"/>
      <c r="Z1032" s="84"/>
      <c r="AA1032" s="84"/>
    </row>
    <row r="1033" ht="26.25" hidden="1" customHeight="1">
      <c r="A1033" s="85"/>
      <c r="B1033" s="106"/>
      <c r="C1033" s="103"/>
      <c r="D1033" s="93"/>
      <c r="E1033" s="93"/>
      <c r="F1033" s="103"/>
      <c r="G1033" s="113"/>
      <c r="H1033" s="113"/>
      <c r="I1033" s="100"/>
      <c r="J1033" s="113"/>
      <c r="K1033" s="82" t="b">
        <v>0</v>
      </c>
      <c r="L1033" s="94"/>
      <c r="M1033" s="84">
        <f t="shared" si="1"/>
        <v>6590</v>
      </c>
      <c r="N1033" s="84"/>
      <c r="O1033" s="84"/>
      <c r="P1033" s="84"/>
      <c r="Q1033" s="84"/>
      <c r="R1033" s="86" t="str">
        <f t="shared" si="2"/>
        <v>Prepare for Showcase</v>
      </c>
      <c r="S1033" s="82" t="b">
        <v>0</v>
      </c>
      <c r="T1033" s="88"/>
      <c r="U1033" s="84"/>
      <c r="V1033" s="84"/>
      <c r="W1033" s="84"/>
      <c r="X1033" s="84"/>
      <c r="Y1033" s="84"/>
      <c r="Z1033" s="84"/>
      <c r="AA1033" s="84"/>
    </row>
    <row r="1034" ht="26.25" hidden="1" customHeight="1">
      <c r="A1034" s="85"/>
      <c r="B1034" s="106"/>
      <c r="C1034" s="103"/>
      <c r="D1034" s="93"/>
      <c r="E1034" s="93"/>
      <c r="F1034" s="103"/>
      <c r="G1034" s="113"/>
      <c r="H1034" s="113"/>
      <c r="I1034" s="100"/>
      <c r="J1034" s="113"/>
      <c r="K1034" s="82" t="b">
        <v>0</v>
      </c>
      <c r="L1034" s="94"/>
      <c r="M1034" s="84">
        <f t="shared" si="1"/>
        <v>6590</v>
      </c>
      <c r="N1034" s="84"/>
      <c r="O1034" s="84"/>
      <c r="P1034" s="84"/>
      <c r="Q1034" s="84"/>
      <c r="R1034" s="86" t="str">
        <f t="shared" si="2"/>
        <v>Prepare for Showcase</v>
      </c>
      <c r="S1034" s="82" t="b">
        <v>0</v>
      </c>
      <c r="T1034" s="88"/>
      <c r="U1034" s="84"/>
      <c r="V1034" s="84"/>
      <c r="W1034" s="84"/>
      <c r="X1034" s="84"/>
      <c r="Y1034" s="84"/>
      <c r="Z1034" s="84"/>
      <c r="AA1034" s="84"/>
    </row>
    <row r="1035" ht="26.25" hidden="1" customHeight="1">
      <c r="A1035" s="85"/>
      <c r="B1035" s="106"/>
      <c r="C1035" s="103"/>
      <c r="D1035" s="93"/>
      <c r="E1035" s="93"/>
      <c r="F1035" s="103"/>
      <c r="G1035" s="113"/>
      <c r="H1035" s="113"/>
      <c r="I1035" s="100"/>
      <c r="J1035" s="113"/>
      <c r="K1035" s="82" t="b">
        <v>0</v>
      </c>
      <c r="L1035" s="94"/>
      <c r="M1035" s="84">
        <f t="shared" si="1"/>
        <v>6590</v>
      </c>
      <c r="N1035" s="84"/>
      <c r="O1035" s="84"/>
      <c r="P1035" s="84"/>
      <c r="Q1035" s="84"/>
      <c r="R1035" s="86" t="str">
        <f t="shared" si="2"/>
        <v>Prepare for Showcase</v>
      </c>
      <c r="S1035" s="82" t="b">
        <v>0</v>
      </c>
      <c r="T1035" s="88"/>
      <c r="U1035" s="84"/>
      <c r="V1035" s="84"/>
      <c r="W1035" s="84"/>
      <c r="X1035" s="84"/>
      <c r="Y1035" s="84"/>
      <c r="Z1035" s="84"/>
      <c r="AA1035" s="84"/>
    </row>
    <row r="1036" ht="26.25" hidden="1" customHeight="1">
      <c r="A1036" s="85"/>
      <c r="B1036" s="106"/>
      <c r="C1036" s="103"/>
      <c r="D1036" s="93"/>
      <c r="E1036" s="93"/>
      <c r="F1036" s="103"/>
      <c r="G1036" s="113"/>
      <c r="H1036" s="113"/>
      <c r="I1036" s="100"/>
      <c r="J1036" s="113"/>
      <c r="K1036" s="82" t="b">
        <v>0</v>
      </c>
      <c r="L1036" s="94"/>
      <c r="M1036" s="84">
        <f t="shared" si="1"/>
        <v>6590</v>
      </c>
      <c r="N1036" s="84"/>
      <c r="O1036" s="84"/>
      <c r="P1036" s="84"/>
      <c r="Q1036" s="84"/>
      <c r="R1036" s="86" t="str">
        <f t="shared" si="2"/>
        <v>Prepare for Showcase</v>
      </c>
      <c r="S1036" s="82" t="b">
        <v>0</v>
      </c>
      <c r="T1036" s="88"/>
      <c r="U1036" s="84"/>
      <c r="V1036" s="84"/>
      <c r="W1036" s="84"/>
      <c r="X1036" s="84"/>
      <c r="Y1036" s="84"/>
      <c r="Z1036" s="84"/>
      <c r="AA1036" s="84"/>
    </row>
    <row r="1037" ht="26.25" hidden="1" customHeight="1">
      <c r="A1037" s="85"/>
      <c r="B1037" s="106"/>
      <c r="C1037" s="103"/>
      <c r="D1037" s="93"/>
      <c r="E1037" s="93"/>
      <c r="F1037" s="103"/>
      <c r="G1037" s="113"/>
      <c r="H1037" s="113"/>
      <c r="I1037" s="100"/>
      <c r="J1037" s="113"/>
      <c r="K1037" s="82" t="b">
        <v>0</v>
      </c>
      <c r="L1037" s="94"/>
      <c r="M1037" s="84">
        <f t="shared" si="1"/>
        <v>6590</v>
      </c>
      <c r="N1037" s="84"/>
      <c r="O1037" s="84"/>
      <c r="P1037" s="84"/>
      <c r="Q1037" s="84"/>
      <c r="R1037" s="86" t="str">
        <f t="shared" si="2"/>
        <v>Prepare for Showcase</v>
      </c>
      <c r="S1037" s="82" t="b">
        <v>0</v>
      </c>
      <c r="T1037" s="88"/>
      <c r="U1037" s="84"/>
      <c r="V1037" s="84"/>
      <c r="W1037" s="84"/>
      <c r="X1037" s="84"/>
      <c r="Y1037" s="84"/>
      <c r="Z1037" s="84"/>
      <c r="AA1037" s="84"/>
    </row>
    <row r="1038" ht="26.25" hidden="1" customHeight="1">
      <c r="A1038" s="85"/>
      <c r="B1038" s="106"/>
      <c r="C1038" s="103"/>
      <c r="D1038" s="93"/>
      <c r="E1038" s="93"/>
      <c r="F1038" s="103"/>
      <c r="G1038" s="113"/>
      <c r="H1038" s="113"/>
      <c r="I1038" s="100"/>
      <c r="J1038" s="113"/>
      <c r="K1038" s="82" t="b">
        <v>0</v>
      </c>
      <c r="L1038" s="94"/>
      <c r="M1038" s="84">
        <f t="shared" si="1"/>
        <v>6590</v>
      </c>
      <c r="N1038" s="84"/>
      <c r="O1038" s="84"/>
      <c r="P1038" s="84"/>
      <c r="Q1038" s="84"/>
      <c r="R1038" s="86" t="str">
        <f t="shared" si="2"/>
        <v>Prepare for Showcase</v>
      </c>
      <c r="S1038" s="82" t="b">
        <v>0</v>
      </c>
      <c r="T1038" s="88"/>
      <c r="U1038" s="84"/>
      <c r="V1038" s="84"/>
      <c r="W1038" s="84"/>
      <c r="X1038" s="84"/>
      <c r="Y1038" s="84"/>
      <c r="Z1038" s="84"/>
      <c r="AA1038" s="84"/>
    </row>
    <row r="1039" ht="26.25" hidden="1" customHeight="1">
      <c r="A1039" s="85"/>
      <c r="B1039" s="106"/>
      <c r="C1039" s="103"/>
      <c r="D1039" s="93"/>
      <c r="E1039" s="93"/>
      <c r="F1039" s="103"/>
      <c r="G1039" s="113"/>
      <c r="H1039" s="113"/>
      <c r="I1039" s="100"/>
      <c r="J1039" s="113"/>
      <c r="K1039" s="82" t="b">
        <v>0</v>
      </c>
      <c r="L1039" s="94"/>
      <c r="M1039" s="84">
        <f t="shared" si="1"/>
        <v>6590</v>
      </c>
      <c r="N1039" s="84"/>
      <c r="O1039" s="84"/>
      <c r="P1039" s="84"/>
      <c r="Q1039" s="84"/>
      <c r="R1039" s="86" t="str">
        <f t="shared" si="2"/>
        <v>Prepare for Showcase</v>
      </c>
      <c r="S1039" s="82" t="b">
        <v>0</v>
      </c>
      <c r="T1039" s="88"/>
      <c r="U1039" s="84"/>
      <c r="V1039" s="84"/>
      <c r="W1039" s="84"/>
      <c r="X1039" s="84"/>
      <c r="Y1039" s="84"/>
      <c r="Z1039" s="84"/>
      <c r="AA1039" s="84"/>
    </row>
    <row r="1040" ht="26.25" hidden="1" customHeight="1">
      <c r="A1040" s="85"/>
      <c r="B1040" s="106"/>
      <c r="C1040" s="103"/>
      <c r="D1040" s="93"/>
      <c r="E1040" s="93"/>
      <c r="F1040" s="103"/>
      <c r="G1040" s="113"/>
      <c r="H1040" s="113"/>
      <c r="I1040" s="100"/>
      <c r="J1040" s="113"/>
      <c r="K1040" s="82" t="b">
        <v>0</v>
      </c>
      <c r="L1040" s="94"/>
      <c r="M1040" s="84">
        <f t="shared" si="1"/>
        <v>6590</v>
      </c>
      <c r="N1040" s="84"/>
      <c r="O1040" s="84"/>
      <c r="P1040" s="84"/>
      <c r="Q1040" s="84"/>
      <c r="R1040" s="86" t="str">
        <f t="shared" si="2"/>
        <v>Prepare for Showcase</v>
      </c>
      <c r="S1040" s="82" t="b">
        <v>0</v>
      </c>
      <c r="T1040" s="88"/>
      <c r="U1040" s="84"/>
      <c r="V1040" s="84"/>
      <c r="W1040" s="84"/>
      <c r="X1040" s="84"/>
      <c r="Y1040" s="84"/>
      <c r="Z1040" s="84"/>
      <c r="AA1040" s="84"/>
    </row>
    <row r="1041" ht="26.25" hidden="1" customHeight="1">
      <c r="A1041" s="85"/>
      <c r="B1041" s="106"/>
      <c r="C1041" s="103"/>
      <c r="D1041" s="93"/>
      <c r="E1041" s="93"/>
      <c r="F1041" s="103"/>
      <c r="G1041" s="113"/>
      <c r="H1041" s="113"/>
      <c r="I1041" s="100"/>
      <c r="J1041" s="113"/>
      <c r="K1041" s="82" t="b">
        <v>0</v>
      </c>
      <c r="L1041" s="94"/>
      <c r="M1041" s="84">
        <f t="shared" si="1"/>
        <v>6590</v>
      </c>
      <c r="N1041" s="84"/>
      <c r="O1041" s="84"/>
      <c r="P1041" s="84"/>
      <c r="Q1041" s="84"/>
      <c r="R1041" s="86" t="str">
        <f t="shared" si="2"/>
        <v>Prepare for Showcase</v>
      </c>
      <c r="S1041" s="82" t="b">
        <v>0</v>
      </c>
      <c r="T1041" s="88"/>
      <c r="U1041" s="84"/>
      <c r="V1041" s="84"/>
      <c r="W1041" s="84"/>
      <c r="X1041" s="84"/>
      <c r="Y1041" s="84"/>
      <c r="Z1041" s="84"/>
      <c r="AA1041" s="84"/>
    </row>
    <row r="1042" ht="26.25" hidden="1" customHeight="1">
      <c r="A1042" s="85"/>
      <c r="B1042" s="106"/>
      <c r="C1042" s="103"/>
      <c r="D1042" s="93"/>
      <c r="E1042" s="93"/>
      <c r="F1042" s="103"/>
      <c r="G1042" s="113"/>
      <c r="H1042" s="113"/>
      <c r="I1042" s="100"/>
      <c r="J1042" s="113"/>
      <c r="K1042" s="82" t="b">
        <v>0</v>
      </c>
      <c r="L1042" s="94"/>
      <c r="M1042" s="84">
        <f t="shared" si="1"/>
        <v>6590</v>
      </c>
      <c r="N1042" s="84"/>
      <c r="O1042" s="84"/>
      <c r="P1042" s="84"/>
      <c r="Q1042" s="84"/>
      <c r="R1042" s="86" t="str">
        <f t="shared" si="2"/>
        <v>Prepare for Showcase</v>
      </c>
      <c r="S1042" s="82" t="b">
        <v>0</v>
      </c>
      <c r="T1042" s="88"/>
      <c r="U1042" s="84"/>
      <c r="V1042" s="84"/>
      <c r="W1042" s="84"/>
      <c r="X1042" s="84"/>
      <c r="Y1042" s="84"/>
      <c r="Z1042" s="84"/>
      <c r="AA1042" s="84"/>
    </row>
    <row r="1043" ht="26.25" hidden="1" customHeight="1">
      <c r="A1043" s="85"/>
      <c r="B1043" s="106"/>
      <c r="C1043" s="103"/>
      <c r="D1043" s="93"/>
      <c r="E1043" s="93"/>
      <c r="F1043" s="103"/>
      <c r="G1043" s="113"/>
      <c r="H1043" s="113"/>
      <c r="I1043" s="100"/>
      <c r="J1043" s="113"/>
      <c r="K1043" s="82" t="b">
        <v>0</v>
      </c>
      <c r="L1043" s="94"/>
      <c r="M1043" s="84">
        <f t="shared" si="1"/>
        <v>6590</v>
      </c>
      <c r="N1043" s="84"/>
      <c r="O1043" s="84"/>
      <c r="P1043" s="84"/>
      <c r="Q1043" s="84"/>
      <c r="R1043" s="86" t="str">
        <f t="shared" si="2"/>
        <v>Prepare for Showcase</v>
      </c>
      <c r="S1043" s="82" t="b">
        <v>0</v>
      </c>
      <c r="T1043" s="88"/>
      <c r="U1043" s="84"/>
      <c r="V1043" s="84"/>
      <c r="W1043" s="84"/>
      <c r="X1043" s="84"/>
      <c r="Y1043" s="84"/>
      <c r="Z1043" s="84"/>
      <c r="AA1043" s="84"/>
    </row>
    <row r="1044" ht="26.25" hidden="1" customHeight="1">
      <c r="A1044" s="85"/>
      <c r="B1044" s="106"/>
      <c r="C1044" s="103"/>
      <c r="D1044" s="93"/>
      <c r="E1044" s="93"/>
      <c r="F1044" s="103"/>
      <c r="G1044" s="113"/>
      <c r="H1044" s="113"/>
      <c r="I1044" s="100"/>
      <c r="J1044" s="113"/>
      <c r="K1044" s="82" t="b">
        <v>0</v>
      </c>
      <c r="L1044" s="94"/>
      <c r="M1044" s="84">
        <f t="shared" si="1"/>
        <v>6590</v>
      </c>
      <c r="N1044" s="84"/>
      <c r="O1044" s="84"/>
      <c r="P1044" s="84"/>
      <c r="Q1044" s="84"/>
      <c r="R1044" s="86" t="str">
        <f t="shared" si="2"/>
        <v>Prepare for Showcase</v>
      </c>
      <c r="S1044" s="82" t="b">
        <v>0</v>
      </c>
      <c r="T1044" s="88"/>
      <c r="U1044" s="84"/>
      <c r="V1044" s="84"/>
      <c r="W1044" s="84"/>
      <c r="X1044" s="84"/>
      <c r="Y1044" s="84"/>
      <c r="Z1044" s="84"/>
      <c r="AA1044" s="84"/>
    </row>
    <row r="1045" ht="26.25" hidden="1" customHeight="1">
      <c r="A1045" s="85"/>
      <c r="B1045" s="106"/>
      <c r="C1045" s="103"/>
      <c r="D1045" s="93"/>
      <c r="E1045" s="93"/>
      <c r="F1045" s="103"/>
      <c r="G1045" s="113"/>
      <c r="H1045" s="113"/>
      <c r="I1045" s="100"/>
      <c r="J1045" s="113"/>
      <c r="K1045" s="82" t="b">
        <v>0</v>
      </c>
      <c r="L1045" s="94"/>
      <c r="M1045" s="84">
        <f t="shared" si="1"/>
        <v>6590</v>
      </c>
      <c r="N1045" s="84"/>
      <c r="O1045" s="84"/>
      <c r="P1045" s="84"/>
      <c r="Q1045" s="84"/>
      <c r="R1045" s="86" t="str">
        <f t="shared" si="2"/>
        <v>Prepare for Showcase</v>
      </c>
      <c r="S1045" s="82" t="b">
        <v>0</v>
      </c>
      <c r="T1045" s="88"/>
      <c r="U1045" s="84"/>
      <c r="V1045" s="84"/>
      <c r="W1045" s="84"/>
      <c r="X1045" s="84"/>
      <c r="Y1045" s="84"/>
      <c r="Z1045" s="84"/>
      <c r="AA1045" s="84"/>
    </row>
    <row r="1046" ht="26.25" hidden="1" customHeight="1">
      <c r="A1046" s="85"/>
      <c r="B1046" s="106"/>
      <c r="C1046" s="103"/>
      <c r="D1046" s="93"/>
      <c r="E1046" s="93"/>
      <c r="F1046" s="103"/>
      <c r="G1046" s="113"/>
      <c r="H1046" s="113"/>
      <c r="I1046" s="100"/>
      <c r="J1046" s="113"/>
      <c r="K1046" s="82" t="b">
        <v>0</v>
      </c>
      <c r="L1046" s="94"/>
      <c r="M1046" s="84">
        <f t="shared" si="1"/>
        <v>6590</v>
      </c>
      <c r="N1046" s="84"/>
      <c r="O1046" s="84"/>
      <c r="P1046" s="84"/>
      <c r="Q1046" s="84"/>
      <c r="R1046" s="86" t="str">
        <f t="shared" si="2"/>
        <v>Prepare for Showcase</v>
      </c>
      <c r="S1046" s="82" t="b">
        <v>0</v>
      </c>
      <c r="T1046" s="88"/>
      <c r="U1046" s="84"/>
      <c r="V1046" s="84"/>
      <c r="W1046" s="84"/>
      <c r="X1046" s="84"/>
      <c r="Y1046" s="84"/>
      <c r="Z1046" s="84"/>
      <c r="AA1046" s="84"/>
    </row>
    <row r="1047" ht="26.25" hidden="1" customHeight="1">
      <c r="A1047" s="85"/>
      <c r="B1047" s="106"/>
      <c r="C1047" s="103"/>
      <c r="D1047" s="93"/>
      <c r="E1047" s="93"/>
      <c r="F1047" s="103"/>
      <c r="G1047" s="113"/>
      <c r="H1047" s="113"/>
      <c r="I1047" s="100"/>
      <c r="J1047" s="113"/>
      <c r="K1047" s="82" t="b">
        <v>0</v>
      </c>
      <c r="L1047" s="94"/>
      <c r="M1047" s="84">
        <f t="shared" si="1"/>
        <v>6590</v>
      </c>
      <c r="N1047" s="84"/>
      <c r="O1047" s="84"/>
      <c r="P1047" s="84"/>
      <c r="Q1047" s="84"/>
      <c r="R1047" s="86" t="str">
        <f t="shared" si="2"/>
        <v>Prepare for Showcase</v>
      </c>
      <c r="S1047" s="82" t="b">
        <v>0</v>
      </c>
      <c r="T1047" s="88"/>
      <c r="U1047" s="84"/>
      <c r="V1047" s="84"/>
      <c r="W1047" s="84"/>
      <c r="X1047" s="84"/>
      <c r="Y1047" s="84"/>
      <c r="Z1047" s="84"/>
      <c r="AA1047" s="84"/>
    </row>
    <row r="1048" ht="26.25" hidden="1" customHeight="1">
      <c r="A1048" s="85"/>
      <c r="B1048" s="106"/>
      <c r="C1048" s="103"/>
      <c r="D1048" s="93"/>
      <c r="E1048" s="93"/>
      <c r="F1048" s="103"/>
      <c r="G1048" s="113"/>
      <c r="H1048" s="113"/>
      <c r="I1048" s="100"/>
      <c r="J1048" s="113"/>
      <c r="K1048" s="82" t="b">
        <v>0</v>
      </c>
      <c r="L1048" s="94"/>
      <c r="M1048" s="84">
        <f t="shared" si="1"/>
        <v>6590</v>
      </c>
      <c r="N1048" s="84"/>
      <c r="O1048" s="84"/>
      <c r="P1048" s="84"/>
      <c r="Q1048" s="84"/>
      <c r="R1048" s="86" t="str">
        <f t="shared" si="2"/>
        <v>Prepare for Showcase</v>
      </c>
      <c r="S1048" s="82" t="b">
        <v>0</v>
      </c>
      <c r="T1048" s="88"/>
      <c r="U1048" s="84"/>
      <c r="V1048" s="84"/>
      <c r="W1048" s="84"/>
      <c r="X1048" s="84"/>
      <c r="Y1048" s="84"/>
      <c r="Z1048" s="84"/>
      <c r="AA1048" s="84"/>
    </row>
    <row r="1049" ht="26.25" hidden="1" customHeight="1">
      <c r="A1049" s="85"/>
      <c r="B1049" s="106"/>
      <c r="C1049" s="103"/>
      <c r="D1049" s="93"/>
      <c r="E1049" s="93"/>
      <c r="F1049" s="103"/>
      <c r="G1049" s="113"/>
      <c r="H1049" s="113"/>
      <c r="I1049" s="100"/>
      <c r="J1049" s="113"/>
      <c r="K1049" s="82" t="b">
        <v>0</v>
      </c>
      <c r="L1049" s="94"/>
      <c r="M1049" s="84">
        <f t="shared" si="1"/>
        <v>6590</v>
      </c>
      <c r="N1049" s="84"/>
      <c r="O1049" s="84"/>
      <c r="P1049" s="84"/>
      <c r="Q1049" s="84"/>
      <c r="R1049" s="86" t="str">
        <f t="shared" si="2"/>
        <v>Prepare for Showcase</v>
      </c>
      <c r="S1049" s="82" t="b">
        <v>0</v>
      </c>
      <c r="T1049" s="88"/>
      <c r="U1049" s="84"/>
      <c r="V1049" s="84"/>
      <c r="W1049" s="84"/>
      <c r="X1049" s="84"/>
      <c r="Y1049" s="84"/>
      <c r="Z1049" s="84"/>
      <c r="AA1049" s="84"/>
    </row>
    <row r="1050" ht="26.25" hidden="1" customHeight="1">
      <c r="A1050" s="85"/>
      <c r="B1050" s="106"/>
      <c r="C1050" s="103"/>
      <c r="D1050" s="93"/>
      <c r="E1050" s="93"/>
      <c r="F1050" s="103"/>
      <c r="G1050" s="113"/>
      <c r="H1050" s="113"/>
      <c r="I1050" s="100"/>
      <c r="J1050" s="113"/>
      <c r="K1050" s="82" t="b">
        <v>0</v>
      </c>
      <c r="L1050" s="94"/>
      <c r="M1050" s="84">
        <f t="shared" si="1"/>
        <v>6590</v>
      </c>
      <c r="N1050" s="84"/>
      <c r="O1050" s="84"/>
      <c r="P1050" s="84"/>
      <c r="Q1050" s="84"/>
      <c r="R1050" s="86" t="str">
        <f t="shared" si="2"/>
        <v>Prepare for Showcase</v>
      </c>
      <c r="S1050" s="82" t="b">
        <v>0</v>
      </c>
      <c r="T1050" s="88"/>
      <c r="U1050" s="84"/>
      <c r="V1050" s="84"/>
      <c r="W1050" s="84"/>
      <c r="X1050" s="84"/>
      <c r="Y1050" s="84"/>
      <c r="Z1050" s="84"/>
      <c r="AA1050" s="84"/>
    </row>
    <row r="1051" ht="26.25" hidden="1" customHeight="1">
      <c r="A1051" s="85"/>
      <c r="B1051" s="106"/>
      <c r="C1051" s="103"/>
      <c r="D1051" s="93"/>
      <c r="E1051" s="93"/>
      <c r="F1051" s="103"/>
      <c r="G1051" s="113"/>
      <c r="H1051" s="113"/>
      <c r="I1051" s="100"/>
      <c r="J1051" s="113"/>
      <c r="K1051" s="82" t="b">
        <v>0</v>
      </c>
      <c r="L1051" s="94"/>
      <c r="M1051" s="84">
        <f t="shared" si="1"/>
        <v>6590</v>
      </c>
      <c r="N1051" s="84"/>
      <c r="O1051" s="84"/>
      <c r="P1051" s="84"/>
      <c r="Q1051" s="84"/>
      <c r="R1051" s="86" t="str">
        <f t="shared" si="2"/>
        <v>Prepare for Showcase</v>
      </c>
      <c r="S1051" s="82" t="b">
        <v>0</v>
      </c>
      <c r="T1051" s="88"/>
      <c r="U1051" s="84"/>
      <c r="V1051" s="84"/>
      <c r="W1051" s="84"/>
      <c r="X1051" s="84"/>
      <c r="Y1051" s="84"/>
      <c r="Z1051" s="84"/>
      <c r="AA1051" s="84"/>
    </row>
    <row r="1052" ht="26.25" hidden="1" customHeight="1">
      <c r="A1052" s="85"/>
      <c r="B1052" s="106"/>
      <c r="C1052" s="103"/>
      <c r="D1052" s="93"/>
      <c r="E1052" s="93"/>
      <c r="F1052" s="103"/>
      <c r="G1052" s="113"/>
      <c r="H1052" s="113"/>
      <c r="I1052" s="100"/>
      <c r="J1052" s="113"/>
      <c r="K1052" s="82" t="b">
        <v>0</v>
      </c>
      <c r="L1052" s="94"/>
      <c r="M1052" s="84">
        <f t="shared" si="1"/>
        <v>6590</v>
      </c>
      <c r="N1052" s="84"/>
      <c r="O1052" s="84"/>
      <c r="P1052" s="84"/>
      <c r="Q1052" s="84"/>
      <c r="R1052" s="86" t="str">
        <f t="shared" si="2"/>
        <v>Prepare for Showcase</v>
      </c>
      <c r="S1052" s="82" t="b">
        <v>0</v>
      </c>
      <c r="T1052" s="88"/>
      <c r="U1052" s="84"/>
      <c r="V1052" s="84"/>
      <c r="W1052" s="84"/>
      <c r="X1052" s="84"/>
      <c r="Y1052" s="84"/>
      <c r="Z1052" s="84"/>
      <c r="AA1052" s="84"/>
    </row>
    <row r="1053" ht="26.25" hidden="1" customHeight="1">
      <c r="A1053" s="85"/>
      <c r="B1053" s="106"/>
      <c r="C1053" s="103"/>
      <c r="D1053" s="93"/>
      <c r="E1053" s="93"/>
      <c r="F1053" s="103"/>
      <c r="G1053" s="113"/>
      <c r="H1053" s="113"/>
      <c r="I1053" s="100"/>
      <c r="J1053" s="113"/>
      <c r="K1053" s="82" t="b">
        <v>0</v>
      </c>
      <c r="L1053" s="94"/>
      <c r="M1053" s="84">
        <f t="shared" si="1"/>
        <v>6590</v>
      </c>
      <c r="N1053" s="84"/>
      <c r="O1053" s="84"/>
      <c r="P1053" s="84"/>
      <c r="Q1053" s="84"/>
      <c r="R1053" s="86" t="str">
        <f t="shared" si="2"/>
        <v>Prepare for Showcase</v>
      </c>
      <c r="S1053" s="82" t="b">
        <v>0</v>
      </c>
      <c r="T1053" s="88"/>
      <c r="U1053" s="84"/>
      <c r="V1053" s="84"/>
      <c r="W1053" s="84"/>
      <c r="X1053" s="84"/>
      <c r="Y1053" s="84"/>
      <c r="Z1053" s="84"/>
      <c r="AA1053" s="84"/>
    </row>
    <row r="1054" ht="26.25" hidden="1" customHeight="1">
      <c r="A1054" s="85"/>
      <c r="B1054" s="106"/>
      <c r="C1054" s="103"/>
      <c r="D1054" s="93"/>
      <c r="E1054" s="93"/>
      <c r="F1054" s="103"/>
      <c r="G1054" s="113"/>
      <c r="H1054" s="113"/>
      <c r="I1054" s="100"/>
      <c r="J1054" s="113"/>
      <c r="K1054" s="82" t="b">
        <v>0</v>
      </c>
      <c r="L1054" s="94"/>
      <c r="M1054" s="84">
        <f t="shared" si="1"/>
        <v>6590</v>
      </c>
      <c r="N1054" s="84"/>
      <c r="O1054" s="84"/>
      <c r="P1054" s="84"/>
      <c r="Q1054" s="84"/>
      <c r="R1054" s="86" t="str">
        <f t="shared" si="2"/>
        <v>Prepare for Showcase</v>
      </c>
      <c r="S1054" s="82" t="b">
        <v>0</v>
      </c>
      <c r="T1054" s="88"/>
      <c r="U1054" s="84"/>
      <c r="V1054" s="84"/>
      <c r="W1054" s="84"/>
      <c r="X1054" s="84"/>
      <c r="Y1054" s="84"/>
      <c r="Z1054" s="84"/>
      <c r="AA1054" s="84"/>
    </row>
    <row r="1055" ht="26.25" hidden="1" customHeight="1">
      <c r="A1055" s="85"/>
      <c r="B1055" s="106"/>
      <c r="C1055" s="103"/>
      <c r="D1055" s="93"/>
      <c r="E1055" s="93"/>
      <c r="F1055" s="103"/>
      <c r="G1055" s="113"/>
      <c r="H1055" s="113"/>
      <c r="I1055" s="100"/>
      <c r="J1055" s="113"/>
      <c r="K1055" s="82" t="b">
        <v>0</v>
      </c>
      <c r="L1055" s="94"/>
      <c r="M1055" s="84">
        <f t="shared" si="1"/>
        <v>6590</v>
      </c>
      <c r="N1055" s="84"/>
      <c r="O1055" s="84"/>
      <c r="P1055" s="84"/>
      <c r="Q1055" s="84"/>
      <c r="R1055" s="86" t="str">
        <f t="shared" si="2"/>
        <v>Prepare for Showcase</v>
      </c>
      <c r="S1055" s="82" t="b">
        <v>0</v>
      </c>
      <c r="T1055" s="88"/>
      <c r="U1055" s="84"/>
      <c r="V1055" s="84"/>
      <c r="W1055" s="84"/>
      <c r="X1055" s="84"/>
      <c r="Y1055" s="84"/>
      <c r="Z1055" s="84"/>
      <c r="AA1055" s="84"/>
    </row>
    <row r="1056" ht="26.25" hidden="1" customHeight="1">
      <c r="A1056" s="85"/>
      <c r="B1056" s="106"/>
      <c r="C1056" s="103"/>
      <c r="D1056" s="93"/>
      <c r="E1056" s="93"/>
      <c r="F1056" s="103"/>
      <c r="G1056" s="113"/>
      <c r="H1056" s="113"/>
      <c r="I1056" s="100"/>
      <c r="J1056" s="113"/>
      <c r="K1056" s="82" t="b">
        <v>0</v>
      </c>
      <c r="L1056" s="94"/>
      <c r="M1056" s="84">
        <f t="shared" si="1"/>
        <v>6590</v>
      </c>
      <c r="N1056" s="84"/>
      <c r="O1056" s="84"/>
      <c r="P1056" s="84"/>
      <c r="Q1056" s="84"/>
      <c r="R1056" s="86" t="str">
        <f t="shared" si="2"/>
        <v>Prepare for Showcase</v>
      </c>
      <c r="S1056" s="82" t="b">
        <v>0</v>
      </c>
      <c r="T1056" s="88"/>
      <c r="U1056" s="84"/>
      <c r="V1056" s="84"/>
      <c r="W1056" s="84"/>
      <c r="X1056" s="84"/>
      <c r="Y1056" s="84"/>
      <c r="Z1056" s="84"/>
      <c r="AA1056" s="84"/>
    </row>
    <row r="1057" ht="26.25" hidden="1" customHeight="1">
      <c r="A1057" s="85"/>
      <c r="B1057" s="106"/>
      <c r="C1057" s="103"/>
      <c r="D1057" s="93"/>
      <c r="E1057" s="93"/>
      <c r="F1057" s="103"/>
      <c r="G1057" s="113"/>
      <c r="H1057" s="113"/>
      <c r="I1057" s="100"/>
      <c r="J1057" s="113"/>
      <c r="K1057" s="82" t="b">
        <v>0</v>
      </c>
      <c r="L1057" s="94"/>
      <c r="M1057" s="84">
        <f t="shared" si="1"/>
        <v>6590</v>
      </c>
      <c r="N1057" s="84"/>
      <c r="O1057" s="84"/>
      <c r="P1057" s="84"/>
      <c r="Q1057" s="84"/>
      <c r="R1057" s="86" t="str">
        <f t="shared" si="2"/>
        <v>Prepare for Showcase</v>
      </c>
      <c r="S1057" s="82" t="b">
        <v>0</v>
      </c>
      <c r="T1057" s="88"/>
      <c r="U1057" s="84"/>
      <c r="V1057" s="84"/>
      <c r="W1057" s="84"/>
      <c r="X1057" s="84"/>
      <c r="Y1057" s="84"/>
      <c r="Z1057" s="84"/>
      <c r="AA1057" s="84"/>
    </row>
    <row r="1058" ht="26.25" hidden="1" customHeight="1">
      <c r="A1058" s="85"/>
      <c r="B1058" s="106"/>
      <c r="C1058" s="103"/>
      <c r="D1058" s="93"/>
      <c r="E1058" s="93"/>
      <c r="F1058" s="103"/>
      <c r="G1058" s="113"/>
      <c r="H1058" s="113"/>
      <c r="I1058" s="100"/>
      <c r="J1058" s="113"/>
      <c r="K1058" s="82" t="b">
        <v>0</v>
      </c>
      <c r="L1058" s="94"/>
      <c r="M1058" s="84">
        <f t="shared" si="1"/>
        <v>6590</v>
      </c>
      <c r="N1058" s="84"/>
      <c r="O1058" s="84"/>
      <c r="P1058" s="84"/>
      <c r="Q1058" s="84"/>
      <c r="R1058" s="86" t="str">
        <f t="shared" si="2"/>
        <v>Prepare for Showcase</v>
      </c>
      <c r="S1058" s="82" t="b">
        <v>0</v>
      </c>
      <c r="T1058" s="88"/>
      <c r="U1058" s="84"/>
      <c r="V1058" s="84"/>
      <c r="W1058" s="84"/>
      <c r="X1058" s="84"/>
      <c r="Y1058" s="84"/>
      <c r="Z1058" s="84"/>
      <c r="AA1058" s="84"/>
    </row>
    <row r="1059" ht="26.25" hidden="1" customHeight="1">
      <c r="A1059" s="85"/>
      <c r="B1059" s="106"/>
      <c r="C1059" s="103"/>
      <c r="D1059" s="93"/>
      <c r="E1059" s="93"/>
      <c r="F1059" s="103"/>
      <c r="G1059" s="113"/>
      <c r="H1059" s="113"/>
      <c r="I1059" s="100"/>
      <c r="J1059" s="113"/>
      <c r="K1059" s="82" t="b">
        <v>0</v>
      </c>
      <c r="L1059" s="94"/>
      <c r="M1059" s="84">
        <f t="shared" si="1"/>
        <v>6590</v>
      </c>
      <c r="N1059" s="84"/>
      <c r="O1059" s="84"/>
      <c r="P1059" s="84"/>
      <c r="Q1059" s="84"/>
      <c r="R1059" s="86" t="str">
        <f t="shared" si="2"/>
        <v>Prepare for Showcase</v>
      </c>
      <c r="S1059" s="82" t="b">
        <v>0</v>
      </c>
      <c r="T1059" s="88"/>
      <c r="U1059" s="84"/>
      <c r="V1059" s="84"/>
      <c r="W1059" s="84"/>
      <c r="X1059" s="84"/>
      <c r="Y1059" s="84"/>
      <c r="Z1059" s="84"/>
      <c r="AA1059" s="84"/>
    </row>
    <row r="1060" ht="26.25" hidden="1" customHeight="1">
      <c r="A1060" s="85"/>
      <c r="B1060" s="106"/>
      <c r="C1060" s="103"/>
      <c r="D1060" s="93"/>
      <c r="E1060" s="93"/>
      <c r="F1060" s="103"/>
      <c r="G1060" s="113"/>
      <c r="H1060" s="113"/>
      <c r="I1060" s="100"/>
      <c r="J1060" s="113"/>
      <c r="K1060" s="82" t="b">
        <v>0</v>
      </c>
      <c r="L1060" s="94"/>
      <c r="M1060" s="84">
        <f t="shared" si="1"/>
        <v>6590</v>
      </c>
      <c r="N1060" s="84"/>
      <c r="O1060" s="84"/>
      <c r="P1060" s="84"/>
      <c r="Q1060" s="84"/>
      <c r="R1060" s="86" t="str">
        <f t="shared" si="2"/>
        <v>Prepare for Showcase</v>
      </c>
      <c r="S1060" s="82" t="b">
        <v>0</v>
      </c>
      <c r="T1060" s="88"/>
      <c r="U1060" s="84"/>
      <c r="V1060" s="84"/>
      <c r="W1060" s="84"/>
      <c r="X1060" s="84"/>
      <c r="Y1060" s="84"/>
      <c r="Z1060" s="84"/>
      <c r="AA1060" s="84"/>
    </row>
    <row r="1061" ht="26.25" hidden="1" customHeight="1">
      <c r="A1061" s="85"/>
      <c r="B1061" s="106"/>
      <c r="C1061" s="103"/>
      <c r="D1061" s="93"/>
      <c r="E1061" s="93"/>
      <c r="F1061" s="103"/>
      <c r="G1061" s="113"/>
      <c r="H1061" s="113"/>
      <c r="I1061" s="100"/>
      <c r="J1061" s="113"/>
      <c r="K1061" s="82" t="b">
        <v>0</v>
      </c>
      <c r="L1061" s="94"/>
      <c r="M1061" s="84">
        <f t="shared" si="1"/>
        <v>6590</v>
      </c>
      <c r="N1061" s="84"/>
      <c r="O1061" s="84"/>
      <c r="P1061" s="84"/>
      <c r="Q1061" s="84"/>
      <c r="R1061" s="86" t="str">
        <f t="shared" si="2"/>
        <v>Prepare for Showcase</v>
      </c>
      <c r="S1061" s="82" t="b">
        <v>0</v>
      </c>
      <c r="T1061" s="88"/>
      <c r="U1061" s="84"/>
      <c r="V1061" s="84"/>
      <c r="W1061" s="84"/>
      <c r="X1061" s="84"/>
      <c r="Y1061" s="84"/>
      <c r="Z1061" s="84"/>
      <c r="AA1061" s="84"/>
    </row>
    <row r="1062" ht="26.25" hidden="1" customHeight="1">
      <c r="A1062" s="85"/>
      <c r="B1062" s="106"/>
      <c r="C1062" s="103"/>
      <c r="D1062" s="93"/>
      <c r="E1062" s="93"/>
      <c r="F1062" s="103"/>
      <c r="G1062" s="113"/>
      <c r="H1062" s="113"/>
      <c r="I1062" s="100"/>
      <c r="J1062" s="113"/>
      <c r="K1062" s="82" t="b">
        <v>0</v>
      </c>
      <c r="L1062" s="94"/>
      <c r="M1062" s="84">
        <f t="shared" si="1"/>
        <v>6590</v>
      </c>
      <c r="N1062" s="84"/>
      <c r="O1062" s="84"/>
      <c r="P1062" s="84"/>
      <c r="Q1062" s="84"/>
      <c r="R1062" s="86" t="str">
        <f t="shared" si="2"/>
        <v>Prepare for Showcase</v>
      </c>
      <c r="S1062" s="82" t="b">
        <v>0</v>
      </c>
      <c r="T1062" s="88"/>
      <c r="U1062" s="84"/>
      <c r="V1062" s="84"/>
      <c r="W1062" s="84"/>
      <c r="X1062" s="84"/>
      <c r="Y1062" s="84"/>
      <c r="Z1062" s="84"/>
      <c r="AA1062" s="84"/>
    </row>
    <row r="1063" ht="26.25" hidden="1" customHeight="1">
      <c r="A1063" s="85"/>
      <c r="B1063" s="106"/>
      <c r="C1063" s="103"/>
      <c r="D1063" s="93"/>
      <c r="E1063" s="93"/>
      <c r="F1063" s="103"/>
      <c r="G1063" s="113"/>
      <c r="H1063" s="113"/>
      <c r="I1063" s="100"/>
      <c r="J1063" s="113"/>
      <c r="K1063" s="82" t="b">
        <v>0</v>
      </c>
      <c r="L1063" s="94"/>
      <c r="M1063" s="84">
        <f t="shared" si="1"/>
        <v>6590</v>
      </c>
      <c r="N1063" s="84"/>
      <c r="O1063" s="84"/>
      <c r="P1063" s="84"/>
      <c r="Q1063" s="84"/>
      <c r="R1063" s="86" t="str">
        <f t="shared" si="2"/>
        <v>Prepare for Showcase</v>
      </c>
      <c r="S1063" s="82" t="b">
        <v>0</v>
      </c>
      <c r="T1063" s="88"/>
      <c r="U1063" s="84"/>
      <c r="V1063" s="84"/>
      <c r="W1063" s="84"/>
      <c r="X1063" s="84"/>
      <c r="Y1063" s="84"/>
      <c r="Z1063" s="84"/>
      <c r="AA1063" s="84"/>
    </row>
    <row r="1064" ht="26.25" hidden="1" customHeight="1">
      <c r="A1064" s="85"/>
      <c r="B1064" s="106"/>
      <c r="C1064" s="103"/>
      <c r="D1064" s="93"/>
      <c r="E1064" s="93"/>
      <c r="F1064" s="103"/>
      <c r="G1064" s="113"/>
      <c r="H1064" s="113"/>
      <c r="I1064" s="100"/>
      <c r="J1064" s="113"/>
      <c r="K1064" s="82" t="b">
        <v>0</v>
      </c>
      <c r="L1064" s="94"/>
      <c r="M1064" s="84">
        <f t="shared" si="1"/>
        <v>6590</v>
      </c>
      <c r="N1064" s="84"/>
      <c r="O1064" s="84"/>
      <c r="P1064" s="84"/>
      <c r="Q1064" s="84"/>
      <c r="R1064" s="86" t="str">
        <f t="shared" si="2"/>
        <v>Prepare for Showcase</v>
      </c>
      <c r="S1064" s="82" t="b">
        <v>0</v>
      </c>
      <c r="T1064" s="88"/>
      <c r="U1064" s="84"/>
      <c r="V1064" s="84"/>
      <c r="W1064" s="84"/>
      <c r="X1064" s="84"/>
      <c r="Y1064" s="84"/>
      <c r="Z1064" s="84"/>
      <c r="AA1064" s="84"/>
    </row>
    <row r="1065" ht="26.25" hidden="1" customHeight="1">
      <c r="A1065" s="85"/>
      <c r="B1065" s="106"/>
      <c r="C1065" s="103"/>
      <c r="D1065" s="93"/>
      <c r="E1065" s="93"/>
      <c r="F1065" s="103"/>
      <c r="G1065" s="113"/>
      <c r="H1065" s="113"/>
      <c r="I1065" s="100"/>
      <c r="J1065" s="113"/>
      <c r="K1065" s="82" t="b">
        <v>0</v>
      </c>
      <c r="L1065" s="94"/>
      <c r="M1065" s="84">
        <f t="shared" si="1"/>
        <v>6590</v>
      </c>
      <c r="N1065" s="84"/>
      <c r="O1065" s="84"/>
      <c r="P1065" s="84"/>
      <c r="Q1065" s="84"/>
      <c r="R1065" s="86" t="str">
        <f t="shared" si="2"/>
        <v>Prepare for Showcase</v>
      </c>
      <c r="S1065" s="82" t="b">
        <v>0</v>
      </c>
      <c r="T1065" s="88"/>
      <c r="U1065" s="84"/>
      <c r="V1065" s="84"/>
      <c r="W1065" s="84"/>
      <c r="X1065" s="84"/>
      <c r="Y1065" s="84"/>
      <c r="Z1065" s="84"/>
      <c r="AA1065" s="84"/>
    </row>
    <row r="1066" ht="26.25" hidden="1" customHeight="1">
      <c r="A1066" s="85"/>
      <c r="B1066" s="106"/>
      <c r="C1066" s="103"/>
      <c r="D1066" s="93"/>
      <c r="E1066" s="93"/>
      <c r="F1066" s="103"/>
      <c r="G1066" s="113"/>
      <c r="H1066" s="113"/>
      <c r="I1066" s="100"/>
      <c r="J1066" s="113"/>
      <c r="K1066" s="82" t="b">
        <v>0</v>
      </c>
      <c r="L1066" s="94"/>
      <c r="M1066" s="84">
        <f t="shared" si="1"/>
        <v>6590</v>
      </c>
      <c r="N1066" s="84"/>
      <c r="O1066" s="84"/>
      <c r="P1066" s="84"/>
      <c r="Q1066" s="84"/>
      <c r="R1066" s="86" t="str">
        <f t="shared" si="2"/>
        <v>Prepare for Showcase</v>
      </c>
      <c r="S1066" s="82" t="b">
        <v>0</v>
      </c>
      <c r="T1066" s="88"/>
      <c r="U1066" s="84"/>
      <c r="V1066" s="84"/>
      <c r="W1066" s="84"/>
      <c r="X1066" s="84"/>
      <c r="Y1066" s="84"/>
      <c r="Z1066" s="84"/>
      <c r="AA1066" s="84"/>
    </row>
    <row r="1067" ht="26.25" hidden="1" customHeight="1">
      <c r="A1067" s="85"/>
      <c r="B1067" s="106"/>
      <c r="C1067" s="103"/>
      <c r="D1067" s="93"/>
      <c r="E1067" s="93"/>
      <c r="F1067" s="103"/>
      <c r="G1067" s="113"/>
      <c r="H1067" s="113"/>
      <c r="I1067" s="100"/>
      <c r="J1067" s="113"/>
      <c r="K1067" s="82" t="b">
        <v>0</v>
      </c>
      <c r="L1067" s="94"/>
      <c r="M1067" s="84">
        <f t="shared" si="1"/>
        <v>6590</v>
      </c>
      <c r="N1067" s="84"/>
      <c r="O1067" s="84"/>
      <c r="P1067" s="84"/>
      <c r="Q1067" s="84"/>
      <c r="R1067" s="86" t="str">
        <f t="shared" si="2"/>
        <v>Prepare for Showcase</v>
      </c>
      <c r="S1067" s="82" t="b">
        <v>0</v>
      </c>
      <c r="T1067" s="88"/>
      <c r="U1067" s="84"/>
      <c r="V1067" s="84"/>
      <c r="W1067" s="84"/>
      <c r="X1067" s="84"/>
      <c r="Y1067" s="84"/>
      <c r="Z1067" s="84"/>
      <c r="AA1067" s="84"/>
    </row>
    <row r="1068" ht="26.25" hidden="1" customHeight="1">
      <c r="A1068" s="85"/>
      <c r="B1068" s="106"/>
      <c r="C1068" s="103"/>
      <c r="D1068" s="93"/>
      <c r="E1068" s="93"/>
      <c r="F1068" s="103"/>
      <c r="G1068" s="113"/>
      <c r="H1068" s="113"/>
      <c r="I1068" s="100"/>
      <c r="J1068" s="113"/>
      <c r="K1068" s="82" t="b">
        <v>0</v>
      </c>
      <c r="L1068" s="94"/>
      <c r="M1068" s="84">
        <f t="shared" si="1"/>
        <v>6590</v>
      </c>
      <c r="N1068" s="84"/>
      <c r="O1068" s="84"/>
      <c r="P1068" s="84"/>
      <c r="Q1068" s="84"/>
      <c r="R1068" s="86" t="str">
        <f t="shared" si="2"/>
        <v>Prepare for Showcase</v>
      </c>
      <c r="S1068" s="82" t="b">
        <v>0</v>
      </c>
      <c r="T1068" s="88"/>
      <c r="U1068" s="84"/>
      <c r="V1068" s="84"/>
      <c r="W1068" s="84"/>
      <c r="X1068" s="84"/>
      <c r="Y1068" s="84"/>
      <c r="Z1068" s="84"/>
      <c r="AA1068" s="84"/>
    </row>
    <row r="1069" ht="26.25" hidden="1" customHeight="1">
      <c r="A1069" s="85"/>
      <c r="B1069" s="106"/>
      <c r="C1069" s="103"/>
      <c r="D1069" s="93"/>
      <c r="E1069" s="93"/>
      <c r="F1069" s="103"/>
      <c r="G1069" s="113"/>
      <c r="H1069" s="113"/>
      <c r="I1069" s="100"/>
      <c r="J1069" s="113"/>
      <c r="K1069" s="82" t="b">
        <v>0</v>
      </c>
      <c r="L1069" s="94"/>
      <c r="M1069" s="84">
        <f t="shared" si="1"/>
        <v>6590</v>
      </c>
      <c r="N1069" s="84"/>
      <c r="O1069" s="84"/>
      <c r="P1069" s="84"/>
      <c r="Q1069" s="84"/>
      <c r="R1069" s="86" t="str">
        <f t="shared" si="2"/>
        <v>Prepare for Showcase</v>
      </c>
      <c r="S1069" s="82" t="b">
        <v>0</v>
      </c>
      <c r="T1069" s="88"/>
      <c r="U1069" s="84"/>
      <c r="V1069" s="84"/>
      <c r="W1069" s="84"/>
      <c r="X1069" s="84"/>
      <c r="Y1069" s="84"/>
      <c r="Z1069" s="84"/>
      <c r="AA1069" s="84"/>
    </row>
    <row r="1070" ht="26.25" hidden="1" customHeight="1">
      <c r="A1070" s="85"/>
      <c r="B1070" s="106"/>
      <c r="C1070" s="103"/>
      <c r="D1070" s="93"/>
      <c r="E1070" s="93"/>
      <c r="F1070" s="103"/>
      <c r="G1070" s="113"/>
      <c r="H1070" s="113"/>
      <c r="I1070" s="100"/>
      <c r="J1070" s="113"/>
      <c r="K1070" s="82" t="b">
        <v>0</v>
      </c>
      <c r="L1070" s="94"/>
      <c r="M1070" s="84">
        <f t="shared" si="1"/>
        <v>6590</v>
      </c>
      <c r="N1070" s="84"/>
      <c r="O1070" s="84"/>
      <c r="P1070" s="84"/>
      <c r="Q1070" s="84"/>
      <c r="R1070" s="86" t="str">
        <f t="shared" si="2"/>
        <v>Prepare for Showcase</v>
      </c>
      <c r="S1070" s="82" t="b">
        <v>0</v>
      </c>
      <c r="T1070" s="88"/>
      <c r="U1070" s="84"/>
      <c r="V1070" s="84"/>
      <c r="W1070" s="84"/>
      <c r="X1070" s="84"/>
      <c r="Y1070" s="84"/>
      <c r="Z1070" s="84"/>
      <c r="AA1070" s="84"/>
    </row>
    <row r="1071" ht="26.25" hidden="1" customHeight="1">
      <c r="A1071" s="85"/>
      <c r="B1071" s="106"/>
      <c r="C1071" s="103"/>
      <c r="D1071" s="93"/>
      <c r="E1071" s="93"/>
      <c r="F1071" s="103"/>
      <c r="G1071" s="113"/>
      <c r="H1071" s="113"/>
      <c r="I1071" s="100"/>
      <c r="J1071" s="113"/>
      <c r="K1071" s="82" t="b">
        <v>0</v>
      </c>
      <c r="L1071" s="94"/>
      <c r="M1071" s="84">
        <f t="shared" si="1"/>
        <v>6590</v>
      </c>
      <c r="N1071" s="84"/>
      <c r="O1071" s="84"/>
      <c r="P1071" s="84"/>
      <c r="Q1071" s="84"/>
      <c r="R1071" s="86" t="str">
        <f t="shared" si="2"/>
        <v>Prepare for Showcase</v>
      </c>
      <c r="S1071" s="82" t="b">
        <v>0</v>
      </c>
      <c r="T1071" s="88"/>
      <c r="U1071" s="84"/>
      <c r="V1071" s="84"/>
      <c r="W1071" s="84"/>
      <c r="X1071" s="84"/>
      <c r="Y1071" s="84"/>
      <c r="Z1071" s="84"/>
      <c r="AA1071" s="84"/>
    </row>
    <row r="1072" ht="26.25" hidden="1" customHeight="1">
      <c r="A1072" s="85"/>
      <c r="B1072" s="106"/>
      <c r="C1072" s="103"/>
      <c r="D1072" s="93"/>
      <c r="E1072" s="93"/>
      <c r="F1072" s="103"/>
      <c r="G1072" s="113"/>
      <c r="H1072" s="113"/>
      <c r="I1072" s="100"/>
      <c r="J1072" s="113"/>
      <c r="K1072" s="82" t="b">
        <v>0</v>
      </c>
      <c r="L1072" s="94"/>
      <c r="M1072" s="84">
        <f t="shared" si="1"/>
        <v>6590</v>
      </c>
      <c r="N1072" s="84"/>
      <c r="O1072" s="84"/>
      <c r="P1072" s="84"/>
      <c r="Q1072" s="84"/>
      <c r="R1072" s="86" t="str">
        <f t="shared" si="2"/>
        <v>Prepare for Showcase</v>
      </c>
      <c r="S1072" s="82" t="b">
        <v>0</v>
      </c>
      <c r="T1072" s="88"/>
      <c r="U1072" s="84"/>
      <c r="V1072" s="84"/>
      <c r="W1072" s="84"/>
      <c r="X1072" s="84"/>
      <c r="Y1072" s="84"/>
      <c r="Z1072" s="84"/>
      <c r="AA1072" s="84"/>
    </row>
    <row r="1073" ht="26.25" hidden="1" customHeight="1">
      <c r="A1073" s="85"/>
      <c r="B1073" s="106"/>
      <c r="C1073" s="103"/>
      <c r="D1073" s="93"/>
      <c r="E1073" s="93"/>
      <c r="F1073" s="103"/>
      <c r="G1073" s="113"/>
      <c r="H1073" s="113"/>
      <c r="I1073" s="100"/>
      <c r="J1073" s="113"/>
      <c r="K1073" s="82" t="b">
        <v>0</v>
      </c>
      <c r="L1073" s="94"/>
      <c r="M1073" s="84">
        <f t="shared" si="1"/>
        <v>6590</v>
      </c>
      <c r="N1073" s="84"/>
      <c r="O1073" s="84"/>
      <c r="P1073" s="84"/>
      <c r="Q1073" s="84"/>
      <c r="R1073" s="86" t="str">
        <f t="shared" si="2"/>
        <v>Prepare for Showcase</v>
      </c>
      <c r="S1073" s="82" t="b">
        <v>0</v>
      </c>
      <c r="T1073" s="88"/>
      <c r="U1073" s="84"/>
      <c r="V1073" s="84"/>
      <c r="W1073" s="84"/>
      <c r="X1073" s="84"/>
      <c r="Y1073" s="84"/>
      <c r="Z1073" s="84"/>
      <c r="AA1073" s="84"/>
    </row>
    <row r="1074" ht="26.25" hidden="1" customHeight="1">
      <c r="A1074" s="85"/>
      <c r="B1074" s="106"/>
      <c r="C1074" s="103"/>
      <c r="D1074" s="93"/>
      <c r="E1074" s="93"/>
      <c r="F1074" s="103"/>
      <c r="G1074" s="113"/>
      <c r="H1074" s="113"/>
      <c r="I1074" s="100"/>
      <c r="J1074" s="113"/>
      <c r="K1074" s="82" t="b">
        <v>0</v>
      </c>
      <c r="L1074" s="94"/>
      <c r="M1074" s="84">
        <f t="shared" si="1"/>
        <v>6590</v>
      </c>
      <c r="N1074" s="84"/>
      <c r="O1074" s="84"/>
      <c r="P1074" s="84"/>
      <c r="Q1074" s="84"/>
      <c r="R1074" s="86" t="str">
        <f t="shared" si="2"/>
        <v>Prepare for Showcase</v>
      </c>
      <c r="S1074" s="82" t="b">
        <v>0</v>
      </c>
      <c r="T1074" s="88"/>
      <c r="U1074" s="84"/>
      <c r="V1074" s="84"/>
      <c r="W1074" s="84"/>
      <c r="X1074" s="84"/>
      <c r="Y1074" s="84"/>
      <c r="Z1074" s="84"/>
      <c r="AA1074" s="84"/>
    </row>
    <row r="1075" ht="26.25" hidden="1" customHeight="1">
      <c r="A1075" s="85"/>
      <c r="B1075" s="106"/>
      <c r="C1075" s="103"/>
      <c r="D1075" s="93"/>
      <c r="E1075" s="93"/>
      <c r="F1075" s="103"/>
      <c r="G1075" s="113"/>
      <c r="H1075" s="113"/>
      <c r="I1075" s="100"/>
      <c r="J1075" s="113"/>
      <c r="K1075" s="82" t="b">
        <v>0</v>
      </c>
      <c r="L1075" s="94"/>
      <c r="M1075" s="84">
        <f t="shared" si="1"/>
        <v>6590</v>
      </c>
      <c r="N1075" s="84"/>
      <c r="O1075" s="84"/>
      <c r="P1075" s="84"/>
      <c r="Q1075" s="84"/>
      <c r="R1075" s="86" t="str">
        <f t="shared" si="2"/>
        <v>Prepare for Showcase</v>
      </c>
      <c r="S1075" s="82" t="b">
        <v>0</v>
      </c>
      <c r="T1075" s="88"/>
      <c r="U1075" s="84"/>
      <c r="V1075" s="84"/>
      <c r="W1075" s="84"/>
      <c r="X1075" s="84"/>
      <c r="Y1075" s="84"/>
      <c r="Z1075" s="84"/>
      <c r="AA1075" s="84"/>
    </row>
    <row r="1076" ht="26.25" hidden="1" customHeight="1">
      <c r="A1076" s="85"/>
      <c r="B1076" s="106"/>
      <c r="C1076" s="103"/>
      <c r="D1076" s="93"/>
      <c r="E1076" s="93"/>
      <c r="F1076" s="103"/>
      <c r="G1076" s="113"/>
      <c r="H1076" s="113"/>
      <c r="I1076" s="100"/>
      <c r="J1076" s="113"/>
      <c r="K1076" s="82" t="b">
        <v>0</v>
      </c>
      <c r="L1076" s="94"/>
      <c r="M1076" s="84">
        <f t="shared" si="1"/>
        <v>6590</v>
      </c>
      <c r="N1076" s="84"/>
      <c r="O1076" s="84"/>
      <c r="P1076" s="84"/>
      <c r="Q1076" s="84"/>
      <c r="R1076" s="86" t="str">
        <f t="shared" si="2"/>
        <v>Prepare for Showcase</v>
      </c>
      <c r="S1076" s="82" t="b">
        <v>0</v>
      </c>
      <c r="T1076" s="88"/>
      <c r="U1076" s="84"/>
      <c r="V1076" s="84"/>
      <c r="W1076" s="84"/>
      <c r="X1076" s="84"/>
      <c r="Y1076" s="84"/>
      <c r="Z1076" s="84"/>
      <c r="AA1076" s="84"/>
    </row>
    <row r="1077" ht="26.25" hidden="1" customHeight="1">
      <c r="A1077" s="85"/>
      <c r="B1077" s="106"/>
      <c r="C1077" s="103"/>
      <c r="D1077" s="93"/>
      <c r="E1077" s="93"/>
      <c r="F1077" s="103"/>
      <c r="G1077" s="113"/>
      <c r="H1077" s="113"/>
      <c r="I1077" s="100"/>
      <c r="J1077" s="113"/>
      <c r="K1077" s="82" t="b">
        <v>0</v>
      </c>
      <c r="L1077" s="94"/>
      <c r="M1077" s="84">
        <f t="shared" si="1"/>
        <v>6590</v>
      </c>
      <c r="N1077" s="84"/>
      <c r="O1077" s="84"/>
      <c r="P1077" s="84"/>
      <c r="Q1077" s="84"/>
      <c r="R1077" s="86" t="str">
        <f t="shared" si="2"/>
        <v>Prepare for Showcase</v>
      </c>
      <c r="S1077" s="82" t="b">
        <v>0</v>
      </c>
      <c r="T1077" s="88"/>
      <c r="U1077" s="84"/>
      <c r="V1077" s="84"/>
      <c r="W1077" s="84"/>
      <c r="X1077" s="84"/>
      <c r="Y1077" s="84"/>
      <c r="Z1077" s="84"/>
      <c r="AA1077" s="84"/>
    </row>
    <row r="1078" ht="26.25" hidden="1" customHeight="1">
      <c r="A1078" s="85"/>
      <c r="B1078" s="106"/>
      <c r="C1078" s="103"/>
      <c r="D1078" s="93"/>
      <c r="E1078" s="93"/>
      <c r="F1078" s="103"/>
      <c r="G1078" s="113"/>
      <c r="H1078" s="113"/>
      <c r="I1078" s="100"/>
      <c r="J1078" s="113"/>
      <c r="K1078" s="82" t="b">
        <v>0</v>
      </c>
      <c r="L1078" s="94"/>
      <c r="M1078" s="84">
        <f t="shared" si="1"/>
        <v>6590</v>
      </c>
      <c r="N1078" s="84"/>
      <c r="O1078" s="84"/>
      <c r="P1078" s="84"/>
      <c r="Q1078" s="84"/>
      <c r="R1078" s="86" t="str">
        <f t="shared" si="2"/>
        <v>Prepare for Showcase</v>
      </c>
      <c r="S1078" s="82" t="b">
        <v>0</v>
      </c>
      <c r="T1078" s="88"/>
      <c r="U1078" s="84"/>
      <c r="V1078" s="84"/>
      <c r="W1078" s="84"/>
      <c r="X1078" s="84"/>
      <c r="Y1078" s="84"/>
      <c r="Z1078" s="84"/>
      <c r="AA1078" s="84"/>
    </row>
    <row r="1079" ht="26.25" hidden="1" customHeight="1">
      <c r="A1079" s="85"/>
      <c r="B1079" s="106"/>
      <c r="C1079" s="103"/>
      <c r="D1079" s="93"/>
      <c r="E1079" s="93"/>
      <c r="F1079" s="103"/>
      <c r="G1079" s="113"/>
      <c r="H1079" s="113"/>
      <c r="I1079" s="100"/>
      <c r="J1079" s="113"/>
      <c r="K1079" s="82" t="b">
        <v>0</v>
      </c>
      <c r="L1079" s="94"/>
      <c r="M1079" s="84">
        <f t="shared" si="1"/>
        <v>6590</v>
      </c>
      <c r="N1079" s="84"/>
      <c r="O1079" s="84"/>
      <c r="P1079" s="84"/>
      <c r="Q1079" s="84"/>
      <c r="R1079" s="86" t="str">
        <f t="shared" si="2"/>
        <v>Prepare for Showcase</v>
      </c>
      <c r="S1079" s="82" t="b">
        <v>0</v>
      </c>
      <c r="T1079" s="88"/>
      <c r="U1079" s="84"/>
      <c r="V1079" s="84"/>
      <c r="W1079" s="84"/>
      <c r="X1079" s="84"/>
      <c r="Y1079" s="84"/>
      <c r="Z1079" s="84"/>
      <c r="AA1079" s="84"/>
    </row>
    <row r="1080" ht="26.25" hidden="1" customHeight="1">
      <c r="A1080" s="85"/>
      <c r="B1080" s="106"/>
      <c r="C1080" s="103"/>
      <c r="D1080" s="93"/>
      <c r="E1080" s="93"/>
      <c r="F1080" s="103"/>
      <c r="G1080" s="113"/>
      <c r="H1080" s="113"/>
      <c r="I1080" s="100"/>
      <c r="J1080" s="113"/>
      <c r="K1080" s="82" t="b">
        <v>0</v>
      </c>
      <c r="L1080" s="94"/>
      <c r="M1080" s="84">
        <f t="shared" si="1"/>
        <v>6590</v>
      </c>
      <c r="N1080" s="84"/>
      <c r="O1080" s="84"/>
      <c r="P1080" s="84"/>
      <c r="Q1080" s="84"/>
      <c r="R1080" s="86" t="str">
        <f t="shared" si="2"/>
        <v>Prepare for Showcase</v>
      </c>
      <c r="S1080" s="82" t="b">
        <v>0</v>
      </c>
      <c r="T1080" s="88"/>
      <c r="U1080" s="84"/>
      <c r="V1080" s="84"/>
      <c r="W1080" s="84"/>
      <c r="X1080" s="84"/>
      <c r="Y1080" s="84"/>
      <c r="Z1080" s="84"/>
      <c r="AA1080" s="84"/>
    </row>
    <row r="1081" ht="26.25" hidden="1" customHeight="1">
      <c r="A1081" s="85"/>
      <c r="B1081" s="106"/>
      <c r="C1081" s="103"/>
      <c r="D1081" s="93"/>
      <c r="E1081" s="93"/>
      <c r="F1081" s="103"/>
      <c r="G1081" s="113"/>
      <c r="H1081" s="113"/>
      <c r="I1081" s="100"/>
      <c r="J1081" s="113"/>
      <c r="K1081" s="82" t="b">
        <v>0</v>
      </c>
      <c r="L1081" s="94"/>
      <c r="M1081" s="84">
        <f t="shared" si="1"/>
        <v>6590</v>
      </c>
      <c r="N1081" s="84"/>
      <c r="O1081" s="84"/>
      <c r="P1081" s="84"/>
      <c r="Q1081" s="84"/>
      <c r="R1081" s="86" t="str">
        <f t="shared" si="2"/>
        <v>Prepare for Showcase</v>
      </c>
      <c r="S1081" s="82" t="b">
        <v>0</v>
      </c>
      <c r="T1081" s="88"/>
      <c r="U1081" s="84"/>
      <c r="V1081" s="84"/>
      <c r="W1081" s="84"/>
      <c r="X1081" s="84"/>
      <c r="Y1081" s="84"/>
      <c r="Z1081" s="84"/>
      <c r="AA1081" s="84"/>
    </row>
    <row r="1082" ht="26.25" hidden="1" customHeight="1">
      <c r="A1082" s="85"/>
      <c r="B1082" s="106"/>
      <c r="C1082" s="103"/>
      <c r="D1082" s="93"/>
      <c r="E1082" s="93"/>
      <c r="F1082" s="103"/>
      <c r="G1082" s="113"/>
      <c r="H1082" s="113"/>
      <c r="I1082" s="100"/>
      <c r="J1082" s="113"/>
      <c r="K1082" s="82" t="b">
        <v>0</v>
      </c>
      <c r="L1082" s="94"/>
      <c r="M1082" s="84">
        <f t="shared" si="1"/>
        <v>6590</v>
      </c>
      <c r="N1082" s="84"/>
      <c r="O1082" s="84"/>
      <c r="P1082" s="84"/>
      <c r="Q1082" s="84"/>
      <c r="R1082" s="86" t="str">
        <f t="shared" si="2"/>
        <v>Prepare for Showcase</v>
      </c>
      <c r="S1082" s="82" t="b">
        <v>0</v>
      </c>
      <c r="T1082" s="88"/>
      <c r="U1082" s="84"/>
      <c r="V1082" s="84"/>
      <c r="W1082" s="84"/>
      <c r="X1082" s="84"/>
      <c r="Y1082" s="84"/>
      <c r="Z1082" s="84"/>
      <c r="AA1082" s="84"/>
    </row>
    <row r="1083" ht="26.25" hidden="1" customHeight="1">
      <c r="A1083" s="85"/>
      <c r="B1083" s="106"/>
      <c r="C1083" s="103"/>
      <c r="D1083" s="93"/>
      <c r="E1083" s="93"/>
      <c r="F1083" s="103"/>
      <c r="G1083" s="113"/>
      <c r="H1083" s="113"/>
      <c r="I1083" s="100"/>
      <c r="J1083" s="113"/>
      <c r="K1083" s="82" t="b">
        <v>0</v>
      </c>
      <c r="L1083" s="94"/>
      <c r="M1083" s="84">
        <f t="shared" si="1"/>
        <v>6590</v>
      </c>
      <c r="N1083" s="84"/>
      <c r="O1083" s="84"/>
      <c r="P1083" s="84"/>
      <c r="Q1083" s="84"/>
      <c r="R1083" s="86" t="str">
        <f t="shared" si="2"/>
        <v>Prepare for Showcase</v>
      </c>
      <c r="S1083" s="82" t="b">
        <v>0</v>
      </c>
      <c r="T1083" s="88"/>
      <c r="U1083" s="84"/>
      <c r="V1083" s="84"/>
      <c r="W1083" s="84"/>
      <c r="X1083" s="84"/>
      <c r="Y1083" s="84"/>
      <c r="Z1083" s="84"/>
      <c r="AA1083" s="84"/>
    </row>
    <row r="1084" ht="26.25" hidden="1" customHeight="1">
      <c r="A1084" s="85"/>
      <c r="B1084" s="106"/>
      <c r="C1084" s="103"/>
      <c r="D1084" s="93"/>
      <c r="E1084" s="93"/>
      <c r="F1084" s="103"/>
      <c r="G1084" s="113"/>
      <c r="H1084" s="113"/>
      <c r="I1084" s="100"/>
      <c r="J1084" s="113"/>
      <c r="K1084" s="82" t="b">
        <v>0</v>
      </c>
      <c r="L1084" s="94"/>
      <c r="M1084" s="84">
        <f t="shared" si="1"/>
        <v>6590</v>
      </c>
      <c r="N1084" s="84"/>
      <c r="O1084" s="84"/>
      <c r="P1084" s="84"/>
      <c r="Q1084" s="84"/>
      <c r="R1084" s="86" t="str">
        <f t="shared" si="2"/>
        <v>Prepare for Showcase</v>
      </c>
      <c r="S1084" s="82" t="b">
        <v>0</v>
      </c>
      <c r="T1084" s="88"/>
      <c r="U1084" s="84"/>
      <c r="V1084" s="84"/>
      <c r="W1084" s="84"/>
      <c r="X1084" s="84"/>
      <c r="Y1084" s="84"/>
      <c r="Z1084" s="84"/>
      <c r="AA1084" s="84"/>
    </row>
    <row r="1085" ht="26.25" hidden="1" customHeight="1">
      <c r="A1085" s="85"/>
      <c r="B1085" s="106"/>
      <c r="C1085" s="103"/>
      <c r="D1085" s="93"/>
      <c r="E1085" s="93"/>
      <c r="F1085" s="103"/>
      <c r="G1085" s="113"/>
      <c r="H1085" s="113"/>
      <c r="I1085" s="100"/>
      <c r="J1085" s="113"/>
      <c r="K1085" s="82" t="b">
        <v>0</v>
      </c>
      <c r="L1085" s="94"/>
      <c r="M1085" s="84">
        <f t="shared" si="1"/>
        <v>6590</v>
      </c>
      <c r="N1085" s="84"/>
      <c r="O1085" s="84"/>
      <c r="P1085" s="84"/>
      <c r="Q1085" s="84"/>
      <c r="R1085" s="86" t="str">
        <f t="shared" si="2"/>
        <v>Prepare for Showcase</v>
      </c>
      <c r="S1085" s="82" t="b">
        <v>0</v>
      </c>
      <c r="T1085" s="88"/>
      <c r="U1085" s="84"/>
      <c r="V1085" s="84"/>
      <c r="W1085" s="84"/>
      <c r="X1085" s="84"/>
      <c r="Y1085" s="84"/>
      <c r="Z1085" s="84"/>
      <c r="AA1085" s="84"/>
    </row>
    <row r="1086" ht="26.25" hidden="1" customHeight="1">
      <c r="A1086" s="85"/>
      <c r="B1086" s="106"/>
      <c r="C1086" s="103"/>
      <c r="D1086" s="93"/>
      <c r="E1086" s="93"/>
      <c r="F1086" s="103"/>
      <c r="G1086" s="113"/>
      <c r="H1086" s="113"/>
      <c r="I1086" s="100"/>
      <c r="J1086" s="113"/>
      <c r="K1086" s="82" t="b">
        <v>0</v>
      </c>
      <c r="L1086" s="94"/>
      <c r="M1086" s="84">
        <f t="shared" si="1"/>
        <v>6590</v>
      </c>
      <c r="N1086" s="84"/>
      <c r="O1086" s="84"/>
      <c r="P1086" s="84"/>
      <c r="Q1086" s="84"/>
      <c r="R1086" s="86" t="str">
        <f t="shared" si="2"/>
        <v>Prepare for Showcase</v>
      </c>
      <c r="S1086" s="82" t="b">
        <v>0</v>
      </c>
      <c r="T1086" s="88"/>
      <c r="U1086" s="84"/>
      <c r="V1086" s="84"/>
      <c r="W1086" s="84"/>
      <c r="X1086" s="84"/>
      <c r="Y1086" s="84"/>
      <c r="Z1086" s="84"/>
      <c r="AA1086" s="84"/>
    </row>
    <row r="1087" ht="26.25" hidden="1" customHeight="1">
      <c r="A1087" s="85"/>
      <c r="B1087" s="106"/>
      <c r="C1087" s="103"/>
      <c r="D1087" s="93"/>
      <c r="E1087" s="93"/>
      <c r="F1087" s="103"/>
      <c r="G1087" s="113"/>
      <c r="H1087" s="113"/>
      <c r="I1087" s="100"/>
      <c r="J1087" s="113"/>
      <c r="K1087" s="82" t="b">
        <v>0</v>
      </c>
      <c r="L1087" s="94"/>
      <c r="M1087" s="84">
        <f t="shared" si="1"/>
        <v>6590</v>
      </c>
      <c r="N1087" s="84"/>
      <c r="O1087" s="84"/>
      <c r="P1087" s="84"/>
      <c r="Q1087" s="84"/>
      <c r="R1087" s="86" t="str">
        <f t="shared" si="2"/>
        <v>Prepare for Showcase</v>
      </c>
      <c r="S1087" s="82" t="b">
        <v>0</v>
      </c>
      <c r="T1087" s="88"/>
      <c r="U1087" s="84"/>
      <c r="V1087" s="84"/>
      <c r="W1087" s="84"/>
      <c r="X1087" s="84"/>
      <c r="Y1087" s="84"/>
      <c r="Z1087" s="84"/>
      <c r="AA1087" s="84"/>
    </row>
    <row r="1088" ht="26.25" hidden="1" customHeight="1">
      <c r="A1088" s="85"/>
      <c r="B1088" s="106"/>
      <c r="C1088" s="103"/>
      <c r="D1088" s="93"/>
      <c r="E1088" s="93"/>
      <c r="F1088" s="103"/>
      <c r="G1088" s="113"/>
      <c r="H1088" s="113"/>
      <c r="I1088" s="100"/>
      <c r="J1088" s="113"/>
      <c r="K1088" s="82" t="b">
        <v>0</v>
      </c>
      <c r="L1088" s="94"/>
      <c r="M1088" s="84">
        <f t="shared" si="1"/>
        <v>6590</v>
      </c>
      <c r="N1088" s="84"/>
      <c r="O1088" s="84"/>
      <c r="P1088" s="84"/>
      <c r="Q1088" s="84"/>
      <c r="R1088" s="86" t="str">
        <f t="shared" si="2"/>
        <v>Prepare for Showcase</v>
      </c>
      <c r="S1088" s="82" t="b">
        <v>0</v>
      </c>
      <c r="T1088" s="88"/>
      <c r="U1088" s="84"/>
      <c r="V1088" s="84"/>
      <c r="W1088" s="84"/>
      <c r="X1088" s="84"/>
      <c r="Y1088" s="84"/>
      <c r="Z1088" s="84"/>
      <c r="AA1088" s="84"/>
    </row>
    <row r="1089" ht="26.25" hidden="1" customHeight="1">
      <c r="A1089" s="85"/>
      <c r="B1089" s="106"/>
      <c r="C1089" s="103"/>
      <c r="D1089" s="93"/>
      <c r="E1089" s="93"/>
      <c r="F1089" s="103"/>
      <c r="G1089" s="113"/>
      <c r="H1089" s="113"/>
      <c r="I1089" s="100"/>
      <c r="J1089" s="113"/>
      <c r="K1089" s="82" t="b">
        <v>0</v>
      </c>
      <c r="L1089" s="94"/>
      <c r="M1089" s="84">
        <f t="shared" si="1"/>
        <v>6590</v>
      </c>
      <c r="N1089" s="84"/>
      <c r="O1089" s="84"/>
      <c r="P1089" s="84"/>
      <c r="Q1089" s="84"/>
      <c r="R1089" s="86" t="str">
        <f t="shared" si="2"/>
        <v>Prepare for Showcase</v>
      </c>
      <c r="S1089" s="82" t="b">
        <v>0</v>
      </c>
      <c r="T1089" s="88"/>
      <c r="U1089" s="84"/>
      <c r="V1089" s="84"/>
      <c r="W1089" s="84"/>
      <c r="X1089" s="84"/>
      <c r="Y1089" s="84"/>
      <c r="Z1089" s="84"/>
      <c r="AA1089" s="84"/>
    </row>
    <row r="1090" ht="26.25" hidden="1" customHeight="1">
      <c r="A1090" s="85"/>
      <c r="B1090" s="106"/>
      <c r="C1090" s="103"/>
      <c r="D1090" s="93"/>
      <c r="E1090" s="93"/>
      <c r="F1090" s="103"/>
      <c r="G1090" s="113"/>
      <c r="H1090" s="113"/>
      <c r="I1090" s="100"/>
      <c r="J1090" s="113"/>
      <c r="K1090" s="82" t="b">
        <v>0</v>
      </c>
      <c r="L1090" s="94"/>
      <c r="M1090" s="84">
        <f t="shared" si="1"/>
        <v>6590</v>
      </c>
      <c r="N1090" s="84"/>
      <c r="O1090" s="84"/>
      <c r="P1090" s="84"/>
      <c r="Q1090" s="84"/>
      <c r="R1090" s="86" t="str">
        <f t="shared" si="2"/>
        <v>Prepare for Showcase</v>
      </c>
      <c r="S1090" s="82" t="b">
        <v>0</v>
      </c>
      <c r="T1090" s="88"/>
      <c r="U1090" s="84"/>
      <c r="V1090" s="84"/>
      <c r="W1090" s="84"/>
      <c r="X1090" s="84"/>
      <c r="Y1090" s="84"/>
      <c r="Z1090" s="84"/>
      <c r="AA1090" s="84"/>
    </row>
    <row r="1091" ht="26.25" hidden="1" customHeight="1">
      <c r="A1091" s="85"/>
      <c r="B1091" s="106"/>
      <c r="C1091" s="103"/>
      <c r="D1091" s="93"/>
      <c r="E1091" s="93"/>
      <c r="F1091" s="103"/>
      <c r="G1091" s="113"/>
      <c r="H1091" s="113"/>
      <c r="I1091" s="100"/>
      <c r="J1091" s="113"/>
      <c r="K1091" s="82" t="b">
        <v>0</v>
      </c>
      <c r="L1091" s="94"/>
      <c r="M1091" s="84">
        <f t="shared" si="1"/>
        <v>6590</v>
      </c>
      <c r="N1091" s="84"/>
      <c r="O1091" s="84"/>
      <c r="P1091" s="84"/>
      <c r="Q1091" s="84"/>
      <c r="R1091" s="86" t="str">
        <f t="shared" si="2"/>
        <v>Prepare for Showcase</v>
      </c>
      <c r="S1091" s="82" t="b">
        <v>0</v>
      </c>
      <c r="T1091" s="88"/>
      <c r="U1091" s="84"/>
      <c r="V1091" s="84"/>
      <c r="W1091" s="84"/>
      <c r="X1091" s="84"/>
      <c r="Y1091" s="84"/>
      <c r="Z1091" s="84"/>
      <c r="AA1091" s="84"/>
    </row>
    <row r="1092" ht="26.25" hidden="1" customHeight="1">
      <c r="A1092" s="85"/>
      <c r="B1092" s="106"/>
      <c r="C1092" s="103"/>
      <c r="D1092" s="93"/>
      <c r="E1092" s="93"/>
      <c r="F1092" s="103"/>
      <c r="G1092" s="113"/>
      <c r="H1092" s="113"/>
      <c r="I1092" s="100"/>
      <c r="J1092" s="113"/>
      <c r="K1092" s="82" t="b">
        <v>0</v>
      </c>
      <c r="L1092" s="94"/>
      <c r="M1092" s="84">
        <f t="shared" si="1"/>
        <v>6590</v>
      </c>
      <c r="N1092" s="84"/>
      <c r="O1092" s="84"/>
      <c r="P1092" s="84"/>
      <c r="Q1092" s="84"/>
      <c r="R1092" s="86" t="str">
        <f t="shared" si="2"/>
        <v>Prepare for Showcase</v>
      </c>
      <c r="S1092" s="82" t="b">
        <v>0</v>
      </c>
      <c r="T1092" s="88"/>
      <c r="U1092" s="84"/>
      <c r="V1092" s="84"/>
      <c r="W1092" s="84"/>
      <c r="X1092" s="84"/>
      <c r="Y1092" s="84"/>
      <c r="Z1092" s="84"/>
      <c r="AA1092" s="84"/>
    </row>
    <row r="1093" ht="26.25" hidden="1" customHeight="1">
      <c r="A1093" s="85"/>
      <c r="B1093" s="106"/>
      <c r="C1093" s="103"/>
      <c r="D1093" s="93"/>
      <c r="E1093" s="93"/>
      <c r="F1093" s="103"/>
      <c r="G1093" s="113"/>
      <c r="H1093" s="113"/>
      <c r="I1093" s="100"/>
      <c r="J1093" s="113"/>
      <c r="K1093" s="82" t="b">
        <v>0</v>
      </c>
      <c r="L1093" s="94"/>
      <c r="M1093" s="84">
        <f t="shared" si="1"/>
        <v>6590</v>
      </c>
      <c r="N1093" s="84"/>
      <c r="O1093" s="84"/>
      <c r="P1093" s="84"/>
      <c r="Q1093" s="84"/>
      <c r="R1093" s="86" t="str">
        <f t="shared" si="2"/>
        <v>Prepare for Showcase</v>
      </c>
      <c r="S1093" s="82" t="b">
        <v>0</v>
      </c>
      <c r="T1093" s="88"/>
      <c r="U1093" s="84"/>
      <c r="V1093" s="84"/>
      <c r="W1093" s="84"/>
      <c r="X1093" s="84"/>
      <c r="Y1093" s="84"/>
      <c r="Z1093" s="84"/>
      <c r="AA1093" s="84"/>
    </row>
    <row r="1094" ht="26.25" hidden="1" customHeight="1">
      <c r="A1094" s="85"/>
      <c r="B1094" s="106"/>
      <c r="C1094" s="103"/>
      <c r="D1094" s="93"/>
      <c r="E1094" s="93"/>
      <c r="F1094" s="103"/>
      <c r="G1094" s="113"/>
      <c r="H1094" s="113"/>
      <c r="I1094" s="100"/>
      <c r="J1094" s="113"/>
      <c r="K1094" s="82" t="b">
        <v>0</v>
      </c>
      <c r="L1094" s="94"/>
      <c r="M1094" s="84">
        <f t="shared" si="1"/>
        <v>6590</v>
      </c>
      <c r="N1094" s="84"/>
      <c r="O1094" s="84"/>
      <c r="P1094" s="84"/>
      <c r="Q1094" s="84"/>
      <c r="R1094" s="86" t="str">
        <f t="shared" si="2"/>
        <v>Prepare for Showcase</v>
      </c>
      <c r="S1094" s="82" t="b">
        <v>0</v>
      </c>
      <c r="T1094" s="88"/>
      <c r="U1094" s="84"/>
      <c r="V1094" s="84"/>
      <c r="W1094" s="84"/>
      <c r="X1094" s="84"/>
      <c r="Y1094" s="84"/>
      <c r="Z1094" s="84"/>
      <c r="AA1094" s="84"/>
    </row>
    <row r="1095" ht="26.25" hidden="1" customHeight="1">
      <c r="A1095" s="85"/>
      <c r="B1095" s="106"/>
      <c r="C1095" s="103"/>
      <c r="D1095" s="93"/>
      <c r="E1095" s="93"/>
      <c r="F1095" s="103"/>
      <c r="G1095" s="113"/>
      <c r="H1095" s="113"/>
      <c r="I1095" s="100"/>
      <c r="J1095" s="113"/>
      <c r="K1095" s="82" t="b">
        <v>0</v>
      </c>
      <c r="L1095" s="94"/>
      <c r="M1095" s="84">
        <f t="shared" si="1"/>
        <v>6590</v>
      </c>
      <c r="N1095" s="84"/>
      <c r="O1095" s="84"/>
      <c r="P1095" s="84"/>
      <c r="Q1095" s="84"/>
      <c r="R1095" s="86" t="str">
        <f t="shared" si="2"/>
        <v>Prepare for Showcase</v>
      </c>
      <c r="S1095" s="82" t="b">
        <v>0</v>
      </c>
      <c r="T1095" s="88"/>
      <c r="U1095" s="84"/>
      <c r="V1095" s="84"/>
      <c r="W1095" s="84"/>
      <c r="X1095" s="84"/>
      <c r="Y1095" s="84"/>
      <c r="Z1095" s="84"/>
      <c r="AA1095" s="84"/>
    </row>
    <row r="1096" ht="26.25" hidden="1" customHeight="1">
      <c r="A1096" s="85"/>
      <c r="B1096" s="106"/>
      <c r="C1096" s="103"/>
      <c r="D1096" s="93"/>
      <c r="E1096" s="93"/>
      <c r="F1096" s="103"/>
      <c r="G1096" s="113"/>
      <c r="H1096" s="113"/>
      <c r="I1096" s="100"/>
      <c r="J1096" s="113"/>
      <c r="K1096" s="82" t="b">
        <v>0</v>
      </c>
      <c r="L1096" s="94"/>
      <c r="M1096" s="84">
        <f t="shared" si="1"/>
        <v>6590</v>
      </c>
      <c r="N1096" s="84"/>
      <c r="O1096" s="84"/>
      <c r="P1096" s="84"/>
      <c r="Q1096" s="84"/>
      <c r="R1096" s="86" t="str">
        <f t="shared" si="2"/>
        <v>Prepare for Showcase</v>
      </c>
      <c r="S1096" s="82" t="b">
        <v>0</v>
      </c>
      <c r="T1096" s="88"/>
      <c r="U1096" s="84"/>
      <c r="V1096" s="84"/>
      <c r="W1096" s="84"/>
      <c r="X1096" s="84"/>
      <c r="Y1096" s="84"/>
      <c r="Z1096" s="84"/>
      <c r="AA1096" s="84"/>
    </row>
    <row r="1097" ht="26.25" hidden="1" customHeight="1">
      <c r="A1097" s="85"/>
      <c r="B1097" s="106"/>
      <c r="C1097" s="103"/>
      <c r="D1097" s="93"/>
      <c r="E1097" s="93"/>
      <c r="F1097" s="103"/>
      <c r="G1097" s="113"/>
      <c r="H1097" s="113"/>
      <c r="I1097" s="100"/>
      <c r="J1097" s="113"/>
      <c r="K1097" s="82" t="b">
        <v>0</v>
      </c>
      <c r="L1097" s="94"/>
      <c r="M1097" s="84">
        <f t="shared" si="1"/>
        <v>6590</v>
      </c>
      <c r="N1097" s="84"/>
      <c r="O1097" s="84"/>
      <c r="P1097" s="84"/>
      <c r="Q1097" s="84"/>
      <c r="R1097" s="86" t="str">
        <f t="shared" si="2"/>
        <v>Prepare for Showcase</v>
      </c>
      <c r="S1097" s="82" t="b">
        <v>0</v>
      </c>
      <c r="T1097" s="88"/>
      <c r="U1097" s="84"/>
      <c r="V1097" s="84"/>
      <c r="W1097" s="84"/>
      <c r="X1097" s="84"/>
      <c r="Y1097" s="84"/>
      <c r="Z1097" s="84"/>
      <c r="AA1097" s="84"/>
    </row>
    <row r="1098" ht="26.25" hidden="1" customHeight="1">
      <c r="A1098" s="85"/>
      <c r="B1098" s="106"/>
      <c r="C1098" s="103"/>
      <c r="D1098" s="93"/>
      <c r="E1098" s="93"/>
      <c r="F1098" s="103"/>
      <c r="G1098" s="113"/>
      <c r="H1098" s="113"/>
      <c r="I1098" s="100"/>
      <c r="J1098" s="113"/>
      <c r="K1098" s="82" t="b">
        <v>0</v>
      </c>
      <c r="L1098" s="94"/>
      <c r="M1098" s="84">
        <f t="shared" si="1"/>
        <v>6590</v>
      </c>
      <c r="N1098" s="84"/>
      <c r="O1098" s="84"/>
      <c r="P1098" s="84"/>
      <c r="Q1098" s="84"/>
      <c r="R1098" s="86" t="str">
        <f t="shared" si="2"/>
        <v>Prepare for Showcase</v>
      </c>
      <c r="S1098" s="82" t="b">
        <v>0</v>
      </c>
      <c r="T1098" s="88"/>
      <c r="U1098" s="84"/>
      <c r="V1098" s="84"/>
      <c r="W1098" s="84"/>
      <c r="X1098" s="84"/>
      <c r="Y1098" s="84"/>
      <c r="Z1098" s="84"/>
      <c r="AA1098" s="84"/>
    </row>
    <row r="1099" ht="26.25" hidden="1" customHeight="1">
      <c r="A1099" s="85"/>
      <c r="B1099" s="106"/>
      <c r="C1099" s="103"/>
      <c r="D1099" s="93"/>
      <c r="E1099" s="93"/>
      <c r="F1099" s="103"/>
      <c r="G1099" s="113"/>
      <c r="H1099" s="113"/>
      <c r="I1099" s="100"/>
      <c r="J1099" s="113"/>
      <c r="K1099" s="82" t="b">
        <v>0</v>
      </c>
      <c r="L1099" s="94"/>
      <c r="M1099" s="84">
        <f t="shared" si="1"/>
        <v>6590</v>
      </c>
      <c r="N1099" s="84"/>
      <c r="O1099" s="84"/>
      <c r="P1099" s="84"/>
      <c r="Q1099" s="84"/>
      <c r="R1099" s="86" t="str">
        <f t="shared" si="2"/>
        <v>Prepare for Showcase</v>
      </c>
      <c r="S1099" s="82" t="b">
        <v>0</v>
      </c>
      <c r="T1099" s="88"/>
      <c r="U1099" s="84"/>
      <c r="V1099" s="84"/>
      <c r="W1099" s="84"/>
      <c r="X1099" s="84"/>
      <c r="Y1099" s="84"/>
      <c r="Z1099" s="84"/>
      <c r="AA1099" s="84"/>
    </row>
    <row r="1100" ht="26.25" hidden="1" customHeight="1">
      <c r="A1100" s="85"/>
      <c r="B1100" s="106"/>
      <c r="C1100" s="103"/>
      <c r="D1100" s="93"/>
      <c r="E1100" s="93"/>
      <c r="F1100" s="103"/>
      <c r="G1100" s="113"/>
      <c r="H1100" s="113"/>
      <c r="I1100" s="100"/>
      <c r="J1100" s="113"/>
      <c r="K1100" s="82" t="b">
        <v>0</v>
      </c>
      <c r="L1100" s="94"/>
      <c r="M1100" s="84">
        <f t="shared" si="1"/>
        <v>6590</v>
      </c>
      <c r="N1100" s="84"/>
      <c r="O1100" s="84"/>
      <c r="P1100" s="84"/>
      <c r="Q1100" s="84"/>
      <c r="R1100" s="86" t="str">
        <f t="shared" si="2"/>
        <v>Prepare for Showcase</v>
      </c>
      <c r="S1100" s="82" t="b">
        <v>0</v>
      </c>
      <c r="T1100" s="88"/>
      <c r="U1100" s="84"/>
      <c r="V1100" s="84"/>
      <c r="W1100" s="84"/>
      <c r="X1100" s="84"/>
      <c r="Y1100" s="84"/>
      <c r="Z1100" s="84"/>
      <c r="AA1100" s="84"/>
    </row>
    <row r="1101" ht="26.25" hidden="1" customHeight="1">
      <c r="A1101" s="85"/>
      <c r="B1101" s="106"/>
      <c r="C1101" s="103"/>
      <c r="D1101" s="93"/>
      <c r="E1101" s="93"/>
      <c r="F1101" s="103"/>
      <c r="G1101" s="113"/>
      <c r="H1101" s="113"/>
      <c r="I1101" s="100"/>
      <c r="J1101" s="113"/>
      <c r="K1101" s="82" t="b">
        <v>0</v>
      </c>
      <c r="L1101" s="94"/>
      <c r="M1101" s="84">
        <f t="shared" si="1"/>
        <v>6590</v>
      </c>
      <c r="N1101" s="84"/>
      <c r="O1101" s="84"/>
      <c r="P1101" s="84"/>
      <c r="Q1101" s="84"/>
      <c r="R1101" s="86" t="str">
        <f t="shared" si="2"/>
        <v>Prepare for Showcase</v>
      </c>
      <c r="S1101" s="82" t="b">
        <v>0</v>
      </c>
      <c r="T1101" s="88"/>
      <c r="U1101" s="84"/>
      <c r="V1101" s="84"/>
      <c r="W1101" s="84"/>
      <c r="X1101" s="84"/>
      <c r="Y1101" s="84"/>
      <c r="Z1101" s="84"/>
      <c r="AA1101" s="84"/>
    </row>
    <row r="1102" ht="26.25" hidden="1" customHeight="1">
      <c r="A1102" s="85"/>
      <c r="B1102" s="106"/>
      <c r="C1102" s="103"/>
      <c r="D1102" s="93"/>
      <c r="E1102" s="93"/>
      <c r="F1102" s="103"/>
      <c r="G1102" s="113"/>
      <c r="H1102" s="113"/>
      <c r="I1102" s="100"/>
      <c r="J1102" s="113"/>
      <c r="K1102" s="82" t="b">
        <v>0</v>
      </c>
      <c r="L1102" s="94"/>
      <c r="M1102" s="84">
        <f t="shared" si="1"/>
        <v>6590</v>
      </c>
      <c r="N1102" s="84"/>
      <c r="O1102" s="84"/>
      <c r="P1102" s="84"/>
      <c r="Q1102" s="84"/>
      <c r="R1102" s="86" t="str">
        <f t="shared" si="2"/>
        <v>Prepare for Showcase</v>
      </c>
      <c r="S1102" s="82" t="b">
        <v>0</v>
      </c>
      <c r="T1102" s="88"/>
      <c r="U1102" s="84"/>
      <c r="V1102" s="84"/>
      <c r="W1102" s="84"/>
      <c r="X1102" s="84"/>
      <c r="Y1102" s="84"/>
      <c r="Z1102" s="84"/>
      <c r="AA1102" s="84"/>
    </row>
    <row r="1103" ht="26.25" hidden="1" customHeight="1">
      <c r="A1103" s="85"/>
      <c r="B1103" s="106"/>
      <c r="C1103" s="103"/>
      <c r="D1103" s="93"/>
      <c r="E1103" s="93"/>
      <c r="F1103" s="103"/>
      <c r="G1103" s="113"/>
      <c r="H1103" s="113"/>
      <c r="I1103" s="100"/>
      <c r="J1103" s="113"/>
      <c r="K1103" s="82" t="b">
        <v>0</v>
      </c>
      <c r="L1103" s="94"/>
      <c r="M1103" s="84">
        <f t="shared" si="1"/>
        <v>6590</v>
      </c>
      <c r="N1103" s="84"/>
      <c r="O1103" s="84"/>
      <c r="P1103" s="84"/>
      <c r="Q1103" s="84"/>
      <c r="R1103" s="86" t="str">
        <f t="shared" si="2"/>
        <v>Prepare for Showcase</v>
      </c>
      <c r="S1103" s="82" t="b">
        <v>0</v>
      </c>
      <c r="T1103" s="88"/>
      <c r="U1103" s="84"/>
      <c r="V1103" s="84"/>
      <c r="W1103" s="84"/>
      <c r="X1103" s="84"/>
      <c r="Y1103" s="84"/>
      <c r="Z1103" s="84"/>
      <c r="AA1103" s="84"/>
    </row>
    <row r="1104" ht="26.25" hidden="1" customHeight="1">
      <c r="A1104" s="85"/>
      <c r="B1104" s="106"/>
      <c r="C1104" s="103"/>
      <c r="D1104" s="93"/>
      <c r="E1104" s="93"/>
      <c r="F1104" s="103"/>
      <c r="G1104" s="113"/>
      <c r="H1104" s="113"/>
      <c r="I1104" s="100"/>
      <c r="J1104" s="113"/>
      <c r="K1104" s="82" t="b">
        <v>0</v>
      </c>
      <c r="L1104" s="94"/>
      <c r="M1104" s="84">
        <f t="shared" si="1"/>
        <v>6590</v>
      </c>
      <c r="N1104" s="84"/>
      <c r="O1104" s="84"/>
      <c r="P1104" s="84"/>
      <c r="Q1104" s="84"/>
      <c r="R1104" s="86" t="str">
        <f t="shared" si="2"/>
        <v>Prepare for Showcase</v>
      </c>
      <c r="S1104" s="82" t="b">
        <v>0</v>
      </c>
      <c r="T1104" s="88"/>
      <c r="U1104" s="84"/>
      <c r="V1104" s="84"/>
      <c r="W1104" s="84"/>
      <c r="X1104" s="84"/>
      <c r="Y1104" s="84"/>
      <c r="Z1104" s="84"/>
      <c r="AA1104" s="84"/>
    </row>
    <row r="1105" ht="26.25" hidden="1" customHeight="1">
      <c r="A1105" s="85"/>
      <c r="B1105" s="106"/>
      <c r="C1105" s="103"/>
      <c r="D1105" s="93"/>
      <c r="E1105" s="93"/>
      <c r="F1105" s="103"/>
      <c r="G1105" s="113"/>
      <c r="H1105" s="113"/>
      <c r="I1105" s="100"/>
      <c r="J1105" s="113"/>
      <c r="K1105" s="82" t="b">
        <v>0</v>
      </c>
      <c r="L1105" s="94"/>
      <c r="M1105" s="84">
        <f t="shared" si="1"/>
        <v>6590</v>
      </c>
      <c r="N1105" s="84"/>
      <c r="O1105" s="84"/>
      <c r="P1105" s="84"/>
      <c r="Q1105" s="84"/>
      <c r="R1105" s="86" t="str">
        <f t="shared" si="2"/>
        <v>Prepare for Showcase</v>
      </c>
      <c r="S1105" s="82" t="b">
        <v>0</v>
      </c>
      <c r="T1105" s="88"/>
      <c r="U1105" s="84"/>
      <c r="V1105" s="84"/>
      <c r="W1105" s="84"/>
      <c r="X1105" s="84"/>
      <c r="Y1105" s="84"/>
      <c r="Z1105" s="84"/>
      <c r="AA1105" s="84"/>
    </row>
    <row r="1106" ht="26.25" hidden="1" customHeight="1">
      <c r="A1106" s="85"/>
      <c r="B1106" s="106"/>
      <c r="C1106" s="103"/>
      <c r="D1106" s="93"/>
      <c r="E1106" s="93"/>
      <c r="F1106" s="103"/>
      <c r="G1106" s="113"/>
      <c r="H1106" s="113"/>
      <c r="I1106" s="100"/>
      <c r="J1106" s="113"/>
      <c r="K1106" s="82" t="b">
        <v>0</v>
      </c>
      <c r="L1106" s="94"/>
      <c r="M1106" s="84">
        <f t="shared" si="1"/>
        <v>6590</v>
      </c>
      <c r="N1106" s="84"/>
      <c r="O1106" s="84"/>
      <c r="P1106" s="84"/>
      <c r="Q1106" s="84"/>
      <c r="R1106" s="86" t="str">
        <f t="shared" si="2"/>
        <v>Prepare for Showcase</v>
      </c>
      <c r="S1106" s="82" t="b">
        <v>0</v>
      </c>
      <c r="T1106" s="88"/>
      <c r="U1106" s="84"/>
      <c r="V1106" s="84"/>
      <c r="W1106" s="84"/>
      <c r="X1106" s="84"/>
      <c r="Y1106" s="84"/>
      <c r="Z1106" s="84"/>
      <c r="AA1106" s="84"/>
    </row>
    <row r="1107" ht="26.25" hidden="1" customHeight="1">
      <c r="A1107" s="85"/>
      <c r="B1107" s="106"/>
      <c r="C1107" s="103"/>
      <c r="D1107" s="93"/>
      <c r="E1107" s="93"/>
      <c r="F1107" s="103"/>
      <c r="G1107" s="113"/>
      <c r="H1107" s="113"/>
      <c r="I1107" s="100"/>
      <c r="J1107" s="113"/>
      <c r="K1107" s="82" t="b">
        <v>0</v>
      </c>
      <c r="L1107" s="94"/>
      <c r="M1107" s="84">
        <f t="shared" si="1"/>
        <v>6590</v>
      </c>
      <c r="N1107" s="84"/>
      <c r="O1107" s="84"/>
      <c r="P1107" s="84"/>
      <c r="Q1107" s="84"/>
      <c r="R1107" s="86" t="str">
        <f t="shared" si="2"/>
        <v>Prepare for Showcase</v>
      </c>
      <c r="S1107" s="82" t="b">
        <v>0</v>
      </c>
      <c r="T1107" s="88"/>
      <c r="U1107" s="84"/>
      <c r="V1107" s="84"/>
      <c r="W1107" s="84"/>
      <c r="X1107" s="84"/>
      <c r="Y1107" s="84"/>
      <c r="Z1107" s="84"/>
      <c r="AA1107" s="84"/>
    </row>
    <row r="1108" ht="26.25" hidden="1" customHeight="1">
      <c r="A1108" s="85"/>
      <c r="B1108" s="106"/>
      <c r="C1108" s="103"/>
      <c r="D1108" s="93"/>
      <c r="E1108" s="93"/>
      <c r="F1108" s="103"/>
      <c r="G1108" s="113"/>
      <c r="H1108" s="113"/>
      <c r="I1108" s="100"/>
      <c r="J1108" s="113"/>
      <c r="K1108" s="82" t="b">
        <v>0</v>
      </c>
      <c r="L1108" s="94"/>
      <c r="M1108" s="84">
        <f t="shared" si="1"/>
        <v>6590</v>
      </c>
      <c r="N1108" s="84"/>
      <c r="O1108" s="84"/>
      <c r="P1108" s="84"/>
      <c r="Q1108" s="84"/>
      <c r="R1108" s="86" t="str">
        <f t="shared" si="2"/>
        <v>Prepare for Showcase</v>
      </c>
      <c r="S1108" s="82" t="b">
        <v>0</v>
      </c>
      <c r="T1108" s="88"/>
      <c r="U1108" s="84"/>
      <c r="V1108" s="84"/>
      <c r="W1108" s="84"/>
      <c r="X1108" s="84"/>
      <c r="Y1108" s="84"/>
      <c r="Z1108" s="84"/>
      <c r="AA1108" s="84"/>
    </row>
    <row r="1109" ht="26.25" hidden="1" customHeight="1">
      <c r="A1109" s="85"/>
      <c r="B1109" s="106"/>
      <c r="C1109" s="103"/>
      <c r="D1109" s="93"/>
      <c r="E1109" s="93"/>
      <c r="F1109" s="103"/>
      <c r="G1109" s="113"/>
      <c r="H1109" s="113"/>
      <c r="I1109" s="100"/>
      <c r="J1109" s="113"/>
      <c r="K1109" s="82" t="b">
        <v>0</v>
      </c>
      <c r="L1109" s="94"/>
      <c r="M1109" s="84">
        <f t="shared" si="1"/>
        <v>6590</v>
      </c>
      <c r="N1109" s="84"/>
      <c r="O1109" s="84"/>
      <c r="P1109" s="84"/>
      <c r="Q1109" s="84"/>
      <c r="R1109" s="86" t="str">
        <f t="shared" si="2"/>
        <v>Prepare for Showcase</v>
      </c>
      <c r="S1109" s="82" t="b">
        <v>0</v>
      </c>
      <c r="T1109" s="88"/>
      <c r="U1109" s="84"/>
      <c r="V1109" s="84"/>
      <c r="W1109" s="84"/>
      <c r="X1109" s="84"/>
      <c r="Y1109" s="84"/>
      <c r="Z1109" s="84"/>
      <c r="AA1109" s="84"/>
    </row>
    <row r="1110" ht="26.25" hidden="1" customHeight="1">
      <c r="A1110" s="85"/>
      <c r="B1110" s="106"/>
      <c r="C1110" s="103"/>
      <c r="D1110" s="93"/>
      <c r="E1110" s="93"/>
      <c r="F1110" s="103"/>
      <c r="G1110" s="113"/>
      <c r="H1110" s="113"/>
      <c r="I1110" s="100"/>
      <c r="J1110" s="113"/>
      <c r="K1110" s="82" t="b">
        <v>0</v>
      </c>
      <c r="L1110" s="94"/>
      <c r="M1110" s="84">
        <f t="shared" si="1"/>
        <v>6590</v>
      </c>
      <c r="N1110" s="84"/>
      <c r="O1110" s="84"/>
      <c r="P1110" s="84"/>
      <c r="Q1110" s="84"/>
      <c r="R1110" s="86" t="str">
        <f t="shared" si="2"/>
        <v>Prepare for Showcase</v>
      </c>
      <c r="S1110" s="82" t="b">
        <v>0</v>
      </c>
      <c r="T1110" s="88"/>
      <c r="U1110" s="84"/>
      <c r="V1110" s="84"/>
      <c r="W1110" s="84"/>
      <c r="X1110" s="84"/>
      <c r="Y1110" s="84"/>
      <c r="Z1110" s="84"/>
      <c r="AA1110" s="84"/>
    </row>
    <row r="1111" ht="26.25" hidden="1" customHeight="1">
      <c r="A1111" s="85"/>
      <c r="B1111" s="106"/>
      <c r="C1111" s="103"/>
      <c r="D1111" s="93"/>
      <c r="E1111" s="93"/>
      <c r="F1111" s="103"/>
      <c r="G1111" s="113"/>
      <c r="H1111" s="113"/>
      <c r="I1111" s="100"/>
      <c r="J1111" s="113"/>
      <c r="K1111" s="82" t="b">
        <v>0</v>
      </c>
      <c r="L1111" s="94"/>
      <c r="M1111" s="84">
        <f t="shared" si="1"/>
        <v>6590</v>
      </c>
      <c r="N1111" s="84"/>
      <c r="O1111" s="84"/>
      <c r="P1111" s="84"/>
      <c r="Q1111" s="84"/>
      <c r="R1111" s="86" t="str">
        <f t="shared" si="2"/>
        <v>Prepare for Showcase</v>
      </c>
      <c r="S1111" s="82" t="b">
        <v>0</v>
      </c>
      <c r="T1111" s="88"/>
      <c r="U1111" s="84"/>
      <c r="V1111" s="84"/>
      <c r="W1111" s="84"/>
      <c r="X1111" s="84"/>
      <c r="Y1111" s="84"/>
      <c r="Z1111" s="84"/>
      <c r="AA1111" s="84"/>
    </row>
    <row r="1112" ht="26.25" hidden="1" customHeight="1">
      <c r="A1112" s="85"/>
      <c r="B1112" s="106"/>
      <c r="C1112" s="103"/>
      <c r="D1112" s="93"/>
      <c r="E1112" s="93"/>
      <c r="F1112" s="103"/>
      <c r="G1112" s="113"/>
      <c r="H1112" s="113"/>
      <c r="I1112" s="100"/>
      <c r="J1112" s="113"/>
      <c r="K1112" s="82" t="b">
        <v>0</v>
      </c>
      <c r="L1112" s="94"/>
      <c r="M1112" s="84">
        <f t="shared" si="1"/>
        <v>6590</v>
      </c>
      <c r="N1112" s="84"/>
      <c r="O1112" s="84"/>
      <c r="P1112" s="84"/>
      <c r="Q1112" s="84"/>
      <c r="R1112" s="86" t="str">
        <f t="shared" si="2"/>
        <v>Prepare for Showcase</v>
      </c>
      <c r="S1112" s="82" t="b">
        <v>0</v>
      </c>
      <c r="T1112" s="88"/>
      <c r="U1112" s="84"/>
      <c r="V1112" s="84"/>
      <c r="W1112" s="84"/>
      <c r="X1112" s="84"/>
      <c r="Y1112" s="84"/>
      <c r="Z1112" s="84"/>
      <c r="AA1112" s="84"/>
    </row>
    <row r="1113" ht="26.25" hidden="1" customHeight="1">
      <c r="A1113" s="85"/>
      <c r="B1113" s="106"/>
      <c r="C1113" s="103"/>
      <c r="D1113" s="93"/>
      <c r="E1113" s="93"/>
      <c r="F1113" s="103"/>
      <c r="G1113" s="113"/>
      <c r="H1113" s="113"/>
      <c r="I1113" s="100"/>
      <c r="J1113" s="113"/>
      <c r="K1113" s="82" t="b">
        <v>0</v>
      </c>
      <c r="L1113" s="94"/>
      <c r="M1113" s="84">
        <f t="shared" si="1"/>
        <v>6590</v>
      </c>
      <c r="N1113" s="84"/>
      <c r="O1113" s="84"/>
      <c r="P1113" s="84"/>
      <c r="Q1113" s="84"/>
      <c r="R1113" s="86" t="str">
        <f t="shared" si="2"/>
        <v>Prepare for Showcase</v>
      </c>
      <c r="S1113" s="82" t="b">
        <v>0</v>
      </c>
      <c r="T1113" s="88"/>
      <c r="U1113" s="84"/>
      <c r="V1113" s="84"/>
      <c r="W1113" s="84"/>
      <c r="X1113" s="84"/>
      <c r="Y1113" s="84"/>
      <c r="Z1113" s="84"/>
      <c r="AA1113" s="84"/>
    </row>
    <row r="1114" ht="26.25" hidden="1" customHeight="1">
      <c r="A1114" s="85"/>
      <c r="B1114" s="106"/>
      <c r="C1114" s="103"/>
      <c r="D1114" s="93"/>
      <c r="E1114" s="93"/>
      <c r="F1114" s="103"/>
      <c r="G1114" s="113"/>
      <c r="H1114" s="113"/>
      <c r="I1114" s="100"/>
      <c r="J1114" s="113"/>
      <c r="K1114" s="82" t="b">
        <v>0</v>
      </c>
      <c r="L1114" s="94"/>
      <c r="M1114" s="84">
        <f t="shared" si="1"/>
        <v>6590</v>
      </c>
      <c r="N1114" s="84"/>
      <c r="O1114" s="84"/>
      <c r="P1114" s="84"/>
      <c r="Q1114" s="84"/>
      <c r="R1114" s="86" t="str">
        <f t="shared" si="2"/>
        <v>Prepare for Showcase</v>
      </c>
      <c r="S1114" s="82" t="b">
        <v>0</v>
      </c>
      <c r="T1114" s="88"/>
      <c r="U1114" s="84"/>
      <c r="V1114" s="84"/>
      <c r="W1114" s="84"/>
      <c r="X1114" s="84"/>
      <c r="Y1114" s="84"/>
      <c r="Z1114" s="84"/>
      <c r="AA1114" s="84"/>
    </row>
    <row r="1115" ht="26.25" hidden="1" customHeight="1">
      <c r="A1115" s="85"/>
      <c r="B1115" s="106"/>
      <c r="C1115" s="103"/>
      <c r="D1115" s="93"/>
      <c r="E1115" s="93"/>
      <c r="F1115" s="103"/>
      <c r="G1115" s="113"/>
      <c r="H1115" s="113"/>
      <c r="I1115" s="100"/>
      <c r="J1115" s="113"/>
      <c r="K1115" s="82" t="b">
        <v>0</v>
      </c>
      <c r="L1115" s="94"/>
      <c r="M1115" s="84">
        <f t="shared" si="1"/>
        <v>6590</v>
      </c>
      <c r="N1115" s="84"/>
      <c r="O1115" s="84"/>
      <c r="P1115" s="84"/>
      <c r="Q1115" s="84"/>
      <c r="R1115" s="86" t="str">
        <f t="shared" si="2"/>
        <v>Prepare for Showcase</v>
      </c>
      <c r="S1115" s="82" t="b">
        <v>0</v>
      </c>
      <c r="T1115" s="88"/>
      <c r="U1115" s="84"/>
      <c r="V1115" s="84"/>
      <c r="W1115" s="84"/>
      <c r="X1115" s="84"/>
      <c r="Y1115" s="84"/>
      <c r="Z1115" s="84"/>
      <c r="AA1115" s="84"/>
    </row>
    <row r="1116" ht="26.25" hidden="1" customHeight="1">
      <c r="A1116" s="85"/>
      <c r="B1116" s="106"/>
      <c r="C1116" s="103"/>
      <c r="D1116" s="93"/>
      <c r="E1116" s="93"/>
      <c r="F1116" s="103"/>
      <c r="G1116" s="113"/>
      <c r="H1116" s="113"/>
      <c r="I1116" s="100"/>
      <c r="J1116" s="113"/>
      <c r="K1116" s="82" t="b">
        <v>0</v>
      </c>
      <c r="L1116" s="94"/>
      <c r="M1116" s="84">
        <f t="shared" si="1"/>
        <v>6590</v>
      </c>
      <c r="N1116" s="84"/>
      <c r="O1116" s="84"/>
      <c r="P1116" s="84"/>
      <c r="Q1116" s="84"/>
      <c r="R1116" s="86" t="str">
        <f t="shared" si="2"/>
        <v>Prepare for Showcase</v>
      </c>
      <c r="S1116" s="82" t="b">
        <v>0</v>
      </c>
      <c r="T1116" s="88"/>
      <c r="U1116" s="84"/>
      <c r="V1116" s="84"/>
      <c r="W1116" s="84"/>
      <c r="X1116" s="84"/>
      <c r="Y1116" s="84"/>
      <c r="Z1116" s="84"/>
      <c r="AA1116" s="84"/>
    </row>
    <row r="1117" ht="26.25" hidden="1" customHeight="1">
      <c r="A1117" s="85"/>
      <c r="B1117" s="106"/>
      <c r="C1117" s="103"/>
      <c r="D1117" s="93"/>
      <c r="E1117" s="93"/>
      <c r="F1117" s="103"/>
      <c r="G1117" s="113"/>
      <c r="H1117" s="113"/>
      <c r="I1117" s="100"/>
      <c r="J1117" s="113"/>
      <c r="K1117" s="82" t="b">
        <v>0</v>
      </c>
      <c r="L1117" s="94"/>
      <c r="M1117" s="84">
        <f t="shared" si="1"/>
        <v>6590</v>
      </c>
      <c r="N1117" s="84"/>
      <c r="O1117" s="84"/>
      <c r="P1117" s="84"/>
      <c r="Q1117" s="84"/>
      <c r="R1117" s="86" t="str">
        <f t="shared" si="2"/>
        <v>Prepare for Showcase</v>
      </c>
      <c r="S1117" s="82" t="b">
        <v>0</v>
      </c>
      <c r="T1117" s="88"/>
      <c r="U1117" s="84"/>
      <c r="V1117" s="84"/>
      <c r="W1117" s="84"/>
      <c r="X1117" s="84"/>
      <c r="Y1117" s="84"/>
      <c r="Z1117" s="84"/>
      <c r="AA1117" s="84"/>
    </row>
    <row r="1118" ht="26.25" hidden="1" customHeight="1">
      <c r="A1118" s="85"/>
      <c r="B1118" s="106"/>
      <c r="C1118" s="103"/>
      <c r="D1118" s="93"/>
      <c r="E1118" s="93"/>
      <c r="F1118" s="103"/>
      <c r="G1118" s="113"/>
      <c r="H1118" s="113"/>
      <c r="I1118" s="100"/>
      <c r="J1118" s="113"/>
      <c r="K1118" s="82" t="b">
        <v>0</v>
      </c>
      <c r="L1118" s="94"/>
      <c r="M1118" s="84">
        <f t="shared" si="1"/>
        <v>6590</v>
      </c>
      <c r="N1118" s="84"/>
      <c r="O1118" s="84"/>
      <c r="P1118" s="84"/>
      <c r="Q1118" s="84"/>
      <c r="R1118" s="86" t="str">
        <f t="shared" si="2"/>
        <v>Prepare for Showcase</v>
      </c>
      <c r="S1118" s="82" t="b">
        <v>0</v>
      </c>
      <c r="T1118" s="88"/>
      <c r="U1118" s="84"/>
      <c r="V1118" s="84"/>
      <c r="W1118" s="84"/>
      <c r="X1118" s="84"/>
      <c r="Y1118" s="84"/>
      <c r="Z1118" s="84"/>
      <c r="AA1118" s="84"/>
    </row>
    <row r="1119" ht="26.25" hidden="1" customHeight="1">
      <c r="A1119" s="85"/>
      <c r="B1119" s="106"/>
      <c r="C1119" s="103"/>
      <c r="D1119" s="93"/>
      <c r="E1119" s="93"/>
      <c r="F1119" s="103"/>
      <c r="G1119" s="113"/>
      <c r="H1119" s="113"/>
      <c r="I1119" s="100"/>
      <c r="J1119" s="113"/>
      <c r="K1119" s="82" t="b">
        <v>0</v>
      </c>
      <c r="L1119" s="94"/>
      <c r="M1119" s="84">
        <f t="shared" si="1"/>
        <v>6590</v>
      </c>
      <c r="N1119" s="84"/>
      <c r="O1119" s="84"/>
      <c r="P1119" s="84"/>
      <c r="Q1119" s="84"/>
      <c r="R1119" s="86" t="str">
        <f t="shared" si="2"/>
        <v>Prepare for Showcase</v>
      </c>
      <c r="S1119" s="82" t="b">
        <v>0</v>
      </c>
      <c r="T1119" s="88"/>
      <c r="U1119" s="84"/>
      <c r="V1119" s="84"/>
      <c r="W1119" s="84"/>
      <c r="X1119" s="84"/>
      <c r="Y1119" s="84"/>
      <c r="Z1119" s="84"/>
      <c r="AA1119" s="84"/>
    </row>
    <row r="1120" ht="26.25" hidden="1" customHeight="1">
      <c r="A1120" s="85"/>
      <c r="B1120" s="106"/>
      <c r="C1120" s="103"/>
      <c r="D1120" s="93"/>
      <c r="E1120" s="93"/>
      <c r="F1120" s="103"/>
      <c r="G1120" s="113"/>
      <c r="H1120" s="113"/>
      <c r="I1120" s="100"/>
      <c r="J1120" s="113"/>
      <c r="K1120" s="82" t="b">
        <v>0</v>
      </c>
      <c r="L1120" s="94"/>
      <c r="M1120" s="84">
        <f t="shared" si="1"/>
        <v>6590</v>
      </c>
      <c r="N1120" s="84"/>
      <c r="O1120" s="84"/>
      <c r="P1120" s="84"/>
      <c r="Q1120" s="84"/>
      <c r="R1120" s="86" t="str">
        <f t="shared" si="2"/>
        <v>Prepare for Showcase</v>
      </c>
      <c r="S1120" s="82" t="b">
        <v>0</v>
      </c>
      <c r="T1120" s="88"/>
      <c r="U1120" s="84"/>
      <c r="V1120" s="84"/>
      <c r="W1120" s="84"/>
      <c r="X1120" s="84"/>
      <c r="Y1120" s="84"/>
      <c r="Z1120" s="84"/>
      <c r="AA1120" s="84"/>
    </row>
    <row r="1121" ht="26.25" hidden="1" customHeight="1">
      <c r="A1121" s="85"/>
      <c r="B1121" s="106"/>
      <c r="C1121" s="103"/>
      <c r="D1121" s="93"/>
      <c r="E1121" s="93"/>
      <c r="F1121" s="103"/>
      <c r="G1121" s="113"/>
      <c r="H1121" s="113"/>
      <c r="I1121" s="100"/>
      <c r="J1121" s="113"/>
      <c r="K1121" s="82" t="b">
        <v>0</v>
      </c>
      <c r="L1121" s="94"/>
      <c r="M1121" s="84">
        <f t="shared" si="1"/>
        <v>6590</v>
      </c>
      <c r="N1121" s="84"/>
      <c r="O1121" s="84"/>
      <c r="P1121" s="84"/>
      <c r="Q1121" s="84"/>
      <c r="R1121" s="86" t="str">
        <f t="shared" si="2"/>
        <v>Prepare for Showcase</v>
      </c>
      <c r="S1121" s="82" t="b">
        <v>0</v>
      </c>
      <c r="T1121" s="88"/>
      <c r="U1121" s="84"/>
      <c r="V1121" s="84"/>
      <c r="W1121" s="84"/>
      <c r="X1121" s="84"/>
      <c r="Y1121" s="84"/>
      <c r="Z1121" s="84"/>
      <c r="AA1121" s="84"/>
    </row>
    <row r="1122" ht="26.25" hidden="1" customHeight="1">
      <c r="A1122" s="85"/>
      <c r="B1122" s="106"/>
      <c r="C1122" s="103"/>
      <c r="D1122" s="93"/>
      <c r="E1122" s="93"/>
      <c r="F1122" s="103"/>
      <c r="G1122" s="113"/>
      <c r="H1122" s="113"/>
      <c r="I1122" s="100"/>
      <c r="J1122" s="113"/>
      <c r="K1122" s="82" t="b">
        <v>0</v>
      </c>
      <c r="L1122" s="94"/>
      <c r="M1122" s="84">
        <f t="shared" si="1"/>
        <v>6590</v>
      </c>
      <c r="N1122" s="84"/>
      <c r="O1122" s="84"/>
      <c r="P1122" s="84"/>
      <c r="Q1122" s="84"/>
      <c r="R1122" s="86" t="str">
        <f t="shared" si="2"/>
        <v>Prepare for Showcase</v>
      </c>
      <c r="S1122" s="82" t="b">
        <v>0</v>
      </c>
      <c r="T1122" s="88"/>
      <c r="U1122" s="84"/>
      <c r="V1122" s="84"/>
      <c r="W1122" s="84"/>
      <c r="X1122" s="84"/>
      <c r="Y1122" s="84"/>
      <c r="Z1122" s="84"/>
      <c r="AA1122" s="84"/>
    </row>
    <row r="1123" ht="26.25" hidden="1" customHeight="1">
      <c r="A1123" s="85"/>
      <c r="B1123" s="106"/>
      <c r="C1123" s="103"/>
      <c r="D1123" s="93"/>
      <c r="E1123" s="93"/>
      <c r="F1123" s="103"/>
      <c r="G1123" s="113"/>
      <c r="H1123" s="113"/>
      <c r="I1123" s="100"/>
      <c r="J1123" s="113"/>
      <c r="K1123" s="82" t="b">
        <v>0</v>
      </c>
      <c r="L1123" s="94"/>
      <c r="M1123" s="84">
        <f t="shared" si="1"/>
        <v>6590</v>
      </c>
      <c r="N1123" s="84"/>
      <c r="O1123" s="84"/>
      <c r="P1123" s="84"/>
      <c r="Q1123" s="84"/>
      <c r="R1123" s="86" t="str">
        <f t="shared" si="2"/>
        <v>Prepare for Showcase</v>
      </c>
      <c r="S1123" s="82" t="b">
        <v>0</v>
      </c>
      <c r="T1123" s="88"/>
      <c r="U1123" s="84"/>
      <c r="V1123" s="84"/>
      <c r="W1123" s="84"/>
      <c r="X1123" s="84"/>
      <c r="Y1123" s="84"/>
      <c r="Z1123" s="84"/>
      <c r="AA1123" s="84"/>
    </row>
    <row r="1124" ht="26.25" hidden="1" customHeight="1">
      <c r="A1124" s="85"/>
      <c r="B1124" s="106"/>
      <c r="C1124" s="103"/>
      <c r="D1124" s="93"/>
      <c r="E1124" s="93"/>
      <c r="F1124" s="103"/>
      <c r="G1124" s="113"/>
      <c r="H1124" s="113"/>
      <c r="I1124" s="100"/>
      <c r="J1124" s="113"/>
      <c r="K1124" s="82" t="b">
        <v>0</v>
      </c>
      <c r="L1124" s="94"/>
      <c r="M1124" s="84">
        <f t="shared" si="1"/>
        <v>6590</v>
      </c>
      <c r="N1124" s="84"/>
      <c r="O1124" s="84"/>
      <c r="P1124" s="84"/>
      <c r="Q1124" s="84"/>
      <c r="R1124" s="86" t="str">
        <f t="shared" si="2"/>
        <v>Prepare for Showcase</v>
      </c>
      <c r="S1124" s="82" t="b">
        <v>0</v>
      </c>
      <c r="T1124" s="88"/>
      <c r="U1124" s="84"/>
      <c r="V1124" s="84"/>
      <c r="W1124" s="84"/>
      <c r="X1124" s="84"/>
      <c r="Y1124" s="84"/>
      <c r="Z1124" s="84"/>
      <c r="AA1124" s="84"/>
    </row>
    <row r="1125" ht="26.25" hidden="1" customHeight="1">
      <c r="A1125" s="85"/>
      <c r="B1125" s="106"/>
      <c r="C1125" s="103"/>
      <c r="D1125" s="93"/>
      <c r="E1125" s="93"/>
      <c r="F1125" s="103"/>
      <c r="G1125" s="113"/>
      <c r="H1125" s="113"/>
      <c r="I1125" s="100"/>
      <c r="J1125" s="113"/>
      <c r="K1125" s="82" t="b">
        <v>0</v>
      </c>
      <c r="L1125" s="94"/>
      <c r="M1125" s="84">
        <f t="shared" si="1"/>
        <v>6590</v>
      </c>
      <c r="N1125" s="84"/>
      <c r="O1125" s="84"/>
      <c r="P1125" s="84"/>
      <c r="Q1125" s="84"/>
      <c r="R1125" s="86" t="str">
        <f t="shared" si="2"/>
        <v>Prepare for Showcase</v>
      </c>
      <c r="S1125" s="82" t="b">
        <v>0</v>
      </c>
      <c r="T1125" s="88"/>
      <c r="U1125" s="84"/>
      <c r="V1125" s="84"/>
      <c r="W1125" s="84"/>
      <c r="X1125" s="84"/>
      <c r="Y1125" s="84"/>
      <c r="Z1125" s="84"/>
      <c r="AA1125" s="84"/>
    </row>
    <row r="1126" ht="26.25" hidden="1" customHeight="1">
      <c r="A1126" s="85"/>
      <c r="B1126" s="106"/>
      <c r="C1126" s="103"/>
      <c r="D1126" s="93"/>
      <c r="E1126" s="93"/>
      <c r="F1126" s="103"/>
      <c r="G1126" s="113"/>
      <c r="H1126" s="113"/>
      <c r="I1126" s="100"/>
      <c r="J1126" s="113"/>
      <c r="K1126" s="82" t="b">
        <v>0</v>
      </c>
      <c r="L1126" s="94"/>
      <c r="M1126" s="84">
        <f t="shared" si="1"/>
        <v>6590</v>
      </c>
      <c r="N1126" s="84"/>
      <c r="O1126" s="84"/>
      <c r="P1126" s="84"/>
      <c r="Q1126" s="84"/>
      <c r="R1126" s="86" t="str">
        <f t="shared" si="2"/>
        <v>Prepare for Showcase</v>
      </c>
      <c r="S1126" s="82" t="b">
        <v>0</v>
      </c>
      <c r="T1126" s="88"/>
      <c r="U1126" s="84"/>
      <c r="V1126" s="84"/>
      <c r="W1126" s="84"/>
      <c r="X1126" s="84"/>
      <c r="Y1126" s="84"/>
      <c r="Z1126" s="84"/>
      <c r="AA1126" s="84"/>
    </row>
    <row r="1127" ht="26.25" hidden="1" customHeight="1">
      <c r="A1127" s="85"/>
      <c r="B1127" s="106"/>
      <c r="C1127" s="103"/>
      <c r="D1127" s="93"/>
      <c r="E1127" s="93"/>
      <c r="F1127" s="103"/>
      <c r="G1127" s="113"/>
      <c r="H1127" s="113"/>
      <c r="I1127" s="100"/>
      <c r="J1127" s="113"/>
      <c r="K1127" s="82" t="b">
        <v>0</v>
      </c>
      <c r="L1127" s="94"/>
      <c r="M1127" s="84">
        <f t="shared" si="1"/>
        <v>6590</v>
      </c>
      <c r="N1127" s="84"/>
      <c r="O1127" s="84"/>
      <c r="P1127" s="84"/>
      <c r="Q1127" s="84"/>
      <c r="R1127" s="86" t="str">
        <f t="shared" si="2"/>
        <v>Prepare for Showcase</v>
      </c>
      <c r="S1127" s="82" t="b">
        <v>0</v>
      </c>
      <c r="T1127" s="88"/>
      <c r="U1127" s="84"/>
      <c r="V1127" s="84"/>
      <c r="W1127" s="84"/>
      <c r="X1127" s="84"/>
      <c r="Y1127" s="84"/>
      <c r="Z1127" s="84"/>
      <c r="AA1127" s="84"/>
    </row>
    <row r="1128" ht="26.25" hidden="1" customHeight="1">
      <c r="A1128" s="85"/>
      <c r="B1128" s="106"/>
      <c r="C1128" s="103"/>
      <c r="D1128" s="93"/>
      <c r="E1128" s="93"/>
      <c r="F1128" s="103"/>
      <c r="G1128" s="113"/>
      <c r="H1128" s="113"/>
      <c r="I1128" s="100"/>
      <c r="J1128" s="113"/>
      <c r="K1128" s="82" t="b">
        <v>0</v>
      </c>
      <c r="L1128" s="94"/>
      <c r="M1128" s="84">
        <f t="shared" si="1"/>
        <v>6590</v>
      </c>
      <c r="N1128" s="84"/>
      <c r="O1128" s="84"/>
      <c r="P1128" s="84"/>
      <c r="Q1128" s="84"/>
      <c r="R1128" s="86" t="str">
        <f t="shared" si="2"/>
        <v>Prepare for Showcase</v>
      </c>
      <c r="S1128" s="82" t="b">
        <v>0</v>
      </c>
      <c r="T1128" s="88"/>
      <c r="U1128" s="84"/>
      <c r="V1128" s="84"/>
      <c r="W1128" s="84"/>
      <c r="X1128" s="84"/>
      <c r="Y1128" s="84"/>
      <c r="Z1128" s="84"/>
      <c r="AA1128" s="84"/>
    </row>
    <row r="1129" ht="26.25" hidden="1" customHeight="1">
      <c r="A1129" s="85"/>
      <c r="B1129" s="106"/>
      <c r="C1129" s="103"/>
      <c r="D1129" s="93"/>
      <c r="E1129" s="93"/>
      <c r="F1129" s="103"/>
      <c r="G1129" s="113"/>
      <c r="H1129" s="113"/>
      <c r="I1129" s="100"/>
      <c r="J1129" s="113"/>
      <c r="K1129" s="82" t="b">
        <v>0</v>
      </c>
      <c r="L1129" s="94"/>
      <c r="M1129" s="84">
        <f t="shared" si="1"/>
        <v>6590</v>
      </c>
      <c r="N1129" s="84"/>
      <c r="O1129" s="84"/>
      <c r="P1129" s="84"/>
      <c r="Q1129" s="84"/>
      <c r="R1129" s="86" t="str">
        <f t="shared" si="2"/>
        <v>Prepare for Showcase</v>
      </c>
      <c r="S1129" s="82" t="b">
        <v>0</v>
      </c>
      <c r="T1129" s="88"/>
      <c r="U1129" s="84"/>
      <c r="V1129" s="84"/>
      <c r="W1129" s="84"/>
      <c r="X1129" s="84"/>
      <c r="Y1129" s="84"/>
      <c r="Z1129" s="84"/>
      <c r="AA1129" s="84"/>
    </row>
    <row r="1130" ht="26.25" hidden="1" customHeight="1">
      <c r="A1130" s="85"/>
      <c r="B1130" s="106"/>
      <c r="C1130" s="103"/>
      <c r="D1130" s="93"/>
      <c r="E1130" s="93"/>
      <c r="F1130" s="103"/>
      <c r="G1130" s="113"/>
      <c r="H1130" s="113"/>
      <c r="I1130" s="100"/>
      <c r="J1130" s="113"/>
      <c r="K1130" s="82" t="b">
        <v>0</v>
      </c>
      <c r="L1130" s="94"/>
      <c r="M1130" s="84">
        <f t="shared" si="1"/>
        <v>6590</v>
      </c>
      <c r="N1130" s="84"/>
      <c r="O1130" s="84"/>
      <c r="P1130" s="84"/>
      <c r="Q1130" s="84"/>
      <c r="R1130" s="86" t="str">
        <f t="shared" si="2"/>
        <v>Prepare for Showcase</v>
      </c>
      <c r="S1130" s="82" t="b">
        <v>0</v>
      </c>
      <c r="T1130" s="88"/>
      <c r="U1130" s="84"/>
      <c r="V1130" s="84"/>
      <c r="W1130" s="84"/>
      <c r="X1130" s="84"/>
      <c r="Y1130" s="84"/>
      <c r="Z1130" s="84"/>
      <c r="AA1130" s="84"/>
    </row>
    <row r="1131" ht="26.25" hidden="1" customHeight="1">
      <c r="A1131" s="85"/>
      <c r="B1131" s="106"/>
      <c r="C1131" s="103"/>
      <c r="D1131" s="93"/>
      <c r="E1131" s="93"/>
      <c r="F1131" s="103"/>
      <c r="G1131" s="113"/>
      <c r="H1131" s="113"/>
      <c r="I1131" s="100"/>
      <c r="J1131" s="113"/>
      <c r="K1131" s="82" t="b">
        <v>0</v>
      </c>
      <c r="L1131" s="94"/>
      <c r="M1131" s="84">
        <f t="shared" si="1"/>
        <v>6590</v>
      </c>
      <c r="N1131" s="84"/>
      <c r="O1131" s="84"/>
      <c r="P1131" s="84"/>
      <c r="Q1131" s="84"/>
      <c r="R1131" s="86" t="str">
        <f t="shared" si="2"/>
        <v>Prepare for Showcase</v>
      </c>
      <c r="S1131" s="82" t="b">
        <v>0</v>
      </c>
      <c r="T1131" s="88"/>
      <c r="U1131" s="84"/>
      <c r="V1131" s="84"/>
      <c r="W1131" s="84"/>
      <c r="X1131" s="84"/>
      <c r="Y1131" s="84"/>
      <c r="Z1131" s="84"/>
      <c r="AA1131" s="84"/>
    </row>
    <row r="1132" ht="26.25" hidden="1" customHeight="1">
      <c r="A1132" s="85"/>
      <c r="B1132" s="106"/>
      <c r="C1132" s="103"/>
      <c r="D1132" s="93"/>
      <c r="E1132" s="93"/>
      <c r="F1132" s="103"/>
      <c r="G1132" s="113"/>
      <c r="H1132" s="113"/>
      <c r="I1132" s="100"/>
      <c r="J1132" s="113"/>
      <c r="K1132" s="82" t="b">
        <v>0</v>
      </c>
      <c r="L1132" s="94"/>
      <c r="M1132" s="84">
        <f t="shared" si="1"/>
        <v>6590</v>
      </c>
      <c r="N1132" s="84"/>
      <c r="O1132" s="84"/>
      <c r="P1132" s="84"/>
      <c r="Q1132" s="84"/>
      <c r="R1132" s="86" t="str">
        <f t="shared" si="2"/>
        <v>Prepare for Showcase</v>
      </c>
      <c r="S1132" s="82" t="b">
        <v>0</v>
      </c>
      <c r="T1132" s="88"/>
      <c r="U1132" s="84"/>
      <c r="V1132" s="84"/>
      <c r="W1132" s="84"/>
      <c r="X1132" s="84"/>
      <c r="Y1132" s="84"/>
      <c r="Z1132" s="84"/>
      <c r="AA1132" s="84"/>
    </row>
    <row r="1133" ht="26.25" hidden="1" customHeight="1">
      <c r="A1133" s="85"/>
      <c r="B1133" s="106"/>
      <c r="C1133" s="103"/>
      <c r="D1133" s="93"/>
      <c r="E1133" s="93"/>
      <c r="F1133" s="103"/>
      <c r="G1133" s="113"/>
      <c r="H1133" s="113"/>
      <c r="I1133" s="100"/>
      <c r="J1133" s="113"/>
      <c r="K1133" s="82" t="b">
        <v>0</v>
      </c>
      <c r="L1133" s="94"/>
      <c r="M1133" s="84">
        <f t="shared" si="1"/>
        <v>6590</v>
      </c>
      <c r="N1133" s="84"/>
      <c r="O1133" s="84"/>
      <c r="P1133" s="84"/>
      <c r="Q1133" s="84"/>
      <c r="R1133" s="86" t="str">
        <f t="shared" si="2"/>
        <v>Prepare for Showcase</v>
      </c>
      <c r="S1133" s="82" t="b">
        <v>0</v>
      </c>
      <c r="T1133" s="88"/>
      <c r="U1133" s="84"/>
      <c r="V1133" s="84"/>
      <c r="W1133" s="84"/>
      <c r="X1133" s="84"/>
      <c r="Y1133" s="84"/>
      <c r="Z1133" s="84"/>
      <c r="AA1133" s="84"/>
    </row>
    <row r="1134" ht="26.25" hidden="1" customHeight="1">
      <c r="A1134" s="85"/>
      <c r="B1134" s="106"/>
      <c r="C1134" s="103"/>
      <c r="D1134" s="93"/>
      <c r="E1134" s="93"/>
      <c r="F1134" s="103"/>
      <c r="G1134" s="113"/>
      <c r="H1134" s="113"/>
      <c r="I1134" s="100"/>
      <c r="J1134" s="113"/>
      <c r="K1134" s="82" t="b">
        <v>0</v>
      </c>
      <c r="L1134" s="94"/>
      <c r="M1134" s="84">
        <f t="shared" si="1"/>
        <v>6590</v>
      </c>
      <c r="N1134" s="84"/>
      <c r="O1134" s="84"/>
      <c r="P1134" s="84"/>
      <c r="Q1134" s="84"/>
      <c r="R1134" s="86" t="str">
        <f t="shared" si="2"/>
        <v>Prepare for Showcase</v>
      </c>
      <c r="S1134" s="82" t="b">
        <v>0</v>
      </c>
      <c r="T1134" s="88"/>
      <c r="U1134" s="84"/>
      <c r="V1134" s="84"/>
      <c r="W1134" s="84"/>
      <c r="X1134" s="84"/>
      <c r="Y1134" s="84"/>
      <c r="Z1134" s="84"/>
      <c r="AA1134" s="84"/>
    </row>
    <row r="1135" ht="26.25" hidden="1" customHeight="1">
      <c r="A1135" s="85"/>
      <c r="B1135" s="106"/>
      <c r="C1135" s="103"/>
      <c r="D1135" s="93"/>
      <c r="E1135" s="93"/>
      <c r="F1135" s="103"/>
      <c r="G1135" s="113"/>
      <c r="H1135" s="113"/>
      <c r="I1135" s="100"/>
      <c r="J1135" s="113"/>
      <c r="K1135" s="82" t="b">
        <v>0</v>
      </c>
      <c r="L1135" s="94"/>
      <c r="M1135" s="84">
        <f t="shared" si="1"/>
        <v>6590</v>
      </c>
      <c r="N1135" s="84"/>
      <c r="O1135" s="84"/>
      <c r="P1135" s="84"/>
      <c r="Q1135" s="84"/>
      <c r="R1135" s="86" t="str">
        <f t="shared" si="2"/>
        <v>Prepare for Showcase</v>
      </c>
      <c r="S1135" s="82" t="b">
        <v>0</v>
      </c>
      <c r="T1135" s="88"/>
      <c r="U1135" s="84"/>
      <c r="V1135" s="84"/>
      <c r="W1135" s="84"/>
      <c r="X1135" s="84"/>
      <c r="Y1135" s="84"/>
      <c r="Z1135" s="84"/>
      <c r="AA1135" s="84"/>
    </row>
    <row r="1136" ht="26.25" hidden="1" customHeight="1">
      <c r="A1136" s="85"/>
      <c r="B1136" s="106"/>
      <c r="C1136" s="103"/>
      <c r="D1136" s="93"/>
      <c r="E1136" s="93"/>
      <c r="F1136" s="103"/>
      <c r="G1136" s="113"/>
      <c r="H1136" s="113"/>
      <c r="I1136" s="100"/>
      <c r="J1136" s="113"/>
      <c r="K1136" s="82" t="b">
        <v>0</v>
      </c>
      <c r="L1136" s="94"/>
      <c r="M1136" s="84">
        <f t="shared" si="1"/>
        <v>6590</v>
      </c>
      <c r="N1136" s="84"/>
      <c r="O1136" s="84"/>
      <c r="P1136" s="84"/>
      <c r="Q1136" s="84"/>
      <c r="R1136" s="86" t="str">
        <f t="shared" si="2"/>
        <v>Prepare for Showcase</v>
      </c>
      <c r="S1136" s="82" t="b">
        <v>0</v>
      </c>
      <c r="T1136" s="88"/>
      <c r="U1136" s="84"/>
      <c r="V1136" s="84"/>
      <c r="W1136" s="84"/>
      <c r="X1136" s="84"/>
      <c r="Y1136" s="84"/>
      <c r="Z1136" s="84"/>
      <c r="AA1136" s="84"/>
    </row>
    <row r="1137" ht="26.25" hidden="1" customHeight="1">
      <c r="A1137" s="85"/>
      <c r="B1137" s="106"/>
      <c r="C1137" s="103"/>
      <c r="D1137" s="93"/>
      <c r="E1137" s="93"/>
      <c r="F1137" s="103"/>
      <c r="G1137" s="113"/>
      <c r="H1137" s="113"/>
      <c r="I1137" s="100"/>
      <c r="J1137" s="113"/>
      <c r="K1137" s="82" t="b">
        <v>0</v>
      </c>
      <c r="L1137" s="94"/>
      <c r="M1137" s="84">
        <f t="shared" si="1"/>
        <v>6590</v>
      </c>
      <c r="N1137" s="84"/>
      <c r="O1137" s="84"/>
      <c r="P1137" s="84"/>
      <c r="Q1137" s="84"/>
      <c r="R1137" s="86" t="str">
        <f t="shared" si="2"/>
        <v>Prepare for Showcase</v>
      </c>
      <c r="S1137" s="82" t="b">
        <v>0</v>
      </c>
      <c r="T1137" s="88"/>
      <c r="U1137" s="84"/>
      <c r="V1137" s="84"/>
      <c r="W1137" s="84"/>
      <c r="X1137" s="84"/>
      <c r="Y1137" s="84"/>
      <c r="Z1137" s="84"/>
      <c r="AA1137" s="84"/>
    </row>
    <row r="1138" ht="26.25" hidden="1" customHeight="1">
      <c r="A1138" s="85"/>
      <c r="B1138" s="106"/>
      <c r="C1138" s="103"/>
      <c r="D1138" s="93"/>
      <c r="E1138" s="93"/>
      <c r="F1138" s="103"/>
      <c r="G1138" s="113"/>
      <c r="H1138" s="113"/>
      <c r="I1138" s="100"/>
      <c r="J1138" s="113"/>
      <c r="K1138" s="82" t="b">
        <v>0</v>
      </c>
      <c r="L1138" s="94"/>
      <c r="M1138" s="84">
        <f t="shared" si="1"/>
        <v>6590</v>
      </c>
      <c r="N1138" s="84"/>
      <c r="O1138" s="84"/>
      <c r="P1138" s="84"/>
      <c r="Q1138" s="84"/>
      <c r="R1138" s="86" t="str">
        <f t="shared" si="2"/>
        <v>Prepare for Showcase</v>
      </c>
      <c r="S1138" s="82" t="b">
        <v>0</v>
      </c>
      <c r="T1138" s="88"/>
      <c r="U1138" s="84"/>
      <c r="V1138" s="84"/>
      <c r="W1138" s="84"/>
      <c r="X1138" s="84"/>
      <c r="Y1138" s="84"/>
      <c r="Z1138" s="84"/>
      <c r="AA1138" s="84"/>
    </row>
    <row r="1139" ht="26.25" hidden="1" customHeight="1">
      <c r="A1139" s="85"/>
      <c r="B1139" s="106"/>
      <c r="C1139" s="103"/>
      <c r="D1139" s="93"/>
      <c r="E1139" s="93"/>
      <c r="F1139" s="103"/>
      <c r="G1139" s="113"/>
      <c r="H1139" s="113"/>
      <c r="I1139" s="100"/>
      <c r="J1139" s="113"/>
      <c r="K1139" s="82" t="b">
        <v>0</v>
      </c>
      <c r="L1139" s="94"/>
      <c r="M1139" s="84">
        <f t="shared" si="1"/>
        <v>6590</v>
      </c>
      <c r="N1139" s="84"/>
      <c r="O1139" s="84"/>
      <c r="P1139" s="84"/>
      <c r="Q1139" s="84"/>
      <c r="R1139" s="86" t="str">
        <f t="shared" si="2"/>
        <v>Prepare for Showcase</v>
      </c>
      <c r="S1139" s="82" t="b">
        <v>0</v>
      </c>
      <c r="T1139" s="88"/>
      <c r="U1139" s="84"/>
      <c r="V1139" s="84"/>
      <c r="W1139" s="84"/>
      <c r="X1139" s="84"/>
      <c r="Y1139" s="84"/>
      <c r="Z1139" s="84"/>
      <c r="AA1139" s="84"/>
    </row>
    <row r="1140" ht="26.25" hidden="1" customHeight="1">
      <c r="A1140" s="85"/>
      <c r="B1140" s="106"/>
      <c r="C1140" s="103"/>
      <c r="D1140" s="93"/>
      <c r="E1140" s="93"/>
      <c r="F1140" s="103"/>
      <c r="G1140" s="113"/>
      <c r="H1140" s="113"/>
      <c r="I1140" s="100"/>
      <c r="J1140" s="113"/>
      <c r="K1140" s="82" t="b">
        <v>0</v>
      </c>
      <c r="L1140" s="94"/>
      <c r="M1140" s="84">
        <f t="shared" si="1"/>
        <v>6590</v>
      </c>
      <c r="N1140" s="84"/>
      <c r="O1140" s="84"/>
      <c r="P1140" s="84"/>
      <c r="Q1140" s="84"/>
      <c r="R1140" s="86" t="str">
        <f t="shared" si="2"/>
        <v>Prepare for Showcase</v>
      </c>
      <c r="S1140" s="82" t="b">
        <v>0</v>
      </c>
      <c r="T1140" s="88"/>
      <c r="U1140" s="84"/>
      <c r="V1140" s="84"/>
      <c r="W1140" s="84"/>
      <c r="X1140" s="84"/>
      <c r="Y1140" s="84"/>
      <c r="Z1140" s="84"/>
      <c r="AA1140" s="84"/>
    </row>
    <row r="1141" ht="26.25" hidden="1" customHeight="1">
      <c r="A1141" s="85"/>
      <c r="B1141" s="106"/>
      <c r="C1141" s="103"/>
      <c r="D1141" s="93"/>
      <c r="E1141" s="93"/>
      <c r="F1141" s="103"/>
      <c r="G1141" s="113"/>
      <c r="H1141" s="113"/>
      <c r="I1141" s="100"/>
      <c r="J1141" s="113"/>
      <c r="K1141" s="82" t="b">
        <v>0</v>
      </c>
      <c r="L1141" s="94"/>
      <c r="M1141" s="84">
        <f t="shared" si="1"/>
        <v>6590</v>
      </c>
      <c r="N1141" s="84"/>
      <c r="O1141" s="84"/>
      <c r="P1141" s="84"/>
      <c r="Q1141" s="84"/>
      <c r="R1141" s="86" t="str">
        <f t="shared" si="2"/>
        <v>Prepare for Showcase</v>
      </c>
      <c r="S1141" s="82" t="b">
        <v>0</v>
      </c>
      <c r="T1141" s="88"/>
      <c r="U1141" s="84"/>
      <c r="V1141" s="84"/>
      <c r="W1141" s="84"/>
      <c r="X1141" s="84"/>
      <c r="Y1141" s="84"/>
      <c r="Z1141" s="84"/>
      <c r="AA1141" s="84"/>
    </row>
    <row r="1142" ht="26.25" hidden="1" customHeight="1">
      <c r="A1142" s="85"/>
      <c r="B1142" s="106"/>
      <c r="C1142" s="103"/>
      <c r="D1142" s="93"/>
      <c r="E1142" s="93"/>
      <c r="F1142" s="103"/>
      <c r="G1142" s="113"/>
      <c r="H1142" s="113"/>
      <c r="I1142" s="100"/>
      <c r="J1142" s="113"/>
      <c r="K1142" s="82" t="b">
        <v>0</v>
      </c>
      <c r="L1142" s="94"/>
      <c r="M1142" s="84">
        <f t="shared" si="1"/>
        <v>6590</v>
      </c>
      <c r="N1142" s="84"/>
      <c r="O1142" s="84"/>
      <c r="P1142" s="84"/>
      <c r="Q1142" s="84"/>
      <c r="R1142" s="86" t="str">
        <f t="shared" si="2"/>
        <v>Prepare for Showcase</v>
      </c>
      <c r="S1142" s="82" t="b">
        <v>0</v>
      </c>
      <c r="T1142" s="88"/>
      <c r="U1142" s="84"/>
      <c r="V1142" s="84"/>
      <c r="W1142" s="84"/>
      <c r="X1142" s="84"/>
      <c r="Y1142" s="84"/>
      <c r="Z1142" s="84"/>
      <c r="AA1142" s="84"/>
    </row>
    <row r="1143" ht="26.25" hidden="1" customHeight="1">
      <c r="A1143" s="85"/>
      <c r="B1143" s="106"/>
      <c r="C1143" s="103"/>
      <c r="D1143" s="93"/>
      <c r="E1143" s="93"/>
      <c r="F1143" s="103"/>
      <c r="G1143" s="113"/>
      <c r="H1143" s="113"/>
      <c r="I1143" s="100"/>
      <c r="J1143" s="113"/>
      <c r="K1143" s="82" t="b">
        <v>0</v>
      </c>
      <c r="L1143" s="94"/>
      <c r="M1143" s="84">
        <f t="shared" si="1"/>
        <v>6590</v>
      </c>
      <c r="N1143" s="84"/>
      <c r="O1143" s="84"/>
      <c r="P1143" s="84"/>
      <c r="Q1143" s="84"/>
      <c r="R1143" s="86" t="str">
        <f t="shared" si="2"/>
        <v>Prepare for Showcase</v>
      </c>
      <c r="S1143" s="82" t="b">
        <v>0</v>
      </c>
      <c r="T1143" s="88"/>
      <c r="U1143" s="84"/>
      <c r="V1143" s="84"/>
      <c r="W1143" s="84"/>
      <c r="X1143" s="84"/>
      <c r="Y1143" s="84"/>
      <c r="Z1143" s="84"/>
      <c r="AA1143" s="84"/>
    </row>
    <row r="1144" ht="26.25" hidden="1" customHeight="1">
      <c r="A1144" s="85"/>
      <c r="B1144" s="106"/>
      <c r="C1144" s="103"/>
      <c r="D1144" s="93"/>
      <c r="E1144" s="93"/>
      <c r="F1144" s="103"/>
      <c r="G1144" s="113"/>
      <c r="H1144" s="113"/>
      <c r="I1144" s="100"/>
      <c r="J1144" s="113"/>
      <c r="K1144" s="82" t="b">
        <v>0</v>
      </c>
      <c r="L1144" s="94"/>
      <c r="M1144" s="84">
        <f t="shared" si="1"/>
        <v>6590</v>
      </c>
      <c r="N1144" s="84"/>
      <c r="O1144" s="84"/>
      <c r="P1144" s="84"/>
      <c r="Q1144" s="84"/>
      <c r="R1144" s="86" t="str">
        <f t="shared" si="2"/>
        <v>Prepare for Showcase</v>
      </c>
      <c r="S1144" s="82" t="b">
        <v>0</v>
      </c>
      <c r="T1144" s="88"/>
      <c r="U1144" s="84"/>
      <c r="V1144" s="84"/>
      <c r="W1144" s="84"/>
      <c r="X1144" s="84"/>
      <c r="Y1144" s="84"/>
      <c r="Z1144" s="84"/>
      <c r="AA1144" s="84"/>
    </row>
    <row r="1145" ht="26.25" hidden="1" customHeight="1">
      <c r="A1145" s="85"/>
      <c r="B1145" s="106"/>
      <c r="C1145" s="103"/>
      <c r="D1145" s="93"/>
      <c r="E1145" s="93"/>
      <c r="F1145" s="103"/>
      <c r="G1145" s="113"/>
      <c r="H1145" s="113"/>
      <c r="I1145" s="100"/>
      <c r="J1145" s="113"/>
      <c r="K1145" s="82" t="b">
        <v>0</v>
      </c>
      <c r="L1145" s="94"/>
      <c r="M1145" s="84">
        <f t="shared" si="1"/>
        <v>6590</v>
      </c>
      <c r="N1145" s="84"/>
      <c r="O1145" s="84"/>
      <c r="P1145" s="84"/>
      <c r="Q1145" s="84"/>
      <c r="R1145" s="86" t="str">
        <f t="shared" si="2"/>
        <v>Prepare for Showcase</v>
      </c>
      <c r="S1145" s="82" t="b">
        <v>0</v>
      </c>
      <c r="T1145" s="88"/>
      <c r="U1145" s="84"/>
      <c r="V1145" s="84"/>
      <c r="W1145" s="84"/>
      <c r="X1145" s="84"/>
      <c r="Y1145" s="84"/>
      <c r="Z1145" s="84"/>
      <c r="AA1145" s="84"/>
    </row>
    <row r="1146" ht="26.25" hidden="1" customHeight="1">
      <c r="A1146" s="85"/>
      <c r="B1146" s="106"/>
      <c r="C1146" s="103"/>
      <c r="D1146" s="93"/>
      <c r="E1146" s="93"/>
      <c r="F1146" s="103"/>
      <c r="G1146" s="113"/>
      <c r="H1146" s="113"/>
      <c r="I1146" s="100"/>
      <c r="J1146" s="113"/>
      <c r="K1146" s="82" t="b">
        <v>0</v>
      </c>
      <c r="L1146" s="94"/>
      <c r="M1146" s="84">
        <f t="shared" si="1"/>
        <v>6590</v>
      </c>
      <c r="N1146" s="84"/>
      <c r="O1146" s="84"/>
      <c r="P1146" s="84"/>
      <c r="Q1146" s="84"/>
      <c r="R1146" s="86" t="str">
        <f t="shared" si="2"/>
        <v>Prepare for Showcase</v>
      </c>
      <c r="S1146" s="82" t="b">
        <v>0</v>
      </c>
      <c r="T1146" s="88"/>
      <c r="U1146" s="84"/>
      <c r="V1146" s="84"/>
      <c r="W1146" s="84"/>
      <c r="X1146" s="84"/>
      <c r="Y1146" s="84"/>
      <c r="Z1146" s="84"/>
      <c r="AA1146" s="84"/>
    </row>
    <row r="1147" ht="26.25" hidden="1" customHeight="1">
      <c r="A1147" s="85"/>
      <c r="B1147" s="106"/>
      <c r="C1147" s="103"/>
      <c r="D1147" s="93"/>
      <c r="E1147" s="93"/>
      <c r="F1147" s="103"/>
      <c r="G1147" s="113"/>
      <c r="H1147" s="113"/>
      <c r="I1147" s="100"/>
      <c r="J1147" s="113"/>
      <c r="K1147" s="82" t="b">
        <v>0</v>
      </c>
      <c r="L1147" s="94"/>
      <c r="M1147" s="84">
        <f t="shared" si="1"/>
        <v>6590</v>
      </c>
      <c r="N1147" s="84"/>
      <c r="O1147" s="84"/>
      <c r="P1147" s="84"/>
      <c r="Q1147" s="84"/>
      <c r="R1147" s="86" t="str">
        <f t="shared" si="2"/>
        <v>Prepare for Showcase</v>
      </c>
      <c r="S1147" s="82" t="b">
        <v>0</v>
      </c>
      <c r="T1147" s="88"/>
      <c r="U1147" s="84"/>
      <c r="V1147" s="84"/>
      <c r="W1147" s="84"/>
      <c r="X1147" s="84"/>
      <c r="Y1147" s="84"/>
      <c r="Z1147" s="84"/>
      <c r="AA1147" s="84"/>
    </row>
    <row r="1148" ht="26.25" hidden="1" customHeight="1">
      <c r="A1148" s="85"/>
      <c r="B1148" s="106"/>
      <c r="C1148" s="103"/>
      <c r="D1148" s="93"/>
      <c r="E1148" s="93"/>
      <c r="F1148" s="103"/>
      <c r="G1148" s="113"/>
      <c r="H1148" s="113"/>
      <c r="I1148" s="100"/>
      <c r="J1148" s="113"/>
      <c r="K1148" s="82" t="b">
        <v>0</v>
      </c>
      <c r="L1148" s="94"/>
      <c r="M1148" s="84">
        <f t="shared" si="1"/>
        <v>6590</v>
      </c>
      <c r="N1148" s="84"/>
      <c r="O1148" s="84"/>
      <c r="P1148" s="84"/>
      <c r="Q1148" s="84"/>
      <c r="R1148" s="86" t="str">
        <f t="shared" si="2"/>
        <v>Prepare for Showcase</v>
      </c>
      <c r="S1148" s="82" t="b">
        <v>0</v>
      </c>
      <c r="T1148" s="88"/>
      <c r="U1148" s="84"/>
      <c r="V1148" s="84"/>
      <c r="W1148" s="84"/>
      <c r="X1148" s="84"/>
      <c r="Y1148" s="84"/>
      <c r="Z1148" s="84"/>
      <c r="AA1148" s="84"/>
    </row>
    <row r="1149" ht="26.25" hidden="1" customHeight="1">
      <c r="A1149" s="85"/>
      <c r="B1149" s="106"/>
      <c r="C1149" s="103"/>
      <c r="D1149" s="93"/>
      <c r="E1149" s="93"/>
      <c r="F1149" s="103"/>
      <c r="G1149" s="113"/>
      <c r="H1149" s="113"/>
      <c r="I1149" s="100"/>
      <c r="J1149" s="113"/>
      <c r="K1149" s="82" t="b">
        <v>0</v>
      </c>
      <c r="L1149" s="94"/>
      <c r="M1149" s="84">
        <f t="shared" si="1"/>
        <v>6590</v>
      </c>
      <c r="N1149" s="84"/>
      <c r="O1149" s="84"/>
      <c r="P1149" s="84"/>
      <c r="Q1149" s="84"/>
      <c r="R1149" s="86" t="str">
        <f t="shared" si="2"/>
        <v>Prepare for Showcase</v>
      </c>
      <c r="S1149" s="82" t="b">
        <v>0</v>
      </c>
      <c r="T1149" s="88"/>
      <c r="U1149" s="84"/>
      <c r="V1149" s="84"/>
      <c r="W1149" s="84"/>
      <c r="X1149" s="84"/>
      <c r="Y1149" s="84"/>
      <c r="Z1149" s="84"/>
      <c r="AA1149" s="84"/>
    </row>
    <row r="1150" ht="26.25" hidden="1" customHeight="1">
      <c r="A1150" s="85"/>
      <c r="B1150" s="106"/>
      <c r="C1150" s="103"/>
      <c r="D1150" s="93"/>
      <c r="E1150" s="93"/>
      <c r="F1150" s="103"/>
      <c r="G1150" s="113"/>
      <c r="H1150" s="113"/>
      <c r="I1150" s="100"/>
      <c r="J1150" s="113"/>
      <c r="K1150" s="82" t="b">
        <v>0</v>
      </c>
      <c r="L1150" s="94"/>
      <c r="M1150" s="84">
        <f t="shared" si="1"/>
        <v>6590</v>
      </c>
      <c r="N1150" s="84"/>
      <c r="O1150" s="84"/>
      <c r="P1150" s="84"/>
      <c r="Q1150" s="84"/>
      <c r="R1150" s="86" t="str">
        <f t="shared" si="2"/>
        <v>Prepare for Showcase</v>
      </c>
      <c r="S1150" s="82" t="b">
        <v>0</v>
      </c>
      <c r="T1150" s="88"/>
      <c r="U1150" s="84"/>
      <c r="V1150" s="84"/>
      <c r="W1150" s="84"/>
      <c r="X1150" s="84"/>
      <c r="Y1150" s="84"/>
      <c r="Z1150" s="84"/>
      <c r="AA1150" s="84"/>
    </row>
    <row r="1151" ht="26.25" hidden="1" customHeight="1">
      <c r="A1151" s="85"/>
      <c r="B1151" s="106"/>
      <c r="C1151" s="103"/>
      <c r="D1151" s="93"/>
      <c r="E1151" s="93"/>
      <c r="F1151" s="103"/>
      <c r="G1151" s="113"/>
      <c r="H1151" s="113"/>
      <c r="I1151" s="100"/>
      <c r="J1151" s="113"/>
      <c r="K1151" s="82" t="b">
        <v>0</v>
      </c>
      <c r="L1151" s="94"/>
      <c r="M1151" s="84">
        <f t="shared" si="1"/>
        <v>6590</v>
      </c>
      <c r="N1151" s="84"/>
      <c r="O1151" s="84"/>
      <c r="P1151" s="84"/>
      <c r="Q1151" s="84"/>
      <c r="R1151" s="86" t="str">
        <f t="shared" si="2"/>
        <v>Prepare for Showcase</v>
      </c>
      <c r="S1151" s="82" t="b">
        <v>0</v>
      </c>
      <c r="T1151" s="88"/>
      <c r="U1151" s="84"/>
      <c r="V1151" s="84"/>
      <c r="W1151" s="84"/>
      <c r="X1151" s="84"/>
      <c r="Y1151" s="84"/>
      <c r="Z1151" s="84"/>
      <c r="AA1151" s="84"/>
    </row>
    <row r="1152" ht="26.25" hidden="1" customHeight="1">
      <c r="A1152" s="85"/>
      <c r="B1152" s="106"/>
      <c r="C1152" s="103"/>
      <c r="D1152" s="93"/>
      <c r="E1152" s="93"/>
      <c r="F1152" s="103"/>
      <c r="G1152" s="113"/>
      <c r="H1152" s="113"/>
      <c r="I1152" s="100"/>
      <c r="J1152" s="113"/>
      <c r="K1152" s="82" t="b">
        <v>0</v>
      </c>
      <c r="L1152" s="94"/>
      <c r="M1152" s="84">
        <f t="shared" si="1"/>
        <v>6590</v>
      </c>
      <c r="N1152" s="84"/>
      <c r="O1152" s="84"/>
      <c r="P1152" s="84"/>
      <c r="Q1152" s="84"/>
      <c r="R1152" s="86" t="str">
        <f t="shared" si="2"/>
        <v>Prepare for Showcase</v>
      </c>
      <c r="S1152" s="82" t="b">
        <v>0</v>
      </c>
      <c r="T1152" s="88"/>
      <c r="U1152" s="84"/>
      <c r="V1152" s="84"/>
      <c r="W1152" s="84"/>
      <c r="X1152" s="84"/>
      <c r="Y1152" s="84"/>
      <c r="Z1152" s="84"/>
      <c r="AA1152" s="84"/>
    </row>
    <row r="1153" ht="26.25" hidden="1" customHeight="1">
      <c r="A1153" s="85"/>
      <c r="B1153" s="106"/>
      <c r="C1153" s="103"/>
      <c r="D1153" s="93"/>
      <c r="E1153" s="93"/>
      <c r="F1153" s="103"/>
      <c r="G1153" s="113"/>
      <c r="H1153" s="113"/>
      <c r="I1153" s="100"/>
      <c r="J1153" s="113"/>
      <c r="K1153" s="82" t="b">
        <v>0</v>
      </c>
      <c r="L1153" s="94"/>
      <c r="M1153" s="84">
        <f t="shared" si="1"/>
        <v>6590</v>
      </c>
      <c r="N1153" s="84"/>
      <c r="O1153" s="84"/>
      <c r="P1153" s="84"/>
      <c r="Q1153" s="84"/>
      <c r="R1153" s="86" t="str">
        <f t="shared" si="2"/>
        <v>Prepare for Showcase</v>
      </c>
      <c r="S1153" s="82" t="b">
        <v>0</v>
      </c>
      <c r="T1153" s="88"/>
      <c r="U1153" s="84"/>
      <c r="V1153" s="84"/>
      <c r="W1153" s="84"/>
      <c r="X1153" s="84"/>
      <c r="Y1153" s="84"/>
      <c r="Z1153" s="84"/>
      <c r="AA1153" s="84"/>
    </row>
    <row r="1154" ht="26.25" hidden="1" customHeight="1">
      <c r="A1154" s="85"/>
      <c r="B1154" s="106"/>
      <c r="C1154" s="103"/>
      <c r="D1154" s="93"/>
      <c r="E1154" s="93"/>
      <c r="F1154" s="103"/>
      <c r="G1154" s="113"/>
      <c r="H1154" s="113"/>
      <c r="I1154" s="100"/>
      <c r="J1154" s="113"/>
      <c r="K1154" s="82" t="b">
        <v>0</v>
      </c>
      <c r="L1154" s="94"/>
      <c r="M1154" s="84">
        <f t="shared" si="1"/>
        <v>6590</v>
      </c>
      <c r="N1154" s="84"/>
      <c r="O1154" s="84"/>
      <c r="P1154" s="84"/>
      <c r="Q1154" s="84"/>
      <c r="R1154" s="86" t="str">
        <f t="shared" si="2"/>
        <v>Prepare for Showcase</v>
      </c>
      <c r="S1154" s="82" t="b">
        <v>0</v>
      </c>
      <c r="T1154" s="88"/>
      <c r="U1154" s="84"/>
      <c r="V1154" s="84"/>
      <c r="W1154" s="84"/>
      <c r="X1154" s="84"/>
      <c r="Y1154" s="84"/>
      <c r="Z1154" s="84"/>
      <c r="AA1154" s="84"/>
    </row>
    <row r="1155" ht="26.25" hidden="1" customHeight="1">
      <c r="A1155" s="85"/>
      <c r="B1155" s="106"/>
      <c r="C1155" s="103"/>
      <c r="D1155" s="93"/>
      <c r="E1155" s="93"/>
      <c r="F1155" s="103"/>
      <c r="G1155" s="113"/>
      <c r="H1155" s="113"/>
      <c r="I1155" s="100"/>
      <c r="J1155" s="113"/>
      <c r="K1155" s="82" t="b">
        <v>0</v>
      </c>
      <c r="L1155" s="94"/>
      <c r="M1155" s="84">
        <f t="shared" si="1"/>
        <v>6590</v>
      </c>
      <c r="N1155" s="84"/>
      <c r="O1155" s="84"/>
      <c r="P1155" s="84"/>
      <c r="Q1155" s="84"/>
      <c r="R1155" s="86" t="str">
        <f t="shared" si="2"/>
        <v>Prepare for Showcase</v>
      </c>
      <c r="S1155" s="82" t="b">
        <v>0</v>
      </c>
      <c r="T1155" s="88"/>
      <c r="U1155" s="84"/>
      <c r="V1155" s="84"/>
      <c r="W1155" s="84"/>
      <c r="X1155" s="84"/>
      <c r="Y1155" s="84"/>
      <c r="Z1155" s="84"/>
      <c r="AA1155" s="84"/>
    </row>
    <row r="1156" ht="26.25" hidden="1" customHeight="1">
      <c r="A1156" s="85"/>
      <c r="B1156" s="106"/>
      <c r="C1156" s="103"/>
      <c r="D1156" s="93"/>
      <c r="E1156" s="93"/>
      <c r="F1156" s="103"/>
      <c r="G1156" s="113"/>
      <c r="H1156" s="113"/>
      <c r="I1156" s="100"/>
      <c r="J1156" s="113"/>
      <c r="K1156" s="82" t="b">
        <v>0</v>
      </c>
      <c r="L1156" s="94"/>
      <c r="M1156" s="84">
        <f t="shared" si="1"/>
        <v>6590</v>
      </c>
      <c r="N1156" s="84"/>
      <c r="O1156" s="84"/>
      <c r="P1156" s="84"/>
      <c r="Q1156" s="84"/>
      <c r="R1156" s="86" t="str">
        <f t="shared" si="2"/>
        <v>Prepare for Showcase</v>
      </c>
      <c r="S1156" s="82" t="b">
        <v>0</v>
      </c>
      <c r="T1156" s="88"/>
      <c r="U1156" s="84"/>
      <c r="V1156" s="84"/>
      <c r="W1156" s="84"/>
      <c r="X1156" s="84"/>
      <c r="Y1156" s="84"/>
      <c r="Z1156" s="84"/>
      <c r="AA1156" s="84"/>
    </row>
    <row r="1157" ht="26.25" hidden="1" customHeight="1">
      <c r="A1157" s="85"/>
      <c r="B1157" s="106"/>
      <c r="C1157" s="103"/>
      <c r="D1157" s="93"/>
      <c r="E1157" s="93"/>
      <c r="F1157" s="103"/>
      <c r="G1157" s="113"/>
      <c r="H1157" s="113"/>
      <c r="I1157" s="100"/>
      <c r="J1157" s="113"/>
      <c r="K1157" s="82" t="b">
        <v>0</v>
      </c>
      <c r="L1157" s="94"/>
      <c r="M1157" s="84">
        <f t="shared" si="1"/>
        <v>6590</v>
      </c>
      <c r="N1157" s="84"/>
      <c r="O1157" s="84"/>
      <c r="P1157" s="84"/>
      <c r="Q1157" s="84"/>
      <c r="R1157" s="86" t="str">
        <f t="shared" si="2"/>
        <v>Prepare for Showcase</v>
      </c>
      <c r="S1157" s="82" t="b">
        <v>0</v>
      </c>
      <c r="T1157" s="88"/>
      <c r="U1157" s="84"/>
      <c r="V1157" s="84"/>
      <c r="W1157" s="84"/>
      <c r="X1157" s="84"/>
      <c r="Y1157" s="84"/>
      <c r="Z1157" s="84"/>
      <c r="AA1157" s="84"/>
    </row>
    <row r="1158" ht="26.25" hidden="1" customHeight="1">
      <c r="A1158" s="85"/>
      <c r="B1158" s="106"/>
      <c r="C1158" s="103"/>
      <c r="D1158" s="93"/>
      <c r="E1158" s="93"/>
      <c r="F1158" s="103"/>
      <c r="G1158" s="113"/>
      <c r="H1158" s="113"/>
      <c r="I1158" s="100"/>
      <c r="J1158" s="113"/>
      <c r="K1158" s="82" t="b">
        <v>0</v>
      </c>
      <c r="L1158" s="94"/>
      <c r="M1158" s="84">
        <f t="shared" si="1"/>
        <v>6590</v>
      </c>
      <c r="N1158" s="84"/>
      <c r="O1158" s="84"/>
      <c r="P1158" s="84"/>
      <c r="Q1158" s="84"/>
      <c r="R1158" s="86" t="str">
        <f t="shared" si="2"/>
        <v>Prepare for Showcase</v>
      </c>
      <c r="S1158" s="82" t="b">
        <v>0</v>
      </c>
      <c r="T1158" s="88"/>
      <c r="U1158" s="84"/>
      <c r="V1158" s="84"/>
      <c r="W1158" s="84"/>
      <c r="X1158" s="84"/>
      <c r="Y1158" s="84"/>
      <c r="Z1158" s="84"/>
      <c r="AA1158" s="84"/>
    </row>
    <row r="1159" ht="26.25" hidden="1" customHeight="1">
      <c r="A1159" s="85"/>
      <c r="B1159" s="106"/>
      <c r="C1159" s="103"/>
      <c r="D1159" s="93"/>
      <c r="E1159" s="93"/>
      <c r="F1159" s="103"/>
      <c r="G1159" s="113"/>
      <c r="H1159" s="113"/>
      <c r="I1159" s="100"/>
      <c r="J1159" s="113"/>
      <c r="K1159" s="82" t="b">
        <v>0</v>
      </c>
      <c r="L1159" s="94"/>
      <c r="M1159" s="84">
        <f t="shared" si="1"/>
        <v>6590</v>
      </c>
      <c r="N1159" s="84"/>
      <c r="O1159" s="84"/>
      <c r="P1159" s="84"/>
      <c r="Q1159" s="84"/>
      <c r="R1159" s="86" t="str">
        <f t="shared" si="2"/>
        <v>Prepare for Showcase</v>
      </c>
      <c r="S1159" s="82" t="b">
        <v>0</v>
      </c>
      <c r="T1159" s="88"/>
      <c r="U1159" s="84"/>
      <c r="V1159" s="84"/>
      <c r="W1159" s="84"/>
      <c r="X1159" s="84"/>
      <c r="Y1159" s="84"/>
      <c r="Z1159" s="84"/>
      <c r="AA1159" s="84"/>
    </row>
    <row r="1160" ht="26.25" hidden="1" customHeight="1">
      <c r="A1160" s="85"/>
      <c r="B1160" s="106"/>
      <c r="C1160" s="103"/>
      <c r="D1160" s="93"/>
      <c r="E1160" s="93"/>
      <c r="F1160" s="103"/>
      <c r="G1160" s="113"/>
      <c r="H1160" s="113"/>
      <c r="I1160" s="100"/>
      <c r="J1160" s="113"/>
      <c r="K1160" s="82" t="b">
        <v>0</v>
      </c>
      <c r="L1160" s="94"/>
      <c r="M1160" s="84">
        <f t="shared" si="1"/>
        <v>6590</v>
      </c>
      <c r="N1160" s="84"/>
      <c r="O1160" s="84"/>
      <c r="P1160" s="84"/>
      <c r="Q1160" s="84"/>
      <c r="R1160" s="86" t="str">
        <f t="shared" si="2"/>
        <v>Prepare for Showcase</v>
      </c>
      <c r="S1160" s="82" t="b">
        <v>0</v>
      </c>
      <c r="T1160" s="88"/>
      <c r="U1160" s="84"/>
      <c r="V1160" s="84"/>
      <c r="W1160" s="84"/>
      <c r="X1160" s="84"/>
      <c r="Y1160" s="84"/>
      <c r="Z1160" s="84"/>
      <c r="AA1160" s="84"/>
    </row>
    <row r="1161" ht="26.25" hidden="1" customHeight="1">
      <c r="A1161" s="85"/>
      <c r="B1161" s="106"/>
      <c r="C1161" s="103"/>
      <c r="D1161" s="93"/>
      <c r="E1161" s="93"/>
      <c r="F1161" s="103"/>
      <c r="G1161" s="113"/>
      <c r="H1161" s="113"/>
      <c r="I1161" s="100"/>
      <c r="J1161" s="113"/>
      <c r="K1161" s="82" t="b">
        <v>0</v>
      </c>
      <c r="L1161" s="94"/>
      <c r="M1161" s="84">
        <f t="shared" si="1"/>
        <v>6590</v>
      </c>
      <c r="N1161" s="84"/>
      <c r="O1161" s="84"/>
      <c r="P1161" s="84"/>
      <c r="Q1161" s="84"/>
      <c r="R1161" s="86" t="str">
        <f t="shared" si="2"/>
        <v>Prepare for Showcase</v>
      </c>
      <c r="S1161" s="82" t="b">
        <v>0</v>
      </c>
      <c r="T1161" s="88"/>
      <c r="U1161" s="84"/>
      <c r="V1161" s="84"/>
      <c r="W1161" s="84"/>
      <c r="X1161" s="84"/>
      <c r="Y1161" s="84"/>
      <c r="Z1161" s="84"/>
      <c r="AA1161" s="84"/>
    </row>
    <row r="1162" ht="26.25" hidden="1" customHeight="1">
      <c r="A1162" s="85"/>
      <c r="B1162" s="106"/>
      <c r="C1162" s="103"/>
      <c r="D1162" s="93"/>
      <c r="E1162" s="93"/>
      <c r="F1162" s="103"/>
      <c r="G1162" s="113"/>
      <c r="H1162" s="113"/>
      <c r="I1162" s="100"/>
      <c r="J1162" s="113"/>
      <c r="K1162" s="82" t="b">
        <v>0</v>
      </c>
      <c r="L1162" s="94"/>
      <c r="M1162" s="84">
        <f t="shared" si="1"/>
        <v>6590</v>
      </c>
      <c r="N1162" s="84"/>
      <c r="O1162" s="84"/>
      <c r="P1162" s="84"/>
      <c r="Q1162" s="84"/>
      <c r="R1162" s="86" t="str">
        <f t="shared" si="2"/>
        <v>Prepare for Showcase</v>
      </c>
      <c r="S1162" s="82" t="b">
        <v>0</v>
      </c>
      <c r="T1162" s="88"/>
      <c r="U1162" s="84"/>
      <c r="V1162" s="84"/>
      <c r="W1162" s="84"/>
      <c r="X1162" s="84"/>
      <c r="Y1162" s="84"/>
      <c r="Z1162" s="84"/>
      <c r="AA1162" s="84"/>
    </row>
    <row r="1163" ht="26.25" hidden="1" customHeight="1">
      <c r="A1163" s="85"/>
      <c r="B1163" s="106"/>
      <c r="C1163" s="103"/>
      <c r="D1163" s="93"/>
      <c r="E1163" s="93"/>
      <c r="F1163" s="103"/>
      <c r="G1163" s="113"/>
      <c r="H1163" s="113"/>
      <c r="I1163" s="100"/>
      <c r="J1163" s="113"/>
      <c r="K1163" s="82" t="b">
        <v>0</v>
      </c>
      <c r="L1163" s="94"/>
      <c r="M1163" s="84">
        <f t="shared" si="1"/>
        <v>6590</v>
      </c>
      <c r="N1163" s="84"/>
      <c r="O1163" s="84"/>
      <c r="P1163" s="84"/>
      <c r="Q1163" s="84"/>
      <c r="R1163" s="86" t="str">
        <f t="shared" si="2"/>
        <v>Prepare for Showcase</v>
      </c>
      <c r="S1163" s="82" t="b">
        <v>0</v>
      </c>
      <c r="T1163" s="88"/>
      <c r="U1163" s="84"/>
      <c r="V1163" s="84"/>
      <c r="W1163" s="84"/>
      <c r="X1163" s="84"/>
      <c r="Y1163" s="84"/>
      <c r="Z1163" s="84"/>
      <c r="AA1163" s="84"/>
    </row>
    <row r="1164" ht="26.25" hidden="1" customHeight="1">
      <c r="A1164" s="85"/>
      <c r="B1164" s="106"/>
      <c r="C1164" s="103"/>
      <c r="D1164" s="93"/>
      <c r="E1164" s="93"/>
      <c r="F1164" s="103"/>
      <c r="G1164" s="113"/>
      <c r="H1164" s="113"/>
      <c r="I1164" s="100"/>
      <c r="J1164" s="113"/>
      <c r="K1164" s="82" t="b">
        <v>0</v>
      </c>
      <c r="L1164" s="94"/>
      <c r="M1164" s="84">
        <f t="shared" si="1"/>
        <v>6590</v>
      </c>
      <c r="N1164" s="84"/>
      <c r="O1164" s="84"/>
      <c r="P1164" s="84"/>
      <c r="Q1164" s="84"/>
      <c r="R1164" s="86" t="str">
        <f t="shared" si="2"/>
        <v>Prepare for Showcase</v>
      </c>
      <c r="S1164" s="82" t="b">
        <v>0</v>
      </c>
      <c r="T1164" s="88"/>
      <c r="U1164" s="84"/>
      <c r="V1164" s="84"/>
      <c r="W1164" s="84"/>
      <c r="X1164" s="84"/>
      <c r="Y1164" s="84"/>
      <c r="Z1164" s="84"/>
      <c r="AA1164" s="84"/>
    </row>
    <row r="1165" ht="26.25" hidden="1" customHeight="1">
      <c r="A1165" s="85"/>
      <c r="B1165" s="106"/>
      <c r="C1165" s="103"/>
      <c r="D1165" s="93"/>
      <c r="E1165" s="93"/>
      <c r="F1165" s="103"/>
      <c r="G1165" s="113"/>
      <c r="H1165" s="113"/>
      <c r="I1165" s="100"/>
      <c r="J1165" s="113"/>
      <c r="K1165" s="82" t="b">
        <v>0</v>
      </c>
      <c r="L1165" s="94"/>
      <c r="M1165" s="84">
        <f t="shared" si="1"/>
        <v>6590</v>
      </c>
      <c r="N1165" s="84"/>
      <c r="O1165" s="84"/>
      <c r="P1165" s="84"/>
      <c r="Q1165" s="84"/>
      <c r="R1165" s="86" t="str">
        <f t="shared" si="2"/>
        <v>Prepare for Showcase</v>
      </c>
      <c r="S1165" s="82" t="b">
        <v>0</v>
      </c>
      <c r="T1165" s="88"/>
      <c r="U1165" s="84"/>
      <c r="V1165" s="84"/>
      <c r="W1165" s="84"/>
      <c r="X1165" s="84"/>
      <c r="Y1165" s="84"/>
      <c r="Z1165" s="84"/>
      <c r="AA1165" s="84"/>
    </row>
    <row r="1166" ht="26.25" hidden="1" customHeight="1">
      <c r="A1166" s="85"/>
      <c r="B1166" s="106"/>
      <c r="C1166" s="103"/>
      <c r="D1166" s="93"/>
      <c r="E1166" s="93"/>
      <c r="F1166" s="103"/>
      <c r="G1166" s="113"/>
      <c r="H1166" s="113"/>
      <c r="I1166" s="100"/>
      <c r="J1166" s="113"/>
      <c r="K1166" s="82" t="b">
        <v>0</v>
      </c>
      <c r="L1166" s="94"/>
      <c r="M1166" s="84">
        <f t="shared" si="1"/>
        <v>6590</v>
      </c>
      <c r="N1166" s="84"/>
      <c r="O1166" s="84"/>
      <c r="P1166" s="84"/>
      <c r="Q1166" s="84"/>
      <c r="R1166" s="86" t="str">
        <f t="shared" si="2"/>
        <v>Prepare for Showcase</v>
      </c>
      <c r="S1166" s="82" t="b">
        <v>0</v>
      </c>
      <c r="T1166" s="88"/>
      <c r="U1166" s="84"/>
      <c r="V1166" s="84"/>
      <c r="W1166" s="84"/>
      <c r="X1166" s="84"/>
      <c r="Y1166" s="84"/>
      <c r="Z1166" s="84"/>
      <c r="AA1166" s="84"/>
    </row>
    <row r="1167" ht="26.25" hidden="1" customHeight="1">
      <c r="A1167" s="85"/>
      <c r="B1167" s="106"/>
      <c r="C1167" s="103"/>
      <c r="D1167" s="93"/>
      <c r="E1167" s="93"/>
      <c r="F1167" s="103"/>
      <c r="G1167" s="113"/>
      <c r="H1167" s="113"/>
      <c r="I1167" s="100"/>
      <c r="J1167" s="113"/>
      <c r="K1167" s="82" t="b">
        <v>0</v>
      </c>
      <c r="L1167" s="94"/>
      <c r="M1167" s="84">
        <f t="shared" si="1"/>
        <v>6590</v>
      </c>
      <c r="N1167" s="84"/>
      <c r="O1167" s="84"/>
      <c r="P1167" s="84"/>
      <c r="Q1167" s="84"/>
      <c r="R1167" s="86" t="str">
        <f t="shared" si="2"/>
        <v>Prepare for Showcase</v>
      </c>
      <c r="S1167" s="82" t="b">
        <v>0</v>
      </c>
      <c r="T1167" s="88"/>
      <c r="U1167" s="84"/>
      <c r="V1167" s="84"/>
      <c r="W1167" s="84"/>
      <c r="X1167" s="84"/>
      <c r="Y1167" s="84"/>
      <c r="Z1167" s="84"/>
      <c r="AA1167" s="84"/>
    </row>
    <row r="1168" ht="26.25" hidden="1" customHeight="1">
      <c r="A1168" s="85"/>
      <c r="B1168" s="106"/>
      <c r="C1168" s="103"/>
      <c r="D1168" s="93"/>
      <c r="E1168" s="93"/>
      <c r="F1168" s="103"/>
      <c r="G1168" s="113"/>
      <c r="H1168" s="113"/>
      <c r="I1168" s="100"/>
      <c r="J1168" s="113"/>
      <c r="K1168" s="82" t="b">
        <v>0</v>
      </c>
      <c r="L1168" s="94"/>
      <c r="M1168" s="84">
        <f t="shared" si="1"/>
        <v>6590</v>
      </c>
      <c r="N1168" s="84"/>
      <c r="O1168" s="84"/>
      <c r="P1168" s="84"/>
      <c r="Q1168" s="84"/>
      <c r="R1168" s="86" t="str">
        <f t="shared" si="2"/>
        <v>Prepare for Showcase</v>
      </c>
      <c r="S1168" s="82" t="b">
        <v>0</v>
      </c>
      <c r="T1168" s="88"/>
      <c r="U1168" s="84"/>
      <c r="V1168" s="84"/>
      <c r="W1168" s="84"/>
      <c r="X1168" s="84"/>
      <c r="Y1168" s="84"/>
      <c r="Z1168" s="84"/>
      <c r="AA1168" s="84"/>
    </row>
    <row r="1169" ht="26.25" hidden="1" customHeight="1">
      <c r="A1169" s="85"/>
      <c r="B1169" s="106"/>
      <c r="C1169" s="103"/>
      <c r="D1169" s="93"/>
      <c r="E1169" s="93"/>
      <c r="F1169" s="103"/>
      <c r="G1169" s="113"/>
      <c r="H1169" s="113"/>
      <c r="I1169" s="100"/>
      <c r="J1169" s="113"/>
      <c r="K1169" s="82" t="b">
        <v>0</v>
      </c>
      <c r="L1169" s="94"/>
      <c r="M1169" s="84">
        <f t="shared" si="1"/>
        <v>6590</v>
      </c>
      <c r="N1169" s="84"/>
      <c r="O1169" s="84"/>
      <c r="P1169" s="84"/>
      <c r="Q1169" s="84"/>
      <c r="R1169" s="86" t="str">
        <f t="shared" si="2"/>
        <v>Prepare for Showcase</v>
      </c>
      <c r="S1169" s="82" t="b">
        <v>0</v>
      </c>
      <c r="T1169" s="88"/>
      <c r="U1169" s="84"/>
      <c r="V1169" s="84"/>
      <c r="W1169" s="84"/>
      <c r="X1169" s="84"/>
      <c r="Y1169" s="84"/>
      <c r="Z1169" s="84"/>
      <c r="AA1169" s="84"/>
    </row>
    <row r="1170" ht="26.25" hidden="1" customHeight="1">
      <c r="A1170" s="85"/>
      <c r="B1170" s="106"/>
      <c r="C1170" s="103"/>
      <c r="D1170" s="93"/>
      <c r="E1170" s="93"/>
      <c r="F1170" s="103"/>
      <c r="G1170" s="113"/>
      <c r="H1170" s="113"/>
      <c r="I1170" s="100"/>
      <c r="J1170" s="113"/>
      <c r="K1170" s="82" t="b">
        <v>0</v>
      </c>
      <c r="L1170" s="94"/>
      <c r="M1170" s="84">
        <f t="shared" si="1"/>
        <v>6590</v>
      </c>
      <c r="N1170" s="84"/>
      <c r="O1170" s="84"/>
      <c r="P1170" s="84"/>
      <c r="Q1170" s="84"/>
      <c r="R1170" s="86" t="str">
        <f t="shared" si="2"/>
        <v>Prepare for Showcase</v>
      </c>
      <c r="S1170" s="82" t="b">
        <v>0</v>
      </c>
      <c r="T1170" s="88"/>
      <c r="U1170" s="84"/>
      <c r="V1170" s="84"/>
      <c r="W1170" s="84"/>
      <c r="X1170" s="84"/>
      <c r="Y1170" s="84"/>
      <c r="Z1170" s="84"/>
      <c r="AA1170" s="84"/>
    </row>
    <row r="1171" ht="26.25" hidden="1" customHeight="1">
      <c r="A1171" s="85"/>
      <c r="B1171" s="106"/>
      <c r="C1171" s="103"/>
      <c r="D1171" s="93"/>
      <c r="E1171" s="93"/>
      <c r="F1171" s="103"/>
      <c r="G1171" s="113"/>
      <c r="H1171" s="113"/>
      <c r="I1171" s="100"/>
      <c r="J1171" s="113"/>
      <c r="K1171" s="82" t="b">
        <v>0</v>
      </c>
      <c r="L1171" s="94"/>
      <c r="M1171" s="84">
        <f t="shared" si="1"/>
        <v>6590</v>
      </c>
      <c r="N1171" s="84"/>
      <c r="O1171" s="84"/>
      <c r="P1171" s="84"/>
      <c r="Q1171" s="84"/>
      <c r="R1171" s="86" t="str">
        <f t="shared" si="2"/>
        <v>Prepare for Showcase</v>
      </c>
      <c r="S1171" s="82" t="b">
        <v>0</v>
      </c>
      <c r="T1171" s="88"/>
      <c r="U1171" s="84"/>
      <c r="V1171" s="84"/>
      <c r="W1171" s="84"/>
      <c r="X1171" s="84"/>
      <c r="Y1171" s="84"/>
      <c r="Z1171" s="84"/>
      <c r="AA1171" s="84"/>
    </row>
    <row r="1172" ht="26.25" hidden="1" customHeight="1">
      <c r="A1172" s="85"/>
      <c r="B1172" s="106"/>
      <c r="C1172" s="103"/>
      <c r="D1172" s="93"/>
      <c r="E1172" s="93"/>
      <c r="F1172" s="103"/>
      <c r="G1172" s="113"/>
      <c r="H1172" s="113"/>
      <c r="I1172" s="100"/>
      <c r="J1172" s="113"/>
      <c r="K1172" s="82" t="b">
        <v>0</v>
      </c>
      <c r="L1172" s="94"/>
      <c r="M1172" s="84">
        <f t="shared" si="1"/>
        <v>6590</v>
      </c>
      <c r="N1172" s="84"/>
      <c r="O1172" s="84"/>
      <c r="P1172" s="84"/>
      <c r="Q1172" s="84"/>
      <c r="R1172" s="86" t="str">
        <f t="shared" si="2"/>
        <v>Prepare for Showcase</v>
      </c>
      <c r="S1172" s="82" t="b">
        <v>0</v>
      </c>
      <c r="T1172" s="88"/>
      <c r="U1172" s="84"/>
      <c r="V1172" s="84"/>
      <c r="W1172" s="84"/>
      <c r="X1172" s="84"/>
      <c r="Y1172" s="84"/>
      <c r="Z1172" s="84"/>
      <c r="AA1172" s="84"/>
    </row>
    <row r="1173" ht="26.25" hidden="1" customHeight="1">
      <c r="A1173" s="85"/>
      <c r="B1173" s="106"/>
      <c r="C1173" s="103"/>
      <c r="D1173" s="93"/>
      <c r="E1173" s="93"/>
      <c r="F1173" s="103"/>
      <c r="G1173" s="113"/>
      <c r="H1173" s="113"/>
      <c r="I1173" s="100"/>
      <c r="J1173" s="113"/>
      <c r="K1173" s="82" t="b">
        <v>0</v>
      </c>
      <c r="L1173" s="94"/>
      <c r="M1173" s="84">
        <f t="shared" si="1"/>
        <v>6590</v>
      </c>
      <c r="N1173" s="84"/>
      <c r="O1173" s="84"/>
      <c r="P1173" s="84"/>
      <c r="Q1173" s="84"/>
      <c r="R1173" s="86" t="str">
        <f t="shared" si="2"/>
        <v>Prepare for Showcase</v>
      </c>
      <c r="S1173" s="82" t="b">
        <v>0</v>
      </c>
      <c r="T1173" s="88"/>
      <c r="U1173" s="84"/>
      <c r="V1173" s="84"/>
      <c r="W1173" s="84"/>
      <c r="X1173" s="84"/>
      <c r="Y1173" s="84"/>
      <c r="Z1173" s="84"/>
      <c r="AA1173" s="84"/>
    </row>
    <row r="1174" ht="26.25" hidden="1" customHeight="1">
      <c r="A1174" s="85"/>
      <c r="B1174" s="106"/>
      <c r="C1174" s="103"/>
      <c r="D1174" s="93"/>
      <c r="E1174" s="93"/>
      <c r="F1174" s="103"/>
      <c r="G1174" s="113"/>
      <c r="H1174" s="113"/>
      <c r="I1174" s="100"/>
      <c r="J1174" s="113"/>
      <c r="K1174" s="82" t="b">
        <v>0</v>
      </c>
      <c r="L1174" s="94"/>
      <c r="M1174" s="84">
        <f t="shared" si="1"/>
        <v>6590</v>
      </c>
      <c r="N1174" s="84"/>
      <c r="O1174" s="84"/>
      <c r="P1174" s="84"/>
      <c r="Q1174" s="84"/>
      <c r="R1174" s="86" t="str">
        <f t="shared" si="2"/>
        <v>Prepare for Showcase</v>
      </c>
      <c r="S1174" s="82" t="b">
        <v>0</v>
      </c>
      <c r="T1174" s="88"/>
      <c r="U1174" s="84"/>
      <c r="V1174" s="84"/>
      <c r="W1174" s="84"/>
      <c r="X1174" s="84"/>
      <c r="Y1174" s="84"/>
      <c r="Z1174" s="84"/>
      <c r="AA1174" s="84"/>
    </row>
    <row r="1175" ht="26.25" hidden="1" customHeight="1">
      <c r="A1175" s="85"/>
      <c r="B1175" s="106"/>
      <c r="C1175" s="103"/>
      <c r="D1175" s="93"/>
      <c r="E1175" s="93"/>
      <c r="F1175" s="103"/>
      <c r="G1175" s="113"/>
      <c r="H1175" s="113"/>
      <c r="I1175" s="100"/>
      <c r="J1175" s="113"/>
      <c r="K1175" s="82" t="b">
        <v>0</v>
      </c>
      <c r="L1175" s="94"/>
      <c r="M1175" s="84">
        <f t="shared" si="1"/>
        <v>6590</v>
      </c>
      <c r="N1175" s="84"/>
      <c r="O1175" s="84"/>
      <c r="P1175" s="84"/>
      <c r="Q1175" s="84"/>
      <c r="R1175" s="86" t="str">
        <f t="shared" si="2"/>
        <v>Prepare for Showcase</v>
      </c>
      <c r="S1175" s="82" t="b">
        <v>0</v>
      </c>
      <c r="T1175" s="88"/>
      <c r="U1175" s="84"/>
      <c r="V1175" s="84"/>
      <c r="W1175" s="84"/>
      <c r="X1175" s="84"/>
      <c r="Y1175" s="84"/>
      <c r="Z1175" s="84"/>
      <c r="AA1175" s="84"/>
    </row>
    <row r="1176" ht="26.25" hidden="1" customHeight="1">
      <c r="A1176" s="85"/>
      <c r="B1176" s="106"/>
      <c r="C1176" s="103"/>
      <c r="D1176" s="93"/>
      <c r="E1176" s="93"/>
      <c r="F1176" s="103"/>
      <c r="G1176" s="113"/>
      <c r="H1176" s="113"/>
      <c r="I1176" s="100"/>
      <c r="J1176" s="113"/>
      <c r="K1176" s="82" t="b">
        <v>0</v>
      </c>
      <c r="L1176" s="94"/>
      <c r="M1176" s="84">
        <f t="shared" si="1"/>
        <v>6590</v>
      </c>
      <c r="N1176" s="84"/>
      <c r="O1176" s="84"/>
      <c r="P1176" s="84"/>
      <c r="Q1176" s="84"/>
      <c r="R1176" s="86" t="str">
        <f t="shared" si="2"/>
        <v>Prepare for Showcase</v>
      </c>
      <c r="S1176" s="82" t="b">
        <v>0</v>
      </c>
      <c r="T1176" s="88"/>
      <c r="U1176" s="84"/>
      <c r="V1176" s="84"/>
      <c r="W1176" s="84"/>
      <c r="X1176" s="84"/>
      <c r="Y1176" s="84"/>
      <c r="Z1176" s="84"/>
      <c r="AA1176" s="84"/>
    </row>
    <row r="1177" ht="26.25" hidden="1" customHeight="1">
      <c r="A1177" s="85"/>
      <c r="B1177" s="106"/>
      <c r="C1177" s="103"/>
      <c r="D1177" s="93"/>
      <c r="E1177" s="93"/>
      <c r="F1177" s="103"/>
      <c r="G1177" s="113"/>
      <c r="H1177" s="113"/>
      <c r="I1177" s="100"/>
      <c r="J1177" s="113"/>
      <c r="K1177" s="82" t="b">
        <v>0</v>
      </c>
      <c r="L1177" s="94"/>
      <c r="M1177" s="84">
        <f t="shared" si="1"/>
        <v>6590</v>
      </c>
      <c r="N1177" s="84"/>
      <c r="O1177" s="84"/>
      <c r="P1177" s="84"/>
      <c r="Q1177" s="84"/>
      <c r="R1177" s="86" t="str">
        <f t="shared" si="2"/>
        <v>Prepare for Showcase</v>
      </c>
      <c r="S1177" s="82" t="b">
        <v>0</v>
      </c>
      <c r="T1177" s="88"/>
      <c r="U1177" s="84"/>
      <c r="V1177" s="84"/>
      <c r="W1177" s="84"/>
      <c r="X1177" s="84"/>
      <c r="Y1177" s="84"/>
      <c r="Z1177" s="84"/>
      <c r="AA1177" s="84"/>
    </row>
    <row r="1178" ht="26.25" hidden="1" customHeight="1">
      <c r="A1178" s="85"/>
      <c r="B1178" s="106"/>
      <c r="C1178" s="103"/>
      <c r="D1178" s="93"/>
      <c r="E1178" s="93"/>
      <c r="F1178" s="103"/>
      <c r="G1178" s="113"/>
      <c r="H1178" s="113"/>
      <c r="I1178" s="100"/>
      <c r="J1178" s="113"/>
      <c r="K1178" s="82" t="b">
        <v>0</v>
      </c>
      <c r="L1178" s="94"/>
      <c r="M1178" s="84">
        <f t="shared" si="1"/>
        <v>6590</v>
      </c>
      <c r="N1178" s="84"/>
      <c r="O1178" s="84"/>
      <c r="P1178" s="84"/>
      <c r="Q1178" s="84"/>
      <c r="R1178" s="86" t="str">
        <f t="shared" si="2"/>
        <v>Prepare for Showcase</v>
      </c>
      <c r="S1178" s="82" t="b">
        <v>0</v>
      </c>
      <c r="T1178" s="88"/>
      <c r="U1178" s="84"/>
      <c r="V1178" s="84"/>
      <c r="W1178" s="84"/>
      <c r="X1178" s="84"/>
      <c r="Y1178" s="84"/>
      <c r="Z1178" s="84"/>
      <c r="AA1178" s="84"/>
    </row>
    <row r="1179" ht="26.25" hidden="1" customHeight="1">
      <c r="A1179" s="85"/>
      <c r="B1179" s="106"/>
      <c r="C1179" s="103"/>
      <c r="D1179" s="93"/>
      <c r="E1179" s="93"/>
      <c r="F1179" s="103"/>
      <c r="G1179" s="113"/>
      <c r="H1179" s="113"/>
      <c r="I1179" s="100"/>
      <c r="J1179" s="113"/>
      <c r="K1179" s="82" t="b">
        <v>0</v>
      </c>
      <c r="L1179" s="94"/>
      <c r="M1179" s="84">
        <f t="shared" si="1"/>
        <v>6590</v>
      </c>
      <c r="N1179" s="84"/>
      <c r="O1179" s="84"/>
      <c r="P1179" s="84"/>
      <c r="Q1179" s="84"/>
      <c r="R1179" s="86" t="str">
        <f t="shared" si="2"/>
        <v>Prepare for Showcase</v>
      </c>
      <c r="S1179" s="82" t="b">
        <v>0</v>
      </c>
      <c r="T1179" s="88"/>
      <c r="U1179" s="84"/>
      <c r="V1179" s="84"/>
      <c r="W1179" s="84"/>
      <c r="X1179" s="84"/>
      <c r="Y1179" s="84"/>
      <c r="Z1179" s="84"/>
      <c r="AA1179" s="84"/>
    </row>
    <row r="1180" ht="26.25" hidden="1" customHeight="1">
      <c r="A1180" s="85"/>
      <c r="B1180" s="106"/>
      <c r="C1180" s="103"/>
      <c r="D1180" s="93"/>
      <c r="E1180" s="93"/>
      <c r="F1180" s="103"/>
      <c r="G1180" s="113"/>
      <c r="H1180" s="113"/>
      <c r="I1180" s="100"/>
      <c r="J1180" s="113"/>
      <c r="K1180" s="82" t="b">
        <v>0</v>
      </c>
      <c r="L1180" s="94"/>
      <c r="M1180" s="84">
        <f t="shared" si="1"/>
        <v>6590</v>
      </c>
      <c r="N1180" s="84"/>
      <c r="O1180" s="84"/>
      <c r="P1180" s="84"/>
      <c r="Q1180" s="84"/>
      <c r="R1180" s="86" t="str">
        <f t="shared" si="2"/>
        <v>Prepare for Showcase</v>
      </c>
      <c r="S1180" s="82" t="b">
        <v>0</v>
      </c>
      <c r="T1180" s="88"/>
      <c r="U1180" s="84"/>
      <c r="V1180" s="84"/>
      <c r="W1180" s="84"/>
      <c r="X1180" s="84"/>
      <c r="Y1180" s="84"/>
      <c r="Z1180" s="84"/>
      <c r="AA1180" s="84"/>
    </row>
    <row r="1181" ht="26.25" hidden="1" customHeight="1">
      <c r="A1181" s="85"/>
      <c r="B1181" s="106"/>
      <c r="C1181" s="103"/>
      <c r="D1181" s="93"/>
      <c r="E1181" s="93"/>
      <c r="F1181" s="103"/>
      <c r="G1181" s="113"/>
      <c r="H1181" s="113"/>
      <c r="I1181" s="100"/>
      <c r="J1181" s="113"/>
      <c r="K1181" s="82" t="b">
        <v>0</v>
      </c>
      <c r="L1181" s="94"/>
      <c r="M1181" s="84">
        <f t="shared" si="1"/>
        <v>6590</v>
      </c>
      <c r="N1181" s="84"/>
      <c r="O1181" s="84"/>
      <c r="P1181" s="84"/>
      <c r="Q1181" s="84"/>
      <c r="R1181" s="86" t="str">
        <f t="shared" si="2"/>
        <v>Prepare for Showcase</v>
      </c>
      <c r="S1181" s="82" t="b">
        <v>0</v>
      </c>
      <c r="T1181" s="88"/>
      <c r="U1181" s="84"/>
      <c r="V1181" s="84"/>
      <c r="W1181" s="84"/>
      <c r="X1181" s="84"/>
      <c r="Y1181" s="84"/>
      <c r="Z1181" s="84"/>
      <c r="AA1181" s="84"/>
    </row>
    <row r="1182" ht="26.25" hidden="1" customHeight="1">
      <c r="A1182" s="85"/>
      <c r="B1182" s="106"/>
      <c r="C1182" s="103"/>
      <c r="D1182" s="93"/>
      <c r="E1182" s="93"/>
      <c r="F1182" s="103"/>
      <c r="G1182" s="113"/>
      <c r="H1182" s="113"/>
      <c r="I1182" s="100"/>
      <c r="J1182" s="113"/>
      <c r="K1182" s="82" t="b">
        <v>0</v>
      </c>
      <c r="L1182" s="94"/>
      <c r="M1182" s="84">
        <f t="shared" si="1"/>
        <v>6590</v>
      </c>
      <c r="N1182" s="84"/>
      <c r="O1182" s="84"/>
      <c r="P1182" s="84"/>
      <c r="Q1182" s="84"/>
      <c r="R1182" s="86" t="str">
        <f t="shared" si="2"/>
        <v>Prepare for Showcase</v>
      </c>
      <c r="S1182" s="82" t="b">
        <v>0</v>
      </c>
      <c r="T1182" s="88"/>
      <c r="U1182" s="84"/>
      <c r="V1182" s="84"/>
      <c r="W1182" s="84"/>
      <c r="X1182" s="84"/>
      <c r="Y1182" s="84"/>
      <c r="Z1182" s="84"/>
      <c r="AA1182" s="84"/>
    </row>
    <row r="1183" ht="26.25" hidden="1" customHeight="1">
      <c r="A1183" s="85"/>
      <c r="B1183" s="106"/>
      <c r="C1183" s="103"/>
      <c r="D1183" s="93"/>
      <c r="E1183" s="93"/>
      <c r="F1183" s="103"/>
      <c r="G1183" s="113"/>
      <c r="H1183" s="113"/>
      <c r="I1183" s="100"/>
      <c r="J1183" s="113"/>
      <c r="K1183" s="82" t="b">
        <v>0</v>
      </c>
      <c r="L1183" s="94"/>
      <c r="M1183" s="84">
        <f t="shared" si="1"/>
        <v>6590</v>
      </c>
      <c r="N1183" s="84"/>
      <c r="O1183" s="84"/>
      <c r="P1183" s="84"/>
      <c r="Q1183" s="84"/>
      <c r="R1183" s="86" t="str">
        <f t="shared" si="2"/>
        <v>Prepare for Showcase</v>
      </c>
      <c r="S1183" s="82" t="b">
        <v>0</v>
      </c>
      <c r="T1183" s="88"/>
      <c r="U1183" s="84"/>
      <c r="V1183" s="84"/>
      <c r="W1183" s="84"/>
      <c r="X1183" s="84"/>
      <c r="Y1183" s="84"/>
      <c r="Z1183" s="84"/>
      <c r="AA1183" s="84"/>
    </row>
    <row r="1184" ht="26.25" hidden="1" customHeight="1">
      <c r="A1184" s="85"/>
      <c r="B1184" s="106"/>
      <c r="C1184" s="103"/>
      <c r="D1184" s="93"/>
      <c r="E1184" s="93"/>
      <c r="F1184" s="103"/>
      <c r="G1184" s="113"/>
      <c r="H1184" s="113"/>
      <c r="I1184" s="100"/>
      <c r="J1184" s="113"/>
      <c r="K1184" s="82" t="b">
        <v>0</v>
      </c>
      <c r="L1184" s="94"/>
      <c r="M1184" s="84">
        <f t="shared" si="1"/>
        <v>6590</v>
      </c>
      <c r="N1184" s="84"/>
      <c r="O1184" s="84"/>
      <c r="P1184" s="84"/>
      <c r="Q1184" s="84"/>
      <c r="R1184" s="86" t="str">
        <f t="shared" si="2"/>
        <v>Prepare for Showcase</v>
      </c>
      <c r="S1184" s="82" t="b">
        <v>0</v>
      </c>
      <c r="T1184" s="88"/>
      <c r="U1184" s="84"/>
      <c r="V1184" s="84"/>
      <c r="W1184" s="84"/>
      <c r="X1184" s="84"/>
      <c r="Y1184" s="84"/>
      <c r="Z1184" s="84"/>
      <c r="AA1184" s="84"/>
    </row>
    <row r="1185" ht="26.25" hidden="1" customHeight="1">
      <c r="A1185" s="85"/>
      <c r="B1185" s="106"/>
      <c r="C1185" s="103"/>
      <c r="D1185" s="93"/>
      <c r="E1185" s="93"/>
      <c r="F1185" s="103"/>
      <c r="G1185" s="113"/>
      <c r="H1185" s="113"/>
      <c r="I1185" s="100"/>
      <c r="J1185" s="113"/>
      <c r="K1185" s="82" t="b">
        <v>0</v>
      </c>
      <c r="L1185" s="94"/>
      <c r="M1185" s="84">
        <f t="shared" si="1"/>
        <v>6590</v>
      </c>
      <c r="N1185" s="84"/>
      <c r="O1185" s="84"/>
      <c r="P1185" s="84"/>
      <c r="Q1185" s="84"/>
      <c r="R1185" s="86" t="str">
        <f t="shared" si="2"/>
        <v>Prepare for Showcase</v>
      </c>
      <c r="S1185" s="82" t="b">
        <v>0</v>
      </c>
      <c r="T1185" s="88"/>
      <c r="U1185" s="84"/>
      <c r="V1185" s="84"/>
      <c r="W1185" s="84"/>
      <c r="X1185" s="84"/>
      <c r="Y1185" s="84"/>
      <c r="Z1185" s="84"/>
      <c r="AA1185" s="84"/>
    </row>
    <row r="1186" ht="26.25" hidden="1" customHeight="1">
      <c r="A1186" s="85"/>
      <c r="B1186" s="106"/>
      <c r="C1186" s="103"/>
      <c r="D1186" s="93"/>
      <c r="E1186" s="93"/>
      <c r="F1186" s="103"/>
      <c r="G1186" s="113"/>
      <c r="H1186" s="113"/>
      <c r="I1186" s="100"/>
      <c r="J1186" s="113"/>
      <c r="K1186" s="82" t="b">
        <v>0</v>
      </c>
      <c r="L1186" s="94"/>
      <c r="M1186" s="84">
        <f t="shared" si="1"/>
        <v>6590</v>
      </c>
      <c r="N1186" s="84"/>
      <c r="O1186" s="84"/>
      <c r="P1186" s="84"/>
      <c r="Q1186" s="84"/>
      <c r="R1186" s="86" t="str">
        <f t="shared" si="2"/>
        <v>Prepare for Showcase</v>
      </c>
      <c r="S1186" s="82" t="b">
        <v>0</v>
      </c>
      <c r="T1186" s="88"/>
      <c r="U1186" s="84"/>
      <c r="V1186" s="84"/>
      <c r="W1186" s="84"/>
      <c r="X1186" s="84"/>
      <c r="Y1186" s="84"/>
      <c r="Z1186" s="84"/>
      <c r="AA1186" s="84"/>
    </row>
    <row r="1187" ht="26.25" hidden="1" customHeight="1">
      <c r="A1187" s="85"/>
      <c r="B1187" s="106"/>
      <c r="C1187" s="103"/>
      <c r="D1187" s="93"/>
      <c r="E1187" s="93"/>
      <c r="F1187" s="103"/>
      <c r="G1187" s="113"/>
      <c r="H1187" s="113"/>
      <c r="I1187" s="100"/>
      <c r="J1187" s="113"/>
      <c r="K1187" s="82" t="b">
        <v>0</v>
      </c>
      <c r="L1187" s="94"/>
      <c r="M1187" s="84">
        <f t="shared" si="1"/>
        <v>6590</v>
      </c>
      <c r="N1187" s="84"/>
      <c r="O1187" s="84"/>
      <c r="P1187" s="84"/>
      <c r="Q1187" s="84"/>
      <c r="R1187" s="86" t="str">
        <f t="shared" si="2"/>
        <v>Prepare for Showcase</v>
      </c>
      <c r="S1187" s="82" t="b">
        <v>0</v>
      </c>
      <c r="T1187" s="88"/>
      <c r="U1187" s="84"/>
      <c r="V1187" s="84"/>
      <c r="W1187" s="84"/>
      <c r="X1187" s="84"/>
      <c r="Y1187" s="84"/>
      <c r="Z1187" s="84"/>
      <c r="AA1187" s="84"/>
    </row>
    <row r="1188" ht="26.25" hidden="1" customHeight="1">
      <c r="A1188" s="85"/>
      <c r="B1188" s="106"/>
      <c r="C1188" s="103"/>
      <c r="D1188" s="93"/>
      <c r="E1188" s="93"/>
      <c r="F1188" s="103"/>
      <c r="G1188" s="113"/>
      <c r="H1188" s="113"/>
      <c r="I1188" s="100"/>
      <c r="J1188" s="113"/>
      <c r="K1188" s="82" t="b">
        <v>0</v>
      </c>
      <c r="L1188" s="94"/>
      <c r="M1188" s="84">
        <f t="shared" si="1"/>
        <v>6590</v>
      </c>
      <c r="N1188" s="84"/>
      <c r="O1188" s="84"/>
      <c r="P1188" s="84"/>
      <c r="Q1188" s="84"/>
      <c r="R1188" s="86" t="str">
        <f t="shared" si="2"/>
        <v>Prepare for Showcase</v>
      </c>
      <c r="S1188" s="82" t="b">
        <v>0</v>
      </c>
      <c r="T1188" s="88"/>
      <c r="U1188" s="84"/>
      <c r="V1188" s="84"/>
      <c r="W1188" s="84"/>
      <c r="X1188" s="84"/>
      <c r="Y1188" s="84"/>
      <c r="Z1188" s="84"/>
      <c r="AA1188" s="84"/>
    </row>
    <row r="1189" ht="26.25" hidden="1" customHeight="1">
      <c r="A1189" s="85"/>
      <c r="B1189" s="106"/>
      <c r="C1189" s="103"/>
      <c r="D1189" s="93"/>
      <c r="E1189" s="93"/>
      <c r="F1189" s="103"/>
      <c r="G1189" s="113"/>
      <c r="H1189" s="113"/>
      <c r="I1189" s="100"/>
      <c r="J1189" s="113"/>
      <c r="K1189" s="82" t="b">
        <v>0</v>
      </c>
      <c r="L1189" s="94"/>
      <c r="M1189" s="84">
        <f t="shared" si="1"/>
        <v>6590</v>
      </c>
      <c r="N1189" s="84"/>
      <c r="O1189" s="84"/>
      <c r="P1189" s="84"/>
      <c r="Q1189" s="84"/>
      <c r="R1189" s="86" t="str">
        <f t="shared" si="2"/>
        <v>Prepare for Showcase</v>
      </c>
      <c r="S1189" s="82" t="b">
        <v>0</v>
      </c>
      <c r="T1189" s="88"/>
      <c r="U1189" s="84"/>
      <c r="V1189" s="84"/>
      <c r="W1189" s="84"/>
      <c r="X1189" s="84"/>
      <c r="Y1189" s="84"/>
      <c r="Z1189" s="84"/>
      <c r="AA1189" s="84"/>
    </row>
    <row r="1190" ht="26.25" hidden="1" customHeight="1">
      <c r="A1190" s="85"/>
      <c r="B1190" s="106"/>
      <c r="C1190" s="103"/>
      <c r="D1190" s="93"/>
      <c r="E1190" s="93"/>
      <c r="F1190" s="103"/>
      <c r="G1190" s="113"/>
      <c r="H1190" s="113"/>
      <c r="I1190" s="100"/>
      <c r="J1190" s="113"/>
      <c r="K1190" s="82" t="b">
        <v>0</v>
      </c>
      <c r="L1190" s="94"/>
      <c r="M1190" s="84">
        <f t="shared" si="1"/>
        <v>6590</v>
      </c>
      <c r="N1190" s="84"/>
      <c r="O1190" s="84"/>
      <c r="P1190" s="84"/>
      <c r="Q1190" s="84"/>
      <c r="R1190" s="86" t="str">
        <f t="shared" si="2"/>
        <v>Prepare for Showcase</v>
      </c>
      <c r="S1190" s="82" t="b">
        <v>0</v>
      </c>
      <c r="T1190" s="88"/>
      <c r="U1190" s="84"/>
      <c r="V1190" s="84"/>
      <c r="W1190" s="84"/>
      <c r="X1190" s="84"/>
      <c r="Y1190" s="84"/>
      <c r="Z1190" s="84"/>
      <c r="AA1190" s="84"/>
    </row>
    <row r="1191" ht="26.25" hidden="1" customHeight="1">
      <c r="A1191" s="85"/>
      <c r="B1191" s="106"/>
      <c r="C1191" s="103"/>
      <c r="D1191" s="93"/>
      <c r="E1191" s="93"/>
      <c r="F1191" s="103"/>
      <c r="G1191" s="113"/>
      <c r="H1191" s="113"/>
      <c r="I1191" s="100"/>
      <c r="J1191" s="113"/>
      <c r="K1191" s="82" t="b">
        <v>0</v>
      </c>
      <c r="L1191" s="94"/>
      <c r="M1191" s="84">
        <f t="shared" si="1"/>
        <v>6590</v>
      </c>
      <c r="N1191" s="84"/>
      <c r="O1191" s="84"/>
      <c r="P1191" s="84"/>
      <c r="Q1191" s="84"/>
      <c r="R1191" s="86" t="str">
        <f t="shared" si="2"/>
        <v>Prepare for Showcase</v>
      </c>
      <c r="S1191" s="82" t="b">
        <v>0</v>
      </c>
      <c r="T1191" s="88"/>
      <c r="U1191" s="84"/>
      <c r="V1191" s="84"/>
      <c r="W1191" s="84"/>
      <c r="X1191" s="84"/>
      <c r="Y1191" s="84"/>
      <c r="Z1191" s="84"/>
      <c r="AA1191" s="84"/>
    </row>
    <row r="1192" ht="26.25" hidden="1" customHeight="1">
      <c r="A1192" s="85"/>
      <c r="B1192" s="106"/>
      <c r="C1192" s="103"/>
      <c r="D1192" s="93"/>
      <c r="E1192" s="93"/>
      <c r="F1192" s="103"/>
      <c r="G1192" s="113"/>
      <c r="H1192" s="113"/>
      <c r="I1192" s="100"/>
      <c r="J1192" s="113"/>
      <c r="K1192" s="82" t="b">
        <v>0</v>
      </c>
      <c r="L1192" s="94"/>
      <c r="M1192" s="84">
        <f t="shared" si="1"/>
        <v>6590</v>
      </c>
      <c r="N1192" s="84"/>
      <c r="O1192" s="84"/>
      <c r="P1192" s="84"/>
      <c r="Q1192" s="84"/>
      <c r="R1192" s="86" t="str">
        <f t="shared" si="2"/>
        <v>Prepare for Showcase</v>
      </c>
      <c r="S1192" s="82" t="b">
        <v>0</v>
      </c>
      <c r="T1192" s="88"/>
      <c r="U1192" s="84"/>
      <c r="V1192" s="84"/>
      <c r="W1192" s="84"/>
      <c r="X1192" s="84"/>
      <c r="Y1192" s="84"/>
      <c r="Z1192" s="84"/>
      <c r="AA1192" s="84"/>
    </row>
    <row r="1193" ht="26.25" hidden="1" customHeight="1">
      <c r="A1193" s="85"/>
      <c r="B1193" s="106"/>
      <c r="C1193" s="103"/>
      <c r="D1193" s="93"/>
      <c r="E1193" s="93"/>
      <c r="F1193" s="103"/>
      <c r="G1193" s="113"/>
      <c r="H1193" s="113"/>
      <c r="I1193" s="100"/>
      <c r="J1193" s="113"/>
      <c r="K1193" s="82" t="b">
        <v>0</v>
      </c>
      <c r="L1193" s="94"/>
      <c r="M1193" s="84">
        <f t="shared" si="1"/>
        <v>6590</v>
      </c>
      <c r="N1193" s="84"/>
      <c r="O1193" s="84"/>
      <c r="P1193" s="84"/>
      <c r="Q1193" s="84"/>
      <c r="R1193" s="86" t="str">
        <f t="shared" si="2"/>
        <v>Prepare for Showcase</v>
      </c>
      <c r="S1193" s="82" t="b">
        <v>0</v>
      </c>
      <c r="T1193" s="88"/>
      <c r="U1193" s="84"/>
      <c r="V1193" s="84"/>
      <c r="W1193" s="84"/>
      <c r="X1193" s="84"/>
      <c r="Y1193" s="84"/>
      <c r="Z1193" s="84"/>
      <c r="AA1193" s="84"/>
    </row>
    <row r="1194" ht="26.25" hidden="1" customHeight="1">
      <c r="A1194" s="85"/>
      <c r="B1194" s="106"/>
      <c r="C1194" s="103"/>
      <c r="D1194" s="93"/>
      <c r="E1194" s="93"/>
      <c r="F1194" s="103"/>
      <c r="G1194" s="113"/>
      <c r="H1194" s="113"/>
      <c r="I1194" s="100"/>
      <c r="J1194" s="113"/>
      <c r="K1194" s="82" t="b">
        <v>0</v>
      </c>
      <c r="L1194" s="94"/>
      <c r="M1194" s="84">
        <f t="shared" si="1"/>
        <v>6590</v>
      </c>
      <c r="N1194" s="84"/>
      <c r="O1194" s="84"/>
      <c r="P1194" s="84"/>
      <c r="Q1194" s="84"/>
      <c r="R1194" s="86" t="str">
        <f t="shared" si="2"/>
        <v>Prepare for Showcase</v>
      </c>
      <c r="S1194" s="82" t="b">
        <v>0</v>
      </c>
      <c r="T1194" s="88"/>
      <c r="U1194" s="84"/>
      <c r="V1194" s="84"/>
      <c r="W1194" s="84"/>
      <c r="X1194" s="84"/>
      <c r="Y1194" s="84"/>
      <c r="Z1194" s="84"/>
      <c r="AA1194" s="84"/>
    </row>
    <row r="1195" ht="26.25" hidden="1" customHeight="1">
      <c r="A1195" s="85"/>
      <c r="B1195" s="106"/>
      <c r="C1195" s="103"/>
      <c r="D1195" s="93"/>
      <c r="E1195" s="93"/>
      <c r="F1195" s="103"/>
      <c r="G1195" s="113"/>
      <c r="H1195" s="113"/>
      <c r="I1195" s="100"/>
      <c r="J1195" s="113"/>
      <c r="K1195" s="82" t="b">
        <v>0</v>
      </c>
      <c r="L1195" s="94"/>
      <c r="M1195" s="84">
        <f t="shared" si="1"/>
        <v>6590</v>
      </c>
      <c r="N1195" s="84"/>
      <c r="O1195" s="84"/>
      <c r="P1195" s="84"/>
      <c r="Q1195" s="84"/>
      <c r="R1195" s="86" t="str">
        <f t="shared" si="2"/>
        <v>Prepare for Showcase</v>
      </c>
      <c r="S1195" s="82" t="b">
        <v>0</v>
      </c>
      <c r="T1195" s="88"/>
      <c r="U1195" s="84"/>
      <c r="V1195" s="84"/>
      <c r="W1195" s="84"/>
      <c r="X1195" s="84"/>
      <c r="Y1195" s="84"/>
      <c r="Z1195" s="84"/>
      <c r="AA1195" s="84"/>
    </row>
    <row r="1196" ht="26.25" hidden="1" customHeight="1">
      <c r="A1196" s="85"/>
      <c r="B1196" s="106"/>
      <c r="C1196" s="103"/>
      <c r="D1196" s="93"/>
      <c r="E1196" s="93"/>
      <c r="F1196" s="103"/>
      <c r="G1196" s="113"/>
      <c r="H1196" s="113"/>
      <c r="I1196" s="100"/>
      <c r="J1196" s="113"/>
      <c r="K1196" s="82" t="b">
        <v>0</v>
      </c>
      <c r="L1196" s="94"/>
      <c r="M1196" s="84">
        <f t="shared" si="1"/>
        <v>6590</v>
      </c>
      <c r="N1196" s="84"/>
      <c r="O1196" s="84"/>
      <c r="P1196" s="84"/>
      <c r="Q1196" s="84"/>
      <c r="R1196" s="86" t="str">
        <f t="shared" si="2"/>
        <v>Prepare for Showcase</v>
      </c>
      <c r="S1196" s="82" t="b">
        <v>0</v>
      </c>
      <c r="T1196" s="88"/>
      <c r="U1196" s="84"/>
      <c r="V1196" s="84"/>
      <c r="W1196" s="84"/>
      <c r="X1196" s="84"/>
      <c r="Y1196" s="84"/>
      <c r="Z1196" s="84"/>
      <c r="AA1196" s="84"/>
    </row>
    <row r="1197" ht="26.25" hidden="1" customHeight="1">
      <c r="A1197" s="85"/>
      <c r="B1197" s="106"/>
      <c r="C1197" s="103"/>
      <c r="D1197" s="93"/>
      <c r="E1197" s="93"/>
      <c r="F1197" s="103"/>
      <c r="G1197" s="113"/>
      <c r="H1197" s="113"/>
      <c r="I1197" s="100"/>
      <c r="J1197" s="113"/>
      <c r="K1197" s="82" t="b">
        <v>0</v>
      </c>
      <c r="L1197" s="94"/>
      <c r="M1197" s="84">
        <f t="shared" si="1"/>
        <v>6590</v>
      </c>
      <c r="N1197" s="84"/>
      <c r="O1197" s="84"/>
      <c r="P1197" s="84"/>
      <c r="Q1197" s="84"/>
      <c r="R1197" s="86" t="str">
        <f t="shared" si="2"/>
        <v>Prepare for Showcase</v>
      </c>
      <c r="S1197" s="82" t="b">
        <v>0</v>
      </c>
      <c r="T1197" s="88"/>
      <c r="U1197" s="84"/>
      <c r="V1197" s="84"/>
      <c r="W1197" s="84"/>
      <c r="X1197" s="84"/>
      <c r="Y1197" s="84"/>
      <c r="Z1197" s="84"/>
      <c r="AA1197" s="84"/>
    </row>
    <row r="1198" ht="26.25" hidden="1" customHeight="1">
      <c r="A1198" s="85"/>
      <c r="B1198" s="106"/>
      <c r="C1198" s="103"/>
      <c r="D1198" s="93"/>
      <c r="E1198" s="93"/>
      <c r="F1198" s="103"/>
      <c r="G1198" s="113"/>
      <c r="H1198" s="113"/>
      <c r="I1198" s="100"/>
      <c r="J1198" s="113"/>
      <c r="K1198" s="82" t="b">
        <v>0</v>
      </c>
      <c r="L1198" s="94"/>
      <c r="M1198" s="84">
        <f t="shared" si="1"/>
        <v>6590</v>
      </c>
      <c r="N1198" s="84"/>
      <c r="O1198" s="84"/>
      <c r="P1198" s="84"/>
      <c r="Q1198" s="84"/>
      <c r="R1198" s="86" t="str">
        <f t="shared" si="2"/>
        <v>Prepare for Showcase</v>
      </c>
      <c r="S1198" s="82" t="b">
        <v>0</v>
      </c>
      <c r="T1198" s="88"/>
      <c r="U1198" s="84"/>
      <c r="V1198" s="84"/>
      <c r="W1198" s="84"/>
      <c r="X1198" s="84"/>
      <c r="Y1198" s="84"/>
      <c r="Z1198" s="84"/>
      <c r="AA1198" s="84"/>
    </row>
    <row r="1199" ht="26.25" hidden="1" customHeight="1">
      <c r="A1199" s="85"/>
      <c r="B1199" s="106"/>
      <c r="C1199" s="103"/>
      <c r="D1199" s="93"/>
      <c r="E1199" s="93"/>
      <c r="F1199" s="103"/>
      <c r="G1199" s="113"/>
      <c r="H1199" s="113"/>
      <c r="I1199" s="100"/>
      <c r="J1199" s="113"/>
      <c r="K1199" s="82" t="b">
        <v>0</v>
      </c>
      <c r="L1199" s="94"/>
      <c r="M1199" s="84">
        <f t="shared" si="1"/>
        <v>6590</v>
      </c>
      <c r="N1199" s="84"/>
      <c r="O1199" s="84"/>
      <c r="P1199" s="84"/>
      <c r="Q1199" s="84"/>
      <c r="R1199" s="86" t="str">
        <f t="shared" si="2"/>
        <v>Prepare for Showcase</v>
      </c>
      <c r="S1199" s="82" t="b">
        <v>0</v>
      </c>
      <c r="T1199" s="88"/>
      <c r="U1199" s="84"/>
      <c r="V1199" s="84"/>
      <c r="W1199" s="84"/>
      <c r="X1199" s="84"/>
      <c r="Y1199" s="84"/>
      <c r="Z1199" s="84"/>
      <c r="AA1199" s="84"/>
    </row>
    <row r="1200" ht="26.25" hidden="1" customHeight="1">
      <c r="A1200" s="85"/>
      <c r="B1200" s="106"/>
      <c r="C1200" s="103"/>
      <c r="D1200" s="93"/>
      <c r="E1200" s="93"/>
      <c r="F1200" s="103"/>
      <c r="G1200" s="113"/>
      <c r="H1200" s="113"/>
      <c r="I1200" s="100"/>
      <c r="J1200" s="113"/>
      <c r="K1200" s="82" t="b">
        <v>0</v>
      </c>
      <c r="L1200" s="94"/>
      <c r="M1200" s="84">
        <f t="shared" si="1"/>
        <v>6590</v>
      </c>
      <c r="N1200" s="84"/>
      <c r="O1200" s="84"/>
      <c r="P1200" s="84"/>
      <c r="Q1200" s="84"/>
      <c r="R1200" s="86" t="str">
        <f t="shared" si="2"/>
        <v>Prepare for Showcase</v>
      </c>
      <c r="S1200" s="82" t="b">
        <v>0</v>
      </c>
      <c r="T1200" s="88"/>
      <c r="U1200" s="84"/>
      <c r="V1200" s="84"/>
      <c r="W1200" s="84"/>
      <c r="X1200" s="84"/>
      <c r="Y1200" s="84"/>
      <c r="Z1200" s="84"/>
      <c r="AA1200" s="84"/>
    </row>
    <row r="1201" ht="26.25" hidden="1" customHeight="1">
      <c r="A1201" s="85"/>
      <c r="B1201" s="106"/>
      <c r="C1201" s="103"/>
      <c r="D1201" s="93"/>
      <c r="E1201" s="93"/>
      <c r="F1201" s="103"/>
      <c r="G1201" s="113"/>
      <c r="H1201" s="113"/>
      <c r="I1201" s="100"/>
      <c r="J1201" s="113"/>
      <c r="K1201" s="82" t="b">
        <v>0</v>
      </c>
      <c r="L1201" s="94"/>
      <c r="M1201" s="84">
        <f t="shared" si="1"/>
        <v>6590</v>
      </c>
      <c r="N1201" s="84"/>
      <c r="O1201" s="84"/>
      <c r="P1201" s="84"/>
      <c r="Q1201" s="84"/>
      <c r="R1201" s="86" t="str">
        <f t="shared" si="2"/>
        <v>Prepare for Showcase</v>
      </c>
      <c r="S1201" s="82" t="b">
        <v>0</v>
      </c>
      <c r="T1201" s="88"/>
      <c r="U1201" s="84"/>
      <c r="V1201" s="84"/>
      <c r="W1201" s="84"/>
      <c r="X1201" s="84"/>
      <c r="Y1201" s="84"/>
      <c r="Z1201" s="84"/>
      <c r="AA1201" s="84"/>
    </row>
    <row r="1202" ht="26.25" hidden="1" customHeight="1">
      <c r="A1202" s="85"/>
      <c r="B1202" s="106"/>
      <c r="C1202" s="103"/>
      <c r="D1202" s="93"/>
      <c r="E1202" s="93"/>
      <c r="F1202" s="103"/>
      <c r="G1202" s="113"/>
      <c r="H1202" s="113"/>
      <c r="I1202" s="100"/>
      <c r="J1202" s="113"/>
      <c r="K1202" s="82" t="b">
        <v>0</v>
      </c>
      <c r="L1202" s="94"/>
      <c r="M1202" s="84">
        <f t="shared" si="1"/>
        <v>6590</v>
      </c>
      <c r="N1202" s="84"/>
      <c r="O1202" s="84"/>
      <c r="P1202" s="84"/>
      <c r="Q1202" s="84"/>
      <c r="R1202" s="86" t="str">
        <f t="shared" si="2"/>
        <v>Prepare for Showcase</v>
      </c>
      <c r="S1202" s="82" t="b">
        <v>0</v>
      </c>
      <c r="T1202" s="88"/>
      <c r="U1202" s="84"/>
      <c r="V1202" s="84"/>
      <c r="W1202" s="84"/>
      <c r="X1202" s="84"/>
      <c r="Y1202" s="84"/>
      <c r="Z1202" s="84"/>
      <c r="AA1202" s="84"/>
    </row>
    <row r="1203" ht="26.25" hidden="1" customHeight="1">
      <c r="A1203" s="85"/>
      <c r="B1203" s="106"/>
      <c r="C1203" s="103"/>
      <c r="D1203" s="93"/>
      <c r="E1203" s="93"/>
      <c r="F1203" s="103"/>
      <c r="G1203" s="113"/>
      <c r="H1203" s="113"/>
      <c r="I1203" s="100"/>
      <c r="J1203" s="113"/>
      <c r="K1203" s="82" t="b">
        <v>0</v>
      </c>
      <c r="L1203" s="94"/>
      <c r="M1203" s="84">
        <f t="shared" si="1"/>
        <v>6590</v>
      </c>
      <c r="N1203" s="84"/>
      <c r="O1203" s="84"/>
      <c r="P1203" s="84"/>
      <c r="Q1203" s="84"/>
      <c r="R1203" s="86" t="str">
        <f t="shared" si="2"/>
        <v>Prepare for Showcase</v>
      </c>
      <c r="S1203" s="82" t="b">
        <v>0</v>
      </c>
      <c r="T1203" s="88"/>
      <c r="U1203" s="84"/>
      <c r="V1203" s="84"/>
      <c r="W1203" s="84"/>
      <c r="X1203" s="84"/>
      <c r="Y1203" s="84"/>
      <c r="Z1203" s="84"/>
      <c r="AA1203" s="84"/>
    </row>
    <row r="1204" ht="26.25" hidden="1" customHeight="1">
      <c r="A1204" s="85"/>
      <c r="B1204" s="106"/>
      <c r="C1204" s="103"/>
      <c r="D1204" s="93"/>
      <c r="E1204" s="93"/>
      <c r="F1204" s="103"/>
      <c r="G1204" s="113"/>
      <c r="H1204" s="113"/>
      <c r="I1204" s="100"/>
      <c r="J1204" s="113"/>
      <c r="K1204" s="82" t="b">
        <v>0</v>
      </c>
      <c r="L1204" s="94"/>
      <c r="M1204" s="84">
        <f t="shared" si="1"/>
        <v>6590</v>
      </c>
      <c r="N1204" s="84"/>
      <c r="O1204" s="84"/>
      <c r="P1204" s="84"/>
      <c r="Q1204" s="84"/>
      <c r="R1204" s="86" t="str">
        <f t="shared" si="2"/>
        <v>Prepare for Showcase</v>
      </c>
      <c r="S1204" s="82" t="b">
        <v>0</v>
      </c>
      <c r="T1204" s="88"/>
      <c r="U1204" s="84"/>
      <c r="V1204" s="84"/>
      <c r="W1204" s="84"/>
      <c r="X1204" s="84"/>
      <c r="Y1204" s="84"/>
      <c r="Z1204" s="84"/>
      <c r="AA1204" s="84"/>
    </row>
    <row r="1205" ht="26.25" hidden="1" customHeight="1">
      <c r="A1205" s="85"/>
      <c r="B1205" s="106"/>
      <c r="C1205" s="103"/>
      <c r="D1205" s="93"/>
      <c r="E1205" s="93"/>
      <c r="F1205" s="103"/>
      <c r="G1205" s="113"/>
      <c r="H1205" s="113"/>
      <c r="I1205" s="100"/>
      <c r="J1205" s="113"/>
      <c r="K1205" s="82" t="b">
        <v>0</v>
      </c>
      <c r="L1205" s="94"/>
      <c r="M1205" s="84">
        <f t="shared" si="1"/>
        <v>6590</v>
      </c>
      <c r="N1205" s="84"/>
      <c r="O1205" s="84"/>
      <c r="P1205" s="84"/>
      <c r="Q1205" s="84"/>
      <c r="R1205" s="86" t="str">
        <f t="shared" si="2"/>
        <v>Prepare for Showcase</v>
      </c>
      <c r="S1205" s="82" t="b">
        <v>0</v>
      </c>
      <c r="T1205" s="88"/>
      <c r="U1205" s="84"/>
      <c r="V1205" s="84"/>
      <c r="W1205" s="84"/>
      <c r="X1205" s="84"/>
      <c r="Y1205" s="84"/>
      <c r="Z1205" s="84"/>
      <c r="AA1205" s="84"/>
    </row>
    <row r="1206" ht="26.25" hidden="1" customHeight="1">
      <c r="A1206" s="85"/>
      <c r="B1206" s="106"/>
      <c r="C1206" s="103"/>
      <c r="D1206" s="93"/>
      <c r="E1206" s="93"/>
      <c r="F1206" s="103"/>
      <c r="G1206" s="113"/>
      <c r="H1206" s="113"/>
      <c r="I1206" s="100"/>
      <c r="J1206" s="113"/>
      <c r="K1206" s="82" t="b">
        <v>0</v>
      </c>
      <c r="L1206" s="94"/>
      <c r="M1206" s="84">
        <f t="shared" si="1"/>
        <v>6590</v>
      </c>
      <c r="N1206" s="84"/>
      <c r="O1206" s="84"/>
      <c r="P1206" s="84"/>
      <c r="Q1206" s="84"/>
      <c r="R1206" s="86" t="str">
        <f t="shared" si="2"/>
        <v>Prepare for Showcase</v>
      </c>
      <c r="S1206" s="82" t="b">
        <v>0</v>
      </c>
      <c r="T1206" s="88"/>
      <c r="U1206" s="84"/>
      <c r="V1206" s="84"/>
      <c r="W1206" s="84"/>
      <c r="X1206" s="84"/>
      <c r="Y1206" s="84"/>
      <c r="Z1206" s="84"/>
      <c r="AA1206" s="84"/>
    </row>
    <row r="1207" ht="26.25" hidden="1" customHeight="1">
      <c r="A1207" s="85"/>
      <c r="B1207" s="106"/>
      <c r="C1207" s="103"/>
      <c r="D1207" s="93"/>
      <c r="E1207" s="93"/>
      <c r="F1207" s="103"/>
      <c r="G1207" s="113"/>
      <c r="H1207" s="113"/>
      <c r="I1207" s="100"/>
      <c r="J1207" s="113"/>
      <c r="K1207" s="82" t="b">
        <v>0</v>
      </c>
      <c r="L1207" s="94"/>
      <c r="M1207" s="84">
        <f t="shared" si="1"/>
        <v>6590</v>
      </c>
      <c r="N1207" s="84"/>
      <c r="O1207" s="84"/>
      <c r="P1207" s="84"/>
      <c r="Q1207" s="84"/>
      <c r="R1207" s="86" t="str">
        <f t="shared" si="2"/>
        <v>Prepare for Showcase</v>
      </c>
      <c r="S1207" s="82" t="b">
        <v>0</v>
      </c>
      <c r="T1207" s="88"/>
      <c r="U1207" s="84"/>
      <c r="V1207" s="84"/>
      <c r="W1207" s="84"/>
      <c r="X1207" s="84"/>
      <c r="Y1207" s="84"/>
      <c r="Z1207" s="84"/>
      <c r="AA1207" s="84"/>
    </row>
    <row r="1208" ht="26.25" hidden="1" customHeight="1">
      <c r="A1208" s="85"/>
      <c r="B1208" s="106"/>
      <c r="C1208" s="103"/>
      <c r="D1208" s="93"/>
      <c r="E1208" s="93"/>
      <c r="F1208" s="103"/>
      <c r="G1208" s="113"/>
      <c r="H1208" s="113"/>
      <c r="I1208" s="100"/>
      <c r="J1208" s="113"/>
      <c r="K1208" s="82" t="b">
        <v>0</v>
      </c>
      <c r="L1208" s="94"/>
      <c r="M1208" s="84">
        <f t="shared" si="1"/>
        <v>6590</v>
      </c>
      <c r="N1208" s="84"/>
      <c r="O1208" s="84"/>
      <c r="P1208" s="84"/>
      <c r="Q1208" s="84"/>
      <c r="R1208" s="86" t="str">
        <f t="shared" si="2"/>
        <v>Prepare for Showcase</v>
      </c>
      <c r="S1208" s="82" t="b">
        <v>0</v>
      </c>
      <c r="T1208" s="88"/>
      <c r="U1208" s="84"/>
      <c r="V1208" s="84"/>
      <c r="W1208" s="84"/>
      <c r="X1208" s="84"/>
      <c r="Y1208" s="84"/>
      <c r="Z1208" s="84"/>
      <c r="AA1208" s="84"/>
    </row>
    <row r="1209" ht="26.25" hidden="1" customHeight="1">
      <c r="A1209" s="85"/>
      <c r="B1209" s="106"/>
      <c r="C1209" s="103"/>
      <c r="D1209" s="93"/>
      <c r="E1209" s="93"/>
      <c r="F1209" s="103"/>
      <c r="G1209" s="113"/>
      <c r="H1209" s="113"/>
      <c r="I1209" s="100"/>
      <c r="J1209" s="113"/>
      <c r="K1209" s="82" t="b">
        <v>0</v>
      </c>
      <c r="L1209" s="94"/>
      <c r="M1209" s="84">
        <f t="shared" si="1"/>
        <v>6590</v>
      </c>
      <c r="N1209" s="84"/>
      <c r="O1209" s="84"/>
      <c r="P1209" s="84"/>
      <c r="Q1209" s="84"/>
      <c r="R1209" s="86" t="str">
        <f t="shared" si="2"/>
        <v>Prepare for Showcase</v>
      </c>
      <c r="S1209" s="82" t="b">
        <v>0</v>
      </c>
      <c r="T1209" s="88"/>
      <c r="U1209" s="84"/>
      <c r="V1209" s="84"/>
      <c r="W1209" s="84"/>
      <c r="X1209" s="84"/>
      <c r="Y1209" s="84"/>
      <c r="Z1209" s="84"/>
      <c r="AA1209" s="84"/>
    </row>
    <row r="1210" ht="26.25" hidden="1" customHeight="1">
      <c r="A1210" s="85"/>
      <c r="B1210" s="106"/>
      <c r="C1210" s="103"/>
      <c r="D1210" s="93"/>
      <c r="E1210" s="93"/>
      <c r="F1210" s="103"/>
      <c r="G1210" s="113"/>
      <c r="H1210" s="113"/>
      <c r="I1210" s="100"/>
      <c r="J1210" s="113"/>
      <c r="K1210" s="82" t="b">
        <v>0</v>
      </c>
      <c r="L1210" s="94"/>
      <c r="M1210" s="84">
        <f t="shared" si="1"/>
        <v>6590</v>
      </c>
      <c r="N1210" s="84"/>
      <c r="O1210" s="84"/>
      <c r="P1210" s="84"/>
      <c r="Q1210" s="84"/>
      <c r="R1210" s="86" t="str">
        <f t="shared" si="2"/>
        <v>Prepare for Showcase</v>
      </c>
      <c r="S1210" s="82" t="b">
        <v>0</v>
      </c>
      <c r="T1210" s="88"/>
      <c r="U1210" s="84"/>
      <c r="V1210" s="84"/>
      <c r="W1210" s="84"/>
      <c r="X1210" s="84"/>
      <c r="Y1210" s="84"/>
      <c r="Z1210" s="84"/>
      <c r="AA1210" s="84"/>
    </row>
    <row r="1211" ht="26.25" hidden="1" customHeight="1">
      <c r="A1211" s="85"/>
      <c r="B1211" s="106"/>
      <c r="C1211" s="103"/>
      <c r="D1211" s="93"/>
      <c r="E1211" s="93"/>
      <c r="F1211" s="103"/>
      <c r="G1211" s="113"/>
      <c r="H1211" s="113"/>
      <c r="I1211" s="100"/>
      <c r="J1211" s="113"/>
      <c r="K1211" s="82" t="b">
        <v>0</v>
      </c>
      <c r="L1211" s="94"/>
      <c r="M1211" s="84">
        <f t="shared" si="1"/>
        <v>6590</v>
      </c>
      <c r="N1211" s="84"/>
      <c r="O1211" s="84"/>
      <c r="P1211" s="84"/>
      <c r="Q1211" s="84"/>
      <c r="R1211" s="86" t="str">
        <f t="shared" si="2"/>
        <v>Prepare for Showcase</v>
      </c>
      <c r="S1211" s="82" t="b">
        <v>0</v>
      </c>
      <c r="T1211" s="88"/>
      <c r="U1211" s="84"/>
      <c r="V1211" s="84"/>
      <c r="W1211" s="84"/>
      <c r="X1211" s="84"/>
      <c r="Y1211" s="84"/>
      <c r="Z1211" s="84"/>
      <c r="AA1211" s="84"/>
    </row>
    <row r="1212" ht="26.25" hidden="1" customHeight="1">
      <c r="A1212" s="85"/>
      <c r="B1212" s="106"/>
      <c r="C1212" s="103"/>
      <c r="D1212" s="93"/>
      <c r="E1212" s="93"/>
      <c r="F1212" s="103"/>
      <c r="G1212" s="113"/>
      <c r="H1212" s="113"/>
      <c r="I1212" s="100"/>
      <c r="J1212" s="113"/>
      <c r="K1212" s="82" t="b">
        <v>0</v>
      </c>
      <c r="L1212" s="94"/>
      <c r="M1212" s="84">
        <f t="shared" si="1"/>
        <v>6590</v>
      </c>
      <c r="N1212" s="84"/>
      <c r="O1212" s="84"/>
      <c r="P1212" s="84"/>
      <c r="Q1212" s="84"/>
      <c r="R1212" s="86" t="str">
        <f t="shared" si="2"/>
        <v>Prepare for Showcase</v>
      </c>
      <c r="S1212" s="82" t="b">
        <v>0</v>
      </c>
      <c r="T1212" s="88"/>
      <c r="U1212" s="84"/>
      <c r="V1212" s="84"/>
      <c r="W1212" s="84"/>
      <c r="X1212" s="84"/>
      <c r="Y1212" s="84"/>
      <c r="Z1212" s="84"/>
      <c r="AA1212" s="84"/>
    </row>
    <row r="1213" ht="26.25" hidden="1" customHeight="1">
      <c r="A1213" s="85"/>
      <c r="B1213" s="106"/>
      <c r="C1213" s="103"/>
      <c r="D1213" s="93"/>
      <c r="E1213" s="93"/>
      <c r="F1213" s="103"/>
      <c r="G1213" s="113"/>
      <c r="H1213" s="113"/>
      <c r="I1213" s="100"/>
      <c r="J1213" s="113"/>
      <c r="K1213" s="82" t="b">
        <v>0</v>
      </c>
      <c r="L1213" s="94"/>
      <c r="M1213" s="84">
        <f t="shared" si="1"/>
        <v>6590</v>
      </c>
      <c r="N1213" s="84"/>
      <c r="O1213" s="84"/>
      <c r="P1213" s="84"/>
      <c r="Q1213" s="84"/>
      <c r="R1213" s="86" t="str">
        <f t="shared" si="2"/>
        <v>Prepare for Showcase</v>
      </c>
      <c r="S1213" s="82" t="b">
        <v>0</v>
      </c>
      <c r="T1213" s="88"/>
      <c r="U1213" s="84"/>
      <c r="V1213" s="84"/>
      <c r="W1213" s="84"/>
      <c r="X1213" s="84"/>
      <c r="Y1213" s="84"/>
      <c r="Z1213" s="84"/>
      <c r="AA1213" s="84"/>
    </row>
    <row r="1214" ht="26.25" hidden="1" customHeight="1">
      <c r="A1214" s="85"/>
      <c r="B1214" s="106"/>
      <c r="C1214" s="103"/>
      <c r="D1214" s="93"/>
      <c r="E1214" s="93"/>
      <c r="F1214" s="103"/>
      <c r="G1214" s="113"/>
      <c r="H1214" s="113"/>
      <c r="I1214" s="100"/>
      <c r="J1214" s="113"/>
      <c r="K1214" s="82" t="b">
        <v>0</v>
      </c>
      <c r="L1214" s="94"/>
      <c r="M1214" s="84">
        <f t="shared" si="1"/>
        <v>6590</v>
      </c>
      <c r="N1214" s="84"/>
      <c r="O1214" s="84"/>
      <c r="P1214" s="84"/>
      <c r="Q1214" s="84"/>
      <c r="R1214" s="86" t="str">
        <f t="shared" si="2"/>
        <v>Prepare for Showcase</v>
      </c>
      <c r="S1214" s="82" t="b">
        <v>0</v>
      </c>
      <c r="T1214" s="88"/>
      <c r="U1214" s="84"/>
      <c r="V1214" s="84"/>
      <c r="W1214" s="84"/>
      <c r="X1214" s="84"/>
      <c r="Y1214" s="84"/>
      <c r="Z1214" s="84"/>
      <c r="AA1214" s="84"/>
    </row>
    <row r="1215" ht="26.25" hidden="1" customHeight="1">
      <c r="A1215" s="85"/>
      <c r="B1215" s="106"/>
      <c r="C1215" s="103"/>
      <c r="D1215" s="93"/>
      <c r="E1215" s="93"/>
      <c r="F1215" s="103"/>
      <c r="G1215" s="113"/>
      <c r="H1215" s="113"/>
      <c r="I1215" s="100"/>
      <c r="J1215" s="113"/>
      <c r="K1215" s="82" t="b">
        <v>0</v>
      </c>
      <c r="L1215" s="94"/>
      <c r="M1215" s="84">
        <f t="shared" si="1"/>
        <v>6590</v>
      </c>
      <c r="N1215" s="84"/>
      <c r="O1215" s="84"/>
      <c r="P1215" s="84"/>
      <c r="Q1215" s="84"/>
      <c r="R1215" s="86" t="str">
        <f t="shared" si="2"/>
        <v>Prepare for Showcase</v>
      </c>
      <c r="S1215" s="82" t="b">
        <v>0</v>
      </c>
      <c r="T1215" s="88"/>
      <c r="U1215" s="84"/>
      <c r="V1215" s="84"/>
      <c r="W1215" s="84"/>
      <c r="X1215" s="84"/>
      <c r="Y1215" s="84"/>
      <c r="Z1215" s="84"/>
      <c r="AA1215" s="84"/>
    </row>
    <row r="1216" ht="26.25" hidden="1" customHeight="1">
      <c r="A1216" s="85"/>
      <c r="B1216" s="106"/>
      <c r="C1216" s="103"/>
      <c r="D1216" s="93"/>
      <c r="E1216" s="93"/>
      <c r="F1216" s="103"/>
      <c r="G1216" s="113"/>
      <c r="H1216" s="113"/>
      <c r="I1216" s="100"/>
      <c r="J1216" s="113"/>
      <c r="K1216" s="82" t="b">
        <v>0</v>
      </c>
      <c r="L1216" s="94"/>
      <c r="M1216" s="84">
        <f t="shared" si="1"/>
        <v>6590</v>
      </c>
      <c r="N1216" s="84"/>
      <c r="O1216" s="84"/>
      <c r="P1216" s="84"/>
      <c r="Q1216" s="84"/>
      <c r="R1216" s="86" t="str">
        <f t="shared" si="2"/>
        <v>Prepare for Showcase</v>
      </c>
      <c r="S1216" s="82" t="b">
        <v>0</v>
      </c>
      <c r="T1216" s="88"/>
      <c r="U1216" s="84"/>
      <c r="V1216" s="84"/>
      <c r="W1216" s="84"/>
      <c r="X1216" s="84"/>
      <c r="Y1216" s="84"/>
      <c r="Z1216" s="84"/>
      <c r="AA1216" s="84"/>
    </row>
    <row r="1217" ht="26.25" hidden="1" customHeight="1">
      <c r="A1217" s="85"/>
      <c r="B1217" s="106"/>
      <c r="C1217" s="103"/>
      <c r="D1217" s="93"/>
      <c r="E1217" s="93"/>
      <c r="F1217" s="103"/>
      <c r="G1217" s="113"/>
      <c r="H1217" s="113"/>
      <c r="I1217" s="100"/>
      <c r="J1217" s="113"/>
      <c r="K1217" s="82" t="b">
        <v>0</v>
      </c>
      <c r="L1217" s="94"/>
      <c r="M1217" s="84">
        <f t="shared" si="1"/>
        <v>6590</v>
      </c>
      <c r="N1217" s="84"/>
      <c r="O1217" s="84"/>
      <c r="P1217" s="84"/>
      <c r="Q1217" s="84"/>
      <c r="R1217" s="86" t="str">
        <f t="shared" si="2"/>
        <v>Prepare for Showcase</v>
      </c>
      <c r="S1217" s="82" t="b">
        <v>0</v>
      </c>
      <c r="T1217" s="88"/>
      <c r="U1217" s="84"/>
      <c r="V1217" s="84"/>
      <c r="W1217" s="84"/>
      <c r="X1217" s="84"/>
      <c r="Y1217" s="84"/>
      <c r="Z1217" s="84"/>
      <c r="AA1217" s="84"/>
    </row>
    <row r="1218" ht="26.25" hidden="1" customHeight="1">
      <c r="A1218" s="85"/>
      <c r="B1218" s="106"/>
      <c r="C1218" s="103"/>
      <c r="D1218" s="93"/>
      <c r="E1218" s="93"/>
      <c r="F1218" s="103"/>
      <c r="G1218" s="113"/>
      <c r="H1218" s="113"/>
      <c r="I1218" s="100"/>
      <c r="J1218" s="113"/>
      <c r="K1218" s="82" t="b">
        <v>0</v>
      </c>
      <c r="L1218" s="94"/>
      <c r="M1218" s="84">
        <f t="shared" si="1"/>
        <v>6590</v>
      </c>
      <c r="N1218" s="84"/>
      <c r="O1218" s="84"/>
      <c r="P1218" s="84"/>
      <c r="Q1218" s="84"/>
      <c r="R1218" s="86" t="str">
        <f t="shared" si="2"/>
        <v>Prepare for Showcase</v>
      </c>
      <c r="S1218" s="82" t="b">
        <v>0</v>
      </c>
      <c r="T1218" s="88"/>
      <c r="U1218" s="84"/>
      <c r="V1218" s="84"/>
      <c r="W1218" s="84"/>
      <c r="X1218" s="84"/>
      <c r="Y1218" s="84"/>
      <c r="Z1218" s="84"/>
      <c r="AA1218" s="84"/>
    </row>
    <row r="1219" ht="26.25" hidden="1" customHeight="1">
      <c r="A1219" s="85"/>
      <c r="B1219" s="106"/>
      <c r="C1219" s="103"/>
      <c r="D1219" s="93"/>
      <c r="E1219" s="93"/>
      <c r="F1219" s="103"/>
      <c r="G1219" s="113"/>
      <c r="H1219" s="113"/>
      <c r="I1219" s="100"/>
      <c r="J1219" s="113"/>
      <c r="K1219" s="82" t="b">
        <v>0</v>
      </c>
      <c r="L1219" s="94"/>
      <c r="M1219" s="84">
        <f t="shared" si="1"/>
        <v>6590</v>
      </c>
      <c r="N1219" s="84"/>
      <c r="O1219" s="84"/>
      <c r="P1219" s="84"/>
      <c r="Q1219" s="84"/>
      <c r="R1219" s="86" t="str">
        <f t="shared" si="2"/>
        <v>Prepare for Showcase</v>
      </c>
      <c r="S1219" s="82" t="b">
        <v>0</v>
      </c>
      <c r="T1219" s="88"/>
      <c r="U1219" s="84"/>
      <c r="V1219" s="84"/>
      <c r="W1219" s="84"/>
      <c r="X1219" s="84"/>
      <c r="Y1219" s="84"/>
      <c r="Z1219" s="84"/>
      <c r="AA1219" s="84"/>
    </row>
    <row r="1220" ht="26.25" hidden="1" customHeight="1">
      <c r="A1220" s="85"/>
      <c r="B1220" s="106"/>
      <c r="C1220" s="103"/>
      <c r="D1220" s="93"/>
      <c r="E1220" s="93"/>
      <c r="F1220" s="103"/>
      <c r="G1220" s="113"/>
      <c r="H1220" s="113"/>
      <c r="I1220" s="100"/>
      <c r="J1220" s="113"/>
      <c r="K1220" s="82" t="b">
        <v>0</v>
      </c>
      <c r="L1220" s="94"/>
      <c r="M1220" s="84">
        <f t="shared" si="1"/>
        <v>6590</v>
      </c>
      <c r="N1220" s="84"/>
      <c r="O1220" s="84"/>
      <c r="P1220" s="84"/>
      <c r="Q1220" s="84"/>
      <c r="R1220" s="86" t="str">
        <f t="shared" si="2"/>
        <v>Prepare for Showcase</v>
      </c>
      <c r="S1220" s="82" t="b">
        <v>0</v>
      </c>
      <c r="T1220" s="88"/>
      <c r="U1220" s="84"/>
      <c r="V1220" s="84"/>
      <c r="W1220" s="84"/>
      <c r="X1220" s="84"/>
      <c r="Y1220" s="84"/>
      <c r="Z1220" s="84"/>
      <c r="AA1220" s="84"/>
    </row>
    <row r="1221" ht="26.25" hidden="1" customHeight="1">
      <c r="A1221" s="85"/>
      <c r="B1221" s="106"/>
      <c r="C1221" s="103"/>
      <c r="D1221" s="93"/>
      <c r="E1221" s="93"/>
      <c r="F1221" s="103"/>
      <c r="G1221" s="113"/>
      <c r="H1221" s="113"/>
      <c r="I1221" s="100"/>
      <c r="J1221" s="113"/>
      <c r="K1221" s="82" t="b">
        <v>0</v>
      </c>
      <c r="L1221" s="94"/>
      <c r="M1221" s="84">
        <f t="shared" si="1"/>
        <v>6590</v>
      </c>
      <c r="N1221" s="84"/>
      <c r="O1221" s="84"/>
      <c r="P1221" s="84"/>
      <c r="Q1221" s="84"/>
      <c r="R1221" s="86" t="str">
        <f t="shared" si="2"/>
        <v>Prepare for Showcase</v>
      </c>
      <c r="S1221" s="82" t="b">
        <v>0</v>
      </c>
      <c r="T1221" s="88"/>
      <c r="U1221" s="84"/>
      <c r="V1221" s="84"/>
      <c r="W1221" s="84"/>
      <c r="X1221" s="84"/>
      <c r="Y1221" s="84"/>
      <c r="Z1221" s="84"/>
      <c r="AA1221" s="84"/>
    </row>
    <row r="1222" ht="26.25" hidden="1" customHeight="1">
      <c r="A1222" s="85"/>
      <c r="B1222" s="106"/>
      <c r="C1222" s="103"/>
      <c r="D1222" s="93"/>
      <c r="E1222" s="93"/>
      <c r="F1222" s="103"/>
      <c r="G1222" s="113"/>
      <c r="H1222" s="113"/>
      <c r="I1222" s="100"/>
      <c r="J1222" s="113"/>
      <c r="K1222" s="82" t="b">
        <v>0</v>
      </c>
      <c r="L1222" s="94"/>
      <c r="M1222" s="84">
        <f t="shared" si="1"/>
        <v>6590</v>
      </c>
      <c r="N1222" s="84"/>
      <c r="O1222" s="84"/>
      <c r="P1222" s="84"/>
      <c r="Q1222" s="84"/>
      <c r="R1222" s="86" t="str">
        <f t="shared" si="2"/>
        <v>Prepare for Showcase</v>
      </c>
      <c r="S1222" s="82" t="b">
        <v>0</v>
      </c>
      <c r="T1222" s="88"/>
      <c r="U1222" s="84"/>
      <c r="V1222" s="84"/>
      <c r="W1222" s="84"/>
      <c r="X1222" s="84"/>
      <c r="Y1222" s="84"/>
      <c r="Z1222" s="84"/>
      <c r="AA1222" s="84"/>
    </row>
    <row r="1223" ht="26.25" hidden="1" customHeight="1">
      <c r="A1223" s="85"/>
      <c r="B1223" s="106"/>
      <c r="C1223" s="103"/>
      <c r="D1223" s="93"/>
      <c r="E1223" s="93"/>
      <c r="F1223" s="103"/>
      <c r="G1223" s="113"/>
      <c r="H1223" s="113"/>
      <c r="I1223" s="100"/>
      <c r="J1223" s="113"/>
      <c r="K1223" s="82" t="b">
        <v>0</v>
      </c>
      <c r="L1223" s="94"/>
      <c r="M1223" s="84">
        <f t="shared" si="1"/>
        <v>6590</v>
      </c>
      <c r="N1223" s="84"/>
      <c r="O1223" s="84"/>
      <c r="P1223" s="84"/>
      <c r="Q1223" s="84"/>
      <c r="R1223" s="86" t="str">
        <f t="shared" si="2"/>
        <v>Prepare for Showcase</v>
      </c>
      <c r="S1223" s="82" t="b">
        <v>0</v>
      </c>
      <c r="T1223" s="88"/>
      <c r="U1223" s="84"/>
      <c r="V1223" s="84"/>
      <c r="W1223" s="84"/>
      <c r="X1223" s="84"/>
      <c r="Y1223" s="84"/>
      <c r="Z1223" s="84"/>
      <c r="AA1223" s="84"/>
    </row>
    <row r="1224" ht="26.25" hidden="1" customHeight="1">
      <c r="A1224" s="85"/>
      <c r="B1224" s="106"/>
      <c r="C1224" s="103"/>
      <c r="D1224" s="93"/>
      <c r="E1224" s="93"/>
      <c r="F1224" s="103"/>
      <c r="G1224" s="113"/>
      <c r="H1224" s="113"/>
      <c r="I1224" s="100"/>
      <c r="J1224" s="113"/>
      <c r="K1224" s="82" t="b">
        <v>0</v>
      </c>
      <c r="L1224" s="94"/>
      <c r="M1224" s="84">
        <f t="shared" si="1"/>
        <v>6590</v>
      </c>
      <c r="N1224" s="84"/>
      <c r="O1224" s="84"/>
      <c r="P1224" s="84"/>
      <c r="Q1224" s="84"/>
      <c r="R1224" s="86" t="str">
        <f t="shared" si="2"/>
        <v>Prepare for Showcase</v>
      </c>
      <c r="S1224" s="82" t="b">
        <v>0</v>
      </c>
      <c r="T1224" s="88"/>
      <c r="U1224" s="84"/>
      <c r="V1224" s="84"/>
      <c r="W1224" s="84"/>
      <c r="X1224" s="84"/>
      <c r="Y1224" s="84"/>
      <c r="Z1224" s="84"/>
      <c r="AA1224" s="84"/>
    </row>
    <row r="1225" ht="26.25" hidden="1" customHeight="1">
      <c r="A1225" s="85"/>
      <c r="B1225" s="106"/>
      <c r="C1225" s="103"/>
      <c r="D1225" s="93"/>
      <c r="E1225" s="93"/>
      <c r="F1225" s="103"/>
      <c r="G1225" s="113"/>
      <c r="H1225" s="113"/>
      <c r="I1225" s="100"/>
      <c r="J1225" s="113"/>
      <c r="K1225" s="82" t="b">
        <v>0</v>
      </c>
      <c r="L1225" s="94"/>
      <c r="M1225" s="84">
        <f t="shared" si="1"/>
        <v>6590</v>
      </c>
      <c r="N1225" s="84"/>
      <c r="O1225" s="84"/>
      <c r="P1225" s="84"/>
      <c r="Q1225" s="84"/>
      <c r="R1225" s="86" t="str">
        <f t="shared" si="2"/>
        <v>Prepare for Showcase</v>
      </c>
      <c r="S1225" s="82" t="b">
        <v>0</v>
      </c>
      <c r="T1225" s="88"/>
      <c r="U1225" s="84"/>
      <c r="V1225" s="84"/>
      <c r="W1225" s="84"/>
      <c r="X1225" s="84"/>
      <c r="Y1225" s="84"/>
      <c r="Z1225" s="84"/>
      <c r="AA1225" s="84"/>
    </row>
    <row r="1226" ht="26.25" hidden="1" customHeight="1">
      <c r="A1226" s="85"/>
      <c r="B1226" s="106"/>
      <c r="C1226" s="103"/>
      <c r="D1226" s="93"/>
      <c r="E1226" s="93"/>
      <c r="F1226" s="103"/>
      <c r="G1226" s="113"/>
      <c r="H1226" s="113"/>
      <c r="I1226" s="100"/>
      <c r="J1226" s="113"/>
      <c r="K1226" s="82" t="b">
        <v>0</v>
      </c>
      <c r="L1226" s="94"/>
      <c r="M1226" s="84">
        <f t="shared" si="1"/>
        <v>6590</v>
      </c>
      <c r="N1226" s="84"/>
      <c r="O1226" s="84"/>
      <c r="P1226" s="84"/>
      <c r="Q1226" s="84"/>
      <c r="R1226" s="86" t="str">
        <f t="shared" si="2"/>
        <v>Prepare for Showcase</v>
      </c>
      <c r="S1226" s="82" t="b">
        <v>0</v>
      </c>
      <c r="T1226" s="88"/>
      <c r="U1226" s="84"/>
      <c r="V1226" s="84"/>
      <c r="W1226" s="84"/>
      <c r="X1226" s="84"/>
      <c r="Y1226" s="84"/>
      <c r="Z1226" s="84"/>
      <c r="AA1226" s="84"/>
    </row>
    <row r="1227" ht="26.25" hidden="1" customHeight="1">
      <c r="A1227" s="85"/>
      <c r="B1227" s="106"/>
      <c r="C1227" s="103"/>
      <c r="D1227" s="93"/>
      <c r="E1227" s="93"/>
      <c r="F1227" s="103"/>
      <c r="G1227" s="113"/>
      <c r="H1227" s="113"/>
      <c r="I1227" s="100"/>
      <c r="J1227" s="113"/>
      <c r="K1227" s="82" t="b">
        <v>0</v>
      </c>
      <c r="L1227" s="94"/>
      <c r="M1227" s="84">
        <f t="shared" si="1"/>
        <v>6590</v>
      </c>
      <c r="N1227" s="84"/>
      <c r="O1227" s="84"/>
      <c r="P1227" s="84"/>
      <c r="Q1227" s="84"/>
      <c r="R1227" s="86" t="str">
        <f t="shared" si="2"/>
        <v>Prepare for Showcase</v>
      </c>
      <c r="S1227" s="82" t="b">
        <v>0</v>
      </c>
      <c r="T1227" s="88"/>
      <c r="U1227" s="84"/>
      <c r="V1227" s="84"/>
      <c r="W1227" s="84"/>
      <c r="X1227" s="84"/>
      <c r="Y1227" s="84"/>
      <c r="Z1227" s="84"/>
      <c r="AA1227" s="84"/>
    </row>
    <row r="1228" ht="26.25" hidden="1" customHeight="1">
      <c r="A1228" s="85"/>
      <c r="B1228" s="106"/>
      <c r="C1228" s="103"/>
      <c r="D1228" s="93"/>
      <c r="E1228" s="93"/>
      <c r="F1228" s="103"/>
      <c r="G1228" s="113"/>
      <c r="H1228" s="113"/>
      <c r="I1228" s="100"/>
      <c r="J1228" s="113"/>
      <c r="K1228" s="82" t="b">
        <v>0</v>
      </c>
      <c r="L1228" s="94"/>
      <c r="M1228" s="84">
        <f t="shared" si="1"/>
        <v>6590</v>
      </c>
      <c r="N1228" s="84"/>
      <c r="O1228" s="84"/>
      <c r="P1228" s="84"/>
      <c r="Q1228" s="84"/>
      <c r="R1228" s="86" t="str">
        <f t="shared" si="2"/>
        <v>Prepare for Showcase</v>
      </c>
      <c r="S1228" s="82" t="b">
        <v>0</v>
      </c>
      <c r="T1228" s="88"/>
      <c r="U1228" s="84"/>
      <c r="V1228" s="84"/>
      <c r="W1228" s="84"/>
      <c r="X1228" s="84"/>
      <c r="Y1228" s="84"/>
      <c r="Z1228" s="84"/>
      <c r="AA1228" s="84"/>
    </row>
    <row r="1229" ht="26.25" hidden="1" customHeight="1">
      <c r="A1229" s="85"/>
      <c r="B1229" s="106"/>
      <c r="C1229" s="103"/>
      <c r="D1229" s="93"/>
      <c r="E1229" s="93"/>
      <c r="F1229" s="103"/>
      <c r="G1229" s="113"/>
      <c r="H1229" s="113"/>
      <c r="I1229" s="100"/>
      <c r="J1229" s="113"/>
      <c r="K1229" s="82" t="b">
        <v>0</v>
      </c>
      <c r="L1229" s="94"/>
      <c r="M1229" s="84">
        <f t="shared" si="1"/>
        <v>6590</v>
      </c>
      <c r="N1229" s="84"/>
      <c r="O1229" s="84"/>
      <c r="P1229" s="84"/>
      <c r="Q1229" s="84"/>
      <c r="R1229" s="86" t="str">
        <f t="shared" si="2"/>
        <v>Prepare for Showcase</v>
      </c>
      <c r="S1229" s="82" t="b">
        <v>0</v>
      </c>
      <c r="T1229" s="88"/>
      <c r="U1229" s="84"/>
      <c r="V1229" s="84"/>
      <c r="W1229" s="84"/>
      <c r="X1229" s="84"/>
      <c r="Y1229" s="84"/>
      <c r="Z1229" s="84"/>
      <c r="AA1229" s="84"/>
    </row>
    <row r="1230" ht="26.25" hidden="1" customHeight="1">
      <c r="A1230" s="85"/>
      <c r="B1230" s="106"/>
      <c r="C1230" s="103"/>
      <c r="D1230" s="93"/>
      <c r="E1230" s="93"/>
      <c r="F1230" s="103"/>
      <c r="G1230" s="113"/>
      <c r="H1230" s="113"/>
      <c r="I1230" s="100"/>
      <c r="J1230" s="113"/>
      <c r="K1230" s="82" t="b">
        <v>0</v>
      </c>
      <c r="L1230" s="94"/>
      <c r="M1230" s="84">
        <f t="shared" si="1"/>
        <v>6590</v>
      </c>
      <c r="N1230" s="84"/>
      <c r="O1230" s="84"/>
      <c r="P1230" s="84"/>
      <c r="Q1230" s="84"/>
      <c r="R1230" s="86" t="str">
        <f t="shared" si="2"/>
        <v>Prepare for Showcase</v>
      </c>
      <c r="S1230" s="82" t="b">
        <v>0</v>
      </c>
      <c r="T1230" s="88"/>
      <c r="U1230" s="84"/>
      <c r="V1230" s="84"/>
      <c r="W1230" s="84"/>
      <c r="X1230" s="84"/>
      <c r="Y1230" s="84"/>
      <c r="Z1230" s="84"/>
      <c r="AA1230" s="84"/>
    </row>
    <row r="1231" ht="26.25" hidden="1" customHeight="1">
      <c r="A1231" s="85"/>
      <c r="B1231" s="106"/>
      <c r="C1231" s="103"/>
      <c r="D1231" s="93"/>
      <c r="E1231" s="93"/>
      <c r="F1231" s="103"/>
      <c r="G1231" s="113"/>
      <c r="H1231" s="113"/>
      <c r="I1231" s="100"/>
      <c r="J1231" s="113"/>
      <c r="K1231" s="82" t="b">
        <v>0</v>
      </c>
      <c r="L1231" s="94"/>
      <c r="M1231" s="84">
        <f t="shared" si="1"/>
        <v>6590</v>
      </c>
      <c r="N1231" s="84"/>
      <c r="O1231" s="84"/>
      <c r="P1231" s="84"/>
      <c r="Q1231" s="84"/>
      <c r="R1231" s="86" t="str">
        <f t="shared" si="2"/>
        <v>Prepare for Showcase</v>
      </c>
      <c r="S1231" s="82" t="b">
        <v>0</v>
      </c>
      <c r="T1231" s="88"/>
      <c r="U1231" s="84"/>
      <c r="V1231" s="84"/>
      <c r="W1231" s="84"/>
      <c r="X1231" s="84"/>
      <c r="Y1231" s="84"/>
      <c r="Z1231" s="84"/>
      <c r="AA1231" s="84"/>
    </row>
    <row r="1232" ht="26.25" hidden="1" customHeight="1">
      <c r="A1232" s="85"/>
      <c r="B1232" s="106"/>
      <c r="C1232" s="103"/>
      <c r="D1232" s="93"/>
      <c r="E1232" s="93"/>
      <c r="F1232" s="103"/>
      <c r="G1232" s="113"/>
      <c r="H1232" s="113"/>
      <c r="I1232" s="100"/>
      <c r="J1232" s="113"/>
      <c r="K1232" s="82" t="b">
        <v>0</v>
      </c>
      <c r="L1232" s="94"/>
      <c r="M1232" s="84">
        <f t="shared" si="1"/>
        <v>6590</v>
      </c>
      <c r="N1232" s="84"/>
      <c r="O1232" s="84"/>
      <c r="P1232" s="84"/>
      <c r="Q1232" s="84"/>
      <c r="R1232" s="86" t="str">
        <f t="shared" si="2"/>
        <v>Prepare for Showcase</v>
      </c>
      <c r="S1232" s="82" t="b">
        <v>0</v>
      </c>
      <c r="T1232" s="88"/>
      <c r="U1232" s="84"/>
      <c r="V1232" s="84"/>
      <c r="W1232" s="84"/>
      <c r="X1232" s="84"/>
      <c r="Y1232" s="84"/>
      <c r="Z1232" s="84"/>
      <c r="AA1232" s="84"/>
    </row>
    <row r="1233" ht="26.25" hidden="1" customHeight="1">
      <c r="A1233" s="85"/>
      <c r="B1233" s="106"/>
      <c r="C1233" s="103"/>
      <c r="D1233" s="93"/>
      <c r="E1233" s="93"/>
      <c r="F1233" s="103"/>
      <c r="G1233" s="113"/>
      <c r="H1233" s="113"/>
      <c r="I1233" s="100"/>
      <c r="J1233" s="113"/>
      <c r="K1233" s="82" t="b">
        <v>0</v>
      </c>
      <c r="L1233" s="94"/>
      <c r="M1233" s="84">
        <f t="shared" si="1"/>
        <v>6590</v>
      </c>
      <c r="N1233" s="84"/>
      <c r="O1233" s="84"/>
      <c r="P1233" s="84"/>
      <c r="Q1233" s="84"/>
      <c r="R1233" s="86" t="str">
        <f t="shared" si="2"/>
        <v>Prepare for Showcase</v>
      </c>
      <c r="S1233" s="82" t="b">
        <v>0</v>
      </c>
      <c r="T1233" s="88"/>
      <c r="U1233" s="84"/>
      <c r="V1233" s="84"/>
      <c r="W1233" s="84"/>
      <c r="X1233" s="84"/>
      <c r="Y1233" s="84"/>
      <c r="Z1233" s="84"/>
      <c r="AA1233" s="84"/>
    </row>
    <row r="1234" ht="26.25" hidden="1" customHeight="1">
      <c r="A1234" s="85"/>
      <c r="B1234" s="106"/>
      <c r="C1234" s="103"/>
      <c r="D1234" s="93"/>
      <c r="E1234" s="93"/>
      <c r="F1234" s="103"/>
      <c r="G1234" s="113"/>
      <c r="H1234" s="113"/>
      <c r="I1234" s="100"/>
      <c r="J1234" s="113"/>
      <c r="K1234" s="82" t="b">
        <v>0</v>
      </c>
      <c r="L1234" s="94"/>
      <c r="M1234" s="84">
        <f t="shared" si="1"/>
        <v>6590</v>
      </c>
      <c r="N1234" s="84"/>
      <c r="O1234" s="84"/>
      <c r="P1234" s="84"/>
      <c r="Q1234" s="84"/>
      <c r="R1234" s="86" t="str">
        <f t="shared" si="2"/>
        <v>Prepare for Showcase</v>
      </c>
      <c r="S1234" s="82" t="b">
        <v>0</v>
      </c>
      <c r="T1234" s="88"/>
      <c r="U1234" s="84"/>
      <c r="V1234" s="84"/>
      <c r="W1234" s="84"/>
      <c r="X1234" s="84"/>
      <c r="Y1234" s="84"/>
      <c r="Z1234" s="84"/>
      <c r="AA1234" s="84"/>
    </row>
    <row r="1235" ht="26.25" hidden="1" customHeight="1">
      <c r="A1235" s="85"/>
      <c r="B1235" s="106"/>
      <c r="C1235" s="103"/>
      <c r="D1235" s="93"/>
      <c r="E1235" s="93"/>
      <c r="F1235" s="103"/>
      <c r="G1235" s="113"/>
      <c r="H1235" s="113"/>
      <c r="I1235" s="100"/>
      <c r="J1235" s="113"/>
      <c r="K1235" s="82" t="b">
        <v>0</v>
      </c>
      <c r="L1235" s="94"/>
      <c r="M1235" s="84">
        <f t="shared" si="1"/>
        <v>6590</v>
      </c>
      <c r="N1235" s="84"/>
      <c r="O1235" s="84"/>
      <c r="P1235" s="84"/>
      <c r="Q1235" s="84"/>
      <c r="R1235" s="86" t="str">
        <f t="shared" si="2"/>
        <v>Prepare for Showcase</v>
      </c>
      <c r="S1235" s="82" t="b">
        <v>0</v>
      </c>
      <c r="T1235" s="88"/>
      <c r="U1235" s="84"/>
      <c r="V1235" s="84"/>
      <c r="W1235" s="84"/>
      <c r="X1235" s="84"/>
      <c r="Y1235" s="84"/>
      <c r="Z1235" s="84"/>
      <c r="AA1235" s="84"/>
    </row>
    <row r="1236" ht="26.25" hidden="1" customHeight="1">
      <c r="A1236" s="85"/>
      <c r="B1236" s="106"/>
      <c r="C1236" s="103"/>
      <c r="D1236" s="93"/>
      <c r="E1236" s="93"/>
      <c r="F1236" s="103"/>
      <c r="G1236" s="113"/>
      <c r="H1236" s="113"/>
      <c r="I1236" s="100"/>
      <c r="J1236" s="113"/>
      <c r="K1236" s="82" t="b">
        <v>0</v>
      </c>
      <c r="L1236" s="94"/>
      <c r="M1236" s="84">
        <f t="shared" si="1"/>
        <v>6590</v>
      </c>
      <c r="N1236" s="84"/>
      <c r="O1236" s="84"/>
      <c r="P1236" s="84"/>
      <c r="Q1236" s="84"/>
      <c r="R1236" s="86" t="str">
        <f t="shared" si="2"/>
        <v>Prepare for Showcase</v>
      </c>
      <c r="S1236" s="82" t="b">
        <v>0</v>
      </c>
      <c r="T1236" s="88"/>
      <c r="U1236" s="84"/>
      <c r="V1236" s="84"/>
      <c r="W1236" s="84"/>
      <c r="X1236" s="84"/>
      <c r="Y1236" s="84"/>
      <c r="Z1236" s="84"/>
      <c r="AA1236" s="84"/>
    </row>
    <row r="1237" ht="26.25" hidden="1" customHeight="1">
      <c r="A1237" s="85"/>
      <c r="B1237" s="106"/>
      <c r="C1237" s="103"/>
      <c r="D1237" s="93"/>
      <c r="E1237" s="93"/>
      <c r="F1237" s="103"/>
      <c r="G1237" s="113"/>
      <c r="H1237" s="113"/>
      <c r="I1237" s="100"/>
      <c r="J1237" s="113"/>
      <c r="K1237" s="82" t="b">
        <v>0</v>
      </c>
      <c r="L1237" s="94"/>
      <c r="M1237" s="84">
        <f t="shared" si="1"/>
        <v>6590</v>
      </c>
      <c r="N1237" s="84"/>
      <c r="O1237" s="84"/>
      <c r="P1237" s="84"/>
      <c r="Q1237" s="84"/>
      <c r="R1237" s="86" t="str">
        <f t="shared" si="2"/>
        <v>Prepare for Showcase</v>
      </c>
      <c r="S1237" s="82" t="b">
        <v>0</v>
      </c>
      <c r="T1237" s="88"/>
      <c r="U1237" s="84"/>
      <c r="V1237" s="84"/>
      <c r="W1237" s="84"/>
      <c r="X1237" s="84"/>
      <c r="Y1237" s="84"/>
      <c r="Z1237" s="84"/>
      <c r="AA1237" s="84"/>
    </row>
    <row r="1238" ht="26.25" hidden="1" customHeight="1">
      <c r="A1238" s="85"/>
      <c r="B1238" s="106"/>
      <c r="C1238" s="103"/>
      <c r="D1238" s="93"/>
      <c r="E1238" s="93"/>
      <c r="F1238" s="103"/>
      <c r="G1238" s="113"/>
      <c r="H1238" s="113"/>
      <c r="I1238" s="100"/>
      <c r="J1238" s="113"/>
      <c r="K1238" s="82" t="b">
        <v>0</v>
      </c>
      <c r="L1238" s="94"/>
      <c r="M1238" s="84">
        <f t="shared" si="1"/>
        <v>6590</v>
      </c>
      <c r="N1238" s="84"/>
      <c r="O1238" s="84"/>
      <c r="P1238" s="84"/>
      <c r="Q1238" s="84"/>
      <c r="R1238" s="86" t="str">
        <f t="shared" si="2"/>
        <v>Prepare for Showcase</v>
      </c>
      <c r="S1238" s="82" t="b">
        <v>0</v>
      </c>
      <c r="T1238" s="88"/>
      <c r="U1238" s="84"/>
      <c r="V1238" s="84"/>
      <c r="W1238" s="84"/>
      <c r="X1238" s="84"/>
      <c r="Y1238" s="84"/>
      <c r="Z1238" s="84"/>
      <c r="AA1238" s="84"/>
    </row>
    <row r="1239" ht="26.25" hidden="1" customHeight="1">
      <c r="A1239" s="85"/>
      <c r="B1239" s="106"/>
      <c r="C1239" s="103"/>
      <c r="D1239" s="93"/>
      <c r="E1239" s="93"/>
      <c r="F1239" s="103"/>
      <c r="G1239" s="113"/>
      <c r="H1239" s="113"/>
      <c r="I1239" s="100"/>
      <c r="J1239" s="113"/>
      <c r="K1239" s="82" t="b">
        <v>0</v>
      </c>
      <c r="L1239" s="94"/>
      <c r="M1239" s="84">
        <f t="shared" si="1"/>
        <v>6590</v>
      </c>
      <c r="N1239" s="84"/>
      <c r="O1239" s="84"/>
      <c r="P1239" s="84"/>
      <c r="Q1239" s="84"/>
      <c r="R1239" s="86" t="str">
        <f t="shared" si="2"/>
        <v>Prepare for Showcase</v>
      </c>
      <c r="S1239" s="82" t="b">
        <v>0</v>
      </c>
      <c r="T1239" s="88"/>
      <c r="U1239" s="84"/>
      <c r="V1239" s="84"/>
      <c r="W1239" s="84"/>
      <c r="X1239" s="84"/>
      <c r="Y1239" s="84"/>
      <c r="Z1239" s="84"/>
      <c r="AA1239" s="84"/>
    </row>
    <row r="1240" ht="26.25" hidden="1" customHeight="1">
      <c r="A1240" s="85"/>
      <c r="B1240" s="106"/>
      <c r="C1240" s="103"/>
      <c r="D1240" s="93"/>
      <c r="E1240" s="93"/>
      <c r="F1240" s="103"/>
      <c r="G1240" s="113"/>
      <c r="H1240" s="113"/>
      <c r="I1240" s="100"/>
      <c r="J1240" s="113"/>
      <c r="K1240" s="82" t="b">
        <v>0</v>
      </c>
      <c r="L1240" s="94"/>
      <c r="M1240" s="84">
        <f t="shared" si="1"/>
        <v>6590</v>
      </c>
      <c r="N1240" s="84"/>
      <c r="O1240" s="84"/>
      <c r="P1240" s="84"/>
      <c r="Q1240" s="84"/>
      <c r="R1240" s="86" t="str">
        <f t="shared" si="2"/>
        <v>Prepare for Showcase</v>
      </c>
      <c r="S1240" s="82" t="b">
        <v>0</v>
      </c>
      <c r="T1240" s="88"/>
      <c r="U1240" s="84"/>
      <c r="V1240" s="84"/>
      <c r="W1240" s="84"/>
      <c r="X1240" s="84"/>
      <c r="Y1240" s="84"/>
      <c r="Z1240" s="84"/>
      <c r="AA1240" s="84"/>
    </row>
    <row r="1241" ht="26.25" hidden="1" customHeight="1">
      <c r="A1241" s="85"/>
      <c r="B1241" s="106"/>
      <c r="C1241" s="103"/>
      <c r="D1241" s="93"/>
      <c r="E1241" s="93"/>
      <c r="F1241" s="103"/>
      <c r="G1241" s="113"/>
      <c r="H1241" s="113"/>
      <c r="I1241" s="100"/>
      <c r="J1241" s="113"/>
      <c r="K1241" s="82" t="b">
        <v>0</v>
      </c>
      <c r="L1241" s="94"/>
      <c r="M1241" s="84">
        <f t="shared" si="1"/>
        <v>6590</v>
      </c>
      <c r="N1241" s="84"/>
      <c r="O1241" s="84"/>
      <c r="P1241" s="84"/>
      <c r="Q1241" s="84"/>
      <c r="R1241" s="86" t="str">
        <f t="shared" si="2"/>
        <v>Prepare for Showcase</v>
      </c>
      <c r="S1241" s="82" t="b">
        <v>0</v>
      </c>
      <c r="T1241" s="88"/>
      <c r="U1241" s="84"/>
      <c r="V1241" s="84"/>
      <c r="W1241" s="84"/>
      <c r="X1241" s="84"/>
      <c r="Y1241" s="84"/>
      <c r="Z1241" s="84"/>
      <c r="AA1241" s="84"/>
    </row>
    <row r="1242" ht="26.25" hidden="1" customHeight="1">
      <c r="A1242" s="85"/>
      <c r="B1242" s="106"/>
      <c r="C1242" s="103"/>
      <c r="D1242" s="93"/>
      <c r="E1242" s="93"/>
      <c r="F1242" s="103"/>
      <c r="G1242" s="113"/>
      <c r="H1242" s="113"/>
      <c r="I1242" s="100"/>
      <c r="J1242" s="113"/>
      <c r="K1242" s="82" t="b">
        <v>0</v>
      </c>
      <c r="L1242" s="94"/>
      <c r="M1242" s="84">
        <f t="shared" si="1"/>
        <v>6590</v>
      </c>
      <c r="N1242" s="84"/>
      <c r="O1242" s="84"/>
      <c r="P1242" s="84"/>
      <c r="Q1242" s="84"/>
      <c r="R1242" s="86" t="str">
        <f t="shared" si="2"/>
        <v>Prepare for Showcase</v>
      </c>
      <c r="S1242" s="82" t="b">
        <v>0</v>
      </c>
      <c r="T1242" s="88"/>
      <c r="U1242" s="84"/>
      <c r="V1242" s="84"/>
      <c r="W1242" s="84"/>
      <c r="X1242" s="84"/>
      <c r="Y1242" s="84"/>
      <c r="Z1242" s="84"/>
      <c r="AA1242" s="84"/>
    </row>
    <row r="1243" ht="26.25" hidden="1" customHeight="1">
      <c r="A1243" s="85"/>
      <c r="B1243" s="106"/>
      <c r="C1243" s="103"/>
      <c r="D1243" s="93"/>
      <c r="E1243" s="93"/>
      <c r="F1243" s="103"/>
      <c r="G1243" s="113"/>
      <c r="H1243" s="113"/>
      <c r="I1243" s="100"/>
      <c r="J1243" s="113"/>
      <c r="K1243" s="82" t="b">
        <v>0</v>
      </c>
      <c r="L1243" s="94"/>
      <c r="M1243" s="84">
        <f t="shared" si="1"/>
        <v>6590</v>
      </c>
      <c r="N1243" s="84"/>
      <c r="O1243" s="84"/>
      <c r="P1243" s="84"/>
      <c r="Q1243" s="84"/>
      <c r="R1243" s="86" t="str">
        <f t="shared" si="2"/>
        <v>Prepare for Showcase</v>
      </c>
      <c r="S1243" s="82" t="b">
        <v>0</v>
      </c>
      <c r="T1243" s="88"/>
      <c r="U1243" s="84"/>
      <c r="V1243" s="84"/>
      <c r="W1243" s="84"/>
      <c r="X1243" s="84"/>
      <c r="Y1243" s="84"/>
      <c r="Z1243" s="84"/>
      <c r="AA1243" s="84"/>
    </row>
    <row r="1244" ht="26.25" hidden="1" customHeight="1">
      <c r="A1244" s="85"/>
      <c r="B1244" s="106"/>
      <c r="C1244" s="103"/>
      <c r="D1244" s="93"/>
      <c r="E1244" s="93"/>
      <c r="F1244" s="103"/>
      <c r="G1244" s="113"/>
      <c r="H1244" s="113"/>
      <c r="I1244" s="100"/>
      <c r="J1244" s="113"/>
      <c r="K1244" s="82" t="b">
        <v>0</v>
      </c>
      <c r="L1244" s="94"/>
      <c r="M1244" s="84">
        <f t="shared" si="1"/>
        <v>6590</v>
      </c>
      <c r="N1244" s="84"/>
      <c r="O1244" s="84"/>
      <c r="P1244" s="84"/>
      <c r="Q1244" s="84"/>
      <c r="R1244" s="86" t="str">
        <f t="shared" si="2"/>
        <v>Prepare for Showcase</v>
      </c>
      <c r="S1244" s="82" t="b">
        <v>0</v>
      </c>
      <c r="T1244" s="88"/>
      <c r="U1244" s="84"/>
      <c r="V1244" s="84"/>
      <c r="W1244" s="84"/>
      <c r="X1244" s="84"/>
      <c r="Y1244" s="84"/>
      <c r="Z1244" s="84"/>
      <c r="AA1244" s="84"/>
    </row>
    <row r="1245" ht="26.25" hidden="1" customHeight="1">
      <c r="A1245" s="85"/>
      <c r="B1245" s="106"/>
      <c r="C1245" s="103"/>
      <c r="D1245" s="93"/>
      <c r="E1245" s="93"/>
      <c r="F1245" s="103"/>
      <c r="G1245" s="113"/>
      <c r="H1245" s="113"/>
      <c r="I1245" s="100"/>
      <c r="J1245" s="113"/>
      <c r="K1245" s="82" t="b">
        <v>0</v>
      </c>
      <c r="L1245" s="94"/>
      <c r="M1245" s="84">
        <f t="shared" si="1"/>
        <v>6590</v>
      </c>
      <c r="N1245" s="84"/>
      <c r="O1245" s="84"/>
      <c r="P1245" s="84"/>
      <c r="Q1245" s="84"/>
      <c r="R1245" s="86" t="str">
        <f t="shared" si="2"/>
        <v>Prepare for Showcase</v>
      </c>
      <c r="S1245" s="82" t="b">
        <v>0</v>
      </c>
      <c r="T1245" s="88"/>
      <c r="U1245" s="84"/>
      <c r="V1245" s="84"/>
      <c r="W1245" s="84"/>
      <c r="X1245" s="84"/>
      <c r="Y1245" s="84"/>
      <c r="Z1245" s="84"/>
      <c r="AA1245" s="84"/>
    </row>
    <row r="1246" ht="26.25" hidden="1" customHeight="1">
      <c r="A1246" s="85"/>
      <c r="B1246" s="106"/>
      <c r="C1246" s="103"/>
      <c r="D1246" s="93"/>
      <c r="E1246" s="93"/>
      <c r="F1246" s="103"/>
      <c r="G1246" s="113"/>
      <c r="H1246" s="113"/>
      <c r="I1246" s="100"/>
      <c r="J1246" s="113"/>
      <c r="K1246" s="82" t="b">
        <v>0</v>
      </c>
      <c r="L1246" s="94"/>
      <c r="M1246" s="84">
        <f t="shared" si="1"/>
        <v>6590</v>
      </c>
      <c r="N1246" s="84"/>
      <c r="O1246" s="84"/>
      <c r="P1246" s="84"/>
      <c r="Q1246" s="84"/>
      <c r="R1246" s="86" t="str">
        <f t="shared" si="2"/>
        <v>Prepare for Showcase</v>
      </c>
      <c r="S1246" s="82" t="b">
        <v>0</v>
      </c>
      <c r="T1246" s="88"/>
      <c r="U1246" s="84"/>
      <c r="V1246" s="84"/>
      <c r="W1246" s="84"/>
      <c r="X1246" s="84"/>
      <c r="Y1246" s="84"/>
      <c r="Z1246" s="84"/>
      <c r="AA1246" s="84"/>
    </row>
    <row r="1247" ht="26.25" hidden="1" customHeight="1">
      <c r="A1247" s="85"/>
      <c r="B1247" s="106"/>
      <c r="C1247" s="103"/>
      <c r="D1247" s="93"/>
      <c r="E1247" s="93"/>
      <c r="F1247" s="103"/>
      <c r="G1247" s="113"/>
      <c r="H1247" s="113"/>
      <c r="I1247" s="100"/>
      <c r="J1247" s="113"/>
      <c r="K1247" s="82" t="b">
        <v>0</v>
      </c>
      <c r="L1247" s="94"/>
      <c r="M1247" s="84">
        <f t="shared" si="1"/>
        <v>6590</v>
      </c>
      <c r="N1247" s="84"/>
      <c r="O1247" s="84"/>
      <c r="P1247" s="84"/>
      <c r="Q1247" s="84"/>
      <c r="R1247" s="86" t="str">
        <f t="shared" si="2"/>
        <v>Prepare for Showcase</v>
      </c>
      <c r="S1247" s="82" t="b">
        <v>0</v>
      </c>
      <c r="T1247" s="88"/>
      <c r="U1247" s="84"/>
      <c r="V1247" s="84"/>
      <c r="W1247" s="84"/>
      <c r="X1247" s="84"/>
      <c r="Y1247" s="84"/>
      <c r="Z1247" s="84"/>
      <c r="AA1247" s="84"/>
    </row>
    <row r="1248" ht="26.25" hidden="1" customHeight="1">
      <c r="A1248" s="85"/>
      <c r="B1248" s="106"/>
      <c r="C1248" s="103"/>
      <c r="D1248" s="93"/>
      <c r="E1248" s="93"/>
      <c r="F1248" s="103"/>
      <c r="G1248" s="113"/>
      <c r="H1248" s="113"/>
      <c r="I1248" s="100"/>
      <c r="J1248" s="113"/>
      <c r="K1248" s="82" t="b">
        <v>0</v>
      </c>
      <c r="L1248" s="94"/>
      <c r="M1248" s="84">
        <f t="shared" si="1"/>
        <v>6590</v>
      </c>
      <c r="N1248" s="84"/>
      <c r="O1248" s="84"/>
      <c r="P1248" s="84"/>
      <c r="Q1248" s="84"/>
      <c r="R1248" s="86" t="str">
        <f t="shared" si="2"/>
        <v>Prepare for Showcase</v>
      </c>
      <c r="S1248" s="82" t="b">
        <v>0</v>
      </c>
      <c r="T1248" s="88"/>
      <c r="U1248" s="84"/>
      <c r="V1248" s="84"/>
      <c r="W1248" s="84"/>
      <c r="X1248" s="84"/>
      <c r="Y1248" s="84"/>
      <c r="Z1248" s="84"/>
      <c r="AA1248" s="84"/>
    </row>
    <row r="1249" ht="26.25" hidden="1" customHeight="1">
      <c r="A1249" s="85"/>
      <c r="B1249" s="106"/>
      <c r="C1249" s="103"/>
      <c r="D1249" s="93"/>
      <c r="E1249" s="93"/>
      <c r="F1249" s="103"/>
      <c r="G1249" s="113"/>
      <c r="H1249" s="113"/>
      <c r="I1249" s="100"/>
      <c r="J1249" s="113"/>
      <c r="K1249" s="82" t="b">
        <v>0</v>
      </c>
      <c r="L1249" s="94"/>
      <c r="M1249" s="84">
        <f t="shared" si="1"/>
        <v>6590</v>
      </c>
      <c r="N1249" s="84"/>
      <c r="O1249" s="84"/>
      <c r="P1249" s="84"/>
      <c r="Q1249" s="84"/>
      <c r="R1249" s="86" t="str">
        <f t="shared" si="2"/>
        <v>Prepare for Showcase</v>
      </c>
      <c r="S1249" s="82" t="b">
        <v>0</v>
      </c>
      <c r="T1249" s="88"/>
      <c r="U1249" s="84"/>
      <c r="V1249" s="84"/>
      <c r="W1249" s="84"/>
      <c r="X1249" s="84"/>
      <c r="Y1249" s="84"/>
      <c r="Z1249" s="84"/>
      <c r="AA1249" s="84"/>
    </row>
    <row r="1250" ht="26.25" hidden="1" customHeight="1">
      <c r="A1250" s="85"/>
      <c r="B1250" s="106"/>
      <c r="C1250" s="103"/>
      <c r="D1250" s="93"/>
      <c r="E1250" s="93"/>
      <c r="F1250" s="103"/>
      <c r="G1250" s="113"/>
      <c r="H1250" s="113"/>
      <c r="I1250" s="100"/>
      <c r="J1250" s="113"/>
      <c r="K1250" s="82" t="b">
        <v>0</v>
      </c>
      <c r="L1250" s="94"/>
      <c r="M1250" s="84">
        <f t="shared" si="1"/>
        <v>6590</v>
      </c>
      <c r="N1250" s="84"/>
      <c r="O1250" s="84"/>
      <c r="P1250" s="84"/>
      <c r="Q1250" s="84"/>
      <c r="R1250" s="86" t="str">
        <f t="shared" si="2"/>
        <v>Prepare for Showcase</v>
      </c>
      <c r="S1250" s="82" t="b">
        <v>0</v>
      </c>
      <c r="T1250" s="88"/>
      <c r="U1250" s="84"/>
      <c r="V1250" s="84"/>
      <c r="W1250" s="84"/>
      <c r="X1250" s="84"/>
      <c r="Y1250" s="84"/>
      <c r="Z1250" s="84"/>
      <c r="AA1250" s="84"/>
    </row>
    <row r="1251" ht="26.25" hidden="1" customHeight="1">
      <c r="A1251" s="85"/>
      <c r="B1251" s="106"/>
      <c r="C1251" s="103"/>
      <c r="D1251" s="93"/>
      <c r="E1251" s="93"/>
      <c r="F1251" s="103"/>
      <c r="G1251" s="113"/>
      <c r="H1251" s="113"/>
      <c r="I1251" s="100"/>
      <c r="J1251" s="113"/>
      <c r="K1251" s="82" t="b">
        <v>0</v>
      </c>
      <c r="L1251" s="94"/>
      <c r="M1251" s="84">
        <f t="shared" si="1"/>
        <v>6590</v>
      </c>
      <c r="N1251" s="84"/>
      <c r="O1251" s="84"/>
      <c r="P1251" s="84"/>
      <c r="Q1251" s="84"/>
      <c r="R1251" s="86" t="str">
        <f t="shared" si="2"/>
        <v>Prepare for Showcase</v>
      </c>
      <c r="S1251" s="82" t="b">
        <v>0</v>
      </c>
      <c r="T1251" s="88"/>
      <c r="U1251" s="84"/>
      <c r="V1251" s="84"/>
      <c r="W1251" s="84"/>
      <c r="X1251" s="84"/>
      <c r="Y1251" s="84"/>
      <c r="Z1251" s="84"/>
      <c r="AA1251" s="84"/>
    </row>
    <row r="1252" ht="26.25" hidden="1" customHeight="1">
      <c r="A1252" s="85"/>
      <c r="B1252" s="106"/>
      <c r="C1252" s="103"/>
      <c r="D1252" s="93"/>
      <c r="E1252" s="93"/>
      <c r="F1252" s="103"/>
      <c r="G1252" s="113"/>
      <c r="H1252" s="113"/>
      <c r="I1252" s="100"/>
      <c r="J1252" s="113"/>
      <c r="K1252" s="82" t="b">
        <v>0</v>
      </c>
      <c r="L1252" s="94"/>
      <c r="M1252" s="84">
        <f t="shared" si="1"/>
        <v>6590</v>
      </c>
      <c r="N1252" s="84"/>
      <c r="O1252" s="84"/>
      <c r="P1252" s="84"/>
      <c r="Q1252" s="84"/>
      <c r="R1252" s="86" t="str">
        <f t="shared" si="2"/>
        <v>Prepare for Showcase</v>
      </c>
      <c r="S1252" s="82" t="b">
        <v>0</v>
      </c>
      <c r="T1252" s="88"/>
      <c r="U1252" s="84"/>
      <c r="V1252" s="84"/>
      <c r="W1252" s="84"/>
      <c r="X1252" s="84"/>
      <c r="Y1252" s="84"/>
      <c r="Z1252" s="84"/>
      <c r="AA1252" s="84"/>
    </row>
  </sheetData>
  <conditionalFormatting sqref="R2:R1252">
    <cfRule type="containsText" dxfId="5" priority="1" operator="containsText" text="Learning">
      <formula>NOT(ISERROR(SEARCH(("Learning"),(R2))))</formula>
    </cfRule>
  </conditionalFormatting>
  <conditionalFormatting sqref="R2:R1252">
    <cfRule type="containsText" dxfId="6" priority="2" operator="containsText" text="Starting Final Project">
      <formula>NOT(ISERROR(SEARCH(("Starting Final Project"),(R2))))</formula>
    </cfRule>
  </conditionalFormatting>
  <conditionalFormatting sqref="R2:R1252">
    <cfRule type="containsText" dxfId="7" priority="3" operator="containsText" text="Prepare For Showcase">
      <formula>NOT(ISERROR(SEARCH(("Prepare For Showcase"),(R2))))</formula>
    </cfRule>
  </conditionalFormatting>
  <conditionalFormatting sqref="R2:R1252">
    <cfRule type="containsText" dxfId="8" priority="4" operator="containsText" text="1 Month To Final Project">
      <formula>NOT(ISERROR(SEARCH(("1 Month To Final Project"),(R2))))</formula>
    </cfRule>
  </conditionalFormatting>
  <conditionalFormatting sqref="U2:AA541">
    <cfRule type="containsBlanks" dxfId="7" priority="5">
      <formula>LEN(TRIM(U2))=0</formula>
    </cfRule>
  </conditionalFormatting>
  <conditionalFormatting sqref="X2:AA1252">
    <cfRule type="cellIs" dxfId="7" priority="6" operator="lessThan">
      <formula>1</formula>
    </cfRule>
  </conditionalFormatting>
  <dataValidations>
    <dataValidation type="list" allowBlank="1" sqref="F2:F1252">
      <formula1>"1 Mon 7:30-8:30pm,2 Wed 7:30-8:30pm,3 Thu 7:30-8:30pm,4 Sat 9:00-10:00am,5 Sat 10:00-11:00am,6 Sat 11:00-12:00pm,7 Sat 2:00-3:00pm,8 Sat 3:00-4:00pm,9 Sat 4:00-5:00pm,TH 12:45-1:45pm,CH 12:00-1:00pm,WIN 2:30-3:30pm,SHS 2:00-3:00pm,CS 1:20-3:30pm,SL 1:00-2"&amp;":00pm,PTK 9:00-10:00am,TK Fri 11:30-12:30pm,TK Wed 12:20-1:20pm"</formula1>
    </dataValidation>
    <dataValidation type="list" allowBlank="1" sqref="J2:J1252">
      <formula1>"Digital Animation,Mobile Coding,Creative Computing,Coding and Algorithm,Physical Computing,Game Development,HCI and Machine Learning,Embedded System,Mobile Apps Development,3D Design for AR and VR,IOT Control with ESP32,Database and API with App Inventor,"&amp;"AI with Python"</formula1>
    </dataValidation>
    <dataValidation type="list" allowBlank="1" sqref="L2:L1252">
      <formula1>"Account,Attendance,Changing Course,Changing Timeslot,Changing Mentor,Deactivation,Discipline,Electronic/Accesories,Email Issues,Laptop,New Student,Project,Techincal,Parents Inquiry,Arduino,Update Needed"</formula1>
    </dataValidation>
    <dataValidation type="custom" allowBlank="1" showDropDown="1" sqref="I2:I1252">
      <formula1>OR(NOT(ISERROR(DATEVALUE(I2))), AND(ISNUMBER(I2), LEFT(CELL("format", I2))="D"))</formula1>
    </dataValidation>
    <dataValidation type="list" allowBlank="1" sqref="G2:G1252">
      <formula1>"Veritas,SJK(C) Chung Hua,SJK(C) Chung Sing,SJK(C) Tung Hua,SJK(C) Su Lai,SMK Sacred Heart,Woodlands,Pusat Tuisyen Kampus,SJK(C) Thai Kwang"</formula1>
    </dataValidation>
    <dataValidation type="custom" allowBlank="1" showDropDown="1" sqref="A2:A1252 M2:M1252">
      <formula1>AND(ISNUMBER(A2),(NOT(OR(NOT(ISERROR(DATEVALUE(A2))), AND(ISNUMBER(A2), LEFT(CELL("format", A2))="D")))))</formula1>
    </dataValidation>
    <dataValidation type="list" allowBlank="1" sqref="C2:C1252">
      <formula1>"Active,Suspended,Inactive"</formula1>
    </dataValidation>
    <dataValidation type="list" allowBlank="1" sqref="H2:H1252">
      <formula1>"Lam,Caleb,Chuan,David,Enouch,Evelyn,Mandy,Kerry,Damian,Max"</formula1>
    </dataValidation>
    <dataValidation allowBlank="1" showDropDown="1" sqref="B2:B1252"/>
  </dataValidations>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5" width="20.0"/>
  </cols>
  <sheetData>
    <row r="1" ht="14.25" hidden="1" customHeight="1">
      <c r="A1" s="5" t="str">
        <f>IFERROR(__xludf.DUMMYFUNCTION("IMPORTRANGE(""https://docs.google.com/spreadsheets/d/1M-AMmjvFdeyUY8R05cLsAzA8EFTTNWQbDnacxXDTUb8/edit?usp=sharing"", ""Replacement!A:Z"")"),"")</f>
        <v/>
      </c>
      <c r="B1" s="5"/>
      <c r="C1" s="5"/>
      <c r="D1" s="5"/>
      <c r="E1" s="21"/>
      <c r="F1" s="4"/>
      <c r="G1" s="4"/>
      <c r="H1" s="4"/>
      <c r="I1" s="4"/>
      <c r="J1" s="4"/>
      <c r="K1" s="4"/>
      <c r="L1" s="4"/>
      <c r="M1" s="4"/>
      <c r="N1" s="4"/>
      <c r="O1" s="4"/>
      <c r="P1" s="4"/>
      <c r="Q1" s="4"/>
      <c r="R1" s="4"/>
      <c r="S1" s="4"/>
      <c r="T1" s="4"/>
      <c r="U1" s="4"/>
      <c r="V1" s="4"/>
      <c r="W1" s="4"/>
      <c r="X1" s="4"/>
      <c r="Y1" s="4"/>
    </row>
    <row r="2" ht="14.25" hidden="1" customHeight="1">
      <c r="A2" s="5"/>
      <c r="B2" s="5"/>
      <c r="C2" s="5"/>
      <c r="D2" s="5"/>
      <c r="E2" s="4"/>
      <c r="F2" s="4"/>
      <c r="G2" s="4"/>
      <c r="H2" s="4"/>
      <c r="I2" s="4"/>
      <c r="J2" s="4"/>
      <c r="K2" s="4"/>
      <c r="L2" s="4"/>
      <c r="M2" s="4"/>
      <c r="N2" s="4"/>
      <c r="O2" s="4"/>
      <c r="P2" s="4"/>
      <c r="Q2" s="4"/>
      <c r="R2" s="4"/>
      <c r="S2" s="4"/>
      <c r="T2" s="4"/>
      <c r="U2" s="4"/>
      <c r="V2" s="4"/>
      <c r="W2" s="4"/>
      <c r="X2" s="4"/>
      <c r="Y2" s="4"/>
    </row>
    <row r="3" ht="14.25" hidden="1" customHeight="1">
      <c r="A3" s="5"/>
      <c r="B3" s="5"/>
      <c r="C3" s="5"/>
      <c r="D3" s="5"/>
      <c r="E3" s="4"/>
      <c r="F3" s="4"/>
      <c r="G3" s="4"/>
      <c r="H3" s="4"/>
      <c r="I3" s="4"/>
      <c r="J3" s="4"/>
      <c r="K3" s="4"/>
      <c r="L3" s="4"/>
      <c r="M3" s="4"/>
      <c r="N3" s="4"/>
      <c r="O3" s="4"/>
      <c r="P3" s="4"/>
      <c r="Q3" s="4"/>
      <c r="R3" s="4"/>
      <c r="S3" s="4"/>
      <c r="T3" s="4"/>
      <c r="U3" s="4"/>
      <c r="V3" s="4"/>
      <c r="W3" s="4"/>
      <c r="X3" s="4"/>
      <c r="Y3" s="4"/>
    </row>
    <row r="4" ht="14.25" customHeight="1">
      <c r="A4" s="114" t="str">
        <f>IFERROR(__xludf.DUMMYFUNCTION("""COMPUTED_VALUE"""),"Student Name")</f>
        <v>Student Name</v>
      </c>
      <c r="B4" s="114" t="str">
        <f>IFERROR(__xludf.DUMMYFUNCTION("""COMPUTED_VALUE"""),"Replacement Date")</f>
        <v>Replacement Date</v>
      </c>
      <c r="C4" s="114" t="str">
        <f>IFERROR(__xludf.DUMMYFUNCTION("""COMPUTED_VALUE"""),"Time Slot (for Saturdays)")</f>
        <v>Time Slot (for Saturdays)</v>
      </c>
      <c r="D4" s="114" t="str">
        <f>IFERROR(__xludf.DUMMYFUNCTION("""COMPUTED_VALUE"""),"Email")</f>
        <v>Email</v>
      </c>
      <c r="E4" s="115" t="str">
        <f>IFERROR(__xludf.DUMMYFUNCTION("""COMPUTED_VALUE"""),"Submission Timestamp")</f>
        <v>Submission Timestamp</v>
      </c>
      <c r="F4" s="4"/>
      <c r="G4" s="4"/>
      <c r="H4" s="4"/>
      <c r="I4" s="4"/>
      <c r="J4" s="4"/>
      <c r="K4" s="4"/>
      <c r="L4" s="4"/>
      <c r="M4" s="4"/>
      <c r="N4" s="4"/>
      <c r="O4" s="4"/>
      <c r="P4" s="4"/>
      <c r="Q4" s="4"/>
      <c r="R4" s="4"/>
      <c r="S4" s="4"/>
      <c r="T4" s="4"/>
      <c r="U4" s="4"/>
      <c r="V4" s="4"/>
      <c r="W4" s="4"/>
      <c r="X4" s="4"/>
      <c r="Y4" s="4"/>
    </row>
    <row r="5" ht="14.25" customHeight="1">
      <c r="A5" s="4" t="str">
        <f>IFERROR(__xludf.DUMMYFUNCTION("""COMPUTED_VALUE"""),"Eileen Wong Hui Qing")</f>
        <v>Eileen Wong Hui Qing</v>
      </c>
      <c r="B5" s="116">
        <f>IFERROR(__xludf.DUMMYFUNCTION("""COMPUTED_VALUE"""),46029.0)</f>
        <v>46029</v>
      </c>
      <c r="C5" s="4"/>
      <c r="D5" s="4" t="str">
        <f>IFERROR(__xludf.DUMMYFUNCTION("""COMPUTED_VALUE"""),"paksien79@yahoo.com")</f>
        <v>paksien79@yahoo.com</v>
      </c>
      <c r="E5" s="117">
        <f>IFERROR(__xludf.DUMMYFUNCTION("""COMPUTED_VALUE"""),46028.902648703704)</f>
        <v>46028.90265</v>
      </c>
      <c r="F5" s="4"/>
      <c r="G5" s="4"/>
      <c r="H5" s="4"/>
      <c r="I5" s="4"/>
      <c r="J5" s="4"/>
      <c r="K5" s="4"/>
      <c r="L5" s="4"/>
      <c r="M5" s="4"/>
      <c r="N5" s="4"/>
      <c r="O5" s="4"/>
      <c r="P5" s="4"/>
      <c r="Q5" s="4"/>
      <c r="R5" s="4"/>
      <c r="S5" s="4"/>
      <c r="T5" s="4"/>
      <c r="U5" s="4"/>
      <c r="V5" s="4"/>
      <c r="W5" s="4"/>
      <c r="X5" s="4"/>
      <c r="Y5" s="4"/>
    </row>
    <row r="6" ht="14.25" customHeight="1">
      <c r="A6" s="4" t="str">
        <f>IFERROR(__xludf.DUMMYFUNCTION("""COMPUTED_VALUE"""),"Eunice Wong Shi Qing")</f>
        <v>Eunice Wong Shi Qing</v>
      </c>
      <c r="B6" s="116">
        <f>IFERROR(__xludf.DUMMYFUNCTION("""COMPUTED_VALUE"""),46029.0)</f>
        <v>46029</v>
      </c>
      <c r="C6" s="4"/>
      <c r="D6" s="4" t="str">
        <f>IFERROR(__xludf.DUMMYFUNCTION("""COMPUTED_VALUE"""),"paksien79@yahoo.com")</f>
        <v>paksien79@yahoo.com</v>
      </c>
      <c r="E6" s="117">
        <f>IFERROR(__xludf.DUMMYFUNCTION("""COMPUTED_VALUE"""),46028.902684479166)</f>
        <v>46028.90268</v>
      </c>
      <c r="F6" s="4"/>
      <c r="G6" s="4"/>
      <c r="H6" s="4"/>
      <c r="I6" s="4"/>
      <c r="J6" s="4"/>
      <c r="K6" s="4"/>
      <c r="L6" s="4"/>
      <c r="M6" s="4"/>
      <c r="N6" s="4"/>
      <c r="O6" s="4"/>
      <c r="P6" s="4"/>
      <c r="Q6" s="4"/>
      <c r="R6" s="4"/>
      <c r="S6" s="4"/>
      <c r="T6" s="4"/>
      <c r="U6" s="4"/>
      <c r="V6" s="4"/>
      <c r="W6" s="4"/>
      <c r="X6" s="4"/>
      <c r="Y6" s="4"/>
    </row>
    <row r="7" ht="14.25" customHeight="1">
      <c r="A7" s="4" t="str">
        <f>IFERROR(__xludf.DUMMYFUNCTION("""COMPUTED_VALUE"""),"Ryan Sia Rui Eng")</f>
        <v>Ryan Sia Rui Eng</v>
      </c>
      <c r="B7" s="116">
        <f>IFERROR(__xludf.DUMMYFUNCTION("""COMPUTED_VALUE"""),46032.0)</f>
        <v>46032</v>
      </c>
      <c r="C7" s="4" t="str">
        <f>IFERROR(__xludf.DUMMYFUNCTION("""COMPUTED_VALUE"""),"10am - 11am")</f>
        <v>10am - 11am</v>
      </c>
      <c r="D7" s="4" t="str">
        <f>IFERROR(__xludf.DUMMYFUNCTION("""COMPUTED_VALUE"""),"mlyii@hotmail.com")</f>
        <v>mlyii@hotmail.com</v>
      </c>
      <c r="E7" s="117">
        <f>IFERROR(__xludf.DUMMYFUNCTION("""COMPUTED_VALUE"""),46031.834884571756)</f>
        <v>46031.83488</v>
      </c>
      <c r="F7" s="4"/>
      <c r="G7" s="4"/>
      <c r="H7" s="4"/>
      <c r="I7" s="4"/>
      <c r="J7" s="4"/>
      <c r="K7" s="4"/>
      <c r="L7" s="4"/>
      <c r="M7" s="4"/>
      <c r="N7" s="4"/>
      <c r="O7" s="4"/>
      <c r="P7" s="4"/>
      <c r="Q7" s="4"/>
      <c r="R7" s="4"/>
      <c r="S7" s="4"/>
      <c r="T7" s="4"/>
      <c r="U7" s="4"/>
      <c r="V7" s="4"/>
      <c r="W7" s="4"/>
      <c r="X7" s="4"/>
      <c r="Y7" s="4"/>
    </row>
    <row r="8" ht="14.25" customHeight="1">
      <c r="A8" s="4" t="str">
        <f>IFERROR(__xludf.DUMMYFUNCTION("""COMPUTED_VALUE"""),"Ryan Sia Rui Eng")</f>
        <v>Ryan Sia Rui Eng</v>
      </c>
      <c r="B8" s="116">
        <f>IFERROR(__xludf.DUMMYFUNCTION("""COMPUTED_VALUE"""),46032.0)</f>
        <v>46032</v>
      </c>
      <c r="C8" s="4" t="str">
        <f>IFERROR(__xludf.DUMMYFUNCTION("""COMPUTED_VALUE"""),"11am - 12pm")</f>
        <v>11am - 12pm</v>
      </c>
      <c r="D8" s="4" t="str">
        <f>IFERROR(__xludf.DUMMYFUNCTION("""COMPUTED_VALUE"""),"mlyii@hotmail.com")</f>
        <v>mlyii@hotmail.com</v>
      </c>
      <c r="E8" s="117">
        <f>IFERROR(__xludf.DUMMYFUNCTION("""COMPUTED_VALUE"""),46030.596207106486)</f>
        <v>46030.59621</v>
      </c>
      <c r="F8" s="4"/>
      <c r="G8" s="4"/>
      <c r="H8" s="4"/>
      <c r="I8" s="4"/>
      <c r="J8" s="4"/>
      <c r="K8" s="4"/>
      <c r="L8" s="4"/>
      <c r="M8" s="4"/>
      <c r="N8" s="4"/>
      <c r="O8" s="4"/>
      <c r="P8" s="4"/>
      <c r="Q8" s="4"/>
      <c r="R8" s="4"/>
      <c r="S8" s="4"/>
      <c r="T8" s="4"/>
      <c r="U8" s="4"/>
      <c r="V8" s="4"/>
      <c r="W8" s="4"/>
      <c r="X8" s="4"/>
      <c r="Y8" s="4"/>
    </row>
    <row r="9" ht="14.25" customHeight="1">
      <c r="A9" s="4" t="str">
        <f>IFERROR(__xludf.DUMMYFUNCTION("""COMPUTED_VALUE"""),"Noelle Wong Jing Yan")</f>
        <v>Noelle Wong Jing Yan</v>
      </c>
      <c r="B9" s="116">
        <f>IFERROR(__xludf.DUMMYFUNCTION("""COMPUTED_VALUE"""),46032.0)</f>
        <v>46032</v>
      </c>
      <c r="C9" s="4" t="str">
        <f>IFERROR(__xludf.DUMMYFUNCTION("""COMPUTED_VALUE"""),"2pm - 3pm")</f>
        <v>2pm - 3pm</v>
      </c>
      <c r="D9" s="4" t="str">
        <f>IFERROR(__xludf.DUMMYFUNCTION("""COMPUTED_VALUE"""),"elizabeth_ncf@yahoo.com")</f>
        <v>elizabeth_ncf@yahoo.com</v>
      </c>
      <c r="E9" s="117">
        <f>IFERROR(__xludf.DUMMYFUNCTION("""COMPUTED_VALUE"""),46030.62645577546)</f>
        <v>46030.62646</v>
      </c>
      <c r="F9" s="4"/>
      <c r="G9" s="4"/>
      <c r="H9" s="4"/>
      <c r="I9" s="4"/>
      <c r="J9" s="4"/>
      <c r="K9" s="4"/>
      <c r="L9" s="4"/>
      <c r="M9" s="4"/>
      <c r="N9" s="4"/>
      <c r="O9" s="4"/>
      <c r="P9" s="4"/>
      <c r="Q9" s="4"/>
      <c r="R9" s="4"/>
      <c r="S9" s="4"/>
      <c r="T9" s="4"/>
      <c r="U9" s="4"/>
      <c r="V9" s="4"/>
      <c r="W9" s="4"/>
      <c r="X9" s="4"/>
      <c r="Y9" s="4"/>
    </row>
    <row r="10" ht="14.25" customHeight="1">
      <c r="A10" s="4" t="str">
        <f>IFERROR(__xludf.DUMMYFUNCTION("""COMPUTED_VALUE"""),"Faye Wong Jing tong")</f>
        <v>Faye Wong Jing tong</v>
      </c>
      <c r="B10" s="116">
        <f>IFERROR(__xludf.DUMMYFUNCTION("""COMPUTED_VALUE"""),46032.0)</f>
        <v>46032</v>
      </c>
      <c r="C10" s="4" t="str">
        <f>IFERROR(__xludf.DUMMYFUNCTION("""COMPUTED_VALUE"""),"2pm - 3pm")</f>
        <v>2pm - 3pm</v>
      </c>
      <c r="D10" s="4" t="str">
        <f>IFERROR(__xludf.DUMMYFUNCTION("""COMPUTED_VALUE"""),"elizabeth_ncf@yahoo.com")</f>
        <v>elizabeth_ncf@yahoo.com</v>
      </c>
      <c r="E10" s="117">
        <f>IFERROR(__xludf.DUMMYFUNCTION("""COMPUTED_VALUE"""),46030.626518634264)</f>
        <v>46030.62652</v>
      </c>
      <c r="F10" s="4"/>
      <c r="G10" s="4"/>
      <c r="H10" s="4"/>
      <c r="I10" s="4"/>
      <c r="J10" s="4"/>
      <c r="K10" s="4"/>
      <c r="L10" s="4"/>
      <c r="M10" s="4"/>
      <c r="N10" s="4"/>
      <c r="O10" s="4"/>
      <c r="P10" s="4"/>
      <c r="Q10" s="4"/>
      <c r="R10" s="4"/>
      <c r="S10" s="4"/>
      <c r="T10" s="4"/>
      <c r="U10" s="4"/>
      <c r="V10" s="4"/>
      <c r="W10" s="4"/>
      <c r="X10" s="4"/>
      <c r="Y10" s="4"/>
    </row>
    <row r="11" ht="14.25" customHeight="1">
      <c r="A11" s="4" t="str">
        <f>IFERROR(__xludf.DUMMYFUNCTION("""COMPUTED_VALUE"""),"Amos Wong Jun Ren")</f>
        <v>Amos Wong Jun Ren</v>
      </c>
      <c r="B11" s="116">
        <f>IFERROR(__xludf.DUMMYFUNCTION("""COMPUTED_VALUE"""),46032.0)</f>
        <v>46032</v>
      </c>
      <c r="C11" s="4" t="str">
        <f>IFERROR(__xludf.DUMMYFUNCTION("""COMPUTED_VALUE"""),"2pm - 3pm")</f>
        <v>2pm - 3pm</v>
      </c>
      <c r="D11" s="4" t="str">
        <f>IFERROR(__xludf.DUMMYFUNCTION("""COMPUTED_VALUE"""),"elizabeth_ncf@yahoo.com")</f>
        <v>elizabeth_ncf@yahoo.com</v>
      </c>
      <c r="E11" s="117">
        <f>IFERROR(__xludf.DUMMYFUNCTION("""COMPUTED_VALUE"""),46030.62657908565)</f>
        <v>46030.62658</v>
      </c>
      <c r="F11" s="4"/>
      <c r="G11" s="4"/>
      <c r="H11" s="4"/>
      <c r="I11" s="4"/>
      <c r="J11" s="4"/>
      <c r="K11" s="4"/>
      <c r="L11" s="4"/>
      <c r="M11" s="4"/>
      <c r="N11" s="4"/>
      <c r="O11" s="4"/>
      <c r="P11" s="4"/>
      <c r="Q11" s="4"/>
      <c r="R11" s="4"/>
      <c r="S11" s="4"/>
      <c r="T11" s="4"/>
      <c r="U11" s="4"/>
      <c r="V11" s="4"/>
      <c r="W11" s="4"/>
      <c r="X11" s="4"/>
      <c r="Y11" s="4"/>
    </row>
    <row r="12" ht="14.25" customHeight="1">
      <c r="A12" s="4" t="str">
        <f>IFERROR(__xludf.DUMMYFUNCTION("""COMPUTED_VALUE"""),"Evonne Cheng Xin Ning")</f>
        <v>Evonne Cheng Xin Ning</v>
      </c>
      <c r="B12" s="116">
        <f>IFERROR(__xludf.DUMMYFUNCTION("""COMPUTED_VALUE"""),46032.0)</f>
        <v>46032</v>
      </c>
      <c r="C12" s="4" t="str">
        <f>IFERROR(__xludf.DUMMYFUNCTION("""COMPUTED_VALUE"""),"2pm - 3pm")</f>
        <v>2pm - 3pm</v>
      </c>
      <c r="D12" s="4" t="str">
        <f>IFERROR(__xludf.DUMMYFUNCTION("""COMPUTED_VALUE"""),"cxz526@gmail.com")</f>
        <v>cxz526@gmail.com</v>
      </c>
      <c r="E12" s="117">
        <f>IFERROR(__xludf.DUMMYFUNCTION("""COMPUTED_VALUE"""),46032.51074587963)</f>
        <v>46032.51075</v>
      </c>
      <c r="F12" s="4"/>
      <c r="G12" s="4"/>
      <c r="H12" s="4"/>
      <c r="I12" s="4"/>
      <c r="J12" s="4"/>
      <c r="K12" s="4"/>
      <c r="L12" s="4"/>
      <c r="M12" s="4"/>
      <c r="N12" s="4"/>
      <c r="O12" s="4"/>
      <c r="P12" s="4"/>
      <c r="Q12" s="4"/>
      <c r="R12" s="4"/>
      <c r="S12" s="4"/>
      <c r="T12" s="4"/>
      <c r="U12" s="4"/>
      <c r="V12" s="4"/>
      <c r="W12" s="4"/>
      <c r="X12" s="4"/>
      <c r="Y12" s="4"/>
    </row>
    <row r="13" ht="14.25" customHeight="1">
      <c r="A13" s="4" t="str">
        <f>IFERROR(__xludf.DUMMYFUNCTION("""COMPUTED_VALUE"""),"Jerald Wong Xiang Zhe")</f>
        <v>Jerald Wong Xiang Zhe</v>
      </c>
      <c r="B13" s="116">
        <f>IFERROR(__xludf.DUMMYFUNCTION("""COMPUTED_VALUE"""),46032.0)</f>
        <v>46032</v>
      </c>
      <c r="C13" s="4" t="str">
        <f>IFERROR(__xludf.DUMMYFUNCTION("""COMPUTED_VALUE"""),"3pm - 4pm")</f>
        <v>3pm - 4pm</v>
      </c>
      <c r="D13" s="4" t="str">
        <f>IFERROR(__xludf.DUMMYFUNCTION("""COMPUTED_VALUE"""),"allisonlcc85@gmail.com")</f>
        <v>allisonlcc85@gmail.com</v>
      </c>
      <c r="E13" s="117">
        <f>IFERROR(__xludf.DUMMYFUNCTION("""COMPUTED_VALUE"""),46030.61846731482)</f>
        <v>46030.61847</v>
      </c>
      <c r="F13" s="4"/>
      <c r="G13" s="4"/>
      <c r="H13" s="4"/>
      <c r="I13" s="4"/>
      <c r="J13" s="4"/>
      <c r="K13" s="4"/>
      <c r="L13" s="4"/>
      <c r="M13" s="4"/>
      <c r="N13" s="4"/>
      <c r="O13" s="4"/>
      <c r="P13" s="4"/>
      <c r="Q13" s="4"/>
      <c r="R13" s="4"/>
      <c r="S13" s="4"/>
      <c r="T13" s="4"/>
      <c r="U13" s="4"/>
      <c r="V13" s="4"/>
      <c r="W13" s="4"/>
      <c r="X13" s="4"/>
      <c r="Y13" s="4"/>
    </row>
    <row r="14" ht="14.25" customHeight="1">
      <c r="A14" s="4" t="str">
        <f>IFERROR(__xludf.DUMMYFUNCTION("""COMPUTED_VALUE"""),"Ryan Wong Bak Chen")</f>
        <v>Ryan Wong Bak Chen</v>
      </c>
      <c r="B14" s="116">
        <f>IFERROR(__xludf.DUMMYFUNCTION("""COMPUTED_VALUE"""),46032.0)</f>
        <v>46032</v>
      </c>
      <c r="C14" s="4" t="str">
        <f>IFERROR(__xludf.DUMMYFUNCTION("""COMPUTED_VALUE"""),"3pm - 4pm")</f>
        <v>3pm - 4pm</v>
      </c>
      <c r="D14" s="4" t="str">
        <f>IFERROR(__xludf.DUMMYFUNCTION("""COMPUTED_VALUE"""),"maryslloh@gmail.com")</f>
        <v>maryslloh@gmail.com</v>
      </c>
      <c r="E14" s="117">
        <f>IFERROR(__xludf.DUMMYFUNCTION("""COMPUTED_VALUE"""),46031.92997453704)</f>
        <v>46031.92997</v>
      </c>
      <c r="F14" s="4"/>
      <c r="G14" s="4"/>
      <c r="H14" s="4"/>
      <c r="I14" s="4"/>
      <c r="J14" s="4"/>
      <c r="K14" s="4"/>
      <c r="L14" s="4"/>
      <c r="M14" s="4"/>
      <c r="N14" s="4"/>
      <c r="O14" s="4"/>
      <c r="P14" s="4"/>
      <c r="Q14" s="4"/>
      <c r="R14" s="4"/>
      <c r="S14" s="4"/>
      <c r="T14" s="4"/>
      <c r="U14" s="4"/>
      <c r="V14" s="4"/>
      <c r="W14" s="4"/>
      <c r="X14" s="4"/>
      <c r="Y14" s="4"/>
    </row>
    <row r="15" ht="14.25" customHeight="1">
      <c r="A15" s="4" t="str">
        <f>IFERROR(__xludf.DUMMYFUNCTION("""COMPUTED_VALUE"""),"Gladys Wong Jing Wen")</f>
        <v>Gladys Wong Jing Wen</v>
      </c>
      <c r="B15" s="116">
        <f>IFERROR(__xludf.DUMMYFUNCTION("""COMPUTED_VALUE"""),46032.0)</f>
        <v>46032</v>
      </c>
      <c r="C15" s="4" t="str">
        <f>IFERROR(__xludf.DUMMYFUNCTION("""COMPUTED_VALUE"""),"3pm - 4pm")</f>
        <v>3pm - 4pm</v>
      </c>
      <c r="D15" s="4" t="str">
        <f>IFERROR(__xludf.DUMMYFUNCTION("""COMPUTED_VALUE"""),"maryslloh@gmail.com")</f>
        <v>maryslloh@gmail.com</v>
      </c>
      <c r="E15" s="117">
        <f>IFERROR(__xludf.DUMMYFUNCTION("""COMPUTED_VALUE"""),46031.93001763889)</f>
        <v>46031.93002</v>
      </c>
      <c r="F15" s="4"/>
      <c r="G15" s="4"/>
      <c r="H15" s="4"/>
      <c r="I15" s="4"/>
      <c r="J15" s="4"/>
      <c r="K15" s="4"/>
      <c r="L15" s="4"/>
      <c r="M15" s="4"/>
      <c r="N15" s="4"/>
      <c r="O15" s="4"/>
      <c r="P15" s="4"/>
      <c r="Q15" s="4"/>
      <c r="R15" s="4"/>
      <c r="S15" s="4"/>
      <c r="T15" s="4"/>
      <c r="U15" s="4"/>
      <c r="V15" s="4"/>
      <c r="W15" s="4"/>
      <c r="X15" s="4"/>
      <c r="Y15" s="4"/>
    </row>
    <row r="16" ht="14.25" customHeight="1">
      <c r="A16" s="4" t="str">
        <f>IFERROR(__xludf.DUMMYFUNCTION("""COMPUTED_VALUE"""),"Jonathan Lee Cheng Guan")</f>
        <v>Jonathan Lee Cheng Guan</v>
      </c>
      <c r="B16" s="116">
        <f>IFERROR(__xludf.DUMMYFUNCTION("""COMPUTED_VALUE"""),46032.0)</f>
        <v>46032</v>
      </c>
      <c r="C16" s="4" t="str">
        <f>IFERROR(__xludf.DUMMYFUNCTION("""COMPUTED_VALUE"""),"3pm - 4pm")</f>
        <v>3pm - 4pm</v>
      </c>
      <c r="D16" s="4" t="str">
        <f>IFERROR(__xludf.DUMMYFUNCTION("""COMPUTED_VALUE"""),"connie.ling@outlook.com")</f>
        <v>connie.ling@outlook.com</v>
      </c>
      <c r="E16" s="117">
        <f>IFERROR(__xludf.DUMMYFUNCTION("""COMPUTED_VALUE"""),46032.508375335645)</f>
        <v>46032.50838</v>
      </c>
      <c r="F16" s="4"/>
      <c r="G16" s="4"/>
      <c r="H16" s="4"/>
      <c r="I16" s="4"/>
      <c r="J16" s="4"/>
      <c r="K16" s="4"/>
      <c r="L16" s="4"/>
      <c r="M16" s="4"/>
      <c r="N16" s="4"/>
      <c r="O16" s="4"/>
      <c r="P16" s="4"/>
      <c r="Q16" s="4"/>
      <c r="R16" s="4"/>
      <c r="S16" s="4"/>
      <c r="T16" s="4"/>
      <c r="U16" s="4"/>
      <c r="V16" s="4"/>
      <c r="W16" s="4"/>
      <c r="X16" s="4"/>
      <c r="Y16" s="4"/>
    </row>
    <row r="17" ht="14.25" customHeight="1">
      <c r="A17" s="4" t="str">
        <f>IFERROR(__xludf.DUMMYFUNCTION("""COMPUTED_VALUE"""),"LUCAS CHIEW WEI HAN")</f>
        <v>LUCAS CHIEW WEI HAN</v>
      </c>
      <c r="B17" s="116">
        <f>IFERROR(__xludf.DUMMYFUNCTION("""COMPUTED_VALUE"""),46032.0)</f>
        <v>46032</v>
      </c>
      <c r="C17" s="4" t="str">
        <f>IFERROR(__xludf.DUMMYFUNCTION("""COMPUTED_VALUE"""),"4pm - 5pm")</f>
        <v>4pm - 5pm</v>
      </c>
      <c r="D17" s="4" t="str">
        <f>IFERROR(__xludf.DUMMYFUNCTION("""COMPUTED_VALUE"""),"thomaschiew88@gmail.com")</f>
        <v>thomaschiew88@gmail.com</v>
      </c>
      <c r="E17" s="117">
        <f>IFERROR(__xludf.DUMMYFUNCTION("""COMPUTED_VALUE"""),46024.86377545139)</f>
        <v>46024.86378</v>
      </c>
      <c r="F17" s="4"/>
      <c r="G17" s="4"/>
      <c r="H17" s="4"/>
      <c r="I17" s="4"/>
      <c r="J17" s="4"/>
      <c r="K17" s="4"/>
      <c r="L17" s="4"/>
      <c r="M17" s="4"/>
      <c r="N17" s="4"/>
      <c r="O17" s="4"/>
      <c r="P17" s="4"/>
      <c r="Q17" s="4"/>
      <c r="R17" s="4"/>
      <c r="S17" s="4"/>
      <c r="T17" s="4"/>
      <c r="U17" s="4"/>
      <c r="V17" s="4"/>
      <c r="W17" s="4"/>
      <c r="X17" s="4"/>
      <c r="Y17" s="4"/>
    </row>
    <row r="18" ht="14.25" customHeight="1">
      <c r="A18" s="4" t="str">
        <f>IFERROR(__xludf.DUMMYFUNCTION("""COMPUTED_VALUE"""),"KYAN LING")</f>
        <v>KYAN LING</v>
      </c>
      <c r="B18" s="116">
        <f>IFERROR(__xludf.DUMMYFUNCTION("""COMPUTED_VALUE"""),46032.0)</f>
        <v>46032</v>
      </c>
      <c r="C18" s="4" t="str">
        <f>IFERROR(__xludf.DUMMYFUNCTION("""COMPUTED_VALUE"""),"4pm - 5pm")</f>
        <v>4pm - 5pm</v>
      </c>
      <c r="D18" s="4" t="str">
        <f>IFERROR(__xludf.DUMMYFUNCTION("""COMPUTED_VALUE"""),"hiihee@gmail.com")</f>
        <v>hiihee@gmail.com</v>
      </c>
      <c r="E18" s="117">
        <f>IFERROR(__xludf.DUMMYFUNCTION("""COMPUTED_VALUE"""),46032.34020672453)</f>
        <v>46032.34021</v>
      </c>
      <c r="F18" s="4"/>
      <c r="G18" s="4"/>
      <c r="H18" s="4"/>
      <c r="I18" s="4"/>
      <c r="J18" s="4"/>
      <c r="K18" s="4"/>
      <c r="L18" s="4"/>
      <c r="M18" s="4"/>
      <c r="N18" s="4"/>
      <c r="O18" s="4"/>
      <c r="P18" s="4"/>
      <c r="Q18" s="4"/>
      <c r="R18" s="4"/>
      <c r="S18" s="4"/>
      <c r="T18" s="4"/>
      <c r="U18" s="4"/>
      <c r="V18" s="4"/>
      <c r="W18" s="4"/>
      <c r="X18" s="4"/>
      <c r="Y18" s="4"/>
    </row>
    <row r="19" ht="14.25" customHeight="1">
      <c r="A19" s="4" t="str">
        <f>IFERROR(__xludf.DUMMYFUNCTION("""COMPUTED_VALUE"""),"LUCAS CHIEW WEI HAN")</f>
        <v>LUCAS CHIEW WEI HAN</v>
      </c>
      <c r="B19" s="116">
        <f>IFERROR(__xludf.DUMMYFUNCTION("""COMPUTED_VALUE"""),46032.0)</f>
        <v>46032</v>
      </c>
      <c r="C19" s="4" t="str">
        <f>IFERROR(__xludf.DUMMYFUNCTION("""COMPUTED_VALUE"""),"9am - 10am")</f>
        <v>9am - 10am</v>
      </c>
      <c r="D19" s="4" t="str">
        <f>IFERROR(__xludf.DUMMYFUNCTION("""COMPUTED_VALUE"""),"thomaschiew88@gmail.com")</f>
        <v>thomaschiew88@gmail.com</v>
      </c>
      <c r="E19" s="117">
        <f>IFERROR(__xludf.DUMMYFUNCTION("""COMPUTED_VALUE"""),46024.85757)</f>
        <v>46024.85757</v>
      </c>
      <c r="F19" s="4"/>
      <c r="G19" s="4"/>
      <c r="H19" s="4"/>
      <c r="I19" s="4"/>
      <c r="J19" s="4"/>
      <c r="K19" s="4"/>
      <c r="L19" s="4"/>
      <c r="M19" s="4"/>
      <c r="N19" s="4"/>
      <c r="O19" s="4"/>
      <c r="P19" s="4"/>
      <c r="Q19" s="4"/>
      <c r="R19" s="4"/>
      <c r="S19" s="4"/>
      <c r="T19" s="4"/>
      <c r="U19" s="4"/>
      <c r="V19" s="4"/>
      <c r="W19" s="4"/>
      <c r="X19" s="4"/>
      <c r="Y19" s="4"/>
    </row>
    <row r="20" ht="14.25" customHeight="1">
      <c r="A20" s="4" t="str">
        <f>IFERROR(__xludf.DUMMYFUNCTION("""COMPUTED_VALUE"""),"Daniel Lee Meng Ze")</f>
        <v>Daniel Lee Meng Ze</v>
      </c>
      <c r="B20" s="116">
        <f>IFERROR(__xludf.DUMMYFUNCTION("""COMPUTED_VALUE"""),46032.0)</f>
        <v>46032</v>
      </c>
      <c r="C20" s="4" t="str">
        <f>IFERROR(__xludf.DUMMYFUNCTION("""COMPUTED_VALUE"""),"9am - 10am")</f>
        <v>9am - 10am</v>
      </c>
      <c r="D20" s="4" t="str">
        <f>IFERROR(__xludf.DUMMYFUNCTION("""COMPUTED_VALUE"""),"philipda881218@gmail.com")</f>
        <v>philipda881218@gmail.com</v>
      </c>
      <c r="E20" s="117">
        <f>IFERROR(__xludf.DUMMYFUNCTION("""COMPUTED_VALUE"""),46030.62237728009)</f>
        <v>46030.62238</v>
      </c>
      <c r="F20" s="4"/>
      <c r="G20" s="4"/>
      <c r="H20" s="4"/>
      <c r="I20" s="4"/>
      <c r="J20" s="4"/>
      <c r="K20" s="4"/>
      <c r="L20" s="4"/>
      <c r="M20" s="4"/>
      <c r="N20" s="4"/>
      <c r="O20" s="4"/>
      <c r="P20" s="4"/>
      <c r="Q20" s="4"/>
      <c r="R20" s="4"/>
      <c r="S20" s="4"/>
      <c r="T20" s="4"/>
      <c r="U20" s="4"/>
      <c r="V20" s="4"/>
      <c r="W20" s="4"/>
      <c r="X20" s="4"/>
      <c r="Y20" s="4"/>
    </row>
    <row r="21" ht="14.25" customHeight="1">
      <c r="A21" s="4" t="str">
        <f>IFERROR(__xludf.DUMMYFUNCTION("""COMPUTED_VALUE"""),"Osmund Tiong")</f>
        <v>Osmund Tiong</v>
      </c>
      <c r="B21" s="116">
        <f>IFERROR(__xludf.DUMMYFUNCTION("""COMPUTED_VALUE"""),46032.0)</f>
        <v>46032</v>
      </c>
      <c r="C21" s="4" t="str">
        <f>IFERROR(__xludf.DUMMYFUNCTION("""COMPUTED_VALUE"""),"9am - 10am")</f>
        <v>9am - 10am</v>
      </c>
      <c r="D21" s="4" t="str">
        <f>IFERROR(__xludf.DUMMYFUNCTION("""COMPUTED_VALUE"""),"sfkueh@gmail.com")</f>
        <v>sfkueh@gmail.com</v>
      </c>
      <c r="E21" s="117">
        <f>IFERROR(__xludf.DUMMYFUNCTION("""COMPUTED_VALUE"""),46031.5252234838)</f>
        <v>46031.52522</v>
      </c>
      <c r="F21" s="4"/>
      <c r="G21" s="4"/>
      <c r="H21" s="4"/>
      <c r="I21" s="4"/>
      <c r="J21" s="4"/>
      <c r="K21" s="4"/>
      <c r="L21" s="4"/>
      <c r="M21" s="4"/>
      <c r="N21" s="4"/>
      <c r="O21" s="4"/>
      <c r="P21" s="4"/>
      <c r="Q21" s="4"/>
      <c r="R21" s="4"/>
      <c r="S21" s="4"/>
      <c r="T21" s="4"/>
      <c r="U21" s="4"/>
      <c r="V21" s="4"/>
      <c r="W21" s="4"/>
      <c r="X21" s="4"/>
      <c r="Y21" s="4"/>
    </row>
    <row r="22" ht="14.25" customHeight="1">
      <c r="A22" s="4" t="str">
        <f>IFERROR(__xludf.DUMMYFUNCTION("""COMPUTED_VALUE"""),"Nathanael Lee Yi Yang")</f>
        <v>Nathanael Lee Yi Yang</v>
      </c>
      <c r="B22" s="116">
        <f>IFERROR(__xludf.DUMMYFUNCTION("""COMPUTED_VALUE"""),46034.0)</f>
        <v>46034</v>
      </c>
      <c r="C22" s="4"/>
      <c r="D22" s="4" t="str">
        <f>IFERROR(__xludf.DUMMYFUNCTION("""COMPUTED_VALUE"""),"mwting88@gmail.com")</f>
        <v>mwting88@gmail.com</v>
      </c>
      <c r="E22" s="117">
        <f>IFERROR(__xludf.DUMMYFUNCTION("""COMPUTED_VALUE"""),46030.79087060185)</f>
        <v>46030.79087</v>
      </c>
      <c r="F22" s="4"/>
      <c r="G22" s="4"/>
      <c r="H22" s="4"/>
      <c r="I22" s="4"/>
      <c r="J22" s="4"/>
      <c r="K22" s="4"/>
      <c r="L22" s="4"/>
      <c r="M22" s="4"/>
      <c r="N22" s="4"/>
      <c r="O22" s="4"/>
      <c r="P22" s="4"/>
      <c r="Q22" s="4"/>
      <c r="R22" s="4"/>
      <c r="S22" s="4"/>
      <c r="T22" s="4"/>
      <c r="U22" s="4"/>
      <c r="V22" s="4"/>
      <c r="W22" s="4"/>
      <c r="X22" s="4"/>
      <c r="Y22" s="4"/>
    </row>
    <row r="23" ht="14.25" customHeight="1">
      <c r="A23" s="4" t="str">
        <f>IFERROR(__xludf.DUMMYFUNCTION("""COMPUTED_VALUE"""),"Ethan Tan")</f>
        <v>Ethan Tan</v>
      </c>
      <c r="B23" s="116">
        <f>IFERROR(__xludf.DUMMYFUNCTION("""COMPUTED_VALUE"""),46034.0)</f>
        <v>46034</v>
      </c>
      <c r="C23" s="4"/>
      <c r="D23" s="4" t="str">
        <f>IFERROR(__xludf.DUMMYFUNCTION("""COMPUTED_VALUE"""),"grace_eyo@hotmail.com")</f>
        <v>grace_eyo@hotmail.com</v>
      </c>
      <c r="E23" s="117">
        <f>IFERROR(__xludf.DUMMYFUNCTION("""COMPUTED_VALUE"""),46034.49435663194)</f>
        <v>46034.49436</v>
      </c>
      <c r="F23" s="4"/>
      <c r="G23" s="4"/>
      <c r="H23" s="4"/>
      <c r="I23" s="4"/>
      <c r="J23" s="4"/>
      <c r="K23" s="4"/>
      <c r="L23" s="4"/>
      <c r="M23" s="4"/>
      <c r="N23" s="4"/>
      <c r="O23" s="4"/>
      <c r="P23" s="4"/>
      <c r="Q23" s="4"/>
      <c r="R23" s="4"/>
      <c r="S23" s="4"/>
      <c r="T23" s="4"/>
      <c r="U23" s="4"/>
      <c r="V23" s="4"/>
      <c r="W23" s="4"/>
      <c r="X23" s="4"/>
      <c r="Y23" s="4"/>
    </row>
    <row r="24" ht="14.25" customHeight="1">
      <c r="A24" s="4" t="str">
        <f>IFERROR(__xludf.DUMMYFUNCTION("""COMPUTED_VALUE"""),"Ethan lau")</f>
        <v>Ethan lau</v>
      </c>
      <c r="B24" s="116">
        <f>IFERROR(__xludf.DUMMYFUNCTION("""COMPUTED_VALUE"""),46036.0)</f>
        <v>46036</v>
      </c>
      <c r="C24" s="4"/>
      <c r="D24" s="4" t="str">
        <f>IFERROR(__xludf.DUMMYFUNCTION("""COMPUTED_VALUE"""),"czeung_wong@yahoo.com")</f>
        <v>czeung_wong@yahoo.com</v>
      </c>
      <c r="E24" s="117">
        <f>IFERROR(__xludf.DUMMYFUNCTION("""COMPUTED_VALUE"""),46032.529654513884)</f>
        <v>46032.52965</v>
      </c>
      <c r="F24" s="4"/>
      <c r="G24" s="4"/>
      <c r="H24" s="4"/>
      <c r="I24" s="4"/>
      <c r="J24" s="4"/>
      <c r="K24" s="4"/>
      <c r="L24" s="4"/>
      <c r="M24" s="4"/>
      <c r="N24" s="4"/>
      <c r="O24" s="4"/>
      <c r="P24" s="4"/>
      <c r="Q24" s="4"/>
      <c r="R24" s="4"/>
      <c r="S24" s="4"/>
      <c r="T24" s="4"/>
      <c r="U24" s="4"/>
      <c r="V24" s="4"/>
      <c r="W24" s="4"/>
      <c r="X24" s="4"/>
      <c r="Y24" s="4"/>
    </row>
    <row r="25" ht="14.25" customHeight="1">
      <c r="A25" s="4" t="str">
        <f>IFERROR(__xludf.DUMMYFUNCTION("""COMPUTED_VALUE"""),"Kyan Ling")</f>
        <v>Kyan Ling</v>
      </c>
      <c r="B25" s="116">
        <f>IFERROR(__xludf.DUMMYFUNCTION("""COMPUTED_VALUE"""),46036.0)</f>
        <v>46036</v>
      </c>
      <c r="C25" s="4"/>
      <c r="D25" s="4" t="str">
        <f>IFERROR(__xludf.DUMMYFUNCTION("""COMPUTED_VALUE"""),"hiihee@gmail.com")</f>
        <v>hiihee@gmail.com</v>
      </c>
      <c r="E25" s="117">
        <f>IFERROR(__xludf.DUMMYFUNCTION("""COMPUTED_VALUE"""),46034.88843946759)</f>
        <v>46034.88844</v>
      </c>
      <c r="F25" s="4"/>
      <c r="G25" s="4"/>
      <c r="H25" s="4"/>
      <c r="I25" s="4"/>
      <c r="J25" s="4"/>
      <c r="K25" s="4"/>
      <c r="L25" s="4"/>
      <c r="M25" s="4"/>
      <c r="N25" s="4"/>
      <c r="O25" s="4"/>
      <c r="P25" s="4"/>
      <c r="Q25" s="4"/>
      <c r="R25" s="4"/>
      <c r="S25" s="4"/>
      <c r="T25" s="4"/>
      <c r="U25" s="4"/>
      <c r="V25" s="4"/>
      <c r="W25" s="4"/>
      <c r="X25" s="4"/>
      <c r="Y25" s="4"/>
    </row>
    <row r="26" ht="14.25" customHeight="1">
      <c r="A26" s="4" t="str">
        <f>IFERROR(__xludf.DUMMYFUNCTION("""COMPUTED_VALUE"""),"Jayden Ling Xian Yang")</f>
        <v>Jayden Ling Xian Yang</v>
      </c>
      <c r="B26" s="116">
        <f>IFERROR(__xludf.DUMMYFUNCTION("""COMPUTED_VALUE"""),46039.0)</f>
        <v>46039</v>
      </c>
      <c r="C26" s="4" t="str">
        <f>IFERROR(__xludf.DUMMYFUNCTION("""COMPUTED_VALUE"""),"10am - 11am")</f>
        <v>10am - 11am</v>
      </c>
      <c r="D26" s="4" t="str">
        <f>IFERROR(__xludf.DUMMYFUNCTION("""COMPUTED_VALUE"""),"chiewyenboo@yahoo.com.my")</f>
        <v>chiewyenboo@yahoo.com.my</v>
      </c>
      <c r="E26" s="117">
        <f>IFERROR(__xludf.DUMMYFUNCTION("""COMPUTED_VALUE"""),46031.37363054398)</f>
        <v>46031.37363</v>
      </c>
      <c r="F26" s="4"/>
      <c r="G26" s="4"/>
      <c r="H26" s="4"/>
      <c r="I26" s="4"/>
      <c r="J26" s="4"/>
      <c r="K26" s="4"/>
      <c r="L26" s="4"/>
      <c r="M26" s="4"/>
      <c r="N26" s="4"/>
      <c r="O26" s="4"/>
      <c r="P26" s="4"/>
      <c r="Q26" s="4"/>
      <c r="R26" s="4"/>
      <c r="S26" s="4"/>
      <c r="T26" s="4"/>
      <c r="U26" s="4"/>
      <c r="V26" s="4"/>
      <c r="W26" s="4"/>
      <c r="X26" s="4"/>
      <c r="Y26" s="4"/>
    </row>
    <row r="27" ht="14.25" customHeight="1">
      <c r="A27" s="4" t="str">
        <f>IFERROR(__xludf.DUMMYFUNCTION("""COMPUTED_VALUE"""),"Rochester Lee")</f>
        <v>Rochester Lee</v>
      </c>
      <c r="B27" s="116">
        <f>IFERROR(__xludf.DUMMYFUNCTION("""COMPUTED_VALUE"""),46039.0)</f>
        <v>46039</v>
      </c>
      <c r="C27" s="4" t="str">
        <f>IFERROR(__xludf.DUMMYFUNCTION("""COMPUTED_VALUE"""),"10am - 11am")</f>
        <v>10am - 11am</v>
      </c>
      <c r="D27" s="4" t="str">
        <f>IFERROR(__xludf.DUMMYFUNCTION("""COMPUTED_VALUE"""),"ahchenlovelycat@gmail.com")</f>
        <v>ahchenlovelycat@gmail.com</v>
      </c>
      <c r="E27" s="117">
        <f>IFERROR(__xludf.DUMMYFUNCTION("""COMPUTED_VALUE"""),46037.29546959491)</f>
        <v>46037.29547</v>
      </c>
      <c r="F27" s="4"/>
      <c r="G27" s="4"/>
      <c r="H27" s="4"/>
      <c r="I27" s="4"/>
      <c r="J27" s="4"/>
      <c r="K27" s="4"/>
      <c r="L27" s="4"/>
      <c r="M27" s="4"/>
      <c r="N27" s="4"/>
      <c r="O27" s="4"/>
      <c r="P27" s="4"/>
      <c r="Q27" s="4"/>
      <c r="R27" s="4"/>
      <c r="S27" s="4"/>
      <c r="T27" s="4"/>
      <c r="U27" s="4"/>
      <c r="V27" s="4"/>
      <c r="W27" s="4"/>
      <c r="X27" s="4"/>
      <c r="Y27" s="4"/>
    </row>
    <row r="28" ht="14.25" customHeight="1">
      <c r="A28" s="4" t="str">
        <f>IFERROR(__xludf.DUMMYFUNCTION("""COMPUTED_VALUE"""),"Jerry Yong Ching Hwa")</f>
        <v>Jerry Yong Ching Hwa</v>
      </c>
      <c r="B28" s="116">
        <f>IFERROR(__xludf.DUMMYFUNCTION("""COMPUTED_VALUE"""),46039.0)</f>
        <v>46039</v>
      </c>
      <c r="C28" s="4" t="str">
        <f>IFERROR(__xludf.DUMMYFUNCTION("""COMPUTED_VALUE"""),"10am - 11am")</f>
        <v>10am - 11am</v>
      </c>
      <c r="D28" s="4" t="str">
        <f>IFERROR(__xludf.DUMMYFUNCTION("""COMPUTED_VALUE"""),"sweetjojo1509@yahoo.com")</f>
        <v>sweetjojo1509@yahoo.com</v>
      </c>
      <c r="E28" s="117">
        <f>IFERROR(__xludf.DUMMYFUNCTION("""COMPUTED_VALUE"""),46037.30928282408)</f>
        <v>46037.30928</v>
      </c>
      <c r="F28" s="4"/>
      <c r="G28" s="4"/>
      <c r="H28" s="4"/>
      <c r="I28" s="4"/>
      <c r="J28" s="4"/>
      <c r="K28" s="4"/>
      <c r="L28" s="4"/>
      <c r="M28" s="4"/>
      <c r="N28" s="4"/>
      <c r="O28" s="4"/>
      <c r="P28" s="4"/>
      <c r="Q28" s="4"/>
      <c r="R28" s="4"/>
      <c r="S28" s="4"/>
      <c r="T28" s="4"/>
      <c r="U28" s="4"/>
      <c r="V28" s="4"/>
      <c r="W28" s="4"/>
      <c r="X28" s="4"/>
      <c r="Y28" s="4"/>
    </row>
    <row r="29" ht="14.25" customHeight="1">
      <c r="A29" s="4" t="str">
        <f>IFERROR(__xludf.DUMMYFUNCTION("""COMPUTED_VALUE"""),"LAU JYI XIAN")</f>
        <v>LAU JYI XIAN</v>
      </c>
      <c r="B29" s="116">
        <f>IFERROR(__xludf.DUMMYFUNCTION("""COMPUTED_VALUE"""),46039.0)</f>
        <v>46039</v>
      </c>
      <c r="C29" s="4" t="str">
        <f>IFERROR(__xludf.DUMMYFUNCTION("""COMPUTED_VALUE"""),"11am - 12pm")</f>
        <v>11am - 12pm</v>
      </c>
      <c r="D29" s="4" t="str">
        <f>IFERROR(__xludf.DUMMYFUNCTION("""COMPUTED_VALUE"""),"chiouyilau@yahoo.com")</f>
        <v>chiouyilau@yahoo.com</v>
      </c>
      <c r="E29" s="117">
        <f>IFERROR(__xludf.DUMMYFUNCTION("""COMPUTED_VALUE"""),46038.8506146875)</f>
        <v>46038.85061</v>
      </c>
      <c r="F29" s="4"/>
      <c r="G29" s="4"/>
      <c r="H29" s="4"/>
      <c r="I29" s="4"/>
      <c r="J29" s="4"/>
      <c r="K29" s="4"/>
      <c r="L29" s="4"/>
      <c r="M29" s="4"/>
      <c r="N29" s="4"/>
      <c r="O29" s="4"/>
      <c r="P29" s="4"/>
      <c r="Q29" s="4"/>
      <c r="R29" s="4"/>
      <c r="S29" s="4"/>
      <c r="T29" s="4"/>
      <c r="U29" s="4"/>
      <c r="V29" s="4"/>
      <c r="W29" s="4"/>
      <c r="X29" s="4"/>
      <c r="Y29" s="4"/>
    </row>
    <row r="30" ht="14.25" customHeight="1">
      <c r="A30" s="4" t="str">
        <f>IFERROR(__xludf.DUMMYFUNCTION("""COMPUTED_VALUE"""),"LAU YONG")</f>
        <v>LAU YONG</v>
      </c>
      <c r="B30" s="116">
        <f>IFERROR(__xludf.DUMMYFUNCTION("""COMPUTED_VALUE"""),46039.0)</f>
        <v>46039</v>
      </c>
      <c r="C30" s="4" t="str">
        <f>IFERROR(__xludf.DUMMYFUNCTION("""COMPUTED_VALUE"""),"11am - 12pm")</f>
        <v>11am - 12pm</v>
      </c>
      <c r="D30" s="4" t="str">
        <f>IFERROR(__xludf.DUMMYFUNCTION("""COMPUTED_VALUE"""),"chiouyilau@yahoo.com")</f>
        <v>chiouyilau@yahoo.com</v>
      </c>
      <c r="E30" s="117">
        <f>IFERROR(__xludf.DUMMYFUNCTION("""COMPUTED_VALUE"""),46038.850654131944)</f>
        <v>46038.85065</v>
      </c>
      <c r="F30" s="4"/>
      <c r="G30" s="4"/>
      <c r="H30" s="4"/>
      <c r="I30" s="4"/>
      <c r="J30" s="4"/>
      <c r="K30" s="4"/>
      <c r="L30" s="4"/>
      <c r="M30" s="4"/>
      <c r="N30" s="4"/>
      <c r="O30" s="4"/>
      <c r="P30" s="4"/>
      <c r="Q30" s="4"/>
      <c r="R30" s="4"/>
      <c r="S30" s="4"/>
      <c r="T30" s="4"/>
      <c r="U30" s="4"/>
      <c r="V30" s="4"/>
      <c r="W30" s="4"/>
      <c r="X30" s="4"/>
      <c r="Y30" s="4"/>
    </row>
    <row r="31" ht="14.25" customHeight="1">
      <c r="A31" s="4" t="str">
        <f>IFERROR(__xludf.DUMMYFUNCTION("""COMPUTED_VALUE"""),"Abraham ak Francis Engkala")</f>
        <v>Abraham ak Francis Engkala</v>
      </c>
      <c r="B31" s="116">
        <f>IFERROR(__xludf.DUMMYFUNCTION("""COMPUTED_VALUE"""),46039.0)</f>
        <v>46039</v>
      </c>
      <c r="C31" s="4" t="str">
        <f>IFERROR(__xludf.DUMMYFUNCTION("""COMPUTED_VALUE"""),"9am - 10am")</f>
        <v>9am - 10am</v>
      </c>
      <c r="D31" s="4" t="str">
        <f>IFERROR(__xludf.DUMMYFUNCTION("""COMPUTED_VALUE"""),"BOY007LIS@GMAIL.COM")</f>
        <v>BOY007LIS@GMAIL.COM</v>
      </c>
      <c r="E31" s="117">
        <f>IFERROR(__xludf.DUMMYFUNCTION("""COMPUTED_VALUE"""),46036.22480253472)</f>
        <v>46036.2248</v>
      </c>
      <c r="F31" s="4"/>
      <c r="G31" s="4"/>
      <c r="H31" s="4"/>
      <c r="I31" s="4"/>
      <c r="J31" s="4"/>
      <c r="K31" s="4"/>
      <c r="L31" s="4"/>
      <c r="M31" s="4"/>
      <c r="N31" s="4"/>
      <c r="O31" s="4"/>
      <c r="P31" s="4"/>
      <c r="Q31" s="4"/>
      <c r="R31" s="4"/>
      <c r="S31" s="4"/>
      <c r="T31" s="4"/>
      <c r="U31" s="4"/>
      <c r="V31" s="4"/>
      <c r="W31" s="4"/>
      <c r="X31" s="4"/>
      <c r="Y31" s="4"/>
    </row>
    <row r="32" ht="14.25" customHeight="1">
      <c r="A32" s="4" t="str">
        <f>IFERROR(__xludf.DUMMYFUNCTION("""COMPUTED_VALUE"""),"Rochester Lee")</f>
        <v>Rochester Lee</v>
      </c>
      <c r="B32" s="116">
        <f>IFERROR(__xludf.DUMMYFUNCTION("""COMPUTED_VALUE"""),46039.0)</f>
        <v>46039</v>
      </c>
      <c r="C32" s="4" t="str">
        <f>IFERROR(__xludf.DUMMYFUNCTION("""COMPUTED_VALUE"""),"9am - 10am")</f>
        <v>9am - 10am</v>
      </c>
      <c r="D32" s="4" t="str">
        <f>IFERROR(__xludf.DUMMYFUNCTION("""COMPUTED_VALUE"""),"ahchenlovelycat@gmail.com")</f>
        <v>ahchenlovelycat@gmail.com</v>
      </c>
      <c r="E32" s="117">
        <f>IFERROR(__xludf.DUMMYFUNCTION("""COMPUTED_VALUE"""),46037.29542521991)</f>
        <v>46037.29543</v>
      </c>
      <c r="F32" s="4"/>
      <c r="G32" s="4"/>
      <c r="H32" s="4"/>
      <c r="I32" s="4"/>
      <c r="J32" s="4"/>
      <c r="K32" s="4"/>
      <c r="L32" s="4"/>
      <c r="M32" s="4"/>
      <c r="N32" s="4"/>
      <c r="O32" s="4"/>
      <c r="P32" s="4"/>
      <c r="Q32" s="4"/>
      <c r="R32" s="4"/>
      <c r="S32" s="4"/>
      <c r="T32" s="4"/>
      <c r="U32" s="4"/>
      <c r="V32" s="4"/>
      <c r="W32" s="4"/>
      <c r="X32" s="4"/>
      <c r="Y32" s="4"/>
    </row>
    <row r="33" ht="14.25" customHeight="1">
      <c r="A33" s="4" t="str">
        <f>IFERROR(__xludf.DUMMYFUNCTION("""COMPUTED_VALUE"""),"Jerry Yong Ching Hwa")</f>
        <v>Jerry Yong Ching Hwa</v>
      </c>
      <c r="B33" s="116">
        <f>IFERROR(__xludf.DUMMYFUNCTION("""COMPUTED_VALUE"""),46039.0)</f>
        <v>46039</v>
      </c>
      <c r="C33" s="4" t="str">
        <f>IFERROR(__xludf.DUMMYFUNCTION("""COMPUTED_VALUE"""),"9am - 10am")</f>
        <v>9am - 10am</v>
      </c>
      <c r="D33" s="4" t="str">
        <f>IFERROR(__xludf.DUMMYFUNCTION("""COMPUTED_VALUE"""),"sweetjojo1509@yahoo.com")</f>
        <v>sweetjojo1509@yahoo.com</v>
      </c>
      <c r="E33" s="117">
        <f>IFERROR(__xludf.DUMMYFUNCTION("""COMPUTED_VALUE"""),46037.309242731484)</f>
        <v>46037.30924</v>
      </c>
      <c r="F33" s="4"/>
      <c r="G33" s="4"/>
      <c r="H33" s="4"/>
      <c r="I33" s="4"/>
      <c r="J33" s="4"/>
      <c r="K33" s="4"/>
      <c r="L33" s="4"/>
      <c r="M33" s="4"/>
      <c r="N33" s="4"/>
      <c r="O33" s="4"/>
      <c r="P33" s="4"/>
      <c r="Q33" s="4"/>
      <c r="R33" s="4"/>
      <c r="S33" s="4"/>
      <c r="T33" s="4"/>
      <c r="U33" s="4"/>
      <c r="V33" s="4"/>
      <c r="W33" s="4"/>
      <c r="X33" s="4"/>
      <c r="Y33" s="4"/>
    </row>
    <row r="34" ht="14.25" customHeight="1">
      <c r="A34" s="4" t="str">
        <f>IFERROR(__xludf.DUMMYFUNCTION("""COMPUTED_VALUE"""),"Nathanael Lee Yi Yang")</f>
        <v>Nathanael Lee Yi Yang</v>
      </c>
      <c r="B34" s="116">
        <f>IFERROR(__xludf.DUMMYFUNCTION("""COMPUTED_VALUE"""),46041.0)</f>
        <v>46041</v>
      </c>
      <c r="C34" s="4"/>
      <c r="D34" s="4" t="str">
        <f>IFERROR(__xludf.DUMMYFUNCTION("""COMPUTED_VALUE"""),"mwting88@gmail.com")</f>
        <v>mwting88@gmail.com</v>
      </c>
      <c r="E34" s="117">
        <f>IFERROR(__xludf.DUMMYFUNCTION("""COMPUTED_VALUE"""),46038.33062064815)</f>
        <v>46038.33062</v>
      </c>
      <c r="F34" s="4"/>
      <c r="G34" s="4"/>
      <c r="H34" s="4"/>
      <c r="I34" s="4"/>
      <c r="J34" s="4"/>
      <c r="K34" s="4"/>
      <c r="L34" s="4"/>
      <c r="M34" s="4"/>
      <c r="N34" s="4"/>
      <c r="O34" s="4"/>
      <c r="P34" s="4"/>
      <c r="Q34" s="4"/>
      <c r="R34" s="4"/>
      <c r="S34" s="4"/>
      <c r="T34" s="4"/>
      <c r="U34" s="4"/>
      <c r="V34" s="4"/>
      <c r="W34" s="4"/>
      <c r="X34" s="4"/>
      <c r="Y34" s="4"/>
    </row>
    <row r="35" ht="14.25" customHeight="1">
      <c r="A35" s="4" t="str">
        <f>IFERROR(__xludf.DUMMYFUNCTION("""COMPUTED_VALUE"""),"Gia Lim Jia En")</f>
        <v>Gia Lim Jia En</v>
      </c>
      <c r="B35" s="116">
        <f>IFERROR(__xludf.DUMMYFUNCTION("""COMPUTED_VALUE"""),46041.0)</f>
        <v>46041</v>
      </c>
      <c r="C35" s="4"/>
      <c r="D35" s="4" t="str">
        <f>IFERROR(__xludf.DUMMYFUNCTION("""COMPUTED_VALUE"""),"winniewkl81@gmail.com")</f>
        <v>winniewkl81@gmail.com</v>
      </c>
      <c r="E35" s="117">
        <f>IFERROR(__xludf.DUMMYFUNCTION("""COMPUTED_VALUE"""),46038.725313738425)</f>
        <v>46038.72531</v>
      </c>
      <c r="F35" s="4"/>
      <c r="G35" s="4"/>
      <c r="H35" s="4"/>
      <c r="I35" s="4"/>
      <c r="J35" s="4"/>
      <c r="K35" s="4"/>
      <c r="L35" s="4"/>
      <c r="M35" s="4"/>
      <c r="N35" s="4"/>
      <c r="O35" s="4"/>
      <c r="P35" s="4"/>
      <c r="Q35" s="4"/>
      <c r="R35" s="4"/>
      <c r="S35" s="4"/>
      <c r="T35" s="4"/>
      <c r="U35" s="4"/>
      <c r="V35" s="4"/>
      <c r="W35" s="4"/>
      <c r="X35" s="4"/>
      <c r="Y35" s="4"/>
    </row>
    <row r="36" ht="14.25" customHeight="1">
      <c r="A36" s="4" t="str">
        <f>IFERROR(__xludf.DUMMYFUNCTION("""COMPUTED_VALUE"""),"Nea Hairani binti Hairul Hairi")</f>
        <v>Nea Hairani binti Hairul Hairi</v>
      </c>
      <c r="B36" s="116">
        <f>IFERROR(__xludf.DUMMYFUNCTION("""COMPUTED_VALUE"""),46046.0)</f>
        <v>46046</v>
      </c>
      <c r="C36" s="4" t="str">
        <f>IFERROR(__xludf.DUMMYFUNCTION("""COMPUTED_VALUE"""),"10am - 11am")</f>
        <v>10am - 11am</v>
      </c>
      <c r="D36" s="4" t="str">
        <f>IFERROR(__xludf.DUMMYFUNCTION("""COMPUTED_VALUE"""),"hairulhairi84@gmail.com")</f>
        <v>hairulhairi84@gmail.com</v>
      </c>
      <c r="E36" s="117">
        <f>IFERROR(__xludf.DUMMYFUNCTION("""COMPUTED_VALUE"""),46042.629170625005)</f>
        <v>46042.62917</v>
      </c>
      <c r="F36" s="4"/>
      <c r="G36" s="4"/>
      <c r="H36" s="4"/>
      <c r="I36" s="4"/>
      <c r="J36" s="4"/>
      <c r="K36" s="4"/>
      <c r="L36" s="4"/>
      <c r="M36" s="4"/>
      <c r="N36" s="4"/>
      <c r="O36" s="4"/>
      <c r="P36" s="4"/>
      <c r="Q36" s="4"/>
      <c r="R36" s="4"/>
      <c r="S36" s="4"/>
      <c r="T36" s="4"/>
      <c r="U36" s="4"/>
      <c r="V36" s="4"/>
      <c r="W36" s="4"/>
      <c r="X36" s="4"/>
      <c r="Y36" s="4"/>
    </row>
    <row r="37" ht="14.25" customHeight="1">
      <c r="A37" s="4" t="str">
        <f>IFERROR(__xludf.DUMMYFUNCTION("""COMPUTED_VALUE"""),"LAU JYI XIAN")</f>
        <v>LAU JYI XIAN</v>
      </c>
      <c r="B37" s="116">
        <f>IFERROR(__xludf.DUMMYFUNCTION("""COMPUTED_VALUE"""),46046.0)</f>
        <v>46046</v>
      </c>
      <c r="C37" s="4" t="str">
        <f>IFERROR(__xludf.DUMMYFUNCTION("""COMPUTED_VALUE"""),"11am - 12pm")</f>
        <v>11am - 12pm</v>
      </c>
      <c r="D37" s="4" t="str">
        <f>IFERROR(__xludf.DUMMYFUNCTION("""COMPUTED_VALUE"""),"chiouyilau@yahoo.com")</f>
        <v>chiouyilau@yahoo.com</v>
      </c>
      <c r="E37" s="117">
        <f>IFERROR(__xludf.DUMMYFUNCTION("""COMPUTED_VALUE"""),46045.779993993056)</f>
        <v>46045.77999</v>
      </c>
      <c r="F37" s="4"/>
      <c r="G37" s="4"/>
      <c r="H37" s="4"/>
      <c r="I37" s="4"/>
      <c r="J37" s="4"/>
      <c r="K37" s="4"/>
      <c r="L37" s="4"/>
      <c r="M37" s="4"/>
      <c r="N37" s="4"/>
      <c r="O37" s="4"/>
      <c r="P37" s="4"/>
      <c r="Q37" s="4"/>
      <c r="R37" s="4"/>
      <c r="S37" s="4"/>
      <c r="T37" s="4"/>
      <c r="U37" s="4"/>
      <c r="V37" s="4"/>
      <c r="W37" s="4"/>
      <c r="X37" s="4"/>
      <c r="Y37" s="4"/>
    </row>
    <row r="38" ht="14.25" customHeight="1">
      <c r="A38" s="4" t="str">
        <f>IFERROR(__xludf.DUMMYFUNCTION("""COMPUTED_VALUE"""),"LAU YONG")</f>
        <v>LAU YONG</v>
      </c>
      <c r="B38" s="116">
        <f>IFERROR(__xludf.DUMMYFUNCTION("""COMPUTED_VALUE"""),46046.0)</f>
        <v>46046</v>
      </c>
      <c r="C38" s="4" t="str">
        <f>IFERROR(__xludf.DUMMYFUNCTION("""COMPUTED_VALUE"""),"11am - 12pm")</f>
        <v>11am - 12pm</v>
      </c>
      <c r="D38" s="4" t="str">
        <f>IFERROR(__xludf.DUMMYFUNCTION("""COMPUTED_VALUE"""),"chiouyilau@yahoo.com")</f>
        <v>chiouyilau@yahoo.com</v>
      </c>
      <c r="E38" s="117">
        <f>IFERROR(__xludf.DUMMYFUNCTION("""COMPUTED_VALUE"""),46045.78003440972)</f>
        <v>46045.78003</v>
      </c>
      <c r="F38" s="4"/>
      <c r="G38" s="4"/>
      <c r="H38" s="4"/>
      <c r="I38" s="4"/>
      <c r="J38" s="4"/>
      <c r="K38" s="4"/>
      <c r="L38" s="4"/>
      <c r="M38" s="4"/>
      <c r="N38" s="4"/>
      <c r="O38" s="4"/>
      <c r="P38" s="4"/>
      <c r="Q38" s="4"/>
      <c r="R38" s="4"/>
      <c r="S38" s="4"/>
      <c r="T38" s="4"/>
      <c r="U38" s="4"/>
      <c r="V38" s="4"/>
      <c r="W38" s="4"/>
      <c r="X38" s="4"/>
      <c r="Y38" s="4"/>
    </row>
    <row r="39" ht="14.25" customHeight="1">
      <c r="A39" s="4" t="str">
        <f>IFERROR(__xludf.DUMMYFUNCTION("""COMPUTED_VALUE"""),"Thomas Tiong")</f>
        <v>Thomas Tiong</v>
      </c>
      <c r="B39" s="116">
        <f>IFERROR(__xludf.DUMMYFUNCTION("""COMPUTED_VALUE"""),46046.0)</f>
        <v>46046</v>
      </c>
      <c r="C39" s="4" t="str">
        <f>IFERROR(__xludf.DUMMYFUNCTION("""COMPUTED_VALUE"""),"2pm - 3pm")</f>
        <v>2pm - 3pm</v>
      </c>
      <c r="D39" s="4" t="str">
        <f>IFERROR(__xludf.DUMMYFUNCTION("""COMPUTED_VALUE"""),"rosengui886@gmail.com")</f>
        <v>rosengui886@gmail.com</v>
      </c>
      <c r="E39" s="117">
        <f>IFERROR(__xludf.DUMMYFUNCTION("""COMPUTED_VALUE"""),46046.550658148146)</f>
        <v>46046.55066</v>
      </c>
      <c r="F39" s="4"/>
      <c r="G39" s="4"/>
      <c r="H39" s="4"/>
      <c r="I39" s="4"/>
      <c r="J39" s="4"/>
      <c r="K39" s="4"/>
      <c r="L39" s="4"/>
      <c r="M39" s="4"/>
      <c r="N39" s="4"/>
      <c r="O39" s="4"/>
      <c r="P39" s="4"/>
      <c r="Q39" s="4"/>
      <c r="R39" s="4"/>
      <c r="S39" s="4"/>
      <c r="T39" s="4"/>
      <c r="U39" s="4"/>
      <c r="V39" s="4"/>
      <c r="W39" s="4"/>
      <c r="X39" s="4"/>
      <c r="Y39" s="4"/>
    </row>
    <row r="40" ht="14.25" customHeight="1">
      <c r="A40" s="4" t="str">
        <f>IFERROR(__xludf.DUMMYFUNCTION("""COMPUTED_VALUE"""),"WONG SHI YAW")</f>
        <v>WONG SHI YAW</v>
      </c>
      <c r="B40" s="116">
        <f>IFERROR(__xludf.DUMMYFUNCTION("""COMPUTED_VALUE"""),46046.0)</f>
        <v>46046</v>
      </c>
      <c r="C40" s="4" t="str">
        <f>IFERROR(__xludf.DUMMYFUNCTION("""COMPUTED_VALUE"""),"3pm - 4pm")</f>
        <v>3pm - 4pm</v>
      </c>
      <c r="D40" s="4" t="str">
        <f>IFERROR(__xludf.DUMMYFUNCTION("""COMPUTED_VALUE"""),"siewyew_sim@yahoo.com")</f>
        <v>siewyew_sim@yahoo.com</v>
      </c>
      <c r="E40" s="117">
        <f>IFERROR(__xludf.DUMMYFUNCTION("""COMPUTED_VALUE"""),46046.35416319444)</f>
        <v>46046.35416</v>
      </c>
      <c r="F40" s="4"/>
      <c r="G40" s="4"/>
      <c r="H40" s="4"/>
      <c r="I40" s="4"/>
      <c r="J40" s="4"/>
      <c r="K40" s="4"/>
      <c r="L40" s="4"/>
      <c r="M40" s="4"/>
      <c r="N40" s="4"/>
      <c r="O40" s="4"/>
      <c r="P40" s="4"/>
      <c r="Q40" s="4"/>
      <c r="R40" s="4"/>
      <c r="S40" s="4"/>
      <c r="T40" s="4"/>
      <c r="U40" s="4"/>
      <c r="V40" s="4"/>
      <c r="W40" s="4"/>
      <c r="X40" s="4"/>
      <c r="Y40" s="4"/>
    </row>
    <row r="41" ht="14.25" customHeight="1">
      <c r="A41" s="4" t="str">
        <f>IFERROR(__xludf.DUMMYFUNCTION("""COMPUTED_VALUE"""),"Rochester Lee")</f>
        <v>Rochester Lee</v>
      </c>
      <c r="B41" s="116">
        <f>IFERROR(__xludf.DUMMYFUNCTION("""COMPUTED_VALUE"""),46046.0)</f>
        <v>46046</v>
      </c>
      <c r="C41" s="4" t="str">
        <f>IFERROR(__xludf.DUMMYFUNCTION("""COMPUTED_VALUE"""),"9am - 10am")</f>
        <v>9am - 10am</v>
      </c>
      <c r="D41" s="4" t="str">
        <f>IFERROR(__xludf.DUMMYFUNCTION("""COMPUTED_VALUE"""),"ahchenlovelycat@gmail.com")</f>
        <v>ahchenlovelycat@gmail.com</v>
      </c>
      <c r="E41" s="117">
        <f>IFERROR(__xludf.DUMMYFUNCTION("""COMPUTED_VALUE"""),46044.383656377315)</f>
        <v>46044.38366</v>
      </c>
      <c r="F41" s="4"/>
      <c r="G41" s="4"/>
      <c r="H41" s="4"/>
      <c r="I41" s="4"/>
      <c r="J41" s="4"/>
      <c r="K41" s="4"/>
      <c r="L41" s="4"/>
      <c r="M41" s="4"/>
      <c r="N41" s="4"/>
      <c r="O41" s="4"/>
      <c r="P41" s="4"/>
      <c r="Q41" s="4"/>
      <c r="R41" s="4"/>
      <c r="S41" s="4"/>
      <c r="T41" s="4"/>
      <c r="U41" s="4"/>
      <c r="V41" s="4"/>
      <c r="W41" s="4"/>
      <c r="X41" s="4"/>
      <c r="Y41" s="4"/>
    </row>
    <row r="42" ht="14.25" customHeight="1">
      <c r="A42" s="4" t="str">
        <f>IFERROR(__xludf.DUMMYFUNCTION("""COMPUTED_VALUE"""),"Gia Lim Jia En")</f>
        <v>Gia Lim Jia En</v>
      </c>
      <c r="B42" s="116">
        <f>IFERROR(__xludf.DUMMYFUNCTION("""COMPUTED_VALUE"""),46050.0)</f>
        <v>46050</v>
      </c>
      <c r="C42" s="4"/>
      <c r="D42" s="4" t="str">
        <f>IFERROR(__xludf.DUMMYFUNCTION("""COMPUTED_VALUE"""),"winniewkl81@gmail.com")</f>
        <v>winniewkl81@gmail.com</v>
      </c>
      <c r="E42" s="117">
        <f>IFERROR(__xludf.DUMMYFUNCTION("""COMPUTED_VALUE"""),46049.2820437037)</f>
        <v>46049.28204</v>
      </c>
      <c r="F42" s="4"/>
      <c r="G42" s="4"/>
      <c r="H42" s="4"/>
      <c r="I42" s="4"/>
      <c r="J42" s="4"/>
      <c r="K42" s="4"/>
      <c r="L42" s="4"/>
      <c r="M42" s="4"/>
      <c r="N42" s="4"/>
      <c r="O42" s="4"/>
      <c r="P42" s="4"/>
      <c r="Q42" s="4"/>
      <c r="R42" s="4"/>
      <c r="S42" s="4"/>
      <c r="T42" s="4"/>
      <c r="U42" s="4"/>
      <c r="V42" s="4"/>
      <c r="W42" s="4"/>
      <c r="X42" s="4"/>
      <c r="Y42" s="4"/>
    </row>
    <row r="43" ht="14.25" customHeight="1">
      <c r="A43" s="4" t="str">
        <f>IFERROR(__xludf.DUMMYFUNCTION("""COMPUTED_VALUE"""),"Jerry Yong Ching Hwa")</f>
        <v>Jerry Yong Ching Hwa</v>
      </c>
      <c r="B43" s="116">
        <f>IFERROR(__xludf.DUMMYFUNCTION("""COMPUTED_VALUE"""),46053.0)</f>
        <v>46053</v>
      </c>
      <c r="C43" s="4" t="str">
        <f>IFERROR(__xludf.DUMMYFUNCTION("""COMPUTED_VALUE"""),"10am - 11am")</f>
        <v>10am - 11am</v>
      </c>
      <c r="D43" s="4" t="str">
        <f>IFERROR(__xludf.DUMMYFUNCTION("""COMPUTED_VALUE"""),"sweetjojo1509@yahoo.com")</f>
        <v>sweetjojo1509@yahoo.com</v>
      </c>
      <c r="E43" s="117">
        <f>IFERROR(__xludf.DUMMYFUNCTION("""COMPUTED_VALUE"""),46047.58189901621)</f>
        <v>46047.5819</v>
      </c>
      <c r="F43" s="4"/>
      <c r="G43" s="4"/>
      <c r="H43" s="4"/>
      <c r="I43" s="4"/>
      <c r="J43" s="4"/>
      <c r="K43" s="4"/>
      <c r="L43" s="4"/>
      <c r="M43" s="4"/>
      <c r="N43" s="4"/>
      <c r="O43" s="4"/>
      <c r="P43" s="4"/>
      <c r="Q43" s="4"/>
      <c r="R43" s="4"/>
      <c r="S43" s="4"/>
      <c r="T43" s="4"/>
      <c r="U43" s="4"/>
      <c r="V43" s="4"/>
      <c r="W43" s="4"/>
      <c r="X43" s="4"/>
      <c r="Y43" s="4"/>
    </row>
    <row r="44" ht="14.25" customHeight="1">
      <c r="A44" s="4" t="str">
        <f>IFERROR(__xludf.DUMMYFUNCTION("""COMPUTED_VALUE"""),"LAU JYI XIAN")</f>
        <v>LAU JYI XIAN</v>
      </c>
      <c r="B44" s="116">
        <f>IFERROR(__xludf.DUMMYFUNCTION("""COMPUTED_VALUE"""),46053.0)</f>
        <v>46053</v>
      </c>
      <c r="C44" s="4" t="str">
        <f>IFERROR(__xludf.DUMMYFUNCTION("""COMPUTED_VALUE"""),"11am - 12pm")</f>
        <v>11am - 12pm</v>
      </c>
      <c r="D44" s="4" t="str">
        <f>IFERROR(__xludf.DUMMYFUNCTION("""COMPUTED_VALUE"""),"chiouyilau@yahoo.com")</f>
        <v>chiouyilau@yahoo.com</v>
      </c>
      <c r="E44" s="117">
        <f>IFERROR(__xludf.DUMMYFUNCTION("""COMPUTED_VALUE"""),46052.78034711805)</f>
        <v>46052.78035</v>
      </c>
      <c r="F44" s="4"/>
      <c r="G44" s="4"/>
      <c r="H44" s="4"/>
      <c r="I44" s="4"/>
      <c r="J44" s="4"/>
      <c r="K44" s="4"/>
      <c r="L44" s="4"/>
      <c r="M44" s="4"/>
      <c r="N44" s="4"/>
      <c r="O44" s="4"/>
      <c r="P44" s="4"/>
      <c r="Q44" s="4"/>
      <c r="R44" s="4"/>
      <c r="S44" s="4"/>
      <c r="T44" s="4"/>
      <c r="U44" s="4"/>
      <c r="V44" s="4"/>
      <c r="W44" s="4"/>
      <c r="X44" s="4"/>
      <c r="Y44" s="4"/>
    </row>
    <row r="45" ht="14.25" customHeight="1">
      <c r="A45" s="4" t="str">
        <f>IFERROR(__xludf.DUMMYFUNCTION("""COMPUTED_VALUE"""),"LAU YONG")</f>
        <v>LAU YONG</v>
      </c>
      <c r="B45" s="116">
        <f>IFERROR(__xludf.DUMMYFUNCTION("""COMPUTED_VALUE"""),46053.0)</f>
        <v>46053</v>
      </c>
      <c r="C45" s="4" t="str">
        <f>IFERROR(__xludf.DUMMYFUNCTION("""COMPUTED_VALUE"""),"11am - 12pm")</f>
        <v>11am - 12pm</v>
      </c>
      <c r="D45" s="4" t="str">
        <f>IFERROR(__xludf.DUMMYFUNCTION("""COMPUTED_VALUE"""),"chiouyilau@yahoo.com")</f>
        <v>chiouyilau@yahoo.com</v>
      </c>
      <c r="E45" s="117">
        <f>IFERROR(__xludf.DUMMYFUNCTION("""COMPUTED_VALUE"""),46052.7803872338)</f>
        <v>46052.78039</v>
      </c>
      <c r="F45" s="4"/>
      <c r="G45" s="4"/>
      <c r="H45" s="4"/>
      <c r="I45" s="4"/>
      <c r="J45" s="4"/>
      <c r="K45" s="4"/>
      <c r="L45" s="4"/>
      <c r="M45" s="4"/>
      <c r="N45" s="4"/>
      <c r="O45" s="4"/>
      <c r="P45" s="4"/>
      <c r="Q45" s="4"/>
      <c r="R45" s="4"/>
      <c r="S45" s="4"/>
      <c r="T45" s="4"/>
      <c r="U45" s="4"/>
      <c r="V45" s="4"/>
      <c r="W45" s="4"/>
      <c r="X45" s="4"/>
      <c r="Y45" s="4"/>
    </row>
    <row r="46" ht="14.25" customHeight="1">
      <c r="A46" s="4" t="str">
        <f>IFERROR(__xludf.DUMMYFUNCTION("""COMPUTED_VALUE"""),"ETHAN KOH CHYA BING")</f>
        <v>ETHAN KOH CHYA BING</v>
      </c>
      <c r="B46" s="116">
        <f>IFERROR(__xludf.DUMMYFUNCTION("""COMPUTED_VALUE"""),46053.0)</f>
        <v>46053</v>
      </c>
      <c r="C46" s="4" t="str">
        <f>IFERROR(__xludf.DUMMYFUNCTION("""COMPUTED_VALUE"""),"3pm - 4pm")</f>
        <v>3pm - 4pm</v>
      </c>
      <c r="D46" s="4" t="str">
        <f>IFERROR(__xludf.DUMMYFUNCTION("""COMPUTED_VALUE"""),"kohkeehin19851211@yahoo.com.my")</f>
        <v>kohkeehin19851211@yahoo.com.my</v>
      </c>
      <c r="E46" s="117">
        <f>IFERROR(__xludf.DUMMYFUNCTION("""COMPUTED_VALUE"""),46046.596773495374)</f>
        <v>46046.59677</v>
      </c>
      <c r="F46" s="4"/>
      <c r="G46" s="4"/>
      <c r="H46" s="4"/>
      <c r="I46" s="4"/>
      <c r="J46" s="4"/>
      <c r="K46" s="4"/>
      <c r="L46" s="4"/>
      <c r="M46" s="4"/>
      <c r="N46" s="4"/>
      <c r="O46" s="4"/>
      <c r="P46" s="4"/>
      <c r="Q46" s="4"/>
      <c r="R46" s="4"/>
      <c r="S46" s="4"/>
      <c r="T46" s="4"/>
      <c r="U46" s="4"/>
      <c r="V46" s="4"/>
      <c r="W46" s="4"/>
      <c r="X46" s="4"/>
      <c r="Y46" s="4"/>
    </row>
    <row r="47" ht="14.25" customHeight="1">
      <c r="A47" s="4" t="str">
        <f>IFERROR(__xludf.DUMMYFUNCTION("""COMPUTED_VALUE"""),"Daniel Lee Meng Ze")</f>
        <v>Daniel Lee Meng Ze</v>
      </c>
      <c r="B47" s="116">
        <f>IFERROR(__xludf.DUMMYFUNCTION("""COMPUTED_VALUE"""),46053.0)</f>
        <v>46053</v>
      </c>
      <c r="C47" s="4" t="str">
        <f>IFERROR(__xludf.DUMMYFUNCTION("""COMPUTED_VALUE"""),"3pm - 4pm")</f>
        <v>3pm - 4pm</v>
      </c>
      <c r="D47" s="4" t="str">
        <f>IFERROR(__xludf.DUMMYFUNCTION("""COMPUTED_VALUE"""),"philipda881218@gmail.com")</f>
        <v>philipda881218@gmail.com</v>
      </c>
      <c r="E47" s="117">
        <f>IFERROR(__xludf.DUMMYFUNCTION("""COMPUTED_VALUE"""),46048.7086190625)</f>
        <v>46048.70862</v>
      </c>
      <c r="F47" s="4"/>
      <c r="G47" s="4"/>
      <c r="H47" s="4"/>
      <c r="I47" s="4"/>
      <c r="J47" s="4"/>
      <c r="K47" s="4"/>
      <c r="L47" s="4"/>
      <c r="M47" s="4"/>
      <c r="N47" s="4"/>
      <c r="O47" s="4"/>
      <c r="P47" s="4"/>
      <c r="Q47" s="4"/>
      <c r="R47" s="4"/>
      <c r="S47" s="4"/>
      <c r="T47" s="4"/>
      <c r="U47" s="4"/>
      <c r="V47" s="4"/>
      <c r="W47" s="4"/>
      <c r="X47" s="4"/>
      <c r="Y47" s="4"/>
    </row>
    <row r="48" ht="14.25" customHeight="1">
      <c r="A48" s="4" t="str">
        <f>IFERROR(__xludf.DUMMYFUNCTION("""COMPUTED_VALUE"""),"hng khar jun")</f>
        <v>hng khar jun</v>
      </c>
      <c r="B48" s="116">
        <f>IFERROR(__xludf.DUMMYFUNCTION("""COMPUTED_VALUE"""),46053.0)</f>
        <v>46053</v>
      </c>
      <c r="C48" s="4" t="str">
        <f>IFERROR(__xludf.DUMMYFUNCTION("""COMPUTED_VALUE"""),"3pm - 4pm")</f>
        <v>3pm - 4pm</v>
      </c>
      <c r="D48" s="4" t="str">
        <f>IFERROR(__xludf.DUMMYFUNCTION("""COMPUTED_VALUE"""),"bilvluis@gmail.com")</f>
        <v>bilvluis@gmail.com</v>
      </c>
      <c r="E48" s="117">
        <f>IFERROR(__xludf.DUMMYFUNCTION("""COMPUTED_VALUE"""),46052.82553482639)</f>
        <v>46052.82553</v>
      </c>
      <c r="F48" s="4"/>
      <c r="G48" s="4"/>
      <c r="H48" s="4"/>
      <c r="I48" s="4"/>
      <c r="J48" s="4"/>
      <c r="K48" s="4"/>
      <c r="L48" s="4"/>
      <c r="M48" s="4"/>
      <c r="N48" s="4"/>
      <c r="O48" s="4"/>
      <c r="P48" s="4"/>
      <c r="Q48" s="4"/>
      <c r="R48" s="4"/>
      <c r="S48" s="4"/>
      <c r="T48" s="4"/>
      <c r="U48" s="4"/>
      <c r="V48" s="4"/>
      <c r="W48" s="4"/>
      <c r="X48" s="4"/>
      <c r="Y48" s="4"/>
    </row>
    <row r="49" ht="14.25" customHeight="1">
      <c r="A49" s="4" t="str">
        <f>IFERROR(__xludf.DUMMYFUNCTION("""COMPUTED_VALUE"""),"Daniel Lee Meng Ze")</f>
        <v>Daniel Lee Meng Ze</v>
      </c>
      <c r="B49" s="116">
        <f>IFERROR(__xludf.DUMMYFUNCTION("""COMPUTED_VALUE"""),46053.0)</f>
        <v>46053</v>
      </c>
      <c r="C49" s="4" t="str">
        <f>IFERROR(__xludf.DUMMYFUNCTION("""COMPUTED_VALUE"""),"4pm - 5pm")</f>
        <v>4pm - 5pm</v>
      </c>
      <c r="D49" s="4" t="str">
        <f>IFERROR(__xludf.DUMMYFUNCTION("""COMPUTED_VALUE"""),"philipda881218@gmail.com")</f>
        <v>philipda881218@gmail.com</v>
      </c>
      <c r="E49" s="117">
        <f>IFERROR(__xludf.DUMMYFUNCTION("""COMPUTED_VALUE"""),46048.70866709491)</f>
        <v>46048.70867</v>
      </c>
      <c r="F49" s="4"/>
      <c r="G49" s="4"/>
      <c r="H49" s="4"/>
      <c r="I49" s="4"/>
      <c r="J49" s="4"/>
      <c r="K49" s="4"/>
      <c r="L49" s="4"/>
      <c r="M49" s="4"/>
      <c r="N49" s="4"/>
      <c r="O49" s="4"/>
      <c r="P49" s="4"/>
      <c r="Q49" s="4"/>
      <c r="R49" s="4"/>
      <c r="S49" s="4"/>
      <c r="T49" s="4"/>
      <c r="U49" s="4"/>
      <c r="V49" s="4"/>
      <c r="W49" s="4"/>
      <c r="X49" s="4"/>
      <c r="Y49" s="4"/>
    </row>
    <row r="50" ht="14.25" customHeight="1">
      <c r="A50" s="4" t="str">
        <f>IFERROR(__xludf.DUMMYFUNCTION("""COMPUTED_VALUE"""),"andrew chai")</f>
        <v>andrew chai</v>
      </c>
      <c r="B50" s="116">
        <f>IFERROR(__xludf.DUMMYFUNCTION("""COMPUTED_VALUE"""),46053.0)</f>
        <v>46053</v>
      </c>
      <c r="C50" s="4" t="str">
        <f>IFERROR(__xludf.DUMMYFUNCTION("""COMPUTED_VALUE"""),"4pm - 5pm")</f>
        <v>4pm - 5pm</v>
      </c>
      <c r="D50" s="4" t="str">
        <f>IFERROR(__xludf.DUMMYFUNCTION("""COMPUTED_VALUE"""),"lingkunghee@yahoo.com")</f>
        <v>lingkunghee@yahoo.com</v>
      </c>
      <c r="E50" s="117">
        <f>IFERROR(__xludf.DUMMYFUNCTION("""COMPUTED_VALUE"""),46053.57486340278)</f>
        <v>46053.57486</v>
      </c>
      <c r="F50" s="4"/>
      <c r="G50" s="4"/>
      <c r="H50" s="4"/>
      <c r="I50" s="4"/>
      <c r="J50" s="4"/>
      <c r="K50" s="4"/>
      <c r="L50" s="4"/>
      <c r="M50" s="4"/>
      <c r="N50" s="4"/>
      <c r="O50" s="4"/>
      <c r="P50" s="4"/>
      <c r="Q50" s="4"/>
      <c r="R50" s="4"/>
      <c r="S50" s="4"/>
      <c r="T50" s="4"/>
      <c r="U50" s="4"/>
      <c r="V50" s="4"/>
      <c r="W50" s="4"/>
      <c r="X50" s="4"/>
      <c r="Y50" s="4"/>
    </row>
    <row r="51" ht="14.25" customHeight="1">
      <c r="A51" s="4" t="str">
        <f>IFERROR(__xludf.DUMMYFUNCTION("""COMPUTED_VALUE"""),"Jerry Yong Ching Hwa")</f>
        <v>Jerry Yong Ching Hwa</v>
      </c>
      <c r="B51" s="116">
        <f>IFERROR(__xludf.DUMMYFUNCTION("""COMPUTED_VALUE"""),46053.0)</f>
        <v>46053</v>
      </c>
      <c r="C51" s="4" t="str">
        <f>IFERROR(__xludf.DUMMYFUNCTION("""COMPUTED_VALUE"""),"9am - 10am")</f>
        <v>9am - 10am</v>
      </c>
      <c r="D51" s="4" t="str">
        <f>IFERROR(__xludf.DUMMYFUNCTION("""COMPUTED_VALUE"""),"sweetjojo1509@yahoo.com")</f>
        <v>sweetjojo1509@yahoo.com</v>
      </c>
      <c r="E51" s="117">
        <f>IFERROR(__xludf.DUMMYFUNCTION("""COMPUTED_VALUE"""),46045.7883840162)</f>
        <v>46045.78838</v>
      </c>
      <c r="F51" s="4"/>
      <c r="G51" s="4"/>
      <c r="H51" s="4"/>
      <c r="I51" s="4"/>
      <c r="J51" s="4"/>
      <c r="K51" s="4"/>
      <c r="L51" s="4"/>
      <c r="M51" s="4"/>
      <c r="N51" s="4"/>
      <c r="O51" s="4"/>
      <c r="P51" s="4"/>
      <c r="Q51" s="4"/>
      <c r="R51" s="4"/>
      <c r="S51" s="4"/>
      <c r="T51" s="4"/>
      <c r="U51" s="4"/>
      <c r="V51" s="4"/>
      <c r="W51" s="4"/>
      <c r="X51" s="4"/>
      <c r="Y51" s="4"/>
    </row>
    <row r="52" ht="14.25" customHeight="1">
      <c r="A52" s="4" t="str">
        <f>IFERROR(__xludf.DUMMYFUNCTION("""COMPUTED_VALUE"""),"LUCAS TING KER JUN")</f>
        <v>LUCAS TING KER JUN</v>
      </c>
      <c r="B52" s="116">
        <f>IFERROR(__xludf.DUMMYFUNCTION("""COMPUTED_VALUE"""),46053.0)</f>
        <v>46053</v>
      </c>
      <c r="C52" s="4" t="str">
        <f>IFERROR(__xludf.DUMMYFUNCTION("""COMPUTED_VALUE"""),"9am - 10am")</f>
        <v>9am - 10am</v>
      </c>
      <c r="D52" s="4" t="str">
        <f>IFERROR(__xludf.DUMMYFUNCTION("""COMPUTED_VALUE"""),"tingweeyii@gmail.com")</f>
        <v>tingweeyii@gmail.com</v>
      </c>
      <c r="E52" s="117">
        <f>IFERROR(__xludf.DUMMYFUNCTION("""COMPUTED_VALUE"""),46049.276718506946)</f>
        <v>46049.27672</v>
      </c>
      <c r="F52" s="4"/>
      <c r="G52" s="4"/>
      <c r="H52" s="4"/>
      <c r="I52" s="4"/>
      <c r="J52" s="4"/>
      <c r="K52" s="4"/>
      <c r="L52" s="4"/>
      <c r="M52" s="4"/>
      <c r="N52" s="4"/>
      <c r="O52" s="4"/>
      <c r="P52" s="4"/>
      <c r="Q52" s="4"/>
      <c r="R52" s="4"/>
      <c r="S52" s="4"/>
      <c r="T52" s="4"/>
      <c r="U52" s="4"/>
      <c r="V52" s="4"/>
      <c r="W52" s="4"/>
      <c r="X52" s="4"/>
      <c r="Y52" s="4"/>
    </row>
    <row r="53" ht="14.25" customHeight="1">
      <c r="A53" s="4" t="str">
        <f>IFERROR(__xludf.DUMMYFUNCTION("""COMPUTED_VALUE"""),"Rochester Lee")</f>
        <v>Rochester Lee</v>
      </c>
      <c r="B53" s="116">
        <f>IFERROR(__xludf.DUMMYFUNCTION("""COMPUTED_VALUE"""),46053.0)</f>
        <v>46053</v>
      </c>
      <c r="C53" s="4" t="str">
        <f>IFERROR(__xludf.DUMMYFUNCTION("""COMPUTED_VALUE"""),"9am - 10am")</f>
        <v>9am - 10am</v>
      </c>
      <c r="D53" s="4" t="str">
        <f>IFERROR(__xludf.DUMMYFUNCTION("""COMPUTED_VALUE"""),"ahchenlovelycat@gmail.com")</f>
        <v>ahchenlovelycat@gmail.com</v>
      </c>
      <c r="E53" s="117">
        <f>IFERROR(__xludf.DUMMYFUNCTION("""COMPUTED_VALUE"""),46050.909449768515)</f>
        <v>46050.90945</v>
      </c>
      <c r="F53" s="4"/>
      <c r="G53" s="4"/>
      <c r="H53" s="4"/>
      <c r="I53" s="4"/>
      <c r="J53" s="4"/>
      <c r="K53" s="4"/>
      <c r="L53" s="4"/>
      <c r="M53" s="4"/>
      <c r="N53" s="4"/>
      <c r="O53" s="4"/>
      <c r="P53" s="4"/>
      <c r="Q53" s="4"/>
      <c r="R53" s="4"/>
      <c r="S53" s="4"/>
      <c r="T53" s="4"/>
      <c r="U53" s="4"/>
      <c r="V53" s="4"/>
      <c r="W53" s="4"/>
      <c r="X53" s="4"/>
      <c r="Y53" s="4"/>
    </row>
    <row r="54" ht="14.25" customHeight="1">
      <c r="A54" s="4" t="str">
        <f>IFERROR(__xludf.DUMMYFUNCTION("""COMPUTED_VALUE"""),"Esme Ling Ruicy")</f>
        <v>Esme Ling Ruicy</v>
      </c>
      <c r="B54" s="116">
        <f>IFERROR(__xludf.DUMMYFUNCTION("""COMPUTED_VALUE"""),46057.0)</f>
        <v>46057</v>
      </c>
      <c r="C54" s="4"/>
      <c r="D54" s="4" t="str">
        <f>IFERROR(__xludf.DUMMYFUNCTION("""COMPUTED_VALUE"""),"ohpinpin@gmail.com")</f>
        <v>ohpinpin@gmail.com</v>
      </c>
      <c r="E54" s="117">
        <f>IFERROR(__xludf.DUMMYFUNCTION("""COMPUTED_VALUE"""),46053.469766689814)</f>
        <v>46053.46977</v>
      </c>
      <c r="F54" s="4"/>
      <c r="G54" s="4"/>
      <c r="H54" s="4"/>
      <c r="I54" s="4"/>
      <c r="J54" s="4"/>
      <c r="K54" s="4"/>
      <c r="L54" s="4"/>
      <c r="M54" s="4"/>
      <c r="N54" s="4"/>
      <c r="O54" s="4"/>
      <c r="P54" s="4"/>
      <c r="Q54" s="4"/>
      <c r="R54" s="4"/>
      <c r="S54" s="4"/>
      <c r="T54" s="4"/>
      <c r="U54" s="4"/>
      <c r="V54" s="4"/>
      <c r="W54" s="4"/>
      <c r="X54" s="4"/>
      <c r="Y54" s="4"/>
    </row>
    <row r="55" ht="14.25" customHeight="1">
      <c r="A55" s="4" t="str">
        <f>IFERROR(__xludf.DUMMYFUNCTION("""COMPUTED_VALUE"""),"Eeson")</f>
        <v>Eeson</v>
      </c>
      <c r="B55" s="116">
        <f>IFERROR(__xludf.DUMMYFUNCTION("""COMPUTED_VALUE"""),46057.0)</f>
        <v>46057</v>
      </c>
      <c r="C55" s="4"/>
      <c r="D55" s="4" t="str">
        <f>IFERROR(__xludf.DUMMYFUNCTION("""COMPUTED_VALUE"""),"usewatyougot@yahoo.com")</f>
        <v>usewatyougot@yahoo.com</v>
      </c>
      <c r="E55" s="117">
        <f>IFERROR(__xludf.DUMMYFUNCTION("""COMPUTED_VALUE"""),46057.321133460646)</f>
        <v>46057.32113</v>
      </c>
      <c r="F55" s="4"/>
      <c r="G55" s="4"/>
      <c r="H55" s="4"/>
      <c r="I55" s="4"/>
      <c r="J55" s="4"/>
      <c r="K55" s="4"/>
      <c r="L55" s="4"/>
      <c r="M55" s="4"/>
      <c r="N55" s="4"/>
      <c r="O55" s="4"/>
      <c r="P55" s="4"/>
      <c r="Q55" s="4"/>
      <c r="R55" s="4"/>
      <c r="S55" s="4"/>
      <c r="T55" s="4"/>
      <c r="U55" s="4"/>
      <c r="V55" s="4"/>
      <c r="W55" s="4"/>
      <c r="X55" s="4"/>
      <c r="Y55" s="4"/>
    </row>
    <row r="56" ht="14.25" customHeight="1">
      <c r="A56" s="4" t="str">
        <f>IFERROR(__xludf.DUMMYFUNCTION("""COMPUTED_VALUE"""),"Jarvis Ningkan")</f>
        <v>Jarvis Ningkan</v>
      </c>
      <c r="B56" s="116">
        <f>IFERROR(__xludf.DUMMYFUNCTION("""COMPUTED_VALUE"""),46060.0)</f>
        <v>46060</v>
      </c>
      <c r="C56" s="4" t="str">
        <f>IFERROR(__xludf.DUMMYFUNCTION("""COMPUTED_VALUE"""),"10am - 11am")</f>
        <v>10am - 11am</v>
      </c>
      <c r="D56" s="4" t="str">
        <f>IFERROR(__xludf.DUMMYFUNCTION("""COMPUTED_VALUE"""),"EugenieWilfred@gmail.com")</f>
        <v>EugenieWilfred@gmail.com</v>
      </c>
      <c r="E56" s="117">
        <f>IFERROR(__xludf.DUMMYFUNCTION("""COMPUTED_VALUE"""),46050.78509805555)</f>
        <v>46050.7851</v>
      </c>
      <c r="F56" s="4"/>
      <c r="G56" s="4"/>
      <c r="H56" s="4"/>
      <c r="I56" s="4"/>
      <c r="J56" s="4"/>
      <c r="K56" s="4"/>
      <c r="L56" s="4"/>
      <c r="M56" s="4"/>
      <c r="N56" s="4"/>
      <c r="O56" s="4"/>
      <c r="P56" s="4"/>
      <c r="Q56" s="4"/>
      <c r="R56" s="4"/>
      <c r="S56" s="4"/>
      <c r="T56" s="4"/>
      <c r="U56" s="4"/>
      <c r="V56" s="4"/>
      <c r="W56" s="4"/>
      <c r="X56" s="4"/>
      <c r="Y56" s="4"/>
    </row>
    <row r="57" ht="14.25" customHeight="1">
      <c r="A57" s="4" t="str">
        <f>IFERROR(__xludf.DUMMYFUNCTION("""COMPUTED_VALUE"""),"CLOVIS LOW ZHAO MING")</f>
        <v>CLOVIS LOW ZHAO MING</v>
      </c>
      <c r="B57" s="116">
        <f>IFERROR(__xludf.DUMMYFUNCTION("""COMPUTED_VALUE"""),46060.0)</f>
        <v>46060</v>
      </c>
      <c r="C57" s="4" t="str">
        <f>IFERROR(__xludf.DUMMYFUNCTION("""COMPUTED_VALUE"""),"10am - 11am")</f>
        <v>10am - 11am</v>
      </c>
      <c r="D57" s="4" t="str">
        <f>IFERROR(__xludf.DUMMYFUNCTION("""COMPUTED_VALUE"""),"helen_83heikon@hotmail.com")</f>
        <v>helen_83heikon@hotmail.com</v>
      </c>
      <c r="E57" s="117">
        <f>IFERROR(__xludf.DUMMYFUNCTION("""COMPUTED_VALUE"""),46053.307494479166)</f>
        <v>46053.30749</v>
      </c>
      <c r="F57" s="4"/>
      <c r="G57" s="4"/>
      <c r="H57" s="4"/>
      <c r="I57" s="4"/>
      <c r="J57" s="4"/>
      <c r="K57" s="4"/>
      <c r="L57" s="4"/>
      <c r="M57" s="4"/>
      <c r="N57" s="4"/>
      <c r="O57" s="4"/>
      <c r="P57" s="4"/>
      <c r="Q57" s="4"/>
      <c r="R57" s="4"/>
      <c r="S57" s="4"/>
      <c r="T57" s="4"/>
      <c r="U57" s="4"/>
      <c r="V57" s="4"/>
      <c r="W57" s="4"/>
      <c r="X57" s="4"/>
      <c r="Y57" s="4"/>
    </row>
    <row r="58" ht="14.25" customHeight="1">
      <c r="A58" s="4" t="str">
        <f>IFERROR(__xludf.DUMMYFUNCTION("""COMPUTED_VALUE"""),"Cody Chan")</f>
        <v>Cody Chan</v>
      </c>
      <c r="B58" s="116">
        <f>IFERROR(__xludf.DUMMYFUNCTION("""COMPUTED_VALUE"""),46060.0)</f>
        <v>46060</v>
      </c>
      <c r="C58" s="4" t="str">
        <f>IFERROR(__xludf.DUMMYFUNCTION("""COMPUTED_VALUE"""),"10am - 11am")</f>
        <v>10am - 11am</v>
      </c>
      <c r="D58" s="4" t="str">
        <f>IFERROR(__xludf.DUMMYFUNCTION("""COMPUTED_VALUE"""),"tengpjng81@hotmail.com")</f>
        <v>tengpjng81@hotmail.com</v>
      </c>
      <c r="E58" s="117">
        <f>IFERROR(__xludf.DUMMYFUNCTION("""COMPUTED_VALUE"""),46059.330875)</f>
        <v>46059.33088</v>
      </c>
      <c r="F58" s="4"/>
      <c r="G58" s="4"/>
      <c r="H58" s="4"/>
      <c r="I58" s="4"/>
      <c r="J58" s="4"/>
      <c r="K58" s="4"/>
      <c r="L58" s="4"/>
      <c r="M58" s="4"/>
      <c r="N58" s="4"/>
      <c r="O58" s="4"/>
      <c r="P58" s="4"/>
      <c r="Q58" s="4"/>
      <c r="R58" s="4"/>
      <c r="S58" s="4"/>
      <c r="T58" s="4"/>
      <c r="U58" s="4"/>
      <c r="V58" s="4"/>
      <c r="W58" s="4"/>
      <c r="X58" s="4"/>
      <c r="Y58" s="4"/>
    </row>
    <row r="59" ht="14.25" customHeight="1">
      <c r="A59" s="4" t="str">
        <f>IFERROR(__xludf.DUMMYFUNCTION("""COMPUTED_VALUE"""),"Jarvis Ningkan")</f>
        <v>Jarvis Ningkan</v>
      </c>
      <c r="B59" s="116">
        <f>IFERROR(__xludf.DUMMYFUNCTION("""COMPUTED_VALUE"""),46060.0)</f>
        <v>46060</v>
      </c>
      <c r="C59" s="4" t="str">
        <f>IFERROR(__xludf.DUMMYFUNCTION("""COMPUTED_VALUE"""),"11am - 12pm")</f>
        <v>11am - 12pm</v>
      </c>
      <c r="D59" s="4" t="str">
        <f>IFERROR(__xludf.DUMMYFUNCTION("""COMPUTED_VALUE"""),"EugenieWilfred@gmail.com")</f>
        <v>EugenieWilfred@gmail.com</v>
      </c>
      <c r="E59" s="117">
        <f>IFERROR(__xludf.DUMMYFUNCTION("""COMPUTED_VALUE"""),46050.78513685185)</f>
        <v>46050.78514</v>
      </c>
      <c r="F59" s="4"/>
      <c r="G59" s="4"/>
      <c r="H59" s="4"/>
      <c r="I59" s="4"/>
      <c r="J59" s="4"/>
      <c r="K59" s="4"/>
      <c r="L59" s="4"/>
      <c r="M59" s="4"/>
      <c r="N59" s="4"/>
      <c r="O59" s="4"/>
      <c r="P59" s="4"/>
      <c r="Q59" s="4"/>
      <c r="R59" s="4"/>
      <c r="S59" s="4"/>
      <c r="T59" s="4"/>
      <c r="U59" s="4"/>
      <c r="V59" s="4"/>
      <c r="W59" s="4"/>
      <c r="X59" s="4"/>
      <c r="Y59" s="4"/>
    </row>
    <row r="60" ht="14.25" customHeight="1">
      <c r="A60" s="4" t="str">
        <f>IFERROR(__xludf.DUMMYFUNCTION("""COMPUTED_VALUE"""),"Josh Ting")</f>
        <v>Josh Ting</v>
      </c>
      <c r="B60" s="116">
        <f>IFERROR(__xludf.DUMMYFUNCTION("""COMPUTED_VALUE"""),46060.0)</f>
        <v>46060</v>
      </c>
      <c r="C60" s="4" t="str">
        <f>IFERROR(__xludf.DUMMYFUNCTION("""COMPUTED_VALUE"""),"11am - 12pm")</f>
        <v>11am - 12pm</v>
      </c>
      <c r="D60" s="4" t="str">
        <f>IFERROR(__xludf.DUMMYFUNCTION("""COMPUTED_VALUE"""),"chloeping_2011@yahoo.com")</f>
        <v>chloeping_2011@yahoo.com</v>
      </c>
      <c r="E60" s="117">
        <f>IFERROR(__xludf.DUMMYFUNCTION("""COMPUTED_VALUE"""),46055.698484085646)</f>
        <v>46055.69848</v>
      </c>
      <c r="F60" s="4"/>
      <c r="G60" s="4"/>
      <c r="H60" s="4"/>
      <c r="I60" s="4"/>
      <c r="J60" s="4"/>
      <c r="K60" s="4"/>
      <c r="L60" s="4"/>
      <c r="M60" s="4"/>
      <c r="N60" s="4"/>
      <c r="O60" s="4"/>
      <c r="P60" s="4"/>
      <c r="Q60" s="4"/>
      <c r="R60" s="4"/>
      <c r="S60" s="4"/>
      <c r="T60" s="4"/>
      <c r="U60" s="4"/>
      <c r="V60" s="4"/>
      <c r="W60" s="4"/>
      <c r="X60" s="4"/>
      <c r="Y60" s="4"/>
    </row>
    <row r="61" ht="14.25" customHeight="1">
      <c r="A61" s="4" t="str">
        <f>IFERROR(__xludf.DUMMYFUNCTION("""COMPUTED_VALUE"""),"LAU JYI XIAN")</f>
        <v>LAU JYI XIAN</v>
      </c>
      <c r="B61" s="116">
        <f>IFERROR(__xludf.DUMMYFUNCTION("""COMPUTED_VALUE"""),46060.0)</f>
        <v>46060</v>
      </c>
      <c r="C61" s="4" t="str">
        <f>IFERROR(__xludf.DUMMYFUNCTION("""COMPUTED_VALUE"""),"11am - 12pm")</f>
        <v>11am - 12pm</v>
      </c>
      <c r="D61" s="4" t="str">
        <f>IFERROR(__xludf.DUMMYFUNCTION("""COMPUTED_VALUE"""),"chiouyilau@yahoo.com")</f>
        <v>chiouyilau@yahoo.com</v>
      </c>
      <c r="E61" s="117">
        <f>IFERROR(__xludf.DUMMYFUNCTION("""COMPUTED_VALUE"""),46059.793601840276)</f>
        <v>46059.7936</v>
      </c>
      <c r="F61" s="4"/>
      <c r="G61" s="4"/>
      <c r="H61" s="4"/>
      <c r="I61" s="4"/>
      <c r="J61" s="4"/>
      <c r="K61" s="4"/>
      <c r="L61" s="4"/>
      <c r="M61" s="4"/>
      <c r="N61" s="4"/>
      <c r="O61" s="4"/>
      <c r="P61" s="4"/>
      <c r="Q61" s="4"/>
      <c r="R61" s="4"/>
      <c r="S61" s="4"/>
      <c r="T61" s="4"/>
      <c r="U61" s="4"/>
      <c r="V61" s="4"/>
      <c r="W61" s="4"/>
      <c r="X61" s="4"/>
      <c r="Y61" s="4"/>
    </row>
    <row r="62" ht="14.25" customHeight="1">
      <c r="A62" s="4" t="str">
        <f>IFERROR(__xludf.DUMMYFUNCTION("""COMPUTED_VALUE"""),"LAU YONG")</f>
        <v>LAU YONG</v>
      </c>
      <c r="B62" s="116">
        <f>IFERROR(__xludf.DUMMYFUNCTION("""COMPUTED_VALUE"""),46060.0)</f>
        <v>46060</v>
      </c>
      <c r="C62" s="4" t="str">
        <f>IFERROR(__xludf.DUMMYFUNCTION("""COMPUTED_VALUE"""),"11am - 12pm")</f>
        <v>11am - 12pm</v>
      </c>
      <c r="D62" s="4" t="str">
        <f>IFERROR(__xludf.DUMMYFUNCTION("""COMPUTED_VALUE"""),"chiouyilau@yahoo.com")</f>
        <v>chiouyilau@yahoo.com</v>
      </c>
      <c r="E62" s="117">
        <f>IFERROR(__xludf.DUMMYFUNCTION("""COMPUTED_VALUE"""),46059.79364561343)</f>
        <v>46059.79365</v>
      </c>
      <c r="F62" s="4"/>
      <c r="G62" s="4"/>
      <c r="H62" s="4"/>
      <c r="I62" s="4"/>
      <c r="J62" s="4"/>
      <c r="K62" s="4"/>
      <c r="L62" s="4"/>
      <c r="M62" s="4"/>
      <c r="N62" s="4"/>
      <c r="O62" s="4"/>
      <c r="P62" s="4"/>
      <c r="Q62" s="4"/>
      <c r="R62" s="4"/>
      <c r="S62" s="4"/>
      <c r="T62" s="4"/>
      <c r="U62" s="4"/>
      <c r="V62" s="4"/>
      <c r="W62" s="4"/>
      <c r="X62" s="4"/>
      <c r="Y62" s="4"/>
    </row>
    <row r="63" ht="14.25" customHeight="1">
      <c r="A63" s="4" t="str">
        <f>IFERROR(__xludf.DUMMYFUNCTION("""COMPUTED_VALUE"""),"Rochester Lee Eu Jyun")</f>
        <v>Rochester Lee Eu Jyun</v>
      </c>
      <c r="B63" s="116">
        <f>IFERROR(__xludf.DUMMYFUNCTION("""COMPUTED_VALUE"""),46060.0)</f>
        <v>46060</v>
      </c>
      <c r="C63" s="4" t="str">
        <f>IFERROR(__xludf.DUMMYFUNCTION("""COMPUTED_VALUE"""),"9am - 10am")</f>
        <v>9am - 10am</v>
      </c>
      <c r="D63" s="4" t="str">
        <f>IFERROR(__xludf.DUMMYFUNCTION("""COMPUTED_VALUE"""),"ahchenlovelycat@gmail.com")</f>
        <v>ahchenlovelycat@gmail.com</v>
      </c>
      <c r="E63" s="117">
        <f>IFERROR(__xludf.DUMMYFUNCTION("""COMPUTED_VALUE"""),46057.92081930555)</f>
        <v>46057.92082</v>
      </c>
      <c r="F63" s="4"/>
      <c r="G63" s="4"/>
      <c r="H63" s="4"/>
      <c r="I63" s="4"/>
      <c r="J63" s="4"/>
      <c r="K63" s="4"/>
      <c r="L63" s="4"/>
      <c r="M63" s="4"/>
      <c r="N63" s="4"/>
      <c r="O63" s="4"/>
      <c r="P63" s="4"/>
      <c r="Q63" s="4"/>
      <c r="R63" s="4"/>
      <c r="S63" s="4"/>
      <c r="T63" s="4"/>
      <c r="U63" s="4"/>
      <c r="V63" s="4"/>
      <c r="W63" s="4"/>
      <c r="X63" s="4"/>
      <c r="Y63" s="4"/>
    </row>
    <row r="64" ht="14.25" customHeight="1">
      <c r="A64" s="4" t="str">
        <f>IFERROR(__xludf.DUMMYFUNCTION("""COMPUTED_VALUE"""),"Dalton yik haw xuan")</f>
        <v>Dalton yik haw xuan</v>
      </c>
      <c r="B64" s="116">
        <f>IFERROR(__xludf.DUMMYFUNCTION("""COMPUTED_VALUE"""),46062.0)</f>
        <v>46062</v>
      </c>
      <c r="C64" s="4"/>
      <c r="D64" s="4" t="str">
        <f>IFERROR(__xludf.DUMMYFUNCTION("""COMPUTED_VALUE"""),"margaret_kiu@hotmail.com")</f>
        <v>margaret_kiu@hotmail.com</v>
      </c>
      <c r="E64" s="117">
        <f>IFERROR(__xludf.DUMMYFUNCTION("""COMPUTED_VALUE"""),46056.46774709491)</f>
        <v>46056.46775</v>
      </c>
      <c r="F64" s="4"/>
      <c r="G64" s="4"/>
      <c r="H64" s="4"/>
      <c r="I64" s="4"/>
      <c r="J64" s="4"/>
      <c r="K64" s="4"/>
      <c r="L64" s="4"/>
      <c r="M64" s="4"/>
      <c r="N64" s="4"/>
      <c r="O64" s="4"/>
      <c r="P64" s="4"/>
      <c r="Q64" s="4"/>
      <c r="R64" s="4"/>
      <c r="S64" s="4"/>
      <c r="T64" s="4"/>
      <c r="U64" s="4"/>
      <c r="V64" s="4"/>
      <c r="W64" s="4"/>
      <c r="X64" s="4"/>
      <c r="Y64" s="4"/>
    </row>
    <row r="65" ht="14.25" customHeight="1">
      <c r="A65" s="4" t="str">
        <f>IFERROR(__xludf.DUMMYFUNCTION("""COMPUTED_VALUE"""),"Howard Ling")</f>
        <v>Howard Ling</v>
      </c>
      <c r="B65" s="116">
        <f>IFERROR(__xludf.DUMMYFUNCTION("""COMPUTED_VALUE"""),46062.0)</f>
        <v>46062</v>
      </c>
      <c r="C65" s="4"/>
      <c r="D65" s="4" t="str">
        <f>IFERROR(__xludf.DUMMYFUNCTION("""COMPUTED_VALUE"""),"viviminnie8787@hotmail.com")</f>
        <v>viviminnie8787@hotmail.com</v>
      </c>
      <c r="E65" s="117">
        <f>IFERROR(__xludf.DUMMYFUNCTION("""COMPUTED_VALUE"""),46061.622530625)</f>
        <v>46061.62253</v>
      </c>
      <c r="F65" s="4"/>
      <c r="G65" s="4"/>
      <c r="H65" s="4"/>
      <c r="I65" s="4"/>
      <c r="J65" s="4"/>
      <c r="K65" s="4"/>
      <c r="L65" s="4"/>
      <c r="M65" s="4"/>
      <c r="N65" s="4"/>
      <c r="O65" s="4"/>
      <c r="P65" s="4"/>
      <c r="Q65" s="4"/>
      <c r="R65" s="4"/>
      <c r="S65" s="4"/>
      <c r="T65" s="4"/>
      <c r="U65" s="4"/>
      <c r="V65" s="4"/>
      <c r="W65" s="4"/>
      <c r="X65" s="4"/>
      <c r="Y65" s="4"/>
    </row>
    <row r="66" ht="14.25" customHeight="1">
      <c r="A66" s="4" t="str">
        <f>IFERROR(__xludf.DUMMYFUNCTION("""COMPUTED_VALUE"""),"OSCAR KHIEW JIAN LYN")</f>
        <v>OSCAR KHIEW JIAN LYN</v>
      </c>
      <c r="B66" s="116">
        <f>IFERROR(__xludf.DUMMYFUNCTION("""COMPUTED_VALUE"""),46064.0)</f>
        <v>46064</v>
      </c>
      <c r="C66" s="4"/>
      <c r="D66" s="4" t="str">
        <f>IFERROR(__xludf.DUMMYFUNCTION("""COMPUTED_VALUE"""),"shu0205ming@gmail.com")</f>
        <v>shu0205ming@gmail.com</v>
      </c>
      <c r="E66" s="117">
        <f>IFERROR(__xludf.DUMMYFUNCTION("""COMPUTED_VALUE"""),46056.420244340276)</f>
        <v>46056.42024</v>
      </c>
      <c r="F66" s="4"/>
      <c r="G66" s="4"/>
      <c r="H66" s="4"/>
      <c r="I66" s="4"/>
      <c r="J66" s="4"/>
      <c r="K66" s="4"/>
      <c r="L66" s="4"/>
      <c r="M66" s="4"/>
      <c r="N66" s="4"/>
      <c r="O66" s="4"/>
      <c r="P66" s="4"/>
      <c r="Q66" s="4"/>
      <c r="R66" s="4"/>
      <c r="S66" s="4"/>
      <c r="T66" s="4"/>
      <c r="U66" s="4"/>
      <c r="V66" s="4"/>
      <c r="W66" s="4"/>
      <c r="X66" s="4"/>
      <c r="Y66" s="4"/>
    </row>
    <row r="67" ht="14.25" customHeight="1">
      <c r="A67" s="4" t="str">
        <f>IFERROR(__xludf.DUMMYFUNCTION("""COMPUTED_VALUE"""),"Ethan lau hui hong")</f>
        <v>Ethan lau hui hong</v>
      </c>
      <c r="B67" s="116">
        <f>IFERROR(__xludf.DUMMYFUNCTION("""COMPUTED_VALUE"""),46067.0)</f>
        <v>46067</v>
      </c>
      <c r="C67" s="4" t="str">
        <f>IFERROR(__xludf.DUMMYFUNCTION("""COMPUTED_VALUE"""),"10am - 11am")</f>
        <v>10am - 11am</v>
      </c>
      <c r="D67" s="4" t="str">
        <f>IFERROR(__xludf.DUMMYFUNCTION("""COMPUTED_VALUE"""),"czeung_wong@yahoo.com")</f>
        <v>czeung_wong@yahoo.com</v>
      </c>
      <c r="E67" s="117">
        <f>IFERROR(__xludf.DUMMYFUNCTION("""COMPUTED_VALUE"""),46067.30062483797)</f>
        <v>46067.30062</v>
      </c>
      <c r="F67" s="4"/>
      <c r="G67" s="4"/>
      <c r="H67" s="4"/>
      <c r="I67" s="4"/>
      <c r="J67" s="4"/>
      <c r="K67" s="4"/>
      <c r="L67" s="4"/>
      <c r="M67" s="4"/>
      <c r="N67" s="4"/>
      <c r="O67" s="4"/>
      <c r="P67" s="4"/>
      <c r="Q67" s="4"/>
      <c r="R67" s="4"/>
      <c r="S67" s="4"/>
      <c r="T67" s="4"/>
      <c r="U67" s="4"/>
      <c r="V67" s="4"/>
      <c r="W67" s="4"/>
      <c r="X67" s="4"/>
      <c r="Y67" s="4"/>
    </row>
    <row r="68" ht="14.25" customHeight="1">
      <c r="A68" s="4" t="str">
        <f>IFERROR(__xludf.DUMMYFUNCTION("""COMPUTED_VALUE"""),"LAU JYI XIAN")</f>
        <v>LAU JYI XIAN</v>
      </c>
      <c r="B68" s="116">
        <f>IFERROR(__xludf.DUMMYFUNCTION("""COMPUTED_VALUE"""),46067.0)</f>
        <v>46067</v>
      </c>
      <c r="C68" s="4" t="str">
        <f>IFERROR(__xludf.DUMMYFUNCTION("""COMPUTED_VALUE"""),"11am - 12pm")</f>
        <v>11am - 12pm</v>
      </c>
      <c r="D68" s="4" t="str">
        <f>IFERROR(__xludf.DUMMYFUNCTION("""COMPUTED_VALUE"""),"chiouyilau@yahoo.com")</f>
        <v>chiouyilau@yahoo.com</v>
      </c>
      <c r="E68" s="117">
        <f>IFERROR(__xludf.DUMMYFUNCTION("""COMPUTED_VALUE"""),46066.85017291667)</f>
        <v>46066.85017</v>
      </c>
      <c r="F68" s="4"/>
      <c r="G68" s="4"/>
      <c r="H68" s="4"/>
      <c r="I68" s="4"/>
      <c r="J68" s="4"/>
      <c r="K68" s="4"/>
      <c r="L68" s="4"/>
      <c r="M68" s="4"/>
      <c r="N68" s="4"/>
      <c r="O68" s="4"/>
      <c r="P68" s="4"/>
      <c r="Q68" s="4"/>
      <c r="R68" s="4"/>
      <c r="S68" s="4"/>
      <c r="T68" s="4"/>
      <c r="U68" s="4"/>
      <c r="V68" s="4"/>
      <c r="W68" s="4"/>
      <c r="X68" s="4"/>
      <c r="Y68" s="4"/>
    </row>
    <row r="69" ht="14.25" customHeight="1">
      <c r="A69" s="4" t="str">
        <f>IFERROR(__xludf.DUMMYFUNCTION("""COMPUTED_VALUE"""),"LAU YONG")</f>
        <v>LAU YONG</v>
      </c>
      <c r="B69" s="116">
        <f>IFERROR(__xludf.DUMMYFUNCTION("""COMPUTED_VALUE"""),46067.0)</f>
        <v>46067</v>
      </c>
      <c r="C69" s="4" t="str">
        <f>IFERROR(__xludf.DUMMYFUNCTION("""COMPUTED_VALUE"""),"11am - 12pm")</f>
        <v>11am - 12pm</v>
      </c>
      <c r="D69" s="4" t="str">
        <f>IFERROR(__xludf.DUMMYFUNCTION("""COMPUTED_VALUE"""),"chiouyilau@yahoo.com")</f>
        <v>chiouyilau@yahoo.com</v>
      </c>
      <c r="E69" s="117">
        <f>IFERROR(__xludf.DUMMYFUNCTION("""COMPUTED_VALUE"""),46066.85020862268)</f>
        <v>46066.85021</v>
      </c>
      <c r="F69" s="4"/>
      <c r="G69" s="4"/>
      <c r="H69" s="4"/>
      <c r="I69" s="4"/>
      <c r="J69" s="4"/>
      <c r="K69" s="4"/>
      <c r="L69" s="4"/>
      <c r="M69" s="4"/>
      <c r="N69" s="4"/>
      <c r="O69" s="4"/>
      <c r="P69" s="4"/>
      <c r="Q69" s="4"/>
      <c r="R69" s="4"/>
      <c r="S69" s="4"/>
      <c r="T69" s="4"/>
      <c r="U69" s="4"/>
      <c r="V69" s="4"/>
      <c r="W69" s="4"/>
      <c r="X69" s="4"/>
      <c r="Y69" s="4"/>
    </row>
    <row r="70" ht="14.25" customHeight="1">
      <c r="A70" s="4" t="str">
        <f>IFERROR(__xludf.DUMMYFUNCTION("""COMPUTED_VALUE"""),"Edric Yong Tian Jun")</f>
        <v>Edric Yong Tian Jun</v>
      </c>
      <c r="B70" s="116">
        <f>IFERROR(__xludf.DUMMYFUNCTION("""COMPUTED_VALUE"""),46067.0)</f>
        <v>46067</v>
      </c>
      <c r="C70" s="4" t="str">
        <f>IFERROR(__xludf.DUMMYFUNCTION("""COMPUTED_VALUE"""),"11am - 12pm")</f>
        <v>11am - 12pm</v>
      </c>
      <c r="D70" s="4" t="str">
        <f>IFERROR(__xludf.DUMMYFUNCTION("""COMPUTED_VALUE"""),"loitecklee2014@gmail.com")</f>
        <v>loitecklee2014@gmail.com</v>
      </c>
      <c r="E70" s="117">
        <f>IFERROR(__xludf.DUMMYFUNCTION("""COMPUTED_VALUE"""),46067.38912309028)</f>
        <v>46067.38912</v>
      </c>
      <c r="F70" s="4"/>
      <c r="G70" s="4"/>
      <c r="H70" s="4"/>
      <c r="I70" s="4"/>
      <c r="J70" s="4"/>
      <c r="K70" s="4"/>
      <c r="L70" s="4"/>
      <c r="M70" s="4"/>
      <c r="N70" s="4"/>
      <c r="O70" s="4"/>
      <c r="P70" s="4"/>
      <c r="Q70" s="4"/>
      <c r="R70" s="4"/>
      <c r="S70" s="4"/>
      <c r="T70" s="4"/>
      <c r="U70" s="4"/>
      <c r="V70" s="4"/>
      <c r="W70" s="4"/>
      <c r="X70" s="4"/>
      <c r="Y70" s="4"/>
    </row>
    <row r="71" ht="14.25" customHeight="1">
      <c r="A71" s="4" t="str">
        <f>IFERROR(__xludf.DUMMYFUNCTION("""COMPUTED_VALUE"""),"Ivan Tan Jun Haw")</f>
        <v>Ivan Tan Jun Haw</v>
      </c>
      <c r="B71" s="116">
        <f>IFERROR(__xludf.DUMMYFUNCTION("""COMPUTED_VALUE"""),46067.0)</f>
        <v>46067</v>
      </c>
      <c r="C71" s="4" t="str">
        <f>IFERROR(__xludf.DUMMYFUNCTION("""COMPUTED_VALUE"""),"2pm - 3pm")</f>
        <v>2pm - 3pm</v>
      </c>
      <c r="D71" s="4" t="str">
        <f>IFERROR(__xludf.DUMMYFUNCTION("""COMPUTED_VALUE"""),"solar81@yahoo.com")</f>
        <v>solar81@yahoo.com</v>
      </c>
      <c r="E71" s="117">
        <f>IFERROR(__xludf.DUMMYFUNCTION("""COMPUTED_VALUE"""),46063.56318025463)</f>
        <v>46063.56318</v>
      </c>
      <c r="F71" s="4"/>
      <c r="G71" s="4"/>
      <c r="H71" s="4"/>
      <c r="I71" s="4"/>
      <c r="J71" s="4"/>
      <c r="K71" s="4"/>
      <c r="L71" s="4"/>
      <c r="M71" s="4"/>
      <c r="N71" s="4"/>
      <c r="O71" s="4"/>
      <c r="P71" s="4"/>
      <c r="Q71" s="4"/>
      <c r="R71" s="4"/>
      <c r="S71" s="4"/>
      <c r="T71" s="4"/>
      <c r="U71" s="4"/>
      <c r="V71" s="4"/>
      <c r="W71" s="4"/>
      <c r="X71" s="4"/>
      <c r="Y71" s="4"/>
    </row>
    <row r="72" ht="14.25" customHeight="1">
      <c r="A72" s="4" t="str">
        <f>IFERROR(__xludf.DUMMYFUNCTION("""COMPUTED_VALUE"""),"Jvan Tan Jun Yik")</f>
        <v>Jvan Tan Jun Yik</v>
      </c>
      <c r="B72" s="116">
        <f>IFERROR(__xludf.DUMMYFUNCTION("""COMPUTED_VALUE"""),46067.0)</f>
        <v>46067</v>
      </c>
      <c r="C72" s="4" t="str">
        <f>IFERROR(__xludf.DUMMYFUNCTION("""COMPUTED_VALUE"""),"2pm - 3pm")</f>
        <v>2pm - 3pm</v>
      </c>
      <c r="D72" s="4" t="str">
        <f>IFERROR(__xludf.DUMMYFUNCTION("""COMPUTED_VALUE"""),"solar81@yahoo.com")</f>
        <v>solar81@yahoo.com</v>
      </c>
      <c r="E72" s="117">
        <f>IFERROR(__xludf.DUMMYFUNCTION("""COMPUTED_VALUE"""),46063.56322414352)</f>
        <v>46063.56322</v>
      </c>
      <c r="F72" s="4"/>
      <c r="G72" s="4"/>
      <c r="H72" s="4"/>
      <c r="I72" s="4"/>
      <c r="J72" s="4"/>
      <c r="K72" s="4"/>
      <c r="L72" s="4"/>
      <c r="M72" s="4"/>
      <c r="N72" s="4"/>
      <c r="O72" s="4"/>
      <c r="P72" s="4"/>
      <c r="Q72" s="4"/>
      <c r="R72" s="4"/>
      <c r="S72" s="4"/>
      <c r="T72" s="4"/>
      <c r="U72" s="4"/>
      <c r="V72" s="4"/>
      <c r="W72" s="4"/>
      <c r="X72" s="4"/>
      <c r="Y72" s="4"/>
    </row>
    <row r="73" ht="14.25" customHeight="1">
      <c r="A73" s="4" t="str">
        <f>IFERROR(__xludf.DUMMYFUNCTION("""COMPUTED_VALUE"""),"Noelle Wong Jing Yan")</f>
        <v>Noelle Wong Jing Yan</v>
      </c>
      <c r="B73" s="116">
        <f>IFERROR(__xludf.DUMMYFUNCTION("""COMPUTED_VALUE"""),46067.0)</f>
        <v>46067</v>
      </c>
      <c r="C73" s="4" t="str">
        <f>IFERROR(__xludf.DUMMYFUNCTION("""COMPUTED_VALUE"""),"2pm - 3pm")</f>
        <v>2pm - 3pm</v>
      </c>
      <c r="D73" s="4" t="str">
        <f>IFERROR(__xludf.DUMMYFUNCTION("""COMPUTED_VALUE"""),"elizabeth_ncf@yahoo.com")</f>
        <v>elizabeth_ncf@yahoo.com</v>
      </c>
      <c r="E73" s="117">
        <f>IFERROR(__xludf.DUMMYFUNCTION("""COMPUTED_VALUE"""),46064.73281695602)</f>
        <v>46064.73282</v>
      </c>
      <c r="F73" s="4"/>
      <c r="G73" s="4"/>
      <c r="H73" s="4"/>
      <c r="I73" s="4"/>
      <c r="J73" s="4"/>
      <c r="K73" s="4"/>
      <c r="L73" s="4"/>
      <c r="M73" s="4"/>
      <c r="N73" s="4"/>
      <c r="O73" s="4"/>
      <c r="P73" s="4"/>
      <c r="Q73" s="4"/>
      <c r="R73" s="4"/>
      <c r="S73" s="4"/>
      <c r="T73" s="4"/>
      <c r="U73" s="4"/>
      <c r="V73" s="4"/>
      <c r="W73" s="4"/>
      <c r="X73" s="4"/>
      <c r="Y73" s="4"/>
    </row>
    <row r="74" ht="14.25" customHeight="1">
      <c r="A74" s="4" t="str">
        <f>IFERROR(__xludf.DUMMYFUNCTION("""COMPUTED_VALUE"""),"Faye Wong Jing Tong")</f>
        <v>Faye Wong Jing Tong</v>
      </c>
      <c r="B74" s="116">
        <f>IFERROR(__xludf.DUMMYFUNCTION("""COMPUTED_VALUE"""),46067.0)</f>
        <v>46067</v>
      </c>
      <c r="C74" s="4" t="str">
        <f>IFERROR(__xludf.DUMMYFUNCTION("""COMPUTED_VALUE"""),"2pm - 3pm")</f>
        <v>2pm - 3pm</v>
      </c>
      <c r="D74" s="4" t="str">
        <f>IFERROR(__xludf.DUMMYFUNCTION("""COMPUTED_VALUE"""),"elizabeth_ncf@yahoo.com")</f>
        <v>elizabeth_ncf@yahoo.com</v>
      </c>
      <c r="E74" s="117">
        <f>IFERROR(__xludf.DUMMYFUNCTION("""COMPUTED_VALUE"""),46064.732851215274)</f>
        <v>46064.73285</v>
      </c>
      <c r="F74" s="4"/>
      <c r="G74" s="4"/>
      <c r="H74" s="4"/>
      <c r="I74" s="4"/>
      <c r="J74" s="4"/>
      <c r="K74" s="4"/>
      <c r="L74" s="4"/>
      <c r="M74" s="4"/>
      <c r="N74" s="4"/>
      <c r="O74" s="4"/>
      <c r="P74" s="4"/>
      <c r="Q74" s="4"/>
      <c r="R74" s="4"/>
      <c r="S74" s="4"/>
      <c r="T74" s="4"/>
      <c r="U74" s="4"/>
      <c r="V74" s="4"/>
      <c r="W74" s="4"/>
      <c r="X74" s="4"/>
      <c r="Y74" s="4"/>
    </row>
    <row r="75" ht="14.25" customHeight="1">
      <c r="A75" s="4" t="str">
        <f>IFERROR(__xludf.DUMMYFUNCTION("""COMPUTED_VALUE"""),"Amos Wong Jun Ren")</f>
        <v>Amos Wong Jun Ren</v>
      </c>
      <c r="B75" s="116">
        <f>IFERROR(__xludf.DUMMYFUNCTION("""COMPUTED_VALUE"""),46067.0)</f>
        <v>46067</v>
      </c>
      <c r="C75" s="4" t="str">
        <f>IFERROR(__xludf.DUMMYFUNCTION("""COMPUTED_VALUE"""),"2pm - 3pm")</f>
        <v>2pm - 3pm</v>
      </c>
      <c r="D75" s="4" t="str">
        <f>IFERROR(__xludf.DUMMYFUNCTION("""COMPUTED_VALUE"""),"elizabeth_ncf@yahoo.com")</f>
        <v>elizabeth_ncf@yahoo.com</v>
      </c>
      <c r="E75" s="117">
        <f>IFERROR(__xludf.DUMMYFUNCTION("""COMPUTED_VALUE"""),46064.732885509264)</f>
        <v>46064.73289</v>
      </c>
      <c r="F75" s="4"/>
      <c r="G75" s="4"/>
      <c r="H75" s="4"/>
      <c r="I75" s="4"/>
      <c r="J75" s="4"/>
      <c r="K75" s="4"/>
      <c r="L75" s="4"/>
      <c r="M75" s="4"/>
      <c r="N75" s="4"/>
      <c r="O75" s="4"/>
      <c r="P75" s="4"/>
      <c r="Q75" s="4"/>
      <c r="R75" s="4"/>
      <c r="S75" s="4"/>
      <c r="T75" s="4"/>
      <c r="U75" s="4"/>
      <c r="V75" s="4"/>
      <c r="W75" s="4"/>
      <c r="X75" s="4"/>
      <c r="Y75" s="4"/>
    </row>
    <row r="76" ht="14.25" customHeight="1">
      <c r="A76" s="4" t="str">
        <f>IFERROR(__xludf.DUMMYFUNCTION("""COMPUTED_VALUE"""),"Evonne Cheng")</f>
        <v>Evonne Cheng</v>
      </c>
      <c r="B76" s="116">
        <f>IFERROR(__xludf.DUMMYFUNCTION("""COMPUTED_VALUE"""),46067.0)</f>
        <v>46067</v>
      </c>
      <c r="C76" s="4" t="str">
        <f>IFERROR(__xludf.DUMMYFUNCTION("""COMPUTED_VALUE"""),"2pm - 3pm")</f>
        <v>2pm - 3pm</v>
      </c>
      <c r="D76" s="4" t="str">
        <f>IFERROR(__xludf.DUMMYFUNCTION("""COMPUTED_VALUE"""),"cxz526@gmail.com")</f>
        <v>cxz526@gmail.com</v>
      </c>
      <c r="E76" s="117">
        <f>IFERROR(__xludf.DUMMYFUNCTION("""COMPUTED_VALUE"""),46066.87087416666)</f>
        <v>46066.87087</v>
      </c>
      <c r="F76" s="4"/>
      <c r="G76" s="4"/>
      <c r="H76" s="4"/>
      <c r="I76" s="4"/>
      <c r="J76" s="4"/>
      <c r="K76" s="4"/>
      <c r="L76" s="4"/>
      <c r="M76" s="4"/>
      <c r="N76" s="4"/>
      <c r="O76" s="4"/>
      <c r="P76" s="4"/>
      <c r="Q76" s="4"/>
      <c r="R76" s="4"/>
      <c r="S76" s="4"/>
      <c r="T76" s="4"/>
      <c r="U76" s="4"/>
      <c r="V76" s="4"/>
      <c r="W76" s="4"/>
      <c r="X76" s="4"/>
      <c r="Y76" s="4"/>
    </row>
    <row r="77" ht="14.25" customHeight="1">
      <c r="A77" s="4" t="str">
        <f>IFERROR(__xludf.DUMMYFUNCTION("""COMPUTED_VALUE"""),"Daniel Lee Meng Ze")</f>
        <v>Daniel Lee Meng Ze</v>
      </c>
      <c r="B77" s="116">
        <f>IFERROR(__xludf.DUMMYFUNCTION("""COMPUTED_VALUE"""),46067.0)</f>
        <v>46067</v>
      </c>
      <c r="C77" s="4" t="str">
        <f>IFERROR(__xludf.DUMMYFUNCTION("""COMPUTED_VALUE"""),"3pm - 4pm")</f>
        <v>3pm - 4pm</v>
      </c>
      <c r="D77" s="4" t="str">
        <f>IFERROR(__xludf.DUMMYFUNCTION("""COMPUTED_VALUE"""),"philipda881218@gmail.com")</f>
        <v>philipda881218@gmail.com</v>
      </c>
      <c r="E77" s="117">
        <f>IFERROR(__xludf.DUMMYFUNCTION("""COMPUTED_VALUE"""),46064.833366122686)</f>
        <v>46064.83337</v>
      </c>
      <c r="F77" s="4"/>
      <c r="G77" s="4"/>
      <c r="H77" s="4"/>
      <c r="I77" s="4"/>
      <c r="J77" s="4"/>
      <c r="K77" s="4"/>
      <c r="L77" s="4"/>
      <c r="M77" s="4"/>
      <c r="N77" s="4"/>
      <c r="O77" s="4"/>
      <c r="P77" s="4"/>
      <c r="Q77" s="4"/>
      <c r="R77" s="4"/>
      <c r="S77" s="4"/>
      <c r="T77" s="4"/>
      <c r="U77" s="4"/>
      <c r="V77" s="4"/>
      <c r="W77" s="4"/>
      <c r="X77" s="4"/>
      <c r="Y77" s="4"/>
    </row>
    <row r="78" ht="14.25" customHeight="1">
      <c r="A78" s="4" t="str">
        <f>IFERROR(__xludf.DUMMYFUNCTION("""COMPUTED_VALUE"""),"Alston Chan")</f>
        <v>Alston Chan</v>
      </c>
      <c r="B78" s="116">
        <f>IFERROR(__xludf.DUMMYFUNCTION("""COMPUTED_VALUE"""),46067.0)</f>
        <v>46067</v>
      </c>
      <c r="C78" s="4" t="str">
        <f>IFERROR(__xludf.DUMMYFUNCTION("""COMPUTED_VALUE"""),"3pm - 4pm")</f>
        <v>3pm - 4pm</v>
      </c>
      <c r="D78" s="4" t="str">
        <f>IFERROR(__xludf.DUMMYFUNCTION("""COMPUTED_VALUE"""),"kuilingkhei@gmail.com")</f>
        <v>kuilingkhei@gmail.com</v>
      </c>
      <c r="E78" s="117">
        <f>IFERROR(__xludf.DUMMYFUNCTION("""COMPUTED_VALUE"""),46067.563066574075)</f>
        <v>46067.56307</v>
      </c>
      <c r="F78" s="4"/>
      <c r="G78" s="4"/>
      <c r="H78" s="4"/>
      <c r="I78" s="4"/>
      <c r="J78" s="4"/>
      <c r="K78" s="4"/>
      <c r="L78" s="4"/>
      <c r="M78" s="4"/>
      <c r="N78" s="4"/>
      <c r="O78" s="4"/>
      <c r="P78" s="4"/>
      <c r="Q78" s="4"/>
      <c r="R78" s="4"/>
      <c r="S78" s="4"/>
      <c r="T78" s="4"/>
      <c r="U78" s="4"/>
      <c r="V78" s="4"/>
      <c r="W78" s="4"/>
      <c r="X78" s="4"/>
      <c r="Y78" s="4"/>
    </row>
    <row r="79" ht="14.25" customHeight="1">
      <c r="A79" s="4" t="str">
        <f>IFERROR(__xludf.DUMMYFUNCTION("""COMPUTED_VALUE"""),"LUCAS CHIEW WEI HAN")</f>
        <v>LUCAS CHIEW WEI HAN</v>
      </c>
      <c r="B79" s="116">
        <f>IFERROR(__xludf.DUMMYFUNCTION("""COMPUTED_VALUE"""),46067.0)</f>
        <v>46067</v>
      </c>
      <c r="C79" s="4" t="str">
        <f>IFERROR(__xludf.DUMMYFUNCTION("""COMPUTED_VALUE"""),"4pm - 5pm")</f>
        <v>4pm - 5pm</v>
      </c>
      <c r="D79" s="4" t="str">
        <f>IFERROR(__xludf.DUMMYFUNCTION("""COMPUTED_VALUE"""),"thomaschiew88@gmail.com")</f>
        <v>thomaschiew88@gmail.com</v>
      </c>
      <c r="E79" s="117">
        <f>IFERROR(__xludf.DUMMYFUNCTION("""COMPUTED_VALUE"""),46063.447050069444)</f>
        <v>46063.44705</v>
      </c>
      <c r="F79" s="4"/>
      <c r="G79" s="4"/>
      <c r="H79" s="4"/>
      <c r="I79" s="4"/>
      <c r="J79" s="4"/>
      <c r="K79" s="4"/>
      <c r="L79" s="4"/>
      <c r="M79" s="4"/>
      <c r="N79" s="4"/>
      <c r="O79" s="4"/>
      <c r="P79" s="4"/>
      <c r="Q79" s="4"/>
      <c r="R79" s="4"/>
      <c r="S79" s="4"/>
      <c r="T79" s="4"/>
      <c r="U79" s="4"/>
      <c r="V79" s="4"/>
      <c r="W79" s="4"/>
      <c r="X79" s="4"/>
      <c r="Y79" s="4"/>
    </row>
    <row r="80" ht="14.25" customHeight="1">
      <c r="A80" s="4" t="str">
        <f>IFERROR(__xludf.DUMMYFUNCTION("""COMPUTED_VALUE"""),"Alston Chan")</f>
        <v>Alston Chan</v>
      </c>
      <c r="B80" s="116">
        <f>IFERROR(__xludf.DUMMYFUNCTION("""COMPUTED_VALUE"""),46067.0)</f>
        <v>46067</v>
      </c>
      <c r="C80" s="4" t="str">
        <f>IFERROR(__xludf.DUMMYFUNCTION("""COMPUTED_VALUE"""),"4pm - 5pm")</f>
        <v>4pm - 5pm</v>
      </c>
      <c r="D80" s="4" t="str">
        <f>IFERROR(__xludf.DUMMYFUNCTION("""COMPUTED_VALUE"""),"kuilingkhei@gmail.com")</f>
        <v>kuilingkhei@gmail.com</v>
      </c>
      <c r="E80" s="117">
        <f>IFERROR(__xludf.DUMMYFUNCTION("""COMPUTED_VALUE"""),46067.31475398148)</f>
        <v>46067.31475</v>
      </c>
      <c r="F80" s="4"/>
      <c r="G80" s="4"/>
      <c r="H80" s="4"/>
      <c r="I80" s="4"/>
      <c r="J80" s="4"/>
      <c r="K80" s="4"/>
      <c r="L80" s="4"/>
      <c r="M80" s="4"/>
      <c r="N80" s="4"/>
      <c r="O80" s="4"/>
      <c r="P80" s="4"/>
      <c r="Q80" s="4"/>
      <c r="R80" s="4"/>
      <c r="S80" s="4"/>
      <c r="T80" s="4"/>
      <c r="U80" s="4"/>
      <c r="V80" s="4"/>
      <c r="W80" s="4"/>
      <c r="X80" s="4"/>
      <c r="Y80" s="4"/>
    </row>
    <row r="81" ht="14.25" customHeight="1">
      <c r="A81" s="4" t="str">
        <f>IFERROR(__xludf.DUMMYFUNCTION("""COMPUTED_VALUE"""),"Jerry Yong Ching Hwa")</f>
        <v>Jerry Yong Ching Hwa</v>
      </c>
      <c r="B81" s="116">
        <f>IFERROR(__xludf.DUMMYFUNCTION("""COMPUTED_VALUE"""),46067.0)</f>
        <v>46067</v>
      </c>
      <c r="C81" s="4" t="str">
        <f>IFERROR(__xludf.DUMMYFUNCTION("""COMPUTED_VALUE"""),"9am - 10am")</f>
        <v>9am - 10am</v>
      </c>
      <c r="D81" s="4" t="str">
        <f>IFERROR(__xludf.DUMMYFUNCTION("""COMPUTED_VALUE"""),"sweetjojo1509@yahoo.com")</f>
        <v>sweetjojo1509@yahoo.com</v>
      </c>
      <c r="E81" s="117">
        <f>IFERROR(__xludf.DUMMYFUNCTION("""COMPUTED_VALUE"""),46058.32881314815)</f>
        <v>46058.32881</v>
      </c>
      <c r="F81" s="4"/>
      <c r="G81" s="4"/>
      <c r="H81" s="4"/>
      <c r="I81" s="4"/>
      <c r="J81" s="4"/>
      <c r="K81" s="4"/>
      <c r="L81" s="4"/>
      <c r="M81" s="4"/>
      <c r="N81" s="4"/>
      <c r="O81" s="4"/>
      <c r="P81" s="4"/>
      <c r="Q81" s="4"/>
      <c r="R81" s="4"/>
      <c r="S81" s="4"/>
      <c r="T81" s="4"/>
      <c r="U81" s="4"/>
      <c r="V81" s="4"/>
      <c r="W81" s="4"/>
      <c r="X81" s="4"/>
      <c r="Y81" s="4"/>
    </row>
    <row r="82" ht="14.25" customHeight="1">
      <c r="A82" s="4" t="str">
        <f>IFERROR(__xludf.DUMMYFUNCTION("""COMPUTED_VALUE"""),"Lucas Ting Ker Jun")</f>
        <v>Lucas Ting Ker Jun</v>
      </c>
      <c r="B82" s="116">
        <f>IFERROR(__xludf.DUMMYFUNCTION("""COMPUTED_VALUE"""),46067.0)</f>
        <v>46067</v>
      </c>
      <c r="C82" s="4" t="str">
        <f>IFERROR(__xludf.DUMMYFUNCTION("""COMPUTED_VALUE"""),"9am - 10am")</f>
        <v>9am - 10am</v>
      </c>
      <c r="D82" s="4" t="str">
        <f>IFERROR(__xludf.DUMMYFUNCTION("""COMPUTED_VALUE"""),"tingweeyii@gmail.com")</f>
        <v>tingweeyii@gmail.com</v>
      </c>
      <c r="E82" s="117">
        <f>IFERROR(__xludf.DUMMYFUNCTION("""COMPUTED_VALUE"""),46062.72011462963)</f>
        <v>46062.72011</v>
      </c>
      <c r="F82" s="4"/>
      <c r="G82" s="4"/>
      <c r="H82" s="4"/>
      <c r="I82" s="4"/>
      <c r="J82" s="4"/>
      <c r="K82" s="4"/>
      <c r="L82" s="4"/>
      <c r="M82" s="4"/>
      <c r="N82" s="4"/>
      <c r="O82" s="4"/>
      <c r="P82" s="4"/>
      <c r="Q82" s="4"/>
      <c r="R82" s="4"/>
      <c r="S82" s="4"/>
      <c r="T82" s="4"/>
      <c r="U82" s="4"/>
      <c r="V82" s="4"/>
      <c r="W82" s="4"/>
      <c r="X82" s="4"/>
      <c r="Y82" s="4"/>
    </row>
    <row r="83" ht="14.25" customHeight="1">
      <c r="A83" s="4" t="str">
        <f>IFERROR(__xludf.DUMMYFUNCTION("""COMPUTED_VALUE"""),"Yang mingyu")</f>
        <v>Yang mingyu</v>
      </c>
      <c r="B83" s="116">
        <f>IFERROR(__xludf.DUMMYFUNCTION("""COMPUTED_VALUE"""),46078.0)</f>
        <v>46078</v>
      </c>
      <c r="C83" s="4"/>
      <c r="D83" s="4" t="str">
        <f>IFERROR(__xludf.DUMMYFUNCTION("""COMPUTED_VALUE"""),"zhou249834117@gmail.com")</f>
        <v>zhou249834117@gmail.com</v>
      </c>
      <c r="E83" s="117">
        <f>IFERROR(__xludf.DUMMYFUNCTION("""COMPUTED_VALUE"""),46077.879256064814)</f>
        <v>46077.87926</v>
      </c>
      <c r="F83" s="4"/>
      <c r="G83" s="4"/>
      <c r="H83" s="4"/>
      <c r="I83" s="4"/>
      <c r="J83" s="4"/>
      <c r="K83" s="4"/>
      <c r="L83" s="4"/>
      <c r="M83" s="4"/>
      <c r="N83" s="4"/>
      <c r="O83" s="4"/>
      <c r="P83" s="4"/>
      <c r="Q83" s="4"/>
      <c r="R83" s="4"/>
      <c r="S83" s="4"/>
      <c r="T83" s="4"/>
      <c r="U83" s="4"/>
      <c r="V83" s="4"/>
      <c r="W83" s="4"/>
      <c r="X83" s="4"/>
      <c r="Y83" s="4"/>
    </row>
    <row r="84" ht="14.25" customHeight="1">
      <c r="A84" s="4" t="str">
        <f>IFERROR(__xludf.DUMMYFUNCTION("""COMPUTED_VALUE"""),"Cody")</f>
        <v>Cody</v>
      </c>
      <c r="B84" s="116">
        <f>IFERROR(__xludf.DUMMYFUNCTION("""COMPUTED_VALUE"""),46081.0)</f>
        <v>46081</v>
      </c>
      <c r="C84" s="4" t="str">
        <f>IFERROR(__xludf.DUMMYFUNCTION("""COMPUTED_VALUE"""),"10am - 11am")</f>
        <v>10am - 11am</v>
      </c>
      <c r="D84" s="4" t="str">
        <f>IFERROR(__xludf.DUMMYFUNCTION("""COMPUTED_VALUE"""),"woeihan1999@gmail.com")</f>
        <v>woeihan1999@gmail.com</v>
      </c>
      <c r="E84" s="117">
        <f>IFERROR(__xludf.DUMMYFUNCTION("""COMPUTED_VALUE"""),46081.38643633101)</f>
        <v>46081.38644</v>
      </c>
      <c r="F84" s="4"/>
      <c r="G84" s="4"/>
      <c r="H84" s="4"/>
      <c r="I84" s="4"/>
      <c r="J84" s="4"/>
      <c r="K84" s="4"/>
      <c r="L84" s="4"/>
      <c r="M84" s="4"/>
      <c r="N84" s="4"/>
      <c r="O84" s="4"/>
      <c r="P84" s="4"/>
      <c r="Q84" s="4"/>
      <c r="R84" s="4"/>
      <c r="S84" s="4"/>
      <c r="T84" s="4"/>
      <c r="U84" s="4"/>
      <c r="V84" s="4"/>
      <c r="W84" s="4"/>
      <c r="X84" s="4"/>
      <c r="Y84" s="4"/>
    </row>
    <row r="85" ht="14.25" customHeight="1">
      <c r="A85" s="4" t="str">
        <f>IFERROR(__xludf.DUMMYFUNCTION("""COMPUTED_VALUE"""),"LAU JYI XIAN")</f>
        <v>LAU JYI XIAN</v>
      </c>
      <c r="B85" s="116">
        <f>IFERROR(__xludf.DUMMYFUNCTION("""COMPUTED_VALUE"""),46081.0)</f>
        <v>46081</v>
      </c>
      <c r="C85" s="4" t="str">
        <f>IFERROR(__xludf.DUMMYFUNCTION("""COMPUTED_VALUE"""),"11am - 12pm")</f>
        <v>11am - 12pm</v>
      </c>
      <c r="D85" s="4" t="str">
        <f>IFERROR(__xludf.DUMMYFUNCTION("""COMPUTED_VALUE"""),"chiouyilau@yahoo.com")</f>
        <v>chiouyilau@yahoo.com</v>
      </c>
      <c r="E85" s="117">
        <f>IFERROR(__xludf.DUMMYFUNCTION("""COMPUTED_VALUE"""),46080.86788760417)</f>
        <v>46080.86789</v>
      </c>
      <c r="F85" s="4"/>
      <c r="G85" s="4"/>
      <c r="H85" s="4"/>
      <c r="I85" s="4"/>
      <c r="J85" s="4"/>
      <c r="K85" s="4"/>
      <c r="L85" s="4"/>
      <c r="M85" s="4"/>
      <c r="N85" s="4"/>
      <c r="O85" s="4"/>
      <c r="P85" s="4"/>
      <c r="Q85" s="4"/>
      <c r="R85" s="4"/>
      <c r="S85" s="4"/>
      <c r="T85" s="4"/>
      <c r="U85" s="4"/>
      <c r="V85" s="4"/>
      <c r="W85" s="4"/>
      <c r="X85" s="4"/>
      <c r="Y85" s="4"/>
    </row>
    <row r="86" ht="14.25" customHeight="1">
      <c r="A86" s="4" t="str">
        <f>IFERROR(__xludf.DUMMYFUNCTION("""COMPUTED_VALUE"""),"LAU YONG")</f>
        <v>LAU YONG</v>
      </c>
      <c r="B86" s="116">
        <f>IFERROR(__xludf.DUMMYFUNCTION("""COMPUTED_VALUE"""),46081.0)</f>
        <v>46081</v>
      </c>
      <c r="C86" s="4" t="str">
        <f>IFERROR(__xludf.DUMMYFUNCTION("""COMPUTED_VALUE"""),"11am - 12pm")</f>
        <v>11am - 12pm</v>
      </c>
      <c r="D86" s="4" t="str">
        <f>IFERROR(__xludf.DUMMYFUNCTION("""COMPUTED_VALUE"""),"chiouyilau@yahoo.com")</f>
        <v>chiouyilau@yahoo.com</v>
      </c>
      <c r="E86" s="117">
        <f>IFERROR(__xludf.DUMMYFUNCTION("""COMPUTED_VALUE"""),46080.86792855324)</f>
        <v>46080.86793</v>
      </c>
      <c r="F86" s="4"/>
      <c r="G86" s="4"/>
      <c r="H86" s="4"/>
      <c r="I86" s="4"/>
      <c r="J86" s="4"/>
      <c r="K86" s="4"/>
      <c r="L86" s="4"/>
      <c r="M86" s="4"/>
      <c r="N86" s="4"/>
      <c r="O86" s="4"/>
      <c r="P86" s="4"/>
      <c r="Q86" s="4"/>
      <c r="R86" s="4"/>
      <c r="S86" s="4"/>
      <c r="T86" s="4"/>
      <c r="U86" s="4"/>
      <c r="V86" s="4"/>
      <c r="W86" s="4"/>
      <c r="X86" s="4"/>
      <c r="Y86" s="4"/>
    </row>
    <row r="87" ht="14.25" customHeight="1">
      <c r="A87" s="4" t="str">
        <f>IFERROR(__xludf.DUMMYFUNCTION("""COMPUTED_VALUE"""),"Evonne Cheng Xin Ning")</f>
        <v>Evonne Cheng Xin Ning</v>
      </c>
      <c r="B87" s="116">
        <f>IFERROR(__xludf.DUMMYFUNCTION("""COMPUTED_VALUE"""),46081.0)</f>
        <v>46081</v>
      </c>
      <c r="C87" s="4" t="str">
        <f>IFERROR(__xludf.DUMMYFUNCTION("""COMPUTED_VALUE"""),"2pm - 3pm")</f>
        <v>2pm - 3pm</v>
      </c>
      <c r="D87" s="4" t="str">
        <f>IFERROR(__xludf.DUMMYFUNCTION("""COMPUTED_VALUE"""),"cxz526@gmail.com")</f>
        <v>cxz526@gmail.com</v>
      </c>
      <c r="E87" s="117">
        <f>IFERROR(__xludf.DUMMYFUNCTION("""COMPUTED_VALUE"""),46081.433293379625)</f>
        <v>46081.43329</v>
      </c>
      <c r="F87" s="4"/>
      <c r="G87" s="4"/>
      <c r="H87" s="4"/>
      <c r="I87" s="4"/>
      <c r="J87" s="4"/>
      <c r="K87" s="4"/>
      <c r="L87" s="4"/>
      <c r="M87" s="4"/>
      <c r="N87" s="4"/>
      <c r="O87" s="4"/>
      <c r="P87" s="4"/>
      <c r="Q87" s="4"/>
      <c r="R87" s="4"/>
      <c r="S87" s="4"/>
      <c r="T87" s="4"/>
      <c r="U87" s="4"/>
      <c r="V87" s="4"/>
      <c r="W87" s="4"/>
      <c r="X87" s="4"/>
      <c r="Y87" s="4"/>
    </row>
    <row r="88" ht="14.25" customHeight="1">
      <c r="A88" s="4" t="str">
        <f>IFERROR(__xludf.DUMMYFUNCTION("""COMPUTED_VALUE"""),"Daphne Wong")</f>
        <v>Daphne Wong</v>
      </c>
      <c r="B88" s="116">
        <f>IFERROR(__xludf.DUMMYFUNCTION("""COMPUTED_VALUE"""),46081.0)</f>
        <v>46081</v>
      </c>
      <c r="C88" s="4" t="str">
        <f>IFERROR(__xludf.DUMMYFUNCTION("""COMPUTED_VALUE"""),"2pm - 3pm")</f>
        <v>2pm - 3pm</v>
      </c>
      <c r="D88" s="4" t="str">
        <f>IFERROR(__xludf.DUMMYFUNCTION("""COMPUTED_VALUE"""),"gohmaiumaiu@hotmail.com")</f>
        <v>gohmaiumaiu@hotmail.com</v>
      </c>
      <c r="E88" s="117">
        <f>IFERROR(__xludf.DUMMYFUNCTION("""COMPUTED_VALUE"""),46081.456472997685)</f>
        <v>46081.45647</v>
      </c>
      <c r="F88" s="4"/>
      <c r="G88" s="4"/>
      <c r="H88" s="4"/>
      <c r="I88" s="4"/>
      <c r="J88" s="4"/>
      <c r="K88" s="4"/>
      <c r="L88" s="4"/>
      <c r="M88" s="4"/>
      <c r="N88" s="4"/>
      <c r="O88" s="4"/>
      <c r="P88" s="4"/>
      <c r="Q88" s="4"/>
      <c r="R88" s="4"/>
      <c r="S88" s="4"/>
      <c r="T88" s="4"/>
      <c r="U88" s="4"/>
      <c r="V88" s="4"/>
      <c r="W88" s="4"/>
      <c r="X88" s="4"/>
      <c r="Y88" s="4"/>
    </row>
    <row r="89" ht="14.25" customHeight="1">
      <c r="A89" s="4" t="str">
        <f>IFERROR(__xludf.DUMMYFUNCTION("""COMPUTED_VALUE"""),"Alfred Lau Ke Yi")</f>
        <v>Alfred Lau Ke Yi</v>
      </c>
      <c r="B89" s="116">
        <f>IFERROR(__xludf.DUMMYFUNCTION("""COMPUTED_VALUE"""),46081.0)</f>
        <v>46081</v>
      </c>
      <c r="C89" s="4" t="str">
        <f>IFERROR(__xludf.DUMMYFUNCTION("""COMPUTED_VALUE"""),"3pm - 4pm")</f>
        <v>3pm - 4pm</v>
      </c>
      <c r="D89" s="4" t="str">
        <f>IFERROR(__xludf.DUMMYFUNCTION("""COMPUTED_VALUE"""),"hungsiewzing@gmail.com")</f>
        <v>hungsiewzing@gmail.com</v>
      </c>
      <c r="E89" s="117">
        <f>IFERROR(__xludf.DUMMYFUNCTION("""COMPUTED_VALUE"""),46067.34387751158)</f>
        <v>46067.34388</v>
      </c>
      <c r="F89" s="4"/>
      <c r="G89" s="4"/>
      <c r="H89" s="4"/>
      <c r="I89" s="4"/>
      <c r="J89" s="4"/>
      <c r="K89" s="4"/>
      <c r="L89" s="4"/>
      <c r="M89" s="4"/>
      <c r="N89" s="4"/>
      <c r="O89" s="4"/>
      <c r="P89" s="4"/>
      <c r="Q89" s="4"/>
      <c r="R89" s="4"/>
      <c r="S89" s="4"/>
      <c r="T89" s="4"/>
      <c r="U89" s="4"/>
      <c r="V89" s="4"/>
      <c r="W89" s="4"/>
      <c r="X89" s="4"/>
      <c r="Y89" s="4"/>
    </row>
    <row r="90" ht="14.25" customHeight="1">
      <c r="A90" s="4" t="str">
        <f>IFERROR(__xludf.DUMMYFUNCTION("""COMPUTED_VALUE"""),"Casper Lau Ke qing")</f>
        <v>Casper Lau Ke qing</v>
      </c>
      <c r="B90" s="116">
        <f>IFERROR(__xludf.DUMMYFUNCTION("""COMPUTED_VALUE"""),46081.0)</f>
        <v>46081</v>
      </c>
      <c r="C90" s="4" t="str">
        <f>IFERROR(__xludf.DUMMYFUNCTION("""COMPUTED_VALUE"""),"3pm - 4pm")</f>
        <v>3pm - 4pm</v>
      </c>
      <c r="D90" s="4" t="str">
        <f>IFERROR(__xludf.DUMMYFUNCTION("""COMPUTED_VALUE"""),"hungsiewzing@gmail.com")</f>
        <v>hungsiewzing@gmail.com</v>
      </c>
      <c r="E90" s="117">
        <f>IFERROR(__xludf.DUMMYFUNCTION("""COMPUTED_VALUE"""),46067.34392721065)</f>
        <v>46067.34393</v>
      </c>
      <c r="F90" s="4"/>
      <c r="G90" s="4"/>
      <c r="H90" s="4"/>
      <c r="I90" s="4"/>
      <c r="J90" s="4"/>
      <c r="K90" s="4"/>
      <c r="L90" s="4"/>
      <c r="M90" s="4"/>
      <c r="N90" s="4"/>
      <c r="O90" s="4"/>
      <c r="P90" s="4"/>
      <c r="Q90" s="4"/>
      <c r="R90" s="4"/>
      <c r="S90" s="4"/>
      <c r="T90" s="4"/>
      <c r="U90" s="4"/>
      <c r="V90" s="4"/>
      <c r="W90" s="4"/>
      <c r="X90" s="4"/>
      <c r="Y90" s="4"/>
    </row>
    <row r="91" ht="14.25" customHeight="1">
      <c r="A91" s="4" t="str">
        <f>IFERROR(__xludf.DUMMYFUNCTION("""COMPUTED_VALUE"""),"Aryssa sofea")</f>
        <v>Aryssa sofea</v>
      </c>
      <c r="B91" s="116">
        <f>IFERROR(__xludf.DUMMYFUNCTION("""COMPUTED_VALUE"""),46081.0)</f>
        <v>46081</v>
      </c>
      <c r="C91" s="4" t="str">
        <f>IFERROR(__xludf.DUMMYFUNCTION("""COMPUTED_VALUE"""),"3pm - 4pm")</f>
        <v>3pm - 4pm</v>
      </c>
      <c r="D91" s="4" t="str">
        <f>IFERROR(__xludf.DUMMYFUNCTION("""COMPUTED_VALUE"""),"ahaz1010@gmail.com")</f>
        <v>ahaz1010@gmail.com</v>
      </c>
      <c r="E91" s="117">
        <f>IFERROR(__xludf.DUMMYFUNCTION("""COMPUTED_VALUE"""),46065.68522388889)</f>
        <v>46065.68522</v>
      </c>
      <c r="F91" s="4"/>
      <c r="G91" s="4"/>
      <c r="H91" s="4"/>
      <c r="I91" s="4"/>
      <c r="J91" s="4"/>
      <c r="K91" s="4"/>
      <c r="L91" s="4"/>
      <c r="M91" s="4"/>
      <c r="N91" s="4"/>
      <c r="O91" s="4"/>
      <c r="P91" s="4"/>
      <c r="Q91" s="4"/>
      <c r="R91" s="4"/>
      <c r="S91" s="4"/>
      <c r="T91" s="4"/>
      <c r="U91" s="4"/>
      <c r="V91" s="4"/>
      <c r="W91" s="4"/>
      <c r="X91" s="4"/>
      <c r="Y91" s="4"/>
    </row>
    <row r="92" ht="14.25" customHeight="1">
      <c r="A92" s="4" t="str">
        <f>IFERROR(__xludf.DUMMYFUNCTION("""COMPUTED_VALUE"""),"Ammar yusof")</f>
        <v>Ammar yusof</v>
      </c>
      <c r="B92" s="116">
        <f>IFERROR(__xludf.DUMMYFUNCTION("""COMPUTED_VALUE"""),46081.0)</f>
        <v>46081</v>
      </c>
      <c r="C92" s="4" t="str">
        <f>IFERROR(__xludf.DUMMYFUNCTION("""COMPUTED_VALUE"""),"3pm - 4pm")</f>
        <v>3pm - 4pm</v>
      </c>
      <c r="D92" s="4" t="str">
        <f>IFERROR(__xludf.DUMMYFUNCTION("""COMPUTED_VALUE"""),"ahaz1010@gmail.com")</f>
        <v>ahaz1010@gmail.com</v>
      </c>
      <c r="E92" s="117">
        <f>IFERROR(__xludf.DUMMYFUNCTION("""COMPUTED_VALUE"""),46065.685262071755)</f>
        <v>46065.68526</v>
      </c>
      <c r="F92" s="4"/>
      <c r="G92" s="4"/>
      <c r="H92" s="4"/>
      <c r="I92" s="4"/>
      <c r="J92" s="4"/>
      <c r="K92" s="4"/>
      <c r="L92" s="4"/>
      <c r="M92" s="4"/>
      <c r="N92" s="4"/>
      <c r="O92" s="4"/>
      <c r="P92" s="4"/>
      <c r="Q92" s="4"/>
      <c r="R92" s="4"/>
      <c r="S92" s="4"/>
      <c r="T92" s="4"/>
      <c r="U92" s="4"/>
      <c r="V92" s="4"/>
      <c r="W92" s="4"/>
      <c r="X92" s="4"/>
      <c r="Y92" s="4"/>
    </row>
    <row r="93" ht="14.25" customHeight="1">
      <c r="A93" s="4" t="str">
        <f>IFERROR(__xludf.DUMMYFUNCTION("""COMPUTED_VALUE"""),"Auf zayyan")</f>
        <v>Auf zayyan</v>
      </c>
      <c r="B93" s="116">
        <f>IFERROR(__xludf.DUMMYFUNCTION("""COMPUTED_VALUE"""),46081.0)</f>
        <v>46081</v>
      </c>
      <c r="C93" s="4" t="str">
        <f>IFERROR(__xludf.DUMMYFUNCTION("""COMPUTED_VALUE"""),"3pm - 4pm")</f>
        <v>3pm - 4pm</v>
      </c>
      <c r="D93" s="4" t="str">
        <f>IFERROR(__xludf.DUMMYFUNCTION("""COMPUTED_VALUE"""),"ahaz1010@gmail.com")</f>
        <v>ahaz1010@gmail.com</v>
      </c>
      <c r="E93" s="117">
        <f>IFERROR(__xludf.DUMMYFUNCTION("""COMPUTED_VALUE"""),46065.685300717596)</f>
        <v>46065.6853</v>
      </c>
      <c r="F93" s="4"/>
      <c r="G93" s="4"/>
      <c r="H93" s="4"/>
      <c r="I93" s="4"/>
      <c r="J93" s="4"/>
      <c r="K93" s="4"/>
      <c r="L93" s="4"/>
      <c r="M93" s="4"/>
      <c r="N93" s="4"/>
      <c r="O93" s="4"/>
      <c r="P93" s="4"/>
      <c r="Q93" s="4"/>
      <c r="R93" s="4"/>
      <c r="S93" s="4"/>
      <c r="T93" s="4"/>
      <c r="U93" s="4"/>
      <c r="V93" s="4"/>
      <c r="W93" s="4"/>
      <c r="X93" s="4"/>
      <c r="Y93" s="4"/>
    </row>
    <row r="94" ht="14.25" customHeight="1">
      <c r="A94" s="4" t="str">
        <f>IFERROR(__xludf.DUMMYFUNCTION("""COMPUTED_VALUE"""),"Alston Chan Yu Han")</f>
        <v>Alston Chan Yu Han</v>
      </c>
      <c r="B94" s="116">
        <f>IFERROR(__xludf.DUMMYFUNCTION("""COMPUTED_VALUE"""),46081.0)</f>
        <v>46081</v>
      </c>
      <c r="C94" s="4" t="str">
        <f>IFERROR(__xludf.DUMMYFUNCTION("""COMPUTED_VALUE"""),"3pm - 4pm")</f>
        <v>3pm - 4pm</v>
      </c>
      <c r="D94" s="4" t="str">
        <f>IFERROR(__xludf.DUMMYFUNCTION("""COMPUTED_VALUE"""),"kuilingkhei@gmail.com")</f>
        <v>kuilingkhei@gmail.com</v>
      </c>
      <c r="E94" s="117">
        <f>IFERROR(__xludf.DUMMYFUNCTION("""COMPUTED_VALUE"""),46081.33580943287)</f>
        <v>46081.33581</v>
      </c>
      <c r="F94" s="4"/>
      <c r="G94" s="4"/>
      <c r="H94" s="4"/>
      <c r="I94" s="4"/>
      <c r="J94" s="4"/>
      <c r="K94" s="4"/>
      <c r="L94" s="4"/>
      <c r="M94" s="4"/>
      <c r="N94" s="4"/>
      <c r="O94" s="4"/>
      <c r="P94" s="4"/>
      <c r="Q94" s="4"/>
      <c r="R94" s="4"/>
      <c r="S94" s="4"/>
      <c r="T94" s="4"/>
      <c r="U94" s="4"/>
      <c r="V94" s="4"/>
      <c r="W94" s="4"/>
      <c r="X94" s="4"/>
      <c r="Y94" s="4"/>
    </row>
    <row r="95" ht="14.25" customHeight="1">
      <c r="A95" s="4" t="str">
        <f>IFERROR(__xludf.DUMMYFUNCTION("""COMPUTED_VALUE"""),"LUCAS CHIEW WEI HAN")</f>
        <v>LUCAS CHIEW WEI HAN</v>
      </c>
      <c r="B95" s="116">
        <f>IFERROR(__xludf.DUMMYFUNCTION("""COMPUTED_VALUE"""),46081.0)</f>
        <v>46081</v>
      </c>
      <c r="C95" s="4" t="str">
        <f>IFERROR(__xludf.DUMMYFUNCTION("""COMPUTED_VALUE"""),"4pm - 5pm")</f>
        <v>4pm - 5pm</v>
      </c>
      <c r="D95" s="4" t="str">
        <f>IFERROR(__xludf.DUMMYFUNCTION("""COMPUTED_VALUE"""),"thomaschiew88@gmail.com")</f>
        <v>thomaschiew88@gmail.com</v>
      </c>
      <c r="E95" s="117">
        <f>IFERROR(__xludf.DUMMYFUNCTION("""COMPUTED_VALUE"""),46078.50959554398)</f>
        <v>46078.5096</v>
      </c>
      <c r="F95" s="4"/>
      <c r="G95" s="4"/>
      <c r="H95" s="4"/>
      <c r="I95" s="4"/>
      <c r="J95" s="4"/>
      <c r="K95" s="4"/>
      <c r="L95" s="4"/>
      <c r="M95" s="4"/>
      <c r="N95" s="4"/>
      <c r="O95" s="4"/>
      <c r="P95" s="4"/>
      <c r="Q95" s="4"/>
      <c r="R95" s="4"/>
      <c r="S95" s="4"/>
      <c r="T95" s="4"/>
      <c r="U95" s="4"/>
      <c r="V95" s="4"/>
      <c r="W95" s="4"/>
      <c r="X95" s="4"/>
      <c r="Y95" s="4"/>
    </row>
    <row r="96" ht="14.25" customHeight="1">
      <c r="A96" s="4" t="str">
        <f>IFERROR(__xludf.DUMMYFUNCTION("""COMPUTED_VALUE"""),"Clement Ting Yong Rui")</f>
        <v>Clement Ting Yong Rui</v>
      </c>
      <c r="B96" s="116">
        <f>IFERROR(__xludf.DUMMYFUNCTION("""COMPUTED_VALUE"""),46083.0)</f>
        <v>46083</v>
      </c>
      <c r="C96" s="4"/>
      <c r="D96" s="4" t="str">
        <f>IFERROR(__xludf.DUMMYFUNCTION("""COMPUTED_VALUE"""),"sionghui@gmail.com")</f>
        <v>sionghui@gmail.com</v>
      </c>
      <c r="E96" s="117">
        <f>IFERROR(__xludf.DUMMYFUNCTION("""COMPUTED_VALUE"""),46081.38733168981)</f>
        <v>46081.38733</v>
      </c>
      <c r="F96" s="4"/>
      <c r="G96" s="4"/>
      <c r="H96" s="4"/>
      <c r="I96" s="4"/>
      <c r="J96" s="4"/>
      <c r="K96" s="4"/>
      <c r="L96" s="4"/>
      <c r="M96" s="4"/>
      <c r="N96" s="4"/>
      <c r="O96" s="4"/>
      <c r="P96" s="4"/>
      <c r="Q96" s="4"/>
      <c r="R96" s="4"/>
      <c r="S96" s="4"/>
      <c r="T96" s="4"/>
      <c r="U96" s="4"/>
      <c r="V96" s="4"/>
      <c r="W96" s="4"/>
      <c r="X96" s="4"/>
      <c r="Y96" s="4"/>
    </row>
    <row r="97" ht="14.25" customHeight="1">
      <c r="A97" s="4" t="str">
        <f>IFERROR(__xludf.DUMMYFUNCTION("""COMPUTED_VALUE"""),"Clarence Ting Yong Wei")</f>
        <v>Clarence Ting Yong Wei</v>
      </c>
      <c r="B97" s="116">
        <f>IFERROR(__xludf.DUMMYFUNCTION("""COMPUTED_VALUE"""),46083.0)</f>
        <v>46083</v>
      </c>
      <c r="C97" s="4"/>
      <c r="D97" s="4" t="str">
        <f>IFERROR(__xludf.DUMMYFUNCTION("""COMPUTED_VALUE"""),"sionghui@gmail.com")</f>
        <v>sionghui@gmail.com</v>
      </c>
      <c r="E97" s="117">
        <f>IFERROR(__xludf.DUMMYFUNCTION("""COMPUTED_VALUE"""),46081.387367407406)</f>
        <v>46081.38737</v>
      </c>
      <c r="F97" s="4"/>
      <c r="G97" s="4"/>
      <c r="H97" s="4"/>
      <c r="I97" s="4"/>
      <c r="J97" s="4"/>
      <c r="K97" s="4"/>
      <c r="L97" s="4"/>
      <c r="M97" s="4"/>
      <c r="N97" s="4"/>
      <c r="O97" s="4"/>
      <c r="P97" s="4"/>
      <c r="Q97" s="4"/>
      <c r="R97" s="4"/>
      <c r="S97" s="4"/>
      <c r="T97" s="4"/>
      <c r="U97" s="4"/>
      <c r="V97" s="4"/>
      <c r="W97" s="4"/>
      <c r="X97" s="4"/>
      <c r="Y97" s="4"/>
    </row>
    <row r="98" ht="14.25" customHeight="1">
      <c r="A98" s="4" t="str">
        <f>IFERROR(__xludf.DUMMYFUNCTION("""COMPUTED_VALUE"""),"Ethan Tan")</f>
        <v>Ethan Tan</v>
      </c>
      <c r="B98" s="116">
        <f>IFERROR(__xludf.DUMMYFUNCTION("""COMPUTED_VALUE"""),46083.0)</f>
        <v>46083</v>
      </c>
      <c r="C98" s="4"/>
      <c r="D98" s="4" t="str">
        <f>IFERROR(__xludf.DUMMYFUNCTION("""COMPUTED_VALUE"""),"grace_eyo@hotmail.com")</f>
        <v>grace_eyo@hotmail.com</v>
      </c>
      <c r="E98" s="117">
        <f>IFERROR(__xludf.DUMMYFUNCTION("""COMPUTED_VALUE"""),46082.46219976852)</f>
        <v>46082.4622</v>
      </c>
      <c r="F98" s="4"/>
      <c r="G98" s="4"/>
      <c r="H98" s="4"/>
      <c r="I98" s="4"/>
      <c r="J98" s="4"/>
      <c r="K98" s="4"/>
      <c r="L98" s="4"/>
      <c r="M98" s="4"/>
      <c r="N98" s="4"/>
      <c r="O98" s="4"/>
      <c r="P98" s="4"/>
      <c r="Q98" s="4"/>
      <c r="R98" s="4"/>
      <c r="S98" s="4"/>
      <c r="T98" s="4"/>
      <c r="U98" s="4"/>
      <c r="V98" s="4"/>
      <c r="W98" s="4"/>
      <c r="X98" s="4"/>
      <c r="Y98" s="4"/>
    </row>
    <row r="99" ht="14.25" customHeight="1">
      <c r="A99" s="4" t="str">
        <f>IFERROR(__xludf.DUMMYFUNCTION("""COMPUTED_VALUE"""),"Eileen Wong Hui Qing")</f>
        <v>Eileen Wong Hui Qing</v>
      </c>
      <c r="B99" s="116">
        <f>IFERROR(__xludf.DUMMYFUNCTION("""COMPUTED_VALUE"""),46085.0)</f>
        <v>46085</v>
      </c>
      <c r="C99" s="4"/>
      <c r="D99" s="4" t="str">
        <f>IFERROR(__xludf.DUMMYFUNCTION("""COMPUTED_VALUE"""),"paksien79@yahoo.com")</f>
        <v>paksien79@yahoo.com</v>
      </c>
      <c r="E99" s="117">
        <f>IFERROR(__xludf.DUMMYFUNCTION("""COMPUTED_VALUE"""),46083.65287479167)</f>
        <v>46083.65287</v>
      </c>
      <c r="F99" s="4"/>
      <c r="G99" s="4"/>
      <c r="H99" s="4"/>
      <c r="I99" s="4"/>
      <c r="J99" s="4"/>
      <c r="K99" s="4"/>
      <c r="L99" s="4"/>
      <c r="M99" s="4"/>
      <c r="N99" s="4"/>
      <c r="O99" s="4"/>
      <c r="P99" s="4"/>
      <c r="Q99" s="4"/>
      <c r="R99" s="4"/>
      <c r="S99" s="4"/>
      <c r="T99" s="4"/>
      <c r="U99" s="4"/>
      <c r="V99" s="4"/>
      <c r="W99" s="4"/>
      <c r="X99" s="4"/>
      <c r="Y99" s="4"/>
    </row>
    <row r="100" ht="14.25" customHeight="1">
      <c r="A100" s="4" t="str">
        <f>IFERROR(__xludf.DUMMYFUNCTION("""COMPUTED_VALUE"""),"Feliz Loh")</f>
        <v>Feliz Loh</v>
      </c>
      <c r="B100" s="116">
        <f>IFERROR(__xludf.DUMMYFUNCTION("""COMPUTED_VALUE"""),46088.0)</f>
        <v>46088</v>
      </c>
      <c r="C100" s="4" t="str">
        <f>IFERROR(__xludf.DUMMYFUNCTION("""COMPUTED_VALUE"""),"10am - 11am")</f>
        <v>10am - 11am</v>
      </c>
      <c r="D100" s="4" t="str">
        <f>IFERROR(__xludf.DUMMYFUNCTION("""COMPUTED_VALUE"""),"annehappy83@gmail.com")</f>
        <v>annehappy83@gmail.com</v>
      </c>
      <c r="E100" s="117">
        <f>IFERROR(__xludf.DUMMYFUNCTION("""COMPUTED_VALUE"""),46088.33637256944)</f>
        <v>46088.33637</v>
      </c>
      <c r="F100" s="4"/>
      <c r="G100" s="4"/>
      <c r="H100" s="4"/>
      <c r="I100" s="4"/>
      <c r="J100" s="4"/>
      <c r="K100" s="4"/>
      <c r="L100" s="4"/>
      <c r="M100" s="4"/>
      <c r="N100" s="4"/>
      <c r="O100" s="4"/>
      <c r="P100" s="4"/>
      <c r="Q100" s="4"/>
      <c r="R100" s="4"/>
      <c r="S100" s="4"/>
      <c r="T100" s="4"/>
      <c r="U100" s="4"/>
      <c r="V100" s="4"/>
      <c r="W100" s="4"/>
      <c r="X100" s="4"/>
      <c r="Y100" s="4"/>
    </row>
    <row r="101" ht="14.25" customHeight="1">
      <c r="A101" s="4" t="str">
        <f>IFERROR(__xludf.DUMMYFUNCTION("""COMPUTED_VALUE"""),"Alfred Lau Ke yi")</f>
        <v>Alfred Lau Ke yi</v>
      </c>
      <c r="B101" s="116">
        <f>IFERROR(__xludf.DUMMYFUNCTION("""COMPUTED_VALUE"""),46088.0)</f>
        <v>46088</v>
      </c>
      <c r="C101" s="4" t="str">
        <f>IFERROR(__xludf.DUMMYFUNCTION("""COMPUTED_VALUE"""),"3pm - 4pm")</f>
        <v>3pm - 4pm</v>
      </c>
      <c r="D101" s="4" t="str">
        <f>IFERROR(__xludf.DUMMYFUNCTION("""COMPUTED_VALUE"""),"hungsiewzing@gmail.com")</f>
        <v>hungsiewzing@gmail.com</v>
      </c>
      <c r="E101" s="117">
        <f>IFERROR(__xludf.DUMMYFUNCTION("""COMPUTED_VALUE"""),46088.38492064815)</f>
        <v>46088.38492</v>
      </c>
      <c r="F101" s="4"/>
      <c r="G101" s="4"/>
      <c r="H101" s="4"/>
      <c r="I101" s="4"/>
      <c r="J101" s="4"/>
      <c r="K101" s="4"/>
      <c r="L101" s="4"/>
      <c r="M101" s="4"/>
      <c r="N101" s="4"/>
      <c r="O101" s="4"/>
      <c r="P101" s="4"/>
      <c r="Q101" s="4"/>
      <c r="R101" s="4"/>
      <c r="S101" s="4"/>
      <c r="T101" s="4"/>
      <c r="U101" s="4"/>
      <c r="V101" s="4"/>
      <c r="W101" s="4"/>
      <c r="X101" s="4"/>
      <c r="Y101" s="4"/>
    </row>
    <row r="102" ht="14.25" customHeight="1">
      <c r="A102" s="4" t="str">
        <f>IFERROR(__xludf.DUMMYFUNCTION("""COMPUTED_VALUE"""),"Casper Lau Ke qing")</f>
        <v>Casper Lau Ke qing</v>
      </c>
      <c r="B102" s="116">
        <f>IFERROR(__xludf.DUMMYFUNCTION("""COMPUTED_VALUE"""),46088.0)</f>
        <v>46088</v>
      </c>
      <c r="C102" s="4" t="str">
        <f>IFERROR(__xludf.DUMMYFUNCTION("""COMPUTED_VALUE"""),"3pm - 4pm")</f>
        <v>3pm - 4pm</v>
      </c>
      <c r="D102" s="4" t="str">
        <f>IFERROR(__xludf.DUMMYFUNCTION("""COMPUTED_VALUE"""),"hungsiewzing@gmail.com")</f>
        <v>hungsiewzing@gmail.com</v>
      </c>
      <c r="E102" s="117">
        <f>IFERROR(__xludf.DUMMYFUNCTION("""COMPUTED_VALUE"""),46088.3849805787)</f>
        <v>46088.38498</v>
      </c>
      <c r="F102" s="4"/>
      <c r="G102" s="4"/>
      <c r="H102" s="4"/>
      <c r="I102" s="4"/>
      <c r="J102" s="4"/>
      <c r="K102" s="4"/>
      <c r="L102" s="4"/>
      <c r="M102" s="4"/>
      <c r="N102" s="4"/>
      <c r="O102" s="4"/>
      <c r="P102" s="4"/>
      <c r="Q102" s="4"/>
      <c r="R102" s="4"/>
      <c r="S102" s="4"/>
      <c r="T102" s="4"/>
      <c r="U102" s="4"/>
      <c r="V102" s="4"/>
      <c r="W102" s="4"/>
      <c r="X102" s="4"/>
      <c r="Y102" s="4"/>
    </row>
    <row r="103" ht="14.25" customHeight="1">
      <c r="A103" s="4" t="str">
        <f>IFERROR(__xludf.DUMMYFUNCTION("""COMPUTED_VALUE"""),"Ethan Tan")</f>
        <v>Ethan Tan</v>
      </c>
      <c r="B103" s="116">
        <f>IFERROR(__xludf.DUMMYFUNCTION("""COMPUTED_VALUE"""),46090.0)</f>
        <v>46090</v>
      </c>
      <c r="C103" s="4"/>
      <c r="D103" s="4" t="str">
        <f>IFERROR(__xludf.DUMMYFUNCTION("""COMPUTED_VALUE"""),"grace_eyo@hotmail.com")</f>
        <v>grace_eyo@hotmail.com</v>
      </c>
      <c r="E103" s="117">
        <f>IFERROR(__xludf.DUMMYFUNCTION("""COMPUTED_VALUE"""),46087.855085625)</f>
        <v>46087.85509</v>
      </c>
      <c r="F103" s="4"/>
      <c r="G103" s="4"/>
      <c r="H103" s="4"/>
      <c r="I103" s="4"/>
      <c r="J103" s="4"/>
      <c r="K103" s="4"/>
      <c r="L103" s="4"/>
      <c r="M103" s="4"/>
      <c r="N103" s="4"/>
      <c r="O103" s="4"/>
      <c r="P103" s="4"/>
      <c r="Q103" s="4"/>
      <c r="R103" s="4"/>
      <c r="S103" s="4"/>
      <c r="T103" s="4"/>
      <c r="U103" s="4"/>
      <c r="V103" s="4"/>
      <c r="W103" s="4"/>
      <c r="X103" s="4"/>
      <c r="Y103" s="4"/>
    </row>
    <row r="104" ht="14.25" customHeight="1">
      <c r="A104" s="4" t="str">
        <f>IFERROR(__xludf.DUMMYFUNCTION("""COMPUTED_VALUE"""),"Howard Ling")</f>
        <v>Howard Ling</v>
      </c>
      <c r="B104" s="116">
        <f>IFERROR(__xludf.DUMMYFUNCTION("""COMPUTED_VALUE"""),46092.0)</f>
        <v>46092</v>
      </c>
      <c r="C104" s="4"/>
      <c r="D104" s="4" t="str">
        <f>IFERROR(__xludf.DUMMYFUNCTION("""COMPUTED_VALUE"""),"viviminnie8787@hotmail.com")</f>
        <v>viviminnie8787@hotmail.com</v>
      </c>
      <c r="E104" s="117">
        <f>IFERROR(__xludf.DUMMYFUNCTION("""COMPUTED_VALUE"""),46087.82379704861)</f>
        <v>46087.8238</v>
      </c>
      <c r="F104" s="4"/>
      <c r="G104" s="4"/>
      <c r="H104" s="4"/>
      <c r="I104" s="4"/>
      <c r="J104" s="4"/>
      <c r="K104" s="4"/>
      <c r="L104" s="4"/>
      <c r="M104" s="4"/>
      <c r="N104" s="4"/>
      <c r="O104" s="4"/>
      <c r="P104" s="4"/>
      <c r="Q104" s="4"/>
      <c r="R104" s="4"/>
      <c r="S104" s="4"/>
      <c r="T104" s="4"/>
      <c r="U104" s="4"/>
      <c r="V104" s="4"/>
      <c r="W104" s="4"/>
      <c r="X104" s="4"/>
      <c r="Y104" s="4"/>
    </row>
    <row r="105" ht="14.25" customHeight="1">
      <c r="A105" s="4" t="str">
        <f>IFERROR(__xludf.DUMMYFUNCTION("""COMPUTED_VALUE"""),"Alfred Koo Yi Xiang")</f>
        <v>Alfred Koo Yi Xiang</v>
      </c>
      <c r="B105" s="116">
        <f>IFERROR(__xludf.DUMMYFUNCTION("""COMPUTED_VALUE"""),46092.0)</f>
        <v>46092</v>
      </c>
      <c r="C105" s="4"/>
      <c r="D105" s="4" t="str">
        <f>IFERROR(__xludf.DUMMYFUNCTION("""COMPUTED_VALUE"""),"angel_ping22@hotmail.com")</f>
        <v>angel_ping22@hotmail.com</v>
      </c>
      <c r="E105" s="117">
        <f>IFERROR(__xludf.DUMMYFUNCTION("""COMPUTED_VALUE"""),46087.83604594907)</f>
        <v>46087.83605</v>
      </c>
      <c r="F105" s="4"/>
      <c r="G105" s="4"/>
      <c r="H105" s="4"/>
      <c r="I105" s="4"/>
      <c r="J105" s="4"/>
      <c r="K105" s="4"/>
      <c r="L105" s="4"/>
      <c r="M105" s="4"/>
      <c r="N105" s="4"/>
      <c r="O105" s="4"/>
      <c r="P105" s="4"/>
      <c r="Q105" s="4"/>
      <c r="R105" s="4"/>
      <c r="S105" s="4"/>
      <c r="T105" s="4"/>
      <c r="U105" s="4"/>
      <c r="V105" s="4"/>
      <c r="W105" s="4"/>
      <c r="X105" s="4"/>
      <c r="Y105" s="4"/>
    </row>
    <row r="106" ht="14.25" customHeight="1">
      <c r="A106" s="4" t="str">
        <f>IFERROR(__xludf.DUMMYFUNCTION("""COMPUTED_VALUE"""),"Josh Ting")</f>
        <v>Josh Ting</v>
      </c>
      <c r="B106" s="116">
        <f>IFERROR(__xludf.DUMMYFUNCTION("""COMPUTED_VALUE"""),46092.0)</f>
        <v>46092</v>
      </c>
      <c r="C106" s="4"/>
      <c r="D106" s="4" t="str">
        <f>IFERROR(__xludf.DUMMYFUNCTION("""COMPUTED_VALUE"""),"chloeping_2011@yahoo.com")</f>
        <v>chloeping_2011@yahoo.com</v>
      </c>
      <c r="E106" s="117">
        <f>IFERROR(__xludf.DUMMYFUNCTION("""COMPUTED_VALUE"""),46090.471973252315)</f>
        <v>46090.47197</v>
      </c>
      <c r="F106" s="4"/>
      <c r="G106" s="4"/>
      <c r="H106" s="4"/>
      <c r="I106" s="4"/>
      <c r="J106" s="4"/>
      <c r="K106" s="4"/>
      <c r="L106" s="4"/>
      <c r="M106" s="4"/>
      <c r="N106" s="4"/>
      <c r="O106" s="4"/>
      <c r="P106" s="4"/>
      <c r="Q106" s="4"/>
      <c r="R106" s="4"/>
      <c r="S106" s="4"/>
      <c r="T106" s="4"/>
      <c r="U106" s="4"/>
      <c r="V106" s="4"/>
      <c r="W106" s="4"/>
      <c r="X106" s="4"/>
      <c r="Y106" s="4"/>
    </row>
    <row r="107" ht="14.25" customHeight="1">
      <c r="A107" s="4" t="str">
        <f>IFERROR(__xludf.DUMMYFUNCTION("""COMPUTED_VALUE"""),"Janice Wong Xiao Yue")</f>
        <v>Janice Wong Xiao Yue</v>
      </c>
      <c r="B107" s="116">
        <f>IFERROR(__xludf.DUMMYFUNCTION("""COMPUTED_VALUE"""),46092.0)</f>
        <v>46092</v>
      </c>
      <c r="C107" s="4"/>
      <c r="D107" s="4" t="str">
        <f>IFERROR(__xludf.DUMMYFUNCTION("""COMPUTED_VALUE"""),"wcdf00@gmail.com")</f>
        <v>wcdf00@gmail.com</v>
      </c>
      <c r="E107" s="117">
        <f>IFERROR(__xludf.DUMMYFUNCTION("""COMPUTED_VALUE"""),46090.78615103009)</f>
        <v>46090.78615</v>
      </c>
      <c r="F107" s="4"/>
      <c r="G107" s="4"/>
      <c r="H107" s="4"/>
      <c r="I107" s="4"/>
      <c r="J107" s="4"/>
      <c r="K107" s="4"/>
      <c r="L107" s="4"/>
      <c r="M107" s="4"/>
      <c r="N107" s="4"/>
      <c r="O107" s="4"/>
      <c r="P107" s="4"/>
      <c r="Q107" s="4"/>
      <c r="R107" s="4"/>
      <c r="S107" s="4"/>
      <c r="T107" s="4"/>
      <c r="U107" s="4"/>
      <c r="V107" s="4"/>
      <c r="W107" s="4"/>
      <c r="X107" s="4"/>
      <c r="Y107" s="4"/>
    </row>
    <row r="108" ht="14.25" customHeight="1">
      <c r="A108" s="4" t="str">
        <f>IFERROR(__xludf.DUMMYFUNCTION("""COMPUTED_VALUE"""),"Feliz Loh Li Fei")</f>
        <v>Feliz Loh Li Fei</v>
      </c>
      <c r="B108" s="116">
        <f>IFERROR(__xludf.DUMMYFUNCTION("""COMPUTED_VALUE"""),46095.0)</f>
        <v>46095</v>
      </c>
      <c r="C108" s="4" t="str">
        <f>IFERROR(__xludf.DUMMYFUNCTION("""COMPUTED_VALUE"""),"10am - 11am")</f>
        <v>10am - 11am</v>
      </c>
      <c r="D108" s="4" t="str">
        <f>IFERROR(__xludf.DUMMYFUNCTION("""COMPUTED_VALUE"""),"annehappy83@gmail.com")</f>
        <v>annehappy83@gmail.com</v>
      </c>
      <c r="E108" s="117">
        <f>IFERROR(__xludf.DUMMYFUNCTION("""COMPUTED_VALUE"""),46095.290436863426)</f>
        <v>46095.29044</v>
      </c>
      <c r="F108" s="4"/>
      <c r="G108" s="4"/>
      <c r="H108" s="4"/>
      <c r="I108" s="4"/>
      <c r="J108" s="4"/>
      <c r="K108" s="4"/>
      <c r="L108" s="4"/>
      <c r="M108" s="4"/>
      <c r="N108" s="4"/>
      <c r="O108" s="4"/>
      <c r="P108" s="4"/>
      <c r="Q108" s="4"/>
      <c r="R108" s="4"/>
      <c r="S108" s="4"/>
      <c r="T108" s="4"/>
      <c r="U108" s="4"/>
      <c r="V108" s="4"/>
      <c r="W108" s="4"/>
      <c r="X108" s="4"/>
      <c r="Y108" s="4"/>
    </row>
    <row r="109" ht="14.25" customHeight="1">
      <c r="A109" s="4" t="str">
        <f>IFERROR(__xludf.DUMMYFUNCTION("""COMPUTED_VALUE"""),"Ivan Tan Jun Haw")</f>
        <v>Ivan Tan Jun Haw</v>
      </c>
      <c r="B109" s="116">
        <f>IFERROR(__xludf.DUMMYFUNCTION("""COMPUTED_VALUE"""),46095.0)</f>
        <v>46095</v>
      </c>
      <c r="C109" s="4" t="str">
        <f>IFERROR(__xludf.DUMMYFUNCTION("""COMPUTED_VALUE"""),"2pm - 3pm")</f>
        <v>2pm - 3pm</v>
      </c>
      <c r="D109" s="4" t="str">
        <f>IFERROR(__xludf.DUMMYFUNCTION("""COMPUTED_VALUE"""),"solar81@yahoo.com")</f>
        <v>solar81@yahoo.com</v>
      </c>
      <c r="E109" s="117">
        <f>IFERROR(__xludf.DUMMYFUNCTION("""COMPUTED_VALUE"""),46091.63972431713)</f>
        <v>46091.63972</v>
      </c>
      <c r="F109" s="4"/>
      <c r="G109" s="4"/>
      <c r="H109" s="4"/>
      <c r="I109" s="4"/>
      <c r="J109" s="4"/>
      <c r="K109" s="4"/>
      <c r="L109" s="4"/>
      <c r="M109" s="4"/>
      <c r="N109" s="4"/>
      <c r="O109" s="4"/>
      <c r="P109" s="4"/>
      <c r="Q109" s="4"/>
      <c r="R109" s="4"/>
      <c r="S109" s="4"/>
      <c r="T109" s="4"/>
      <c r="U109" s="4"/>
      <c r="V109" s="4"/>
      <c r="W109" s="4"/>
      <c r="X109" s="4"/>
      <c r="Y109" s="4"/>
    </row>
    <row r="110" ht="14.25" customHeight="1">
      <c r="A110" s="4" t="str">
        <f>IFERROR(__xludf.DUMMYFUNCTION("""COMPUTED_VALUE"""),"Jvan Tan Jun Yik")</f>
        <v>Jvan Tan Jun Yik</v>
      </c>
      <c r="B110" s="116">
        <f>IFERROR(__xludf.DUMMYFUNCTION("""COMPUTED_VALUE"""),46095.0)</f>
        <v>46095</v>
      </c>
      <c r="C110" s="4" t="str">
        <f>IFERROR(__xludf.DUMMYFUNCTION("""COMPUTED_VALUE"""),"2pm - 3pm")</f>
        <v>2pm - 3pm</v>
      </c>
      <c r="D110" s="4" t="str">
        <f>IFERROR(__xludf.DUMMYFUNCTION("""COMPUTED_VALUE"""),"solar81@yahoo.com")</f>
        <v>solar81@yahoo.com</v>
      </c>
      <c r="E110" s="117">
        <f>IFERROR(__xludf.DUMMYFUNCTION("""COMPUTED_VALUE"""),46091.63977954861)</f>
        <v>46091.63978</v>
      </c>
      <c r="F110" s="4"/>
      <c r="G110" s="4"/>
      <c r="H110" s="4"/>
      <c r="I110" s="4"/>
      <c r="J110" s="4"/>
      <c r="K110" s="4"/>
      <c r="L110" s="4"/>
      <c r="M110" s="4"/>
      <c r="N110" s="4"/>
      <c r="O110" s="4"/>
      <c r="P110" s="4"/>
      <c r="Q110" s="4"/>
      <c r="R110" s="4"/>
      <c r="S110" s="4"/>
      <c r="T110" s="4"/>
      <c r="U110" s="4"/>
      <c r="V110" s="4"/>
      <c r="W110" s="4"/>
      <c r="X110" s="4"/>
      <c r="Y110" s="4"/>
    </row>
    <row r="111" ht="14.25" customHeight="1">
      <c r="A111" s="4" t="str">
        <f>IFERROR(__xludf.DUMMYFUNCTION("""COMPUTED_VALUE"""),"Tolber Lee Jun Han")</f>
        <v>Tolber Lee Jun Han</v>
      </c>
      <c r="B111" s="116">
        <f>IFERROR(__xludf.DUMMYFUNCTION("""COMPUTED_VALUE"""),46095.0)</f>
        <v>46095</v>
      </c>
      <c r="C111" s="4" t="str">
        <f>IFERROR(__xludf.DUMMYFUNCTION("""COMPUTED_VALUE"""),"3pm - 4pm")</f>
        <v>3pm - 4pm</v>
      </c>
      <c r="D111" s="4" t="str">
        <f>IFERROR(__xludf.DUMMYFUNCTION("""COMPUTED_VALUE"""),"hongsing.co@hotmail.com")</f>
        <v>hongsing.co@hotmail.com</v>
      </c>
      <c r="E111" s="117">
        <f>IFERROR(__xludf.DUMMYFUNCTION("""COMPUTED_VALUE"""),46093.716240486116)</f>
        <v>46093.71624</v>
      </c>
      <c r="F111" s="4"/>
      <c r="G111" s="4"/>
      <c r="H111" s="4"/>
      <c r="I111" s="4"/>
      <c r="J111" s="4"/>
      <c r="K111" s="4"/>
      <c r="L111" s="4"/>
      <c r="M111" s="4"/>
      <c r="N111" s="4"/>
      <c r="O111" s="4"/>
      <c r="P111" s="4"/>
      <c r="Q111" s="4"/>
      <c r="R111" s="4"/>
      <c r="S111" s="4"/>
      <c r="T111" s="4"/>
      <c r="U111" s="4"/>
      <c r="V111" s="4"/>
      <c r="W111" s="4"/>
      <c r="X111" s="4"/>
      <c r="Y111" s="4"/>
    </row>
    <row r="112" ht="14.25" customHeight="1">
      <c r="A112" s="4" t="str">
        <f>IFERROR(__xludf.DUMMYFUNCTION("""COMPUTED_VALUE"""),"Jayden Siaw")</f>
        <v>Jayden Siaw</v>
      </c>
      <c r="B112" s="116">
        <f>IFERROR(__xludf.DUMMYFUNCTION("""COMPUTED_VALUE"""),46095.0)</f>
        <v>46095</v>
      </c>
      <c r="C112" s="4" t="str">
        <f>IFERROR(__xludf.DUMMYFUNCTION("""COMPUTED_VALUE"""),"3pm - 4pm")</f>
        <v>3pm - 4pm</v>
      </c>
      <c r="D112" s="4" t="str">
        <f>IFERROR(__xludf.DUMMYFUNCTION("""COMPUTED_VALUE"""),"tangkuihuong@gmail.com")</f>
        <v>tangkuihuong@gmail.com</v>
      </c>
      <c r="E112" s="117">
        <f>IFERROR(__xludf.DUMMYFUNCTION("""COMPUTED_VALUE"""),46094.84922950232)</f>
        <v>46094.84923</v>
      </c>
      <c r="F112" s="4"/>
      <c r="G112" s="4"/>
      <c r="H112" s="4"/>
      <c r="I112" s="4"/>
      <c r="J112" s="4"/>
      <c r="K112" s="4"/>
      <c r="L112" s="4"/>
      <c r="M112" s="4"/>
      <c r="N112" s="4"/>
      <c r="O112" s="4"/>
      <c r="P112" s="4"/>
      <c r="Q112" s="4"/>
      <c r="R112" s="4"/>
      <c r="S112" s="4"/>
      <c r="T112" s="4"/>
      <c r="U112" s="4"/>
      <c r="V112" s="4"/>
      <c r="W112" s="4"/>
      <c r="X112" s="4"/>
      <c r="Y112" s="4"/>
    </row>
    <row r="113" ht="14.25" customHeight="1">
      <c r="A113" s="4" t="str">
        <f>IFERROR(__xludf.DUMMYFUNCTION("""COMPUTED_VALUE"""),"Lucas Ting Ker Jun")</f>
        <v>Lucas Ting Ker Jun</v>
      </c>
      <c r="B113" s="116">
        <f>IFERROR(__xludf.DUMMYFUNCTION("""COMPUTED_VALUE"""),46095.0)</f>
        <v>46095</v>
      </c>
      <c r="C113" s="4" t="str">
        <f>IFERROR(__xludf.DUMMYFUNCTION("""COMPUTED_VALUE"""),"9am - 10am")</f>
        <v>9am - 10am</v>
      </c>
      <c r="D113" s="4" t="str">
        <f>IFERROR(__xludf.DUMMYFUNCTION("""COMPUTED_VALUE"""),"tingweeyii@gmail.com")</f>
        <v>tingweeyii@gmail.com</v>
      </c>
      <c r="E113" s="117">
        <f>IFERROR(__xludf.DUMMYFUNCTION("""COMPUTED_VALUE"""),46090.69325292824)</f>
        <v>46090.69325</v>
      </c>
      <c r="F113" s="4"/>
      <c r="G113" s="4"/>
      <c r="H113" s="4"/>
      <c r="I113" s="4"/>
      <c r="J113" s="4"/>
      <c r="K113" s="4"/>
      <c r="L113" s="4"/>
      <c r="M113" s="4"/>
      <c r="N113" s="4"/>
      <c r="O113" s="4"/>
      <c r="P113" s="4"/>
      <c r="Q113" s="4"/>
      <c r="R113" s="4"/>
      <c r="S113" s="4"/>
      <c r="T113" s="4"/>
      <c r="U113" s="4"/>
      <c r="V113" s="4"/>
      <c r="W113" s="4"/>
      <c r="X113" s="4"/>
      <c r="Y113" s="4"/>
    </row>
    <row r="114" ht="14.25" customHeight="1">
      <c r="A114" s="4" t="str">
        <f>IFERROR(__xludf.DUMMYFUNCTION("""COMPUTED_VALUE"""),"LUCAS CHIEW WEI HAN")</f>
        <v>LUCAS CHIEW WEI HAN</v>
      </c>
      <c r="B114" s="116">
        <f>IFERROR(__xludf.DUMMYFUNCTION("""COMPUTED_VALUE"""),46095.0)</f>
        <v>46095</v>
      </c>
      <c r="C114" s="4" t="str">
        <f>IFERROR(__xludf.DUMMYFUNCTION("""COMPUTED_VALUE"""),"9am - 10am")</f>
        <v>9am - 10am</v>
      </c>
      <c r="D114" s="4" t="str">
        <f>IFERROR(__xludf.DUMMYFUNCTION("""COMPUTED_VALUE"""),"thomaschiew88@gmail.com")</f>
        <v>thomaschiew88@gmail.com</v>
      </c>
      <c r="E114" s="117">
        <f>IFERROR(__xludf.DUMMYFUNCTION("""COMPUTED_VALUE"""),46091.44030116899)</f>
        <v>46091.4403</v>
      </c>
      <c r="F114" s="4"/>
      <c r="G114" s="4"/>
      <c r="H114" s="4"/>
      <c r="I114" s="4"/>
      <c r="J114" s="4"/>
      <c r="K114" s="4"/>
      <c r="L114" s="4"/>
      <c r="M114" s="4"/>
      <c r="N114" s="4"/>
      <c r="O114" s="4"/>
      <c r="P114" s="4"/>
      <c r="Q114" s="4"/>
      <c r="R114" s="4"/>
      <c r="S114" s="4"/>
      <c r="T114" s="4"/>
      <c r="U114" s="4"/>
      <c r="V114" s="4"/>
      <c r="W114" s="4"/>
      <c r="X114" s="4"/>
      <c r="Y114" s="4"/>
    </row>
    <row r="115" ht="14.25" customHeight="1">
      <c r="A115" s="4" t="str">
        <f>IFERROR(__xludf.DUMMYFUNCTION("""COMPUTED_VALUE"""),"Rochester Lee Eu Jyun")</f>
        <v>Rochester Lee Eu Jyun</v>
      </c>
      <c r="B115" s="116">
        <f>IFERROR(__xludf.DUMMYFUNCTION("""COMPUTED_VALUE"""),46095.0)</f>
        <v>46095</v>
      </c>
      <c r="C115" s="4" t="str">
        <f>IFERROR(__xludf.DUMMYFUNCTION("""COMPUTED_VALUE"""),"9am - 10am")</f>
        <v>9am - 10am</v>
      </c>
      <c r="D115" s="4" t="str">
        <f>IFERROR(__xludf.DUMMYFUNCTION("""COMPUTED_VALUE"""),"ahchenlovelycat@gmail.com")</f>
        <v>ahchenlovelycat@gmail.com</v>
      </c>
      <c r="E115" s="117">
        <f>IFERROR(__xludf.DUMMYFUNCTION("""COMPUTED_VALUE"""),46093.693140358795)</f>
        <v>46093.69314</v>
      </c>
      <c r="F115" s="4"/>
      <c r="G115" s="4"/>
      <c r="H115" s="4"/>
      <c r="I115" s="4"/>
      <c r="J115" s="4"/>
      <c r="K115" s="4"/>
      <c r="L115" s="4"/>
      <c r="M115" s="4"/>
      <c r="N115" s="4"/>
      <c r="O115" s="4"/>
      <c r="P115" s="4"/>
      <c r="Q115" s="4"/>
      <c r="R115" s="4"/>
      <c r="S115" s="4"/>
      <c r="T115" s="4"/>
      <c r="U115" s="4"/>
      <c r="V115" s="4"/>
      <c r="W115" s="4"/>
      <c r="X115" s="4"/>
      <c r="Y115" s="4"/>
    </row>
    <row r="116" ht="14.25" customHeight="1">
      <c r="A116" s="4" t="str">
        <f>IFERROR(__xludf.DUMMYFUNCTION("""COMPUTED_VALUE"""),"Edric Sia ting chen")</f>
        <v>Edric Sia ting chen</v>
      </c>
      <c r="B116" s="116">
        <f>IFERROR(__xludf.DUMMYFUNCTION("""COMPUTED_VALUE"""),46095.0)</f>
        <v>46095</v>
      </c>
      <c r="C116" s="4" t="str">
        <f>IFERROR(__xludf.DUMMYFUNCTION("""COMPUTED_VALUE"""),"9am - 10am")</f>
        <v>9am - 10am</v>
      </c>
      <c r="D116" s="4" t="str">
        <f>IFERROR(__xludf.DUMMYFUNCTION("""COMPUTED_VALUE"""),"siaeric73@gmail.com")</f>
        <v>siaeric73@gmail.com</v>
      </c>
      <c r="E116" s="117">
        <f>IFERROR(__xludf.DUMMYFUNCTION("""COMPUTED_VALUE"""),46093.924455810185)</f>
        <v>46093.92446</v>
      </c>
      <c r="F116" s="4"/>
      <c r="G116" s="4"/>
      <c r="H116" s="4"/>
      <c r="I116" s="4"/>
      <c r="J116" s="4"/>
      <c r="K116" s="4"/>
      <c r="L116" s="4"/>
      <c r="M116" s="4"/>
      <c r="N116" s="4"/>
      <c r="O116" s="4"/>
      <c r="P116" s="4"/>
      <c r="Q116" s="4"/>
      <c r="R116" s="4"/>
      <c r="S116" s="4"/>
      <c r="T116" s="4"/>
      <c r="U116" s="4"/>
      <c r="V116" s="4"/>
      <c r="W116" s="4"/>
      <c r="X116" s="4"/>
      <c r="Y116" s="4"/>
    </row>
    <row r="117" ht="14.25" customHeight="1">
      <c r="A117" s="4" t="str">
        <f>IFERROR(__xludf.DUMMYFUNCTION("""COMPUTED_VALUE"""),"Ting Zhi En")</f>
        <v>Ting Zhi En</v>
      </c>
      <c r="B117" s="116">
        <f>IFERROR(__xludf.DUMMYFUNCTION("""COMPUTED_VALUE"""),46095.0)</f>
        <v>46095</v>
      </c>
      <c r="C117" s="4" t="str">
        <f>IFERROR(__xludf.DUMMYFUNCTION("""COMPUTED_VALUE"""),"9am - 10am")</f>
        <v>9am - 10am</v>
      </c>
      <c r="D117" s="4" t="str">
        <f>IFERROR(__xludf.DUMMYFUNCTION("""COMPUTED_VALUE"""),"callmeblade.mate@gmail.com")</f>
        <v>callmeblade.mate@gmail.com</v>
      </c>
      <c r="E117" s="117">
        <f>IFERROR(__xludf.DUMMYFUNCTION("""COMPUTED_VALUE"""),46094.757656574075)</f>
        <v>46094.75766</v>
      </c>
      <c r="F117" s="4"/>
      <c r="G117" s="4"/>
      <c r="H117" s="4"/>
      <c r="I117" s="4"/>
      <c r="J117" s="4"/>
      <c r="K117" s="4"/>
      <c r="L117" s="4"/>
      <c r="M117" s="4"/>
      <c r="N117" s="4"/>
      <c r="O117" s="4"/>
      <c r="P117" s="4"/>
      <c r="Q117" s="4"/>
      <c r="R117" s="4"/>
      <c r="S117" s="4"/>
      <c r="T117" s="4"/>
      <c r="U117" s="4"/>
      <c r="V117" s="4"/>
      <c r="W117" s="4"/>
      <c r="X117" s="4"/>
      <c r="Y117" s="4"/>
    </row>
    <row r="118" ht="14.25" customHeight="1">
      <c r="A118" s="4" t="str">
        <f>IFERROR(__xludf.DUMMYFUNCTION("""COMPUTED_VALUE"""),"Noelle Wong Jing Yan")</f>
        <v>Noelle Wong Jing Yan</v>
      </c>
      <c r="B118" s="116">
        <f>IFERROR(__xludf.DUMMYFUNCTION("""COMPUTED_VALUE"""),46097.0)</f>
        <v>46097</v>
      </c>
      <c r="C118" s="4"/>
      <c r="D118" s="4" t="str">
        <f>IFERROR(__xludf.DUMMYFUNCTION("""COMPUTED_VALUE"""),"elizabeth_ncf@yahoo.com")</f>
        <v>elizabeth_ncf@yahoo.com</v>
      </c>
      <c r="E118" s="117">
        <f>IFERROR(__xludf.DUMMYFUNCTION("""COMPUTED_VALUE"""),46097.61077144676)</f>
        <v>46097.61077</v>
      </c>
      <c r="F118" s="4"/>
      <c r="G118" s="4"/>
      <c r="H118" s="4"/>
      <c r="I118" s="4"/>
      <c r="J118" s="4"/>
      <c r="K118" s="4"/>
      <c r="L118" s="4"/>
      <c r="M118" s="4"/>
      <c r="N118" s="4"/>
      <c r="O118" s="4"/>
      <c r="P118" s="4"/>
      <c r="Q118" s="4"/>
      <c r="R118" s="4"/>
      <c r="S118" s="4"/>
      <c r="T118" s="4"/>
      <c r="U118" s="4"/>
      <c r="V118" s="4"/>
      <c r="W118" s="4"/>
      <c r="X118" s="4"/>
      <c r="Y118" s="4"/>
    </row>
    <row r="119" ht="14.25" customHeight="1">
      <c r="A119" s="4" t="str">
        <f>IFERROR(__xludf.DUMMYFUNCTION("""COMPUTED_VALUE"""),"Faye Wong Jing Tong")</f>
        <v>Faye Wong Jing Tong</v>
      </c>
      <c r="B119" s="116">
        <f>IFERROR(__xludf.DUMMYFUNCTION("""COMPUTED_VALUE"""),46097.0)</f>
        <v>46097</v>
      </c>
      <c r="C119" s="4"/>
      <c r="D119" s="4" t="str">
        <f>IFERROR(__xludf.DUMMYFUNCTION("""COMPUTED_VALUE"""),"elizabeth_ncf@yahoo.com")</f>
        <v>elizabeth_ncf@yahoo.com</v>
      </c>
      <c r="E119" s="117">
        <f>IFERROR(__xludf.DUMMYFUNCTION("""COMPUTED_VALUE"""),46097.610816782406)</f>
        <v>46097.61082</v>
      </c>
      <c r="F119" s="4"/>
      <c r="G119" s="4"/>
      <c r="H119" s="4"/>
      <c r="I119" s="4"/>
      <c r="J119" s="4"/>
      <c r="K119" s="4"/>
      <c r="L119" s="4"/>
      <c r="M119" s="4"/>
      <c r="N119" s="4"/>
      <c r="O119" s="4"/>
      <c r="P119" s="4"/>
      <c r="Q119" s="4"/>
      <c r="R119" s="4"/>
      <c r="S119" s="4"/>
      <c r="T119" s="4"/>
      <c r="U119" s="4"/>
      <c r="V119" s="4"/>
      <c r="W119" s="4"/>
      <c r="X119" s="4"/>
      <c r="Y119" s="4"/>
    </row>
    <row r="120" ht="14.25" customHeight="1">
      <c r="A120" s="4" t="str">
        <f>IFERROR(__xludf.DUMMYFUNCTION("""COMPUTED_VALUE"""),"Amos Wong Jun Ren")</f>
        <v>Amos Wong Jun Ren</v>
      </c>
      <c r="B120" s="116">
        <f>IFERROR(__xludf.DUMMYFUNCTION("""COMPUTED_VALUE"""),46097.0)</f>
        <v>46097</v>
      </c>
      <c r="C120" s="4"/>
      <c r="D120" s="4" t="str">
        <f>IFERROR(__xludf.DUMMYFUNCTION("""COMPUTED_VALUE"""),"elizabeth_ncf@yahoo.com")</f>
        <v>elizabeth_ncf@yahoo.com</v>
      </c>
      <c r="E120" s="117">
        <f>IFERROR(__xludf.DUMMYFUNCTION("""COMPUTED_VALUE"""),46097.610852893515)</f>
        <v>46097.61085</v>
      </c>
      <c r="F120" s="4"/>
      <c r="G120" s="4"/>
      <c r="H120" s="4"/>
      <c r="I120" s="4"/>
      <c r="J120" s="4"/>
      <c r="K120" s="4"/>
      <c r="L120" s="4"/>
      <c r="M120" s="4"/>
      <c r="N120" s="4"/>
      <c r="O120" s="4"/>
      <c r="P120" s="4"/>
      <c r="Q120" s="4"/>
      <c r="R120" s="4"/>
      <c r="S120" s="4"/>
      <c r="T120" s="4"/>
      <c r="U120" s="4"/>
      <c r="V120" s="4"/>
      <c r="W120" s="4"/>
      <c r="X120" s="4"/>
      <c r="Y120" s="4"/>
    </row>
    <row r="121" ht="14.25" customHeight="1">
      <c r="A121" s="4" t="str">
        <f>IFERROR(__xludf.DUMMYFUNCTION("""COMPUTED_VALUE"""),"Wallance Wong")</f>
        <v>Wallance Wong</v>
      </c>
      <c r="B121" s="116">
        <f>IFERROR(__xludf.DUMMYFUNCTION("""COMPUTED_VALUE"""),46099.0)</f>
        <v>46099</v>
      </c>
      <c r="C121" s="4"/>
      <c r="D121" s="4" t="str">
        <f>IFERROR(__xludf.DUMMYFUNCTION("""COMPUTED_VALUE"""),"deardoris86@gmail.com")</f>
        <v>deardoris86@gmail.com</v>
      </c>
      <c r="E121" s="117">
        <f>IFERROR(__xludf.DUMMYFUNCTION("""COMPUTED_VALUE"""),46095.910772187504)</f>
        <v>46095.91077</v>
      </c>
      <c r="F121" s="4"/>
      <c r="G121" s="4"/>
      <c r="H121" s="4"/>
      <c r="I121" s="4"/>
      <c r="J121" s="4"/>
      <c r="K121" s="4"/>
      <c r="L121" s="4"/>
      <c r="M121" s="4"/>
      <c r="N121" s="4"/>
      <c r="O121" s="4"/>
      <c r="P121" s="4"/>
      <c r="Q121" s="4"/>
      <c r="R121" s="4"/>
      <c r="S121" s="4"/>
      <c r="T121" s="4"/>
      <c r="U121" s="4"/>
      <c r="V121" s="4"/>
      <c r="W121" s="4"/>
      <c r="X121" s="4"/>
      <c r="Y121" s="4"/>
    </row>
    <row r="122" ht="14.25" customHeight="1">
      <c r="A122" s="4" t="str">
        <f>IFERROR(__xludf.DUMMYFUNCTION("""COMPUTED_VALUE"""),"Wensley Wong")</f>
        <v>Wensley Wong</v>
      </c>
      <c r="B122" s="116">
        <f>IFERROR(__xludf.DUMMYFUNCTION("""COMPUTED_VALUE"""),46099.0)</f>
        <v>46099</v>
      </c>
      <c r="C122" s="4"/>
      <c r="D122" s="4" t="str">
        <f>IFERROR(__xludf.DUMMYFUNCTION("""COMPUTED_VALUE"""),"deardoris86@gmail.com")</f>
        <v>deardoris86@gmail.com</v>
      </c>
      <c r="E122" s="117">
        <f>IFERROR(__xludf.DUMMYFUNCTION("""COMPUTED_VALUE"""),46095.91080957176)</f>
        <v>46095.91081</v>
      </c>
      <c r="F122" s="4"/>
      <c r="G122" s="4"/>
      <c r="H122" s="4"/>
      <c r="I122" s="4"/>
      <c r="J122" s="4"/>
      <c r="K122" s="4"/>
      <c r="L122" s="4"/>
      <c r="M122" s="4"/>
      <c r="N122" s="4"/>
      <c r="O122" s="4"/>
      <c r="P122" s="4"/>
      <c r="Q122" s="4"/>
      <c r="R122" s="4"/>
      <c r="S122" s="4"/>
      <c r="T122" s="4"/>
      <c r="U122" s="4"/>
      <c r="V122" s="4"/>
      <c r="W122" s="4"/>
      <c r="X122" s="4"/>
      <c r="Y122" s="4"/>
    </row>
    <row r="123" ht="14.25" customHeight="1">
      <c r="A123" s="4" t="str">
        <f>IFERROR(__xludf.DUMMYFUNCTION("""COMPUTED_VALUE"""),"Leon Thien Jun Siang")</f>
        <v>Leon Thien Jun Siang</v>
      </c>
      <c r="B123" s="116">
        <f>IFERROR(__xludf.DUMMYFUNCTION("""COMPUTED_VALUE"""),46099.0)</f>
        <v>46099</v>
      </c>
      <c r="C123" s="4"/>
      <c r="D123" s="4" t="str">
        <f>IFERROR(__xludf.DUMMYFUNCTION("""COMPUTED_VALUE"""),"yonghwa89@yahoo.com")</f>
        <v>yonghwa89@yahoo.com</v>
      </c>
      <c r="E123" s="117">
        <f>IFERROR(__xludf.DUMMYFUNCTION("""COMPUTED_VALUE"""),46097.37498594908)</f>
        <v>46097.37499</v>
      </c>
      <c r="F123" s="4"/>
      <c r="G123" s="4"/>
      <c r="H123" s="4"/>
      <c r="I123" s="4"/>
      <c r="J123" s="4"/>
      <c r="K123" s="4"/>
      <c r="L123" s="4"/>
      <c r="M123" s="4"/>
      <c r="N123" s="4"/>
      <c r="O123" s="4"/>
      <c r="P123" s="4"/>
      <c r="Q123" s="4"/>
      <c r="R123" s="4"/>
      <c r="S123" s="4"/>
      <c r="T123" s="4"/>
      <c r="U123" s="4"/>
      <c r="V123" s="4"/>
      <c r="W123" s="4"/>
      <c r="X123" s="4"/>
      <c r="Y123" s="4"/>
    </row>
    <row r="124" ht="14.25" customHeight="1">
      <c r="A124" s="4" t="str">
        <f>IFERROR(__xludf.DUMMYFUNCTION("""COMPUTED_VALUE"""),"Elnathan Ryan anak David")</f>
        <v>Elnathan Ryan anak David</v>
      </c>
      <c r="B124" s="116">
        <f>IFERROR(__xludf.DUMMYFUNCTION("""COMPUTED_VALUE"""),46099.0)</f>
        <v>46099</v>
      </c>
      <c r="C124" s="4"/>
      <c r="D124" s="4" t="str">
        <f>IFERROR(__xludf.DUMMYFUNCTION("""COMPUTED_VALUE"""),"david_4226@yahoo.com.my")</f>
        <v>david_4226@yahoo.com.my</v>
      </c>
      <c r="E124" s="117">
        <f>IFERROR(__xludf.DUMMYFUNCTION("""COMPUTED_VALUE"""),46097.83019789352)</f>
        <v>46097.8302</v>
      </c>
      <c r="F124" s="4"/>
      <c r="G124" s="4"/>
      <c r="H124" s="4"/>
      <c r="I124" s="4"/>
      <c r="J124" s="4"/>
      <c r="K124" s="4"/>
      <c r="L124" s="4"/>
      <c r="M124" s="4"/>
      <c r="N124" s="4"/>
      <c r="O124" s="4"/>
      <c r="P124" s="4"/>
      <c r="Q124" s="4"/>
      <c r="R124" s="4"/>
      <c r="S124" s="4"/>
      <c r="T124" s="4"/>
      <c r="U124" s="4"/>
      <c r="V124" s="4"/>
      <c r="W124" s="4"/>
      <c r="X124" s="4"/>
      <c r="Y124" s="4"/>
    </row>
    <row r="125" ht="14.25" customHeight="1">
      <c r="A125" s="4" t="str">
        <f>IFERROR(__xludf.DUMMYFUNCTION("""COMPUTED_VALUE"""),"Cloudius Tay")</f>
        <v>Cloudius Tay</v>
      </c>
      <c r="B125" s="116">
        <f>IFERROR(__xludf.DUMMYFUNCTION("""COMPUTED_VALUE"""),46099.0)</f>
        <v>46099</v>
      </c>
      <c r="C125" s="4"/>
      <c r="D125" s="4" t="str">
        <f>IFERROR(__xludf.DUMMYFUNCTION("""COMPUTED_VALUE"""),"lovebear2168@gmail.com")</f>
        <v>lovebear2168@gmail.com</v>
      </c>
      <c r="E125" s="117">
        <f>IFERROR(__xludf.DUMMYFUNCTION("""COMPUTED_VALUE"""),46099.39892422454)</f>
        <v>46099.39892</v>
      </c>
      <c r="F125" s="4"/>
      <c r="G125" s="4"/>
      <c r="H125" s="4"/>
      <c r="I125" s="4"/>
      <c r="J125" s="4"/>
      <c r="K125" s="4"/>
      <c r="L125" s="4"/>
      <c r="M125" s="4"/>
      <c r="N125" s="4"/>
      <c r="O125" s="4"/>
      <c r="P125" s="4"/>
      <c r="Q125" s="4"/>
      <c r="R125" s="4"/>
      <c r="S125" s="4"/>
      <c r="T125" s="4"/>
      <c r="U125" s="4"/>
      <c r="V125" s="4"/>
      <c r="W125" s="4"/>
      <c r="X125" s="4"/>
      <c r="Y125" s="4"/>
    </row>
    <row r="126" ht="14.25" customHeight="1">
      <c r="A126" s="4" t="str">
        <f>IFERROR(__xludf.DUMMYFUNCTION("""COMPUTED_VALUE"""),"Rochester Lee")</f>
        <v>Rochester Lee</v>
      </c>
      <c r="B126" s="116">
        <f>IFERROR(__xludf.DUMMYFUNCTION("""COMPUTED_VALUE"""),46102.0)</f>
        <v>46102</v>
      </c>
      <c r="C126" s="4" t="str">
        <f>IFERROR(__xludf.DUMMYFUNCTION("""COMPUTED_VALUE"""),"10am - 11am")</f>
        <v>10am - 11am</v>
      </c>
      <c r="D126" s="4" t="str">
        <f>IFERROR(__xludf.DUMMYFUNCTION("""COMPUTED_VALUE"""),"ahchenlovelycat@gmail.com")</f>
        <v>ahchenlovelycat@gmail.com</v>
      </c>
      <c r="E126" s="117">
        <f>IFERROR(__xludf.DUMMYFUNCTION("""COMPUTED_VALUE"""),46097.6999603125)</f>
        <v>46097.69996</v>
      </c>
      <c r="F126" s="4"/>
      <c r="G126" s="4"/>
      <c r="H126" s="4"/>
      <c r="I126" s="4"/>
      <c r="J126" s="4"/>
      <c r="K126" s="4"/>
      <c r="L126" s="4"/>
      <c r="M126" s="4"/>
      <c r="N126" s="4"/>
      <c r="O126" s="4"/>
      <c r="P126" s="4"/>
      <c r="Q126" s="4"/>
      <c r="R126" s="4"/>
      <c r="S126" s="4"/>
      <c r="T126" s="4"/>
      <c r="U126" s="4"/>
      <c r="V126" s="4"/>
      <c r="W126" s="4"/>
      <c r="X126" s="4"/>
      <c r="Y126" s="4"/>
    </row>
    <row r="127" ht="14.25" customHeight="1">
      <c r="A127" s="4" t="str">
        <f>IFERROR(__xludf.DUMMYFUNCTION("""COMPUTED_VALUE"""),"Gladys Wong Jing Wen")</f>
        <v>Gladys Wong Jing Wen</v>
      </c>
      <c r="B127" s="116">
        <f>IFERROR(__xludf.DUMMYFUNCTION("""COMPUTED_VALUE"""),46102.0)</f>
        <v>46102</v>
      </c>
      <c r="C127" s="4" t="str">
        <f>IFERROR(__xludf.DUMMYFUNCTION("""COMPUTED_VALUE"""),"10am - 11am")</f>
        <v>10am - 11am</v>
      </c>
      <c r="D127" s="4" t="str">
        <f>IFERROR(__xludf.DUMMYFUNCTION("""COMPUTED_VALUE"""),"maryslloh@gmail.com")</f>
        <v>maryslloh@gmail.com</v>
      </c>
      <c r="E127" s="117">
        <f>IFERROR(__xludf.DUMMYFUNCTION("""COMPUTED_VALUE"""),46101.571038622686)</f>
        <v>46101.57104</v>
      </c>
      <c r="F127" s="4"/>
      <c r="G127" s="4"/>
      <c r="H127" s="4"/>
      <c r="I127" s="4"/>
      <c r="J127" s="4"/>
      <c r="K127" s="4"/>
      <c r="L127" s="4"/>
      <c r="M127" s="4"/>
      <c r="N127" s="4"/>
      <c r="O127" s="4"/>
      <c r="P127" s="4"/>
      <c r="Q127" s="4"/>
      <c r="R127" s="4"/>
      <c r="S127" s="4"/>
      <c r="T127" s="4"/>
      <c r="U127" s="4"/>
      <c r="V127" s="4"/>
      <c r="W127" s="4"/>
      <c r="X127" s="4"/>
      <c r="Y127" s="4"/>
    </row>
    <row r="128" ht="14.25" customHeight="1">
      <c r="A128" s="4" t="str">
        <f>IFERROR(__xludf.DUMMYFUNCTION("""COMPUTED_VALUE"""),"Jonas Wong")</f>
        <v>Jonas Wong</v>
      </c>
      <c r="B128" s="116">
        <f>IFERROR(__xludf.DUMMYFUNCTION("""COMPUTED_VALUE"""),46102.0)</f>
        <v>46102</v>
      </c>
      <c r="C128" s="4" t="str">
        <f>IFERROR(__xludf.DUMMYFUNCTION("""COMPUTED_VALUE"""),"10am - 11am")</f>
        <v>10am - 11am</v>
      </c>
      <c r="D128" s="4" t="str">
        <f>IFERROR(__xludf.DUMMYFUNCTION("""COMPUTED_VALUE"""),"amythsyek@gmail.com")</f>
        <v>amythsyek@gmail.com</v>
      </c>
      <c r="E128" s="117">
        <f>IFERROR(__xludf.DUMMYFUNCTION("""COMPUTED_VALUE"""),46101.81366118055)</f>
        <v>46101.81366</v>
      </c>
      <c r="F128" s="4"/>
      <c r="G128" s="4"/>
      <c r="H128" s="4"/>
      <c r="I128" s="4"/>
      <c r="J128" s="4"/>
      <c r="K128" s="4"/>
      <c r="L128" s="4"/>
      <c r="M128" s="4"/>
      <c r="N128" s="4"/>
      <c r="O128" s="4"/>
      <c r="P128" s="4"/>
      <c r="Q128" s="4"/>
      <c r="R128" s="4"/>
      <c r="S128" s="4"/>
      <c r="T128" s="4"/>
      <c r="U128" s="4"/>
      <c r="V128" s="4"/>
      <c r="W128" s="4"/>
      <c r="X128" s="4"/>
      <c r="Y128" s="4"/>
    </row>
    <row r="129" ht="14.25" customHeight="1">
      <c r="A129" s="4" t="str">
        <f>IFERROR(__xludf.DUMMYFUNCTION("""COMPUTED_VALUE"""),"Joyce Wong")</f>
        <v>Joyce Wong</v>
      </c>
      <c r="B129" s="116">
        <f>IFERROR(__xludf.DUMMYFUNCTION("""COMPUTED_VALUE"""),46102.0)</f>
        <v>46102</v>
      </c>
      <c r="C129" s="4" t="str">
        <f>IFERROR(__xludf.DUMMYFUNCTION("""COMPUTED_VALUE"""),"10am - 11am")</f>
        <v>10am - 11am</v>
      </c>
      <c r="D129" s="4" t="str">
        <f>IFERROR(__xludf.DUMMYFUNCTION("""COMPUTED_VALUE"""),"amythsyek@gmail.com")</f>
        <v>amythsyek@gmail.com</v>
      </c>
      <c r="E129" s="117">
        <f>IFERROR(__xludf.DUMMYFUNCTION("""COMPUTED_VALUE"""),46101.81369730324)</f>
        <v>46101.8137</v>
      </c>
      <c r="F129" s="4"/>
      <c r="G129" s="4"/>
      <c r="H129" s="4"/>
      <c r="I129" s="4"/>
      <c r="J129" s="4"/>
      <c r="K129" s="4"/>
      <c r="L129" s="4"/>
      <c r="M129" s="4"/>
      <c r="N129" s="4"/>
      <c r="O129" s="4"/>
      <c r="P129" s="4"/>
      <c r="Q129" s="4"/>
      <c r="R129" s="4"/>
      <c r="S129" s="4"/>
      <c r="T129" s="4"/>
      <c r="U129" s="4"/>
      <c r="V129" s="4"/>
      <c r="W129" s="4"/>
      <c r="X129" s="4"/>
      <c r="Y129" s="4"/>
    </row>
    <row r="130" ht="14.25" customHeight="1">
      <c r="A130" s="4" t="str">
        <f>IFERROR(__xludf.DUMMYFUNCTION("""COMPUTED_VALUE"""),"Alston Chan")</f>
        <v>Alston Chan</v>
      </c>
      <c r="B130" s="116">
        <f>IFERROR(__xludf.DUMMYFUNCTION("""COMPUTED_VALUE"""),46102.0)</f>
        <v>46102</v>
      </c>
      <c r="C130" s="4" t="str">
        <f>IFERROR(__xludf.DUMMYFUNCTION("""COMPUTED_VALUE"""),"10am - 11am")</f>
        <v>10am - 11am</v>
      </c>
      <c r="D130" s="4" t="str">
        <f>IFERROR(__xludf.DUMMYFUNCTION("""COMPUTED_VALUE"""),"kuilingkhei@gmail.com")</f>
        <v>kuilingkhei@gmail.com</v>
      </c>
      <c r="E130" s="117">
        <f>IFERROR(__xludf.DUMMYFUNCTION("""COMPUTED_VALUE"""),46101.81688636574)</f>
        <v>46101.81689</v>
      </c>
      <c r="F130" s="4"/>
      <c r="G130" s="4"/>
      <c r="H130" s="4"/>
      <c r="I130" s="4"/>
      <c r="J130" s="4"/>
      <c r="K130" s="4"/>
      <c r="L130" s="4"/>
      <c r="M130" s="4"/>
      <c r="N130" s="4"/>
      <c r="O130" s="4"/>
      <c r="P130" s="4"/>
      <c r="Q130" s="4"/>
      <c r="R130" s="4"/>
      <c r="S130" s="4"/>
      <c r="T130" s="4"/>
      <c r="U130" s="4"/>
      <c r="V130" s="4"/>
      <c r="W130" s="4"/>
      <c r="X130" s="4"/>
      <c r="Y130" s="4"/>
    </row>
    <row r="131" ht="14.25" customHeight="1">
      <c r="A131" s="4" t="str">
        <f>IFERROR(__xludf.DUMMYFUNCTION("""COMPUTED_VALUE"""),"Josh Ting")</f>
        <v>Josh Ting</v>
      </c>
      <c r="B131" s="116">
        <f>IFERROR(__xludf.DUMMYFUNCTION("""COMPUTED_VALUE"""),46102.0)</f>
        <v>46102</v>
      </c>
      <c r="C131" s="4" t="str">
        <f>IFERROR(__xludf.DUMMYFUNCTION("""COMPUTED_VALUE"""),"11am - 12pm")</f>
        <v>11am - 12pm</v>
      </c>
      <c r="D131" s="4" t="str">
        <f>IFERROR(__xludf.DUMMYFUNCTION("""COMPUTED_VALUE"""),"chloeping_2011@yahoo.com")</f>
        <v>chloeping_2011@yahoo.com</v>
      </c>
      <c r="E131" s="117">
        <f>IFERROR(__xludf.DUMMYFUNCTION("""COMPUTED_VALUE"""),46099.377966053245)</f>
        <v>46099.37797</v>
      </c>
      <c r="F131" s="4"/>
      <c r="G131" s="4"/>
      <c r="H131" s="4"/>
      <c r="I131" s="4"/>
      <c r="J131" s="4"/>
      <c r="K131" s="4"/>
      <c r="L131" s="4"/>
      <c r="M131" s="4"/>
      <c r="N131" s="4"/>
      <c r="O131" s="4"/>
      <c r="P131" s="4"/>
      <c r="Q131" s="4"/>
      <c r="R131" s="4"/>
      <c r="S131" s="4"/>
      <c r="T131" s="4"/>
      <c r="U131" s="4"/>
      <c r="V131" s="4"/>
      <c r="W131" s="4"/>
      <c r="X131" s="4"/>
      <c r="Y131" s="4"/>
    </row>
    <row r="132" ht="14.25" customHeight="1">
      <c r="A132" s="4" t="str">
        <f>IFERROR(__xludf.DUMMYFUNCTION("""COMPUTED_VALUE"""),"LAU JYI XIAN")</f>
        <v>LAU JYI XIAN</v>
      </c>
      <c r="B132" s="116">
        <f>IFERROR(__xludf.DUMMYFUNCTION("""COMPUTED_VALUE"""),46102.0)</f>
        <v>46102</v>
      </c>
      <c r="C132" s="4" t="str">
        <f>IFERROR(__xludf.DUMMYFUNCTION("""COMPUTED_VALUE"""),"11am - 12pm")</f>
        <v>11am - 12pm</v>
      </c>
      <c r="D132" s="4" t="str">
        <f>IFERROR(__xludf.DUMMYFUNCTION("""COMPUTED_VALUE"""),"chiouyilau@yahoo.com")</f>
        <v>chiouyilau@yahoo.com</v>
      </c>
      <c r="E132" s="117">
        <f>IFERROR(__xludf.DUMMYFUNCTION("""COMPUTED_VALUE"""),46101.77965920139)</f>
        <v>46101.77966</v>
      </c>
      <c r="F132" s="4"/>
      <c r="G132" s="4"/>
      <c r="H132" s="4"/>
      <c r="I132" s="4"/>
      <c r="J132" s="4"/>
      <c r="K132" s="4"/>
      <c r="L132" s="4"/>
      <c r="M132" s="4"/>
      <c r="N132" s="4"/>
      <c r="O132" s="4"/>
      <c r="P132" s="4"/>
      <c r="Q132" s="4"/>
      <c r="R132" s="4"/>
      <c r="S132" s="4"/>
      <c r="T132" s="4"/>
      <c r="U132" s="4"/>
      <c r="V132" s="4"/>
      <c r="W132" s="4"/>
      <c r="X132" s="4"/>
      <c r="Y132" s="4"/>
    </row>
    <row r="133" ht="14.25" customHeight="1">
      <c r="A133" s="4" t="str">
        <f>IFERROR(__xludf.DUMMYFUNCTION("""COMPUTED_VALUE"""),"LAU YONG")</f>
        <v>LAU YONG</v>
      </c>
      <c r="B133" s="116">
        <f>IFERROR(__xludf.DUMMYFUNCTION("""COMPUTED_VALUE"""),46102.0)</f>
        <v>46102</v>
      </c>
      <c r="C133" s="4" t="str">
        <f>IFERROR(__xludf.DUMMYFUNCTION("""COMPUTED_VALUE"""),"11am - 12pm")</f>
        <v>11am - 12pm</v>
      </c>
      <c r="D133" s="4" t="str">
        <f>IFERROR(__xludf.DUMMYFUNCTION("""COMPUTED_VALUE"""),"chiouyilau@yahoo.com")</f>
        <v>chiouyilau@yahoo.com</v>
      </c>
      <c r="E133" s="117">
        <f>IFERROR(__xludf.DUMMYFUNCTION("""COMPUTED_VALUE"""),46101.779702824075)</f>
        <v>46101.7797</v>
      </c>
      <c r="F133" s="4"/>
      <c r="G133" s="4"/>
      <c r="H133" s="4"/>
      <c r="I133" s="4"/>
      <c r="J133" s="4"/>
      <c r="K133" s="4"/>
      <c r="L133" s="4"/>
      <c r="M133" s="4"/>
      <c r="N133" s="4"/>
      <c r="O133" s="4"/>
      <c r="P133" s="4"/>
      <c r="Q133" s="4"/>
      <c r="R133" s="4"/>
      <c r="S133" s="4"/>
      <c r="T133" s="4"/>
      <c r="U133" s="4"/>
      <c r="V133" s="4"/>
      <c r="W133" s="4"/>
      <c r="X133" s="4"/>
      <c r="Y133" s="4"/>
    </row>
    <row r="134" ht="14.25" customHeight="1">
      <c r="A134" s="4" t="str">
        <f>IFERROR(__xludf.DUMMYFUNCTION("""COMPUTED_VALUE"""),"Gavin Tiong")</f>
        <v>Gavin Tiong</v>
      </c>
      <c r="B134" s="116">
        <f>IFERROR(__xludf.DUMMYFUNCTION("""COMPUTED_VALUE"""),46102.0)</f>
        <v>46102</v>
      </c>
      <c r="C134" s="4" t="str">
        <f>IFERROR(__xludf.DUMMYFUNCTION("""COMPUTED_VALUE"""),"11am - 12pm")</f>
        <v>11am - 12pm</v>
      </c>
      <c r="D134" s="4" t="str">
        <f>IFERROR(__xludf.DUMMYFUNCTION("""COMPUTED_VALUE"""),"wnmee@yahoo.com")</f>
        <v>wnmee@yahoo.com</v>
      </c>
      <c r="E134" s="117">
        <f>IFERROR(__xludf.DUMMYFUNCTION("""COMPUTED_VALUE"""),46101.847963912034)</f>
        <v>46101.84796</v>
      </c>
      <c r="F134" s="4"/>
      <c r="G134" s="4"/>
      <c r="H134" s="4"/>
      <c r="I134" s="4"/>
      <c r="J134" s="4"/>
      <c r="K134" s="4"/>
      <c r="L134" s="4"/>
      <c r="M134" s="4"/>
      <c r="N134" s="4"/>
      <c r="O134" s="4"/>
      <c r="P134" s="4"/>
      <c r="Q134" s="4"/>
      <c r="R134" s="4"/>
      <c r="S134" s="4"/>
      <c r="T134" s="4"/>
      <c r="U134" s="4"/>
      <c r="V134" s="4"/>
      <c r="W134" s="4"/>
      <c r="X134" s="4"/>
      <c r="Y134" s="4"/>
    </row>
    <row r="135" ht="14.25" customHeight="1">
      <c r="A135" s="4" t="str">
        <f>IFERROR(__xludf.DUMMYFUNCTION("""COMPUTED_VALUE"""),"Eunice Tiong")</f>
        <v>Eunice Tiong</v>
      </c>
      <c r="B135" s="116">
        <f>IFERROR(__xludf.DUMMYFUNCTION("""COMPUTED_VALUE"""),46102.0)</f>
        <v>46102</v>
      </c>
      <c r="C135" s="4" t="str">
        <f>IFERROR(__xludf.DUMMYFUNCTION("""COMPUTED_VALUE"""),"11am - 12pm")</f>
        <v>11am - 12pm</v>
      </c>
      <c r="D135" s="4" t="str">
        <f>IFERROR(__xludf.DUMMYFUNCTION("""COMPUTED_VALUE"""),"wnmee@yahoo.com")</f>
        <v>wnmee@yahoo.com</v>
      </c>
      <c r="E135" s="117">
        <f>IFERROR(__xludf.DUMMYFUNCTION("""COMPUTED_VALUE"""),46101.84801083333)</f>
        <v>46101.84801</v>
      </c>
      <c r="F135" s="4"/>
      <c r="G135" s="4"/>
      <c r="H135" s="4"/>
      <c r="I135" s="4"/>
      <c r="J135" s="4"/>
      <c r="K135" s="4"/>
      <c r="L135" s="4"/>
      <c r="M135" s="4"/>
      <c r="N135" s="4"/>
      <c r="O135" s="4"/>
      <c r="P135" s="4"/>
      <c r="Q135" s="4"/>
      <c r="R135" s="4"/>
      <c r="S135" s="4"/>
      <c r="T135" s="4"/>
      <c r="U135" s="4"/>
      <c r="V135" s="4"/>
      <c r="W135" s="4"/>
      <c r="X135" s="4"/>
      <c r="Y135" s="4"/>
    </row>
    <row r="136" ht="14.25" customHeight="1">
      <c r="A136" s="4" t="str">
        <f>IFERROR(__xludf.DUMMYFUNCTION("""COMPUTED_VALUE"""),"Ivan Tan Jun Haw")</f>
        <v>Ivan Tan Jun Haw</v>
      </c>
      <c r="B136" s="116">
        <f>IFERROR(__xludf.DUMMYFUNCTION("""COMPUTED_VALUE"""),46102.0)</f>
        <v>46102</v>
      </c>
      <c r="C136" s="4" t="str">
        <f>IFERROR(__xludf.DUMMYFUNCTION("""COMPUTED_VALUE"""),"2pm - 3pm")</f>
        <v>2pm - 3pm</v>
      </c>
      <c r="D136" s="4" t="str">
        <f>IFERROR(__xludf.DUMMYFUNCTION("""COMPUTED_VALUE"""),"solar81@yahoo.com")</f>
        <v>solar81@yahoo.com</v>
      </c>
      <c r="E136" s="117">
        <f>IFERROR(__xludf.DUMMYFUNCTION("""COMPUTED_VALUE"""),46100.40066084491)</f>
        <v>46100.40066</v>
      </c>
      <c r="F136" s="4"/>
      <c r="G136" s="4"/>
      <c r="H136" s="4"/>
      <c r="I136" s="4"/>
      <c r="J136" s="4"/>
      <c r="K136" s="4"/>
      <c r="L136" s="4"/>
      <c r="M136" s="4"/>
      <c r="N136" s="4"/>
      <c r="O136" s="4"/>
      <c r="P136" s="4"/>
      <c r="Q136" s="4"/>
      <c r="R136" s="4"/>
      <c r="S136" s="4"/>
      <c r="T136" s="4"/>
      <c r="U136" s="4"/>
      <c r="V136" s="4"/>
      <c r="W136" s="4"/>
      <c r="X136" s="4"/>
      <c r="Y136" s="4"/>
    </row>
    <row r="137" ht="14.25" customHeight="1">
      <c r="A137" s="4" t="str">
        <f>IFERROR(__xludf.DUMMYFUNCTION("""COMPUTED_VALUE"""),"Jvan Tan Jun Yik")</f>
        <v>Jvan Tan Jun Yik</v>
      </c>
      <c r="B137" s="116">
        <f>IFERROR(__xludf.DUMMYFUNCTION("""COMPUTED_VALUE"""),46102.0)</f>
        <v>46102</v>
      </c>
      <c r="C137" s="4" t="str">
        <f>IFERROR(__xludf.DUMMYFUNCTION("""COMPUTED_VALUE"""),"2pm - 3pm")</f>
        <v>2pm - 3pm</v>
      </c>
      <c r="D137" s="4" t="str">
        <f>IFERROR(__xludf.DUMMYFUNCTION("""COMPUTED_VALUE"""),"solar81@yahoo.com")</f>
        <v>solar81@yahoo.com</v>
      </c>
      <c r="E137" s="117">
        <f>IFERROR(__xludf.DUMMYFUNCTION("""COMPUTED_VALUE"""),46100.40070193287)</f>
        <v>46100.4007</v>
      </c>
      <c r="F137" s="4"/>
      <c r="G137" s="4"/>
      <c r="H137" s="4"/>
      <c r="I137" s="4"/>
      <c r="J137" s="4"/>
      <c r="K137" s="4"/>
      <c r="L137" s="4"/>
      <c r="M137" s="4"/>
      <c r="N137" s="4"/>
      <c r="O137" s="4"/>
      <c r="P137" s="4"/>
      <c r="Q137" s="4"/>
      <c r="R137" s="4"/>
      <c r="S137" s="4"/>
      <c r="T137" s="4"/>
      <c r="U137" s="4"/>
      <c r="V137" s="4"/>
      <c r="W137" s="4"/>
      <c r="X137" s="4"/>
      <c r="Y137" s="4"/>
    </row>
    <row r="138" ht="14.25" customHeight="1">
      <c r="A138" s="4" t="str">
        <f>IFERROR(__xludf.DUMMYFUNCTION("""COMPUTED_VALUE"""),"WONG SHI YAW")</f>
        <v>WONG SHI YAW</v>
      </c>
      <c r="B138" s="116">
        <f>IFERROR(__xludf.DUMMYFUNCTION("""COMPUTED_VALUE"""),46102.0)</f>
        <v>46102</v>
      </c>
      <c r="C138" s="4" t="str">
        <f>IFERROR(__xludf.DUMMYFUNCTION("""COMPUTED_VALUE"""),"3pm - 4pm")</f>
        <v>3pm - 4pm</v>
      </c>
      <c r="D138" s="4" t="str">
        <f>IFERROR(__xludf.DUMMYFUNCTION("""COMPUTED_VALUE"""),"siewyew_sim@yahoo.com")</f>
        <v>siewyew_sim@yahoo.com</v>
      </c>
      <c r="E138" s="117">
        <f>IFERROR(__xludf.DUMMYFUNCTION("""COMPUTED_VALUE"""),46100.423406030095)</f>
        <v>46100.42341</v>
      </c>
      <c r="F138" s="4"/>
      <c r="G138" s="4"/>
      <c r="H138" s="4"/>
      <c r="I138" s="4"/>
      <c r="J138" s="4"/>
      <c r="K138" s="4"/>
      <c r="L138" s="4"/>
      <c r="M138" s="4"/>
      <c r="N138" s="4"/>
      <c r="O138" s="4"/>
      <c r="P138" s="4"/>
      <c r="Q138" s="4"/>
      <c r="R138" s="4"/>
      <c r="S138" s="4"/>
      <c r="T138" s="4"/>
      <c r="U138" s="4"/>
      <c r="V138" s="4"/>
      <c r="W138" s="4"/>
      <c r="X138" s="4"/>
      <c r="Y138" s="4"/>
    </row>
    <row r="139" ht="14.25" customHeight="1">
      <c r="A139" s="4" t="str">
        <f>IFERROR(__xludf.DUMMYFUNCTION("""COMPUTED_VALUE"""),"Joanna Ling Zhi Hui")</f>
        <v>Joanna Ling Zhi Hui</v>
      </c>
      <c r="B139" s="116">
        <f>IFERROR(__xludf.DUMMYFUNCTION("""COMPUTED_VALUE"""),46102.0)</f>
        <v>46102</v>
      </c>
      <c r="C139" s="4" t="str">
        <f>IFERROR(__xludf.DUMMYFUNCTION("""COMPUTED_VALUE"""),"3pm - 4pm")</f>
        <v>3pm - 4pm</v>
      </c>
      <c r="D139" s="4" t="str">
        <f>IFERROR(__xludf.DUMMYFUNCTION("""COMPUTED_VALUE"""),"chenmeinv7@gmail.com")</f>
        <v>chenmeinv7@gmail.com</v>
      </c>
      <c r="E139" s="117">
        <f>IFERROR(__xludf.DUMMYFUNCTION("""COMPUTED_VALUE"""),46101.56077856482)</f>
        <v>46101.56078</v>
      </c>
      <c r="F139" s="4"/>
      <c r="G139" s="4"/>
      <c r="H139" s="4"/>
      <c r="I139" s="4"/>
      <c r="J139" s="4"/>
      <c r="K139" s="4"/>
      <c r="L139" s="4"/>
      <c r="M139" s="4"/>
      <c r="N139" s="4"/>
      <c r="O139" s="4"/>
      <c r="P139" s="4"/>
      <c r="Q139" s="4"/>
      <c r="R139" s="4"/>
      <c r="S139" s="4"/>
      <c r="T139" s="4"/>
      <c r="U139" s="4"/>
      <c r="V139" s="4"/>
      <c r="W139" s="4"/>
      <c r="X139" s="4"/>
      <c r="Y139" s="4"/>
    </row>
    <row r="140" ht="14.25" customHeight="1">
      <c r="A140" s="4" t="str">
        <f>IFERROR(__xludf.DUMMYFUNCTION("""COMPUTED_VALUE"""),"TIFFANY LING YUN TING")</f>
        <v>TIFFANY LING YUN TING</v>
      </c>
      <c r="B140" s="116">
        <f>IFERROR(__xludf.DUMMYFUNCTION("""COMPUTED_VALUE"""),46102.0)</f>
        <v>46102</v>
      </c>
      <c r="C140" s="4" t="str">
        <f>IFERROR(__xludf.DUMMYFUNCTION("""COMPUTED_VALUE"""),"4pm - 5pm")</f>
        <v>4pm - 5pm</v>
      </c>
      <c r="D140" s="4" t="str">
        <f>IFERROR(__xludf.DUMMYFUNCTION("""COMPUTED_VALUE"""),"mkch0724@gmail.com")</f>
        <v>mkch0724@gmail.com</v>
      </c>
      <c r="E140" s="117">
        <f>IFERROR(__xludf.DUMMYFUNCTION("""COMPUTED_VALUE"""),46090.846422511575)</f>
        <v>46090.84642</v>
      </c>
      <c r="F140" s="4"/>
      <c r="G140" s="4"/>
      <c r="H140" s="4"/>
      <c r="I140" s="4"/>
      <c r="J140" s="4"/>
      <c r="K140" s="4"/>
      <c r="L140" s="4"/>
      <c r="M140" s="4"/>
      <c r="N140" s="4"/>
      <c r="O140" s="4"/>
      <c r="P140" s="4"/>
      <c r="Q140" s="4"/>
      <c r="R140" s="4"/>
      <c r="S140" s="4"/>
      <c r="T140" s="4"/>
      <c r="U140" s="4"/>
      <c r="V140" s="4"/>
      <c r="W140" s="4"/>
      <c r="X140" s="4"/>
      <c r="Y140" s="4"/>
    </row>
    <row r="141" ht="14.25" customHeight="1">
      <c r="A141" s="4" t="str">
        <f>IFERROR(__xludf.DUMMYFUNCTION("""COMPUTED_VALUE"""),"Rochester Lee")</f>
        <v>Rochester Lee</v>
      </c>
      <c r="B141" s="116">
        <f>IFERROR(__xludf.DUMMYFUNCTION("""COMPUTED_VALUE"""),46102.0)</f>
        <v>46102</v>
      </c>
      <c r="C141" s="4" t="str">
        <f>IFERROR(__xludf.DUMMYFUNCTION("""COMPUTED_VALUE"""),"9am - 10am")</f>
        <v>9am - 10am</v>
      </c>
      <c r="D141" s="4" t="str">
        <f>IFERROR(__xludf.DUMMYFUNCTION("""COMPUTED_VALUE"""),"ahchenlovelycat@gmail.com")</f>
        <v>ahchenlovelycat@gmail.com</v>
      </c>
      <c r="E141" s="117">
        <f>IFERROR(__xludf.DUMMYFUNCTION("""COMPUTED_VALUE"""),46097.69992082176)</f>
        <v>46097.69992</v>
      </c>
      <c r="F141" s="4"/>
      <c r="G141" s="4"/>
      <c r="H141" s="4"/>
      <c r="I141" s="4"/>
      <c r="J141" s="4"/>
      <c r="K141" s="4"/>
      <c r="L141" s="4"/>
      <c r="M141" s="4"/>
      <c r="N141" s="4"/>
      <c r="O141" s="4"/>
      <c r="P141" s="4"/>
      <c r="Q141" s="4"/>
      <c r="R141" s="4"/>
      <c r="S141" s="4"/>
      <c r="T141" s="4"/>
      <c r="U141" s="4"/>
      <c r="V141" s="4"/>
      <c r="W141" s="4"/>
      <c r="X141" s="4"/>
      <c r="Y141" s="4"/>
    </row>
    <row r="142" ht="14.25" customHeight="1">
      <c r="A142" s="4" t="str">
        <f>IFERROR(__xludf.DUMMYFUNCTION("""COMPUTED_VALUE"""),"Elnathan Ryan anak David")</f>
        <v>Elnathan Ryan anak David</v>
      </c>
      <c r="B142" s="116">
        <f>IFERROR(__xludf.DUMMYFUNCTION("""COMPUTED_VALUE"""),46102.0)</f>
        <v>46102</v>
      </c>
      <c r="C142" s="4" t="str">
        <f>IFERROR(__xludf.DUMMYFUNCTION("""COMPUTED_VALUE"""),"9am - 10am")</f>
        <v>9am - 10am</v>
      </c>
      <c r="D142" s="4" t="str">
        <f>IFERROR(__xludf.DUMMYFUNCTION("""COMPUTED_VALUE"""),"david_4226@yahoo.com.my")</f>
        <v>david_4226@yahoo.com.my</v>
      </c>
      <c r="E142" s="117">
        <f>IFERROR(__xludf.DUMMYFUNCTION("""COMPUTED_VALUE"""),46097.831784560185)</f>
        <v>46097.83178</v>
      </c>
      <c r="F142" s="4"/>
      <c r="G142" s="4"/>
      <c r="H142" s="4"/>
      <c r="I142" s="4"/>
      <c r="J142" s="4"/>
      <c r="K142" s="4"/>
      <c r="L142" s="4"/>
      <c r="M142" s="4"/>
      <c r="N142" s="4"/>
      <c r="O142" s="4"/>
      <c r="P142" s="4"/>
      <c r="Q142" s="4"/>
      <c r="R142" s="4"/>
      <c r="S142" s="4"/>
      <c r="T142" s="4"/>
      <c r="U142" s="4"/>
      <c r="V142" s="4"/>
      <c r="W142" s="4"/>
      <c r="X142" s="4"/>
      <c r="Y142" s="4"/>
    </row>
    <row r="143" ht="14.25" customHeight="1">
      <c r="A143" s="4" t="str">
        <f>IFERROR(__xludf.DUMMYFUNCTION("""COMPUTED_VALUE"""),"GISELDA KONG LE EN")</f>
        <v>GISELDA KONG LE EN</v>
      </c>
      <c r="B143" s="116">
        <f>IFERROR(__xludf.DUMMYFUNCTION("""COMPUTED_VALUE"""),46102.0)</f>
        <v>46102</v>
      </c>
      <c r="C143" s="4" t="str">
        <f>IFERROR(__xludf.DUMMYFUNCTION("""COMPUTED_VALUE"""),"9am - 10am")</f>
        <v>9am - 10am</v>
      </c>
      <c r="D143" s="4" t="str">
        <f>IFERROR(__xludf.DUMMYFUNCTION("""COMPUTED_VALUE"""),"dylan_kcl88@hotmail.com")</f>
        <v>dylan_kcl88@hotmail.com</v>
      </c>
      <c r="E143" s="117">
        <f>IFERROR(__xludf.DUMMYFUNCTION("""COMPUTED_VALUE"""),46101.57184106481)</f>
        <v>46101.57184</v>
      </c>
      <c r="F143" s="4"/>
      <c r="G143" s="4"/>
      <c r="H143" s="4"/>
      <c r="I143" s="4"/>
      <c r="J143" s="4"/>
      <c r="K143" s="4"/>
      <c r="L143" s="4"/>
      <c r="M143" s="4"/>
      <c r="N143" s="4"/>
      <c r="O143" s="4"/>
      <c r="P143" s="4"/>
      <c r="Q143" s="4"/>
      <c r="R143" s="4"/>
      <c r="S143" s="4"/>
      <c r="T143" s="4"/>
      <c r="U143" s="4"/>
      <c r="V143" s="4"/>
      <c r="W143" s="4"/>
      <c r="X143" s="4"/>
      <c r="Y143" s="4"/>
    </row>
    <row r="144" ht="14.25" customHeight="1">
      <c r="A144" s="4" t="str">
        <f>IFERROR(__xludf.DUMMYFUNCTION("""COMPUTED_VALUE"""),"Ting Zhi Xin")</f>
        <v>Ting Zhi Xin</v>
      </c>
      <c r="B144" s="116">
        <f>IFERROR(__xludf.DUMMYFUNCTION("""COMPUTED_VALUE"""),46102.0)</f>
        <v>46102</v>
      </c>
      <c r="C144" s="4" t="str">
        <f>IFERROR(__xludf.DUMMYFUNCTION("""COMPUTED_VALUE"""),"9am - 10am")</f>
        <v>9am - 10am</v>
      </c>
      <c r="D144" s="4" t="str">
        <f>IFERROR(__xludf.DUMMYFUNCTION("""COMPUTED_VALUE"""),"callmeblade.mate@gmail.com")</f>
        <v>callmeblade.mate@gmail.com</v>
      </c>
      <c r="E144" s="117">
        <f>IFERROR(__xludf.DUMMYFUNCTION("""COMPUTED_VALUE"""),46101.8561515162)</f>
        <v>46101.85615</v>
      </c>
      <c r="F144" s="4"/>
      <c r="G144" s="4"/>
      <c r="H144" s="4"/>
      <c r="I144" s="4"/>
      <c r="J144" s="4"/>
      <c r="K144" s="4"/>
      <c r="L144" s="4"/>
      <c r="M144" s="4"/>
      <c r="N144" s="4"/>
      <c r="O144" s="4"/>
      <c r="P144" s="4"/>
      <c r="Q144" s="4"/>
      <c r="R144" s="4"/>
      <c r="S144" s="4"/>
      <c r="T144" s="4"/>
      <c r="U144" s="4"/>
      <c r="V144" s="4"/>
      <c r="W144" s="4"/>
      <c r="X144" s="4"/>
      <c r="Y144" s="4"/>
    </row>
    <row r="145" ht="14.25" customHeight="1">
      <c r="A145" s="4" t="str">
        <f>IFERROR(__xludf.DUMMYFUNCTION("""COMPUTED_VALUE"""),"Alfred koo yi xiang")</f>
        <v>Alfred koo yi xiang</v>
      </c>
      <c r="B145" s="116">
        <f>IFERROR(__xludf.DUMMYFUNCTION("""COMPUTED_VALUE"""),46109.0)</f>
        <v>46109</v>
      </c>
      <c r="C145" s="4" t="str">
        <f>IFERROR(__xludf.DUMMYFUNCTION("""COMPUTED_VALUE"""),"10am - 11am")</f>
        <v>10am - 11am</v>
      </c>
      <c r="D145" s="4" t="str">
        <f>IFERROR(__xludf.DUMMYFUNCTION("""COMPUTED_VALUE"""),"angel_ping22@hotmail.com")</f>
        <v>angel_ping22@hotmail.com</v>
      </c>
      <c r="E145" s="117">
        <f>IFERROR(__xludf.DUMMYFUNCTION("""COMPUTED_VALUE"""),46094.65601196759)</f>
        <v>46094.65601</v>
      </c>
      <c r="F145" s="4"/>
      <c r="G145" s="4"/>
      <c r="H145" s="4"/>
      <c r="I145" s="4"/>
      <c r="J145" s="4"/>
      <c r="K145" s="4"/>
      <c r="L145" s="4"/>
      <c r="M145" s="4"/>
      <c r="N145" s="4"/>
      <c r="O145" s="4"/>
      <c r="P145" s="4"/>
      <c r="Q145" s="4"/>
      <c r="R145" s="4"/>
      <c r="S145" s="4"/>
      <c r="T145" s="4"/>
      <c r="U145" s="4"/>
      <c r="V145" s="4"/>
      <c r="W145" s="4"/>
      <c r="X145" s="4"/>
      <c r="Y145" s="4"/>
    </row>
    <row r="146" ht="14.25" customHeight="1">
      <c r="A146" s="118" t="str">
        <f>IFERROR(__xludf.DUMMYFUNCTION("""COMPUTED_VALUE"""),"Ting Zhi Xin")</f>
        <v>Ting Zhi Xin</v>
      </c>
      <c r="B146" s="119">
        <f>IFERROR(__xludf.DUMMYFUNCTION("""COMPUTED_VALUE"""),46109.0)</f>
        <v>46109</v>
      </c>
      <c r="C146" s="118" t="str">
        <f>IFERROR(__xludf.DUMMYFUNCTION("""COMPUTED_VALUE"""),"10am - 11am")</f>
        <v>10am - 11am</v>
      </c>
      <c r="D146" s="118" t="str">
        <f>IFERROR(__xludf.DUMMYFUNCTION("""COMPUTED_VALUE"""),"callmeblade.mate@gmail.com")</f>
        <v>callmeblade.mate@gmail.com</v>
      </c>
      <c r="E146" s="120">
        <f>IFERROR(__xludf.DUMMYFUNCTION("""COMPUTED_VALUE"""),46098.45842241898)</f>
        <v>46098.45842</v>
      </c>
      <c r="F146" s="118"/>
      <c r="G146" s="118"/>
      <c r="H146" s="118"/>
      <c r="I146" s="118"/>
      <c r="J146" s="118"/>
      <c r="K146" s="118"/>
      <c r="L146" s="118"/>
      <c r="M146" s="118"/>
      <c r="N146" s="118"/>
      <c r="O146" s="118"/>
      <c r="P146" s="118"/>
      <c r="Q146" s="118"/>
      <c r="R146" s="118"/>
      <c r="S146" s="118"/>
      <c r="T146" s="118"/>
      <c r="U146" s="118"/>
      <c r="V146" s="118"/>
      <c r="W146" s="118"/>
      <c r="X146" s="118"/>
      <c r="Y146" s="118"/>
    </row>
    <row r="147" ht="14.25" customHeight="1">
      <c r="A147" s="4" t="str">
        <f>IFERROR(__xludf.DUMMYFUNCTION("""COMPUTED_VALUE"""),"CLOVIS LOW ZHAO MING")</f>
        <v>CLOVIS LOW ZHAO MING</v>
      </c>
      <c r="B147" s="116">
        <f>IFERROR(__xludf.DUMMYFUNCTION("""COMPUTED_VALUE"""),46109.0)</f>
        <v>46109</v>
      </c>
      <c r="C147" s="4" t="str">
        <f>IFERROR(__xludf.DUMMYFUNCTION("""COMPUTED_VALUE"""),"10am - 11am")</f>
        <v>10am - 11am</v>
      </c>
      <c r="D147" s="4" t="str">
        <f>IFERROR(__xludf.DUMMYFUNCTION("""COMPUTED_VALUE"""),"helen_83heikon@hotmail.com")</f>
        <v>helen_83heikon@hotmail.com</v>
      </c>
      <c r="E147" s="117">
        <f>IFERROR(__xludf.DUMMYFUNCTION("""COMPUTED_VALUE"""),46100.381493402776)</f>
        <v>46100.38149</v>
      </c>
      <c r="F147" s="4"/>
      <c r="G147" s="4"/>
      <c r="H147" s="4"/>
      <c r="I147" s="4"/>
      <c r="J147" s="4"/>
      <c r="K147" s="4"/>
      <c r="L147" s="4"/>
      <c r="M147" s="4"/>
      <c r="N147" s="4"/>
      <c r="O147" s="4"/>
      <c r="P147" s="4"/>
      <c r="Q147" s="4"/>
      <c r="R147" s="4"/>
      <c r="S147" s="4"/>
      <c r="T147" s="4"/>
      <c r="U147" s="4"/>
      <c r="V147" s="4"/>
      <c r="W147" s="4"/>
      <c r="X147" s="4"/>
      <c r="Y147" s="4"/>
    </row>
    <row r="148" ht="14.25" customHeight="1">
      <c r="A148" s="4" t="str">
        <f>IFERROR(__xludf.DUMMYFUNCTION("""COMPUTED_VALUE"""),"MELVIN TIONG MENG HAN")</f>
        <v>MELVIN TIONG MENG HAN</v>
      </c>
      <c r="B148" s="116">
        <f>IFERROR(__xludf.DUMMYFUNCTION("""COMPUTED_VALUE"""),46109.0)</f>
        <v>46109</v>
      </c>
      <c r="C148" s="4" t="str">
        <f>IFERROR(__xludf.DUMMYFUNCTION("""COMPUTED_VALUE"""),"10am - 11am")</f>
        <v>10am - 11am</v>
      </c>
      <c r="D148" s="4" t="str">
        <f>IFERROR(__xludf.DUMMYFUNCTION("""COMPUTED_VALUE"""),"lawhui75@yahoo.com")</f>
        <v>lawhui75@yahoo.com</v>
      </c>
      <c r="E148" s="117">
        <f>IFERROR(__xludf.DUMMYFUNCTION("""COMPUTED_VALUE"""),46101.85312127315)</f>
        <v>46101.85312</v>
      </c>
      <c r="F148" s="4"/>
      <c r="G148" s="4"/>
      <c r="H148" s="4"/>
      <c r="I148" s="4"/>
      <c r="J148" s="4"/>
      <c r="K148" s="4"/>
      <c r="L148" s="4"/>
      <c r="M148" s="4"/>
      <c r="N148" s="4"/>
      <c r="O148" s="4"/>
      <c r="P148" s="4"/>
      <c r="Q148" s="4"/>
      <c r="R148" s="4"/>
      <c r="S148" s="4"/>
      <c r="T148" s="4"/>
      <c r="U148" s="4"/>
      <c r="V148" s="4"/>
      <c r="W148" s="4"/>
      <c r="X148" s="4"/>
      <c r="Y148" s="4"/>
    </row>
    <row r="149" ht="14.25" customHeight="1">
      <c r="A149" s="4" t="str">
        <f>IFERROR(__xludf.DUMMYFUNCTION("""COMPUTED_VALUE"""),"KONG MING YI")</f>
        <v>KONG MING YI</v>
      </c>
      <c r="B149" s="116">
        <f>IFERROR(__xludf.DUMMYFUNCTION("""COMPUTED_VALUE"""),46109.0)</f>
        <v>46109</v>
      </c>
      <c r="C149" s="4" t="str">
        <f>IFERROR(__xludf.DUMMYFUNCTION("""COMPUTED_VALUE"""),"10am - 11am")</f>
        <v>10am - 11am</v>
      </c>
      <c r="D149" s="4" t="str">
        <f>IFERROR(__xludf.DUMMYFUNCTION("""COMPUTED_VALUE"""),"yiichaihsia@yahoo.com")</f>
        <v>yiichaihsia@yahoo.com</v>
      </c>
      <c r="E149" s="117">
        <f>IFERROR(__xludf.DUMMYFUNCTION("""COMPUTED_VALUE"""),46101.855041863426)</f>
        <v>46101.85504</v>
      </c>
      <c r="F149" s="4"/>
      <c r="G149" s="4"/>
      <c r="H149" s="4"/>
      <c r="I149" s="4"/>
      <c r="J149" s="4"/>
      <c r="K149" s="4"/>
      <c r="L149" s="4"/>
      <c r="M149" s="4"/>
      <c r="N149" s="4"/>
      <c r="O149" s="4"/>
      <c r="P149" s="4"/>
      <c r="Q149" s="4"/>
      <c r="R149" s="4"/>
      <c r="S149" s="4"/>
      <c r="T149" s="4"/>
      <c r="U149" s="4"/>
      <c r="V149" s="4"/>
      <c r="W149" s="4"/>
      <c r="X149" s="4"/>
      <c r="Y149" s="4"/>
    </row>
    <row r="150" ht="14.25" customHeight="1">
      <c r="A150" s="4" t="str">
        <f>IFERROR(__xludf.DUMMYFUNCTION("""COMPUTED_VALUE"""),"Gia Lim Jia En")</f>
        <v>Gia Lim Jia En</v>
      </c>
      <c r="B150" s="116">
        <f>IFERROR(__xludf.DUMMYFUNCTION("""COMPUTED_VALUE"""),46109.0)</f>
        <v>46109</v>
      </c>
      <c r="C150" s="4" t="str">
        <f>IFERROR(__xludf.DUMMYFUNCTION("""COMPUTED_VALUE"""),"10am - 11am")</f>
        <v>10am - 11am</v>
      </c>
      <c r="D150" s="4" t="str">
        <f>IFERROR(__xludf.DUMMYFUNCTION("""COMPUTED_VALUE"""),"winniewkl81@gmail.com")</f>
        <v>winniewkl81@gmail.com</v>
      </c>
      <c r="E150" s="117">
        <f>IFERROR(__xludf.DUMMYFUNCTION("""COMPUTED_VALUE"""),46109.36499761574)</f>
        <v>46109.365</v>
      </c>
      <c r="F150" s="4"/>
      <c r="G150" s="4"/>
      <c r="H150" s="4"/>
      <c r="I150" s="4"/>
      <c r="J150" s="4"/>
      <c r="K150" s="4"/>
      <c r="L150" s="4"/>
      <c r="M150" s="4"/>
      <c r="N150" s="4"/>
      <c r="O150" s="4"/>
      <c r="P150" s="4"/>
      <c r="Q150" s="4"/>
      <c r="R150" s="4"/>
      <c r="S150" s="4"/>
      <c r="T150" s="4"/>
      <c r="U150" s="4"/>
      <c r="V150" s="4"/>
      <c r="W150" s="4"/>
      <c r="X150" s="4"/>
      <c r="Y150" s="4"/>
    </row>
    <row r="151" ht="14.25" customHeight="1">
      <c r="A151" s="4" t="str">
        <f>IFERROR(__xludf.DUMMYFUNCTION("""COMPUTED_VALUE"""),"LAU JYI XIAN")</f>
        <v>LAU JYI XIAN</v>
      </c>
      <c r="B151" s="116">
        <f>IFERROR(__xludf.DUMMYFUNCTION("""COMPUTED_VALUE"""),46109.0)</f>
        <v>46109</v>
      </c>
      <c r="C151" s="4" t="str">
        <f>IFERROR(__xludf.DUMMYFUNCTION("""COMPUTED_VALUE"""),"11am - 12pm")</f>
        <v>11am - 12pm</v>
      </c>
      <c r="D151" s="4" t="str">
        <f>IFERROR(__xludf.DUMMYFUNCTION("""COMPUTED_VALUE"""),"chiouyilau@yahoo.com")</f>
        <v>chiouyilau@yahoo.com</v>
      </c>
      <c r="E151" s="117">
        <f>IFERROR(__xludf.DUMMYFUNCTION("""COMPUTED_VALUE"""),46108.86241045139)</f>
        <v>46108.86241</v>
      </c>
      <c r="F151" s="4"/>
      <c r="G151" s="4"/>
      <c r="H151" s="4"/>
      <c r="I151" s="4"/>
      <c r="J151" s="4"/>
      <c r="K151" s="4"/>
      <c r="L151" s="4"/>
      <c r="M151" s="4"/>
      <c r="N151" s="4"/>
      <c r="O151" s="4"/>
      <c r="P151" s="4"/>
      <c r="Q151" s="4"/>
      <c r="R151" s="4"/>
      <c r="S151" s="4"/>
      <c r="T151" s="4"/>
      <c r="U151" s="4"/>
      <c r="V151" s="4"/>
      <c r="W151" s="4"/>
      <c r="X151" s="4"/>
      <c r="Y151" s="4"/>
    </row>
    <row r="152" ht="14.25" customHeight="1">
      <c r="A152" s="4" t="str">
        <f>IFERROR(__xludf.DUMMYFUNCTION("""COMPUTED_VALUE"""),"LAU YONG")</f>
        <v>LAU YONG</v>
      </c>
      <c r="B152" s="116">
        <f>IFERROR(__xludf.DUMMYFUNCTION("""COMPUTED_VALUE"""),46109.0)</f>
        <v>46109</v>
      </c>
      <c r="C152" s="4" t="str">
        <f>IFERROR(__xludf.DUMMYFUNCTION("""COMPUTED_VALUE"""),"11am - 12pm")</f>
        <v>11am - 12pm</v>
      </c>
      <c r="D152" s="4" t="str">
        <f>IFERROR(__xludf.DUMMYFUNCTION("""COMPUTED_VALUE"""),"chiouyilau@yahoo.com")</f>
        <v>chiouyilau@yahoo.com</v>
      </c>
      <c r="E152" s="117">
        <f>IFERROR(__xludf.DUMMYFUNCTION("""COMPUTED_VALUE"""),46108.862447175925)</f>
        <v>46108.86245</v>
      </c>
      <c r="F152" s="4"/>
      <c r="G152" s="4"/>
      <c r="H152" s="4"/>
      <c r="I152" s="4"/>
      <c r="J152" s="4"/>
      <c r="K152" s="4"/>
      <c r="L152" s="4"/>
      <c r="M152" s="4"/>
      <c r="N152" s="4"/>
      <c r="O152" s="4"/>
      <c r="P152" s="4"/>
      <c r="Q152" s="4"/>
      <c r="R152" s="4"/>
      <c r="S152" s="4"/>
      <c r="T152" s="4"/>
      <c r="U152" s="4"/>
      <c r="V152" s="4"/>
      <c r="W152" s="4"/>
      <c r="X152" s="4"/>
      <c r="Y152" s="4"/>
    </row>
    <row r="153" ht="14.25" customHeight="1">
      <c r="A153" s="4" t="str">
        <f>IFERROR(__xludf.DUMMYFUNCTION("""COMPUTED_VALUE"""),"Gavin Tiong")</f>
        <v>Gavin Tiong</v>
      </c>
      <c r="B153" s="116">
        <f>IFERROR(__xludf.DUMMYFUNCTION("""COMPUTED_VALUE"""),46109.0)</f>
        <v>46109</v>
      </c>
      <c r="C153" s="4" t="str">
        <f>IFERROR(__xludf.DUMMYFUNCTION("""COMPUTED_VALUE"""),"11am - 12pm")</f>
        <v>11am - 12pm</v>
      </c>
      <c r="D153" s="4" t="str">
        <f>IFERROR(__xludf.DUMMYFUNCTION("""COMPUTED_VALUE"""),"wnmee@yahoo.com")</f>
        <v>wnmee@yahoo.com</v>
      </c>
      <c r="E153" s="117">
        <f>IFERROR(__xludf.DUMMYFUNCTION("""COMPUTED_VALUE"""),46108.87814074074)</f>
        <v>46108.87814</v>
      </c>
      <c r="F153" s="4"/>
      <c r="G153" s="4"/>
      <c r="H153" s="4"/>
      <c r="I153" s="4"/>
      <c r="J153" s="4"/>
      <c r="K153" s="4"/>
      <c r="L153" s="4"/>
      <c r="M153" s="4"/>
      <c r="N153" s="4"/>
      <c r="O153" s="4"/>
      <c r="P153" s="4"/>
      <c r="Q153" s="4"/>
      <c r="R153" s="4"/>
      <c r="S153" s="4"/>
      <c r="T153" s="4"/>
      <c r="U153" s="4"/>
      <c r="V153" s="4"/>
      <c r="W153" s="4"/>
      <c r="X153" s="4"/>
      <c r="Y153" s="4"/>
    </row>
    <row r="154" ht="14.25" customHeight="1">
      <c r="A154" s="4" t="str">
        <f>IFERROR(__xludf.DUMMYFUNCTION("""COMPUTED_VALUE"""),"Eunice Tiong")</f>
        <v>Eunice Tiong</v>
      </c>
      <c r="B154" s="116">
        <f>IFERROR(__xludf.DUMMYFUNCTION("""COMPUTED_VALUE"""),46109.0)</f>
        <v>46109</v>
      </c>
      <c r="C154" s="4" t="str">
        <f>IFERROR(__xludf.DUMMYFUNCTION("""COMPUTED_VALUE"""),"11am - 12pm")</f>
        <v>11am - 12pm</v>
      </c>
      <c r="D154" s="4" t="str">
        <f>IFERROR(__xludf.DUMMYFUNCTION("""COMPUTED_VALUE"""),"wnmee@yahoo.com")</f>
        <v>wnmee@yahoo.com</v>
      </c>
      <c r="E154" s="117">
        <f>IFERROR(__xludf.DUMMYFUNCTION("""COMPUTED_VALUE"""),46108.87819666667)</f>
        <v>46108.8782</v>
      </c>
      <c r="F154" s="4"/>
      <c r="G154" s="4"/>
      <c r="H154" s="4"/>
      <c r="I154" s="4"/>
      <c r="J154" s="4"/>
      <c r="K154" s="4"/>
      <c r="L154" s="4"/>
      <c r="M154" s="4"/>
      <c r="N154" s="4"/>
      <c r="O154" s="4"/>
      <c r="P154" s="4"/>
      <c r="Q154" s="4"/>
      <c r="R154" s="4"/>
      <c r="S154" s="4"/>
      <c r="T154" s="4"/>
      <c r="U154" s="4"/>
      <c r="V154" s="4"/>
      <c r="W154" s="4"/>
      <c r="X154" s="4"/>
      <c r="Y154" s="4"/>
    </row>
    <row r="155" ht="14.25" customHeight="1">
      <c r="A155" s="4" t="str">
        <f>IFERROR(__xludf.DUMMYFUNCTION("""COMPUTED_VALUE"""),"Samuel Bryan Donny")</f>
        <v>Samuel Bryan Donny</v>
      </c>
      <c r="B155" s="116">
        <f>IFERROR(__xludf.DUMMYFUNCTION("""COMPUTED_VALUE"""),46109.0)</f>
        <v>46109</v>
      </c>
      <c r="C155" s="4" t="str">
        <f>IFERROR(__xludf.DUMMYFUNCTION("""COMPUTED_VALUE"""),"2pm - 3pm")</f>
        <v>2pm - 3pm</v>
      </c>
      <c r="D155" s="4" t="str">
        <f>IFERROR(__xludf.DUMMYFUNCTION("""COMPUTED_VALUE"""),"donnysekai@yahoo.com")</f>
        <v>donnysekai@yahoo.com</v>
      </c>
      <c r="E155" s="117">
        <f>IFERROR(__xludf.DUMMYFUNCTION("""COMPUTED_VALUE"""),46102.32814892361)</f>
        <v>46102.32815</v>
      </c>
      <c r="F155" s="4"/>
      <c r="G155" s="4"/>
      <c r="H155" s="4"/>
      <c r="I155" s="4"/>
      <c r="J155" s="4"/>
      <c r="K155" s="4"/>
      <c r="L155" s="4"/>
      <c r="M155" s="4"/>
      <c r="N155" s="4"/>
      <c r="O155" s="4"/>
      <c r="P155" s="4"/>
      <c r="Q155" s="4"/>
      <c r="R155" s="4"/>
      <c r="S155" s="4"/>
      <c r="T155" s="4"/>
      <c r="U155" s="4"/>
      <c r="V155" s="4"/>
      <c r="W155" s="4"/>
      <c r="X155" s="4"/>
      <c r="Y155" s="4"/>
    </row>
    <row r="156" ht="14.25" customHeight="1">
      <c r="A156" s="4" t="str">
        <f>IFERROR(__xludf.DUMMYFUNCTION("""COMPUTED_VALUE"""),"Marcus lau Yee ho")</f>
        <v>Marcus lau Yee ho</v>
      </c>
      <c r="B156" s="116">
        <f>IFERROR(__xludf.DUMMYFUNCTION("""COMPUTED_VALUE"""),46109.0)</f>
        <v>46109</v>
      </c>
      <c r="C156" s="4" t="str">
        <f>IFERROR(__xludf.DUMMYFUNCTION("""COMPUTED_VALUE"""),"2pm - 3pm")</f>
        <v>2pm - 3pm</v>
      </c>
      <c r="D156" s="4" t="str">
        <f>IFERROR(__xludf.DUMMYFUNCTION("""COMPUTED_VALUE"""),"tingmeehung7227@hotmail.com")</f>
        <v>tingmeehung7227@hotmail.com</v>
      </c>
      <c r="E156" s="117">
        <f>IFERROR(__xludf.DUMMYFUNCTION("""COMPUTED_VALUE"""),46109.36098354167)</f>
        <v>46109.36098</v>
      </c>
      <c r="F156" s="4"/>
      <c r="G156" s="4"/>
      <c r="H156" s="4"/>
      <c r="I156" s="4"/>
      <c r="J156" s="4"/>
      <c r="K156" s="4"/>
      <c r="L156" s="4"/>
      <c r="M156" s="4"/>
      <c r="N156" s="4"/>
      <c r="O156" s="4"/>
      <c r="P156" s="4"/>
      <c r="Q156" s="4"/>
      <c r="R156" s="4"/>
      <c r="S156" s="4"/>
      <c r="T156" s="4"/>
      <c r="U156" s="4"/>
      <c r="V156" s="4"/>
      <c r="W156" s="4"/>
      <c r="X156" s="4"/>
      <c r="Y156" s="4"/>
    </row>
    <row r="157" ht="14.25" customHeight="1">
      <c r="A157" s="4" t="str">
        <f>IFERROR(__xludf.DUMMYFUNCTION("""COMPUTED_VALUE"""),"Lucas lau Yee ming")</f>
        <v>Lucas lau Yee ming</v>
      </c>
      <c r="B157" s="116">
        <f>IFERROR(__xludf.DUMMYFUNCTION("""COMPUTED_VALUE"""),46109.0)</f>
        <v>46109</v>
      </c>
      <c r="C157" s="4" t="str">
        <f>IFERROR(__xludf.DUMMYFUNCTION("""COMPUTED_VALUE"""),"2pm - 3pm")</f>
        <v>2pm - 3pm</v>
      </c>
      <c r="D157" s="4" t="str">
        <f>IFERROR(__xludf.DUMMYFUNCTION("""COMPUTED_VALUE"""),"tingmeehung7227@hotmail.com")</f>
        <v>tingmeehung7227@hotmail.com</v>
      </c>
      <c r="E157" s="117">
        <f>IFERROR(__xludf.DUMMYFUNCTION("""COMPUTED_VALUE"""),46109.36102686342)</f>
        <v>46109.36103</v>
      </c>
      <c r="F157" s="4"/>
      <c r="G157" s="4"/>
      <c r="H157" s="4"/>
      <c r="I157" s="4"/>
      <c r="J157" s="4"/>
      <c r="K157" s="4"/>
      <c r="L157" s="4"/>
      <c r="M157" s="4"/>
      <c r="N157" s="4"/>
      <c r="O157" s="4"/>
      <c r="P157" s="4"/>
      <c r="Q157" s="4"/>
      <c r="R157" s="4"/>
      <c r="S157" s="4"/>
      <c r="T157" s="4"/>
      <c r="U157" s="4"/>
      <c r="V157" s="4"/>
      <c r="W157" s="4"/>
      <c r="X157" s="4"/>
      <c r="Y157" s="4"/>
    </row>
    <row r="158" ht="14.25" customHeight="1">
      <c r="A158" s="4" t="str">
        <f>IFERROR(__xludf.DUMMYFUNCTION("""COMPUTED_VALUE"""),"BENSON TIONG GUANG RUI")</f>
        <v>BENSON TIONG GUANG RUI</v>
      </c>
      <c r="B158" s="116">
        <f>IFERROR(__xludf.DUMMYFUNCTION("""COMPUTED_VALUE"""),46109.0)</f>
        <v>46109</v>
      </c>
      <c r="C158" s="4" t="str">
        <f>IFERROR(__xludf.DUMMYFUNCTION("""COMPUTED_VALUE"""),"3pm - 4pm")</f>
        <v>3pm - 4pm</v>
      </c>
      <c r="D158" s="4" t="str">
        <f>IFERROR(__xludf.DUMMYFUNCTION("""COMPUTED_VALUE"""),"leejen0907@yahoo.com")</f>
        <v>leejen0907@yahoo.com</v>
      </c>
      <c r="E158" s="117">
        <f>IFERROR(__xludf.DUMMYFUNCTION("""COMPUTED_VALUE"""),46101.8797691088)</f>
        <v>46101.87977</v>
      </c>
      <c r="F158" s="4"/>
      <c r="G158" s="4"/>
      <c r="H158" s="4"/>
      <c r="I158" s="4"/>
      <c r="J158" s="4"/>
      <c r="K158" s="4"/>
      <c r="L158" s="4"/>
      <c r="M158" s="4"/>
      <c r="N158" s="4"/>
      <c r="O158" s="4"/>
      <c r="P158" s="4"/>
      <c r="Q158" s="4"/>
      <c r="R158" s="4"/>
      <c r="S158" s="4"/>
      <c r="T158" s="4"/>
      <c r="U158" s="4"/>
      <c r="V158" s="4"/>
      <c r="W158" s="4"/>
      <c r="X158" s="4"/>
      <c r="Y158" s="4"/>
    </row>
    <row r="159" ht="14.25" customHeight="1">
      <c r="A159" s="4" t="str">
        <f>IFERROR(__xludf.DUMMYFUNCTION("""COMPUTED_VALUE"""),"Leon Thien Jun Siang")</f>
        <v>Leon Thien Jun Siang</v>
      </c>
      <c r="B159" s="116">
        <f>IFERROR(__xludf.DUMMYFUNCTION("""COMPUTED_VALUE"""),46109.0)</f>
        <v>46109</v>
      </c>
      <c r="C159" s="4" t="str">
        <f>IFERROR(__xludf.DUMMYFUNCTION("""COMPUTED_VALUE"""),"3pm - 4pm")</f>
        <v>3pm - 4pm</v>
      </c>
      <c r="D159" s="4" t="str">
        <f>IFERROR(__xludf.DUMMYFUNCTION("""COMPUTED_VALUE"""),"yonghwa89@yahoo.com")</f>
        <v>yonghwa89@yahoo.com</v>
      </c>
      <c r="E159" s="117">
        <f>IFERROR(__xludf.DUMMYFUNCTION("""COMPUTED_VALUE"""),46102.33126423611)</f>
        <v>46102.33126</v>
      </c>
      <c r="F159" s="4"/>
      <c r="G159" s="4"/>
      <c r="H159" s="4"/>
      <c r="I159" s="4"/>
      <c r="J159" s="4"/>
      <c r="K159" s="4"/>
      <c r="L159" s="4"/>
      <c r="M159" s="4"/>
      <c r="N159" s="4"/>
      <c r="O159" s="4"/>
      <c r="P159" s="4"/>
      <c r="Q159" s="4"/>
      <c r="R159" s="4"/>
      <c r="S159" s="4"/>
      <c r="T159" s="4"/>
      <c r="U159" s="4"/>
      <c r="V159" s="4"/>
      <c r="W159" s="4"/>
      <c r="X159" s="4"/>
      <c r="Y159" s="4"/>
    </row>
    <row r="160" ht="14.25" customHeight="1">
      <c r="A160" s="4" t="str">
        <f>IFERROR(__xludf.DUMMYFUNCTION("""COMPUTED_VALUE"""),"Wallance Wong")</f>
        <v>Wallance Wong</v>
      </c>
      <c r="B160" s="116">
        <f>IFERROR(__xludf.DUMMYFUNCTION("""COMPUTED_VALUE"""),46109.0)</f>
        <v>46109</v>
      </c>
      <c r="C160" s="4" t="str">
        <f>IFERROR(__xludf.DUMMYFUNCTION("""COMPUTED_VALUE"""),"3pm - 4pm")</f>
        <v>3pm - 4pm</v>
      </c>
      <c r="D160" s="4" t="str">
        <f>IFERROR(__xludf.DUMMYFUNCTION("""COMPUTED_VALUE"""),"deardoris86@gmail.com")</f>
        <v>deardoris86@gmail.com</v>
      </c>
      <c r="E160" s="117">
        <f>IFERROR(__xludf.DUMMYFUNCTION("""COMPUTED_VALUE"""),46109.39475577546)</f>
        <v>46109.39476</v>
      </c>
      <c r="F160" s="4"/>
      <c r="G160" s="4"/>
      <c r="H160" s="4"/>
      <c r="I160" s="4"/>
      <c r="J160" s="4"/>
      <c r="K160" s="4"/>
      <c r="L160" s="4"/>
      <c r="M160" s="4"/>
      <c r="N160" s="4"/>
      <c r="O160" s="4"/>
      <c r="P160" s="4"/>
      <c r="Q160" s="4"/>
      <c r="R160" s="4"/>
      <c r="S160" s="4"/>
      <c r="T160" s="4"/>
      <c r="U160" s="4"/>
      <c r="V160" s="4"/>
      <c r="W160" s="4"/>
      <c r="X160" s="4"/>
      <c r="Y160" s="4"/>
    </row>
    <row r="161" ht="14.25" customHeight="1">
      <c r="A161" s="4" t="str">
        <f>IFERROR(__xludf.DUMMYFUNCTION("""COMPUTED_VALUE"""),"Feliz Loh")</f>
        <v>Feliz Loh</v>
      </c>
      <c r="B161" s="116">
        <f>IFERROR(__xludf.DUMMYFUNCTION("""COMPUTED_VALUE"""),46109.0)</f>
        <v>46109</v>
      </c>
      <c r="C161" s="4" t="str">
        <f>IFERROR(__xludf.DUMMYFUNCTION("""COMPUTED_VALUE"""),"4pm - 5pm")</f>
        <v>4pm - 5pm</v>
      </c>
      <c r="D161" s="4" t="str">
        <f>IFERROR(__xludf.DUMMYFUNCTION("""COMPUTED_VALUE"""),"annehappy83@gmail.com")</f>
        <v>annehappy83@gmail.com</v>
      </c>
      <c r="E161" s="117">
        <f>IFERROR(__xludf.DUMMYFUNCTION("""COMPUTED_VALUE"""),46102.502958680554)</f>
        <v>46102.50296</v>
      </c>
      <c r="F161" s="4"/>
      <c r="G161" s="4"/>
      <c r="H161" s="4"/>
      <c r="I161" s="4"/>
      <c r="J161" s="4"/>
      <c r="K161" s="4"/>
      <c r="L161" s="4"/>
      <c r="M161" s="4"/>
      <c r="N161" s="4"/>
      <c r="O161" s="4"/>
      <c r="P161" s="4"/>
      <c r="Q161" s="4"/>
      <c r="R161" s="4"/>
      <c r="S161" s="4"/>
      <c r="T161" s="4"/>
      <c r="U161" s="4"/>
      <c r="V161" s="4"/>
      <c r="W161" s="4"/>
      <c r="X161" s="4"/>
      <c r="Y161" s="4"/>
    </row>
    <row r="162" ht="14.25" customHeight="1">
      <c r="A162" s="4" t="str">
        <f>IFERROR(__xludf.DUMMYFUNCTION("""COMPUTED_VALUE"""),"LUCAS CHIEW WEI HAN")</f>
        <v>LUCAS CHIEW WEI HAN</v>
      </c>
      <c r="B162" s="116">
        <f>IFERROR(__xludf.DUMMYFUNCTION("""COMPUTED_VALUE"""),46109.0)</f>
        <v>46109</v>
      </c>
      <c r="C162" s="4" t="str">
        <f>IFERROR(__xludf.DUMMYFUNCTION("""COMPUTED_VALUE"""),"4pm - 5pm")</f>
        <v>4pm - 5pm</v>
      </c>
      <c r="D162" s="4" t="str">
        <f>IFERROR(__xludf.DUMMYFUNCTION("""COMPUTED_VALUE"""),"thomaschiew88@gmail.com")</f>
        <v>thomaschiew88@gmail.com</v>
      </c>
      <c r="E162" s="117">
        <f>IFERROR(__xludf.DUMMYFUNCTION("""COMPUTED_VALUE"""),46108.68497973379)</f>
        <v>46108.68498</v>
      </c>
      <c r="F162" s="4"/>
      <c r="G162" s="4"/>
      <c r="H162" s="4"/>
      <c r="I162" s="4"/>
      <c r="J162" s="4"/>
      <c r="K162" s="4"/>
      <c r="L162" s="4"/>
      <c r="M162" s="4"/>
      <c r="N162" s="4"/>
      <c r="O162" s="4"/>
      <c r="P162" s="4"/>
      <c r="Q162" s="4"/>
      <c r="R162" s="4"/>
      <c r="S162" s="4"/>
      <c r="T162" s="4"/>
      <c r="U162" s="4"/>
      <c r="V162" s="4"/>
      <c r="W162" s="4"/>
      <c r="X162" s="4"/>
      <c r="Y162" s="4"/>
    </row>
    <row r="163" ht="14.25" customHeight="1">
      <c r="A163" s="4" t="str">
        <f>IFERROR(__xludf.DUMMYFUNCTION("""COMPUTED_VALUE"""),"EDRIC YONG TIAN JUN")</f>
        <v>EDRIC YONG TIAN JUN</v>
      </c>
      <c r="B163" s="116">
        <f>IFERROR(__xludf.DUMMYFUNCTION("""COMPUTED_VALUE"""),46109.0)</f>
        <v>46109</v>
      </c>
      <c r="C163" s="4" t="str">
        <f>IFERROR(__xludf.DUMMYFUNCTION("""COMPUTED_VALUE"""),"9am - 10am")</f>
        <v>9am - 10am</v>
      </c>
      <c r="D163" s="4" t="str">
        <f>IFERROR(__xludf.DUMMYFUNCTION("""COMPUTED_VALUE"""),"loitecklee2014@gmail.com")</f>
        <v>loitecklee2014@gmail.com</v>
      </c>
      <c r="E163" s="117">
        <f>IFERROR(__xludf.DUMMYFUNCTION("""COMPUTED_VALUE"""),46109.32370915509)</f>
        <v>46109.32371</v>
      </c>
      <c r="F163" s="4"/>
      <c r="G163" s="4"/>
      <c r="H163" s="4"/>
      <c r="I163" s="4"/>
      <c r="J163" s="4"/>
      <c r="K163" s="4"/>
      <c r="L163" s="4"/>
      <c r="M163" s="4"/>
      <c r="N163" s="4"/>
      <c r="O163" s="4"/>
      <c r="P163" s="4"/>
      <c r="Q163" s="4"/>
      <c r="R163" s="4"/>
      <c r="S163" s="4"/>
      <c r="T163" s="4"/>
      <c r="U163" s="4"/>
      <c r="V163" s="4"/>
      <c r="W163" s="4"/>
      <c r="X163" s="4"/>
      <c r="Y163" s="4"/>
    </row>
    <row r="164" ht="14.25" customHeight="1">
      <c r="A164" s="4" t="str">
        <f>IFERROR(__xludf.DUMMYFUNCTION("""COMPUTED_VALUE"""),"Clement Ting Yong Rui")</f>
        <v>Clement Ting Yong Rui</v>
      </c>
      <c r="B164" s="116">
        <f>IFERROR(__xludf.DUMMYFUNCTION("""COMPUTED_VALUE"""),46111.0)</f>
        <v>46111</v>
      </c>
      <c r="C164" s="4"/>
      <c r="D164" s="4" t="str">
        <f>IFERROR(__xludf.DUMMYFUNCTION("""COMPUTED_VALUE"""),"sionghui@gmail.com")</f>
        <v>sionghui@gmail.com</v>
      </c>
      <c r="E164" s="117">
        <f>IFERROR(__xludf.DUMMYFUNCTION("""COMPUTED_VALUE"""),46106.300446574074)</f>
        <v>46106.30045</v>
      </c>
      <c r="F164" s="4"/>
      <c r="G164" s="4"/>
      <c r="H164" s="4"/>
      <c r="I164" s="4"/>
      <c r="J164" s="4"/>
      <c r="K164" s="4"/>
      <c r="L164" s="4"/>
      <c r="M164" s="4"/>
      <c r="N164" s="4"/>
      <c r="O164" s="4"/>
      <c r="P164" s="4"/>
      <c r="Q164" s="4"/>
      <c r="R164" s="4"/>
      <c r="S164" s="4"/>
      <c r="T164" s="4"/>
      <c r="U164" s="4"/>
      <c r="V164" s="4"/>
      <c r="W164" s="4"/>
      <c r="X164" s="4"/>
      <c r="Y164" s="4"/>
    </row>
    <row r="165" ht="14.25" customHeight="1">
      <c r="A165" s="4" t="str">
        <f>IFERROR(__xludf.DUMMYFUNCTION("""COMPUTED_VALUE"""),"Clarence Ting Yong Wei")</f>
        <v>Clarence Ting Yong Wei</v>
      </c>
      <c r="B165" s="116">
        <f>IFERROR(__xludf.DUMMYFUNCTION("""COMPUTED_VALUE"""),46111.0)</f>
        <v>46111</v>
      </c>
      <c r="C165" s="4"/>
      <c r="D165" s="4" t="str">
        <f>IFERROR(__xludf.DUMMYFUNCTION("""COMPUTED_VALUE"""),"sionghui@gmail.com")</f>
        <v>sionghui@gmail.com</v>
      </c>
      <c r="E165" s="117">
        <f>IFERROR(__xludf.DUMMYFUNCTION("""COMPUTED_VALUE"""),46106.30080837963)</f>
        <v>46106.30081</v>
      </c>
      <c r="F165" s="4"/>
      <c r="G165" s="4"/>
      <c r="H165" s="4"/>
      <c r="I165" s="4"/>
      <c r="J165" s="4"/>
      <c r="K165" s="4"/>
      <c r="L165" s="4"/>
      <c r="M165" s="4"/>
      <c r="N165" s="4"/>
      <c r="O165" s="4"/>
      <c r="P165" s="4"/>
      <c r="Q165" s="4"/>
      <c r="R165" s="4"/>
      <c r="S165" s="4"/>
      <c r="T165" s="4"/>
      <c r="U165" s="4"/>
      <c r="V165" s="4"/>
      <c r="W165" s="4"/>
      <c r="X165" s="4"/>
      <c r="Y165" s="4"/>
    </row>
    <row r="166" ht="14.25" customHeight="1">
      <c r="A166" s="4" t="str">
        <f>IFERROR(__xludf.DUMMYFUNCTION("""COMPUTED_VALUE"""),"Eunice Wong Shi Qing")</f>
        <v>Eunice Wong Shi Qing</v>
      </c>
      <c r="B166" s="116">
        <f>IFERROR(__xludf.DUMMYFUNCTION("""COMPUTED_VALUE"""),46111.0)</f>
        <v>46111</v>
      </c>
      <c r="C166" s="4"/>
      <c r="D166" s="4" t="str">
        <f>IFERROR(__xludf.DUMMYFUNCTION("""COMPUTED_VALUE"""),"paksien79@yahoo.com")</f>
        <v>paksien79@yahoo.com</v>
      </c>
      <c r="E166" s="117">
        <f>IFERROR(__xludf.DUMMYFUNCTION("""COMPUTED_VALUE"""),46110.771841319445)</f>
        <v>46110.77184</v>
      </c>
      <c r="F166" s="4"/>
      <c r="G166" s="4"/>
      <c r="H166" s="4"/>
      <c r="I166" s="4"/>
      <c r="J166" s="4"/>
      <c r="K166" s="4"/>
      <c r="L166" s="4"/>
      <c r="M166" s="4"/>
      <c r="N166" s="4"/>
      <c r="O166" s="4"/>
      <c r="P166" s="4"/>
      <c r="Q166" s="4"/>
      <c r="R166" s="4"/>
      <c r="S166" s="4"/>
      <c r="T166" s="4"/>
      <c r="U166" s="4"/>
      <c r="V166" s="4"/>
      <c r="W166" s="4"/>
      <c r="X166" s="4"/>
      <c r="Y166" s="4"/>
    </row>
    <row r="167" ht="14.25" customHeight="1">
      <c r="A167" s="4" t="str">
        <f>IFERROR(__xludf.DUMMYFUNCTION("""COMPUTED_VALUE"""),"Aryssa")</f>
        <v>Aryssa</v>
      </c>
      <c r="B167" s="116">
        <f>IFERROR(__xludf.DUMMYFUNCTION("""COMPUTED_VALUE"""),46113.0)</f>
        <v>46113</v>
      </c>
      <c r="C167" s="4"/>
      <c r="D167" s="4" t="str">
        <f>IFERROR(__xludf.DUMMYFUNCTION("""COMPUTED_VALUE"""),"ahaz1010@gmail.com")</f>
        <v>ahaz1010@gmail.com</v>
      </c>
      <c r="E167" s="117">
        <f>IFERROR(__xludf.DUMMYFUNCTION("""COMPUTED_VALUE"""),46095.61396328703)</f>
        <v>46095.61396</v>
      </c>
      <c r="F167" s="4"/>
      <c r="G167" s="4"/>
      <c r="H167" s="4"/>
      <c r="I167" s="4"/>
      <c r="J167" s="4"/>
      <c r="K167" s="4"/>
      <c r="L167" s="4"/>
      <c r="M167" s="4"/>
      <c r="N167" s="4"/>
      <c r="O167" s="4"/>
      <c r="P167" s="4"/>
      <c r="Q167" s="4"/>
      <c r="R167" s="4"/>
      <c r="S167" s="4"/>
      <c r="T167" s="4"/>
      <c r="U167" s="4"/>
      <c r="V167" s="4"/>
      <c r="W167" s="4"/>
      <c r="X167" s="4"/>
      <c r="Y167" s="4"/>
    </row>
    <row r="168" ht="14.25" customHeight="1">
      <c r="A168" s="4" t="str">
        <f>IFERROR(__xludf.DUMMYFUNCTION("""COMPUTED_VALUE"""),"Ammar yusof")</f>
        <v>Ammar yusof</v>
      </c>
      <c r="B168" s="116">
        <f>IFERROR(__xludf.DUMMYFUNCTION("""COMPUTED_VALUE"""),46113.0)</f>
        <v>46113</v>
      </c>
      <c r="C168" s="4"/>
      <c r="D168" s="4" t="str">
        <f>IFERROR(__xludf.DUMMYFUNCTION("""COMPUTED_VALUE"""),"ahaz1010@gmail.com")</f>
        <v>ahaz1010@gmail.com</v>
      </c>
      <c r="E168" s="117">
        <f>IFERROR(__xludf.DUMMYFUNCTION("""COMPUTED_VALUE"""),46095.614003842595)</f>
        <v>46095.614</v>
      </c>
      <c r="F168" s="4"/>
      <c r="G168" s="4"/>
      <c r="H168" s="4"/>
      <c r="I168" s="4"/>
      <c r="J168" s="4"/>
      <c r="K168" s="4"/>
      <c r="L168" s="4"/>
      <c r="M168" s="4"/>
      <c r="N168" s="4"/>
      <c r="O168" s="4"/>
      <c r="P168" s="4"/>
      <c r="Q168" s="4"/>
      <c r="R168" s="4"/>
      <c r="S168" s="4"/>
      <c r="T168" s="4"/>
      <c r="U168" s="4"/>
      <c r="V168" s="4"/>
      <c r="W168" s="4"/>
      <c r="X168" s="4"/>
      <c r="Y168" s="4"/>
    </row>
    <row r="169" ht="14.25" customHeight="1">
      <c r="A169" s="4" t="str">
        <f>IFERROR(__xludf.DUMMYFUNCTION("""COMPUTED_VALUE"""),"Auf")</f>
        <v>Auf</v>
      </c>
      <c r="B169" s="116">
        <f>IFERROR(__xludf.DUMMYFUNCTION("""COMPUTED_VALUE"""),46113.0)</f>
        <v>46113</v>
      </c>
      <c r="C169" s="4"/>
      <c r="D169" s="4" t="str">
        <f>IFERROR(__xludf.DUMMYFUNCTION("""COMPUTED_VALUE"""),"ahaz1010@gmail.com")</f>
        <v>ahaz1010@gmail.com</v>
      </c>
      <c r="E169" s="117">
        <f>IFERROR(__xludf.DUMMYFUNCTION("""COMPUTED_VALUE"""),46095.614045787035)</f>
        <v>46095.61405</v>
      </c>
      <c r="F169" s="4"/>
      <c r="G169" s="4"/>
      <c r="H169" s="4"/>
      <c r="I169" s="4"/>
      <c r="J169" s="4"/>
      <c r="K169" s="4"/>
      <c r="L169" s="4"/>
      <c r="M169" s="4"/>
      <c r="N169" s="4"/>
      <c r="O169" s="4"/>
      <c r="P169" s="4"/>
      <c r="Q169" s="4"/>
      <c r="R169" s="4"/>
      <c r="S169" s="4"/>
      <c r="T169" s="4"/>
      <c r="U169" s="4"/>
      <c r="V169" s="4"/>
      <c r="W169" s="4"/>
      <c r="X169" s="4"/>
      <c r="Y169" s="4"/>
    </row>
    <row r="170" ht="14.25" customHeight="1">
      <c r="A170" s="4" t="str">
        <f>IFERROR(__xludf.DUMMYFUNCTION("""COMPUTED_VALUE"""),"DERRICK LING NING SENG")</f>
        <v>DERRICK LING NING SENG</v>
      </c>
      <c r="B170" s="116">
        <f>IFERROR(__xludf.DUMMYFUNCTION("""COMPUTED_VALUE"""),46113.0)</f>
        <v>46113</v>
      </c>
      <c r="C170" s="4"/>
      <c r="D170" s="4" t="str">
        <f>IFERROR(__xludf.DUMMYFUNCTION("""COMPUTED_VALUE"""),"doaudriaw@yahoo.com.au")</f>
        <v>doaudriaw@yahoo.com.au</v>
      </c>
      <c r="E170" s="117">
        <f>IFERROR(__xludf.DUMMYFUNCTION("""COMPUTED_VALUE"""),46110.59072074074)</f>
        <v>46110.59072</v>
      </c>
      <c r="F170" s="4"/>
      <c r="G170" s="4"/>
      <c r="H170" s="4"/>
      <c r="I170" s="4"/>
      <c r="J170" s="4"/>
      <c r="K170" s="4"/>
      <c r="L170" s="4"/>
      <c r="M170" s="4"/>
      <c r="N170" s="4"/>
      <c r="O170" s="4"/>
      <c r="P170" s="4"/>
      <c r="Q170" s="4"/>
      <c r="R170" s="4"/>
      <c r="S170" s="4"/>
      <c r="T170" s="4"/>
      <c r="U170" s="4"/>
      <c r="V170" s="4"/>
      <c r="W170" s="4"/>
      <c r="X170" s="4"/>
      <c r="Y170" s="4"/>
    </row>
    <row r="171" ht="14.25" customHeight="1">
      <c r="A171" s="4" t="str">
        <f>IFERROR(__xludf.DUMMYFUNCTION("""COMPUTED_VALUE"""),"ETHAN TIONG")</f>
        <v>ETHAN TIONG</v>
      </c>
      <c r="B171" s="116">
        <f>IFERROR(__xludf.DUMMYFUNCTION("""COMPUTED_VALUE"""),46116.0)</f>
        <v>46116</v>
      </c>
      <c r="C171" s="4" t="str">
        <f>IFERROR(__xludf.DUMMYFUNCTION("""COMPUTED_VALUE"""),"10am - 11am")</f>
        <v>10am - 11am</v>
      </c>
      <c r="D171" s="4" t="str">
        <f>IFERROR(__xludf.DUMMYFUNCTION("""COMPUTED_VALUE"""),"jenniferlcjen@gmail.com")</f>
        <v>jenniferlcjen@gmail.com</v>
      </c>
      <c r="E171" s="117">
        <f>IFERROR(__xludf.DUMMYFUNCTION("""COMPUTED_VALUE"""),46101.894043541666)</f>
        <v>46101.89404</v>
      </c>
      <c r="F171" s="4"/>
      <c r="G171" s="4"/>
      <c r="H171" s="4"/>
      <c r="I171" s="4"/>
      <c r="J171" s="4"/>
      <c r="K171" s="4"/>
      <c r="L171" s="4"/>
      <c r="M171" s="4"/>
      <c r="N171" s="4"/>
      <c r="O171" s="4"/>
      <c r="P171" s="4"/>
      <c r="Q171" s="4"/>
      <c r="R171" s="4"/>
      <c r="S171" s="4"/>
      <c r="T171" s="4"/>
      <c r="U171" s="4"/>
      <c r="V171" s="4"/>
      <c r="W171" s="4"/>
      <c r="X171" s="4"/>
      <c r="Y171" s="4"/>
    </row>
    <row r="172" ht="14.25" customHeight="1">
      <c r="A172" s="4" t="str">
        <f>IFERROR(__xludf.DUMMYFUNCTION("""COMPUTED_VALUE"""),"Ryan Sia Rui Eng")</f>
        <v>Ryan Sia Rui Eng</v>
      </c>
      <c r="B172" s="116">
        <f>IFERROR(__xludf.DUMMYFUNCTION("""COMPUTED_VALUE"""),46116.0)</f>
        <v>46116</v>
      </c>
      <c r="C172" s="4" t="str">
        <f>IFERROR(__xludf.DUMMYFUNCTION("""COMPUTED_VALUE"""),"10am - 11am")</f>
        <v>10am - 11am</v>
      </c>
      <c r="D172" s="4" t="str">
        <f>IFERROR(__xludf.DUMMYFUNCTION("""COMPUTED_VALUE"""),"mlyii@hotmail.com")</f>
        <v>mlyii@hotmail.com</v>
      </c>
      <c r="E172" s="117">
        <f>IFERROR(__xludf.DUMMYFUNCTION("""COMPUTED_VALUE"""),46112.82526893519)</f>
        <v>46112.82527</v>
      </c>
      <c r="F172" s="4"/>
      <c r="G172" s="4"/>
      <c r="H172" s="4"/>
      <c r="I172" s="4"/>
      <c r="J172" s="4"/>
      <c r="K172" s="4"/>
      <c r="L172" s="4"/>
      <c r="M172" s="4"/>
      <c r="N172" s="4"/>
      <c r="O172" s="4"/>
      <c r="P172" s="4"/>
      <c r="Q172" s="4"/>
      <c r="R172" s="4"/>
      <c r="S172" s="4"/>
      <c r="T172" s="4"/>
      <c r="U172" s="4"/>
      <c r="V172" s="4"/>
      <c r="W172" s="4"/>
      <c r="X172" s="4"/>
      <c r="Y172" s="4"/>
    </row>
    <row r="173" ht="14.25" customHeight="1">
      <c r="A173" s="4" t="str">
        <f>IFERROR(__xludf.DUMMYFUNCTION("""COMPUTED_VALUE"""),"Osmund Tiong Zhen En")</f>
        <v>Osmund Tiong Zhen En</v>
      </c>
      <c r="B173" s="116">
        <f>IFERROR(__xludf.DUMMYFUNCTION("""COMPUTED_VALUE"""),46116.0)</f>
        <v>46116</v>
      </c>
      <c r="C173" s="4" t="str">
        <f>IFERROR(__xludf.DUMMYFUNCTION("""COMPUTED_VALUE"""),"10am - 11am")</f>
        <v>10am - 11am</v>
      </c>
      <c r="D173" s="4" t="str">
        <f>IFERROR(__xludf.DUMMYFUNCTION("""COMPUTED_VALUE"""),"sfkueh@gmail.com")</f>
        <v>sfkueh@gmail.com</v>
      </c>
      <c r="E173" s="117">
        <f>IFERROR(__xludf.DUMMYFUNCTION("""COMPUTED_VALUE"""),46114.92911520833)</f>
        <v>46114.92912</v>
      </c>
      <c r="F173" s="4"/>
      <c r="G173" s="4"/>
      <c r="H173" s="4"/>
      <c r="I173" s="4"/>
      <c r="J173" s="4"/>
      <c r="K173" s="4"/>
      <c r="L173" s="4"/>
      <c r="M173" s="4"/>
      <c r="N173" s="4"/>
      <c r="O173" s="4"/>
      <c r="P173" s="4"/>
      <c r="Q173" s="4"/>
      <c r="R173" s="4"/>
      <c r="S173" s="4"/>
      <c r="T173" s="4"/>
      <c r="U173" s="4"/>
      <c r="V173" s="4"/>
      <c r="W173" s="4"/>
      <c r="X173" s="4"/>
      <c r="Y173" s="4"/>
    </row>
    <row r="174" ht="14.25" customHeight="1">
      <c r="A174" s="4" t="str">
        <f>IFERROR(__xludf.DUMMYFUNCTION("""COMPUTED_VALUE"""),"GISELDA KONG LE EN")</f>
        <v>GISELDA KONG LE EN</v>
      </c>
      <c r="B174" s="116">
        <f>IFERROR(__xludf.DUMMYFUNCTION("""COMPUTED_VALUE"""),46116.0)</f>
        <v>46116</v>
      </c>
      <c r="C174" s="4" t="str">
        <f>IFERROR(__xludf.DUMMYFUNCTION("""COMPUTED_VALUE"""),"10am - 11am")</f>
        <v>10am - 11am</v>
      </c>
      <c r="D174" s="4" t="str">
        <f>IFERROR(__xludf.DUMMYFUNCTION("""COMPUTED_VALUE"""),"dylan_kcl88@hotmail.com")</f>
        <v>dylan_kcl88@hotmail.com</v>
      </c>
      <c r="E174" s="117">
        <f>IFERROR(__xludf.DUMMYFUNCTION("""COMPUTED_VALUE"""),46115.42121277778)</f>
        <v>46115.42121</v>
      </c>
      <c r="F174" s="4"/>
      <c r="G174" s="4"/>
      <c r="H174" s="4"/>
      <c r="I174" s="4"/>
      <c r="J174" s="4"/>
      <c r="K174" s="4"/>
      <c r="L174" s="4"/>
      <c r="M174" s="4"/>
      <c r="N174" s="4"/>
      <c r="O174" s="4"/>
      <c r="P174" s="4"/>
      <c r="Q174" s="4"/>
      <c r="R174" s="4"/>
      <c r="S174" s="4"/>
      <c r="T174" s="4"/>
      <c r="U174" s="4"/>
      <c r="V174" s="4"/>
      <c r="W174" s="4"/>
      <c r="X174" s="4"/>
      <c r="Y174" s="4"/>
    </row>
    <row r="175" ht="14.25" customHeight="1">
      <c r="A175" s="4" t="str">
        <f>IFERROR(__xludf.DUMMYFUNCTION("""COMPUTED_VALUE"""),"Abraham anak francis engkala")</f>
        <v>Abraham anak francis engkala</v>
      </c>
      <c r="B175" s="116">
        <f>IFERROR(__xludf.DUMMYFUNCTION("""COMPUTED_VALUE"""),46116.0)</f>
        <v>46116</v>
      </c>
      <c r="C175" s="4" t="str">
        <f>IFERROR(__xludf.DUMMYFUNCTION("""COMPUTED_VALUE"""),"10am - 11am")</f>
        <v>10am - 11am</v>
      </c>
      <c r="D175" s="4" t="str">
        <f>IFERROR(__xludf.DUMMYFUNCTION("""COMPUTED_VALUE"""),"boy007lis@gmail.com")</f>
        <v>boy007lis@gmail.com</v>
      </c>
      <c r="E175" s="117">
        <f>IFERROR(__xludf.DUMMYFUNCTION("""COMPUTED_VALUE"""),46115.64025196759)</f>
        <v>46115.64025</v>
      </c>
      <c r="F175" s="4"/>
      <c r="G175" s="4"/>
      <c r="H175" s="4"/>
      <c r="I175" s="4"/>
      <c r="J175" s="4"/>
      <c r="K175" s="4"/>
      <c r="L175" s="4"/>
      <c r="M175" s="4"/>
      <c r="N175" s="4"/>
      <c r="O175" s="4"/>
      <c r="P175" s="4"/>
      <c r="Q175" s="4"/>
      <c r="R175" s="4"/>
      <c r="S175" s="4"/>
      <c r="T175" s="4"/>
      <c r="U175" s="4"/>
      <c r="V175" s="4"/>
      <c r="W175" s="4"/>
      <c r="X175" s="4"/>
      <c r="Y175" s="4"/>
    </row>
    <row r="176" ht="14.25" customHeight="1">
      <c r="A176" s="4" t="str">
        <f>IFERROR(__xludf.DUMMYFUNCTION("""COMPUTED_VALUE"""),"Abraham Ting")</f>
        <v>Abraham Ting</v>
      </c>
      <c r="B176" s="116">
        <f>IFERROR(__xludf.DUMMYFUNCTION("""COMPUTED_VALUE"""),46116.0)</f>
        <v>46116</v>
      </c>
      <c r="C176" s="4" t="str">
        <f>IFERROR(__xludf.DUMMYFUNCTION("""COMPUTED_VALUE"""),"11am - 12pm")</f>
        <v>11am - 12pm</v>
      </c>
      <c r="D176" s="4" t="str">
        <f>IFERROR(__xludf.DUMMYFUNCTION("""COMPUTED_VALUE"""),"spout-doze.6y@icloud.com")</f>
        <v>spout-doze.6y@icloud.com</v>
      </c>
      <c r="E176" s="117">
        <f>IFERROR(__xludf.DUMMYFUNCTION("""COMPUTED_VALUE"""),46116.33620184028)</f>
        <v>46116.3362</v>
      </c>
      <c r="F176" s="4"/>
      <c r="G176" s="4"/>
      <c r="H176" s="4"/>
      <c r="I176" s="4"/>
      <c r="J176" s="4"/>
      <c r="K176" s="4"/>
      <c r="L176" s="4"/>
      <c r="M176" s="4"/>
      <c r="N176" s="4"/>
      <c r="O176" s="4"/>
      <c r="P176" s="4"/>
      <c r="Q176" s="4"/>
      <c r="R176" s="4"/>
      <c r="S176" s="4"/>
      <c r="T176" s="4"/>
      <c r="U176" s="4"/>
      <c r="V176" s="4"/>
      <c r="W176" s="4"/>
      <c r="X176" s="4"/>
      <c r="Y176" s="4"/>
    </row>
    <row r="177" ht="14.25" customHeight="1">
      <c r="A177" s="4" t="str">
        <f>IFERROR(__xludf.DUMMYFUNCTION("""COMPUTED_VALUE"""),"Thomas Tiong Wei Hao")</f>
        <v>Thomas Tiong Wei Hao</v>
      </c>
      <c r="B177" s="116">
        <f>IFERROR(__xludf.DUMMYFUNCTION("""COMPUTED_VALUE"""),46116.0)</f>
        <v>46116</v>
      </c>
      <c r="C177" s="4" t="str">
        <f>IFERROR(__xludf.DUMMYFUNCTION("""COMPUTED_VALUE"""),"2pm - 3pm")</f>
        <v>2pm - 3pm</v>
      </c>
      <c r="D177" s="4" t="str">
        <f>IFERROR(__xludf.DUMMYFUNCTION("""COMPUTED_VALUE"""),"rosengui886@gmail.com")</f>
        <v>rosengui886@gmail.com</v>
      </c>
      <c r="E177" s="117">
        <f>IFERROR(__xludf.DUMMYFUNCTION("""COMPUTED_VALUE"""),46106.90083766203)</f>
        <v>46106.90084</v>
      </c>
      <c r="F177" s="4"/>
      <c r="G177" s="4"/>
      <c r="H177" s="4"/>
      <c r="I177" s="4"/>
      <c r="J177" s="4"/>
      <c r="K177" s="4"/>
      <c r="L177" s="4"/>
      <c r="M177" s="4"/>
      <c r="N177" s="4"/>
      <c r="O177" s="4"/>
      <c r="P177" s="4"/>
      <c r="Q177" s="4"/>
      <c r="R177" s="4"/>
      <c r="S177" s="4"/>
      <c r="T177" s="4"/>
      <c r="U177" s="4"/>
      <c r="V177" s="4"/>
      <c r="W177" s="4"/>
      <c r="X177" s="4"/>
      <c r="Y177" s="4"/>
    </row>
    <row r="178" ht="14.25" customHeight="1">
      <c r="A178" s="4" t="str">
        <f>IFERROR(__xludf.DUMMYFUNCTION("""COMPUTED_VALUE"""),"Morgan Tiong Wei Han")</f>
        <v>Morgan Tiong Wei Han</v>
      </c>
      <c r="B178" s="116">
        <f>IFERROR(__xludf.DUMMYFUNCTION("""COMPUTED_VALUE"""),46116.0)</f>
        <v>46116</v>
      </c>
      <c r="C178" s="4" t="str">
        <f>IFERROR(__xludf.DUMMYFUNCTION("""COMPUTED_VALUE"""),"2pm - 3pm")</f>
        <v>2pm - 3pm</v>
      </c>
      <c r="D178" s="4" t="str">
        <f>IFERROR(__xludf.DUMMYFUNCTION("""COMPUTED_VALUE"""),"rosengui886@gmail.com")</f>
        <v>rosengui886@gmail.com</v>
      </c>
      <c r="E178" s="117">
        <f>IFERROR(__xludf.DUMMYFUNCTION("""COMPUTED_VALUE"""),46106.901841122686)</f>
        <v>46106.90184</v>
      </c>
      <c r="F178" s="4"/>
      <c r="G178" s="4"/>
      <c r="H178" s="4"/>
      <c r="I178" s="4"/>
      <c r="J178" s="4"/>
      <c r="K178" s="4"/>
      <c r="L178" s="4"/>
      <c r="M178" s="4"/>
      <c r="N178" s="4"/>
      <c r="O178" s="4"/>
      <c r="P178" s="4"/>
      <c r="Q178" s="4"/>
      <c r="R178" s="4"/>
      <c r="S178" s="4"/>
      <c r="T178" s="4"/>
      <c r="U178" s="4"/>
      <c r="V178" s="4"/>
      <c r="W178" s="4"/>
      <c r="X178" s="4"/>
      <c r="Y178" s="4"/>
    </row>
    <row r="179" ht="14.25" customHeight="1">
      <c r="A179" s="4" t="str">
        <f>IFERROR(__xludf.DUMMYFUNCTION("""COMPUTED_VALUE"""),"Jarvis Ningkan Anak Henry")</f>
        <v>Jarvis Ningkan Anak Henry</v>
      </c>
      <c r="B179" s="116">
        <f>IFERROR(__xludf.DUMMYFUNCTION("""COMPUTED_VALUE"""),46116.0)</f>
        <v>46116</v>
      </c>
      <c r="C179" s="4" t="str">
        <f>IFERROR(__xludf.DUMMYFUNCTION("""COMPUTED_VALUE"""),"2pm - 3pm")</f>
        <v>2pm - 3pm</v>
      </c>
      <c r="D179" s="4" t="str">
        <f>IFERROR(__xludf.DUMMYFUNCTION("""COMPUTED_VALUE"""),"EugenieWilfred@gmail.com")</f>
        <v>EugenieWilfred@gmail.com</v>
      </c>
      <c r="E179" s="117">
        <f>IFERROR(__xludf.DUMMYFUNCTION("""COMPUTED_VALUE"""),46113.82993083334)</f>
        <v>46113.82993</v>
      </c>
      <c r="F179" s="4"/>
      <c r="G179" s="4"/>
      <c r="H179" s="4"/>
      <c r="I179" s="4"/>
      <c r="J179" s="4"/>
      <c r="K179" s="4"/>
      <c r="L179" s="4"/>
      <c r="M179" s="4"/>
      <c r="N179" s="4"/>
      <c r="O179" s="4"/>
      <c r="P179" s="4"/>
      <c r="Q179" s="4"/>
      <c r="R179" s="4"/>
      <c r="S179" s="4"/>
      <c r="T179" s="4"/>
      <c r="U179" s="4"/>
      <c r="V179" s="4"/>
      <c r="W179" s="4"/>
      <c r="X179" s="4"/>
      <c r="Y179" s="4"/>
    </row>
    <row r="180" ht="14.25" customHeight="1">
      <c r="A180" s="4" t="str">
        <f>IFERROR(__xludf.DUMMYFUNCTION("""COMPUTED_VALUE"""),"Iessabelle")</f>
        <v>Iessabelle</v>
      </c>
      <c r="B180" s="116">
        <f>IFERROR(__xludf.DUMMYFUNCTION("""COMPUTED_VALUE"""),46116.0)</f>
        <v>46116</v>
      </c>
      <c r="C180" s="4" t="str">
        <f>IFERROR(__xludf.DUMMYFUNCTION("""COMPUTED_VALUE"""),"3pm - 4pm")</f>
        <v>3pm - 4pm</v>
      </c>
      <c r="D180" s="4" t="str">
        <f>IFERROR(__xludf.DUMMYFUNCTION("""COMPUTED_VALUE"""),"steelquill@gmail.com")</f>
        <v>steelquill@gmail.com</v>
      </c>
      <c r="E180" s="117">
        <f>IFERROR(__xludf.DUMMYFUNCTION("""COMPUTED_VALUE"""),46101.8777184375)</f>
        <v>46101.87772</v>
      </c>
      <c r="F180" s="4"/>
      <c r="G180" s="4"/>
      <c r="H180" s="4"/>
      <c r="I180" s="4"/>
      <c r="J180" s="4"/>
      <c r="K180" s="4"/>
      <c r="L180" s="4"/>
      <c r="M180" s="4"/>
      <c r="N180" s="4"/>
      <c r="O180" s="4"/>
      <c r="P180" s="4"/>
      <c r="Q180" s="4"/>
      <c r="R180" s="4"/>
      <c r="S180" s="4"/>
      <c r="T180" s="4"/>
      <c r="U180" s="4"/>
      <c r="V180" s="4"/>
      <c r="W180" s="4"/>
      <c r="X180" s="4"/>
      <c r="Y180" s="4"/>
    </row>
    <row r="181" ht="14.25" customHeight="1">
      <c r="A181" s="4" t="str">
        <f>IFERROR(__xludf.DUMMYFUNCTION("""COMPUTED_VALUE"""),"Thomas Tiong Wei Hao")</f>
        <v>Thomas Tiong Wei Hao</v>
      </c>
      <c r="B181" s="116">
        <f>IFERROR(__xludf.DUMMYFUNCTION("""COMPUTED_VALUE"""),46116.0)</f>
        <v>46116</v>
      </c>
      <c r="C181" s="4" t="str">
        <f>IFERROR(__xludf.DUMMYFUNCTION("""COMPUTED_VALUE"""),"3pm - 4pm")</f>
        <v>3pm - 4pm</v>
      </c>
      <c r="D181" s="4" t="str">
        <f>IFERROR(__xludf.DUMMYFUNCTION("""COMPUTED_VALUE"""),"cherryblosm86@gmail.com")</f>
        <v>cherryblosm86@gmail.com</v>
      </c>
      <c r="E181" s="117">
        <f>IFERROR(__xludf.DUMMYFUNCTION("""COMPUTED_VALUE"""),46106.901169432866)</f>
        <v>46106.90117</v>
      </c>
      <c r="F181" s="4"/>
      <c r="G181" s="4"/>
      <c r="H181" s="4"/>
      <c r="I181" s="4"/>
      <c r="J181" s="4"/>
      <c r="K181" s="4"/>
      <c r="L181" s="4"/>
      <c r="M181" s="4"/>
      <c r="N181" s="4"/>
      <c r="O181" s="4"/>
      <c r="P181" s="4"/>
      <c r="Q181" s="4"/>
      <c r="R181" s="4"/>
      <c r="S181" s="4"/>
      <c r="T181" s="4"/>
      <c r="U181" s="4"/>
      <c r="V181" s="4"/>
      <c r="W181" s="4"/>
      <c r="X181" s="4"/>
      <c r="Y181" s="4"/>
    </row>
    <row r="182" ht="14.25" customHeight="1">
      <c r="A182" s="4" t="str">
        <f>IFERROR(__xludf.DUMMYFUNCTION("""COMPUTED_VALUE"""),"Morgan Tiong Wei Han")</f>
        <v>Morgan Tiong Wei Han</v>
      </c>
      <c r="B182" s="116">
        <f>IFERROR(__xludf.DUMMYFUNCTION("""COMPUTED_VALUE"""),46116.0)</f>
        <v>46116</v>
      </c>
      <c r="C182" s="4" t="str">
        <f>IFERROR(__xludf.DUMMYFUNCTION("""COMPUTED_VALUE"""),"3pm - 4pm")</f>
        <v>3pm - 4pm</v>
      </c>
      <c r="D182" s="4" t="str">
        <f>IFERROR(__xludf.DUMMYFUNCTION("""COMPUTED_VALUE"""),"rosengui886@gmail.com")</f>
        <v>rosengui886@gmail.com</v>
      </c>
      <c r="E182" s="117">
        <f>IFERROR(__xludf.DUMMYFUNCTION("""COMPUTED_VALUE"""),46106.902207743056)</f>
        <v>46106.90221</v>
      </c>
      <c r="F182" s="4"/>
      <c r="G182" s="4"/>
      <c r="H182" s="4"/>
      <c r="I182" s="4"/>
      <c r="J182" s="4"/>
      <c r="K182" s="4"/>
      <c r="L182" s="4"/>
      <c r="M182" s="4"/>
      <c r="N182" s="4"/>
      <c r="O182" s="4"/>
      <c r="P182" s="4"/>
      <c r="Q182" s="4"/>
      <c r="R182" s="4"/>
      <c r="S182" s="4"/>
      <c r="T182" s="4"/>
      <c r="U182" s="4"/>
      <c r="V182" s="4"/>
      <c r="W182" s="4"/>
      <c r="X182" s="4"/>
      <c r="Y182" s="4"/>
    </row>
    <row r="183" ht="14.25" customHeight="1">
      <c r="A183" s="4" t="str">
        <f>IFERROR(__xludf.DUMMYFUNCTION("""COMPUTED_VALUE"""),"Jayden Siaw Cun En")</f>
        <v>Jayden Siaw Cun En</v>
      </c>
      <c r="B183" s="116">
        <f>IFERROR(__xludf.DUMMYFUNCTION("""COMPUTED_VALUE"""),46116.0)</f>
        <v>46116</v>
      </c>
      <c r="C183" s="4" t="str">
        <f>IFERROR(__xludf.DUMMYFUNCTION("""COMPUTED_VALUE"""),"4pm - 5pm")</f>
        <v>4pm - 5pm</v>
      </c>
      <c r="D183" s="4" t="str">
        <f>IFERROR(__xludf.DUMMYFUNCTION("""COMPUTED_VALUE"""),"tangkuihuong@gmail.com")</f>
        <v>tangkuihuong@gmail.com</v>
      </c>
      <c r="E183" s="117">
        <f>IFERROR(__xludf.DUMMYFUNCTION("""COMPUTED_VALUE"""),46097.695419456024)</f>
        <v>46097.69542</v>
      </c>
      <c r="F183" s="4"/>
      <c r="G183" s="4"/>
      <c r="H183" s="4"/>
      <c r="I183" s="4"/>
      <c r="J183" s="4"/>
      <c r="K183" s="4"/>
      <c r="L183" s="4"/>
      <c r="M183" s="4"/>
      <c r="N183" s="4"/>
      <c r="O183" s="4"/>
      <c r="P183" s="4"/>
      <c r="Q183" s="4"/>
      <c r="R183" s="4"/>
      <c r="S183" s="4"/>
      <c r="T183" s="4"/>
      <c r="U183" s="4"/>
      <c r="V183" s="4"/>
      <c r="W183" s="4"/>
      <c r="X183" s="4"/>
      <c r="Y183" s="4"/>
    </row>
    <row r="184" ht="14.25" customHeight="1">
      <c r="A184" s="4" t="str">
        <f>IFERROR(__xludf.DUMMYFUNCTION("""COMPUTED_VALUE"""),"LUCAS CHIEW WEI HAN")</f>
        <v>LUCAS CHIEW WEI HAN</v>
      </c>
      <c r="B184" s="116">
        <f>IFERROR(__xludf.DUMMYFUNCTION("""COMPUTED_VALUE"""),46116.0)</f>
        <v>46116</v>
      </c>
      <c r="C184" s="4" t="str">
        <f>IFERROR(__xludf.DUMMYFUNCTION("""COMPUTED_VALUE"""),"4pm - 5pm")</f>
        <v>4pm - 5pm</v>
      </c>
      <c r="D184" s="4" t="str">
        <f>IFERROR(__xludf.DUMMYFUNCTION("""COMPUTED_VALUE"""),"thomaschiew88@gmail.com")</f>
        <v>thomaschiew88@gmail.com</v>
      </c>
      <c r="E184" s="117">
        <f>IFERROR(__xludf.DUMMYFUNCTION("""COMPUTED_VALUE"""),46114.29643347222)</f>
        <v>46114.29643</v>
      </c>
      <c r="F184" s="4"/>
      <c r="G184" s="4"/>
      <c r="H184" s="4"/>
      <c r="I184" s="4"/>
      <c r="J184" s="4"/>
      <c r="K184" s="4"/>
      <c r="L184" s="4"/>
      <c r="M184" s="4"/>
      <c r="N184" s="4"/>
      <c r="O184" s="4"/>
      <c r="P184" s="4"/>
      <c r="Q184" s="4"/>
      <c r="R184" s="4"/>
      <c r="S184" s="4"/>
      <c r="T184" s="4"/>
      <c r="U184" s="4"/>
      <c r="V184" s="4"/>
      <c r="W184" s="4"/>
      <c r="X184" s="4"/>
      <c r="Y184" s="4"/>
    </row>
    <row r="185" ht="14.25" customHeight="1">
      <c r="A185" s="4" t="str">
        <f>IFERROR(__xludf.DUMMYFUNCTION("""COMPUTED_VALUE"""),"Andrew chai")</f>
        <v>Andrew chai</v>
      </c>
      <c r="B185" s="116">
        <f>IFERROR(__xludf.DUMMYFUNCTION("""COMPUTED_VALUE"""),46116.0)</f>
        <v>46116</v>
      </c>
      <c r="C185" s="4" t="str">
        <f>IFERROR(__xludf.DUMMYFUNCTION("""COMPUTED_VALUE"""),"4pm - 5pm")</f>
        <v>4pm - 5pm</v>
      </c>
      <c r="D185" s="4" t="str">
        <f>IFERROR(__xludf.DUMMYFUNCTION("""COMPUTED_VALUE"""),"lingkunghee@yahoo.com")</f>
        <v>lingkunghee@yahoo.com</v>
      </c>
      <c r="E185" s="117">
        <f>IFERROR(__xludf.DUMMYFUNCTION("""COMPUTED_VALUE"""),46116.46372189815)</f>
        <v>46116.46372</v>
      </c>
      <c r="F185" s="4"/>
      <c r="G185" s="4"/>
      <c r="H185" s="4"/>
      <c r="I185" s="4"/>
      <c r="J185" s="4"/>
      <c r="K185" s="4"/>
      <c r="L185" s="4"/>
      <c r="M185" s="4"/>
      <c r="N185" s="4"/>
      <c r="O185" s="4"/>
      <c r="P185" s="4"/>
      <c r="Q185" s="4"/>
      <c r="R185" s="4"/>
      <c r="S185" s="4"/>
      <c r="T185" s="4"/>
      <c r="U185" s="4"/>
      <c r="V185" s="4"/>
      <c r="W185" s="4"/>
      <c r="X185" s="4"/>
      <c r="Y185" s="4"/>
    </row>
    <row r="186" ht="14.25" customHeight="1">
      <c r="A186" s="4" t="str">
        <f>IFERROR(__xludf.DUMMYFUNCTION("""COMPUTED_VALUE"""),"Feliz LOH")</f>
        <v>Feliz LOH</v>
      </c>
      <c r="B186" s="116">
        <f>IFERROR(__xludf.DUMMYFUNCTION("""COMPUTED_VALUE"""),46116.0)</f>
        <v>46116</v>
      </c>
      <c r="C186" s="4" t="str">
        <f>IFERROR(__xludf.DUMMYFUNCTION("""COMPUTED_VALUE"""),"4pm - 5pm")</f>
        <v>4pm - 5pm</v>
      </c>
      <c r="D186" s="4" t="str">
        <f>IFERROR(__xludf.DUMMYFUNCTION("""COMPUTED_VALUE"""),"annehappy83@gmail.com")</f>
        <v>annehappy83@gmail.com</v>
      </c>
      <c r="E186" s="117">
        <f>IFERROR(__xludf.DUMMYFUNCTION("""COMPUTED_VALUE"""),46116.480517222226)</f>
        <v>46116.48052</v>
      </c>
      <c r="F186" s="4"/>
      <c r="G186" s="4"/>
      <c r="H186" s="4"/>
      <c r="I186" s="4"/>
      <c r="J186" s="4"/>
      <c r="K186" s="4"/>
      <c r="L186" s="4"/>
      <c r="M186" s="4"/>
      <c r="N186" s="4"/>
      <c r="O186" s="4"/>
      <c r="P186" s="4"/>
      <c r="Q186" s="4"/>
      <c r="R186" s="4"/>
      <c r="S186" s="4"/>
      <c r="T186" s="4"/>
      <c r="U186" s="4"/>
      <c r="V186" s="4"/>
      <c r="W186" s="4"/>
      <c r="X186" s="4"/>
      <c r="Y186" s="4"/>
    </row>
    <row r="187" ht="14.25" customHeight="1">
      <c r="A187" s="4" t="str">
        <f>IFERROR(__xludf.DUMMYFUNCTION("""COMPUTED_VALUE"""),"Ryan Sia Rui Eng")</f>
        <v>Ryan Sia Rui Eng</v>
      </c>
      <c r="B187" s="116">
        <f>IFERROR(__xludf.DUMMYFUNCTION("""COMPUTED_VALUE"""),46116.0)</f>
        <v>46116</v>
      </c>
      <c r="C187" s="4" t="str">
        <f>IFERROR(__xludf.DUMMYFUNCTION("""COMPUTED_VALUE"""),"9am - 10am")</f>
        <v>9am - 10am</v>
      </c>
      <c r="D187" s="4" t="str">
        <f>IFERROR(__xludf.DUMMYFUNCTION("""COMPUTED_VALUE"""),"mlyii@hotmail.com")</f>
        <v>mlyii@hotmail.com</v>
      </c>
      <c r="E187" s="117">
        <f>IFERROR(__xludf.DUMMYFUNCTION("""COMPUTED_VALUE"""),46112.82522241898)</f>
        <v>46112.82522</v>
      </c>
      <c r="F187" s="4"/>
      <c r="G187" s="4"/>
      <c r="H187" s="4"/>
      <c r="I187" s="4"/>
      <c r="J187" s="4"/>
      <c r="K187" s="4"/>
      <c r="L187" s="4"/>
      <c r="M187" s="4"/>
      <c r="N187" s="4"/>
      <c r="O187" s="4"/>
      <c r="P187" s="4"/>
      <c r="Q187" s="4"/>
      <c r="R187" s="4"/>
      <c r="S187" s="4"/>
      <c r="T187" s="4"/>
      <c r="U187" s="4"/>
      <c r="V187" s="4"/>
      <c r="W187" s="4"/>
      <c r="X187" s="4"/>
      <c r="Y187" s="4"/>
    </row>
    <row r="188" ht="14.25" customHeight="1">
      <c r="A188" s="4" t="str">
        <f>IFERROR(__xludf.DUMMYFUNCTION("""COMPUTED_VALUE"""),"Osmund Tiong Zhen En")</f>
        <v>Osmund Tiong Zhen En</v>
      </c>
      <c r="B188" s="116">
        <f>IFERROR(__xludf.DUMMYFUNCTION("""COMPUTED_VALUE"""),46116.0)</f>
        <v>46116</v>
      </c>
      <c r="C188" s="4" t="str">
        <f>IFERROR(__xludf.DUMMYFUNCTION("""COMPUTED_VALUE"""),"9am - 10am")</f>
        <v>9am - 10am</v>
      </c>
      <c r="D188" s="4" t="str">
        <f>IFERROR(__xludf.DUMMYFUNCTION("""COMPUTED_VALUE"""),"sfkueh@gmail.com")</f>
        <v>sfkueh@gmail.com</v>
      </c>
      <c r="E188" s="117">
        <f>IFERROR(__xludf.DUMMYFUNCTION("""COMPUTED_VALUE"""),46114.928126921295)</f>
        <v>46114.92813</v>
      </c>
      <c r="F188" s="4"/>
      <c r="G188" s="4"/>
      <c r="H188" s="4"/>
      <c r="I188" s="4"/>
      <c r="J188" s="4"/>
      <c r="K188" s="4"/>
      <c r="L188" s="4"/>
      <c r="M188" s="4"/>
      <c r="N188" s="4"/>
      <c r="O188" s="4"/>
      <c r="P188" s="4"/>
      <c r="Q188" s="4"/>
      <c r="R188" s="4"/>
      <c r="S188" s="4"/>
      <c r="T188" s="4"/>
      <c r="U188" s="4"/>
      <c r="V188" s="4"/>
      <c r="W188" s="4"/>
      <c r="X188" s="4"/>
      <c r="Y188" s="4"/>
    </row>
    <row r="189" ht="14.25" customHeight="1">
      <c r="A189" s="4" t="str">
        <f>IFERROR(__xludf.DUMMYFUNCTION("""COMPUTED_VALUE"""),"Julius Chiew Zhen Hao")</f>
        <v>Julius Chiew Zhen Hao</v>
      </c>
      <c r="B189" s="116">
        <f>IFERROR(__xludf.DUMMYFUNCTION("""COMPUTED_VALUE"""),46118.0)</f>
        <v>46118</v>
      </c>
      <c r="C189" s="4"/>
      <c r="D189" s="4" t="str">
        <f>IFERROR(__xludf.DUMMYFUNCTION("""COMPUTED_VALUE"""),"inging0816@gmail.com")</f>
        <v>inging0816@gmail.com</v>
      </c>
      <c r="E189" s="117">
        <f>IFERROR(__xludf.DUMMYFUNCTION("""COMPUTED_VALUE"""),46118.37087125)</f>
        <v>46118.37087</v>
      </c>
      <c r="F189" s="4"/>
      <c r="G189" s="4"/>
      <c r="H189" s="4"/>
      <c r="I189" s="4"/>
      <c r="J189" s="4"/>
      <c r="K189" s="4"/>
      <c r="L189" s="4"/>
      <c r="M189" s="4"/>
      <c r="N189" s="4"/>
      <c r="O189" s="4"/>
      <c r="P189" s="4"/>
      <c r="Q189" s="4"/>
      <c r="R189" s="4"/>
      <c r="S189" s="4"/>
      <c r="T189" s="4"/>
      <c r="U189" s="4"/>
      <c r="V189" s="4"/>
      <c r="W189" s="4"/>
      <c r="X189" s="4"/>
      <c r="Y189" s="4"/>
    </row>
    <row r="190" ht="14.25" customHeight="1">
      <c r="A190" s="4" t="str">
        <f>IFERROR(__xludf.DUMMYFUNCTION("""COMPUTED_VALUE"""),"Kiing chee teck")</f>
        <v>Kiing chee teck</v>
      </c>
      <c r="B190" s="116">
        <f>IFERROR(__xludf.DUMMYFUNCTION("""COMPUTED_VALUE"""),46118.0)</f>
        <v>46118</v>
      </c>
      <c r="C190" s="4"/>
      <c r="D190" s="4" t="str">
        <f>IFERROR(__xludf.DUMMYFUNCTION("""COMPUTED_VALUE"""),"ctkiing0067@gmail.com")</f>
        <v>ctkiing0067@gmail.com</v>
      </c>
      <c r="E190" s="117">
        <f>IFERROR(__xludf.DUMMYFUNCTION("""COMPUTED_VALUE"""),46118.732291064814)</f>
        <v>46118.73229</v>
      </c>
      <c r="F190" s="4"/>
      <c r="G190" s="4"/>
      <c r="H190" s="4"/>
      <c r="I190" s="4"/>
      <c r="J190" s="4"/>
      <c r="K190" s="4"/>
      <c r="L190" s="4"/>
      <c r="M190" s="4"/>
      <c r="N190" s="4"/>
      <c r="O190" s="4"/>
      <c r="P190" s="4"/>
      <c r="Q190" s="4"/>
      <c r="R190" s="4"/>
      <c r="S190" s="4"/>
      <c r="T190" s="4"/>
      <c r="U190" s="4"/>
      <c r="V190" s="4"/>
      <c r="W190" s="4"/>
      <c r="X190" s="4"/>
      <c r="Y190" s="4"/>
    </row>
    <row r="191" ht="14.25" customHeight="1">
      <c r="A191" s="4" t="str">
        <f>IFERROR(__xludf.DUMMYFUNCTION("""COMPUTED_VALUE"""),"Ting Zhi Xin")</f>
        <v>Ting Zhi Xin</v>
      </c>
      <c r="B191" s="116">
        <f>IFERROR(__xludf.DUMMYFUNCTION("""COMPUTED_VALUE"""),46120.0)</f>
        <v>46120</v>
      </c>
      <c r="C191" s="4"/>
      <c r="D191" s="4" t="str">
        <f>IFERROR(__xludf.DUMMYFUNCTION("""COMPUTED_VALUE"""),"callmeblade.mate@gmail.com")</f>
        <v>callmeblade.mate@gmail.com</v>
      </c>
      <c r="E191" s="117">
        <f>IFERROR(__xludf.DUMMYFUNCTION("""COMPUTED_VALUE"""),46098.45390787037)</f>
        <v>46098.45391</v>
      </c>
      <c r="F191" s="4"/>
      <c r="G191" s="4"/>
      <c r="H191" s="4"/>
      <c r="I191" s="4"/>
      <c r="J191" s="4"/>
      <c r="K191" s="4"/>
      <c r="L191" s="4"/>
      <c r="M191" s="4"/>
      <c r="N191" s="4"/>
      <c r="O191" s="4"/>
      <c r="P191" s="4"/>
      <c r="Q191" s="4"/>
      <c r="R191" s="4"/>
      <c r="S191" s="4"/>
      <c r="T191" s="4"/>
      <c r="U191" s="4"/>
      <c r="V191" s="4"/>
      <c r="W191" s="4"/>
      <c r="X191" s="4"/>
      <c r="Y191" s="4"/>
    </row>
    <row r="192" ht="14.25" customHeight="1">
      <c r="A192" s="4" t="str">
        <f>IFERROR(__xludf.DUMMYFUNCTION("""COMPUTED_VALUE"""),"Oscar Khiew JIAN LYN")</f>
        <v>Oscar Khiew JIAN LYN</v>
      </c>
      <c r="B192" s="116">
        <f>IFERROR(__xludf.DUMMYFUNCTION("""COMPUTED_VALUE"""),46120.0)</f>
        <v>46120</v>
      </c>
      <c r="C192" s="4"/>
      <c r="D192" s="4" t="str">
        <f>IFERROR(__xludf.DUMMYFUNCTION("""COMPUTED_VALUE"""),"shu0205ming@gmail.com")</f>
        <v>shu0205ming@gmail.com</v>
      </c>
      <c r="E192" s="117">
        <f>IFERROR(__xludf.DUMMYFUNCTION("""COMPUTED_VALUE"""),46118.725578831014)</f>
        <v>46118.72558</v>
      </c>
      <c r="F192" s="4"/>
      <c r="G192" s="4"/>
      <c r="H192" s="4"/>
      <c r="I192" s="4"/>
      <c r="J192" s="4"/>
      <c r="K192" s="4"/>
      <c r="L192" s="4"/>
      <c r="M192" s="4"/>
      <c r="N192" s="4"/>
      <c r="O192" s="4"/>
      <c r="P192" s="4"/>
      <c r="Q192" s="4"/>
      <c r="R192" s="4"/>
      <c r="S192" s="4"/>
      <c r="T192" s="4"/>
      <c r="U192" s="4"/>
      <c r="V192" s="4"/>
      <c r="W192" s="4"/>
      <c r="X192" s="4"/>
      <c r="Y192" s="4"/>
    </row>
    <row r="193" ht="14.25" customHeight="1">
      <c r="A193" s="4" t="str">
        <f>IFERROR(__xludf.DUMMYFUNCTION("""COMPUTED_VALUE"""),"Alfred koo yi xiang")</f>
        <v>Alfred koo yi xiang</v>
      </c>
      <c r="B193" s="116">
        <f>IFERROR(__xludf.DUMMYFUNCTION("""COMPUTED_VALUE"""),46123.0)</f>
        <v>46123</v>
      </c>
      <c r="C193" s="4" t="str">
        <f>IFERROR(__xludf.DUMMYFUNCTION("""COMPUTED_VALUE"""),"10am - 11am")</f>
        <v>10am - 11am</v>
      </c>
      <c r="D193" s="4" t="str">
        <f>IFERROR(__xludf.DUMMYFUNCTION("""COMPUTED_VALUE"""),"angel_ping22@hotmail.com")</f>
        <v>angel_ping22@hotmail.com</v>
      </c>
      <c r="E193" s="117">
        <f>IFERROR(__xludf.DUMMYFUNCTION("""COMPUTED_VALUE"""),46100.80463863426)</f>
        <v>46100.80464</v>
      </c>
      <c r="F193" s="4"/>
      <c r="G193" s="4"/>
      <c r="H193" s="4"/>
      <c r="I193" s="4"/>
      <c r="J193" s="4"/>
      <c r="K193" s="4"/>
      <c r="L193" s="4"/>
      <c r="M193" s="4"/>
      <c r="N193" s="4"/>
      <c r="O193" s="4"/>
      <c r="P193" s="4"/>
      <c r="Q193" s="4"/>
      <c r="R193" s="4"/>
      <c r="S193" s="4"/>
      <c r="T193" s="4"/>
      <c r="U193" s="4"/>
      <c r="V193" s="4"/>
      <c r="W193" s="4"/>
      <c r="X193" s="4"/>
      <c r="Y193" s="4"/>
    </row>
    <row r="194" ht="14.25" customHeight="1">
      <c r="A194" s="4" t="str">
        <f>IFERROR(__xludf.DUMMYFUNCTION("""COMPUTED_VALUE"""),"KONG MING YI")</f>
        <v>KONG MING YI</v>
      </c>
      <c r="B194" s="116">
        <f>IFERROR(__xludf.DUMMYFUNCTION("""COMPUTED_VALUE"""),46123.0)</f>
        <v>46123</v>
      </c>
      <c r="C194" s="4" t="str">
        <f>IFERROR(__xludf.DUMMYFUNCTION("""COMPUTED_VALUE"""),"10am - 11am")</f>
        <v>10am - 11am</v>
      </c>
      <c r="D194" s="4" t="str">
        <f>IFERROR(__xludf.DUMMYFUNCTION("""COMPUTED_VALUE"""),"yiichaihsia@yahoo.com")</f>
        <v>yiichaihsia@yahoo.com</v>
      </c>
      <c r="E194" s="117">
        <f>IFERROR(__xludf.DUMMYFUNCTION("""COMPUTED_VALUE"""),46115.42920076389)</f>
        <v>46115.4292</v>
      </c>
      <c r="F194" s="4"/>
      <c r="G194" s="4"/>
      <c r="H194" s="4"/>
      <c r="I194" s="4"/>
      <c r="J194" s="4"/>
      <c r="K194" s="4"/>
      <c r="L194" s="4"/>
      <c r="M194" s="4"/>
      <c r="N194" s="4"/>
      <c r="O194" s="4"/>
      <c r="P194" s="4"/>
      <c r="Q194" s="4"/>
      <c r="R194" s="4"/>
      <c r="S194" s="4"/>
      <c r="T194" s="4"/>
      <c r="U194" s="4"/>
      <c r="V194" s="4"/>
      <c r="W194" s="4"/>
      <c r="X194" s="4"/>
      <c r="Y194" s="4"/>
    </row>
    <row r="195" ht="14.25" customHeight="1">
      <c r="A195" s="4" t="str">
        <f>IFERROR(__xludf.DUMMYFUNCTION("""COMPUTED_VALUE"""),"Rochester Lee Eu Jyun")</f>
        <v>Rochester Lee Eu Jyun</v>
      </c>
      <c r="B195" s="116">
        <f>IFERROR(__xludf.DUMMYFUNCTION("""COMPUTED_VALUE"""),46123.0)</f>
        <v>46123</v>
      </c>
      <c r="C195" s="4" t="str">
        <f>IFERROR(__xludf.DUMMYFUNCTION("""COMPUTED_VALUE"""),"10am - 11am")</f>
        <v>10am - 11am</v>
      </c>
      <c r="D195" s="4" t="str">
        <f>IFERROR(__xludf.DUMMYFUNCTION("""COMPUTED_VALUE"""),"ahchenlovelycat@gmail.com")</f>
        <v>ahchenlovelycat@gmail.com</v>
      </c>
      <c r="E195" s="117">
        <f>IFERROR(__xludf.DUMMYFUNCTION("""COMPUTED_VALUE"""),46122.59203836806)</f>
        <v>46122.59204</v>
      </c>
      <c r="F195" s="4"/>
      <c r="G195" s="4"/>
      <c r="H195" s="4"/>
      <c r="I195" s="4"/>
      <c r="J195" s="4"/>
      <c r="K195" s="4"/>
      <c r="L195" s="4"/>
      <c r="M195" s="4"/>
      <c r="N195" s="4"/>
      <c r="O195" s="4"/>
      <c r="P195" s="4"/>
      <c r="Q195" s="4"/>
      <c r="R195" s="4"/>
      <c r="S195" s="4"/>
      <c r="T195" s="4"/>
      <c r="U195" s="4"/>
      <c r="V195" s="4"/>
      <c r="W195" s="4"/>
      <c r="X195" s="4"/>
      <c r="Y195" s="4"/>
    </row>
    <row r="196" ht="14.25" customHeight="1">
      <c r="A196" s="4" t="str">
        <f>IFERROR(__xludf.DUMMYFUNCTION("""COMPUTED_VALUE"""),"Abraham Ting")</f>
        <v>Abraham Ting</v>
      </c>
      <c r="B196" s="116">
        <f>IFERROR(__xludf.DUMMYFUNCTION("""COMPUTED_VALUE"""),46123.0)</f>
        <v>46123</v>
      </c>
      <c r="C196" s="4" t="str">
        <f>IFERROR(__xludf.DUMMYFUNCTION("""COMPUTED_VALUE"""),"11am - 12pm")</f>
        <v>11am - 12pm</v>
      </c>
      <c r="D196" s="4" t="str">
        <f>IFERROR(__xludf.DUMMYFUNCTION("""COMPUTED_VALUE"""),"spout-doze.6y@icloud.com")</f>
        <v>spout-doze.6y@icloud.com</v>
      </c>
      <c r="E196" s="117">
        <f>IFERROR(__xludf.DUMMYFUNCTION("""COMPUTED_VALUE"""),46122.78563387731)</f>
        <v>46122.78563</v>
      </c>
      <c r="F196" s="4"/>
      <c r="G196" s="4"/>
      <c r="H196" s="4"/>
      <c r="I196" s="4"/>
      <c r="J196" s="4"/>
      <c r="K196" s="4"/>
      <c r="L196" s="4"/>
      <c r="M196" s="4"/>
      <c r="N196" s="4"/>
      <c r="O196" s="4"/>
      <c r="P196" s="4"/>
      <c r="Q196" s="4"/>
      <c r="R196" s="4"/>
      <c r="S196" s="4"/>
      <c r="T196" s="4"/>
      <c r="U196" s="4"/>
      <c r="V196" s="4"/>
      <c r="W196" s="4"/>
      <c r="X196" s="4"/>
      <c r="Y196" s="4"/>
    </row>
    <row r="197" ht="14.25" customHeight="1">
      <c r="A197" s="4" t="str">
        <f>IFERROR(__xludf.DUMMYFUNCTION("""COMPUTED_VALUE"""),"Thomas Tiong Wei Hao")</f>
        <v>Thomas Tiong Wei Hao</v>
      </c>
      <c r="B197" s="116">
        <f>IFERROR(__xludf.DUMMYFUNCTION("""COMPUTED_VALUE"""),46123.0)</f>
        <v>46123</v>
      </c>
      <c r="C197" s="4" t="str">
        <f>IFERROR(__xludf.DUMMYFUNCTION("""COMPUTED_VALUE"""),"2pm - 3pm")</f>
        <v>2pm - 3pm</v>
      </c>
      <c r="D197" s="4" t="str">
        <f>IFERROR(__xludf.DUMMYFUNCTION("""COMPUTED_VALUE"""),"rosengui886@gmail.com")</f>
        <v>rosengui886@gmail.com</v>
      </c>
      <c r="E197" s="117">
        <f>IFERROR(__xludf.DUMMYFUNCTION("""COMPUTED_VALUE"""),46120.72511378472)</f>
        <v>46120.72511</v>
      </c>
      <c r="F197" s="4"/>
      <c r="G197" s="4"/>
      <c r="H197" s="4"/>
      <c r="I197" s="4"/>
      <c r="J197" s="4"/>
      <c r="K197" s="4"/>
      <c r="L197" s="4"/>
      <c r="M197" s="4"/>
      <c r="N197" s="4"/>
      <c r="O197" s="4"/>
      <c r="P197" s="4"/>
      <c r="Q197" s="4"/>
      <c r="R197" s="4"/>
      <c r="S197" s="4"/>
      <c r="T197" s="4"/>
      <c r="U197" s="4"/>
      <c r="V197" s="4"/>
      <c r="W197" s="4"/>
      <c r="X197" s="4"/>
      <c r="Y197" s="4"/>
    </row>
    <row r="198" ht="14.25" customHeight="1">
      <c r="A198" s="4" t="str">
        <f>IFERROR(__xludf.DUMMYFUNCTION("""COMPUTED_VALUE"""),"Rexlee Ngu Shu Jing")</f>
        <v>Rexlee Ngu Shu Jing</v>
      </c>
      <c r="B198" s="116">
        <f>IFERROR(__xludf.DUMMYFUNCTION("""COMPUTED_VALUE"""),46123.0)</f>
        <v>46123</v>
      </c>
      <c r="C198" s="4" t="str">
        <f>IFERROR(__xludf.DUMMYFUNCTION("""COMPUTED_VALUE"""),"2pm - 3pm")</f>
        <v>2pm - 3pm</v>
      </c>
      <c r="D198" s="4" t="str">
        <f>IFERROR(__xludf.DUMMYFUNCTION("""COMPUTED_VALUE"""),"susanjim1984@gmail.com")</f>
        <v>susanjim1984@gmail.com</v>
      </c>
      <c r="E198" s="117">
        <f>IFERROR(__xludf.DUMMYFUNCTION("""COMPUTED_VALUE"""),46121.67194457176)</f>
        <v>46121.67194</v>
      </c>
      <c r="F198" s="4"/>
      <c r="G198" s="4"/>
      <c r="H198" s="4"/>
      <c r="I198" s="4"/>
      <c r="J198" s="4"/>
      <c r="K198" s="4"/>
      <c r="L198" s="4"/>
      <c r="M198" s="4"/>
      <c r="N198" s="4"/>
      <c r="O198" s="4"/>
      <c r="P198" s="4"/>
      <c r="Q198" s="4"/>
      <c r="R198" s="4"/>
      <c r="S198" s="4"/>
      <c r="T198" s="4"/>
      <c r="U198" s="4"/>
      <c r="V198" s="4"/>
      <c r="W198" s="4"/>
      <c r="X198" s="4"/>
      <c r="Y198" s="4"/>
    </row>
    <row r="199" ht="14.25" customHeight="1">
      <c r="A199" s="4" t="str">
        <f>IFERROR(__xludf.DUMMYFUNCTION("""COMPUTED_VALUE"""),"Marcus lau Yee ho")</f>
        <v>Marcus lau Yee ho</v>
      </c>
      <c r="B199" s="116">
        <f>IFERROR(__xludf.DUMMYFUNCTION("""COMPUTED_VALUE"""),46123.0)</f>
        <v>46123</v>
      </c>
      <c r="C199" s="4" t="str">
        <f>IFERROR(__xludf.DUMMYFUNCTION("""COMPUTED_VALUE"""),"2pm - 3pm")</f>
        <v>2pm - 3pm</v>
      </c>
      <c r="D199" s="4" t="str">
        <f>IFERROR(__xludf.DUMMYFUNCTION("""COMPUTED_VALUE"""),"tingmeehung7227@hotmail.com")</f>
        <v>tingmeehung7227@hotmail.com</v>
      </c>
      <c r="E199" s="117">
        <f>IFERROR(__xludf.DUMMYFUNCTION("""COMPUTED_VALUE"""),46122.928135277776)</f>
        <v>46122.92814</v>
      </c>
      <c r="F199" s="4"/>
      <c r="G199" s="4"/>
      <c r="H199" s="4"/>
      <c r="I199" s="4"/>
      <c r="J199" s="4"/>
      <c r="K199" s="4"/>
      <c r="L199" s="4"/>
      <c r="M199" s="4"/>
      <c r="N199" s="4"/>
      <c r="O199" s="4"/>
      <c r="P199" s="4"/>
      <c r="Q199" s="4"/>
      <c r="R199" s="4"/>
      <c r="S199" s="4"/>
      <c r="T199" s="4"/>
      <c r="U199" s="4"/>
      <c r="V199" s="4"/>
      <c r="W199" s="4"/>
      <c r="X199" s="4"/>
      <c r="Y199" s="4"/>
    </row>
    <row r="200" ht="14.25" customHeight="1">
      <c r="A200" s="4" t="str">
        <f>IFERROR(__xludf.DUMMYFUNCTION("""COMPUTED_VALUE"""),"Lucas lau Yee ming")</f>
        <v>Lucas lau Yee ming</v>
      </c>
      <c r="B200" s="116">
        <f>IFERROR(__xludf.DUMMYFUNCTION("""COMPUTED_VALUE"""),46123.0)</f>
        <v>46123</v>
      </c>
      <c r="C200" s="4" t="str">
        <f>IFERROR(__xludf.DUMMYFUNCTION("""COMPUTED_VALUE"""),"2pm - 3pm")</f>
        <v>2pm - 3pm</v>
      </c>
      <c r="D200" s="4" t="str">
        <f>IFERROR(__xludf.DUMMYFUNCTION("""COMPUTED_VALUE"""),"tingmeehung7227@hotmail.com")</f>
        <v>tingmeehung7227@hotmail.com</v>
      </c>
      <c r="E200" s="117">
        <f>IFERROR(__xludf.DUMMYFUNCTION("""COMPUTED_VALUE"""),46122.928183067124)</f>
        <v>46122.92818</v>
      </c>
      <c r="F200" s="4"/>
      <c r="G200" s="4"/>
      <c r="H200" s="4"/>
      <c r="I200" s="4"/>
      <c r="J200" s="4"/>
      <c r="K200" s="4"/>
      <c r="L200" s="4"/>
      <c r="M200" s="4"/>
      <c r="N200" s="4"/>
      <c r="O200" s="4"/>
      <c r="P200" s="4"/>
      <c r="Q200" s="4"/>
      <c r="R200" s="4"/>
      <c r="S200" s="4"/>
      <c r="T200" s="4"/>
      <c r="U200" s="4"/>
      <c r="V200" s="4"/>
      <c r="W200" s="4"/>
      <c r="X200" s="4"/>
      <c r="Y200" s="4"/>
    </row>
    <row r="201" ht="14.25" customHeight="1">
      <c r="A201" s="4" t="str">
        <f>IFERROR(__xludf.DUMMYFUNCTION("""COMPUTED_VALUE"""),"Aryssa")</f>
        <v>Aryssa</v>
      </c>
      <c r="B201" s="116">
        <f>IFERROR(__xludf.DUMMYFUNCTION("""COMPUTED_VALUE"""),46123.0)</f>
        <v>46123</v>
      </c>
      <c r="C201" s="4" t="str">
        <f>IFERROR(__xludf.DUMMYFUNCTION("""COMPUTED_VALUE"""),"3pm - 4pm")</f>
        <v>3pm - 4pm</v>
      </c>
      <c r="D201" s="4" t="str">
        <f>IFERROR(__xludf.DUMMYFUNCTION("""COMPUTED_VALUE"""),"ahaz1010@gmail.com")</f>
        <v>ahaz1010@gmail.com</v>
      </c>
      <c r="E201" s="117">
        <f>IFERROR(__xludf.DUMMYFUNCTION("""COMPUTED_VALUE"""),46101.907792928236)</f>
        <v>46101.90779</v>
      </c>
      <c r="F201" s="4"/>
      <c r="G201" s="4"/>
      <c r="H201" s="4"/>
      <c r="I201" s="4"/>
      <c r="J201" s="4"/>
      <c r="K201" s="4"/>
      <c r="L201" s="4"/>
      <c r="M201" s="4"/>
      <c r="N201" s="4"/>
      <c r="O201" s="4"/>
      <c r="P201" s="4"/>
      <c r="Q201" s="4"/>
      <c r="R201" s="4"/>
      <c r="S201" s="4"/>
      <c r="T201" s="4"/>
      <c r="U201" s="4"/>
      <c r="V201" s="4"/>
      <c r="W201" s="4"/>
      <c r="X201" s="4"/>
      <c r="Y201" s="4"/>
    </row>
    <row r="202" ht="14.25" customHeight="1">
      <c r="A202" s="4" t="str">
        <f>IFERROR(__xludf.DUMMYFUNCTION("""COMPUTED_VALUE"""),"Auf")</f>
        <v>Auf</v>
      </c>
      <c r="B202" s="116">
        <f>IFERROR(__xludf.DUMMYFUNCTION("""COMPUTED_VALUE"""),46123.0)</f>
        <v>46123</v>
      </c>
      <c r="C202" s="4" t="str">
        <f>IFERROR(__xludf.DUMMYFUNCTION("""COMPUTED_VALUE"""),"3pm - 4pm")</f>
        <v>3pm - 4pm</v>
      </c>
      <c r="D202" s="4" t="str">
        <f>IFERROR(__xludf.DUMMYFUNCTION("""COMPUTED_VALUE"""),"ahaz1010@gmail.com")</f>
        <v>ahaz1010@gmail.com</v>
      </c>
      <c r="E202" s="117">
        <f>IFERROR(__xludf.DUMMYFUNCTION("""COMPUTED_VALUE"""),46101.9078399537)</f>
        <v>46101.90784</v>
      </c>
      <c r="F202" s="4"/>
      <c r="G202" s="4"/>
      <c r="H202" s="4"/>
      <c r="I202" s="4"/>
      <c r="J202" s="4"/>
      <c r="K202" s="4"/>
      <c r="L202" s="4"/>
      <c r="M202" s="4"/>
      <c r="N202" s="4"/>
      <c r="O202" s="4"/>
      <c r="P202" s="4"/>
      <c r="Q202" s="4"/>
      <c r="R202" s="4"/>
      <c r="S202" s="4"/>
      <c r="T202" s="4"/>
      <c r="U202" s="4"/>
      <c r="V202" s="4"/>
      <c r="W202" s="4"/>
      <c r="X202" s="4"/>
      <c r="Y202" s="4"/>
    </row>
    <row r="203" ht="14.25" customHeight="1">
      <c r="A203" s="4" t="str">
        <f>IFERROR(__xludf.DUMMYFUNCTION("""COMPUTED_VALUE"""),"Yusof")</f>
        <v>Yusof</v>
      </c>
      <c r="B203" s="116">
        <f>IFERROR(__xludf.DUMMYFUNCTION("""COMPUTED_VALUE"""),46123.0)</f>
        <v>46123</v>
      </c>
      <c r="C203" s="4" t="str">
        <f>IFERROR(__xludf.DUMMYFUNCTION("""COMPUTED_VALUE"""),"3pm - 4pm")</f>
        <v>3pm - 4pm</v>
      </c>
      <c r="D203" s="4" t="str">
        <f>IFERROR(__xludf.DUMMYFUNCTION("""COMPUTED_VALUE"""),"ahaz1010@gmail.com")</f>
        <v>ahaz1010@gmail.com</v>
      </c>
      <c r="E203" s="117">
        <f>IFERROR(__xludf.DUMMYFUNCTION("""COMPUTED_VALUE"""),46101.90787921296)</f>
        <v>46101.90788</v>
      </c>
      <c r="F203" s="4"/>
      <c r="G203" s="4"/>
      <c r="H203" s="4"/>
      <c r="I203" s="4"/>
      <c r="J203" s="4"/>
      <c r="K203" s="4"/>
      <c r="L203" s="4"/>
      <c r="M203" s="4"/>
      <c r="N203" s="4"/>
      <c r="O203" s="4"/>
      <c r="P203" s="4"/>
      <c r="Q203" s="4"/>
      <c r="R203" s="4"/>
      <c r="S203" s="4"/>
      <c r="T203" s="4"/>
      <c r="U203" s="4"/>
      <c r="V203" s="4"/>
      <c r="W203" s="4"/>
      <c r="X203" s="4"/>
      <c r="Y203" s="4"/>
    </row>
    <row r="204" ht="14.25" customHeight="1">
      <c r="A204" s="4" t="str">
        <f>IFERROR(__xludf.DUMMYFUNCTION("""COMPUTED_VALUE"""),"Kingsley Kiing Kiu Yik")</f>
        <v>Kingsley Kiing Kiu Yik</v>
      </c>
      <c r="B204" s="116">
        <f>IFERROR(__xludf.DUMMYFUNCTION("""COMPUTED_VALUE"""),46123.0)</f>
        <v>46123</v>
      </c>
      <c r="C204" s="4" t="str">
        <f>IFERROR(__xludf.DUMMYFUNCTION("""COMPUTED_VALUE"""),"3pm - 4pm")</f>
        <v>3pm - 4pm</v>
      </c>
      <c r="D204" s="4" t="str">
        <f>IFERROR(__xludf.DUMMYFUNCTION("""COMPUTED_VALUE"""),"ctkiing0067@gmail.com")</f>
        <v>ctkiing0067@gmail.com</v>
      </c>
      <c r="E204" s="117">
        <f>IFERROR(__xludf.DUMMYFUNCTION("""COMPUTED_VALUE"""),46116.48177046297)</f>
        <v>46116.48177</v>
      </c>
      <c r="F204" s="4"/>
      <c r="G204" s="4"/>
      <c r="H204" s="4"/>
      <c r="I204" s="4"/>
      <c r="J204" s="4"/>
      <c r="K204" s="4"/>
      <c r="L204" s="4"/>
      <c r="M204" s="4"/>
      <c r="N204" s="4"/>
      <c r="O204" s="4"/>
      <c r="P204" s="4"/>
      <c r="Q204" s="4"/>
      <c r="R204" s="4"/>
      <c r="S204" s="4"/>
      <c r="T204" s="4"/>
      <c r="U204" s="4"/>
      <c r="V204" s="4"/>
      <c r="W204" s="4"/>
      <c r="X204" s="4"/>
      <c r="Y204" s="4"/>
    </row>
    <row r="205" ht="14.25" customHeight="1">
      <c r="A205" s="4" t="str">
        <f>IFERROR(__xludf.DUMMYFUNCTION("""COMPUTED_VALUE"""),"Dalinda anak Felix Soul")</f>
        <v>Dalinda anak Felix Soul</v>
      </c>
      <c r="B205" s="116">
        <f>IFERROR(__xludf.DUMMYFUNCTION("""COMPUTED_VALUE"""),46123.0)</f>
        <v>46123</v>
      </c>
      <c r="C205" s="4" t="str">
        <f>IFERROR(__xludf.DUMMYFUNCTION("""COMPUTED_VALUE"""),"4pm - 5pm")</f>
        <v>4pm - 5pm</v>
      </c>
      <c r="D205" s="4" t="str">
        <f>IFERROR(__xludf.DUMMYFUNCTION("""COMPUTED_VALUE"""),"nanunjenau@gmail.com")</f>
        <v>nanunjenau@gmail.com</v>
      </c>
      <c r="E205" s="117">
        <f>IFERROR(__xludf.DUMMYFUNCTION("""COMPUTED_VALUE"""),46116.78361452546)</f>
        <v>46116.78361</v>
      </c>
      <c r="F205" s="4"/>
      <c r="G205" s="4"/>
      <c r="H205" s="4"/>
      <c r="I205" s="4"/>
      <c r="J205" s="4"/>
      <c r="K205" s="4"/>
      <c r="L205" s="4"/>
      <c r="M205" s="4"/>
      <c r="N205" s="4"/>
      <c r="O205" s="4"/>
      <c r="P205" s="4"/>
      <c r="Q205" s="4"/>
      <c r="R205" s="4"/>
      <c r="S205" s="4"/>
      <c r="T205" s="4"/>
      <c r="U205" s="4"/>
      <c r="V205" s="4"/>
      <c r="W205" s="4"/>
      <c r="X205" s="4"/>
      <c r="Y205" s="4"/>
    </row>
    <row r="206" ht="14.25" customHeight="1">
      <c r="A206" s="4" t="str">
        <f>IFERROR(__xludf.DUMMYFUNCTION("""COMPUTED_VALUE"""),"Rochester Lee Eu Jyun")</f>
        <v>Rochester Lee Eu Jyun</v>
      </c>
      <c r="B206" s="116">
        <f>IFERROR(__xludf.DUMMYFUNCTION("""COMPUTED_VALUE"""),46123.0)</f>
        <v>46123</v>
      </c>
      <c r="C206" s="4" t="str">
        <f>IFERROR(__xludf.DUMMYFUNCTION("""COMPUTED_VALUE"""),"9am - 10am")</f>
        <v>9am - 10am</v>
      </c>
      <c r="D206" s="4" t="str">
        <f>IFERROR(__xludf.DUMMYFUNCTION("""COMPUTED_VALUE"""),"ahchenlovelycat@gmail.com")</f>
        <v>ahchenlovelycat@gmail.com</v>
      </c>
      <c r="E206" s="117">
        <f>IFERROR(__xludf.DUMMYFUNCTION("""COMPUTED_VALUE"""),46122.592001990735)</f>
        <v>46122.592</v>
      </c>
      <c r="F206" s="4"/>
      <c r="G206" s="4"/>
      <c r="H206" s="4"/>
      <c r="I206" s="4"/>
      <c r="J206" s="4"/>
      <c r="K206" s="4"/>
      <c r="L206" s="4"/>
      <c r="M206" s="4"/>
      <c r="N206" s="4"/>
      <c r="O206" s="4"/>
      <c r="P206" s="4"/>
      <c r="Q206" s="4"/>
      <c r="R206" s="4"/>
      <c r="S206" s="4"/>
      <c r="T206" s="4"/>
      <c r="U206" s="4"/>
      <c r="V206" s="4"/>
      <c r="W206" s="4"/>
      <c r="X206" s="4"/>
      <c r="Y206" s="4"/>
    </row>
    <row r="207" ht="14.25" customHeight="1">
      <c r="A207" s="4" t="str">
        <f>IFERROR(__xludf.DUMMYFUNCTION("""COMPUTED_VALUE"""),"Noelle Wong Jing Yan")</f>
        <v>Noelle Wong Jing Yan</v>
      </c>
      <c r="B207" s="116">
        <f>IFERROR(__xludf.DUMMYFUNCTION("""COMPUTED_VALUE"""),46125.0)</f>
        <v>46125</v>
      </c>
      <c r="C207" s="4"/>
      <c r="D207" s="4" t="str">
        <f>IFERROR(__xludf.DUMMYFUNCTION("""COMPUTED_VALUE"""),"elizabeth_ncf@yahoo.com")</f>
        <v>elizabeth_ncf@yahoo.com</v>
      </c>
      <c r="E207" s="117">
        <f>IFERROR(__xludf.DUMMYFUNCTION("""COMPUTED_VALUE"""),46123.63721240741)</f>
        <v>46123.63721</v>
      </c>
      <c r="F207" s="4"/>
      <c r="G207" s="4"/>
      <c r="H207" s="4"/>
      <c r="I207" s="4"/>
      <c r="J207" s="4"/>
      <c r="K207" s="4"/>
      <c r="L207" s="4"/>
      <c r="M207" s="4"/>
      <c r="N207" s="4"/>
      <c r="O207" s="4"/>
      <c r="P207" s="4"/>
      <c r="Q207" s="4"/>
      <c r="R207" s="4"/>
      <c r="S207" s="4"/>
      <c r="T207" s="4"/>
      <c r="U207" s="4"/>
      <c r="V207" s="4"/>
      <c r="W207" s="4"/>
      <c r="X207" s="4"/>
      <c r="Y207" s="4"/>
    </row>
    <row r="208" ht="14.25" customHeight="1">
      <c r="A208" s="4" t="str">
        <f>IFERROR(__xludf.DUMMYFUNCTION("""COMPUTED_VALUE"""),"Josh")</f>
        <v>Josh</v>
      </c>
      <c r="B208" s="116">
        <f>IFERROR(__xludf.DUMMYFUNCTION("""COMPUTED_VALUE"""),46127.0)</f>
        <v>46127</v>
      </c>
      <c r="C208" s="4"/>
      <c r="D208" s="4" t="str">
        <f>IFERROR(__xludf.DUMMYFUNCTION("""COMPUTED_VALUE"""),"chloeping_2011@yahoo.com")</f>
        <v>chloeping_2011@yahoo.com</v>
      </c>
      <c r="E208" s="117">
        <f>IFERROR(__xludf.DUMMYFUNCTION("""COMPUTED_VALUE"""),46125.40355538194)</f>
        <v>46125.40356</v>
      </c>
      <c r="F208" s="4"/>
      <c r="G208" s="4"/>
      <c r="H208" s="4"/>
      <c r="I208" s="4"/>
      <c r="J208" s="4"/>
      <c r="K208" s="4"/>
      <c r="L208" s="4"/>
      <c r="M208" s="4"/>
      <c r="N208" s="4"/>
      <c r="O208" s="4"/>
      <c r="P208" s="4"/>
      <c r="Q208" s="4"/>
      <c r="R208" s="4"/>
      <c r="S208" s="4"/>
      <c r="T208" s="4"/>
      <c r="U208" s="4"/>
      <c r="V208" s="4"/>
      <c r="W208" s="4"/>
      <c r="X208" s="4"/>
      <c r="Y208" s="4"/>
    </row>
    <row r="209" ht="14.25" customHeight="1">
      <c r="A209" s="4" t="str">
        <f>IFERROR(__xludf.DUMMYFUNCTION("""COMPUTED_VALUE"""),"Alfred Koo")</f>
        <v>Alfred Koo</v>
      </c>
      <c r="B209" s="116">
        <f>IFERROR(__xludf.DUMMYFUNCTION("""COMPUTED_VALUE"""),46130.0)</f>
        <v>46130</v>
      </c>
      <c r="C209" s="4" t="str">
        <f>IFERROR(__xludf.DUMMYFUNCTION("""COMPUTED_VALUE"""),"10am - 11am")</f>
        <v>10am - 11am</v>
      </c>
      <c r="D209" s="4" t="str">
        <f>IFERROR(__xludf.DUMMYFUNCTION("""COMPUTED_VALUE"""),"angel_ping22@hotmail.com")</f>
        <v>angel_ping22@hotmail.com</v>
      </c>
      <c r="E209" s="117">
        <f>IFERROR(__xludf.DUMMYFUNCTION("""COMPUTED_VALUE"""),46112.741116875)</f>
        <v>46112.74112</v>
      </c>
      <c r="F209" s="4"/>
      <c r="G209" s="4"/>
      <c r="H209" s="4"/>
      <c r="I209" s="4"/>
      <c r="J209" s="4"/>
      <c r="K209" s="4"/>
      <c r="L209" s="4"/>
      <c r="M209" s="4"/>
      <c r="N209" s="4"/>
      <c r="O209" s="4"/>
      <c r="P209" s="4"/>
      <c r="Q209" s="4"/>
      <c r="R209" s="4"/>
      <c r="S209" s="4"/>
      <c r="T209" s="4"/>
      <c r="U209" s="4"/>
      <c r="V209" s="4"/>
      <c r="W209" s="4"/>
      <c r="X209" s="4"/>
      <c r="Y209" s="4"/>
    </row>
    <row r="210" ht="14.25" customHeight="1">
      <c r="A210" s="4" t="str">
        <f>IFERROR(__xludf.DUMMYFUNCTION("""COMPUTED_VALUE"""),"Cody Chan Shan Yu")</f>
        <v>Cody Chan Shan Yu</v>
      </c>
      <c r="B210" s="116">
        <f>IFERROR(__xludf.DUMMYFUNCTION("""COMPUTED_VALUE"""),46130.0)</f>
        <v>46130</v>
      </c>
      <c r="C210" s="4" t="str">
        <f>IFERROR(__xludf.DUMMYFUNCTION("""COMPUTED_VALUE"""),"10am - 11am")</f>
        <v>10am - 11am</v>
      </c>
      <c r="D210" s="4" t="str">
        <f>IFERROR(__xludf.DUMMYFUNCTION("""COMPUTED_VALUE"""),"tengping81@hotmail.com")</f>
        <v>tengping81@hotmail.com</v>
      </c>
      <c r="E210" s="117">
        <f>IFERROR(__xludf.DUMMYFUNCTION("""COMPUTED_VALUE"""),46129.605487442124)</f>
        <v>46129.60549</v>
      </c>
      <c r="F210" s="4"/>
      <c r="G210" s="4"/>
      <c r="H210" s="4"/>
      <c r="I210" s="4"/>
      <c r="J210" s="4"/>
      <c r="K210" s="4"/>
      <c r="L210" s="4"/>
      <c r="M210" s="4"/>
      <c r="N210" s="4"/>
      <c r="O210" s="4"/>
      <c r="P210" s="4"/>
      <c r="Q210" s="4"/>
      <c r="R210" s="4"/>
      <c r="S210" s="4"/>
      <c r="T210" s="4"/>
      <c r="U210" s="4"/>
      <c r="V210" s="4"/>
      <c r="W210" s="4"/>
      <c r="X210" s="4"/>
      <c r="Y210" s="4"/>
    </row>
    <row r="211" ht="14.25" customHeight="1">
      <c r="A211" s="4" t="str">
        <f>IFERROR(__xludf.DUMMYFUNCTION("""COMPUTED_VALUE"""),"Abraham Ting")</f>
        <v>Abraham Ting</v>
      </c>
      <c r="B211" s="116">
        <f>IFERROR(__xludf.DUMMYFUNCTION("""COMPUTED_VALUE"""),46130.0)</f>
        <v>46130</v>
      </c>
      <c r="C211" s="4" t="str">
        <f>IFERROR(__xludf.DUMMYFUNCTION("""COMPUTED_VALUE"""),"11am - 12pm")</f>
        <v>11am - 12pm</v>
      </c>
      <c r="D211" s="4" t="str">
        <f>IFERROR(__xludf.DUMMYFUNCTION("""COMPUTED_VALUE"""),"spout-doze.6y@icloud.com")</f>
        <v>spout-doze.6y@icloud.com</v>
      </c>
      <c r="E211" s="117">
        <f>IFERROR(__xludf.DUMMYFUNCTION("""COMPUTED_VALUE"""),46130.285921041665)</f>
        <v>46130.28592</v>
      </c>
      <c r="F211" s="4"/>
      <c r="G211" s="4"/>
      <c r="H211" s="4"/>
      <c r="I211" s="4"/>
      <c r="J211" s="4"/>
      <c r="K211" s="4"/>
      <c r="L211" s="4"/>
      <c r="M211" s="4"/>
      <c r="N211" s="4"/>
      <c r="O211" s="4"/>
      <c r="P211" s="4"/>
      <c r="Q211" s="4"/>
      <c r="R211" s="4"/>
      <c r="S211" s="4"/>
      <c r="T211" s="4"/>
      <c r="U211" s="4"/>
      <c r="V211" s="4"/>
      <c r="W211" s="4"/>
      <c r="X211" s="4"/>
      <c r="Y211" s="4"/>
    </row>
    <row r="212" ht="14.25" customHeight="1">
      <c r="A212" s="4" t="str">
        <f>IFERROR(__xludf.DUMMYFUNCTION("""COMPUTED_VALUE"""),"Elina Kong Zhe En")</f>
        <v>Elina Kong Zhe En</v>
      </c>
      <c r="B212" s="116">
        <f>IFERROR(__xludf.DUMMYFUNCTION("""COMPUTED_VALUE"""),46130.0)</f>
        <v>46130</v>
      </c>
      <c r="C212" s="4" t="str">
        <f>IFERROR(__xludf.DUMMYFUNCTION("""COMPUTED_VALUE"""),"2pm - 3pm")</f>
        <v>2pm - 3pm</v>
      </c>
      <c r="D212" s="4" t="str">
        <f>IFERROR(__xludf.DUMMYFUNCTION("""COMPUTED_VALUE"""),"pink1983@gmail.com")</f>
        <v>pink1983@gmail.com</v>
      </c>
      <c r="E212" s="117">
        <f>IFERROR(__xludf.DUMMYFUNCTION("""COMPUTED_VALUE"""),46126.41742516204)</f>
        <v>46126.41743</v>
      </c>
      <c r="F212" s="4"/>
      <c r="G212" s="4"/>
      <c r="H212" s="4"/>
      <c r="I212" s="4"/>
      <c r="J212" s="4"/>
      <c r="K212" s="4"/>
      <c r="L212" s="4"/>
      <c r="M212" s="4"/>
      <c r="N212" s="4"/>
      <c r="O212" s="4"/>
      <c r="P212" s="4"/>
      <c r="Q212" s="4"/>
      <c r="R212" s="4"/>
      <c r="S212" s="4"/>
      <c r="T212" s="4"/>
      <c r="U212" s="4"/>
      <c r="V212" s="4"/>
      <c r="W212" s="4"/>
      <c r="X212" s="4"/>
      <c r="Y212" s="4"/>
    </row>
    <row r="213" ht="14.25" customHeight="1">
      <c r="A213" s="4" t="str">
        <f>IFERROR(__xludf.DUMMYFUNCTION("""COMPUTED_VALUE"""),"Jarvis Ningkan")</f>
        <v>Jarvis Ningkan</v>
      </c>
      <c r="B213" s="116">
        <f>IFERROR(__xludf.DUMMYFUNCTION("""COMPUTED_VALUE"""),46130.0)</f>
        <v>46130</v>
      </c>
      <c r="C213" s="4" t="str">
        <f>IFERROR(__xludf.DUMMYFUNCTION("""COMPUTED_VALUE"""),"2pm - 3pm")</f>
        <v>2pm - 3pm</v>
      </c>
      <c r="D213" s="4" t="str">
        <f>IFERROR(__xludf.DUMMYFUNCTION("""COMPUTED_VALUE"""),"EugenieWilfred@gmail.com")</f>
        <v>EugenieWilfred@gmail.com</v>
      </c>
      <c r="E213" s="117">
        <f>IFERROR(__xludf.DUMMYFUNCTION("""COMPUTED_VALUE"""),46127.61509180556)</f>
        <v>46127.61509</v>
      </c>
      <c r="F213" s="4"/>
      <c r="G213" s="4"/>
      <c r="H213" s="4"/>
      <c r="I213" s="4"/>
      <c r="J213" s="4"/>
      <c r="K213" s="4"/>
      <c r="L213" s="4"/>
      <c r="M213" s="4"/>
      <c r="N213" s="4"/>
      <c r="O213" s="4"/>
      <c r="P213" s="4"/>
      <c r="Q213" s="4"/>
      <c r="R213" s="4"/>
      <c r="S213" s="4"/>
      <c r="T213" s="4"/>
      <c r="U213" s="4"/>
      <c r="V213" s="4"/>
      <c r="W213" s="4"/>
      <c r="X213" s="4"/>
      <c r="Y213" s="4"/>
    </row>
    <row r="214" ht="14.25" customHeight="1">
      <c r="A214" s="4" t="str">
        <f>IFERROR(__xludf.DUMMYFUNCTION("""COMPUTED_VALUE"""),"Aryssa sofea")</f>
        <v>Aryssa sofea</v>
      </c>
      <c r="B214" s="116">
        <f>IFERROR(__xludf.DUMMYFUNCTION("""COMPUTED_VALUE"""),46130.0)</f>
        <v>46130</v>
      </c>
      <c r="C214" s="4" t="str">
        <f>IFERROR(__xludf.DUMMYFUNCTION("""COMPUTED_VALUE"""),"3pm - 4pm")</f>
        <v>3pm - 4pm</v>
      </c>
      <c r="D214" s="4" t="str">
        <f>IFERROR(__xludf.DUMMYFUNCTION("""COMPUTED_VALUE"""),"ahaz1010@gmail.com")</f>
        <v>ahaz1010@gmail.com</v>
      </c>
      <c r="E214" s="117">
        <f>IFERROR(__xludf.DUMMYFUNCTION("""COMPUTED_VALUE"""),46109.38927248842)</f>
        <v>46109.38927</v>
      </c>
      <c r="F214" s="4"/>
      <c r="G214" s="4"/>
      <c r="H214" s="4"/>
      <c r="I214" s="4"/>
      <c r="J214" s="4"/>
      <c r="K214" s="4"/>
      <c r="L214" s="4"/>
      <c r="M214" s="4"/>
      <c r="N214" s="4"/>
      <c r="O214" s="4"/>
      <c r="P214" s="4"/>
      <c r="Q214" s="4"/>
      <c r="R214" s="4"/>
      <c r="S214" s="4"/>
      <c r="T214" s="4"/>
      <c r="U214" s="4"/>
      <c r="V214" s="4"/>
      <c r="W214" s="4"/>
      <c r="X214" s="4"/>
      <c r="Y214" s="4"/>
    </row>
    <row r="215" ht="14.25" customHeight="1">
      <c r="A215" s="4" t="str">
        <f>IFERROR(__xludf.DUMMYFUNCTION("""COMPUTED_VALUE"""),"Ammar yusof")</f>
        <v>Ammar yusof</v>
      </c>
      <c r="B215" s="116">
        <f>IFERROR(__xludf.DUMMYFUNCTION("""COMPUTED_VALUE"""),46130.0)</f>
        <v>46130</v>
      </c>
      <c r="C215" s="4" t="str">
        <f>IFERROR(__xludf.DUMMYFUNCTION("""COMPUTED_VALUE"""),"3pm - 4pm")</f>
        <v>3pm - 4pm</v>
      </c>
      <c r="D215" s="4" t="str">
        <f>IFERROR(__xludf.DUMMYFUNCTION("""COMPUTED_VALUE"""),"ahaz1010@gmail.com")</f>
        <v>ahaz1010@gmail.com</v>
      </c>
      <c r="E215" s="117">
        <f>IFERROR(__xludf.DUMMYFUNCTION("""COMPUTED_VALUE"""),46109.38930789352)</f>
        <v>46109.38931</v>
      </c>
      <c r="F215" s="4"/>
      <c r="G215" s="4"/>
      <c r="H215" s="4"/>
      <c r="I215" s="4"/>
      <c r="J215" s="4"/>
      <c r="K215" s="4"/>
      <c r="L215" s="4"/>
      <c r="M215" s="4"/>
      <c r="N215" s="4"/>
      <c r="O215" s="4"/>
      <c r="P215" s="4"/>
      <c r="Q215" s="4"/>
      <c r="R215" s="4"/>
      <c r="S215" s="4"/>
      <c r="T215" s="4"/>
      <c r="U215" s="4"/>
      <c r="V215" s="4"/>
      <c r="W215" s="4"/>
      <c r="X215" s="4"/>
      <c r="Y215" s="4"/>
    </row>
    <row r="216" ht="14.25" customHeight="1">
      <c r="A216" s="4" t="str">
        <f>IFERROR(__xludf.DUMMYFUNCTION("""COMPUTED_VALUE"""),"Auf zayyan")</f>
        <v>Auf zayyan</v>
      </c>
      <c r="B216" s="116">
        <f>IFERROR(__xludf.DUMMYFUNCTION("""COMPUTED_VALUE"""),46130.0)</f>
        <v>46130</v>
      </c>
      <c r="C216" s="4" t="str">
        <f>IFERROR(__xludf.DUMMYFUNCTION("""COMPUTED_VALUE"""),"3pm - 4pm")</f>
        <v>3pm - 4pm</v>
      </c>
      <c r="D216" s="4" t="str">
        <f>IFERROR(__xludf.DUMMYFUNCTION("""COMPUTED_VALUE"""),"ahaz1010@gmail.com")</f>
        <v>ahaz1010@gmail.com</v>
      </c>
      <c r="E216" s="117">
        <f>IFERROR(__xludf.DUMMYFUNCTION("""COMPUTED_VALUE"""),46109.389349398145)</f>
        <v>46109.38935</v>
      </c>
      <c r="F216" s="4"/>
      <c r="G216" s="4"/>
      <c r="H216" s="4"/>
      <c r="I216" s="4"/>
      <c r="J216" s="4"/>
      <c r="K216" s="4"/>
      <c r="L216" s="4"/>
      <c r="M216" s="4"/>
      <c r="N216" s="4"/>
      <c r="O216" s="4"/>
      <c r="P216" s="4"/>
      <c r="Q216" s="4"/>
      <c r="R216" s="4"/>
      <c r="S216" s="4"/>
      <c r="T216" s="4"/>
      <c r="U216" s="4"/>
      <c r="V216" s="4"/>
      <c r="W216" s="4"/>
      <c r="X216" s="4"/>
      <c r="Y216" s="4"/>
    </row>
    <row r="217" ht="14.25" customHeight="1">
      <c r="A217" s="4" t="str">
        <f>IFERROR(__xludf.DUMMYFUNCTION("""COMPUTED_VALUE"""),"Kingsley Kiing Kiu Yik")</f>
        <v>Kingsley Kiing Kiu Yik</v>
      </c>
      <c r="B217" s="116">
        <f>IFERROR(__xludf.DUMMYFUNCTION("""COMPUTED_VALUE"""),46130.0)</f>
        <v>46130</v>
      </c>
      <c r="C217" s="4" t="str">
        <f>IFERROR(__xludf.DUMMYFUNCTION("""COMPUTED_VALUE"""),"3pm - 4pm")</f>
        <v>3pm - 4pm</v>
      </c>
      <c r="D217" s="4" t="str">
        <f>IFERROR(__xludf.DUMMYFUNCTION("""COMPUTED_VALUE"""),"ctkiing0067@gmail.com")</f>
        <v>ctkiing0067@gmail.com</v>
      </c>
      <c r="E217" s="117">
        <f>IFERROR(__xludf.DUMMYFUNCTION("""COMPUTED_VALUE"""),46116.482314050925)</f>
        <v>46116.48231</v>
      </c>
      <c r="F217" s="4"/>
      <c r="G217" s="4"/>
      <c r="H217" s="4"/>
      <c r="I217" s="4"/>
      <c r="J217" s="4"/>
      <c r="K217" s="4"/>
      <c r="L217" s="4"/>
      <c r="M217" s="4"/>
      <c r="N217" s="4"/>
      <c r="O217" s="4"/>
      <c r="P217" s="4"/>
      <c r="Q217" s="4"/>
      <c r="R217" s="4"/>
      <c r="S217" s="4"/>
      <c r="T217" s="4"/>
      <c r="U217" s="4"/>
      <c r="V217" s="4"/>
      <c r="W217" s="4"/>
      <c r="X217" s="4"/>
      <c r="Y217" s="4"/>
    </row>
    <row r="218" ht="14.25" customHeight="1">
      <c r="A218" s="4" t="str">
        <f>IFERROR(__xludf.DUMMYFUNCTION("""COMPUTED_VALUE"""),"Samuel Bryan Donny")</f>
        <v>Samuel Bryan Donny</v>
      </c>
      <c r="B218" s="116">
        <f>IFERROR(__xludf.DUMMYFUNCTION("""COMPUTED_VALUE"""),46130.0)</f>
        <v>46130</v>
      </c>
      <c r="C218" s="4" t="str">
        <f>IFERROR(__xludf.DUMMYFUNCTION("""COMPUTED_VALUE"""),"9am - 10am")</f>
        <v>9am - 10am</v>
      </c>
      <c r="D218" s="4" t="str">
        <f>IFERROR(__xludf.DUMMYFUNCTION("""COMPUTED_VALUE"""),"donnysekai@gmail.com")</f>
        <v>donnysekai@gmail.com</v>
      </c>
      <c r="E218" s="117">
        <f>IFERROR(__xludf.DUMMYFUNCTION("""COMPUTED_VALUE"""),46129.82627621527)</f>
        <v>46129.82628</v>
      </c>
      <c r="F218" s="4"/>
      <c r="G218" s="4"/>
      <c r="H218" s="4"/>
      <c r="I218" s="4"/>
      <c r="J218" s="4"/>
      <c r="K218" s="4"/>
      <c r="L218" s="4"/>
      <c r="M218" s="4"/>
      <c r="N218" s="4"/>
      <c r="O218" s="4"/>
      <c r="P218" s="4"/>
      <c r="Q218" s="4"/>
      <c r="R218" s="4"/>
      <c r="S218" s="4"/>
      <c r="T218" s="4"/>
      <c r="U218" s="4"/>
      <c r="V218" s="4"/>
      <c r="W218" s="4"/>
      <c r="X218" s="4"/>
      <c r="Y218" s="4"/>
    </row>
    <row r="219" ht="14.25" customHeight="1">
      <c r="A219" s="4" t="str">
        <f>IFERROR(__xludf.DUMMYFUNCTION("""COMPUTED_VALUE"""),"ETHAN KOH CHYA BING")</f>
        <v>ETHAN KOH CHYA BING</v>
      </c>
      <c r="B219" s="116">
        <f>IFERROR(__xludf.DUMMYFUNCTION("""COMPUTED_VALUE"""),46137.0)</f>
        <v>46137</v>
      </c>
      <c r="C219" s="4" t="str">
        <f>IFERROR(__xludf.DUMMYFUNCTION("""COMPUTED_VALUE"""),"3pm - 4pm")</f>
        <v>3pm - 4pm</v>
      </c>
      <c r="D219" s="4" t="str">
        <f>IFERROR(__xludf.DUMMYFUNCTION("""COMPUTED_VALUE"""),"kohkeehin19851211@yahoo.com.my")</f>
        <v>kohkeehin19851211@yahoo.com.my</v>
      </c>
      <c r="E219" s="117">
        <f>IFERROR(__xludf.DUMMYFUNCTION("""COMPUTED_VALUE"""),46102.663758124996)</f>
        <v>46102.66376</v>
      </c>
      <c r="F219" s="4"/>
      <c r="G219" s="4"/>
      <c r="H219" s="4"/>
      <c r="I219" s="4"/>
      <c r="J219" s="4"/>
      <c r="K219" s="4"/>
      <c r="L219" s="4"/>
      <c r="M219" s="4"/>
      <c r="N219" s="4"/>
      <c r="O219" s="4"/>
      <c r="P219" s="4"/>
      <c r="Q219" s="4"/>
      <c r="R219" s="4"/>
      <c r="S219" s="4"/>
      <c r="T219" s="4"/>
      <c r="U219" s="4"/>
      <c r="V219" s="4"/>
      <c r="W219" s="4"/>
      <c r="X219" s="4"/>
      <c r="Y219" s="4"/>
    </row>
    <row r="220" ht="14.25" customHeight="1">
      <c r="A220" s="4" t="str">
        <f>IFERROR(__xludf.DUMMYFUNCTION("""COMPUTED_VALUE"""),"Aryssa")</f>
        <v>Aryssa</v>
      </c>
      <c r="B220" s="116">
        <f>IFERROR(__xludf.DUMMYFUNCTION("""COMPUTED_VALUE"""),46137.0)</f>
        <v>46137</v>
      </c>
      <c r="C220" s="4" t="str">
        <f>IFERROR(__xludf.DUMMYFUNCTION("""COMPUTED_VALUE"""),"3pm - 4pm")</f>
        <v>3pm - 4pm</v>
      </c>
      <c r="D220" s="4" t="str">
        <f>IFERROR(__xludf.DUMMYFUNCTION("""COMPUTED_VALUE"""),"ahaz1010@gmail.com")</f>
        <v>ahaz1010@gmail.com</v>
      </c>
      <c r="E220" s="117">
        <f>IFERROR(__xludf.DUMMYFUNCTION("""COMPUTED_VALUE"""),46116.478443831016)</f>
        <v>46116.47844</v>
      </c>
      <c r="F220" s="4"/>
      <c r="G220" s="4"/>
      <c r="H220" s="4"/>
      <c r="I220" s="4"/>
      <c r="J220" s="4"/>
      <c r="K220" s="4"/>
      <c r="L220" s="4"/>
      <c r="M220" s="4"/>
      <c r="N220" s="4"/>
      <c r="O220" s="4"/>
      <c r="P220" s="4"/>
      <c r="Q220" s="4"/>
      <c r="R220" s="4"/>
      <c r="S220" s="4"/>
      <c r="T220" s="4"/>
      <c r="U220" s="4"/>
      <c r="V220" s="4"/>
      <c r="W220" s="4"/>
      <c r="X220" s="4"/>
      <c r="Y220" s="4"/>
    </row>
    <row r="221" ht="14.25" customHeight="1">
      <c r="A221" s="4" t="str">
        <f>IFERROR(__xludf.DUMMYFUNCTION("""COMPUTED_VALUE"""),"Ammar yusof")</f>
        <v>Ammar yusof</v>
      </c>
      <c r="B221" s="116">
        <f>IFERROR(__xludf.DUMMYFUNCTION("""COMPUTED_VALUE"""),46137.0)</f>
        <v>46137</v>
      </c>
      <c r="C221" s="4" t="str">
        <f>IFERROR(__xludf.DUMMYFUNCTION("""COMPUTED_VALUE"""),"3pm - 4pm")</f>
        <v>3pm - 4pm</v>
      </c>
      <c r="D221" s="4" t="str">
        <f>IFERROR(__xludf.DUMMYFUNCTION("""COMPUTED_VALUE"""),"ahaz1010@gmail.com")</f>
        <v>ahaz1010@gmail.com</v>
      </c>
      <c r="E221" s="117">
        <f>IFERROR(__xludf.DUMMYFUNCTION("""COMPUTED_VALUE"""),46116.47850657407)</f>
        <v>46116.47851</v>
      </c>
      <c r="F221" s="4"/>
      <c r="G221" s="4"/>
      <c r="H221" s="4"/>
      <c r="I221" s="4"/>
      <c r="J221" s="4"/>
      <c r="K221" s="4"/>
      <c r="L221" s="4"/>
      <c r="M221" s="4"/>
      <c r="N221" s="4"/>
      <c r="O221" s="4"/>
      <c r="P221" s="4"/>
      <c r="Q221" s="4"/>
      <c r="R221" s="4"/>
      <c r="S221" s="4"/>
      <c r="T221" s="4"/>
      <c r="U221" s="4"/>
      <c r="V221" s="4"/>
      <c r="W221" s="4"/>
      <c r="X221" s="4"/>
      <c r="Y221" s="4"/>
    </row>
    <row r="222" ht="14.25" customHeight="1">
      <c r="A222" s="4" t="str">
        <f>IFERROR(__xludf.DUMMYFUNCTION("""COMPUTED_VALUE"""),"Auf zayyan")</f>
        <v>Auf zayyan</v>
      </c>
      <c r="B222" s="116">
        <f>IFERROR(__xludf.DUMMYFUNCTION("""COMPUTED_VALUE"""),46137.0)</f>
        <v>46137</v>
      </c>
      <c r="C222" s="4" t="str">
        <f>IFERROR(__xludf.DUMMYFUNCTION("""COMPUTED_VALUE"""),"3pm - 4pm")</f>
        <v>3pm - 4pm</v>
      </c>
      <c r="D222" s="4" t="str">
        <f>IFERROR(__xludf.DUMMYFUNCTION("""COMPUTED_VALUE"""),"ahaz1010@gmail.com")</f>
        <v>ahaz1010@gmail.com</v>
      </c>
      <c r="E222" s="117">
        <f>IFERROR(__xludf.DUMMYFUNCTION("""COMPUTED_VALUE"""),46116.478549861116)</f>
        <v>46116.47855</v>
      </c>
      <c r="F222" s="4"/>
      <c r="G222" s="4"/>
      <c r="H222" s="4"/>
      <c r="I222" s="4"/>
      <c r="J222" s="4"/>
      <c r="K222" s="4"/>
      <c r="L222" s="4"/>
      <c r="M222" s="4"/>
      <c r="N222" s="4"/>
      <c r="O222" s="4"/>
      <c r="P222" s="4"/>
      <c r="Q222" s="4"/>
      <c r="R222" s="4"/>
      <c r="S222" s="4"/>
      <c r="T222" s="4"/>
      <c r="U222" s="4"/>
      <c r="V222" s="4"/>
      <c r="W222" s="4"/>
      <c r="X222" s="4"/>
      <c r="Y222" s="4"/>
    </row>
    <row r="223" ht="14.25" customHeight="1">
      <c r="A223" s="4" t="str">
        <f>IFERROR(__xludf.DUMMYFUNCTION("""COMPUTED_VALUE"""),"Dylan Ling")</f>
        <v>Dylan Ling</v>
      </c>
      <c r="B223" s="116">
        <f>IFERROR(__xludf.DUMMYFUNCTION("""COMPUTED_VALUE"""),46158.0)</f>
        <v>46158</v>
      </c>
      <c r="C223" s="4" t="str">
        <f>IFERROR(__xludf.DUMMYFUNCTION("""COMPUTED_VALUE"""),"9am - 10am")</f>
        <v>9am - 10am</v>
      </c>
      <c r="D223" s="4" t="str">
        <f>IFERROR(__xludf.DUMMYFUNCTION("""COMPUTED_VALUE"""),"weiswei84@gmail.con")</f>
        <v>weiswei84@gmail.con</v>
      </c>
      <c r="E223" s="117">
        <f>IFERROR(__xludf.DUMMYFUNCTION("""COMPUTED_VALUE"""),46127.39137278935)</f>
        <v>46127.39137</v>
      </c>
      <c r="F223" s="4"/>
      <c r="G223" s="4"/>
      <c r="H223" s="4"/>
      <c r="I223" s="4"/>
      <c r="J223" s="4"/>
      <c r="K223" s="4"/>
      <c r="L223" s="4"/>
      <c r="M223" s="4"/>
      <c r="N223" s="4"/>
      <c r="O223" s="4"/>
      <c r="P223" s="4"/>
      <c r="Q223" s="4"/>
      <c r="R223" s="4"/>
      <c r="S223" s="4"/>
      <c r="T223" s="4"/>
      <c r="U223" s="4"/>
      <c r="V223" s="4"/>
      <c r="W223" s="4"/>
      <c r="X223" s="4"/>
      <c r="Y223" s="4"/>
    </row>
    <row r="224" ht="14.25" customHeight="1">
      <c r="A224" s="4" t="str">
        <f>IFERROR(__xludf.DUMMYFUNCTION("""COMPUTED_VALUE"""),"Gabby Ling")</f>
        <v>Gabby Ling</v>
      </c>
      <c r="B224" s="116">
        <f>IFERROR(__xludf.DUMMYFUNCTION("""COMPUTED_VALUE"""),46158.0)</f>
        <v>46158</v>
      </c>
      <c r="C224" s="4" t="str">
        <f>IFERROR(__xludf.DUMMYFUNCTION("""COMPUTED_VALUE"""),"9am - 10am")</f>
        <v>9am - 10am</v>
      </c>
      <c r="D224" s="4" t="str">
        <f>IFERROR(__xludf.DUMMYFUNCTION("""COMPUTED_VALUE"""),"weiswei84@gmail.con")</f>
        <v>weiswei84@gmail.con</v>
      </c>
      <c r="E224" s="117">
        <f>IFERROR(__xludf.DUMMYFUNCTION("""COMPUTED_VALUE"""),46127.39142413194)</f>
        <v>46127.39142</v>
      </c>
      <c r="F224" s="4"/>
      <c r="G224" s="4"/>
      <c r="H224" s="4"/>
      <c r="I224" s="4"/>
      <c r="J224" s="4"/>
      <c r="K224" s="4"/>
      <c r="L224" s="4"/>
      <c r="M224" s="4"/>
      <c r="N224" s="4"/>
      <c r="O224" s="4"/>
      <c r="P224" s="4"/>
      <c r="Q224" s="4"/>
      <c r="R224" s="4"/>
      <c r="S224" s="4"/>
      <c r="T224" s="4"/>
      <c r="U224" s="4"/>
      <c r="V224" s="4"/>
      <c r="W224" s="4"/>
      <c r="X224" s="4"/>
      <c r="Y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4.25" customHeight="1">
      <c r="C626" s="4"/>
    </row>
    <row r="627" ht="14.25" customHeight="1">
      <c r="C627" s="4"/>
    </row>
    <row r="628" ht="14.25" customHeight="1">
      <c r="C628" s="4"/>
    </row>
    <row r="629" ht="14.25" customHeight="1">
      <c r="C629" s="4"/>
    </row>
    <row r="630" ht="14.25" customHeight="1">
      <c r="C630" s="4"/>
    </row>
    <row r="631" ht="14.25" customHeight="1">
      <c r="C631" s="4"/>
    </row>
    <row r="632" ht="14.25" customHeight="1">
      <c r="C632" s="4"/>
    </row>
    <row r="633" ht="14.25" customHeight="1">
      <c r="C633" s="4"/>
    </row>
    <row r="634" ht="14.25" customHeight="1">
      <c r="C634" s="4"/>
    </row>
    <row r="635" ht="14.25" customHeight="1">
      <c r="C635" s="4"/>
    </row>
    <row r="636" ht="14.25" customHeight="1">
      <c r="C636" s="4"/>
    </row>
    <row r="637" ht="14.25" customHeight="1">
      <c r="C637" s="4"/>
    </row>
    <row r="638" ht="14.25" customHeight="1">
      <c r="C638" s="4"/>
    </row>
    <row r="639" ht="14.25" customHeight="1">
      <c r="C639" s="4"/>
    </row>
    <row r="640" ht="14.25" customHeight="1">
      <c r="C640" s="4"/>
    </row>
    <row r="641" ht="14.25" customHeight="1">
      <c r="C641" s="4"/>
    </row>
    <row r="642" ht="14.25" customHeight="1">
      <c r="C642" s="4"/>
    </row>
    <row r="643" ht="14.25" customHeight="1">
      <c r="C643" s="4"/>
    </row>
    <row r="644" ht="14.25" customHeight="1">
      <c r="C644" s="4"/>
    </row>
    <row r="645" ht="14.25" customHeight="1">
      <c r="C645" s="4"/>
    </row>
    <row r="646" ht="14.25" customHeight="1">
      <c r="C646" s="4"/>
    </row>
    <row r="647" ht="14.25" customHeight="1">
      <c r="C647" s="4"/>
    </row>
    <row r="648" ht="14.25" customHeight="1">
      <c r="C648" s="4"/>
    </row>
    <row r="649" ht="14.25" customHeight="1">
      <c r="C649" s="4"/>
    </row>
    <row r="650" ht="14.25" customHeight="1">
      <c r="C650" s="4"/>
    </row>
    <row r="651" ht="14.25" customHeight="1">
      <c r="C651" s="4"/>
    </row>
    <row r="652" ht="14.25" customHeight="1">
      <c r="C652" s="4"/>
    </row>
    <row r="653" ht="14.25" customHeight="1">
      <c r="C653" s="4"/>
    </row>
    <row r="654" ht="14.25" customHeight="1">
      <c r="C654" s="4"/>
    </row>
    <row r="655" ht="14.25" customHeight="1">
      <c r="C655" s="4"/>
    </row>
    <row r="656" ht="14.25" customHeight="1">
      <c r="C656" s="4"/>
    </row>
    <row r="657" ht="14.25" customHeight="1">
      <c r="C657" s="4"/>
    </row>
    <row r="658" ht="14.25" customHeight="1">
      <c r="C658" s="4"/>
    </row>
    <row r="659" ht="14.25" customHeight="1">
      <c r="C659" s="4"/>
    </row>
    <row r="660" ht="14.25" customHeight="1">
      <c r="C660" s="4"/>
    </row>
    <row r="661" ht="14.25" customHeight="1">
      <c r="C661" s="4"/>
    </row>
    <row r="662" ht="14.25" customHeight="1">
      <c r="C662" s="4"/>
    </row>
    <row r="663" ht="14.25" customHeight="1">
      <c r="C663" s="4"/>
    </row>
    <row r="664" ht="14.25" customHeight="1">
      <c r="C664" s="4"/>
    </row>
    <row r="665" ht="14.25" customHeight="1">
      <c r="C665" s="4"/>
    </row>
    <row r="666" ht="14.25" customHeight="1">
      <c r="C666" s="4"/>
    </row>
    <row r="667" ht="14.25" customHeight="1">
      <c r="C667" s="4"/>
    </row>
    <row r="668" ht="14.25" customHeight="1">
      <c r="C668" s="4"/>
    </row>
    <row r="669" ht="14.25" customHeight="1">
      <c r="C669" s="4"/>
    </row>
    <row r="670" ht="14.25" customHeight="1">
      <c r="C670" s="4"/>
    </row>
    <row r="671" ht="14.25" customHeight="1">
      <c r="C671" s="4"/>
    </row>
    <row r="672" ht="14.25" customHeight="1">
      <c r="C672" s="4"/>
    </row>
    <row r="673" ht="14.25" customHeight="1">
      <c r="C673" s="4"/>
    </row>
    <row r="674" ht="14.25" customHeight="1">
      <c r="C674" s="4"/>
    </row>
    <row r="675" ht="14.25" customHeight="1">
      <c r="C675" s="4"/>
    </row>
    <row r="676" ht="14.25" customHeight="1">
      <c r="C676" s="4"/>
    </row>
    <row r="677" ht="14.25" customHeight="1">
      <c r="C677" s="4"/>
    </row>
    <row r="678" ht="14.25" customHeight="1">
      <c r="C678" s="4"/>
    </row>
    <row r="679" ht="14.25" customHeight="1">
      <c r="C679" s="4"/>
    </row>
    <row r="680" ht="14.25" customHeight="1">
      <c r="C680" s="4"/>
    </row>
    <row r="681" ht="14.25" customHeight="1">
      <c r="C681" s="4"/>
    </row>
    <row r="682" ht="14.25" customHeight="1">
      <c r="C682" s="4"/>
    </row>
    <row r="683" ht="14.25" customHeight="1">
      <c r="C683" s="4"/>
    </row>
    <row r="684" ht="14.25" customHeight="1">
      <c r="C684" s="4"/>
    </row>
    <row r="685" ht="14.25" customHeight="1">
      <c r="C685" s="4"/>
    </row>
    <row r="686" ht="14.25" customHeight="1">
      <c r="C686" s="4"/>
    </row>
    <row r="687" ht="14.25" customHeight="1">
      <c r="C687" s="4"/>
    </row>
    <row r="688" ht="14.25" customHeight="1">
      <c r="C688" s="4"/>
    </row>
    <row r="689" ht="14.25" customHeight="1">
      <c r="C689" s="4"/>
    </row>
    <row r="690" ht="14.25" customHeight="1">
      <c r="C690" s="4"/>
    </row>
    <row r="691" ht="14.25" customHeight="1">
      <c r="C691" s="4"/>
    </row>
    <row r="692" ht="14.25" customHeight="1">
      <c r="C692" s="4"/>
    </row>
    <row r="693" ht="14.25" customHeight="1">
      <c r="C693" s="4"/>
    </row>
    <row r="694" ht="14.25" customHeight="1">
      <c r="C694" s="4"/>
    </row>
    <row r="695" ht="14.25" customHeight="1">
      <c r="C695" s="4"/>
    </row>
    <row r="696" ht="14.25" customHeight="1">
      <c r="C696" s="4"/>
    </row>
    <row r="697" ht="14.25" customHeight="1">
      <c r="C697" s="4"/>
    </row>
    <row r="698" ht="14.25" customHeight="1">
      <c r="C698" s="4"/>
    </row>
    <row r="699" ht="14.25" customHeight="1">
      <c r="C699" s="4"/>
    </row>
    <row r="700" ht="14.25" customHeight="1">
      <c r="C700" s="4"/>
    </row>
    <row r="701" ht="14.25" customHeight="1">
      <c r="C701" s="4"/>
    </row>
    <row r="702" ht="14.25" customHeight="1">
      <c r="C702" s="4"/>
    </row>
    <row r="703" ht="14.25" customHeight="1">
      <c r="C703" s="4"/>
    </row>
    <row r="704" ht="14.25" customHeight="1">
      <c r="C704" s="4"/>
    </row>
    <row r="705" ht="14.25" customHeight="1">
      <c r="C705" s="4"/>
    </row>
    <row r="706" ht="14.25" customHeight="1">
      <c r="C706" s="4"/>
    </row>
    <row r="707" ht="14.25" customHeight="1">
      <c r="C707" s="4"/>
    </row>
    <row r="708" ht="14.25" customHeight="1">
      <c r="C708" s="4"/>
    </row>
    <row r="709" ht="14.25" customHeight="1">
      <c r="C709" s="4"/>
    </row>
    <row r="710" ht="14.25" customHeight="1">
      <c r="C710" s="4"/>
    </row>
    <row r="711" ht="14.25" customHeight="1">
      <c r="C711" s="4"/>
    </row>
    <row r="712" ht="14.25" customHeight="1">
      <c r="C712" s="4"/>
    </row>
    <row r="713" ht="14.25" customHeight="1">
      <c r="C713" s="4"/>
    </row>
    <row r="714" ht="14.25" customHeight="1">
      <c r="C714" s="4"/>
    </row>
    <row r="715" ht="14.25" customHeight="1">
      <c r="C715" s="4"/>
    </row>
    <row r="716" ht="14.25" customHeight="1">
      <c r="C716" s="4"/>
    </row>
    <row r="717" ht="14.25" customHeight="1">
      <c r="C717" s="4"/>
    </row>
    <row r="718" ht="14.25" customHeight="1">
      <c r="C718" s="4"/>
    </row>
    <row r="719" ht="14.25" customHeight="1">
      <c r="C719" s="4"/>
    </row>
    <row r="720" ht="14.25" customHeight="1">
      <c r="C720" s="4"/>
    </row>
    <row r="721" ht="14.25" customHeight="1">
      <c r="C721" s="4"/>
    </row>
    <row r="722" ht="14.25" customHeight="1">
      <c r="C722" s="4"/>
    </row>
    <row r="723" ht="14.25" customHeight="1">
      <c r="C723" s="4"/>
    </row>
    <row r="724" ht="14.25" customHeight="1">
      <c r="C724" s="4"/>
    </row>
    <row r="725" ht="14.25" customHeight="1">
      <c r="C725" s="4"/>
    </row>
    <row r="726" ht="14.25" customHeight="1">
      <c r="C726" s="4"/>
    </row>
    <row r="727" ht="14.25" customHeight="1">
      <c r="C727" s="4"/>
    </row>
    <row r="728" ht="14.25" customHeight="1">
      <c r="C728" s="4"/>
    </row>
    <row r="729" ht="14.25" customHeight="1">
      <c r="C729" s="4"/>
    </row>
    <row r="730" ht="14.25" customHeight="1">
      <c r="C730" s="4"/>
    </row>
    <row r="731" ht="14.25" customHeight="1">
      <c r="C731" s="4"/>
    </row>
    <row r="732" ht="14.25" customHeight="1">
      <c r="C732" s="4"/>
    </row>
    <row r="733" ht="14.25" customHeight="1">
      <c r="C733" s="4"/>
    </row>
    <row r="734" ht="14.25" customHeight="1">
      <c r="C734" s="4"/>
    </row>
    <row r="735" ht="14.25" customHeight="1">
      <c r="C735" s="4"/>
    </row>
    <row r="736" ht="14.25" customHeight="1">
      <c r="C736" s="4"/>
    </row>
    <row r="737" ht="14.25" customHeight="1">
      <c r="C737" s="4"/>
    </row>
    <row r="738" ht="14.25" customHeight="1">
      <c r="C738" s="4"/>
    </row>
    <row r="739" ht="14.25" customHeight="1">
      <c r="C739" s="4"/>
    </row>
    <row r="740" ht="14.25" customHeight="1">
      <c r="C740" s="4"/>
    </row>
    <row r="741" ht="14.25" customHeight="1">
      <c r="C741" s="4"/>
    </row>
    <row r="742" ht="14.25" customHeight="1">
      <c r="C742" s="4"/>
    </row>
    <row r="743" ht="14.25" customHeight="1">
      <c r="C743" s="4"/>
    </row>
    <row r="744" ht="14.25" customHeight="1">
      <c r="C744" s="4"/>
    </row>
    <row r="745" ht="14.25" customHeight="1">
      <c r="C745" s="4"/>
    </row>
    <row r="746" ht="14.25" customHeight="1">
      <c r="C746" s="4"/>
    </row>
    <row r="747" ht="14.25" customHeight="1">
      <c r="C747" s="4"/>
    </row>
    <row r="748" ht="14.25" customHeight="1">
      <c r="C748" s="4"/>
    </row>
    <row r="749" ht="14.25" customHeight="1">
      <c r="C749" s="4"/>
    </row>
    <row r="750" ht="14.25" customHeight="1">
      <c r="C750" s="4"/>
    </row>
    <row r="751" ht="14.25" customHeight="1">
      <c r="C751" s="4"/>
    </row>
    <row r="752" ht="14.25" customHeight="1">
      <c r="C752" s="4"/>
    </row>
    <row r="753" ht="14.25" customHeight="1">
      <c r="C753" s="4"/>
    </row>
    <row r="754" ht="14.25" customHeight="1">
      <c r="C754" s="4"/>
    </row>
    <row r="755" ht="14.25" customHeight="1">
      <c r="C755" s="4"/>
    </row>
    <row r="756" ht="14.25" customHeight="1">
      <c r="C756" s="4"/>
    </row>
    <row r="757" ht="14.25" customHeight="1">
      <c r="C757" s="4"/>
    </row>
    <row r="758" ht="14.25" customHeight="1">
      <c r="C758" s="4"/>
    </row>
    <row r="759" ht="14.25" customHeight="1">
      <c r="C759" s="4"/>
    </row>
    <row r="760" ht="14.25" customHeight="1">
      <c r="C760" s="4"/>
    </row>
    <row r="761" ht="14.25" customHeight="1">
      <c r="C761" s="4"/>
    </row>
    <row r="762" ht="14.25" customHeight="1">
      <c r="C762" s="4"/>
    </row>
    <row r="763" ht="14.25" customHeight="1">
      <c r="C763" s="4"/>
    </row>
    <row r="764" ht="14.25" customHeight="1">
      <c r="C764" s="4"/>
    </row>
    <row r="765" ht="14.25" customHeight="1">
      <c r="C765" s="4"/>
    </row>
    <row r="766" ht="14.25" customHeight="1">
      <c r="C766" s="4"/>
    </row>
    <row r="767" ht="14.25" customHeight="1">
      <c r="C767" s="4"/>
    </row>
    <row r="768" ht="14.25" customHeight="1">
      <c r="C768" s="4"/>
    </row>
    <row r="769" ht="14.25" customHeight="1">
      <c r="C769" s="4"/>
    </row>
    <row r="770" ht="14.25" customHeight="1">
      <c r="C770" s="4"/>
    </row>
    <row r="771" ht="14.25" customHeight="1">
      <c r="C771" s="4"/>
    </row>
    <row r="772" ht="14.25" customHeight="1">
      <c r="C772" s="4"/>
    </row>
    <row r="773" ht="14.25" customHeight="1">
      <c r="C773" s="4"/>
    </row>
    <row r="774" ht="14.25" customHeight="1">
      <c r="C774" s="4"/>
    </row>
    <row r="775" ht="14.25" customHeight="1">
      <c r="C775" s="4"/>
    </row>
    <row r="776" ht="14.25" customHeight="1">
      <c r="C776" s="4"/>
    </row>
    <row r="777" ht="14.25" customHeight="1">
      <c r="C777" s="4"/>
    </row>
    <row r="778" ht="14.25" customHeight="1">
      <c r="C778" s="4"/>
    </row>
    <row r="779" ht="14.25" customHeight="1">
      <c r="C779" s="4"/>
    </row>
    <row r="780" ht="14.25" customHeight="1">
      <c r="C780" s="4"/>
    </row>
    <row r="781" ht="14.25" customHeight="1">
      <c r="C781" s="4"/>
    </row>
    <row r="782" ht="14.25" customHeight="1">
      <c r="C782" s="4"/>
    </row>
    <row r="783" ht="14.25" customHeight="1">
      <c r="C783" s="4"/>
    </row>
    <row r="784" ht="14.25" customHeight="1">
      <c r="C784" s="4"/>
    </row>
    <row r="785" ht="14.25" customHeight="1">
      <c r="C785" s="4"/>
    </row>
    <row r="786" ht="14.25" customHeight="1">
      <c r="C786" s="4"/>
    </row>
    <row r="787" ht="14.25" customHeight="1">
      <c r="C787" s="4"/>
    </row>
    <row r="788" ht="14.25" customHeight="1">
      <c r="C788" s="4"/>
    </row>
    <row r="789" ht="14.25" customHeight="1">
      <c r="C789" s="4"/>
    </row>
    <row r="790" ht="14.25" customHeight="1">
      <c r="C790" s="4"/>
    </row>
    <row r="791" ht="14.25" customHeight="1">
      <c r="C791" s="4"/>
    </row>
    <row r="792" ht="14.25" customHeight="1">
      <c r="C792" s="4"/>
    </row>
    <row r="793" ht="14.25" customHeight="1">
      <c r="C793" s="4"/>
    </row>
    <row r="794" ht="14.25" customHeight="1">
      <c r="C794" s="4"/>
    </row>
    <row r="795" ht="14.25" customHeight="1">
      <c r="C795" s="4"/>
    </row>
    <row r="796" ht="14.25" customHeight="1">
      <c r="C796" s="4"/>
    </row>
    <row r="797" ht="14.25" customHeight="1">
      <c r="C797" s="4"/>
    </row>
    <row r="798" ht="14.25" customHeight="1">
      <c r="C798" s="4"/>
    </row>
    <row r="799" ht="14.25" customHeight="1">
      <c r="C799" s="4"/>
    </row>
    <row r="800" ht="14.25" customHeight="1">
      <c r="C800" s="4"/>
    </row>
    <row r="801" ht="14.25" customHeight="1">
      <c r="C801" s="4"/>
    </row>
    <row r="802" ht="14.25" customHeight="1">
      <c r="C802" s="4"/>
    </row>
    <row r="803" ht="14.25" customHeight="1">
      <c r="C803" s="4"/>
    </row>
    <row r="804" ht="14.25" customHeight="1">
      <c r="C804" s="4"/>
    </row>
    <row r="805" ht="14.25" customHeight="1">
      <c r="C805" s="4"/>
    </row>
    <row r="806" ht="14.25" customHeight="1">
      <c r="C806" s="4"/>
    </row>
    <row r="807" ht="14.25" customHeight="1">
      <c r="C807" s="4"/>
    </row>
    <row r="808" ht="14.25" customHeight="1">
      <c r="C808" s="4"/>
    </row>
    <row r="809" ht="14.25" customHeight="1">
      <c r="C809" s="4"/>
    </row>
    <row r="810" ht="14.25" customHeight="1">
      <c r="C810" s="4"/>
    </row>
    <row r="811" ht="14.25" customHeight="1">
      <c r="C811" s="4"/>
    </row>
    <row r="812" ht="14.25" customHeight="1">
      <c r="C812" s="4"/>
    </row>
    <row r="813" ht="14.25" customHeight="1">
      <c r="C813" s="4"/>
    </row>
    <row r="814" ht="14.25" customHeight="1">
      <c r="C814" s="4"/>
    </row>
    <row r="815" ht="14.25" customHeight="1">
      <c r="C815" s="4"/>
    </row>
    <row r="816" ht="14.25" customHeight="1">
      <c r="C816" s="4"/>
    </row>
    <row r="817" ht="14.25" customHeight="1">
      <c r="C817" s="4"/>
    </row>
  </sheetData>
  <dataValidations>
    <dataValidation type="list" allowBlank="1" showErrorMessage="1" sqref="C5:C817">
      <formula1>"9am - 10am,10am - 11am,11am - 12pm,2pm - 3pm,3pm - 4pm,4pm - 5pm"</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8.14"/>
    <col customWidth="1" min="2" max="2" width="31.14"/>
    <col customWidth="1" min="3" max="3" width="29.14"/>
    <col customWidth="1" min="4" max="9" width="31.14"/>
    <col customWidth="1" min="10" max="10" width="19.71"/>
    <col customWidth="1" min="11" max="11" width="14.57"/>
    <col customWidth="1" min="12" max="12" width="15.71"/>
    <col customWidth="1" min="15" max="15" width="20.14"/>
    <col customWidth="1" min="16" max="16" width="14.57"/>
    <col customWidth="1" min="17" max="17" width="25.0"/>
  </cols>
  <sheetData>
    <row r="1" ht="22.5" customHeight="1">
      <c r="A1" s="121" t="s">
        <v>620</v>
      </c>
      <c r="B1" s="121" t="s">
        <v>621</v>
      </c>
      <c r="C1" s="122" t="s">
        <v>67</v>
      </c>
      <c r="D1" s="121" t="s">
        <v>622</v>
      </c>
      <c r="E1" s="121" t="s">
        <v>623</v>
      </c>
      <c r="F1" s="123" t="s">
        <v>624</v>
      </c>
      <c r="G1" s="121" t="s">
        <v>57</v>
      </c>
      <c r="H1" s="121" t="s">
        <v>625</v>
      </c>
      <c r="I1" s="121" t="s">
        <v>55</v>
      </c>
      <c r="J1" s="121" t="s">
        <v>626</v>
      </c>
      <c r="K1" s="121" t="s">
        <v>627</v>
      </c>
      <c r="L1" s="124" t="s">
        <v>628</v>
      </c>
      <c r="M1" s="124" t="s">
        <v>629</v>
      </c>
      <c r="N1" s="124" t="s">
        <v>630</v>
      </c>
      <c r="O1" s="121" t="s">
        <v>631</v>
      </c>
      <c r="P1" s="121" t="s">
        <v>627</v>
      </c>
      <c r="Q1" s="121" t="s">
        <v>632</v>
      </c>
      <c r="R1" s="121" t="s">
        <v>633</v>
      </c>
      <c r="S1" s="121" t="s">
        <v>634</v>
      </c>
      <c r="T1" s="125" t="s">
        <v>635</v>
      </c>
      <c r="Y1" s="5"/>
    </row>
    <row r="2">
      <c r="A2" s="126">
        <v>1.0</v>
      </c>
      <c r="B2" s="126" t="s">
        <v>137</v>
      </c>
      <c r="C2" s="126" t="s">
        <v>136</v>
      </c>
      <c r="D2" s="127" t="s">
        <v>76</v>
      </c>
      <c r="E2" s="127" t="s">
        <v>557</v>
      </c>
      <c r="F2" s="128" t="s">
        <v>0</v>
      </c>
      <c r="G2" s="129" t="s">
        <v>126</v>
      </c>
      <c r="H2" s="130" t="s">
        <v>636</v>
      </c>
      <c r="I2" s="126" t="s">
        <v>133</v>
      </c>
      <c r="J2" s="126" t="b">
        <v>1</v>
      </c>
      <c r="K2" s="131">
        <v>45972.0</v>
      </c>
      <c r="L2" s="132" t="b">
        <v>1</v>
      </c>
      <c r="M2" s="132"/>
      <c r="N2" s="132" t="b">
        <v>1</v>
      </c>
      <c r="O2" s="126" t="b">
        <v>1</v>
      </c>
      <c r="P2" s="131">
        <v>45980.0</v>
      </c>
      <c r="Q2" s="126" t="b">
        <v>1</v>
      </c>
      <c r="R2" s="131"/>
      <c r="S2" s="126">
        <v>1.0</v>
      </c>
      <c r="Y2" s="133"/>
      <c r="AC2" s="133"/>
    </row>
    <row r="3">
      <c r="A3" s="126">
        <v>2.0</v>
      </c>
      <c r="B3" s="128" t="s">
        <v>552</v>
      </c>
      <c r="C3" s="126" t="s">
        <v>637</v>
      </c>
      <c r="D3" s="127" t="s">
        <v>76</v>
      </c>
      <c r="E3" s="127" t="s">
        <v>547</v>
      </c>
      <c r="F3" s="128" t="s">
        <v>0</v>
      </c>
      <c r="G3" s="4" t="s">
        <v>553</v>
      </c>
      <c r="H3" s="130" t="s">
        <v>638</v>
      </c>
      <c r="I3" s="126" t="s">
        <v>133</v>
      </c>
      <c r="J3" s="126" t="b">
        <v>1</v>
      </c>
      <c r="K3" s="131">
        <v>45972.0</v>
      </c>
      <c r="L3" s="132" t="b">
        <v>1</v>
      </c>
      <c r="M3" s="132"/>
      <c r="N3" s="132" t="b">
        <v>1</v>
      </c>
      <c r="O3" s="126" t="b">
        <v>1</v>
      </c>
      <c r="P3" s="131">
        <v>45980.0</v>
      </c>
      <c r="Q3" s="126" t="b">
        <v>1</v>
      </c>
      <c r="R3" s="131"/>
      <c r="S3" s="126">
        <v>1.0</v>
      </c>
      <c r="Y3" s="133"/>
      <c r="AC3" s="133"/>
    </row>
    <row r="4">
      <c r="A4" s="134">
        <v>3.0</v>
      </c>
      <c r="B4" s="134" t="s">
        <v>135</v>
      </c>
      <c r="C4" s="134" t="s">
        <v>136</v>
      </c>
      <c r="D4" s="135" t="s">
        <v>76</v>
      </c>
      <c r="E4" s="135" t="s">
        <v>557</v>
      </c>
      <c r="F4" s="136" t="s">
        <v>0</v>
      </c>
      <c r="G4" s="134" t="s">
        <v>134</v>
      </c>
      <c r="H4" s="137" t="s">
        <v>639</v>
      </c>
      <c r="I4" s="134" t="s">
        <v>133</v>
      </c>
      <c r="J4" s="134" t="b">
        <v>1</v>
      </c>
      <c r="K4" s="138">
        <v>45986.0</v>
      </c>
      <c r="L4" s="139" t="b">
        <v>1</v>
      </c>
      <c r="M4" s="139"/>
      <c r="N4" s="139" t="b">
        <v>0</v>
      </c>
      <c r="O4" s="134" t="b">
        <v>1</v>
      </c>
      <c r="P4" s="138">
        <v>45989.0</v>
      </c>
      <c r="Q4" s="134" t="b">
        <v>1</v>
      </c>
      <c r="R4" s="138"/>
      <c r="S4" s="138"/>
      <c r="Y4" s="140"/>
      <c r="Z4" s="136"/>
      <c r="AA4" s="136"/>
      <c r="AB4" s="136"/>
      <c r="AC4" s="140"/>
      <c r="AD4" s="136"/>
      <c r="AE4" s="136"/>
      <c r="AF4" s="136"/>
      <c r="AG4" s="136"/>
    </row>
    <row r="5">
      <c r="A5" s="126">
        <v>4.0</v>
      </c>
      <c r="B5" s="126" t="s">
        <v>295</v>
      </c>
      <c r="C5" s="126" t="s">
        <v>296</v>
      </c>
      <c r="D5" s="127"/>
      <c r="E5" s="126" t="s">
        <v>572</v>
      </c>
      <c r="F5" s="128"/>
      <c r="G5" s="129"/>
      <c r="H5" s="130" t="s">
        <v>640</v>
      </c>
      <c r="I5" s="126" t="s">
        <v>133</v>
      </c>
      <c r="J5" s="126" t="b">
        <v>1</v>
      </c>
      <c r="K5" s="131">
        <v>45988.0</v>
      </c>
      <c r="L5" s="132" t="b">
        <v>1</v>
      </c>
      <c r="M5" s="132"/>
      <c r="N5" s="132" t="b">
        <v>1</v>
      </c>
      <c r="O5" s="126" t="b">
        <v>1</v>
      </c>
      <c r="P5" s="131">
        <v>45989.0</v>
      </c>
      <c r="Q5" s="126" t="b">
        <v>1</v>
      </c>
      <c r="R5" s="131"/>
      <c r="S5" s="131"/>
      <c r="Y5" s="133"/>
      <c r="AC5" s="133"/>
    </row>
    <row r="6">
      <c r="A6" s="126">
        <v>5.0</v>
      </c>
      <c r="B6" s="141" t="s">
        <v>554</v>
      </c>
      <c r="C6" s="142" t="s">
        <v>641</v>
      </c>
      <c r="D6" s="142" t="s">
        <v>76</v>
      </c>
      <c r="E6" s="142" t="s">
        <v>547</v>
      </c>
      <c r="F6" s="142" t="s">
        <v>0</v>
      </c>
      <c r="G6" s="4" t="s">
        <v>79</v>
      </c>
      <c r="H6" s="143" t="s">
        <v>642</v>
      </c>
      <c r="I6" s="142" t="s">
        <v>551</v>
      </c>
      <c r="J6" s="142" t="b">
        <v>1</v>
      </c>
      <c r="K6" s="144">
        <v>45973.0</v>
      </c>
      <c r="L6" s="145" t="b">
        <v>1</v>
      </c>
      <c r="M6" s="146"/>
      <c r="N6" s="145" t="b">
        <v>1</v>
      </c>
      <c r="O6" s="142" t="b">
        <v>1</v>
      </c>
      <c r="P6" s="144">
        <v>45982.0</v>
      </c>
      <c r="Q6" s="142" t="b">
        <v>0</v>
      </c>
      <c r="R6" s="142" t="s">
        <v>643</v>
      </c>
      <c r="S6" s="142"/>
      <c r="Y6" s="133"/>
      <c r="AC6" s="133"/>
    </row>
    <row r="7">
      <c r="A7" s="126">
        <v>6.0</v>
      </c>
      <c r="B7" s="147" t="s">
        <v>153</v>
      </c>
      <c r="C7" s="142" t="s">
        <v>154</v>
      </c>
      <c r="D7" s="148" t="s">
        <v>76</v>
      </c>
      <c r="E7" s="148" t="s">
        <v>580</v>
      </c>
      <c r="F7" s="147" t="s">
        <v>0</v>
      </c>
      <c r="G7" s="4" t="s">
        <v>186</v>
      </c>
      <c r="H7" s="143" t="s">
        <v>213</v>
      </c>
      <c r="I7" s="142" t="s">
        <v>551</v>
      </c>
      <c r="J7" s="142" t="b">
        <v>1</v>
      </c>
      <c r="K7" s="144">
        <v>45978.0</v>
      </c>
      <c r="L7" s="145" t="b">
        <v>1</v>
      </c>
      <c r="M7" s="147"/>
      <c r="N7" s="145" t="b">
        <v>1</v>
      </c>
      <c r="O7" s="142" t="b">
        <v>1</v>
      </c>
      <c r="P7" s="144">
        <v>45982.0</v>
      </c>
      <c r="Q7" s="142" t="b">
        <v>0</v>
      </c>
      <c r="R7" s="142" t="s">
        <v>643</v>
      </c>
      <c r="S7" s="142"/>
      <c r="T7" s="125"/>
      <c r="U7" s="125"/>
      <c r="V7" s="125"/>
      <c r="W7" s="125"/>
      <c r="X7" s="125"/>
      <c r="Y7" s="133"/>
      <c r="AC7" s="133"/>
    </row>
    <row r="8">
      <c r="A8" s="126">
        <v>7.0</v>
      </c>
      <c r="B8" s="147" t="s">
        <v>125</v>
      </c>
      <c r="C8" s="142" t="s">
        <v>95</v>
      </c>
      <c r="D8" s="148" t="s">
        <v>76</v>
      </c>
      <c r="E8" s="148" t="s">
        <v>547</v>
      </c>
      <c r="F8" s="147" t="s">
        <v>0</v>
      </c>
      <c r="G8" s="4" t="s">
        <v>92</v>
      </c>
      <c r="H8" s="143" t="s">
        <v>286</v>
      </c>
      <c r="I8" s="142" t="s">
        <v>551</v>
      </c>
      <c r="J8" s="142" t="b">
        <v>1</v>
      </c>
      <c r="K8" s="144">
        <v>45972.0</v>
      </c>
      <c r="L8" s="145" t="b">
        <v>1</v>
      </c>
      <c r="M8" s="145"/>
      <c r="N8" s="145" t="b">
        <v>1</v>
      </c>
      <c r="O8" s="142" t="b">
        <v>1</v>
      </c>
      <c r="P8" s="144">
        <v>45982.0</v>
      </c>
      <c r="Q8" s="142" t="b">
        <v>1</v>
      </c>
      <c r="R8" s="144"/>
      <c r="S8" s="142">
        <v>1.0</v>
      </c>
      <c r="T8" s="125"/>
      <c r="U8" s="125"/>
      <c r="V8" s="125"/>
      <c r="W8" s="125"/>
      <c r="X8" s="125"/>
      <c r="Y8" s="133"/>
      <c r="AC8" s="133"/>
    </row>
    <row r="9">
      <c r="A9" s="149"/>
      <c r="B9" s="149" t="s">
        <v>223</v>
      </c>
      <c r="C9" s="149"/>
      <c r="D9" s="150" t="s">
        <v>76</v>
      </c>
      <c r="E9" s="151" t="s">
        <v>565</v>
      </c>
      <c r="F9" s="151" t="s">
        <v>0</v>
      </c>
      <c r="G9" s="151"/>
      <c r="H9" s="152" t="s">
        <v>213</v>
      </c>
      <c r="I9" s="151" t="s">
        <v>91</v>
      </c>
      <c r="J9" s="151" t="b">
        <v>1</v>
      </c>
      <c r="K9" s="153">
        <v>45972.0</v>
      </c>
      <c r="L9" s="154" t="b">
        <v>0</v>
      </c>
      <c r="M9" s="155" t="s">
        <v>644</v>
      </c>
      <c r="N9" s="154" t="b">
        <v>0</v>
      </c>
      <c r="O9" s="151" t="b">
        <v>0</v>
      </c>
      <c r="P9" s="153"/>
      <c r="Q9" s="151" t="b">
        <v>0</v>
      </c>
      <c r="R9" s="153"/>
      <c r="S9" s="153"/>
      <c r="T9" s="156"/>
      <c r="U9" s="156"/>
      <c r="V9" s="156"/>
      <c r="W9" s="156"/>
      <c r="X9" s="156"/>
      <c r="Y9" s="156"/>
      <c r="Z9" s="156"/>
      <c r="AA9" s="156"/>
      <c r="AB9" s="156"/>
      <c r="AC9" s="156"/>
      <c r="AD9" s="156"/>
      <c r="AE9" s="156"/>
      <c r="AF9" s="156"/>
      <c r="AG9" s="156"/>
    </row>
    <row r="10">
      <c r="A10" s="126">
        <v>8.0</v>
      </c>
      <c r="B10" s="157" t="s">
        <v>156</v>
      </c>
      <c r="C10" s="158" t="s">
        <v>157</v>
      </c>
      <c r="D10" s="158" t="s">
        <v>76</v>
      </c>
      <c r="E10" s="158" t="s">
        <v>557</v>
      </c>
      <c r="F10" s="157" t="s">
        <v>0</v>
      </c>
      <c r="G10" s="129" t="s">
        <v>82</v>
      </c>
      <c r="H10" s="159" t="s">
        <v>645</v>
      </c>
      <c r="I10" s="158" t="s">
        <v>91</v>
      </c>
      <c r="J10" s="158" t="b">
        <v>1</v>
      </c>
      <c r="K10" s="160">
        <v>45974.0</v>
      </c>
      <c r="L10" s="161" t="b">
        <v>1</v>
      </c>
      <c r="M10" s="157"/>
      <c r="N10" s="161" t="b">
        <v>1</v>
      </c>
      <c r="O10" s="158" t="b">
        <v>1</v>
      </c>
      <c r="P10" s="160">
        <v>45980.0</v>
      </c>
      <c r="Q10" s="158" t="b">
        <v>1</v>
      </c>
      <c r="R10" s="160"/>
      <c r="S10" s="160"/>
      <c r="Y10" s="133"/>
      <c r="Z10" s="17"/>
      <c r="AC10" s="133"/>
    </row>
    <row r="11">
      <c r="A11" s="126">
        <v>9.0</v>
      </c>
      <c r="B11" s="162" t="s">
        <v>567</v>
      </c>
      <c r="C11" s="158" t="s">
        <v>214</v>
      </c>
      <c r="D11" s="162" t="s">
        <v>76</v>
      </c>
      <c r="E11" s="162" t="s">
        <v>565</v>
      </c>
      <c r="F11" s="157" t="s">
        <v>0</v>
      </c>
      <c r="G11" s="129" t="s">
        <v>120</v>
      </c>
      <c r="H11" s="159" t="s">
        <v>640</v>
      </c>
      <c r="I11" s="158" t="s">
        <v>91</v>
      </c>
      <c r="J11" s="158" t="b">
        <v>1</v>
      </c>
      <c r="K11" s="160">
        <v>45972.0</v>
      </c>
      <c r="L11" s="161" t="b">
        <v>1</v>
      </c>
      <c r="M11" s="161"/>
      <c r="N11" s="161" t="b">
        <v>1</v>
      </c>
      <c r="O11" s="158" t="b">
        <v>1</v>
      </c>
      <c r="P11" s="160">
        <v>45980.0</v>
      </c>
      <c r="Q11" s="158" t="b">
        <v>1</v>
      </c>
      <c r="R11" s="160"/>
      <c r="S11" s="160"/>
      <c r="Y11" s="133"/>
      <c r="AC11" s="133"/>
    </row>
    <row r="12">
      <c r="A12" s="126">
        <v>10.0</v>
      </c>
      <c r="B12" s="163" t="s">
        <v>127</v>
      </c>
      <c r="C12" s="158" t="s">
        <v>128</v>
      </c>
      <c r="D12" s="162" t="s">
        <v>76</v>
      </c>
      <c r="E12" s="162" t="s">
        <v>435</v>
      </c>
      <c r="F12" s="157" t="s">
        <v>598</v>
      </c>
      <c r="G12" s="129" t="s">
        <v>126</v>
      </c>
      <c r="H12" s="159" t="s">
        <v>646</v>
      </c>
      <c r="I12" s="158" t="s">
        <v>91</v>
      </c>
      <c r="J12" s="158" t="b">
        <v>1</v>
      </c>
      <c r="K12" s="160">
        <v>45972.0</v>
      </c>
      <c r="L12" s="161" t="b">
        <v>1</v>
      </c>
      <c r="M12" s="164"/>
      <c r="N12" s="161" t="b">
        <v>1</v>
      </c>
      <c r="O12" s="158" t="b">
        <v>1</v>
      </c>
      <c r="P12" s="160">
        <v>45982.0</v>
      </c>
      <c r="Q12" s="158" t="b">
        <v>1</v>
      </c>
      <c r="R12" s="160"/>
      <c r="S12" s="160"/>
      <c r="Y12" s="133"/>
      <c r="AC12" s="133"/>
    </row>
    <row r="13">
      <c r="A13" s="126">
        <v>11.0</v>
      </c>
      <c r="B13" s="165" t="s">
        <v>371</v>
      </c>
      <c r="C13" s="166" t="s">
        <v>372</v>
      </c>
      <c r="D13" s="162" t="s">
        <v>76</v>
      </c>
      <c r="E13" s="162" t="s">
        <v>366</v>
      </c>
      <c r="F13" s="157" t="s">
        <v>367</v>
      </c>
      <c r="G13" s="129" t="s">
        <v>79</v>
      </c>
      <c r="H13" s="159" t="s">
        <v>636</v>
      </c>
      <c r="I13" s="158" t="s">
        <v>91</v>
      </c>
      <c r="J13" s="158" t="b">
        <v>1</v>
      </c>
      <c r="K13" s="160">
        <v>45972.0</v>
      </c>
      <c r="L13" s="161" t="b">
        <v>1</v>
      </c>
      <c r="M13" s="164"/>
      <c r="N13" s="161" t="b">
        <v>1</v>
      </c>
      <c r="O13" s="158" t="b">
        <v>1</v>
      </c>
      <c r="P13" s="160">
        <v>45980.0</v>
      </c>
      <c r="Q13" s="158" t="b">
        <v>1</v>
      </c>
      <c r="R13" s="160"/>
      <c r="S13" s="160"/>
      <c r="Y13" s="133"/>
      <c r="AC13" s="133"/>
    </row>
    <row r="14">
      <c r="A14" s="126">
        <v>12.0</v>
      </c>
      <c r="B14" s="165" t="s">
        <v>434</v>
      </c>
      <c r="C14" s="166" t="s">
        <v>437</v>
      </c>
      <c r="D14" s="162" t="s">
        <v>76</v>
      </c>
      <c r="E14" s="162" t="s">
        <v>435</v>
      </c>
      <c r="F14" s="157" t="s">
        <v>598</v>
      </c>
      <c r="G14" s="129" t="s">
        <v>79</v>
      </c>
      <c r="H14" s="159" t="s">
        <v>636</v>
      </c>
      <c r="I14" s="158" t="s">
        <v>91</v>
      </c>
      <c r="J14" s="158" t="b">
        <v>1</v>
      </c>
      <c r="K14" s="160">
        <v>45972.0</v>
      </c>
      <c r="L14" s="161" t="b">
        <v>1</v>
      </c>
      <c r="M14" s="164"/>
      <c r="N14" s="161" t="b">
        <v>1</v>
      </c>
      <c r="O14" s="158" t="b">
        <v>1</v>
      </c>
      <c r="P14" s="160">
        <v>45982.0</v>
      </c>
      <c r="Q14" s="158" t="b">
        <v>1</v>
      </c>
      <c r="R14" s="160"/>
      <c r="S14" s="160"/>
      <c r="Y14" s="133"/>
      <c r="Z14" s="17"/>
      <c r="AC14" s="133"/>
    </row>
    <row r="15">
      <c r="A15" s="126">
        <v>13.0</v>
      </c>
      <c r="B15" s="165" t="s">
        <v>87</v>
      </c>
      <c r="C15" s="166" t="s">
        <v>89</v>
      </c>
      <c r="D15" s="162" t="s">
        <v>76</v>
      </c>
      <c r="E15" s="162" t="s">
        <v>435</v>
      </c>
      <c r="F15" s="157" t="s">
        <v>598</v>
      </c>
      <c r="G15" s="129" t="s">
        <v>79</v>
      </c>
      <c r="H15" s="159" t="s">
        <v>636</v>
      </c>
      <c r="I15" s="158" t="s">
        <v>91</v>
      </c>
      <c r="J15" s="158" t="b">
        <v>1</v>
      </c>
      <c r="K15" s="160">
        <v>45972.0</v>
      </c>
      <c r="L15" s="161" t="b">
        <v>1</v>
      </c>
      <c r="M15" s="164"/>
      <c r="N15" s="161" t="b">
        <v>1</v>
      </c>
      <c r="O15" s="158" t="b">
        <v>1</v>
      </c>
      <c r="P15" s="160">
        <v>45982.0</v>
      </c>
      <c r="Q15" s="158" t="b">
        <v>1</v>
      </c>
      <c r="R15" s="160"/>
      <c r="S15" s="160"/>
      <c r="Y15" s="133"/>
      <c r="Z15" s="17"/>
      <c r="AC15" s="133"/>
    </row>
    <row r="16">
      <c r="A16" s="126">
        <v>14.0</v>
      </c>
      <c r="B16" s="165" t="s">
        <v>85</v>
      </c>
      <c r="C16" s="166" t="s">
        <v>86</v>
      </c>
      <c r="D16" s="162" t="s">
        <v>76</v>
      </c>
      <c r="E16" s="162" t="s">
        <v>435</v>
      </c>
      <c r="F16" s="157" t="s">
        <v>598</v>
      </c>
      <c r="G16" s="129" t="s">
        <v>79</v>
      </c>
      <c r="H16" s="159" t="s">
        <v>636</v>
      </c>
      <c r="I16" s="158" t="s">
        <v>91</v>
      </c>
      <c r="J16" s="158" t="b">
        <v>1</v>
      </c>
      <c r="K16" s="160">
        <v>45972.0</v>
      </c>
      <c r="L16" s="161" t="b">
        <v>1</v>
      </c>
      <c r="M16" s="164"/>
      <c r="N16" s="161" t="b">
        <v>1</v>
      </c>
      <c r="O16" s="158" t="b">
        <v>1</v>
      </c>
      <c r="P16" s="160">
        <v>45982.0</v>
      </c>
      <c r="Q16" s="158" t="b">
        <v>1</v>
      </c>
      <c r="R16" s="160"/>
      <c r="S16" s="160"/>
      <c r="Y16" s="133"/>
      <c r="AC16" s="133"/>
    </row>
    <row r="17">
      <c r="A17" s="126">
        <v>15.0</v>
      </c>
      <c r="B17" s="157" t="s">
        <v>566</v>
      </c>
      <c r="C17" s="158" t="s">
        <v>647</v>
      </c>
      <c r="D17" s="162" t="s">
        <v>76</v>
      </c>
      <c r="E17" s="158" t="s">
        <v>565</v>
      </c>
      <c r="F17" s="157" t="s">
        <v>0</v>
      </c>
      <c r="G17" s="129" t="s">
        <v>224</v>
      </c>
      <c r="H17" s="159" t="s">
        <v>213</v>
      </c>
      <c r="I17" s="158" t="s">
        <v>91</v>
      </c>
      <c r="J17" s="158" t="b">
        <v>1</v>
      </c>
      <c r="K17" s="160">
        <v>45972.0</v>
      </c>
      <c r="L17" s="161" t="b">
        <v>1</v>
      </c>
      <c r="M17" s="161"/>
      <c r="N17" s="161" t="b">
        <v>1</v>
      </c>
      <c r="O17" s="158" t="b">
        <v>1</v>
      </c>
      <c r="P17" s="160">
        <v>45980.0</v>
      </c>
      <c r="Q17" s="158" t="b">
        <v>1</v>
      </c>
      <c r="R17" s="160"/>
      <c r="S17" s="160"/>
      <c r="Y17" s="133"/>
      <c r="Z17" s="17"/>
      <c r="AC17" s="133"/>
    </row>
    <row r="18">
      <c r="A18" s="126">
        <v>16.0</v>
      </c>
      <c r="B18" s="157" t="s">
        <v>254</v>
      </c>
      <c r="C18" s="158" t="s">
        <v>255</v>
      </c>
      <c r="D18" s="162" t="s">
        <v>76</v>
      </c>
      <c r="E18" s="162" t="s">
        <v>572</v>
      </c>
      <c r="F18" s="157" t="s">
        <v>0</v>
      </c>
      <c r="G18" s="4" t="s">
        <v>186</v>
      </c>
      <c r="H18" s="159" t="s">
        <v>213</v>
      </c>
      <c r="I18" s="158" t="s">
        <v>91</v>
      </c>
      <c r="J18" s="158" t="b">
        <v>1</v>
      </c>
      <c r="K18" s="160">
        <v>45972.0</v>
      </c>
      <c r="L18" s="161" t="b">
        <v>1</v>
      </c>
      <c r="M18" s="164"/>
      <c r="N18" s="161" t="b">
        <v>1</v>
      </c>
      <c r="O18" s="158" t="b">
        <v>1</v>
      </c>
      <c r="P18" s="160">
        <v>45980.0</v>
      </c>
      <c r="Q18" s="158" t="b">
        <v>1</v>
      </c>
      <c r="R18" s="160"/>
      <c r="S18" s="160"/>
      <c r="Y18" s="133"/>
      <c r="AC18" s="133"/>
    </row>
    <row r="19">
      <c r="A19" s="126">
        <v>17.0</v>
      </c>
      <c r="B19" s="158" t="s">
        <v>196</v>
      </c>
      <c r="C19" s="158" t="s">
        <v>197</v>
      </c>
      <c r="D19" s="162" t="s">
        <v>76</v>
      </c>
      <c r="E19" s="158" t="s">
        <v>560</v>
      </c>
      <c r="F19" s="157" t="s">
        <v>0</v>
      </c>
      <c r="G19" s="4" t="s">
        <v>92</v>
      </c>
      <c r="H19" s="159" t="s">
        <v>286</v>
      </c>
      <c r="I19" s="158" t="s">
        <v>91</v>
      </c>
      <c r="J19" s="158" t="b">
        <v>1</v>
      </c>
      <c r="K19" s="160">
        <v>45972.0</v>
      </c>
      <c r="L19" s="161" t="b">
        <v>1</v>
      </c>
      <c r="M19" s="164"/>
      <c r="N19" s="161" t="b">
        <v>1</v>
      </c>
      <c r="O19" s="158" t="b">
        <v>1</v>
      </c>
      <c r="P19" s="160">
        <v>45982.0</v>
      </c>
      <c r="Q19" s="158" t="b">
        <v>1</v>
      </c>
      <c r="R19" s="160"/>
      <c r="S19" s="160"/>
      <c r="Y19" s="133"/>
      <c r="AC19" s="133"/>
    </row>
    <row r="20">
      <c r="A20" s="126">
        <v>18.0</v>
      </c>
      <c r="B20" s="163" t="s">
        <v>192</v>
      </c>
      <c r="C20" s="158" t="s">
        <v>193</v>
      </c>
      <c r="D20" s="162" t="s">
        <v>76</v>
      </c>
      <c r="E20" s="162" t="s">
        <v>560</v>
      </c>
      <c r="F20" s="157" t="s">
        <v>0</v>
      </c>
      <c r="G20" s="4" t="s">
        <v>92</v>
      </c>
      <c r="H20" s="159" t="s">
        <v>286</v>
      </c>
      <c r="I20" s="158" t="s">
        <v>91</v>
      </c>
      <c r="J20" s="158" t="b">
        <v>1</v>
      </c>
      <c r="K20" s="160">
        <v>45972.0</v>
      </c>
      <c r="L20" s="161" t="b">
        <v>1</v>
      </c>
      <c r="M20" s="164"/>
      <c r="N20" s="161" t="b">
        <v>1</v>
      </c>
      <c r="O20" s="158" t="b">
        <v>1</v>
      </c>
      <c r="P20" s="160">
        <v>45982.0</v>
      </c>
      <c r="Q20" s="158" t="b">
        <v>1</v>
      </c>
      <c r="R20" s="160"/>
      <c r="S20" s="160"/>
      <c r="Y20" s="133"/>
      <c r="AC20" s="133"/>
    </row>
    <row r="21">
      <c r="A21" s="126">
        <v>19.0</v>
      </c>
      <c r="B21" s="167" t="s">
        <v>122</v>
      </c>
      <c r="C21" s="168" t="s">
        <v>124</v>
      </c>
      <c r="D21" s="169" t="s">
        <v>76</v>
      </c>
      <c r="E21" s="169" t="s">
        <v>547</v>
      </c>
      <c r="F21" s="167" t="s">
        <v>0</v>
      </c>
      <c r="G21" s="129" t="s">
        <v>82</v>
      </c>
      <c r="H21" s="170" t="s">
        <v>642</v>
      </c>
      <c r="I21" s="168" t="s">
        <v>100</v>
      </c>
      <c r="J21" s="168" t="b">
        <v>1</v>
      </c>
      <c r="K21" s="171">
        <v>45972.0</v>
      </c>
      <c r="L21" s="172" t="b">
        <v>1</v>
      </c>
      <c r="M21" s="173"/>
      <c r="N21" s="172" t="b">
        <v>1</v>
      </c>
      <c r="O21" s="168" t="b">
        <v>1</v>
      </c>
      <c r="P21" s="171">
        <v>45980.0</v>
      </c>
      <c r="Q21" s="168" t="b">
        <v>1</v>
      </c>
      <c r="R21" s="171"/>
      <c r="S21" s="168">
        <v>1.0</v>
      </c>
      <c r="Y21" s="17"/>
      <c r="AC21" s="133"/>
    </row>
    <row r="22">
      <c r="A22" s="126">
        <v>20.0</v>
      </c>
      <c r="B22" s="168" t="s">
        <v>358</v>
      </c>
      <c r="C22" s="168" t="s">
        <v>359</v>
      </c>
      <c r="D22" s="169" t="s">
        <v>76</v>
      </c>
      <c r="E22" s="169" t="s">
        <v>547</v>
      </c>
      <c r="F22" s="167" t="s">
        <v>0</v>
      </c>
      <c r="G22" s="4" t="s">
        <v>126</v>
      </c>
      <c r="H22" s="170" t="s">
        <v>636</v>
      </c>
      <c r="I22" s="168" t="s">
        <v>100</v>
      </c>
      <c r="J22" s="168" t="b">
        <v>1</v>
      </c>
      <c r="K22" s="171">
        <v>45972.0</v>
      </c>
      <c r="L22" s="172" t="b">
        <v>1</v>
      </c>
      <c r="M22" s="173"/>
      <c r="N22" s="172" t="b">
        <v>1</v>
      </c>
      <c r="O22" s="168" t="b">
        <v>1</v>
      </c>
      <c r="P22" s="171">
        <v>45980.0</v>
      </c>
      <c r="Q22" s="168" t="b">
        <v>1</v>
      </c>
      <c r="R22" s="171"/>
      <c r="S22" s="168">
        <v>1.0</v>
      </c>
      <c r="Y22" s="133"/>
      <c r="AC22" s="133"/>
    </row>
    <row r="23">
      <c r="A23" s="126">
        <v>21.0</v>
      </c>
      <c r="B23" s="174" t="s">
        <v>172</v>
      </c>
      <c r="C23" s="174" t="s">
        <v>174</v>
      </c>
      <c r="D23" s="168" t="s">
        <v>76</v>
      </c>
      <c r="E23" s="168" t="s">
        <v>547</v>
      </c>
      <c r="F23" s="168" t="s">
        <v>0</v>
      </c>
      <c r="G23" s="175" t="s">
        <v>126</v>
      </c>
      <c r="H23" s="170" t="s">
        <v>646</v>
      </c>
      <c r="I23" s="168" t="s">
        <v>100</v>
      </c>
      <c r="J23" s="168" t="b">
        <v>1</v>
      </c>
      <c r="K23" s="171">
        <v>45972.0</v>
      </c>
      <c r="L23" s="172" t="b">
        <v>1</v>
      </c>
      <c r="M23" s="173"/>
      <c r="N23" s="172" t="b">
        <v>1</v>
      </c>
      <c r="O23" s="168" t="b">
        <v>1</v>
      </c>
      <c r="P23" s="171">
        <v>45980.0</v>
      </c>
      <c r="Q23" s="168" t="b">
        <v>1</v>
      </c>
      <c r="R23" s="171"/>
      <c r="S23" s="168">
        <v>1.0</v>
      </c>
      <c r="Y23" s="133"/>
      <c r="AC23" s="133"/>
    </row>
    <row r="24">
      <c r="A24" s="126">
        <v>22.0</v>
      </c>
      <c r="B24" s="167" t="s">
        <v>330</v>
      </c>
      <c r="C24" s="168" t="s">
        <v>310</v>
      </c>
      <c r="D24" s="169" t="s">
        <v>76</v>
      </c>
      <c r="E24" s="168" t="s">
        <v>590</v>
      </c>
      <c r="F24" s="167" t="s">
        <v>0</v>
      </c>
      <c r="G24" s="129" t="s">
        <v>126</v>
      </c>
      <c r="H24" s="170" t="s">
        <v>636</v>
      </c>
      <c r="I24" s="168" t="s">
        <v>100</v>
      </c>
      <c r="J24" s="168" t="b">
        <v>1</v>
      </c>
      <c r="K24" s="171">
        <v>45972.0</v>
      </c>
      <c r="L24" s="172" t="b">
        <v>1</v>
      </c>
      <c r="M24" s="173"/>
      <c r="N24" s="172" t="b">
        <v>1</v>
      </c>
      <c r="O24" s="168" t="b">
        <v>1</v>
      </c>
      <c r="P24" s="171">
        <v>45980.0</v>
      </c>
      <c r="Q24" s="168" t="b">
        <v>1</v>
      </c>
      <c r="R24" s="171"/>
      <c r="S24" s="171"/>
      <c r="Y24" s="133"/>
      <c r="Z24" s="17"/>
      <c r="AC24" s="133"/>
    </row>
    <row r="25">
      <c r="A25" s="126">
        <v>23.0</v>
      </c>
      <c r="B25" s="169" t="s">
        <v>331</v>
      </c>
      <c r="C25" s="168" t="s">
        <v>332</v>
      </c>
      <c r="D25" s="169" t="s">
        <v>76</v>
      </c>
      <c r="E25" s="168" t="s">
        <v>590</v>
      </c>
      <c r="F25" s="167" t="s">
        <v>0</v>
      </c>
      <c r="G25" s="129" t="s">
        <v>101</v>
      </c>
      <c r="H25" s="170" t="s">
        <v>102</v>
      </c>
      <c r="I25" s="168" t="s">
        <v>100</v>
      </c>
      <c r="J25" s="168" t="b">
        <v>1</v>
      </c>
      <c r="K25" s="171">
        <v>45972.0</v>
      </c>
      <c r="L25" s="172" t="b">
        <v>1</v>
      </c>
      <c r="M25" s="173"/>
      <c r="N25" s="172" t="b">
        <v>1</v>
      </c>
      <c r="O25" s="168" t="b">
        <v>1</v>
      </c>
      <c r="P25" s="171">
        <v>45980.0</v>
      </c>
      <c r="Q25" s="168" t="b">
        <v>1</v>
      </c>
      <c r="R25" s="171"/>
      <c r="S25" s="171"/>
      <c r="Y25" s="133"/>
      <c r="AC25" s="133"/>
    </row>
    <row r="26">
      <c r="A26" s="126">
        <v>24.0</v>
      </c>
      <c r="B26" s="169" t="s">
        <v>204</v>
      </c>
      <c r="C26" s="168" t="s">
        <v>205</v>
      </c>
      <c r="D26" s="169" t="s">
        <v>76</v>
      </c>
      <c r="E26" s="168" t="s">
        <v>590</v>
      </c>
      <c r="F26" s="167" t="s">
        <v>0</v>
      </c>
      <c r="G26" s="129" t="s">
        <v>101</v>
      </c>
      <c r="H26" s="170" t="s">
        <v>102</v>
      </c>
      <c r="I26" s="168" t="s">
        <v>100</v>
      </c>
      <c r="J26" s="168" t="b">
        <v>1</v>
      </c>
      <c r="K26" s="171">
        <v>45972.0</v>
      </c>
      <c r="L26" s="172" t="b">
        <v>1</v>
      </c>
      <c r="M26" s="173"/>
      <c r="N26" s="172" t="b">
        <v>1</v>
      </c>
      <c r="O26" s="168" t="b">
        <v>1</v>
      </c>
      <c r="P26" s="171">
        <v>45980.0</v>
      </c>
      <c r="Q26" s="168" t="b">
        <v>1</v>
      </c>
      <c r="R26" s="171"/>
      <c r="S26" s="171"/>
      <c r="Y26" s="133"/>
      <c r="AC26" s="133"/>
    </row>
    <row r="27">
      <c r="A27" s="126">
        <v>25.0</v>
      </c>
      <c r="B27" s="176" t="s">
        <v>245</v>
      </c>
      <c r="C27" s="168" t="s">
        <v>244</v>
      </c>
      <c r="D27" s="169" t="s">
        <v>76</v>
      </c>
      <c r="E27" s="169" t="s">
        <v>590</v>
      </c>
      <c r="F27" s="167" t="s">
        <v>0</v>
      </c>
      <c r="G27" s="4" t="s">
        <v>101</v>
      </c>
      <c r="H27" s="170" t="s">
        <v>646</v>
      </c>
      <c r="I27" s="168" t="s">
        <v>100</v>
      </c>
      <c r="J27" s="168" t="b">
        <v>1</v>
      </c>
      <c r="K27" s="171">
        <v>45972.0</v>
      </c>
      <c r="L27" s="172" t="b">
        <v>1</v>
      </c>
      <c r="M27" s="173"/>
      <c r="N27" s="172" t="b">
        <v>1</v>
      </c>
      <c r="O27" s="168" t="b">
        <v>1</v>
      </c>
      <c r="P27" s="171">
        <v>45980.0</v>
      </c>
      <c r="Q27" s="168" t="b">
        <v>1</v>
      </c>
      <c r="R27" s="171"/>
      <c r="S27" s="171"/>
      <c r="Y27" s="133"/>
      <c r="AC27" s="133"/>
    </row>
    <row r="28">
      <c r="A28" s="126">
        <v>26.0</v>
      </c>
      <c r="B28" s="174" t="s">
        <v>362</v>
      </c>
      <c r="C28" s="174" t="s">
        <v>363</v>
      </c>
      <c r="D28" s="168" t="s">
        <v>76</v>
      </c>
      <c r="E28" s="168" t="s">
        <v>648</v>
      </c>
      <c r="F28" s="168" t="s">
        <v>0</v>
      </c>
      <c r="G28" s="175" t="s">
        <v>159</v>
      </c>
      <c r="H28" s="170" t="s">
        <v>102</v>
      </c>
      <c r="I28" s="168" t="s">
        <v>100</v>
      </c>
      <c r="J28" s="168" t="b">
        <v>1</v>
      </c>
      <c r="K28" s="171">
        <v>45972.0</v>
      </c>
      <c r="L28" s="172" t="b">
        <v>1</v>
      </c>
      <c r="M28" s="173"/>
      <c r="N28" s="172" t="b">
        <v>1</v>
      </c>
      <c r="O28" s="168" t="b">
        <v>1</v>
      </c>
      <c r="P28" s="171">
        <v>45980.0</v>
      </c>
      <c r="Q28" s="168" t="b">
        <v>1</v>
      </c>
      <c r="R28" s="171"/>
      <c r="S28" s="168">
        <v>1.0</v>
      </c>
      <c r="Y28" s="133"/>
      <c r="Z28" s="17"/>
      <c r="AC28" s="133"/>
    </row>
    <row r="29">
      <c r="A29" s="126">
        <v>27.0</v>
      </c>
      <c r="B29" s="167" t="s">
        <v>282</v>
      </c>
      <c r="C29" s="168" t="s">
        <v>284</v>
      </c>
      <c r="D29" s="169" t="s">
        <v>76</v>
      </c>
      <c r="E29" s="169" t="s">
        <v>580</v>
      </c>
      <c r="F29" s="167" t="s">
        <v>0</v>
      </c>
      <c r="G29" s="4" t="s">
        <v>92</v>
      </c>
      <c r="H29" s="170" t="s">
        <v>286</v>
      </c>
      <c r="I29" s="168" t="s">
        <v>100</v>
      </c>
      <c r="J29" s="168" t="b">
        <v>1</v>
      </c>
      <c r="K29" s="171">
        <v>45972.0</v>
      </c>
      <c r="L29" s="172" t="b">
        <v>1</v>
      </c>
      <c r="M29" s="173"/>
      <c r="N29" s="172" t="b">
        <v>1</v>
      </c>
      <c r="O29" s="168" t="b">
        <v>1</v>
      </c>
      <c r="P29" s="171">
        <v>45980.0</v>
      </c>
      <c r="Q29" s="168" t="b">
        <v>1</v>
      </c>
      <c r="R29" s="171"/>
      <c r="S29" s="171"/>
      <c r="Y29" s="133"/>
      <c r="AC29" s="133"/>
    </row>
    <row r="30">
      <c r="A30" s="151"/>
      <c r="B30" s="177" t="s">
        <v>343</v>
      </c>
      <c r="C30" s="177"/>
      <c r="D30" s="150" t="s">
        <v>76</v>
      </c>
      <c r="E30" s="150" t="s">
        <v>648</v>
      </c>
      <c r="F30" s="156" t="s">
        <v>0</v>
      </c>
      <c r="G30" s="151" t="s">
        <v>92</v>
      </c>
      <c r="H30" s="152" t="s">
        <v>286</v>
      </c>
      <c r="I30" s="151" t="s">
        <v>100</v>
      </c>
      <c r="J30" s="151" t="b">
        <v>1</v>
      </c>
      <c r="K30" s="153">
        <v>45972.0</v>
      </c>
      <c r="L30" s="154" t="b">
        <v>0</v>
      </c>
      <c r="M30" s="155" t="s">
        <v>649</v>
      </c>
      <c r="N30" s="154" t="b">
        <v>0</v>
      </c>
      <c r="O30" s="151" t="b">
        <v>1</v>
      </c>
      <c r="P30" s="153">
        <v>45980.0</v>
      </c>
      <c r="Q30" s="151" t="b">
        <v>1</v>
      </c>
      <c r="R30" s="153"/>
      <c r="S30" s="153"/>
      <c r="T30" s="156"/>
      <c r="U30" s="156"/>
      <c r="V30" s="156"/>
      <c r="W30" s="156"/>
      <c r="X30" s="156"/>
      <c r="Y30" s="178"/>
      <c r="Z30" s="156"/>
      <c r="AA30" s="156"/>
      <c r="AB30" s="156"/>
      <c r="AC30" s="178"/>
      <c r="AD30" s="156"/>
      <c r="AE30" s="156"/>
      <c r="AF30" s="156"/>
      <c r="AG30" s="156"/>
    </row>
    <row r="31">
      <c r="A31" s="126">
        <v>28.0</v>
      </c>
      <c r="B31" s="179" t="s">
        <v>218</v>
      </c>
      <c r="C31" s="180" t="s">
        <v>219</v>
      </c>
      <c r="D31" s="181" t="s">
        <v>76</v>
      </c>
      <c r="E31" s="180" t="s">
        <v>565</v>
      </c>
      <c r="F31" s="179" t="s">
        <v>0</v>
      </c>
      <c r="G31" s="4" t="s">
        <v>126</v>
      </c>
      <c r="H31" s="182" t="s">
        <v>636</v>
      </c>
      <c r="I31" s="180" t="s">
        <v>109</v>
      </c>
      <c r="J31" s="180" t="b">
        <v>1</v>
      </c>
      <c r="K31" s="183">
        <v>45972.0</v>
      </c>
      <c r="L31" s="184" t="b">
        <v>1</v>
      </c>
      <c r="M31" s="185"/>
      <c r="N31" s="184" t="b">
        <v>1</v>
      </c>
      <c r="O31" s="180" t="b">
        <v>1</v>
      </c>
      <c r="P31" s="183">
        <v>45980.0</v>
      </c>
      <c r="Q31" s="180" t="b">
        <v>1</v>
      </c>
      <c r="R31" s="183"/>
      <c r="S31" s="183"/>
      <c r="Y31" s="133"/>
      <c r="AC31" s="133"/>
    </row>
    <row r="32">
      <c r="A32" s="126">
        <v>29.0</v>
      </c>
      <c r="B32" s="180" t="s">
        <v>577</v>
      </c>
      <c r="C32" s="180" t="s">
        <v>650</v>
      </c>
      <c r="D32" s="181" t="s">
        <v>76</v>
      </c>
      <c r="E32" s="181" t="s">
        <v>572</v>
      </c>
      <c r="F32" s="179" t="s">
        <v>0</v>
      </c>
      <c r="G32" s="4" t="s">
        <v>159</v>
      </c>
      <c r="H32" s="182" t="s">
        <v>102</v>
      </c>
      <c r="I32" s="180" t="s">
        <v>109</v>
      </c>
      <c r="J32" s="180" t="b">
        <v>1</v>
      </c>
      <c r="K32" s="183">
        <v>45972.0</v>
      </c>
      <c r="L32" s="184" t="b">
        <v>1</v>
      </c>
      <c r="M32" s="185"/>
      <c r="N32" s="184" t="b">
        <v>1</v>
      </c>
      <c r="O32" s="180" t="b">
        <v>1</v>
      </c>
      <c r="P32" s="183">
        <v>45980.0</v>
      </c>
      <c r="Q32" s="180" t="b">
        <v>1</v>
      </c>
      <c r="R32" s="183"/>
      <c r="S32" s="183"/>
      <c r="Y32" s="133"/>
      <c r="AC32" s="133"/>
    </row>
    <row r="33">
      <c r="A33" s="126">
        <v>30.0</v>
      </c>
      <c r="B33" s="180" t="s">
        <v>322</v>
      </c>
      <c r="C33" s="180" t="s">
        <v>324</v>
      </c>
      <c r="D33" s="181" t="s">
        <v>76</v>
      </c>
      <c r="E33" s="180" t="s">
        <v>547</v>
      </c>
      <c r="F33" s="179" t="s">
        <v>0</v>
      </c>
      <c r="G33" s="129" t="s">
        <v>79</v>
      </c>
      <c r="H33" s="182" t="s">
        <v>645</v>
      </c>
      <c r="I33" s="180" t="s">
        <v>109</v>
      </c>
      <c r="J33" s="180" t="b">
        <v>1</v>
      </c>
      <c r="K33" s="183">
        <v>45972.0</v>
      </c>
      <c r="L33" s="184" t="b">
        <v>1</v>
      </c>
      <c r="M33" s="185"/>
      <c r="N33" s="184" t="b">
        <v>1</v>
      </c>
      <c r="O33" s="180" t="b">
        <v>1</v>
      </c>
      <c r="P33" s="183">
        <v>45980.0</v>
      </c>
      <c r="Q33" s="180" t="b">
        <v>1</v>
      </c>
      <c r="R33" s="183"/>
      <c r="S33" s="180">
        <v>1.0</v>
      </c>
      <c r="Y33" s="133"/>
      <c r="AC33" s="133"/>
    </row>
    <row r="34">
      <c r="A34" s="126">
        <v>31.0</v>
      </c>
      <c r="B34" s="186" t="s">
        <v>202</v>
      </c>
      <c r="C34" s="180" t="s">
        <v>197</v>
      </c>
      <c r="D34" s="181" t="s">
        <v>76</v>
      </c>
      <c r="E34" s="180" t="s">
        <v>560</v>
      </c>
      <c r="F34" s="179" t="s">
        <v>0</v>
      </c>
      <c r="G34" s="4" t="s">
        <v>79</v>
      </c>
      <c r="H34" s="182" t="s">
        <v>642</v>
      </c>
      <c r="I34" s="180" t="s">
        <v>109</v>
      </c>
      <c r="J34" s="180" t="b">
        <v>1</v>
      </c>
      <c r="K34" s="183">
        <v>45972.0</v>
      </c>
      <c r="L34" s="184" t="b">
        <v>1</v>
      </c>
      <c r="M34" s="185"/>
      <c r="N34" s="184" t="b">
        <v>1</v>
      </c>
      <c r="O34" s="180" t="b">
        <v>1</v>
      </c>
      <c r="P34" s="183">
        <v>45980.0</v>
      </c>
      <c r="Q34" s="180" t="b">
        <v>1</v>
      </c>
      <c r="R34" s="183"/>
      <c r="S34" s="183"/>
      <c r="Y34" s="133"/>
      <c r="Z34" s="17"/>
      <c r="AC34" s="133"/>
    </row>
    <row r="35">
      <c r="A35" s="126">
        <v>32.0</v>
      </c>
      <c r="B35" s="179" t="s">
        <v>190</v>
      </c>
      <c r="C35" s="180" t="s">
        <v>191</v>
      </c>
      <c r="D35" s="181" t="s">
        <v>76</v>
      </c>
      <c r="E35" s="181" t="s">
        <v>560</v>
      </c>
      <c r="F35" s="179" t="s">
        <v>0</v>
      </c>
      <c r="G35" s="4" t="s">
        <v>79</v>
      </c>
      <c r="H35" s="182" t="s">
        <v>642</v>
      </c>
      <c r="I35" s="180" t="s">
        <v>109</v>
      </c>
      <c r="J35" s="180" t="b">
        <v>1</v>
      </c>
      <c r="K35" s="183">
        <v>45972.0</v>
      </c>
      <c r="L35" s="184" t="b">
        <v>1</v>
      </c>
      <c r="M35" s="185"/>
      <c r="N35" s="184" t="b">
        <v>1</v>
      </c>
      <c r="O35" s="180" t="b">
        <v>1</v>
      </c>
      <c r="P35" s="183">
        <v>45980.0</v>
      </c>
      <c r="Q35" s="180" t="b">
        <v>1</v>
      </c>
      <c r="R35" s="183"/>
      <c r="S35" s="183"/>
      <c r="Y35" s="133"/>
      <c r="AC35" s="133"/>
    </row>
    <row r="36">
      <c r="A36" s="126">
        <v>33.0</v>
      </c>
      <c r="B36" s="180" t="s">
        <v>576</v>
      </c>
      <c r="C36" s="180" t="s">
        <v>651</v>
      </c>
      <c r="D36" s="181" t="s">
        <v>76</v>
      </c>
      <c r="E36" s="181" t="s">
        <v>572</v>
      </c>
      <c r="F36" s="179" t="s">
        <v>0</v>
      </c>
      <c r="G36" s="4" t="s">
        <v>79</v>
      </c>
      <c r="H36" s="182" t="s">
        <v>642</v>
      </c>
      <c r="I36" s="180" t="s">
        <v>109</v>
      </c>
      <c r="J36" s="180" t="b">
        <v>1</v>
      </c>
      <c r="K36" s="183">
        <v>45972.0</v>
      </c>
      <c r="L36" s="184" t="b">
        <v>1</v>
      </c>
      <c r="M36" s="185"/>
      <c r="N36" s="184" t="b">
        <v>1</v>
      </c>
      <c r="O36" s="180" t="b">
        <v>1</v>
      </c>
      <c r="P36" s="183">
        <v>45980.0</v>
      </c>
      <c r="Q36" s="180" t="b">
        <v>1</v>
      </c>
      <c r="R36" s="183"/>
      <c r="S36" s="183"/>
      <c r="Y36" s="133"/>
      <c r="AC36" s="133"/>
    </row>
    <row r="37">
      <c r="A37" s="134">
        <v>34.0</v>
      </c>
      <c r="B37" s="136" t="s">
        <v>212</v>
      </c>
      <c r="C37" s="134" t="s">
        <v>214</v>
      </c>
      <c r="D37" s="135" t="s">
        <v>76</v>
      </c>
      <c r="E37" s="135" t="s">
        <v>565</v>
      </c>
      <c r="F37" s="136" t="s">
        <v>0</v>
      </c>
      <c r="G37" s="134" t="s">
        <v>186</v>
      </c>
      <c r="H37" s="137" t="s">
        <v>213</v>
      </c>
      <c r="I37" s="134" t="s">
        <v>109</v>
      </c>
      <c r="J37" s="134" t="b">
        <v>1</v>
      </c>
      <c r="K37" s="138">
        <v>45976.0</v>
      </c>
      <c r="L37" s="139" t="b">
        <v>1</v>
      </c>
      <c r="M37" s="136"/>
      <c r="N37" s="139" t="b">
        <v>0</v>
      </c>
      <c r="O37" s="134" t="b">
        <v>1</v>
      </c>
      <c r="P37" s="138">
        <v>45980.0</v>
      </c>
      <c r="Q37" s="134" t="b">
        <v>1</v>
      </c>
      <c r="R37" s="138"/>
      <c r="S37" s="138"/>
      <c r="T37" s="136"/>
      <c r="U37" s="136"/>
      <c r="V37" s="136"/>
      <c r="W37" s="136"/>
      <c r="X37" s="136"/>
      <c r="Y37" s="140"/>
      <c r="Z37" s="187"/>
      <c r="AA37" s="136"/>
      <c r="AB37" s="136"/>
      <c r="AC37" s="140"/>
      <c r="AD37" s="136"/>
      <c r="AE37" s="136"/>
      <c r="AF37" s="136"/>
      <c r="AG37" s="136"/>
    </row>
    <row r="38">
      <c r="A38" s="126">
        <v>35.0</v>
      </c>
      <c r="B38" s="188" t="s">
        <v>595</v>
      </c>
      <c r="C38" s="189" t="s">
        <v>408</v>
      </c>
      <c r="D38" s="181" t="s">
        <v>76</v>
      </c>
      <c r="E38" s="181" t="s">
        <v>405</v>
      </c>
      <c r="F38" s="179" t="s">
        <v>6</v>
      </c>
      <c r="G38" s="4" t="s">
        <v>186</v>
      </c>
      <c r="H38" s="182" t="s">
        <v>213</v>
      </c>
      <c r="I38" s="180" t="s">
        <v>109</v>
      </c>
      <c r="J38" s="180" t="b">
        <v>1</v>
      </c>
      <c r="K38" s="183">
        <v>45972.0</v>
      </c>
      <c r="L38" s="184" t="b">
        <v>1</v>
      </c>
      <c r="M38" s="185"/>
      <c r="N38" s="184" t="b">
        <v>1</v>
      </c>
      <c r="O38" s="180" t="b">
        <v>1</v>
      </c>
      <c r="P38" s="183">
        <v>45980.0</v>
      </c>
      <c r="Q38" s="180" t="b">
        <v>1</v>
      </c>
      <c r="R38" s="183"/>
      <c r="S38" s="183"/>
      <c r="Y38" s="133"/>
      <c r="Z38" s="17"/>
      <c r="AC38" s="133"/>
    </row>
    <row r="39">
      <c r="A39" s="126">
        <v>36.0</v>
      </c>
      <c r="B39" s="188" t="s">
        <v>596</v>
      </c>
      <c r="C39" s="189" t="s">
        <v>652</v>
      </c>
      <c r="D39" s="181" t="s">
        <v>76</v>
      </c>
      <c r="E39" s="181" t="s">
        <v>405</v>
      </c>
      <c r="F39" s="179" t="s">
        <v>6</v>
      </c>
      <c r="G39" s="4" t="s">
        <v>186</v>
      </c>
      <c r="H39" s="182" t="s">
        <v>213</v>
      </c>
      <c r="I39" s="180" t="s">
        <v>109</v>
      </c>
      <c r="J39" s="180" t="b">
        <v>1</v>
      </c>
      <c r="K39" s="183">
        <v>45972.0</v>
      </c>
      <c r="L39" s="184" t="b">
        <v>1</v>
      </c>
      <c r="M39" s="185"/>
      <c r="N39" s="184" t="b">
        <v>1</v>
      </c>
      <c r="O39" s="180" t="b">
        <v>1</v>
      </c>
      <c r="P39" s="183">
        <v>45980.0</v>
      </c>
      <c r="Q39" s="180" t="b">
        <v>1</v>
      </c>
      <c r="R39" s="183"/>
      <c r="S39" s="183"/>
      <c r="Y39" s="133"/>
      <c r="Z39" s="17"/>
      <c r="AC39" s="133"/>
    </row>
    <row r="40">
      <c r="A40" s="151"/>
      <c r="B40" s="151" t="s">
        <v>285</v>
      </c>
      <c r="C40" s="151"/>
      <c r="D40" s="150" t="s">
        <v>76</v>
      </c>
      <c r="E40" s="151" t="s">
        <v>580</v>
      </c>
      <c r="F40" s="156" t="s">
        <v>0</v>
      </c>
      <c r="G40" s="156"/>
      <c r="H40" s="152" t="s">
        <v>642</v>
      </c>
      <c r="I40" s="151" t="s">
        <v>119</v>
      </c>
      <c r="J40" s="151" t="b">
        <v>1</v>
      </c>
      <c r="K40" s="153">
        <v>45972.0</v>
      </c>
      <c r="L40" s="154" t="b">
        <v>0</v>
      </c>
      <c r="M40" s="155" t="s">
        <v>643</v>
      </c>
      <c r="N40" s="154" t="b">
        <v>0</v>
      </c>
      <c r="O40" s="151" t="b">
        <v>0</v>
      </c>
      <c r="P40" s="153"/>
      <c r="Q40" s="151" t="b">
        <v>0</v>
      </c>
      <c r="R40" s="153"/>
      <c r="S40" s="153"/>
      <c r="T40" s="156"/>
      <c r="U40" s="156"/>
      <c r="V40" s="156"/>
      <c r="W40" s="156"/>
      <c r="X40" s="156"/>
      <c r="Y40" s="156"/>
      <c r="Z40" s="156"/>
      <c r="AA40" s="156"/>
      <c r="AB40" s="156"/>
      <c r="AC40" s="156"/>
      <c r="AD40" s="156"/>
      <c r="AE40" s="156"/>
      <c r="AF40" s="156"/>
      <c r="AG40" s="156"/>
    </row>
    <row r="41">
      <c r="A41" s="151"/>
      <c r="B41" s="190" t="s">
        <v>593</v>
      </c>
      <c r="C41" s="190"/>
      <c r="D41" s="151" t="s">
        <v>76</v>
      </c>
      <c r="E41" s="151" t="s">
        <v>380</v>
      </c>
      <c r="F41" s="151" t="s">
        <v>4</v>
      </c>
      <c r="G41" s="151" t="s">
        <v>110</v>
      </c>
      <c r="H41" s="152" t="s">
        <v>104</v>
      </c>
      <c r="I41" s="151" t="s">
        <v>109</v>
      </c>
      <c r="J41" s="151" t="b">
        <v>1</v>
      </c>
      <c r="K41" s="153">
        <v>45972.0</v>
      </c>
      <c r="L41" s="154" t="b">
        <v>0</v>
      </c>
      <c r="M41" s="155" t="s">
        <v>653</v>
      </c>
      <c r="N41" s="154" t="b">
        <v>0</v>
      </c>
      <c r="O41" s="151" t="b">
        <v>1</v>
      </c>
      <c r="P41" s="153">
        <v>45980.0</v>
      </c>
      <c r="Q41" s="151" t="b">
        <v>1</v>
      </c>
      <c r="R41" s="153"/>
      <c r="S41" s="153"/>
      <c r="T41" s="156"/>
      <c r="U41" s="156"/>
      <c r="V41" s="156"/>
      <c r="W41" s="156"/>
      <c r="X41" s="156"/>
      <c r="Y41" s="178"/>
      <c r="Z41" s="156"/>
      <c r="AA41" s="156"/>
      <c r="AB41" s="156"/>
      <c r="AC41" s="178"/>
      <c r="AD41" s="156"/>
      <c r="AE41" s="156"/>
      <c r="AF41" s="156"/>
      <c r="AG41" s="156"/>
    </row>
    <row r="42">
      <c r="A42" s="126">
        <v>37.0</v>
      </c>
      <c r="B42" s="189" t="s">
        <v>379</v>
      </c>
      <c r="C42" s="189" t="s">
        <v>381</v>
      </c>
      <c r="D42" s="180" t="s">
        <v>76</v>
      </c>
      <c r="E42" s="180" t="s">
        <v>380</v>
      </c>
      <c r="F42" s="180" t="s">
        <v>4</v>
      </c>
      <c r="G42" s="175" t="s">
        <v>110</v>
      </c>
      <c r="H42" s="182" t="s">
        <v>104</v>
      </c>
      <c r="I42" s="180" t="s">
        <v>109</v>
      </c>
      <c r="J42" s="180" t="b">
        <v>1</v>
      </c>
      <c r="K42" s="183">
        <v>45972.0</v>
      </c>
      <c r="L42" s="184" t="b">
        <v>1</v>
      </c>
      <c r="M42" s="185"/>
      <c r="N42" s="184" t="b">
        <v>1</v>
      </c>
      <c r="O42" s="180" t="b">
        <v>1</v>
      </c>
      <c r="P42" s="183">
        <v>45980.0</v>
      </c>
      <c r="Q42" s="180" t="b">
        <v>1</v>
      </c>
      <c r="R42" s="183"/>
      <c r="S42" s="183"/>
      <c r="Y42" s="133"/>
      <c r="AC42" s="133"/>
    </row>
    <row r="43">
      <c r="A43" s="126">
        <v>38.0</v>
      </c>
      <c r="B43" s="189" t="s">
        <v>382</v>
      </c>
      <c r="C43" s="189" t="s">
        <v>383</v>
      </c>
      <c r="D43" s="180" t="s">
        <v>76</v>
      </c>
      <c r="E43" s="180" t="s">
        <v>380</v>
      </c>
      <c r="F43" s="180" t="s">
        <v>4</v>
      </c>
      <c r="G43" s="175" t="s">
        <v>110</v>
      </c>
      <c r="H43" s="182" t="s">
        <v>104</v>
      </c>
      <c r="I43" s="180" t="s">
        <v>109</v>
      </c>
      <c r="J43" s="180" t="b">
        <v>1</v>
      </c>
      <c r="K43" s="183">
        <v>45972.0</v>
      </c>
      <c r="L43" s="184" t="b">
        <v>1</v>
      </c>
      <c r="M43" s="185"/>
      <c r="N43" s="184" t="b">
        <v>1</v>
      </c>
      <c r="O43" s="180" t="b">
        <v>1</v>
      </c>
      <c r="P43" s="183">
        <v>45980.0</v>
      </c>
      <c r="Q43" s="180" t="b">
        <v>1</v>
      </c>
      <c r="R43" s="183"/>
      <c r="S43" s="183"/>
      <c r="Y43" s="133"/>
      <c r="Z43" s="17"/>
      <c r="AC43" s="133"/>
    </row>
    <row r="44">
      <c r="A44" s="126">
        <v>39.0</v>
      </c>
      <c r="B44" s="181" t="s">
        <v>578</v>
      </c>
      <c r="C44" s="180" t="s">
        <v>654</v>
      </c>
      <c r="D44" s="181" t="s">
        <v>76</v>
      </c>
      <c r="E44" s="181" t="s">
        <v>572</v>
      </c>
      <c r="F44" s="179" t="s">
        <v>0</v>
      </c>
      <c r="G44" s="129" t="s">
        <v>92</v>
      </c>
      <c r="H44" s="182" t="s">
        <v>646</v>
      </c>
      <c r="I44" s="180" t="s">
        <v>109</v>
      </c>
      <c r="J44" s="180" t="b">
        <v>1</v>
      </c>
      <c r="K44" s="183">
        <v>45972.0</v>
      </c>
      <c r="L44" s="184" t="b">
        <v>1</v>
      </c>
      <c r="M44" s="185"/>
      <c r="N44" s="184" t="b">
        <v>1</v>
      </c>
      <c r="O44" s="180" t="b">
        <v>1</v>
      </c>
      <c r="P44" s="183">
        <v>45980.0</v>
      </c>
      <c r="Q44" s="180" t="b">
        <v>1</v>
      </c>
      <c r="R44" s="183"/>
      <c r="S44" s="183"/>
      <c r="Y44" s="133"/>
      <c r="AC44" s="133"/>
    </row>
    <row r="45">
      <c r="A45" s="126">
        <v>40.0</v>
      </c>
      <c r="B45" s="191" t="s">
        <v>188</v>
      </c>
      <c r="C45" s="192" t="s">
        <v>189</v>
      </c>
      <c r="D45" s="193" t="s">
        <v>76</v>
      </c>
      <c r="E45" s="192" t="s">
        <v>572</v>
      </c>
      <c r="F45" s="194" t="s">
        <v>0</v>
      </c>
      <c r="G45" s="129" t="s">
        <v>82</v>
      </c>
      <c r="H45" s="195" t="s">
        <v>655</v>
      </c>
      <c r="I45" s="192" t="s">
        <v>119</v>
      </c>
      <c r="J45" s="192" t="b">
        <v>1</v>
      </c>
      <c r="K45" s="196">
        <v>45972.0</v>
      </c>
      <c r="L45" s="197" t="b">
        <v>1</v>
      </c>
      <c r="M45" s="198"/>
      <c r="N45" s="197" t="b">
        <v>1</v>
      </c>
      <c r="O45" s="192" t="b">
        <v>1</v>
      </c>
      <c r="P45" s="196">
        <v>45980.0</v>
      </c>
      <c r="Q45" s="192" t="b">
        <v>1</v>
      </c>
      <c r="R45" s="196"/>
      <c r="S45" s="196"/>
      <c r="Y45" s="133"/>
      <c r="Z45" s="17"/>
      <c r="AC45" s="133"/>
    </row>
    <row r="46">
      <c r="A46" s="126">
        <v>41.0</v>
      </c>
      <c r="B46" s="192" t="s">
        <v>184</v>
      </c>
      <c r="C46" s="192" t="s">
        <v>187</v>
      </c>
      <c r="D46" s="193" t="s">
        <v>76</v>
      </c>
      <c r="E46" s="193" t="s">
        <v>547</v>
      </c>
      <c r="F46" s="194" t="s">
        <v>0</v>
      </c>
      <c r="G46" s="129" t="s">
        <v>134</v>
      </c>
      <c r="H46" s="195" t="s">
        <v>639</v>
      </c>
      <c r="I46" s="192" t="s">
        <v>119</v>
      </c>
      <c r="J46" s="192" t="b">
        <v>1</v>
      </c>
      <c r="K46" s="196">
        <v>45972.0</v>
      </c>
      <c r="L46" s="197" t="b">
        <v>1</v>
      </c>
      <c r="M46" s="198"/>
      <c r="N46" s="197" t="b">
        <v>1</v>
      </c>
      <c r="O46" s="192" t="b">
        <v>1</v>
      </c>
      <c r="P46" s="196">
        <v>45980.0</v>
      </c>
      <c r="Q46" s="192" t="b">
        <v>1</v>
      </c>
      <c r="R46" s="196"/>
      <c r="S46" s="192">
        <v>1.0</v>
      </c>
      <c r="Y46" s="133"/>
      <c r="AC46" s="133"/>
    </row>
    <row r="47">
      <c r="A47" s="126">
        <v>42.0</v>
      </c>
      <c r="B47" s="199" t="s">
        <v>409</v>
      </c>
      <c r="C47" s="200" t="s">
        <v>410</v>
      </c>
      <c r="D47" s="193" t="s">
        <v>76</v>
      </c>
      <c r="E47" s="193" t="s">
        <v>405</v>
      </c>
      <c r="F47" s="194" t="s">
        <v>6</v>
      </c>
      <c r="G47" s="4" t="s">
        <v>79</v>
      </c>
      <c r="H47" s="195" t="s">
        <v>642</v>
      </c>
      <c r="I47" s="192" t="s">
        <v>119</v>
      </c>
      <c r="J47" s="192" t="b">
        <v>1</v>
      </c>
      <c r="K47" s="196">
        <v>45972.0</v>
      </c>
      <c r="L47" s="197" t="b">
        <v>1</v>
      </c>
      <c r="M47" s="198"/>
      <c r="N47" s="197" t="b">
        <v>1</v>
      </c>
      <c r="O47" s="192" t="b">
        <v>1</v>
      </c>
      <c r="P47" s="196">
        <v>45980.0</v>
      </c>
      <c r="Q47" s="192" t="b">
        <v>1</v>
      </c>
      <c r="R47" s="196"/>
      <c r="S47" s="196"/>
      <c r="Y47" s="133"/>
      <c r="AC47" s="133"/>
    </row>
    <row r="48">
      <c r="A48" s="151">
        <v>43.0</v>
      </c>
      <c r="B48" s="151" t="s">
        <v>209</v>
      </c>
      <c r="C48" s="151"/>
      <c r="D48" s="150" t="s">
        <v>76</v>
      </c>
      <c r="E48" s="151" t="s">
        <v>435</v>
      </c>
      <c r="F48" s="151" t="s">
        <v>598</v>
      </c>
      <c r="G48" s="156" t="s">
        <v>79</v>
      </c>
      <c r="H48" s="152" t="s">
        <v>642</v>
      </c>
      <c r="I48" s="151" t="s">
        <v>119</v>
      </c>
      <c r="J48" s="151" t="b">
        <v>1</v>
      </c>
      <c r="K48" s="153">
        <v>45972.0</v>
      </c>
      <c r="L48" s="154" t="b">
        <v>1</v>
      </c>
      <c r="M48" s="155" t="s">
        <v>653</v>
      </c>
      <c r="N48" s="154" t="b">
        <v>1</v>
      </c>
      <c r="O48" s="151" t="b">
        <v>1</v>
      </c>
      <c r="P48" s="153">
        <v>45980.0</v>
      </c>
      <c r="Q48" s="151" t="b">
        <v>1</v>
      </c>
      <c r="R48" s="153"/>
      <c r="S48" s="153"/>
      <c r="T48" s="156"/>
      <c r="U48" s="156"/>
      <c r="V48" s="156"/>
      <c r="W48" s="156"/>
      <c r="X48" s="156"/>
      <c r="Y48" s="178"/>
      <c r="Z48" s="156"/>
      <c r="AA48" s="156"/>
      <c r="AB48" s="156"/>
      <c r="AC48" s="178"/>
      <c r="AD48" s="156"/>
      <c r="AE48" s="156"/>
      <c r="AF48" s="156"/>
      <c r="AG48" s="156"/>
    </row>
    <row r="49">
      <c r="A49" s="126">
        <v>44.0</v>
      </c>
      <c r="B49" s="192" t="s">
        <v>452</v>
      </c>
      <c r="C49" s="192" t="s">
        <v>211</v>
      </c>
      <c r="D49" s="193" t="s">
        <v>76</v>
      </c>
      <c r="E49" s="192" t="s">
        <v>435</v>
      </c>
      <c r="F49" s="192" t="s">
        <v>598</v>
      </c>
      <c r="G49" s="4" t="s">
        <v>79</v>
      </c>
      <c r="H49" s="195" t="s">
        <v>642</v>
      </c>
      <c r="I49" s="192" t="s">
        <v>119</v>
      </c>
      <c r="J49" s="192" t="b">
        <v>1</v>
      </c>
      <c r="K49" s="196">
        <v>45972.0</v>
      </c>
      <c r="L49" s="197" t="b">
        <v>1</v>
      </c>
      <c r="M49" s="198"/>
      <c r="N49" s="197" t="b">
        <v>1</v>
      </c>
      <c r="O49" s="192" t="b">
        <v>1</v>
      </c>
      <c r="P49" s="196">
        <v>45980.0</v>
      </c>
      <c r="Q49" s="192" t="b">
        <v>1</v>
      </c>
      <c r="R49" s="196"/>
      <c r="S49" s="196"/>
      <c r="Y49" s="17"/>
      <c r="AC49" s="133"/>
    </row>
    <row r="50">
      <c r="A50" s="126">
        <v>45.0</v>
      </c>
      <c r="B50" s="201" t="s">
        <v>236</v>
      </c>
      <c r="C50" s="202" t="s">
        <v>237</v>
      </c>
      <c r="D50" s="201" t="s">
        <v>76</v>
      </c>
      <c r="E50" s="201" t="s">
        <v>565</v>
      </c>
      <c r="F50" s="203" t="s">
        <v>0</v>
      </c>
      <c r="G50" s="4" t="s">
        <v>126</v>
      </c>
      <c r="H50" s="204" t="s">
        <v>636</v>
      </c>
      <c r="I50" s="202" t="s">
        <v>123</v>
      </c>
      <c r="J50" s="202" t="b">
        <v>1</v>
      </c>
      <c r="K50" s="205">
        <v>45972.0</v>
      </c>
      <c r="L50" s="206" t="b">
        <v>1</v>
      </c>
      <c r="M50" s="207"/>
      <c r="N50" s="206" t="b">
        <v>1</v>
      </c>
      <c r="O50" s="202" t="b">
        <v>1</v>
      </c>
      <c r="P50" s="205">
        <v>45980.0</v>
      </c>
      <c r="Q50" s="202" t="b">
        <v>1</v>
      </c>
      <c r="R50" s="205"/>
      <c r="S50" s="205"/>
      <c r="Y50" s="133"/>
      <c r="AC50" s="133"/>
    </row>
    <row r="51" ht="15.0" customHeight="1">
      <c r="A51" s="126">
        <v>46.0</v>
      </c>
      <c r="B51" s="208" t="s">
        <v>328</v>
      </c>
      <c r="C51" s="208" t="s">
        <v>329</v>
      </c>
      <c r="D51" s="202" t="s">
        <v>76</v>
      </c>
      <c r="E51" s="202" t="s">
        <v>590</v>
      </c>
      <c r="F51" s="202" t="s">
        <v>0</v>
      </c>
      <c r="G51" s="202"/>
      <c r="H51" s="204" t="s">
        <v>286</v>
      </c>
      <c r="I51" s="202" t="s">
        <v>607</v>
      </c>
      <c r="J51" s="202" t="b">
        <v>1</v>
      </c>
      <c r="K51" s="205">
        <v>45972.0</v>
      </c>
      <c r="L51" s="206" t="b">
        <v>1</v>
      </c>
      <c r="M51" s="209"/>
      <c r="N51" s="206" t="b">
        <v>1</v>
      </c>
      <c r="O51" s="202" t="b">
        <v>1</v>
      </c>
      <c r="P51" s="205">
        <v>45980.0</v>
      </c>
      <c r="Q51" s="202" t="b">
        <v>1</v>
      </c>
      <c r="R51" s="210"/>
      <c r="S51" s="210"/>
    </row>
    <row r="52">
      <c r="A52" s="126">
        <v>47.0</v>
      </c>
      <c r="B52" s="208" t="s">
        <v>569</v>
      </c>
      <c r="C52" s="208" t="s">
        <v>570</v>
      </c>
      <c r="D52" s="202" t="s">
        <v>76</v>
      </c>
      <c r="E52" s="202" t="s">
        <v>565</v>
      </c>
      <c r="F52" s="202" t="s">
        <v>0</v>
      </c>
      <c r="G52" s="175" t="s">
        <v>126</v>
      </c>
      <c r="H52" s="204" t="s">
        <v>636</v>
      </c>
      <c r="I52" s="202" t="s">
        <v>123</v>
      </c>
      <c r="J52" s="202" t="b">
        <v>1</v>
      </c>
      <c r="K52" s="205">
        <v>45972.0</v>
      </c>
      <c r="L52" s="206" t="b">
        <v>1</v>
      </c>
      <c r="M52" s="207"/>
      <c r="N52" s="206" t="b">
        <v>1</v>
      </c>
      <c r="O52" s="202" t="b">
        <v>1</v>
      </c>
      <c r="P52" s="205">
        <v>45980.0</v>
      </c>
      <c r="Q52" s="202" t="b">
        <v>1</v>
      </c>
      <c r="R52" s="205"/>
      <c r="S52" s="205"/>
      <c r="Y52" s="133"/>
      <c r="AC52" s="133"/>
    </row>
    <row r="53">
      <c r="A53" s="126">
        <v>48.0</v>
      </c>
      <c r="B53" s="202" t="s">
        <v>257</v>
      </c>
      <c r="C53" s="202" t="s">
        <v>258</v>
      </c>
      <c r="D53" s="201" t="s">
        <v>76</v>
      </c>
      <c r="E53" s="202" t="s">
        <v>572</v>
      </c>
      <c r="F53" s="203" t="s">
        <v>0</v>
      </c>
      <c r="G53" s="4" t="s">
        <v>126</v>
      </c>
      <c r="H53" s="204" t="s">
        <v>636</v>
      </c>
      <c r="I53" s="202" t="s">
        <v>123</v>
      </c>
      <c r="J53" s="202" t="b">
        <v>1</v>
      </c>
      <c r="K53" s="205">
        <v>45972.0</v>
      </c>
      <c r="L53" s="206" t="b">
        <v>1</v>
      </c>
      <c r="M53" s="207"/>
      <c r="N53" s="206" t="b">
        <v>1</v>
      </c>
      <c r="O53" s="202" t="b">
        <v>1</v>
      </c>
      <c r="P53" s="205">
        <v>45980.0</v>
      </c>
      <c r="Q53" s="202" t="b">
        <v>1</v>
      </c>
      <c r="R53" s="205"/>
      <c r="S53" s="205"/>
      <c r="Y53" s="133"/>
      <c r="AC53" s="133"/>
    </row>
    <row r="54">
      <c r="A54" s="126">
        <v>49.0</v>
      </c>
      <c r="B54" s="202" t="s">
        <v>259</v>
      </c>
      <c r="C54" s="202" t="s">
        <v>260</v>
      </c>
      <c r="D54" s="201" t="s">
        <v>76</v>
      </c>
      <c r="E54" s="201" t="s">
        <v>572</v>
      </c>
      <c r="F54" s="203" t="s">
        <v>0</v>
      </c>
      <c r="G54" s="4" t="s">
        <v>126</v>
      </c>
      <c r="H54" s="204" t="s">
        <v>636</v>
      </c>
      <c r="I54" s="202" t="s">
        <v>123</v>
      </c>
      <c r="J54" s="202" t="b">
        <v>1</v>
      </c>
      <c r="K54" s="205">
        <v>45972.0</v>
      </c>
      <c r="L54" s="206" t="b">
        <v>1</v>
      </c>
      <c r="M54" s="207"/>
      <c r="N54" s="206" t="b">
        <v>1</v>
      </c>
      <c r="O54" s="202" t="b">
        <v>1</v>
      </c>
      <c r="P54" s="205">
        <v>45980.0</v>
      </c>
      <c r="Q54" s="202" t="b">
        <v>1</v>
      </c>
      <c r="R54" s="205"/>
      <c r="S54" s="205"/>
      <c r="Y54" s="17"/>
      <c r="AC54" s="133"/>
    </row>
    <row r="55">
      <c r="A55" s="126">
        <v>50.0</v>
      </c>
      <c r="B55" s="202" t="s">
        <v>147</v>
      </c>
      <c r="C55" s="202" t="s">
        <v>148</v>
      </c>
      <c r="D55" s="201" t="s">
        <v>76</v>
      </c>
      <c r="E55" s="202" t="s">
        <v>557</v>
      </c>
      <c r="F55" s="203" t="s">
        <v>0</v>
      </c>
      <c r="G55" s="4" t="s">
        <v>101</v>
      </c>
      <c r="H55" s="204" t="s">
        <v>646</v>
      </c>
      <c r="I55" s="202" t="s">
        <v>123</v>
      </c>
      <c r="J55" s="202" t="b">
        <v>1</v>
      </c>
      <c r="K55" s="205">
        <v>45972.0</v>
      </c>
      <c r="L55" s="206" t="b">
        <v>1</v>
      </c>
      <c r="M55" s="207"/>
      <c r="N55" s="206" t="b">
        <v>1</v>
      </c>
      <c r="O55" s="202" t="b">
        <v>1</v>
      </c>
      <c r="P55" s="205">
        <v>45980.0</v>
      </c>
      <c r="Q55" s="202" t="b">
        <v>1</v>
      </c>
      <c r="R55" s="205"/>
      <c r="S55" s="205"/>
      <c r="Y55" s="17"/>
      <c r="Z55" s="17"/>
      <c r="AC55" s="133"/>
    </row>
    <row r="56">
      <c r="A56" s="126">
        <v>51.0</v>
      </c>
      <c r="B56" s="201" t="s">
        <v>267</v>
      </c>
      <c r="C56" s="202" t="s">
        <v>268</v>
      </c>
      <c r="D56" s="201" t="s">
        <v>76</v>
      </c>
      <c r="E56" s="201" t="s">
        <v>572</v>
      </c>
      <c r="F56" s="203" t="s">
        <v>0</v>
      </c>
      <c r="G56" s="129" t="s">
        <v>101</v>
      </c>
      <c r="H56" s="204" t="s">
        <v>102</v>
      </c>
      <c r="I56" s="202" t="s">
        <v>123</v>
      </c>
      <c r="J56" s="202" t="b">
        <v>1</v>
      </c>
      <c r="K56" s="205">
        <v>45972.0</v>
      </c>
      <c r="L56" s="206" t="b">
        <v>1</v>
      </c>
      <c r="M56" s="207"/>
      <c r="N56" s="206" t="b">
        <v>1</v>
      </c>
      <c r="O56" s="202" t="b">
        <v>1</v>
      </c>
      <c r="P56" s="205">
        <v>45980.0</v>
      </c>
      <c r="Q56" s="202" t="b">
        <v>1</v>
      </c>
      <c r="R56" s="205"/>
      <c r="S56" s="205"/>
      <c r="Y56" s="17"/>
      <c r="AC56" s="133"/>
    </row>
    <row r="57">
      <c r="A57" s="126">
        <v>52.0</v>
      </c>
      <c r="B57" s="211" t="s">
        <v>45</v>
      </c>
      <c r="C57" s="211" t="s">
        <v>549</v>
      </c>
      <c r="D57" s="212" t="s">
        <v>76</v>
      </c>
      <c r="E57" s="212" t="s">
        <v>580</v>
      </c>
      <c r="F57" s="212" t="s">
        <v>0</v>
      </c>
      <c r="G57" s="129" t="s">
        <v>126</v>
      </c>
      <c r="H57" s="213" t="s">
        <v>636</v>
      </c>
      <c r="I57" s="212" t="s">
        <v>607</v>
      </c>
      <c r="J57" s="212" t="b">
        <v>1</v>
      </c>
      <c r="K57" s="214">
        <v>45972.0</v>
      </c>
      <c r="L57" s="215" t="b">
        <v>1</v>
      </c>
      <c r="M57" s="216"/>
      <c r="N57" s="215" t="b">
        <v>1</v>
      </c>
      <c r="O57" s="212" t="b">
        <v>1</v>
      </c>
      <c r="P57" s="214">
        <v>45980.0</v>
      </c>
      <c r="Q57" s="212" t="b">
        <v>1</v>
      </c>
      <c r="R57" s="214"/>
      <c r="S57" s="214"/>
      <c r="Y57" s="17"/>
      <c r="Z57" s="17"/>
      <c r="AC57" s="133"/>
    </row>
    <row r="58">
      <c r="A58" s="126">
        <v>53.0</v>
      </c>
      <c r="B58" s="211" t="s">
        <v>460</v>
      </c>
      <c r="C58" s="211" t="s">
        <v>461</v>
      </c>
      <c r="D58" s="212" t="s">
        <v>76</v>
      </c>
      <c r="E58" s="212" t="s">
        <v>435</v>
      </c>
      <c r="F58" s="212" t="s">
        <v>598</v>
      </c>
      <c r="G58" s="175" t="s">
        <v>101</v>
      </c>
      <c r="H58" s="213" t="s">
        <v>102</v>
      </c>
      <c r="I58" s="212" t="s">
        <v>607</v>
      </c>
      <c r="J58" s="212" t="b">
        <v>1</v>
      </c>
      <c r="K58" s="214">
        <v>45972.0</v>
      </c>
      <c r="L58" s="215" t="b">
        <v>1</v>
      </c>
      <c r="M58" s="216"/>
      <c r="N58" s="215" t="b">
        <v>1</v>
      </c>
      <c r="O58" s="212" t="b">
        <v>1</v>
      </c>
      <c r="P58" s="214">
        <v>45980.0</v>
      </c>
      <c r="Q58" s="212" t="b">
        <v>1</v>
      </c>
      <c r="R58" s="214"/>
      <c r="S58" s="212">
        <v>1.0</v>
      </c>
      <c r="Y58" s="17"/>
      <c r="Z58" s="17"/>
      <c r="AC58" s="133"/>
    </row>
    <row r="59">
      <c r="A59" s="126">
        <v>54.0</v>
      </c>
      <c r="B59" s="211" t="s">
        <v>462</v>
      </c>
      <c r="C59" s="211" t="s">
        <v>463</v>
      </c>
      <c r="D59" s="212" t="s">
        <v>76</v>
      </c>
      <c r="E59" s="212" t="s">
        <v>435</v>
      </c>
      <c r="F59" s="212" t="s">
        <v>598</v>
      </c>
      <c r="G59" s="175" t="s">
        <v>101</v>
      </c>
      <c r="H59" s="213" t="s">
        <v>102</v>
      </c>
      <c r="I59" s="212" t="s">
        <v>607</v>
      </c>
      <c r="J59" s="212" t="b">
        <v>1</v>
      </c>
      <c r="K59" s="214">
        <v>45972.0</v>
      </c>
      <c r="L59" s="215" t="b">
        <v>1</v>
      </c>
      <c r="M59" s="216"/>
      <c r="N59" s="215" t="b">
        <v>1</v>
      </c>
      <c r="O59" s="212" t="b">
        <v>1</v>
      </c>
      <c r="P59" s="214">
        <v>45980.0</v>
      </c>
      <c r="Q59" s="212" t="b">
        <v>1</v>
      </c>
      <c r="R59" s="214"/>
      <c r="S59" s="214"/>
      <c r="Y59" s="133"/>
      <c r="Z59" s="17"/>
      <c r="AC59" s="133"/>
    </row>
    <row r="60">
      <c r="A60" s="126">
        <v>55.0</v>
      </c>
      <c r="B60" s="217" t="s">
        <v>309</v>
      </c>
      <c r="C60" s="218" t="s">
        <v>310</v>
      </c>
      <c r="D60" s="219" t="s">
        <v>76</v>
      </c>
      <c r="E60" s="219" t="s">
        <v>580</v>
      </c>
      <c r="F60" s="217" t="s">
        <v>0</v>
      </c>
      <c r="G60" s="129" t="s">
        <v>101</v>
      </c>
      <c r="H60" s="220" t="s">
        <v>102</v>
      </c>
      <c r="I60" s="218" t="s">
        <v>581</v>
      </c>
      <c r="J60" s="218" t="b">
        <v>1</v>
      </c>
      <c r="K60" s="221">
        <v>45972.0</v>
      </c>
      <c r="L60" s="222" t="b">
        <v>1</v>
      </c>
      <c r="M60" s="223"/>
      <c r="N60" s="222" t="b">
        <v>1</v>
      </c>
      <c r="O60" s="218" t="b">
        <v>1</v>
      </c>
      <c r="P60" s="221">
        <v>45980.0</v>
      </c>
      <c r="Q60" s="218" t="b">
        <v>1</v>
      </c>
      <c r="R60" s="221"/>
      <c r="S60" s="221"/>
      <c r="Y60" s="133"/>
      <c r="AC60" s="133"/>
    </row>
    <row r="61">
      <c r="A61" s="126">
        <v>56.0</v>
      </c>
      <c r="B61" s="218" t="s">
        <v>313</v>
      </c>
      <c r="C61" s="218" t="s">
        <v>308</v>
      </c>
      <c r="D61" s="219" t="s">
        <v>76</v>
      </c>
      <c r="E61" s="218" t="s">
        <v>580</v>
      </c>
      <c r="F61" s="217" t="s">
        <v>0</v>
      </c>
      <c r="G61" s="4" t="s">
        <v>92</v>
      </c>
      <c r="H61" s="220" t="s">
        <v>286</v>
      </c>
      <c r="I61" s="218" t="s">
        <v>581</v>
      </c>
      <c r="J61" s="218" t="b">
        <v>1</v>
      </c>
      <c r="K61" s="221">
        <v>45972.0</v>
      </c>
      <c r="L61" s="222" t="b">
        <v>1</v>
      </c>
      <c r="M61" s="223"/>
      <c r="N61" s="222" t="b">
        <v>1</v>
      </c>
      <c r="O61" s="218" t="b">
        <v>1</v>
      </c>
      <c r="P61" s="221">
        <v>45980.0</v>
      </c>
      <c r="Q61" s="218" t="b">
        <v>1</v>
      </c>
      <c r="R61" s="221"/>
      <c r="S61" s="221"/>
      <c r="Y61" s="133"/>
      <c r="Z61" s="17"/>
      <c r="AC61" s="133"/>
    </row>
    <row r="62">
      <c r="A62" s="126">
        <v>57.0</v>
      </c>
      <c r="B62" s="224" t="s">
        <v>352</v>
      </c>
      <c r="C62" s="224" t="s">
        <v>353</v>
      </c>
      <c r="D62" s="218" t="s">
        <v>76</v>
      </c>
      <c r="E62" s="218" t="s">
        <v>648</v>
      </c>
      <c r="F62" s="218" t="s">
        <v>0</v>
      </c>
      <c r="G62" s="175" t="s">
        <v>92</v>
      </c>
      <c r="H62" s="220" t="s">
        <v>636</v>
      </c>
      <c r="I62" s="218" t="s">
        <v>581</v>
      </c>
      <c r="J62" s="218" t="b">
        <v>1</v>
      </c>
      <c r="K62" s="221">
        <v>45972.0</v>
      </c>
      <c r="L62" s="222" t="b">
        <v>1</v>
      </c>
      <c r="M62" s="223"/>
      <c r="N62" s="222" t="b">
        <v>1</v>
      </c>
      <c r="O62" s="218" t="b">
        <v>1</v>
      </c>
      <c r="P62" s="221">
        <v>45980.0</v>
      </c>
      <c r="Q62" s="218" t="b">
        <v>1</v>
      </c>
      <c r="R62" s="217"/>
      <c r="S62" s="217"/>
      <c r="Y62" s="133"/>
      <c r="Z62" s="17"/>
    </row>
    <row r="63">
      <c r="A63" s="126">
        <v>58.0</v>
      </c>
      <c r="B63" s="224" t="s">
        <v>118</v>
      </c>
      <c r="C63" s="224" t="s">
        <v>121</v>
      </c>
      <c r="D63" s="218"/>
      <c r="E63" s="218" t="s">
        <v>560</v>
      </c>
      <c r="F63" s="218"/>
      <c r="G63" s="175"/>
      <c r="H63" s="220" t="s">
        <v>642</v>
      </c>
      <c r="I63" s="218" t="s">
        <v>109</v>
      </c>
      <c r="J63" s="218" t="b">
        <v>1</v>
      </c>
      <c r="K63" s="221">
        <v>46004.0</v>
      </c>
      <c r="L63" s="222" t="b">
        <v>1</v>
      </c>
      <c r="M63" s="223"/>
      <c r="N63" s="222" t="b">
        <v>1</v>
      </c>
      <c r="O63" s="218" t="b">
        <v>0</v>
      </c>
      <c r="P63" s="221"/>
      <c r="Q63" s="218" t="b">
        <v>0</v>
      </c>
      <c r="R63" s="217"/>
      <c r="S63" s="218">
        <v>1.0</v>
      </c>
      <c r="Y63" s="133"/>
      <c r="Z63" s="17"/>
    </row>
    <row r="64">
      <c r="A64" s="8"/>
      <c r="B64" s="8"/>
      <c r="C64" s="8"/>
      <c r="Y64" s="133"/>
      <c r="Z64" s="17"/>
    </row>
    <row r="65">
      <c r="A65" s="8"/>
      <c r="B65" s="8"/>
      <c r="C65" s="8"/>
    </row>
    <row r="74">
      <c r="C74" s="17"/>
      <c r="E74" s="17"/>
    </row>
    <row r="75">
      <c r="E75" s="17"/>
    </row>
    <row r="76">
      <c r="E76" s="17"/>
    </row>
    <row r="77">
      <c r="E77" s="17"/>
    </row>
    <row r="78">
      <c r="C78" s="17"/>
      <c r="E78" s="17"/>
    </row>
    <row r="81">
      <c r="C81" s="17"/>
      <c r="E81" s="17"/>
    </row>
    <row r="86">
      <c r="E86" s="17"/>
    </row>
    <row r="87">
      <c r="E87" s="17"/>
    </row>
    <row r="88">
      <c r="E88" s="17"/>
    </row>
    <row r="89">
      <c r="E89" s="17"/>
    </row>
    <row r="90">
      <c r="C90" s="17"/>
      <c r="E90" s="17"/>
    </row>
    <row r="91">
      <c r="C91" s="17"/>
    </row>
    <row r="92">
      <c r="C92" s="17"/>
    </row>
    <row r="97">
      <c r="E97" s="17"/>
    </row>
    <row r="102">
      <c r="C102" s="17"/>
    </row>
    <row r="103">
      <c r="C103" s="17"/>
    </row>
    <row r="104">
      <c r="C104" s="17"/>
    </row>
    <row r="105">
      <c r="C105" s="17"/>
    </row>
    <row r="106">
      <c r="C106" s="17"/>
      <c r="G106" s="225"/>
    </row>
    <row r="109">
      <c r="C109" s="17"/>
    </row>
    <row r="114">
      <c r="C114" s="17"/>
    </row>
    <row r="115">
      <c r="C115" s="17"/>
    </row>
    <row r="116">
      <c r="C116" s="17"/>
    </row>
    <row r="117">
      <c r="C117" s="17"/>
    </row>
    <row r="118">
      <c r="C118" s="17"/>
    </row>
    <row r="125">
      <c r="C125" s="17"/>
    </row>
  </sheetData>
  <mergeCells count="1">
    <mergeCell ref="T1:X6"/>
  </mergeCells>
  <dataValidations>
    <dataValidation type="list" allowBlank="1" sqref="I2:I63">
      <formula1>"Lam,Caleb,Chuan,David,Enouch,Evelyn,Mandy,Kerry,Tony,Reagan,Vincent"</formula1>
    </dataValidation>
    <dataValidation type="list" allowBlank="1" sqref="D2:D63">
      <formula1>"Active,Suspended,Inactive"</formula1>
    </dataValidation>
    <dataValidation type="list" allowBlank="1" sqref="E2:E63">
      <formula1>"1 Mon 7.30-8.30pm,2 Wed 7.30-8.30pm,3 Sat 9.00-10.00am,4 Sat 10.00-11.00am,5 Sat 11.00-12.00pm,6 Sat 2.00-3.00pm,7 Sat 3.00-4.00pm,8 Sat 4.00-5.00pm,TH 12:45-1:45pm,CH 12:00-1:00pm,WIN 2:30-3:30pm,SHS 2:00-3:00pm,GLOW 9:30-10:30am,CS 1:20-3:30pm"</formula1>
    </dataValidation>
    <dataValidation type="list" allowBlank="1" sqref="G2:G8 G10:G39 G41:G50 G52:G63">
      <formula1>"Digital Animation,Mobile Coding,Creative Computing,Coding and Algorithm,Physical Computing,Game Development,HCI and Machine Learning,Embedded System,Mobile Apps Development,3D Design for AR and VR,IOT Control with ESP32,Database and API with App Inventor,"&amp;"AI with Python"</formula1>
    </dataValidation>
    <dataValidation type="list" allowBlank="1" sqref="F2:F8 F9:G9 F10:F39 F40:G40 F41:F50 F51:G51 F52:F63">
      <formula1>"Veritas,SJK(C) Chung Hua,SJK(C) Chung Sing,SMK Sacred Heart,SJK (C) Tung Hua,Woodlands,GLOW"</formula1>
    </dataValidation>
  </dataValidations>
  <printOptions gridLines="1" horizontalCentered="1"/>
  <pageMargins bottom="0.75" footer="0.0" header="0.0" left="0.7" right="0.7" top="0.75"/>
  <pageSetup paperSize="9" cellComments="atEnd" orientation="portrait" pageOrder="overThenDown"/>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6" max="6" width="17.71"/>
  </cols>
  <sheetData>
    <row r="1"/>
    <row r="2">
      <c r="F2" s="4" t="str">
        <f>IFERROR(__xludf.DUMMYFUNCTION("IFERROR(
  FILTER(#REF!, TRIM('CBK Students'!B:B) = TRIM(A2)),
  """"
)"),"")</f>
        <v/>
      </c>
      <c r="G2" s="3" t="s">
        <v>661</v>
      </c>
    </row>
    <row r="3"/>
    <row r="4">
      <c r="F4" s="4" t="str">
        <f>IFERROR(__xludf.DUMMYFUNCTION("IFERROR(
  FILTER(#REF!, TRIM('CBK Students'!B:B) = TRIM(A4)),
  """"
)"),"")</f>
        <v/>
      </c>
      <c r="G4" s="4">
        <f t="shared" ref="G4:G1970" si="1">F4+C4-D4</f>
        <v>-5</v>
      </c>
    </row>
    <row r="5">
      <c r="F5" s="4" t="str">
        <f>IFERROR(__xludf.DUMMYFUNCTION("IFERROR(
  FILTER(#REF!, TRIM('CBK Students'!B:B) = TRIM(A5)),
  """"
)"),"")</f>
        <v/>
      </c>
      <c r="G5" s="4">
        <f t="shared" si="1"/>
        <v>5</v>
      </c>
    </row>
    <row r="6">
      <c r="F6" s="4" t="str">
        <f>IFERROR(__xludf.DUMMYFUNCTION("IFERROR(
  FILTER(#REF!, TRIM('CBK Students'!B:B) = TRIM(A6)),
  """"
)"),"")</f>
        <v/>
      </c>
      <c r="G6" s="4">
        <f t="shared" si="1"/>
        <v>1</v>
      </c>
    </row>
    <row r="7">
      <c r="F7" s="4" t="str">
        <f>IFERROR(__xludf.DUMMYFUNCTION("IFERROR(
  FILTER(#REF!, TRIM('CBK Students'!B:B) = TRIM(A7)),
  """"
)"),"")</f>
        <v/>
      </c>
      <c r="G7" s="4">
        <f t="shared" si="1"/>
        <v>2</v>
      </c>
    </row>
    <row r="8">
      <c r="F8" s="4" t="str">
        <f>IFERROR(__xludf.DUMMYFUNCTION("IFERROR(
  FILTER(#REF!, TRIM('CBK Students'!B:B) = TRIM(A8)),
  """"
)"),"")</f>
        <v/>
      </c>
      <c r="G8" s="4">
        <f t="shared" si="1"/>
        <v>8</v>
      </c>
    </row>
    <row r="9">
      <c r="F9" s="4" t="str">
        <f>IFERROR(__xludf.DUMMYFUNCTION("IFERROR(
  FILTER(#REF!, TRIM('CBK Students'!B:B) = TRIM(A9)),
  """"
)"),"")</f>
        <v/>
      </c>
      <c r="G9" s="4">
        <f t="shared" si="1"/>
        <v>3</v>
      </c>
    </row>
    <row r="10">
      <c r="F10" s="4" t="str">
        <f>IFERROR(__xludf.DUMMYFUNCTION("IFERROR(
  FILTER(#REF!, TRIM('CBK Students'!B:B) = TRIM(A10)),
  """"
)"),"")</f>
        <v/>
      </c>
      <c r="G10" s="4">
        <f t="shared" si="1"/>
        <v>0</v>
      </c>
    </row>
    <row r="11">
      <c r="F11" s="4" t="str">
        <f>IFERROR(__xludf.DUMMYFUNCTION("IFERROR(
  FILTER(#REF!, TRIM('CBK Students'!B:B) = TRIM(A11)),
  """"
)"),"")</f>
        <v/>
      </c>
      <c r="G11" s="4">
        <f t="shared" si="1"/>
        <v>-1</v>
      </c>
    </row>
    <row r="12">
      <c r="F12" s="4" t="str">
        <f>IFERROR(__xludf.DUMMYFUNCTION("IFERROR(
  FILTER(#REF!, TRIM('CBK Students'!B:B) = TRIM(A12)),
  """"
)"),"")</f>
        <v/>
      </c>
      <c r="G12" s="4">
        <f t="shared" si="1"/>
        <v>0</v>
      </c>
    </row>
    <row r="13">
      <c r="F13" s="4" t="str">
        <f>IFERROR(__xludf.DUMMYFUNCTION("IFERROR(
  FILTER(#REF!, TRIM('CBK Students'!B:B) = TRIM(A13)),
  """"
)"),"")</f>
        <v/>
      </c>
      <c r="G13" s="4">
        <f t="shared" si="1"/>
        <v>2</v>
      </c>
    </row>
    <row r="14">
      <c r="F14" s="4" t="str">
        <f>IFERROR(__xludf.DUMMYFUNCTION("IFERROR(
  FILTER(#REF!, TRIM('CBK Students'!B:B) = TRIM(A14)),
  """"
)"),"")</f>
        <v/>
      </c>
      <c r="G14" s="4">
        <f t="shared" si="1"/>
        <v>1</v>
      </c>
    </row>
    <row r="15">
      <c r="F15" s="4" t="str">
        <f>IFERROR(__xludf.DUMMYFUNCTION("IFERROR(
  FILTER(#REF!, TRIM('CBK Students'!B:B) = TRIM(A15)),
  """"
)"),"")</f>
        <v/>
      </c>
      <c r="G15" s="4">
        <f t="shared" si="1"/>
        <v>1</v>
      </c>
    </row>
    <row r="16">
      <c r="F16" s="4" t="str">
        <f>IFERROR(__xludf.DUMMYFUNCTION("IFERROR(
  FILTER(#REF!, TRIM('CBK Students'!B:B) = TRIM(A16)),
  """"
)"),"")</f>
        <v/>
      </c>
      <c r="G16" s="4">
        <f t="shared" si="1"/>
        <v>3</v>
      </c>
    </row>
    <row r="17">
      <c r="F17" s="4" t="str">
        <f>IFERROR(__xludf.DUMMYFUNCTION("IFERROR(
  FILTER(#REF!, TRIM('CBK Students'!B:B) = TRIM(A17)),
  """"
)"),"")</f>
        <v/>
      </c>
      <c r="G17" s="4">
        <f t="shared" si="1"/>
        <v>1</v>
      </c>
    </row>
    <row r="18">
      <c r="F18" s="4" t="str">
        <f>IFERROR(__xludf.DUMMYFUNCTION("IFERROR(
  FILTER(#REF!, TRIM('CBK Students'!B:B) = TRIM(A18)),
  """"
)"),"")</f>
        <v/>
      </c>
      <c r="G18" s="4">
        <f t="shared" si="1"/>
        <v>2</v>
      </c>
    </row>
    <row r="19">
      <c r="F19" s="4" t="str">
        <f>IFERROR(__xludf.DUMMYFUNCTION("IFERROR(
  FILTER(#REF!, TRIM('CBK Students'!B:B) = TRIM(A19)),
  """"
)"),"")</f>
        <v/>
      </c>
      <c r="G19" s="4">
        <f t="shared" si="1"/>
        <v>3</v>
      </c>
    </row>
    <row r="20">
      <c r="F20" s="4" t="str">
        <f>IFERROR(__xludf.DUMMYFUNCTION("IFERROR(
  FILTER(#REF!, TRIM('CBK Students'!B:B) = TRIM(A20)),
  """"
)"),"")</f>
        <v/>
      </c>
      <c r="G20" s="4">
        <f t="shared" si="1"/>
        <v>3</v>
      </c>
    </row>
    <row r="21">
      <c r="F21" s="4" t="str">
        <f>IFERROR(__xludf.DUMMYFUNCTION("IFERROR(
  FILTER(#REF!, TRIM('CBK Students'!B:B) = TRIM(A21)),
  """"
)"),"")</f>
        <v/>
      </c>
      <c r="G21" s="4">
        <f t="shared" si="1"/>
        <v>2</v>
      </c>
    </row>
    <row r="22">
      <c r="F22" s="4" t="str">
        <f>IFERROR(__xludf.DUMMYFUNCTION("IFERROR(
  FILTER(#REF!, TRIM('CBK Students'!B:B) = TRIM(A22)),
  """"
)"),"")</f>
        <v/>
      </c>
      <c r="G22" s="4">
        <f t="shared" si="1"/>
        <v>1</v>
      </c>
    </row>
    <row r="23">
      <c r="F23" s="4" t="str">
        <f>IFERROR(__xludf.DUMMYFUNCTION("IFERROR(
  FILTER(#REF!, TRIM('CBK Students'!B:B) = TRIM(A23)),
  """"
)"),"")</f>
        <v/>
      </c>
      <c r="G23" s="4">
        <f t="shared" si="1"/>
        <v>2</v>
      </c>
    </row>
    <row r="24">
      <c r="F24" s="4" t="str">
        <f>IFERROR(__xludf.DUMMYFUNCTION("IFERROR(
  FILTER(#REF!, TRIM('CBK Students'!B:B) = TRIM(A24)),
  """"
)"),"")</f>
        <v/>
      </c>
      <c r="G24" s="4">
        <f t="shared" si="1"/>
        <v>1</v>
      </c>
    </row>
    <row r="25">
      <c r="F25" s="4" t="str">
        <f>IFERROR(__xludf.DUMMYFUNCTION("IFERROR(
  FILTER(#REF!, TRIM('CBK Students'!B:B) = TRIM(A25)),
  """"
)"),"")</f>
        <v/>
      </c>
      <c r="G25" s="4">
        <f t="shared" si="1"/>
        <v>2</v>
      </c>
    </row>
    <row r="26">
      <c r="F26" s="4" t="str">
        <f>IFERROR(__xludf.DUMMYFUNCTION("IFERROR(
  FILTER(#REF!, TRIM('CBK Students'!B:B) = TRIM(A26)),
  """"
)"),"")</f>
        <v/>
      </c>
      <c r="G26" s="4">
        <f t="shared" si="1"/>
        <v>1</v>
      </c>
    </row>
    <row r="27">
      <c r="F27" s="4" t="str">
        <f>IFERROR(__xludf.DUMMYFUNCTION("IFERROR(
  FILTER(#REF!, TRIM('CBK Students'!B:B) = TRIM(A27)),
  """"
)"),"")</f>
        <v/>
      </c>
      <c r="G27" s="4">
        <f t="shared" si="1"/>
        <v>0</v>
      </c>
    </row>
    <row r="28">
      <c r="F28" s="4" t="str">
        <f>IFERROR(__xludf.DUMMYFUNCTION("IFERROR(
  FILTER(#REF!, TRIM('CBK Students'!B:B) = TRIM(A28)),
  """"
)"),"")</f>
        <v/>
      </c>
      <c r="G28" s="4">
        <f t="shared" si="1"/>
        <v>3</v>
      </c>
    </row>
    <row r="29">
      <c r="F29" s="4" t="str">
        <f>IFERROR(__xludf.DUMMYFUNCTION("IFERROR(
  FILTER(#REF!, TRIM('CBK Students'!B:B) = TRIM(A29)),
  """"
)"),"")</f>
        <v/>
      </c>
      <c r="G29" s="4">
        <f t="shared" si="1"/>
        <v>1</v>
      </c>
    </row>
    <row r="30">
      <c r="F30" s="4" t="str">
        <f>IFERROR(__xludf.DUMMYFUNCTION("IFERROR(
  FILTER(#REF!, TRIM('CBK Students'!B:B) = TRIM(A30)),
  """"
)"),"")</f>
        <v/>
      </c>
      <c r="G30" s="4">
        <f t="shared" si="1"/>
        <v>5</v>
      </c>
    </row>
    <row r="31">
      <c r="F31" s="4" t="str">
        <f>IFERROR(__xludf.DUMMYFUNCTION("IFERROR(
  FILTER(#REF!, TRIM('CBK Students'!B:B) = TRIM(A31)),
  """"
)"),"")</f>
        <v/>
      </c>
      <c r="G31" s="4">
        <f t="shared" si="1"/>
        <v>0</v>
      </c>
    </row>
    <row r="32">
      <c r="F32" s="4" t="str">
        <f>IFERROR(__xludf.DUMMYFUNCTION("IFERROR(
  FILTER(#REF!, TRIM('CBK Students'!B:B) = TRIM(A32)),
  """"
)"),"")</f>
        <v/>
      </c>
      <c r="G32" s="4">
        <f t="shared" si="1"/>
        <v>0</v>
      </c>
    </row>
    <row r="33">
      <c r="F33" s="4" t="str">
        <f>IFERROR(__xludf.DUMMYFUNCTION("IFERROR(
  FILTER(#REF!, TRIM('CBK Students'!B:B) = TRIM(A33)),
  """"
)"),"")</f>
        <v/>
      </c>
      <c r="G33" s="4">
        <f t="shared" si="1"/>
        <v>0</v>
      </c>
    </row>
    <row r="34">
      <c r="F34" s="4" t="str">
        <f>IFERROR(__xludf.DUMMYFUNCTION("IFERROR(
  FILTER(#REF!, TRIM('CBK Students'!B:B) = TRIM(A34)),
  """"
)"),"")</f>
        <v/>
      </c>
      <c r="G34" s="4">
        <f t="shared" si="1"/>
        <v>0</v>
      </c>
    </row>
    <row r="35">
      <c r="F35" s="4" t="str">
        <f>IFERROR(__xludf.DUMMYFUNCTION("IFERROR(
  FILTER(#REF!, TRIM('CBK Students'!B:B) = TRIM(A35)),
  """"
)"),"")</f>
        <v/>
      </c>
      <c r="G35" s="4">
        <f t="shared" si="1"/>
        <v>0</v>
      </c>
    </row>
    <row r="36">
      <c r="F36" s="4" t="str">
        <f>IFERROR(__xludf.DUMMYFUNCTION("IFERROR(
  FILTER(#REF!, TRIM('CBK Students'!B:B) = TRIM(A36)),
  """"
)"),"")</f>
        <v/>
      </c>
      <c r="G36" s="4">
        <f t="shared" si="1"/>
        <v>2</v>
      </c>
    </row>
    <row r="37">
      <c r="F37" s="4" t="str">
        <f>IFERROR(__xludf.DUMMYFUNCTION("IFERROR(
  FILTER(#REF!, TRIM('CBK Students'!B:B) = TRIM(A37)),
  """"
)"),"")</f>
        <v/>
      </c>
      <c r="G37" s="4">
        <f t="shared" si="1"/>
        <v>1</v>
      </c>
    </row>
    <row r="38">
      <c r="F38" s="4" t="str">
        <f>IFERROR(__xludf.DUMMYFUNCTION("IFERROR(
  FILTER(#REF!, TRIM('CBK Students'!B:B) = TRIM(A38)),
  """"
)"),"")</f>
        <v/>
      </c>
      <c r="G38" s="4">
        <f t="shared" si="1"/>
        <v>-1</v>
      </c>
    </row>
    <row r="39">
      <c r="F39" s="4" t="str">
        <f>IFERROR(__xludf.DUMMYFUNCTION("IFERROR(
  FILTER(#REF!, TRIM('CBK Students'!B:B) = TRIM(A39)),
  """"
)"),"")</f>
        <v/>
      </c>
      <c r="G39" s="4">
        <f t="shared" si="1"/>
        <v>0</v>
      </c>
    </row>
    <row r="40">
      <c r="F40" s="4" t="str">
        <f>IFERROR(__xludf.DUMMYFUNCTION("IFERROR(
  FILTER(#REF!, TRIM('CBK Students'!B:B) = TRIM(A40)),
  """"
)"),"")</f>
        <v/>
      </c>
      <c r="G40" s="4">
        <f t="shared" si="1"/>
        <v>0</v>
      </c>
    </row>
    <row r="41">
      <c r="F41" s="4" t="str">
        <f>IFERROR(__xludf.DUMMYFUNCTION("IFERROR(
  FILTER(#REF!, TRIM('CBK Students'!B:B) = TRIM(A41)),
  """"
)"),"")</f>
        <v/>
      </c>
      <c r="G41" s="4">
        <f t="shared" si="1"/>
        <v>1</v>
      </c>
    </row>
    <row r="42">
      <c r="F42" s="4" t="str">
        <f>IFERROR(__xludf.DUMMYFUNCTION("IFERROR(
  FILTER(#REF!, TRIM('CBK Students'!B:B) = TRIM(A42)),
  """"
)"),"")</f>
        <v/>
      </c>
      <c r="G42" s="4">
        <f t="shared" si="1"/>
        <v>2</v>
      </c>
    </row>
    <row r="43">
      <c r="F43" s="4" t="str">
        <f>IFERROR(__xludf.DUMMYFUNCTION("IFERROR(
  FILTER(#REF!, TRIM('CBK Students'!B:B) = TRIM(A43)),
  """"
)"),"")</f>
        <v/>
      </c>
      <c r="G43" s="4">
        <f t="shared" si="1"/>
        <v>1</v>
      </c>
    </row>
    <row r="44">
      <c r="F44" s="4" t="str">
        <f>IFERROR(__xludf.DUMMYFUNCTION("IFERROR(
  FILTER(#REF!, TRIM('CBK Students'!B:B) = TRIM(A44)),
  """"
)"),"")</f>
        <v/>
      </c>
      <c r="G44" s="4">
        <f t="shared" si="1"/>
        <v>1</v>
      </c>
    </row>
    <row r="45">
      <c r="F45" s="4" t="str">
        <f>IFERROR(__xludf.DUMMYFUNCTION("IFERROR(
  FILTER(#REF!, TRIM('CBK Students'!B:B) = TRIM(A45)),
  """"
)"),"")</f>
        <v/>
      </c>
      <c r="G45" s="4">
        <f t="shared" si="1"/>
        <v>1</v>
      </c>
    </row>
    <row r="46">
      <c r="F46" s="4" t="str">
        <f>IFERROR(__xludf.DUMMYFUNCTION("IFERROR(
  FILTER(#REF!, TRIM('CBK Students'!B:B) = TRIM(A46)),
  """"
)"),"")</f>
        <v/>
      </c>
      <c r="G46" s="4">
        <f t="shared" si="1"/>
        <v>0</v>
      </c>
    </row>
    <row r="47">
      <c r="F47" s="4" t="str">
        <f>IFERROR(__xludf.DUMMYFUNCTION("IFERROR(
  FILTER(#REF!, TRIM('CBK Students'!B:B) = TRIM(A47)),
  """"
)"),"")</f>
        <v/>
      </c>
      <c r="G47" s="4">
        <f t="shared" si="1"/>
        <v>1</v>
      </c>
    </row>
    <row r="48">
      <c r="F48" s="4" t="str">
        <f>IFERROR(__xludf.DUMMYFUNCTION("IFERROR(
  FILTER(#REF!, TRIM('CBK Students'!B:B) = TRIM(A48)),
  """"
)"),"")</f>
        <v/>
      </c>
      <c r="G48" s="4">
        <f t="shared" si="1"/>
        <v>-1</v>
      </c>
    </row>
    <row r="49">
      <c r="F49" s="4" t="str">
        <f>IFERROR(__xludf.DUMMYFUNCTION("IFERROR(
  FILTER(#REF!, TRIM('CBK Students'!B:B) = TRIM(A49)),
  """"
)"),"")</f>
        <v/>
      </c>
      <c r="G49" s="4">
        <f t="shared" si="1"/>
        <v>0</v>
      </c>
    </row>
    <row r="50">
      <c r="F50" s="4" t="str">
        <f>IFERROR(__xludf.DUMMYFUNCTION("IFERROR(
  FILTER(#REF!, TRIM('CBK Students'!B:B) = TRIM(A50)),
  """"
)"),"")</f>
        <v/>
      </c>
      <c r="G50" s="4">
        <f t="shared" si="1"/>
        <v>1</v>
      </c>
    </row>
    <row r="51">
      <c r="F51" s="4" t="str">
        <f>IFERROR(__xludf.DUMMYFUNCTION("IFERROR(
  FILTER(#REF!, TRIM('CBK Students'!B:B) = TRIM(A51)),
  """"
)"),"")</f>
        <v/>
      </c>
      <c r="G51" s="4">
        <f t="shared" si="1"/>
        <v>3</v>
      </c>
    </row>
    <row r="52">
      <c r="F52" s="4" t="str">
        <f>IFERROR(__xludf.DUMMYFUNCTION("IFERROR(
  FILTER(#REF!, TRIM('CBK Students'!B:B) = TRIM(A52)),
  """"
)"),"")</f>
        <v/>
      </c>
      <c r="G52" s="4">
        <f t="shared" si="1"/>
        <v>1</v>
      </c>
    </row>
    <row r="53">
      <c r="F53" s="4" t="str">
        <f>IFERROR(__xludf.DUMMYFUNCTION("IFERROR(
  FILTER(#REF!, TRIM('CBK Students'!B:B) = TRIM(A53)),
  """"
)"),"")</f>
        <v/>
      </c>
      <c r="G53" s="4">
        <f t="shared" si="1"/>
        <v>2</v>
      </c>
    </row>
    <row r="54">
      <c r="F54" s="4" t="str">
        <f>IFERROR(__xludf.DUMMYFUNCTION("IFERROR(
  FILTER(#REF!, TRIM('CBK Students'!B:B) = TRIM(A54)),
  """"
)"),"")</f>
        <v/>
      </c>
      <c r="G54" s="4">
        <f t="shared" si="1"/>
        <v>1</v>
      </c>
    </row>
    <row r="55">
      <c r="F55" s="4" t="str">
        <f>IFERROR(__xludf.DUMMYFUNCTION("IFERROR(
  FILTER(#REF!, TRIM('CBK Students'!B:B) = TRIM(A55)),
  """"
)"),"")</f>
        <v/>
      </c>
      <c r="G55" s="4">
        <f t="shared" si="1"/>
        <v>0</v>
      </c>
    </row>
    <row r="56">
      <c r="F56" s="4" t="str">
        <f>IFERROR(__xludf.DUMMYFUNCTION("IFERROR(
  FILTER(#REF!, TRIM('CBK Students'!B:B) = TRIM(A56)),
  """"
)"),"")</f>
        <v/>
      </c>
      <c r="G56" s="4">
        <f t="shared" si="1"/>
        <v>1</v>
      </c>
    </row>
    <row r="57">
      <c r="F57" s="4" t="str">
        <f>IFERROR(__xludf.DUMMYFUNCTION("IFERROR(
  FILTER(#REF!, TRIM('CBK Students'!B:B) = TRIM(A57)),
  """"
)"),"")</f>
        <v/>
      </c>
      <c r="G57" s="4">
        <f t="shared" si="1"/>
        <v>-1</v>
      </c>
    </row>
    <row r="58">
      <c r="F58" s="4" t="str">
        <f>IFERROR(__xludf.DUMMYFUNCTION("IFERROR(
  FILTER(#REF!, TRIM('CBK Students'!B:B) = TRIM(A58)),
  """"
)"),"")</f>
        <v/>
      </c>
      <c r="G58" s="4">
        <f t="shared" si="1"/>
        <v>0</v>
      </c>
    </row>
    <row r="59">
      <c r="F59" s="4" t="str">
        <f>IFERROR(__xludf.DUMMYFUNCTION("IFERROR(
  FILTER(#REF!, TRIM('CBK Students'!B:B) = TRIM(A59)),
  """"
)"),"")</f>
        <v/>
      </c>
      <c r="G59" s="4">
        <f t="shared" si="1"/>
        <v>0</v>
      </c>
    </row>
    <row r="60">
      <c r="F60" s="4" t="str">
        <f>IFERROR(__xludf.DUMMYFUNCTION("IFERROR(
  FILTER(#REF!, TRIM('CBK Students'!B:B) = TRIM(A60)),
  """"
)"),"")</f>
        <v/>
      </c>
      <c r="G60" s="4">
        <f t="shared" si="1"/>
        <v>0</v>
      </c>
    </row>
    <row r="61">
      <c r="F61" s="4" t="str">
        <f>IFERROR(__xludf.DUMMYFUNCTION("IFERROR(
  FILTER(#REF!, TRIM('CBK Students'!B:B) = TRIM(A61)),
  """"
)"),"")</f>
        <v/>
      </c>
      <c r="G61" s="4">
        <f t="shared" si="1"/>
        <v>0</v>
      </c>
    </row>
    <row r="62">
      <c r="F62" s="4" t="str">
        <f>IFERROR(__xludf.DUMMYFUNCTION("IFERROR(
  FILTER(#REF!, TRIM('CBK Students'!B:B) = TRIM(A62)),
  """"
)"),"")</f>
        <v/>
      </c>
      <c r="G62" s="4">
        <f t="shared" si="1"/>
        <v>1</v>
      </c>
    </row>
    <row r="63">
      <c r="F63" s="4" t="str">
        <f>IFERROR(__xludf.DUMMYFUNCTION("IFERROR(
  FILTER(#REF!, TRIM('CBK Students'!B:B) = TRIM(A63)),
  """"
)"),"")</f>
        <v/>
      </c>
      <c r="G63" s="4">
        <f t="shared" si="1"/>
        <v>1</v>
      </c>
    </row>
    <row r="64">
      <c r="F64" s="4" t="str">
        <f>IFERROR(__xludf.DUMMYFUNCTION("IFERROR(
  FILTER(#REF!, TRIM('CBK Students'!B:B) = TRIM(A64)),
  """"
)"),"")</f>
        <v/>
      </c>
      <c r="G64" s="4">
        <f t="shared" si="1"/>
        <v>1</v>
      </c>
    </row>
    <row r="65">
      <c r="F65" s="4" t="str">
        <f>IFERROR(__xludf.DUMMYFUNCTION("IFERROR(
  FILTER(#REF!, TRIM('CBK Students'!B:B) = TRIM(A65)),
  """"
)"),"")</f>
        <v/>
      </c>
      <c r="G65" s="4">
        <f t="shared" si="1"/>
        <v>0</v>
      </c>
    </row>
    <row r="66">
      <c r="F66" s="4" t="str">
        <f>IFERROR(__xludf.DUMMYFUNCTION("IFERROR(
  FILTER(#REF!, TRIM('CBK Students'!B:B) = TRIM(A66)),
  """"
)"),"")</f>
        <v/>
      </c>
      <c r="G66" s="4">
        <f t="shared" si="1"/>
        <v>1</v>
      </c>
    </row>
    <row r="67">
      <c r="F67" s="4" t="str">
        <f>IFERROR(__xludf.DUMMYFUNCTION("IFERROR(
  FILTER(#REF!, TRIM('CBK Students'!B:B) = TRIM(A67)),
  """"
)"),"")</f>
        <v/>
      </c>
      <c r="G67" s="4">
        <f t="shared" si="1"/>
        <v>1</v>
      </c>
    </row>
    <row r="68">
      <c r="F68" s="4" t="str">
        <f>IFERROR(__xludf.DUMMYFUNCTION("IFERROR(
  FILTER(#REF!, TRIM('CBK Students'!B:B) = TRIM(A68)),
  """"
)"),"")</f>
        <v/>
      </c>
      <c r="G68" s="4">
        <f t="shared" si="1"/>
        <v>1</v>
      </c>
    </row>
    <row r="69">
      <c r="F69" s="4" t="str">
        <f>IFERROR(__xludf.DUMMYFUNCTION("IFERROR(
  FILTER(#REF!, TRIM('CBK Students'!B:B) = TRIM(A69)),
  """"
)"),"")</f>
        <v/>
      </c>
      <c r="G69" s="4">
        <f t="shared" si="1"/>
        <v>2</v>
      </c>
    </row>
    <row r="70">
      <c r="F70" s="4" t="str">
        <f>IFERROR(__xludf.DUMMYFUNCTION("IFERROR(
  FILTER(#REF!, TRIM('CBK Students'!B:B) = TRIM(A70)),
  """"
)"),"")</f>
        <v/>
      </c>
      <c r="G70" s="4">
        <f t="shared" si="1"/>
        <v>2</v>
      </c>
    </row>
    <row r="71">
      <c r="F71" s="4" t="str">
        <f>IFERROR(__xludf.DUMMYFUNCTION("IFERROR(
  FILTER(#REF!, TRIM('CBK Students'!B:B) = TRIM(A71)),
  """"
)"),"")</f>
        <v/>
      </c>
      <c r="G71" s="4">
        <f t="shared" si="1"/>
        <v>3</v>
      </c>
    </row>
    <row r="72">
      <c r="F72" s="4" t="str">
        <f>IFERROR(__xludf.DUMMYFUNCTION("IFERROR(
  FILTER(#REF!, TRIM('CBK Students'!B:B) = TRIM(A72)),
  """"
)"),"")</f>
        <v/>
      </c>
      <c r="G72" s="4">
        <f t="shared" si="1"/>
        <v>2</v>
      </c>
    </row>
    <row r="73">
      <c r="F73" s="4" t="str">
        <f>IFERROR(__xludf.DUMMYFUNCTION("IFERROR(
  FILTER(#REF!, TRIM('CBK Students'!B:B) = TRIM(A73)),
  """"
)"),"")</f>
        <v/>
      </c>
      <c r="G73" s="4">
        <f t="shared" si="1"/>
        <v>1</v>
      </c>
    </row>
    <row r="74">
      <c r="F74" s="4" t="str">
        <f>IFERROR(__xludf.DUMMYFUNCTION("IFERROR(
  FILTER(#REF!, TRIM('CBK Students'!B:B) = TRIM(A74)),
  """"
)"),"")</f>
        <v/>
      </c>
      <c r="G74" s="4">
        <f t="shared" si="1"/>
        <v>-1</v>
      </c>
    </row>
    <row r="75">
      <c r="F75" s="4" t="str">
        <f>IFERROR(__xludf.DUMMYFUNCTION("IFERROR(
  FILTER(#REF!, TRIM('CBK Students'!B:B) = TRIM(A75)),
  """"
)"),"")</f>
        <v/>
      </c>
      <c r="G75" s="4">
        <f t="shared" si="1"/>
        <v>0</v>
      </c>
    </row>
    <row r="76">
      <c r="F76" s="4" t="str">
        <f>IFERROR(__xludf.DUMMYFUNCTION("IFERROR(
  FILTER(#REF!, TRIM('CBK Students'!B:B) = TRIM(A76)),
  """"
)"),"")</f>
        <v/>
      </c>
      <c r="G76" s="4">
        <f t="shared" si="1"/>
        <v>2</v>
      </c>
    </row>
    <row r="77">
      <c r="F77" s="4" t="str">
        <f>IFERROR(__xludf.DUMMYFUNCTION("IFERROR(
  FILTER(#REF!, TRIM('CBK Students'!B:B) = TRIM(A77)),
  """"
)"),"")</f>
        <v/>
      </c>
      <c r="G77" s="4">
        <f t="shared" si="1"/>
        <v>0</v>
      </c>
    </row>
    <row r="78">
      <c r="F78" s="4" t="str">
        <f>IFERROR(__xludf.DUMMYFUNCTION("IFERROR(
  FILTER(#REF!, TRIM('CBK Students'!B:B) = TRIM(A78)),
  """"
)"),"")</f>
        <v/>
      </c>
      <c r="G78" s="4">
        <f t="shared" si="1"/>
        <v>9</v>
      </c>
    </row>
    <row r="79">
      <c r="F79" s="4" t="str">
        <f>IFERROR(__xludf.DUMMYFUNCTION("IFERROR(
  FILTER(#REF!, TRIM('CBK Students'!B:B) = TRIM(A79)),
  """"
)"),"")</f>
        <v/>
      </c>
      <c r="G79" s="4">
        <f t="shared" si="1"/>
        <v>-1</v>
      </c>
    </row>
    <row r="80">
      <c r="F80" s="4" t="str">
        <f>IFERROR(__xludf.DUMMYFUNCTION("IFERROR(
  FILTER(#REF!, TRIM('CBK Students'!B:B) = TRIM(A80)),
  """"
)"),"")</f>
        <v/>
      </c>
      <c r="G80" s="4">
        <f t="shared" si="1"/>
        <v>1</v>
      </c>
    </row>
    <row r="81">
      <c r="F81" s="4" t="str">
        <f>IFERROR(__xludf.DUMMYFUNCTION("IFERROR(
  FILTER(#REF!, TRIM('CBK Students'!B:B) = TRIM(A81)),
  """"
)"),"")</f>
        <v/>
      </c>
      <c r="G81" s="4">
        <f t="shared" si="1"/>
        <v>1</v>
      </c>
    </row>
    <row r="82">
      <c r="F82" s="4" t="str">
        <f>IFERROR(__xludf.DUMMYFUNCTION("IFERROR(
  FILTER(#REF!, TRIM('CBK Students'!B:B) = TRIM(A82)),
  """"
)"),"")</f>
        <v/>
      </c>
      <c r="G82" s="4">
        <f t="shared" si="1"/>
        <v>1</v>
      </c>
    </row>
    <row r="83">
      <c r="F83" s="4" t="str">
        <f>IFERROR(__xludf.DUMMYFUNCTION("IFERROR(
  FILTER(#REF!, TRIM('CBK Students'!B:B) = TRIM(A83)),
  """"
)"),"")</f>
        <v/>
      </c>
      <c r="G83" s="4">
        <f t="shared" si="1"/>
        <v>2</v>
      </c>
    </row>
    <row r="84">
      <c r="F84" s="4" t="str">
        <f>IFERROR(__xludf.DUMMYFUNCTION("IFERROR(
  FILTER(#REF!, TRIM('CBK Students'!B:B) = TRIM(A84)),
  """"
)"),"")</f>
        <v/>
      </c>
      <c r="G84" s="4">
        <f t="shared" si="1"/>
        <v>0</v>
      </c>
    </row>
    <row r="85">
      <c r="F85" s="4" t="str">
        <f>IFERROR(__xludf.DUMMYFUNCTION("IFERROR(
  FILTER(#REF!, TRIM('CBK Students'!B:B) = TRIM(A85)),
  """"
)"),"")</f>
        <v/>
      </c>
      <c r="G85" s="4">
        <f t="shared" si="1"/>
        <v>3</v>
      </c>
    </row>
    <row r="86">
      <c r="F86" s="4" t="str">
        <f>IFERROR(__xludf.DUMMYFUNCTION("IFERROR(
  FILTER(#REF!, TRIM('CBK Students'!B:B) = TRIM(A86)),
  """"
)"),"")</f>
        <v/>
      </c>
      <c r="G86" s="4">
        <f t="shared" si="1"/>
        <v>-1</v>
      </c>
    </row>
    <row r="87">
      <c r="F87" s="4" t="str">
        <f>IFERROR(__xludf.DUMMYFUNCTION("IFERROR(
  FILTER(#REF!, TRIM('CBK Students'!B:B) = TRIM(A87)),
  """"
)"),"")</f>
        <v/>
      </c>
      <c r="G87" s="4">
        <f t="shared" si="1"/>
        <v>0</v>
      </c>
    </row>
    <row r="88">
      <c r="F88" s="4" t="str">
        <f>IFERROR(__xludf.DUMMYFUNCTION("IFERROR(
  FILTER(#REF!, TRIM('CBK Students'!B:B) = TRIM(A88)),
  """"
)"),"")</f>
        <v/>
      </c>
      <c r="G88" s="4">
        <f t="shared" si="1"/>
        <v>0</v>
      </c>
    </row>
    <row r="89">
      <c r="F89" s="4" t="str">
        <f>IFERROR(__xludf.DUMMYFUNCTION("IFERROR(
  FILTER(#REF!, TRIM('CBK Students'!B:B) = TRIM(A89)),
  """"
)"),"")</f>
        <v/>
      </c>
      <c r="G89" s="4">
        <f t="shared" si="1"/>
        <v>0</v>
      </c>
    </row>
    <row r="90">
      <c r="F90" s="4" t="str">
        <f>IFERROR(__xludf.DUMMYFUNCTION("IFERROR(
  FILTER(#REF!, TRIM('CBK Students'!B:B) = TRIM(A90)),
  """"
)"),"")</f>
        <v/>
      </c>
      <c r="G90" s="4">
        <f t="shared" si="1"/>
        <v>1</v>
      </c>
    </row>
    <row r="91">
      <c r="F91" s="4" t="str">
        <f>IFERROR(__xludf.DUMMYFUNCTION("IFERROR(
  FILTER(#REF!, TRIM('CBK Students'!B:B) = TRIM(A91)),
  """"
)"),"")</f>
        <v/>
      </c>
      <c r="G91" s="4">
        <f t="shared" si="1"/>
        <v>3</v>
      </c>
    </row>
    <row r="92">
      <c r="F92" s="4" t="str">
        <f>IFERROR(__xludf.DUMMYFUNCTION("IFERROR(
  FILTER(#REF!, TRIM('CBK Students'!B:B) = TRIM(A92)),
  """"
)"),"")</f>
        <v/>
      </c>
      <c r="G92" s="4">
        <f t="shared" si="1"/>
        <v>1</v>
      </c>
    </row>
    <row r="93">
      <c r="F93" s="4" t="str">
        <f>IFERROR(__xludf.DUMMYFUNCTION("IFERROR(
  FILTER(#REF!, TRIM('CBK Students'!B:B) = TRIM(A93)),
  """"
)"),"")</f>
        <v/>
      </c>
      <c r="G93" s="4">
        <f t="shared" si="1"/>
        <v>3</v>
      </c>
    </row>
    <row r="94">
      <c r="F94" s="4" t="str">
        <f>IFERROR(__xludf.DUMMYFUNCTION("IFERROR(
  FILTER(#REF!, TRIM('CBK Students'!B:B) = TRIM(A94)),
  """"
)"),"")</f>
        <v/>
      </c>
      <c r="G94" s="4">
        <f t="shared" si="1"/>
        <v>1</v>
      </c>
    </row>
    <row r="95">
      <c r="F95" s="4" t="str">
        <f>IFERROR(__xludf.DUMMYFUNCTION("IFERROR(
  FILTER(#REF!, TRIM('CBK Students'!B:B) = TRIM(A95)),
  """"
)"),"")</f>
        <v/>
      </c>
      <c r="G95" s="4">
        <f t="shared" si="1"/>
        <v>0</v>
      </c>
    </row>
    <row r="96">
      <c r="F96" s="4" t="str">
        <f>IFERROR(__xludf.DUMMYFUNCTION("IFERROR(
  FILTER(#REF!, TRIM('CBK Students'!B:B) = TRIM(A96)),
  """"
)"),"")</f>
        <v/>
      </c>
      <c r="G96" s="4">
        <f t="shared" si="1"/>
        <v>3</v>
      </c>
    </row>
    <row r="97">
      <c r="F97" s="4" t="str">
        <f>IFERROR(__xludf.DUMMYFUNCTION("IFERROR(
  FILTER(#REF!, TRIM('CBK Students'!B:B) = TRIM(A97)),
  """"
)"),"")</f>
        <v/>
      </c>
      <c r="G97" s="4">
        <f t="shared" si="1"/>
        <v>0</v>
      </c>
    </row>
    <row r="98">
      <c r="F98" s="4" t="str">
        <f>IFERROR(__xludf.DUMMYFUNCTION("IFERROR(
  FILTER(#REF!, TRIM('CBK Students'!B:B) = TRIM(A98)),
  """"
)"),"")</f>
        <v/>
      </c>
      <c r="G98" s="4">
        <f t="shared" si="1"/>
        <v>0</v>
      </c>
    </row>
    <row r="99">
      <c r="F99" s="4" t="str">
        <f>IFERROR(__xludf.DUMMYFUNCTION("IFERROR(
  FILTER(#REF!, TRIM('CBK Students'!B:B) = TRIM(A99)),
  """"
)"),"")</f>
        <v/>
      </c>
      <c r="G99" s="4">
        <f t="shared" si="1"/>
        <v>1</v>
      </c>
    </row>
    <row r="100">
      <c r="F100" s="4" t="str">
        <f>IFERROR(__xludf.DUMMYFUNCTION("IFERROR(
  FILTER(#REF!, TRIM('CBK Students'!B:B) = TRIM(A100)),
  """"
)"),"")</f>
        <v/>
      </c>
      <c r="G100" s="4">
        <f t="shared" si="1"/>
        <v>-1</v>
      </c>
    </row>
    <row r="101">
      <c r="F101" s="4" t="str">
        <f>IFERROR(__xludf.DUMMYFUNCTION("IFERROR(
  FILTER(#REF!, TRIM('CBK Students'!B:B) = TRIM(A101)),
  """"
)"),"")</f>
        <v/>
      </c>
      <c r="G101" s="4">
        <f t="shared" si="1"/>
        <v>1</v>
      </c>
    </row>
    <row r="102">
      <c r="F102" s="4" t="str">
        <f>IFERROR(__xludf.DUMMYFUNCTION("IFERROR(
  FILTER(#REF!, TRIM('CBK Students'!B:B) = TRIM(A102)),
  """"
)"),"")</f>
        <v/>
      </c>
      <c r="G102" s="4">
        <f t="shared" si="1"/>
        <v>0</v>
      </c>
    </row>
    <row r="103">
      <c r="F103" s="4" t="str">
        <f>IFERROR(__xludf.DUMMYFUNCTION("IFERROR(
  FILTER(#REF!, TRIM('CBK Students'!B:B) = TRIM(A103)),
  """"
)"),"")</f>
        <v/>
      </c>
      <c r="G103" s="4">
        <f t="shared" si="1"/>
        <v>0</v>
      </c>
    </row>
    <row r="104">
      <c r="F104" s="4" t="str">
        <f>IFERROR(__xludf.DUMMYFUNCTION("IFERROR(
  FILTER(#REF!, TRIM('CBK Students'!B:B) = TRIM(A104)),
  """"
)"),"")</f>
        <v/>
      </c>
      <c r="G104" s="4">
        <f t="shared" si="1"/>
        <v>3</v>
      </c>
    </row>
    <row r="105">
      <c r="F105" s="4" t="str">
        <f>IFERROR(__xludf.DUMMYFUNCTION("IFERROR(
  FILTER(#REF!, TRIM('CBK Students'!B:B) = TRIM(A105)),
  """"
)"),"")</f>
        <v/>
      </c>
      <c r="G105" s="4">
        <f t="shared" si="1"/>
        <v>3</v>
      </c>
    </row>
    <row r="106">
      <c r="F106" s="4" t="str">
        <f>IFERROR(__xludf.DUMMYFUNCTION("IFERROR(
  FILTER(#REF!, TRIM('CBK Students'!B:B) = TRIM(A106)),
  """"
)"),"")</f>
        <v/>
      </c>
      <c r="G106" s="4">
        <f t="shared" si="1"/>
        <v>0</v>
      </c>
    </row>
    <row r="107">
      <c r="F107" s="4" t="str">
        <f>IFERROR(__xludf.DUMMYFUNCTION("IFERROR(
  FILTER(#REF!, TRIM('CBK Students'!B:B) = TRIM(A107)),
  """"
)"),"")</f>
        <v/>
      </c>
      <c r="G107" s="4">
        <f t="shared" si="1"/>
        <v>0</v>
      </c>
    </row>
    <row r="108">
      <c r="F108" s="4" t="str">
        <f>IFERROR(__xludf.DUMMYFUNCTION("IFERROR(
  FILTER(#REF!, TRIM('CBK Students'!B:B) = TRIM(A108)),
  """"
)"),"")</f>
        <v/>
      </c>
      <c r="G108" s="4">
        <f t="shared" si="1"/>
        <v>1</v>
      </c>
    </row>
    <row r="109">
      <c r="F109" s="4" t="str">
        <f>IFERROR(__xludf.DUMMYFUNCTION("IFERROR(
  FILTER(#REF!, TRIM('CBK Students'!B:B) = TRIM(A109)),
  """"
)"),"")</f>
        <v/>
      </c>
      <c r="G109" s="4">
        <f t="shared" si="1"/>
        <v>1</v>
      </c>
    </row>
    <row r="110">
      <c r="F110" s="4" t="str">
        <f>IFERROR(__xludf.DUMMYFUNCTION("IFERROR(
  FILTER(#REF!, TRIM('CBK Students'!B:B) = TRIM(A110)),
  """"
)"),"")</f>
        <v/>
      </c>
      <c r="G110" s="4">
        <f t="shared" si="1"/>
        <v>2</v>
      </c>
    </row>
    <row r="111">
      <c r="F111" s="4" t="str">
        <f>IFERROR(__xludf.DUMMYFUNCTION("IFERROR(
  FILTER(#REF!, TRIM('CBK Students'!B:B) = TRIM(A111)),
  """"
)"),"")</f>
        <v/>
      </c>
      <c r="G111" s="4">
        <f t="shared" si="1"/>
        <v>0</v>
      </c>
    </row>
    <row r="112">
      <c r="F112" s="4" t="str">
        <f>IFERROR(__xludf.DUMMYFUNCTION("IFERROR(
  FILTER(#REF!, TRIM('CBK Students'!B:B) = TRIM(A112)),
  """"
)"),"")</f>
        <v/>
      </c>
      <c r="G112" s="4">
        <f t="shared" si="1"/>
        <v>1</v>
      </c>
    </row>
    <row r="113">
      <c r="F113" s="4" t="str">
        <f>IFERROR(__xludf.DUMMYFUNCTION("IFERROR(
  FILTER(#REF!, TRIM('CBK Students'!B:B) = TRIM(A113)),
  """"
)"),"")</f>
        <v/>
      </c>
      <c r="G113" s="4">
        <f t="shared" si="1"/>
        <v>1</v>
      </c>
    </row>
    <row r="114">
      <c r="F114" s="4" t="str">
        <f>IFERROR(__xludf.DUMMYFUNCTION("IFERROR(
  FILTER(#REF!, TRIM('CBK Students'!B:B) = TRIM(A114)),
  """"
)"),"")</f>
        <v/>
      </c>
      <c r="G114" s="4">
        <f t="shared" si="1"/>
        <v>1</v>
      </c>
    </row>
    <row r="115">
      <c r="F115" s="4" t="str">
        <f>IFERROR(__xludf.DUMMYFUNCTION("IFERROR(
  FILTER(#REF!, TRIM('CBK Students'!B:B) = TRIM(A115)),
  """"
)"),"")</f>
        <v/>
      </c>
      <c r="G115" s="4">
        <f t="shared" si="1"/>
        <v>0</v>
      </c>
    </row>
    <row r="116">
      <c r="F116" s="4" t="str">
        <f>IFERROR(__xludf.DUMMYFUNCTION("IFERROR(
  FILTER(#REF!, TRIM('CBK Students'!B:B) = TRIM(A116)),
  """"
)"),"")</f>
        <v/>
      </c>
      <c r="G116" s="4">
        <f t="shared" si="1"/>
        <v>8</v>
      </c>
    </row>
    <row r="117">
      <c r="F117" s="4" t="str">
        <f>IFERROR(__xludf.DUMMYFUNCTION("IFERROR(
  FILTER(#REF!, TRIM('CBK Students'!B:B) = TRIM(A117)),
  """"
)"),"")</f>
        <v/>
      </c>
      <c r="G117" s="4">
        <f t="shared" si="1"/>
        <v>1</v>
      </c>
    </row>
    <row r="118">
      <c r="F118" s="4" t="str">
        <f>IFERROR(__xludf.DUMMYFUNCTION("IFERROR(
  FILTER(#REF!, TRIM('CBK Students'!B:B) = TRIM(A118)),
  """"
)"),"")</f>
        <v/>
      </c>
      <c r="G118" s="4">
        <f t="shared" si="1"/>
        <v>0</v>
      </c>
    </row>
    <row r="119">
      <c r="F119" s="4" t="str">
        <f>IFERROR(__xludf.DUMMYFUNCTION("IFERROR(
  FILTER(#REF!, TRIM('CBK Students'!B:B) = TRIM(A119)),
  """"
)"),"")</f>
        <v/>
      </c>
      <c r="G119" s="4">
        <f t="shared" si="1"/>
        <v>4</v>
      </c>
    </row>
    <row r="120">
      <c r="F120" s="4" t="str">
        <f>IFERROR(__xludf.DUMMYFUNCTION("IFERROR(
  FILTER(#REF!, TRIM('CBK Students'!B:B) = TRIM(A120)),
  """"
)"),"")</f>
        <v/>
      </c>
      <c r="G120" s="4">
        <f t="shared" si="1"/>
        <v>1</v>
      </c>
    </row>
    <row r="121">
      <c r="F121" s="4" t="str">
        <f>IFERROR(__xludf.DUMMYFUNCTION("IFERROR(
  FILTER(#REF!, TRIM('CBK Students'!B:B) = TRIM(A121)),
  """"
)"),"")</f>
        <v/>
      </c>
      <c r="G121" s="4">
        <f t="shared" si="1"/>
        <v>1</v>
      </c>
    </row>
    <row r="122">
      <c r="F122" s="4" t="str">
        <f>IFERROR(__xludf.DUMMYFUNCTION("IFERROR(
  FILTER(#REF!, TRIM('CBK Students'!B:B) = TRIM(A122)),
  """"
)"),"")</f>
        <v/>
      </c>
      <c r="G122" s="4">
        <f t="shared" si="1"/>
        <v>2</v>
      </c>
    </row>
    <row r="123">
      <c r="F123" s="4" t="str">
        <f>IFERROR(__xludf.DUMMYFUNCTION("IFERROR(
  FILTER(#REF!, TRIM('CBK Students'!B:B) = TRIM(A123)),
  """"
)"),"")</f>
        <v/>
      </c>
      <c r="G123" s="4">
        <f t="shared" si="1"/>
        <v>5</v>
      </c>
    </row>
    <row r="124">
      <c r="F124" s="4" t="str">
        <f>IFERROR(__xludf.DUMMYFUNCTION("IFERROR(
  FILTER(#REF!, TRIM('CBK Students'!B:B) = TRIM(A124)),
  """"
)"),"")</f>
        <v/>
      </c>
      <c r="G124" s="4">
        <f t="shared" si="1"/>
        <v>1</v>
      </c>
    </row>
    <row r="125">
      <c r="F125" s="4" t="str">
        <f>IFERROR(__xludf.DUMMYFUNCTION("IFERROR(
  FILTER(#REF!, TRIM('CBK Students'!B:B) = TRIM(A125)),
  """"
)"),"")</f>
        <v/>
      </c>
      <c r="G125" s="4">
        <f t="shared" si="1"/>
        <v>2</v>
      </c>
    </row>
    <row r="126">
      <c r="F126" s="4" t="str">
        <f>IFERROR(__xludf.DUMMYFUNCTION("IFERROR(
  FILTER(#REF!, TRIM('CBK Students'!B:B) = TRIM(A126)),
  """"
)"),"")</f>
        <v/>
      </c>
      <c r="G126" s="4">
        <f t="shared" si="1"/>
        <v>2</v>
      </c>
    </row>
    <row r="127">
      <c r="F127" s="4" t="str">
        <f>IFERROR(__xludf.DUMMYFUNCTION("IFERROR(
  FILTER(#REF!, TRIM('CBK Students'!B:B) = TRIM(A127)),
  """"
)"),"")</f>
        <v/>
      </c>
      <c r="G127" s="4">
        <f t="shared" si="1"/>
        <v>1</v>
      </c>
    </row>
    <row r="128">
      <c r="F128" s="4" t="str">
        <f>IFERROR(__xludf.DUMMYFUNCTION("IFERROR(
  FILTER(#REF!, TRIM('CBK Students'!B:B) = TRIM(A128)),
  """"
)"),"")</f>
        <v/>
      </c>
      <c r="G128" s="4">
        <f t="shared" si="1"/>
        <v>1</v>
      </c>
    </row>
    <row r="129">
      <c r="F129" s="4" t="str">
        <f>IFERROR(__xludf.DUMMYFUNCTION("IFERROR(
  FILTER(#REF!, TRIM('CBK Students'!B:B) = TRIM(A129)),
  """"
)"),"")</f>
        <v/>
      </c>
      <c r="G129" s="4">
        <f t="shared" si="1"/>
        <v>0</v>
      </c>
    </row>
    <row r="130">
      <c r="F130" s="4" t="str">
        <f>IFERROR(__xludf.DUMMYFUNCTION("IFERROR(
  FILTER(#REF!, TRIM('CBK Students'!B:B) = TRIM(A130)),
  """"
)"),"")</f>
        <v/>
      </c>
      <c r="G130" s="4">
        <f t="shared" si="1"/>
        <v>1</v>
      </c>
    </row>
    <row r="131">
      <c r="F131" s="4" t="str">
        <f>IFERROR(__xludf.DUMMYFUNCTION("IFERROR(
  FILTER(#REF!, TRIM('CBK Students'!B:B) = TRIM(A131)),
  """"
)"),"")</f>
        <v/>
      </c>
      <c r="G131" s="4">
        <f t="shared" si="1"/>
        <v>6</v>
      </c>
    </row>
    <row r="132">
      <c r="F132" s="4" t="str">
        <f>IFERROR(__xludf.DUMMYFUNCTION("IFERROR(
  FILTER(#REF!, TRIM('CBK Students'!B:B) = TRIM(A132)),
  """"
)"),"")</f>
        <v/>
      </c>
      <c r="G132" s="4">
        <f t="shared" si="1"/>
        <v>3</v>
      </c>
    </row>
    <row r="133">
      <c r="F133" s="4" t="str">
        <f>IFERROR(__xludf.DUMMYFUNCTION("IFERROR(
  FILTER(#REF!, TRIM('CBK Students'!B:B) = TRIM(A133)),
  """"
)"),"")</f>
        <v/>
      </c>
      <c r="G133" s="4">
        <f t="shared" si="1"/>
        <v>4</v>
      </c>
    </row>
    <row r="134">
      <c r="F134" s="4" t="str">
        <f>IFERROR(__xludf.DUMMYFUNCTION("IFERROR(
  FILTER(#REF!, TRIM('CBK Students'!B:B) = TRIM(A134)),
  """"
)"),"")</f>
        <v/>
      </c>
      <c r="G134" s="4">
        <f t="shared" si="1"/>
        <v>-1</v>
      </c>
    </row>
    <row r="135">
      <c r="F135" s="4" t="str">
        <f>IFERROR(__xludf.DUMMYFUNCTION("IFERROR(
  FILTER(#REF!, TRIM('CBK Students'!B:B) = TRIM(A135)),
  """"
)"),"")</f>
        <v/>
      </c>
      <c r="G135" s="4">
        <f t="shared" si="1"/>
        <v>1</v>
      </c>
    </row>
    <row r="136">
      <c r="F136" s="4" t="str">
        <f>IFERROR(__xludf.DUMMYFUNCTION("IFERROR(
  FILTER(#REF!, TRIM('CBK Students'!B:B) = TRIM(A136)),
  """"
)"),"")</f>
        <v/>
      </c>
      <c r="G136" s="4">
        <f t="shared" si="1"/>
        <v>3</v>
      </c>
    </row>
    <row r="137">
      <c r="F137" s="4" t="str">
        <f>IFERROR(__xludf.DUMMYFUNCTION("IFERROR(
  FILTER(#REF!, TRIM('CBK Students'!B:B) = TRIM(A137)),
  """"
)"),"")</f>
        <v/>
      </c>
      <c r="G137" s="4">
        <f t="shared" si="1"/>
        <v>0</v>
      </c>
    </row>
    <row r="138">
      <c r="F138" s="4" t="str">
        <f>IFERROR(__xludf.DUMMYFUNCTION("IFERROR(
  FILTER(#REF!, TRIM('CBK Students'!B:B) = TRIM(A138)),
  """"
)"),"")</f>
        <v/>
      </c>
      <c r="G138" s="4">
        <f t="shared" si="1"/>
        <v>-5</v>
      </c>
    </row>
    <row r="139">
      <c r="F139" s="4" t="str">
        <f>IFERROR(__xludf.DUMMYFUNCTION("IFERROR(
  FILTER(#REF!, TRIM('CBK Students'!B:B) = TRIM(A139)),
  """"
)"),"")</f>
        <v/>
      </c>
      <c r="G139" s="4">
        <f t="shared" si="1"/>
        <v>-4</v>
      </c>
    </row>
    <row r="140">
      <c r="F140" s="4" t="str">
        <f>IFERROR(__xludf.DUMMYFUNCTION("IFERROR(
  FILTER(#REF!, TRIM('CBK Students'!B:B) = TRIM(A140)),
  """"
)"),"")</f>
        <v/>
      </c>
      <c r="G140" s="4">
        <f t="shared" si="1"/>
        <v>1</v>
      </c>
    </row>
    <row r="141">
      <c r="F141" s="4" t="str">
        <f>IFERROR(__xludf.DUMMYFUNCTION("IFERROR(
  FILTER(#REF!, TRIM('CBK Students'!B:B) = TRIM(A141)),
  """"
)"),"")</f>
        <v/>
      </c>
      <c r="G141" s="4">
        <f t="shared" si="1"/>
        <v>1</v>
      </c>
    </row>
    <row r="142">
      <c r="F142" s="4" t="str">
        <f>IFERROR(__xludf.DUMMYFUNCTION("IFERROR(
  FILTER(#REF!, TRIM('CBK Students'!B:B) = TRIM(A142)),
  """"
)"),"")</f>
        <v/>
      </c>
      <c r="G142" s="4">
        <f t="shared" si="1"/>
        <v>1</v>
      </c>
    </row>
    <row r="143">
      <c r="F143" s="4" t="str">
        <f>IFERROR(__xludf.DUMMYFUNCTION("IFERROR(
  FILTER(#REF!, TRIM('CBK Students'!B:B) = TRIM(A143)),
  """"
)"),"")</f>
        <v/>
      </c>
      <c r="G143" s="4">
        <f t="shared" si="1"/>
        <v>0</v>
      </c>
    </row>
    <row r="144">
      <c r="F144" s="4" t="str">
        <f>IFERROR(__xludf.DUMMYFUNCTION("IFERROR(
  FILTER(#REF!, TRIM('CBK Students'!B:B) = TRIM(A144)),
  """"
)"),"")</f>
        <v/>
      </c>
      <c r="G144" s="4">
        <f t="shared" si="1"/>
        <v>-1</v>
      </c>
    </row>
    <row r="145">
      <c r="F145" s="4" t="str">
        <f>IFERROR(__xludf.DUMMYFUNCTION("IFERROR(
  FILTER(#REF!, TRIM('CBK Students'!B:B) = TRIM(A145)),
  """"
)"),"")</f>
        <v/>
      </c>
      <c r="G145" s="4">
        <f t="shared" si="1"/>
        <v>1</v>
      </c>
    </row>
    <row r="146">
      <c r="F146" s="4" t="str">
        <f>IFERROR(__xludf.DUMMYFUNCTION("IFERROR(
  FILTER(#REF!, TRIM('CBK Students'!B:B) = TRIM(A146)),
  """"
)"),"")</f>
        <v/>
      </c>
      <c r="G146" s="4">
        <f t="shared" si="1"/>
        <v>0</v>
      </c>
    </row>
    <row r="147">
      <c r="F147" s="4" t="str">
        <f>IFERROR(__xludf.DUMMYFUNCTION("IFERROR(
  FILTER(#REF!, TRIM('CBK Students'!B:B) = TRIM(A147)),
  """"
)"),"")</f>
        <v/>
      </c>
      <c r="G147" s="4">
        <f t="shared" si="1"/>
        <v>1</v>
      </c>
    </row>
    <row r="148">
      <c r="F148" s="4" t="str">
        <f>IFERROR(__xludf.DUMMYFUNCTION("IFERROR(
  FILTER(#REF!, TRIM('CBK Students'!B:B) = TRIM(A148)),
  """"
)"),"")</f>
        <v/>
      </c>
      <c r="G148" s="4">
        <f t="shared" si="1"/>
        <v>1</v>
      </c>
    </row>
    <row r="149">
      <c r="F149" s="4" t="str">
        <f>IFERROR(__xludf.DUMMYFUNCTION("IFERROR(
  FILTER(#REF!, TRIM('CBK Students'!B:B) = TRIM(A149)),
  """"
)"),"")</f>
        <v/>
      </c>
      <c r="G149" s="4">
        <f t="shared" si="1"/>
        <v>3</v>
      </c>
    </row>
    <row r="150">
      <c r="F150" s="4" t="str">
        <f>IFERROR(__xludf.DUMMYFUNCTION("IFERROR(
  FILTER(#REF!, TRIM('CBK Students'!B:B) = TRIM(A150)),
  """"
)"),"")</f>
        <v/>
      </c>
      <c r="G150" s="4">
        <f t="shared" si="1"/>
        <v>0</v>
      </c>
    </row>
    <row r="151">
      <c r="F151" s="4" t="str">
        <f>IFERROR(__xludf.DUMMYFUNCTION("IFERROR(
  FILTER(#REF!, TRIM('CBK Students'!B:B) = TRIM(A151)),
  """"
)"),"")</f>
        <v/>
      </c>
      <c r="G151" s="4">
        <f t="shared" si="1"/>
        <v>0</v>
      </c>
    </row>
    <row r="152">
      <c r="F152" s="4" t="str">
        <f>IFERROR(__xludf.DUMMYFUNCTION("IFERROR(
  FILTER(#REF!, TRIM('CBK Students'!B:B) = TRIM(A152)),
  """"
)"),"")</f>
        <v/>
      </c>
      <c r="G152" s="4">
        <f t="shared" si="1"/>
        <v>0</v>
      </c>
    </row>
    <row r="153">
      <c r="F153" s="4" t="str">
        <f>IFERROR(__xludf.DUMMYFUNCTION("IFERROR(
  FILTER(#REF!, TRIM('CBK Students'!B:B) = TRIM(A153)),
  """"
)"),"")</f>
        <v/>
      </c>
      <c r="G153" s="4">
        <f t="shared" si="1"/>
        <v>1</v>
      </c>
    </row>
    <row r="154">
      <c r="F154" s="4" t="str">
        <f>IFERROR(__xludf.DUMMYFUNCTION("IFERROR(
  FILTER(#REF!, TRIM('CBK Students'!B:B) = TRIM(A154)),
  """"
)"),"")</f>
        <v/>
      </c>
      <c r="G154" s="4">
        <f t="shared" si="1"/>
        <v>1</v>
      </c>
    </row>
    <row r="155">
      <c r="F155" s="4" t="str">
        <f>IFERROR(__xludf.DUMMYFUNCTION("IFERROR(
  FILTER(#REF!, TRIM('CBK Students'!B:B) = TRIM(A155)),
  """"
)"),"")</f>
        <v/>
      </c>
      <c r="G155" s="4">
        <f t="shared" si="1"/>
        <v>2</v>
      </c>
    </row>
    <row r="156">
      <c r="F156" s="4" t="str">
        <f>IFERROR(__xludf.DUMMYFUNCTION("IFERROR(
  FILTER(#REF!, TRIM('CBK Students'!B:B) = TRIM(A156)),
  """"
)"),"")</f>
        <v/>
      </c>
      <c r="G156" s="4">
        <f t="shared" si="1"/>
        <v>2</v>
      </c>
    </row>
    <row r="157">
      <c r="F157" s="4" t="str">
        <f>IFERROR(__xludf.DUMMYFUNCTION("IFERROR(
  FILTER(#REF!, TRIM('CBK Students'!B:B) = TRIM(A157)),
  """"
)"),"")</f>
        <v/>
      </c>
      <c r="G157" s="4">
        <f t="shared" si="1"/>
        <v>4</v>
      </c>
    </row>
    <row r="158">
      <c r="F158" s="4" t="str">
        <f>IFERROR(__xludf.DUMMYFUNCTION("IFERROR(
  FILTER(#REF!, TRIM('CBK Students'!B:B) = TRIM(A158)),
  """"
)"),"")</f>
        <v/>
      </c>
      <c r="G158" s="4">
        <f t="shared" si="1"/>
        <v>0</v>
      </c>
    </row>
    <row r="159">
      <c r="F159" s="4" t="str">
        <f>IFERROR(__xludf.DUMMYFUNCTION("IFERROR(
  FILTER(#REF!, TRIM('CBK Students'!B:B) = TRIM(A159)),
  """"
)"),"")</f>
        <v/>
      </c>
      <c r="G159" s="4">
        <f t="shared" si="1"/>
        <v>0</v>
      </c>
    </row>
    <row r="160">
      <c r="F160" s="4" t="str">
        <f>IFERROR(__xludf.DUMMYFUNCTION("IFERROR(
  FILTER(#REF!, TRIM('CBK Students'!B:B) = TRIM(A160)),
  """"
)"),"")</f>
        <v/>
      </c>
      <c r="G160" s="4">
        <f t="shared" si="1"/>
        <v>1</v>
      </c>
    </row>
    <row r="161">
      <c r="F161" s="4" t="str">
        <f>IFERROR(__xludf.DUMMYFUNCTION("IFERROR(
  FILTER(#REF!, TRIM('CBK Students'!B:B) = TRIM(A161)),
  """"
)"),"")</f>
        <v/>
      </c>
      <c r="G161" s="4">
        <f t="shared" si="1"/>
        <v>1</v>
      </c>
    </row>
    <row r="162">
      <c r="F162" s="4" t="str">
        <f>IFERROR(__xludf.DUMMYFUNCTION("IFERROR(
  FILTER(#REF!, TRIM('CBK Students'!B:B) = TRIM(A162)),
  """"
)"),"")</f>
        <v/>
      </c>
      <c r="G162" s="4">
        <f t="shared" si="1"/>
        <v>2</v>
      </c>
    </row>
    <row r="163">
      <c r="F163" s="4" t="str">
        <f>IFERROR(__xludf.DUMMYFUNCTION("IFERROR(
  FILTER(#REF!, TRIM('CBK Students'!B:B) = TRIM(A163)),
  """"
)"),"")</f>
        <v/>
      </c>
      <c r="G163" s="4">
        <f t="shared" si="1"/>
        <v>1</v>
      </c>
    </row>
    <row r="164">
      <c r="F164" s="4" t="str">
        <f>IFERROR(__xludf.DUMMYFUNCTION("IFERROR(
  FILTER(#REF!, TRIM('CBK Students'!B:B) = TRIM(A164)),
  """"
)"),"")</f>
        <v/>
      </c>
      <c r="G164" s="4">
        <f t="shared" si="1"/>
        <v>2</v>
      </c>
    </row>
    <row r="165">
      <c r="F165" s="4" t="str">
        <f>IFERROR(__xludf.DUMMYFUNCTION("IFERROR(
  FILTER(#REF!, TRIM('CBK Students'!B:B) = TRIM(A165)),
  """"
)"),"")</f>
        <v/>
      </c>
      <c r="G165" s="4">
        <f t="shared" si="1"/>
        <v>0</v>
      </c>
    </row>
    <row r="166">
      <c r="F166" s="4" t="str">
        <f>IFERROR(__xludf.DUMMYFUNCTION("IFERROR(
  FILTER(#REF!, TRIM('CBK Students'!B:B) = TRIM(A166)),
  """"
)"),"")</f>
        <v/>
      </c>
      <c r="G166" s="4">
        <f t="shared" si="1"/>
        <v>0</v>
      </c>
    </row>
    <row r="167">
      <c r="F167" s="4" t="str">
        <f>IFERROR(__xludf.DUMMYFUNCTION("IFERROR(
  FILTER(#REF!, TRIM('CBK Students'!B:B) = TRIM(A167)),
  """"
)"),"")</f>
        <v/>
      </c>
      <c r="G167" s="4">
        <f t="shared" si="1"/>
        <v>3</v>
      </c>
    </row>
    <row r="168">
      <c r="F168" s="4" t="str">
        <f>IFERROR(__xludf.DUMMYFUNCTION("IFERROR(
  FILTER(#REF!, TRIM('CBK Students'!B:B) = TRIM(A168)),
  """"
)"),"")</f>
        <v/>
      </c>
      <c r="G168" s="4">
        <f t="shared" si="1"/>
        <v>1</v>
      </c>
    </row>
    <row r="169">
      <c r="F169" s="4" t="str">
        <f>IFERROR(__xludf.DUMMYFUNCTION("IFERROR(
  FILTER(#REF!, TRIM('CBK Students'!B:B) = TRIM(A169)),
  """"
)"),"")</f>
        <v/>
      </c>
      <c r="G169" s="4">
        <f t="shared" si="1"/>
        <v>0</v>
      </c>
    </row>
    <row r="170">
      <c r="F170" s="4" t="str">
        <f>IFERROR(__xludf.DUMMYFUNCTION("IFERROR(
  FILTER(#REF!, TRIM('CBK Students'!B:B) = TRIM(A170)),
  """"
)"),"")</f>
        <v/>
      </c>
      <c r="G170" s="4">
        <f t="shared" si="1"/>
        <v>7</v>
      </c>
    </row>
    <row r="171">
      <c r="F171" s="4" t="str">
        <f>IFERROR(__xludf.DUMMYFUNCTION("IFERROR(
  FILTER(#REF!, TRIM('CBK Students'!B:B) = TRIM(A171)),
  """"
)"),"")</f>
        <v/>
      </c>
      <c r="G171" s="4">
        <f t="shared" si="1"/>
        <v>1</v>
      </c>
    </row>
    <row r="172">
      <c r="F172" s="4" t="str">
        <f>IFERROR(__xludf.DUMMYFUNCTION("IFERROR(
  FILTER(#REF!, TRIM('CBK Students'!B:B) = TRIM(A172)),
  """"
)"),"")</f>
        <v/>
      </c>
      <c r="G172" s="4">
        <f t="shared" si="1"/>
        <v>0</v>
      </c>
    </row>
    <row r="173">
      <c r="F173" s="4" t="str">
        <f>IFERROR(__xludf.DUMMYFUNCTION("IFERROR(
  FILTER(#REF!, TRIM('CBK Students'!B:B) = TRIM(A173)),
  """"
)"),"")</f>
        <v/>
      </c>
      <c r="G173" s="4">
        <f t="shared" si="1"/>
        <v>-2</v>
      </c>
    </row>
    <row r="174">
      <c r="F174" s="4" t="str">
        <f>IFERROR(__xludf.DUMMYFUNCTION("IFERROR(
  FILTER(#REF!, TRIM('CBK Students'!B:B) = TRIM(A174)),
  """"
)"),"")</f>
        <v/>
      </c>
      <c r="G174" s="4">
        <f t="shared" si="1"/>
        <v>1</v>
      </c>
    </row>
    <row r="175">
      <c r="F175" s="4" t="str">
        <f>IFERROR(__xludf.DUMMYFUNCTION("IFERROR(
  FILTER(#REF!, TRIM('CBK Students'!B:B) = TRIM(A175)),
  """"
)"),"")</f>
        <v/>
      </c>
      <c r="G175" s="4">
        <f t="shared" si="1"/>
        <v>0</v>
      </c>
    </row>
    <row r="176">
      <c r="F176" s="4" t="str">
        <f>IFERROR(__xludf.DUMMYFUNCTION("IFERROR(
  FILTER(#REF!, TRIM('CBK Students'!B:B) = TRIM(A176)),
  """"
)"),"")</f>
        <v/>
      </c>
      <c r="G176" s="4">
        <f t="shared" si="1"/>
        <v>0</v>
      </c>
    </row>
    <row r="177">
      <c r="F177" s="4" t="str">
        <f>IFERROR(__xludf.DUMMYFUNCTION("IFERROR(
  FILTER(#REF!, TRIM('CBK Students'!B:B) = TRIM(A177)),
  """"
)"),"")</f>
        <v/>
      </c>
      <c r="G177" s="4">
        <f t="shared" si="1"/>
        <v>0</v>
      </c>
    </row>
    <row r="178">
      <c r="F178" s="4" t="str">
        <f>IFERROR(__xludf.DUMMYFUNCTION("IFERROR(
  FILTER(#REF!, TRIM('CBK Students'!B:B) = TRIM(A178)),
  """"
)"),"")</f>
        <v/>
      </c>
      <c r="G178" s="4">
        <f t="shared" si="1"/>
        <v>2</v>
      </c>
    </row>
    <row r="179">
      <c r="F179" s="4" t="str">
        <f>IFERROR(__xludf.DUMMYFUNCTION("IFERROR(
  FILTER(#REF!, TRIM('CBK Students'!B:B) = TRIM(A179)),
  """"
)"),"")</f>
        <v/>
      </c>
      <c r="G179" s="4">
        <f t="shared" si="1"/>
        <v>5</v>
      </c>
    </row>
    <row r="180">
      <c r="F180" s="4" t="str">
        <f>IFERROR(__xludf.DUMMYFUNCTION("IFERROR(
  FILTER(#REF!, TRIM('CBK Students'!B:B) = TRIM(A180)),
  """"
)"),"")</f>
        <v/>
      </c>
      <c r="G180" s="4">
        <f t="shared" si="1"/>
        <v>0</v>
      </c>
    </row>
    <row r="181">
      <c r="F181" s="4" t="str">
        <f>IFERROR(__xludf.DUMMYFUNCTION("IFERROR(
  FILTER(#REF!, TRIM('CBK Students'!B:B) = TRIM(A181)),
  """"
)"),"")</f>
        <v/>
      </c>
      <c r="G181" s="4">
        <f t="shared" si="1"/>
        <v>2</v>
      </c>
    </row>
    <row r="182">
      <c r="F182" s="4" t="str">
        <f>IFERROR(__xludf.DUMMYFUNCTION("IFERROR(
  FILTER(#REF!, TRIM('CBK Students'!B:B) = TRIM(A182)),
  """"
)"),"")</f>
        <v/>
      </c>
      <c r="G182" s="4">
        <f t="shared" si="1"/>
        <v>1</v>
      </c>
    </row>
    <row r="183">
      <c r="F183" s="4" t="str">
        <f>IFERROR(__xludf.DUMMYFUNCTION("IFERROR(
  FILTER(#REF!, TRIM('CBK Students'!B:B) = TRIM(A183)),
  """"
)"),"")</f>
        <v/>
      </c>
      <c r="G183" s="4">
        <f t="shared" si="1"/>
        <v>0</v>
      </c>
    </row>
    <row r="184">
      <c r="F184" s="4" t="str">
        <f>IFERROR(__xludf.DUMMYFUNCTION("IFERROR(
  FILTER(#REF!, TRIM('CBK Students'!B:B) = TRIM(A184)),
  """"
)"),"")</f>
        <v/>
      </c>
      <c r="G184" s="4">
        <f t="shared" si="1"/>
        <v>-1</v>
      </c>
    </row>
    <row r="185">
      <c r="F185" s="4" t="str">
        <f>IFERROR(__xludf.DUMMYFUNCTION("IFERROR(
  FILTER(#REF!, TRIM('CBK Students'!B:B) = TRIM(A185)),
  """"
)"),"")</f>
        <v/>
      </c>
      <c r="G185" s="4">
        <f t="shared" si="1"/>
        <v>7</v>
      </c>
    </row>
    <row r="186">
      <c r="F186" s="4" t="str">
        <f>IFERROR(__xludf.DUMMYFUNCTION("IFERROR(
  FILTER(#REF!, TRIM('CBK Students'!B:B) = TRIM(A186)),
  """"
)"),"")</f>
        <v/>
      </c>
      <c r="G186" s="4">
        <f t="shared" si="1"/>
        <v>1</v>
      </c>
    </row>
    <row r="187">
      <c r="F187" s="4" t="str">
        <f>IFERROR(__xludf.DUMMYFUNCTION("IFERROR(
  FILTER(#REF!, TRIM('CBK Students'!B:B) = TRIM(A187)),
  """"
)"),"")</f>
        <v/>
      </c>
      <c r="G187" s="4">
        <f t="shared" si="1"/>
        <v>1</v>
      </c>
    </row>
    <row r="188">
      <c r="F188" s="4" t="str">
        <f>IFERROR(__xludf.DUMMYFUNCTION("IFERROR(
  FILTER(#REF!, TRIM('CBK Students'!B:B) = TRIM(A188)),
  """"
)"),"")</f>
        <v/>
      </c>
      <c r="G188" s="4">
        <f t="shared" si="1"/>
        <v>1</v>
      </c>
    </row>
    <row r="189">
      <c r="F189" s="4" t="str">
        <f>IFERROR(__xludf.DUMMYFUNCTION("IFERROR(
  FILTER(#REF!, TRIM('CBK Students'!B:B) = TRIM(A189)),
  """"
)"),"")</f>
        <v/>
      </c>
      <c r="G189" s="4">
        <f t="shared" si="1"/>
        <v>1</v>
      </c>
    </row>
    <row r="190">
      <c r="F190" s="4" t="str">
        <f>IFERROR(__xludf.DUMMYFUNCTION("IFERROR(
  FILTER(#REF!, TRIM('CBK Students'!B:B) = TRIM(A190)),
  """"
)"),"")</f>
        <v/>
      </c>
      <c r="G190" s="4">
        <f t="shared" si="1"/>
        <v>1</v>
      </c>
    </row>
    <row r="191">
      <c r="F191" s="4" t="str">
        <f>IFERROR(__xludf.DUMMYFUNCTION("IFERROR(
  FILTER(#REF!, TRIM('CBK Students'!B:B) = TRIM(A191)),
  """"
)"),"")</f>
        <v/>
      </c>
      <c r="G191" s="4">
        <f t="shared" si="1"/>
        <v>0</v>
      </c>
    </row>
    <row r="192">
      <c r="F192" s="4" t="str">
        <f>IFERROR(__xludf.DUMMYFUNCTION("IFERROR(
  FILTER(#REF!, TRIM('CBK Students'!B:B) = TRIM(A192)),
  """"
)"),"")</f>
        <v/>
      </c>
      <c r="G192" s="4">
        <f t="shared" si="1"/>
        <v>1</v>
      </c>
    </row>
    <row r="193">
      <c r="F193" s="4" t="str">
        <f>IFERROR(__xludf.DUMMYFUNCTION("IFERROR(
  FILTER(#REF!, TRIM('CBK Students'!B:B) = TRIM(A193)),
  """"
)"),"")</f>
        <v/>
      </c>
      <c r="G193" s="4">
        <f t="shared" si="1"/>
        <v>0</v>
      </c>
    </row>
    <row r="194">
      <c r="F194" s="4" t="str">
        <f>IFERROR(__xludf.DUMMYFUNCTION("IFERROR(
  FILTER(#REF!, TRIM('CBK Students'!B:B) = TRIM(A194)),
  """"
)"),"")</f>
        <v/>
      </c>
      <c r="G194" s="4">
        <f t="shared" si="1"/>
        <v>3</v>
      </c>
    </row>
    <row r="195">
      <c r="F195" s="4" t="str">
        <f>IFERROR(__xludf.DUMMYFUNCTION("IFERROR(
  FILTER(#REF!, TRIM('CBK Students'!B:B) = TRIM(A195)),
  """"
)"),"")</f>
        <v/>
      </c>
      <c r="G195" s="4">
        <f t="shared" si="1"/>
        <v>4</v>
      </c>
    </row>
    <row r="196">
      <c r="F196" s="4" t="str">
        <f>IFERROR(__xludf.DUMMYFUNCTION("IFERROR(
  FILTER(#REF!, TRIM('CBK Students'!B:B) = TRIM(A196)),
  """"
)"),"")</f>
        <v/>
      </c>
      <c r="G196" s="4">
        <f t="shared" si="1"/>
        <v>4</v>
      </c>
    </row>
    <row r="197">
      <c r="F197" s="4" t="str">
        <f>IFERROR(__xludf.DUMMYFUNCTION("IFERROR(
  FILTER(#REF!, TRIM('CBK Students'!B:B) = TRIM(A197)),
  """"
)"),"")</f>
        <v/>
      </c>
      <c r="G197" s="4">
        <f t="shared" si="1"/>
        <v>1</v>
      </c>
    </row>
    <row r="198">
      <c r="F198" s="4" t="str">
        <f>IFERROR(__xludf.DUMMYFUNCTION("IFERROR(
  FILTER(#REF!, TRIM('CBK Students'!B:B) = TRIM(A198)),
  """"
)"),"")</f>
        <v/>
      </c>
      <c r="G198" s="4">
        <f t="shared" si="1"/>
        <v>2</v>
      </c>
    </row>
    <row r="199">
      <c r="F199" s="4" t="str">
        <f>IFERROR(__xludf.DUMMYFUNCTION("IFERROR(
  FILTER(#REF!, TRIM('CBK Students'!B:B) = TRIM(A199)),
  """"
)"),"")</f>
        <v/>
      </c>
      <c r="G199" s="4">
        <f t="shared" si="1"/>
        <v>1</v>
      </c>
    </row>
    <row r="200">
      <c r="F200" s="4" t="str">
        <f>IFERROR(__xludf.DUMMYFUNCTION("IFERROR(
  FILTER(#REF!, TRIM('CBK Students'!B:B) = TRIM(A200)),
  """"
)"),"")</f>
        <v/>
      </c>
      <c r="G200" s="4">
        <f t="shared" si="1"/>
        <v>236</v>
      </c>
    </row>
    <row r="201">
      <c r="F201" s="4" t="str">
        <f>IFERROR(__xludf.DUMMYFUNCTION("IFERROR(
  FILTER(#REF!, TRIM('CBK Students'!B:B) = TRIM(A201)),
  """"
)"),"")</f>
        <v/>
      </c>
      <c r="G201" s="4">
        <f t="shared" si="1"/>
        <v>0</v>
      </c>
    </row>
    <row r="202">
      <c r="F202" s="4" t="str">
        <f>IFERROR(__xludf.DUMMYFUNCTION("IFERROR(
  FILTER(#REF!, TRIM('CBK Students'!B:B) = TRIM(A202)),
  """"
)"),"")</f>
        <v/>
      </c>
      <c r="G202" s="4">
        <f t="shared" si="1"/>
        <v>0</v>
      </c>
    </row>
    <row r="203">
      <c r="F203" s="4" t="str">
        <f>IFERROR(__xludf.DUMMYFUNCTION("IFERROR(
  FILTER(#REF!, TRIM('CBK Students'!B:B) = TRIM(A203)),
  """"
)"),"")</f>
        <v/>
      </c>
      <c r="G203" s="4">
        <f t="shared" si="1"/>
        <v>0</v>
      </c>
    </row>
    <row r="204">
      <c r="F204" s="4" t="str">
        <f>IFERROR(__xludf.DUMMYFUNCTION("IFERROR(
  FILTER(#REF!, TRIM('CBK Students'!B:B) = TRIM(A204)),
  """"
)"),"")</f>
        <v/>
      </c>
      <c r="G204" s="4">
        <f t="shared" si="1"/>
        <v>0</v>
      </c>
    </row>
    <row r="205">
      <c r="F205" s="4" t="str">
        <f>IFERROR(__xludf.DUMMYFUNCTION("IFERROR(
  FILTER(#REF!, TRIM('CBK Students'!B:B) = TRIM(A205)),
  """"
)"),"")</f>
        <v/>
      </c>
      <c r="G205" s="4">
        <f t="shared" si="1"/>
        <v>0</v>
      </c>
    </row>
    <row r="206">
      <c r="F206" s="4" t="str">
        <f>IFERROR(__xludf.DUMMYFUNCTION("IFERROR(
  FILTER(#REF!, TRIM('CBK Students'!B:B) = TRIM(A206)),
  """"
)"),"")</f>
        <v/>
      </c>
      <c r="G206" s="4">
        <f t="shared" si="1"/>
        <v>0</v>
      </c>
    </row>
    <row r="207">
      <c r="F207" s="4" t="str">
        <f>IFERROR(__xludf.DUMMYFUNCTION("IFERROR(
  FILTER(#REF!, TRIM('CBK Students'!B:B) = TRIM(A207)),
  """"
)"),"")</f>
        <v/>
      </c>
      <c r="G207" s="4">
        <f t="shared" si="1"/>
        <v>0</v>
      </c>
    </row>
    <row r="208">
      <c r="F208" s="4" t="str">
        <f>IFERROR(__xludf.DUMMYFUNCTION("IFERROR(
  FILTER(#REF!, TRIM('CBK Students'!B:B) = TRIM(A208)),
  """"
)"),"")</f>
        <v/>
      </c>
      <c r="G208" s="4">
        <f t="shared" si="1"/>
        <v>0</v>
      </c>
    </row>
    <row r="209">
      <c r="F209" s="4" t="str">
        <f>IFERROR(__xludf.DUMMYFUNCTION("IFERROR(
  FILTER(#REF!, TRIM('CBK Students'!B:B) = TRIM(A209)),
  """"
)"),"")</f>
        <v/>
      </c>
      <c r="G209" s="4">
        <f t="shared" si="1"/>
        <v>0</v>
      </c>
    </row>
    <row r="210">
      <c r="F210" s="4" t="str">
        <f>IFERROR(__xludf.DUMMYFUNCTION("IFERROR(
  FILTER(#REF!, TRIM('CBK Students'!B:B) = TRIM(A210)),
  """"
)"),"")</f>
        <v/>
      </c>
      <c r="G210" s="4">
        <f t="shared" si="1"/>
        <v>0</v>
      </c>
    </row>
    <row r="211">
      <c r="F211" s="4" t="str">
        <f>IFERROR(__xludf.DUMMYFUNCTION("IFERROR(
  FILTER(#REF!, TRIM('CBK Students'!B:B) = TRIM(A211)),
  """"
)"),"")</f>
        <v/>
      </c>
      <c r="G211" s="4">
        <f t="shared" si="1"/>
        <v>0</v>
      </c>
    </row>
    <row r="212">
      <c r="F212" s="4" t="str">
        <f>IFERROR(__xludf.DUMMYFUNCTION("IFERROR(
  FILTER(#REF!, TRIM('CBK Students'!B:B) = TRIM(A212)),
  """"
)"),"")</f>
        <v/>
      </c>
      <c r="G212" s="4">
        <f t="shared" si="1"/>
        <v>0</v>
      </c>
    </row>
    <row r="213">
      <c r="F213" s="4" t="str">
        <f>IFERROR(__xludf.DUMMYFUNCTION("IFERROR(
  FILTER(#REF!, TRIM('CBK Students'!B:B) = TRIM(A213)),
  """"
)"),"")</f>
        <v/>
      </c>
      <c r="G213" s="4">
        <f t="shared" si="1"/>
        <v>0</v>
      </c>
    </row>
    <row r="214">
      <c r="F214" s="4" t="str">
        <f>IFERROR(__xludf.DUMMYFUNCTION("IFERROR(
  FILTER(#REF!, TRIM('CBK Students'!B:B) = TRIM(A214)),
  """"
)"),"")</f>
        <v/>
      </c>
      <c r="G214" s="4">
        <f t="shared" si="1"/>
        <v>0</v>
      </c>
    </row>
    <row r="215">
      <c r="F215" s="4" t="str">
        <f>IFERROR(__xludf.DUMMYFUNCTION("IFERROR(
  FILTER(#REF!, TRIM('CBK Students'!B:B) = TRIM(A215)),
  """"
)"),"")</f>
        <v/>
      </c>
      <c r="G215" s="4">
        <f t="shared" si="1"/>
        <v>0</v>
      </c>
    </row>
    <row r="216">
      <c r="F216" s="4" t="str">
        <f>IFERROR(__xludf.DUMMYFUNCTION("IFERROR(
  FILTER(#REF!, TRIM('CBK Students'!B:B) = TRIM(A216)),
  """"
)"),"")</f>
        <v/>
      </c>
      <c r="G216" s="4">
        <f t="shared" si="1"/>
        <v>0</v>
      </c>
    </row>
    <row r="217">
      <c r="F217" s="4" t="str">
        <f>IFERROR(__xludf.DUMMYFUNCTION("IFERROR(
  FILTER(#REF!, TRIM('CBK Students'!B:B) = TRIM(A217)),
  """"
)"),"")</f>
        <v/>
      </c>
      <c r="G217" s="4">
        <f t="shared" si="1"/>
        <v>0</v>
      </c>
    </row>
    <row r="218">
      <c r="F218" s="4" t="str">
        <f>IFERROR(__xludf.DUMMYFUNCTION("IFERROR(
  FILTER(#REF!, TRIM('CBK Students'!B:B) = TRIM(A218)),
  """"
)"),"")</f>
        <v/>
      </c>
      <c r="G218" s="4">
        <f t="shared" si="1"/>
        <v>0</v>
      </c>
    </row>
    <row r="219">
      <c r="F219" s="4" t="str">
        <f>IFERROR(__xludf.DUMMYFUNCTION("IFERROR(
  FILTER(#REF!, TRIM('CBK Students'!B:B) = TRIM(A219)),
  """"
)"),"")</f>
        <v/>
      </c>
      <c r="G219" s="4">
        <f t="shared" si="1"/>
        <v>0</v>
      </c>
    </row>
    <row r="220">
      <c r="F220" s="4" t="str">
        <f>IFERROR(__xludf.DUMMYFUNCTION("IFERROR(
  FILTER(#REF!, TRIM('CBK Students'!B:B) = TRIM(A220)),
  """"
)"),"")</f>
        <v/>
      </c>
      <c r="G220" s="4">
        <f t="shared" si="1"/>
        <v>0</v>
      </c>
    </row>
    <row r="221">
      <c r="F221" s="4" t="str">
        <f>IFERROR(__xludf.DUMMYFUNCTION("IFERROR(
  FILTER(#REF!, TRIM('CBK Students'!B:B) = TRIM(A221)),
  """"
)"),"")</f>
        <v/>
      </c>
      <c r="G221" s="4">
        <f t="shared" si="1"/>
        <v>0</v>
      </c>
    </row>
    <row r="222">
      <c r="F222" s="4" t="str">
        <f>IFERROR(__xludf.DUMMYFUNCTION("IFERROR(
  FILTER(#REF!, TRIM('CBK Students'!B:B) = TRIM(A222)),
  """"
)"),"")</f>
        <v/>
      </c>
      <c r="G222" s="4">
        <f t="shared" si="1"/>
        <v>0</v>
      </c>
    </row>
    <row r="223">
      <c r="F223" s="4" t="str">
        <f>IFERROR(__xludf.DUMMYFUNCTION("IFERROR(
  FILTER(#REF!, TRIM('CBK Students'!B:B) = TRIM(A223)),
  """"
)"),"")</f>
        <v/>
      </c>
      <c r="G223" s="4">
        <f t="shared" si="1"/>
        <v>0</v>
      </c>
    </row>
    <row r="224">
      <c r="F224" s="4" t="str">
        <f>IFERROR(__xludf.DUMMYFUNCTION("IFERROR(
  FILTER(#REF!, TRIM('CBK Students'!B:B) = TRIM(A224)),
  """"
)"),"")</f>
        <v/>
      </c>
      <c r="G224" s="4">
        <f t="shared" si="1"/>
        <v>0</v>
      </c>
    </row>
    <row r="225">
      <c r="F225" s="4" t="str">
        <f>IFERROR(__xludf.DUMMYFUNCTION("IFERROR(
  FILTER(#REF!, TRIM('CBK Students'!B:B) = TRIM(A225)),
  """"
)"),"")</f>
        <v/>
      </c>
      <c r="G225" s="4">
        <f t="shared" si="1"/>
        <v>0</v>
      </c>
    </row>
    <row r="226">
      <c r="F226" s="4" t="str">
        <f>IFERROR(__xludf.DUMMYFUNCTION("IFERROR(
  FILTER(#REF!, TRIM('CBK Students'!B:B) = TRIM(A226)),
  """"
)"),"")</f>
        <v/>
      </c>
      <c r="G226" s="4">
        <f t="shared" si="1"/>
        <v>0</v>
      </c>
    </row>
    <row r="227">
      <c r="F227" s="4" t="str">
        <f>IFERROR(__xludf.DUMMYFUNCTION("IFERROR(
  FILTER(#REF!, TRIM('CBK Students'!B:B) = TRIM(A227)),
  """"
)"),"")</f>
        <v/>
      </c>
      <c r="G227" s="4">
        <f t="shared" si="1"/>
        <v>0</v>
      </c>
    </row>
    <row r="228">
      <c r="F228" s="4" t="str">
        <f>IFERROR(__xludf.DUMMYFUNCTION("IFERROR(
  FILTER(#REF!, TRIM('CBK Students'!B:B) = TRIM(A228)),
  """"
)"),"")</f>
        <v/>
      </c>
      <c r="G228" s="4">
        <f t="shared" si="1"/>
        <v>0</v>
      </c>
    </row>
    <row r="229">
      <c r="F229" s="4" t="str">
        <f>IFERROR(__xludf.DUMMYFUNCTION("IFERROR(
  FILTER(#REF!, TRIM('CBK Students'!B:B) = TRIM(A229)),
  """"
)"),"")</f>
        <v/>
      </c>
      <c r="G229" s="4">
        <f t="shared" si="1"/>
        <v>0</v>
      </c>
    </row>
    <row r="230">
      <c r="F230" s="4" t="str">
        <f>IFERROR(__xludf.DUMMYFUNCTION("IFERROR(
  FILTER(#REF!, TRIM('CBK Students'!B:B) = TRIM(A230)),
  """"
)"),"")</f>
        <v/>
      </c>
      <c r="G230" s="4">
        <f t="shared" si="1"/>
        <v>0</v>
      </c>
    </row>
    <row r="231">
      <c r="F231" s="4" t="str">
        <f>IFERROR(__xludf.DUMMYFUNCTION("IFERROR(
  FILTER(#REF!, TRIM('CBK Students'!B:B) = TRIM(A231)),
  """"
)"),"")</f>
        <v/>
      </c>
      <c r="G231" s="4">
        <f t="shared" si="1"/>
        <v>0</v>
      </c>
    </row>
    <row r="232">
      <c r="F232" s="4" t="str">
        <f>IFERROR(__xludf.DUMMYFUNCTION("IFERROR(
  FILTER(#REF!, TRIM('CBK Students'!B:B) = TRIM(A232)),
  """"
)"),"")</f>
        <v/>
      </c>
      <c r="G232" s="4">
        <f t="shared" si="1"/>
        <v>0</v>
      </c>
    </row>
    <row r="233">
      <c r="F233" s="4" t="str">
        <f>IFERROR(__xludf.DUMMYFUNCTION("IFERROR(
  FILTER(#REF!, TRIM('CBK Students'!B:B) = TRIM(A233)),
  """"
)"),"")</f>
        <v/>
      </c>
      <c r="G233" s="4">
        <f t="shared" si="1"/>
        <v>0</v>
      </c>
    </row>
    <row r="234">
      <c r="F234" s="4" t="str">
        <f>IFERROR(__xludf.DUMMYFUNCTION("IFERROR(
  FILTER(#REF!, TRIM('CBK Students'!B:B) = TRIM(A234)),
  """"
)"),"")</f>
        <v/>
      </c>
      <c r="G234" s="4">
        <f t="shared" si="1"/>
        <v>0</v>
      </c>
    </row>
    <row r="235">
      <c r="F235" s="4" t="str">
        <f>IFERROR(__xludf.DUMMYFUNCTION("IFERROR(
  FILTER(#REF!, TRIM('CBK Students'!B:B) = TRIM(A235)),
  """"
)"),"")</f>
        <v/>
      </c>
      <c r="G235" s="4">
        <f t="shared" si="1"/>
        <v>0</v>
      </c>
    </row>
    <row r="236">
      <c r="F236" s="4" t="str">
        <f>IFERROR(__xludf.DUMMYFUNCTION("IFERROR(
  FILTER(#REF!, TRIM('CBK Students'!B:B) = TRIM(A236)),
  """"
)"),"")</f>
        <v/>
      </c>
      <c r="G236" s="4">
        <f t="shared" si="1"/>
        <v>0</v>
      </c>
    </row>
    <row r="237">
      <c r="F237" s="4" t="str">
        <f>IFERROR(__xludf.DUMMYFUNCTION("IFERROR(
  FILTER(#REF!, TRIM('CBK Students'!B:B) = TRIM(A237)),
  """"
)"),"")</f>
        <v/>
      </c>
      <c r="G237" s="4">
        <f t="shared" si="1"/>
        <v>0</v>
      </c>
    </row>
    <row r="238">
      <c r="F238" s="4" t="str">
        <f>IFERROR(__xludf.DUMMYFUNCTION("IFERROR(
  FILTER(#REF!, TRIM('CBK Students'!B:B) = TRIM(A238)),
  """"
)"),"")</f>
        <v/>
      </c>
      <c r="G238" s="4">
        <f t="shared" si="1"/>
        <v>0</v>
      </c>
    </row>
    <row r="239">
      <c r="F239" s="4" t="str">
        <f>IFERROR(__xludf.DUMMYFUNCTION("IFERROR(
  FILTER(#REF!, TRIM('CBK Students'!B:B) = TRIM(A239)),
  """"
)"),"")</f>
        <v/>
      </c>
      <c r="G239" s="4">
        <f t="shared" si="1"/>
        <v>0</v>
      </c>
    </row>
    <row r="240">
      <c r="F240" s="4" t="str">
        <f>IFERROR(__xludf.DUMMYFUNCTION("IFERROR(
  FILTER(#REF!, TRIM('CBK Students'!B:B) = TRIM(A240)),
  """"
)"),"")</f>
        <v/>
      </c>
      <c r="G240" s="4">
        <f t="shared" si="1"/>
        <v>0</v>
      </c>
    </row>
    <row r="241">
      <c r="F241" s="4" t="str">
        <f>IFERROR(__xludf.DUMMYFUNCTION("IFERROR(
  FILTER(#REF!, TRIM('CBK Students'!B:B) = TRIM(A241)),
  """"
)"),"")</f>
        <v/>
      </c>
      <c r="G241" s="4">
        <f t="shared" si="1"/>
        <v>0</v>
      </c>
    </row>
    <row r="242">
      <c r="F242" s="4" t="str">
        <f>IFERROR(__xludf.DUMMYFUNCTION("IFERROR(
  FILTER(#REF!, TRIM('CBK Students'!B:B) = TRIM(A242)),
  """"
)"),"")</f>
        <v/>
      </c>
      <c r="G242" s="4">
        <f t="shared" si="1"/>
        <v>0</v>
      </c>
    </row>
    <row r="243">
      <c r="F243" s="4" t="str">
        <f>IFERROR(__xludf.DUMMYFUNCTION("IFERROR(
  FILTER(#REF!, TRIM('CBK Students'!B:B) = TRIM(A243)),
  """"
)"),"")</f>
        <v/>
      </c>
      <c r="G243" s="4">
        <f t="shared" si="1"/>
        <v>0</v>
      </c>
    </row>
    <row r="244">
      <c r="F244" s="4" t="str">
        <f>IFERROR(__xludf.DUMMYFUNCTION("IFERROR(
  FILTER(#REF!, TRIM('CBK Students'!B:B) = TRIM(A244)),
  """"
)"),"")</f>
        <v/>
      </c>
      <c r="G244" s="4">
        <f t="shared" si="1"/>
        <v>0</v>
      </c>
    </row>
    <row r="245">
      <c r="F245" s="4" t="str">
        <f>IFERROR(__xludf.DUMMYFUNCTION("IFERROR(
  FILTER(#REF!, TRIM('CBK Students'!B:B) = TRIM(A245)),
  """"
)"),"")</f>
        <v/>
      </c>
      <c r="G245" s="4">
        <f t="shared" si="1"/>
        <v>0</v>
      </c>
    </row>
    <row r="246">
      <c r="F246" s="4" t="str">
        <f>IFERROR(__xludf.DUMMYFUNCTION("IFERROR(
  FILTER(#REF!, TRIM('CBK Students'!B:B) = TRIM(A246)),
  """"
)"),"")</f>
        <v/>
      </c>
      <c r="G246" s="4">
        <f t="shared" si="1"/>
        <v>0</v>
      </c>
    </row>
    <row r="247">
      <c r="F247" s="4" t="str">
        <f>IFERROR(__xludf.DUMMYFUNCTION("IFERROR(
  FILTER(#REF!, TRIM('CBK Students'!B:B) = TRIM(A247)),
  """"
)"),"")</f>
        <v/>
      </c>
      <c r="G247" s="4">
        <f t="shared" si="1"/>
        <v>0</v>
      </c>
    </row>
    <row r="248">
      <c r="F248" s="4" t="str">
        <f>IFERROR(__xludf.DUMMYFUNCTION("IFERROR(
  FILTER(#REF!, TRIM('CBK Students'!B:B) = TRIM(A248)),
  """"
)"),"")</f>
        <v/>
      </c>
      <c r="G248" s="4">
        <f t="shared" si="1"/>
        <v>0</v>
      </c>
    </row>
    <row r="249">
      <c r="F249" s="4" t="str">
        <f>IFERROR(__xludf.DUMMYFUNCTION("IFERROR(
  FILTER(#REF!, TRIM('CBK Students'!B:B) = TRIM(A249)),
  """"
)"),"")</f>
        <v/>
      </c>
      <c r="G249" s="4">
        <f t="shared" si="1"/>
        <v>0</v>
      </c>
    </row>
    <row r="250">
      <c r="F250" s="4" t="str">
        <f>IFERROR(__xludf.DUMMYFUNCTION("IFERROR(
  FILTER(#REF!, TRIM('CBK Students'!B:B) = TRIM(A250)),
  """"
)"),"")</f>
        <v/>
      </c>
      <c r="G250" s="4">
        <f t="shared" si="1"/>
        <v>0</v>
      </c>
    </row>
    <row r="251">
      <c r="F251" s="4" t="str">
        <f>IFERROR(__xludf.DUMMYFUNCTION("IFERROR(
  FILTER(#REF!, TRIM('CBK Students'!B:B) = TRIM(A251)),
  """"
)"),"")</f>
        <v/>
      </c>
      <c r="G251" s="4">
        <f t="shared" si="1"/>
        <v>0</v>
      </c>
    </row>
    <row r="252">
      <c r="F252" s="4" t="str">
        <f>IFERROR(__xludf.DUMMYFUNCTION("IFERROR(
  FILTER(#REF!, TRIM('CBK Students'!B:B) = TRIM(A252)),
  """"
)"),"")</f>
        <v/>
      </c>
      <c r="G252" s="4">
        <f t="shared" si="1"/>
        <v>0</v>
      </c>
    </row>
    <row r="253">
      <c r="F253" s="4" t="str">
        <f>IFERROR(__xludf.DUMMYFUNCTION("IFERROR(
  FILTER(#REF!, TRIM('CBK Students'!B:B) = TRIM(A253)),
  """"
)"),"")</f>
        <v/>
      </c>
      <c r="G253" s="4">
        <f t="shared" si="1"/>
        <v>0</v>
      </c>
    </row>
    <row r="254">
      <c r="F254" s="4" t="str">
        <f>IFERROR(__xludf.DUMMYFUNCTION("IFERROR(
  FILTER(#REF!, TRIM('CBK Students'!B:B) = TRIM(A254)),
  """"
)"),"")</f>
        <v/>
      </c>
      <c r="G254" s="4">
        <f t="shared" si="1"/>
        <v>0</v>
      </c>
    </row>
    <row r="255">
      <c r="F255" s="4" t="str">
        <f>IFERROR(__xludf.DUMMYFUNCTION("IFERROR(
  FILTER(#REF!, TRIM('CBK Students'!B:B) = TRIM(A255)),
  """"
)"),"")</f>
        <v/>
      </c>
      <c r="G255" s="4">
        <f t="shared" si="1"/>
        <v>0</v>
      </c>
    </row>
    <row r="256">
      <c r="F256" s="4" t="str">
        <f>IFERROR(__xludf.DUMMYFUNCTION("IFERROR(
  FILTER(#REF!, TRIM('CBK Students'!B:B) = TRIM(A256)),
  """"
)"),"")</f>
        <v/>
      </c>
      <c r="G256" s="4">
        <f t="shared" si="1"/>
        <v>0</v>
      </c>
    </row>
    <row r="257">
      <c r="F257" s="4" t="str">
        <f>IFERROR(__xludf.DUMMYFUNCTION("IFERROR(
  FILTER(#REF!, TRIM('CBK Students'!B:B) = TRIM(A257)),
  """"
)"),"")</f>
        <v/>
      </c>
      <c r="G257" s="4">
        <f t="shared" si="1"/>
        <v>0</v>
      </c>
    </row>
    <row r="258">
      <c r="F258" s="4" t="str">
        <f>IFERROR(__xludf.DUMMYFUNCTION("IFERROR(
  FILTER(#REF!, TRIM('CBK Students'!B:B) = TRIM(A258)),
  """"
)"),"")</f>
        <v/>
      </c>
      <c r="G258" s="4">
        <f t="shared" si="1"/>
        <v>0</v>
      </c>
    </row>
    <row r="259">
      <c r="F259" s="4" t="str">
        <f>IFERROR(__xludf.DUMMYFUNCTION("IFERROR(
  FILTER(#REF!, TRIM('CBK Students'!B:B) = TRIM(A259)),
  """"
)"),"")</f>
        <v/>
      </c>
      <c r="G259" s="4">
        <f t="shared" si="1"/>
        <v>0</v>
      </c>
    </row>
    <row r="260">
      <c r="F260" s="4" t="str">
        <f>IFERROR(__xludf.DUMMYFUNCTION("IFERROR(
  FILTER(#REF!, TRIM('CBK Students'!B:B) = TRIM(A260)),
  """"
)"),"")</f>
        <v/>
      </c>
      <c r="G260" s="4">
        <f t="shared" si="1"/>
        <v>0</v>
      </c>
    </row>
    <row r="261">
      <c r="F261" s="4" t="str">
        <f>IFERROR(__xludf.DUMMYFUNCTION("IFERROR(
  FILTER(#REF!, TRIM('CBK Students'!B:B) = TRIM(A261)),
  """"
)"),"")</f>
        <v/>
      </c>
      <c r="G261" s="4">
        <f t="shared" si="1"/>
        <v>0</v>
      </c>
    </row>
    <row r="262">
      <c r="F262" s="4" t="str">
        <f>IFERROR(__xludf.DUMMYFUNCTION("IFERROR(
  FILTER(#REF!, TRIM('CBK Students'!B:B) = TRIM(A262)),
  """"
)"),"")</f>
        <v/>
      </c>
      <c r="G262" s="4">
        <f t="shared" si="1"/>
        <v>0</v>
      </c>
    </row>
    <row r="263">
      <c r="F263" s="4" t="str">
        <f>IFERROR(__xludf.DUMMYFUNCTION("IFERROR(
  FILTER(#REF!, TRIM('CBK Students'!B:B) = TRIM(A263)),
  """"
)"),"")</f>
        <v/>
      </c>
      <c r="G263" s="4">
        <f t="shared" si="1"/>
        <v>0</v>
      </c>
    </row>
    <row r="264">
      <c r="F264" s="4" t="str">
        <f>IFERROR(__xludf.DUMMYFUNCTION("IFERROR(
  FILTER(#REF!, TRIM('CBK Students'!B:B) = TRIM(A264)),
  """"
)"),"")</f>
        <v/>
      </c>
      <c r="G264" s="4">
        <f t="shared" si="1"/>
        <v>0</v>
      </c>
    </row>
    <row r="265">
      <c r="F265" s="4" t="str">
        <f>IFERROR(__xludf.DUMMYFUNCTION("IFERROR(
  FILTER(#REF!, TRIM('CBK Students'!B:B) = TRIM(A265)),
  """"
)"),"")</f>
        <v/>
      </c>
      <c r="G265" s="4">
        <f t="shared" si="1"/>
        <v>0</v>
      </c>
    </row>
    <row r="266">
      <c r="F266" s="4" t="str">
        <f>IFERROR(__xludf.DUMMYFUNCTION("IFERROR(
  FILTER(#REF!, TRIM('CBK Students'!B:B) = TRIM(A266)),
  """"
)"),"")</f>
        <v/>
      </c>
      <c r="G266" s="4">
        <f t="shared" si="1"/>
        <v>0</v>
      </c>
    </row>
    <row r="267">
      <c r="F267" s="4" t="str">
        <f>IFERROR(__xludf.DUMMYFUNCTION("IFERROR(
  FILTER(#REF!, TRIM('CBK Students'!B:B) = TRIM(A267)),
  """"
)"),"")</f>
        <v/>
      </c>
      <c r="G267" s="4">
        <f t="shared" si="1"/>
        <v>0</v>
      </c>
    </row>
    <row r="268">
      <c r="F268" s="4" t="str">
        <f>IFERROR(__xludf.DUMMYFUNCTION("IFERROR(
  FILTER(#REF!, TRIM('CBK Students'!B:B) = TRIM(A268)),
  """"
)"),"")</f>
        <v/>
      </c>
      <c r="G268" s="4">
        <f t="shared" si="1"/>
        <v>0</v>
      </c>
    </row>
    <row r="269">
      <c r="F269" s="4" t="str">
        <f>IFERROR(__xludf.DUMMYFUNCTION("IFERROR(
  FILTER(#REF!, TRIM('CBK Students'!B:B) = TRIM(A269)),
  """"
)"),"")</f>
        <v/>
      </c>
      <c r="G269" s="4">
        <f t="shared" si="1"/>
        <v>0</v>
      </c>
    </row>
    <row r="270">
      <c r="F270" s="4" t="str">
        <f>IFERROR(__xludf.DUMMYFUNCTION("IFERROR(
  FILTER(#REF!, TRIM('CBK Students'!B:B) = TRIM(A270)),
  """"
)"),"")</f>
        <v/>
      </c>
      <c r="G270" s="4">
        <f t="shared" si="1"/>
        <v>0</v>
      </c>
    </row>
    <row r="271">
      <c r="F271" s="4" t="str">
        <f>IFERROR(__xludf.DUMMYFUNCTION("IFERROR(
  FILTER(#REF!, TRIM('CBK Students'!B:B) = TRIM(A271)),
  """"
)"),"")</f>
        <v/>
      </c>
      <c r="G271" s="4">
        <f t="shared" si="1"/>
        <v>0</v>
      </c>
    </row>
    <row r="272">
      <c r="F272" s="4" t="str">
        <f>IFERROR(__xludf.DUMMYFUNCTION("IFERROR(
  FILTER(#REF!, TRIM('CBK Students'!B:B) = TRIM(A272)),
  """"
)"),"")</f>
        <v/>
      </c>
      <c r="G272" s="4">
        <f t="shared" si="1"/>
        <v>0</v>
      </c>
    </row>
    <row r="273">
      <c r="F273" s="4" t="str">
        <f>IFERROR(__xludf.DUMMYFUNCTION("IFERROR(
  FILTER(#REF!, TRIM('CBK Students'!B:B) = TRIM(A273)),
  """"
)"),"")</f>
        <v/>
      </c>
      <c r="G273" s="4">
        <f t="shared" si="1"/>
        <v>0</v>
      </c>
    </row>
    <row r="274">
      <c r="F274" s="4" t="str">
        <f>IFERROR(__xludf.DUMMYFUNCTION("IFERROR(
  FILTER(#REF!, TRIM('CBK Students'!B:B) = TRIM(A274)),
  """"
)"),"")</f>
        <v/>
      </c>
      <c r="G274" s="4">
        <f t="shared" si="1"/>
        <v>0</v>
      </c>
    </row>
    <row r="275">
      <c r="F275" s="4" t="str">
        <f>IFERROR(__xludf.DUMMYFUNCTION("IFERROR(
  FILTER(#REF!, TRIM('CBK Students'!B:B) = TRIM(A275)),
  """"
)"),"")</f>
        <v/>
      </c>
      <c r="G275" s="4">
        <f t="shared" si="1"/>
        <v>0</v>
      </c>
    </row>
    <row r="276">
      <c r="F276" s="4" t="str">
        <f>IFERROR(__xludf.DUMMYFUNCTION("IFERROR(
  FILTER(#REF!, TRIM('CBK Students'!B:B) = TRIM(A276)),
  """"
)"),"")</f>
        <v/>
      </c>
      <c r="G276" s="4">
        <f t="shared" si="1"/>
        <v>0</v>
      </c>
    </row>
    <row r="277">
      <c r="F277" s="4" t="str">
        <f>IFERROR(__xludf.DUMMYFUNCTION("IFERROR(
  FILTER(#REF!, TRIM('CBK Students'!B:B) = TRIM(A277)),
  """"
)"),"")</f>
        <v/>
      </c>
      <c r="G277" s="4">
        <f t="shared" si="1"/>
        <v>0</v>
      </c>
    </row>
    <row r="278">
      <c r="F278" s="4" t="str">
        <f>IFERROR(__xludf.DUMMYFUNCTION("IFERROR(
  FILTER(#REF!, TRIM('CBK Students'!B:B) = TRIM(A278)),
  """"
)"),"")</f>
        <v/>
      </c>
      <c r="G278" s="4">
        <f t="shared" si="1"/>
        <v>0</v>
      </c>
    </row>
    <row r="279">
      <c r="F279" s="4" t="str">
        <f>IFERROR(__xludf.DUMMYFUNCTION("IFERROR(
  FILTER(#REF!, TRIM('CBK Students'!B:B) = TRIM(A279)),
  """"
)"),"")</f>
        <v/>
      </c>
      <c r="G279" s="4">
        <f t="shared" si="1"/>
        <v>0</v>
      </c>
    </row>
    <row r="280">
      <c r="F280" s="4" t="str">
        <f>IFERROR(__xludf.DUMMYFUNCTION("IFERROR(
  FILTER(#REF!, TRIM('CBK Students'!B:B) = TRIM(A280)),
  """"
)"),"")</f>
        <v/>
      </c>
      <c r="G280" s="4">
        <f t="shared" si="1"/>
        <v>0</v>
      </c>
    </row>
    <row r="281">
      <c r="F281" s="4" t="str">
        <f>IFERROR(__xludf.DUMMYFUNCTION("IFERROR(
  FILTER(#REF!, TRIM('CBK Students'!B:B) = TRIM(A281)),
  """"
)"),"")</f>
        <v/>
      </c>
      <c r="G281" s="4">
        <f t="shared" si="1"/>
        <v>0</v>
      </c>
    </row>
    <row r="282">
      <c r="F282" s="4" t="str">
        <f>IFERROR(__xludf.DUMMYFUNCTION("IFERROR(
  FILTER(#REF!, TRIM('CBK Students'!B:B) = TRIM(A282)),
  """"
)"),"")</f>
        <v/>
      </c>
      <c r="G282" s="4">
        <f t="shared" si="1"/>
        <v>0</v>
      </c>
    </row>
    <row r="283">
      <c r="F283" s="4" t="str">
        <f>IFERROR(__xludf.DUMMYFUNCTION("IFERROR(
  FILTER(#REF!, TRIM('CBK Students'!B:B) = TRIM(A283)),
  """"
)"),"")</f>
        <v/>
      </c>
      <c r="G283" s="4">
        <f t="shared" si="1"/>
        <v>0</v>
      </c>
    </row>
    <row r="284">
      <c r="F284" s="4" t="str">
        <f>IFERROR(__xludf.DUMMYFUNCTION("IFERROR(
  FILTER(#REF!, TRIM('CBK Students'!B:B) = TRIM(A284)),
  """"
)"),"")</f>
        <v/>
      </c>
      <c r="G284" s="4">
        <f t="shared" si="1"/>
        <v>0</v>
      </c>
    </row>
    <row r="285">
      <c r="F285" s="4" t="str">
        <f>IFERROR(__xludf.DUMMYFUNCTION("IFERROR(
  FILTER(#REF!, TRIM('CBK Students'!B:B) = TRIM(A285)),
  """"
)"),"")</f>
        <v/>
      </c>
      <c r="G285" s="4">
        <f t="shared" si="1"/>
        <v>0</v>
      </c>
    </row>
    <row r="286">
      <c r="F286" s="4" t="str">
        <f>IFERROR(__xludf.DUMMYFUNCTION("IFERROR(
  FILTER(#REF!, TRIM('CBK Students'!B:B) = TRIM(A286)),
  """"
)"),"")</f>
        <v/>
      </c>
      <c r="G286" s="4">
        <f t="shared" si="1"/>
        <v>0</v>
      </c>
    </row>
    <row r="287">
      <c r="F287" s="4" t="str">
        <f>IFERROR(__xludf.DUMMYFUNCTION("IFERROR(
  FILTER(#REF!, TRIM('CBK Students'!B:B) = TRIM(A287)),
  """"
)"),"")</f>
        <v/>
      </c>
      <c r="G287" s="4">
        <f t="shared" si="1"/>
        <v>0</v>
      </c>
    </row>
    <row r="288">
      <c r="F288" s="4" t="str">
        <f>IFERROR(__xludf.DUMMYFUNCTION("IFERROR(
  FILTER(#REF!, TRIM('CBK Students'!B:B) = TRIM(A288)),
  """"
)"),"")</f>
        <v/>
      </c>
      <c r="G288" s="4">
        <f t="shared" si="1"/>
        <v>0</v>
      </c>
    </row>
    <row r="289">
      <c r="F289" s="4" t="str">
        <f>IFERROR(__xludf.DUMMYFUNCTION("IFERROR(
  FILTER(#REF!, TRIM('CBK Students'!B:B) = TRIM(A289)),
  """"
)"),"")</f>
        <v/>
      </c>
      <c r="G289" s="4">
        <f t="shared" si="1"/>
        <v>0</v>
      </c>
    </row>
    <row r="290">
      <c r="F290" s="4" t="str">
        <f>IFERROR(__xludf.DUMMYFUNCTION("IFERROR(
  FILTER(#REF!, TRIM('CBK Students'!B:B) = TRIM(A290)),
  """"
)"),"")</f>
        <v/>
      </c>
      <c r="G290" s="4">
        <f t="shared" si="1"/>
        <v>0</v>
      </c>
    </row>
    <row r="291">
      <c r="F291" s="4" t="str">
        <f>IFERROR(__xludf.DUMMYFUNCTION("IFERROR(
  FILTER(#REF!, TRIM('CBK Students'!B:B) = TRIM(A291)),
  """"
)"),"")</f>
        <v/>
      </c>
      <c r="G291" s="4">
        <f t="shared" si="1"/>
        <v>0</v>
      </c>
    </row>
    <row r="292">
      <c r="F292" s="4" t="str">
        <f>IFERROR(__xludf.DUMMYFUNCTION("IFERROR(
  FILTER(#REF!, TRIM('CBK Students'!B:B) = TRIM(A292)),
  """"
)"),"")</f>
        <v/>
      </c>
      <c r="G292" s="4">
        <f t="shared" si="1"/>
        <v>0</v>
      </c>
    </row>
    <row r="293">
      <c r="F293" s="4" t="str">
        <f>IFERROR(__xludf.DUMMYFUNCTION("IFERROR(
  FILTER(#REF!, TRIM('CBK Students'!B:B) = TRIM(A293)),
  """"
)"),"")</f>
        <v/>
      </c>
      <c r="G293" s="4">
        <f t="shared" si="1"/>
        <v>0</v>
      </c>
    </row>
    <row r="294">
      <c r="F294" s="4" t="str">
        <f>IFERROR(__xludf.DUMMYFUNCTION("IFERROR(
  FILTER(#REF!, TRIM('CBK Students'!B:B) = TRIM(A294)),
  """"
)"),"")</f>
        <v/>
      </c>
      <c r="G294" s="4">
        <f t="shared" si="1"/>
        <v>0</v>
      </c>
    </row>
    <row r="295">
      <c r="F295" s="4" t="str">
        <f>IFERROR(__xludf.DUMMYFUNCTION("IFERROR(
  FILTER(#REF!, TRIM('CBK Students'!B:B) = TRIM(A295)),
  """"
)"),"")</f>
        <v/>
      </c>
      <c r="G295" s="4">
        <f t="shared" si="1"/>
        <v>0</v>
      </c>
    </row>
    <row r="296">
      <c r="F296" s="4" t="str">
        <f>IFERROR(__xludf.DUMMYFUNCTION("IFERROR(
  FILTER(#REF!, TRIM('CBK Students'!B:B) = TRIM(A296)),
  """"
)"),"")</f>
        <v/>
      </c>
      <c r="G296" s="4">
        <f t="shared" si="1"/>
        <v>0</v>
      </c>
    </row>
    <row r="297">
      <c r="F297" s="4" t="str">
        <f>IFERROR(__xludf.DUMMYFUNCTION("IFERROR(
  FILTER(#REF!, TRIM('CBK Students'!B:B) = TRIM(A297)),
  """"
)"),"")</f>
        <v/>
      </c>
      <c r="G297" s="4">
        <f t="shared" si="1"/>
        <v>0</v>
      </c>
    </row>
    <row r="298">
      <c r="F298" s="4" t="str">
        <f>IFERROR(__xludf.DUMMYFUNCTION("IFERROR(
  FILTER(#REF!, TRIM('CBK Students'!B:B) = TRIM(A298)),
  """"
)"),"")</f>
        <v/>
      </c>
      <c r="G298" s="4">
        <f t="shared" si="1"/>
        <v>0</v>
      </c>
    </row>
    <row r="299">
      <c r="F299" s="4" t="str">
        <f>IFERROR(__xludf.DUMMYFUNCTION("IFERROR(
  FILTER(#REF!, TRIM('CBK Students'!B:B) = TRIM(A299)),
  """"
)"),"")</f>
        <v/>
      </c>
      <c r="G299" s="4">
        <f t="shared" si="1"/>
        <v>0</v>
      </c>
    </row>
    <row r="300">
      <c r="F300" s="4" t="str">
        <f>IFERROR(__xludf.DUMMYFUNCTION("IFERROR(
  FILTER(#REF!, TRIM('CBK Students'!B:B) = TRIM(A300)),
  """"
)"),"")</f>
        <v/>
      </c>
      <c r="G300" s="4">
        <f t="shared" si="1"/>
        <v>0</v>
      </c>
    </row>
    <row r="301">
      <c r="F301" s="4" t="str">
        <f>IFERROR(__xludf.DUMMYFUNCTION("IFERROR(
  FILTER(#REF!, TRIM('CBK Students'!B:B) = TRIM(A301)),
  """"
)"),"")</f>
        <v/>
      </c>
      <c r="G301" s="4">
        <f t="shared" si="1"/>
        <v>0</v>
      </c>
    </row>
    <row r="302">
      <c r="F302" s="4" t="str">
        <f>IFERROR(__xludf.DUMMYFUNCTION("IFERROR(
  FILTER(#REF!, TRIM('CBK Students'!B:B) = TRIM(A302)),
  """"
)"),"")</f>
        <v/>
      </c>
      <c r="G302" s="4">
        <f t="shared" si="1"/>
        <v>0</v>
      </c>
    </row>
    <row r="303">
      <c r="F303" s="4" t="str">
        <f>IFERROR(__xludf.DUMMYFUNCTION("IFERROR(
  FILTER(#REF!, TRIM('CBK Students'!B:B) = TRIM(A303)),
  """"
)"),"")</f>
        <v/>
      </c>
      <c r="G303" s="4">
        <f t="shared" si="1"/>
        <v>0</v>
      </c>
    </row>
    <row r="304">
      <c r="F304" s="4" t="str">
        <f>IFERROR(__xludf.DUMMYFUNCTION("IFERROR(
  FILTER(#REF!, TRIM('CBK Students'!B:B) = TRIM(A304)),
  """"
)"),"")</f>
        <v/>
      </c>
      <c r="G304" s="4">
        <f t="shared" si="1"/>
        <v>0</v>
      </c>
    </row>
    <row r="305">
      <c r="F305" s="4" t="str">
        <f>IFERROR(__xludf.DUMMYFUNCTION("IFERROR(
  FILTER(#REF!, TRIM('CBK Students'!B:B) = TRIM(A305)),
  """"
)"),"")</f>
        <v/>
      </c>
      <c r="G305" s="4">
        <f t="shared" si="1"/>
        <v>0</v>
      </c>
    </row>
    <row r="306">
      <c r="F306" s="4" t="str">
        <f>IFERROR(__xludf.DUMMYFUNCTION("IFERROR(
  FILTER(#REF!, TRIM('CBK Students'!B:B) = TRIM(A306)),
  """"
)"),"")</f>
        <v/>
      </c>
      <c r="G306" s="4">
        <f t="shared" si="1"/>
        <v>0</v>
      </c>
    </row>
    <row r="307">
      <c r="F307" s="4" t="str">
        <f>IFERROR(__xludf.DUMMYFUNCTION("IFERROR(
  FILTER(#REF!, TRIM('CBK Students'!B:B) = TRIM(A307)),
  """"
)"),"")</f>
        <v/>
      </c>
      <c r="G307" s="4">
        <f t="shared" si="1"/>
        <v>0</v>
      </c>
    </row>
    <row r="308">
      <c r="F308" s="4" t="str">
        <f>IFERROR(__xludf.DUMMYFUNCTION("IFERROR(
  FILTER(#REF!, TRIM('CBK Students'!B:B) = TRIM(A308)),
  """"
)"),"")</f>
        <v/>
      </c>
      <c r="G308" s="4">
        <f t="shared" si="1"/>
        <v>0</v>
      </c>
    </row>
    <row r="309">
      <c r="F309" s="4" t="str">
        <f>IFERROR(__xludf.DUMMYFUNCTION("IFERROR(
  FILTER(#REF!, TRIM('CBK Students'!B:B) = TRIM(A309)),
  """"
)"),"")</f>
        <v/>
      </c>
      <c r="G309" s="4">
        <f t="shared" si="1"/>
        <v>0</v>
      </c>
    </row>
    <row r="310">
      <c r="F310" s="4" t="str">
        <f>IFERROR(__xludf.DUMMYFUNCTION("IFERROR(
  FILTER(#REF!, TRIM('CBK Students'!B:B) = TRIM(A310)),
  """"
)"),"")</f>
        <v/>
      </c>
      <c r="G310" s="4">
        <f t="shared" si="1"/>
        <v>0</v>
      </c>
    </row>
    <row r="311">
      <c r="F311" s="4" t="str">
        <f>IFERROR(__xludf.DUMMYFUNCTION("IFERROR(
  FILTER(#REF!, TRIM('CBK Students'!B:B) = TRIM(A311)),
  """"
)"),"")</f>
        <v/>
      </c>
      <c r="G311" s="4">
        <f t="shared" si="1"/>
        <v>0</v>
      </c>
    </row>
    <row r="312">
      <c r="F312" s="4" t="str">
        <f>IFERROR(__xludf.DUMMYFUNCTION("IFERROR(
  FILTER(#REF!, TRIM('CBK Students'!B:B) = TRIM(A312)),
  """"
)"),"")</f>
        <v/>
      </c>
      <c r="G312" s="4">
        <f t="shared" si="1"/>
        <v>0</v>
      </c>
    </row>
    <row r="313">
      <c r="F313" s="4" t="str">
        <f>IFERROR(__xludf.DUMMYFUNCTION("IFERROR(
  FILTER(#REF!, TRIM('CBK Students'!B:B) = TRIM(A313)),
  """"
)"),"")</f>
        <v/>
      </c>
      <c r="G313" s="4">
        <f t="shared" si="1"/>
        <v>0</v>
      </c>
    </row>
    <row r="314">
      <c r="F314" s="4" t="str">
        <f>IFERROR(__xludf.DUMMYFUNCTION("IFERROR(
  FILTER(#REF!, TRIM('CBK Students'!B:B) = TRIM(A314)),
  """"
)"),"")</f>
        <v/>
      </c>
      <c r="G314" s="4">
        <f t="shared" si="1"/>
        <v>0</v>
      </c>
    </row>
    <row r="315">
      <c r="F315" s="4" t="str">
        <f>IFERROR(__xludf.DUMMYFUNCTION("IFERROR(
  FILTER(#REF!, TRIM('CBK Students'!B:B) = TRIM(A315)),
  """"
)"),"")</f>
        <v/>
      </c>
      <c r="G315" s="4">
        <f t="shared" si="1"/>
        <v>0</v>
      </c>
    </row>
    <row r="316">
      <c r="F316" s="4" t="str">
        <f>IFERROR(__xludf.DUMMYFUNCTION("IFERROR(
  FILTER(#REF!, TRIM('CBK Students'!B:B) = TRIM(A316)),
  """"
)"),"")</f>
        <v/>
      </c>
      <c r="G316" s="4">
        <f t="shared" si="1"/>
        <v>0</v>
      </c>
    </row>
    <row r="317">
      <c r="F317" s="4" t="str">
        <f>IFERROR(__xludf.DUMMYFUNCTION("IFERROR(
  FILTER(#REF!, TRIM('CBK Students'!B:B) = TRIM(A317)),
  """"
)"),"")</f>
        <v/>
      </c>
      <c r="G317" s="4">
        <f t="shared" si="1"/>
        <v>0</v>
      </c>
    </row>
    <row r="318">
      <c r="F318" s="4" t="str">
        <f>IFERROR(__xludf.DUMMYFUNCTION("IFERROR(
  FILTER(#REF!, TRIM('CBK Students'!B:B) = TRIM(A318)),
  """"
)"),"")</f>
        <v/>
      </c>
      <c r="G318" s="4">
        <f t="shared" si="1"/>
        <v>0</v>
      </c>
    </row>
    <row r="319">
      <c r="F319" s="4" t="str">
        <f>IFERROR(__xludf.DUMMYFUNCTION("IFERROR(
  FILTER(#REF!, TRIM('CBK Students'!B:B) = TRIM(A319)),
  """"
)"),"")</f>
        <v/>
      </c>
      <c r="G319" s="4">
        <f t="shared" si="1"/>
        <v>0</v>
      </c>
    </row>
    <row r="320">
      <c r="F320" s="4" t="str">
        <f>IFERROR(__xludf.DUMMYFUNCTION("IFERROR(
  FILTER(#REF!, TRIM('CBK Students'!B:B) = TRIM(A320)),
  """"
)"),"")</f>
        <v/>
      </c>
      <c r="G320" s="4">
        <f t="shared" si="1"/>
        <v>0</v>
      </c>
    </row>
    <row r="321">
      <c r="F321" s="4" t="str">
        <f>IFERROR(__xludf.DUMMYFUNCTION("IFERROR(
  FILTER(#REF!, TRIM('CBK Students'!B:B) = TRIM(A321)),
  """"
)"),"")</f>
        <v/>
      </c>
      <c r="G321" s="4">
        <f t="shared" si="1"/>
        <v>0</v>
      </c>
    </row>
    <row r="322">
      <c r="F322" s="4" t="str">
        <f>IFERROR(__xludf.DUMMYFUNCTION("IFERROR(
  FILTER(#REF!, TRIM('CBK Students'!B:B) = TRIM(A322)),
  """"
)"),"")</f>
        <v/>
      </c>
      <c r="G322" s="4">
        <f t="shared" si="1"/>
        <v>0</v>
      </c>
    </row>
    <row r="323">
      <c r="F323" s="4" t="str">
        <f>IFERROR(__xludf.DUMMYFUNCTION("IFERROR(
  FILTER(#REF!, TRIM('CBK Students'!B:B) = TRIM(A323)),
  """"
)"),"")</f>
        <v/>
      </c>
      <c r="G323" s="4">
        <f t="shared" si="1"/>
        <v>0</v>
      </c>
    </row>
    <row r="324">
      <c r="F324" s="4" t="str">
        <f>IFERROR(__xludf.DUMMYFUNCTION("IFERROR(
  FILTER(#REF!, TRIM('CBK Students'!B:B) = TRIM(A324)),
  """"
)"),"")</f>
        <v/>
      </c>
      <c r="G324" s="4">
        <f t="shared" si="1"/>
        <v>0</v>
      </c>
    </row>
    <row r="325">
      <c r="F325" s="4" t="str">
        <f>IFERROR(__xludf.DUMMYFUNCTION("IFERROR(
  FILTER(#REF!, TRIM('CBK Students'!B:B) = TRIM(A325)),
  """"
)"),"")</f>
        <v/>
      </c>
      <c r="G325" s="4">
        <f t="shared" si="1"/>
        <v>0</v>
      </c>
    </row>
    <row r="326">
      <c r="F326" s="4" t="str">
        <f>IFERROR(__xludf.DUMMYFUNCTION("IFERROR(
  FILTER(#REF!, TRIM('CBK Students'!B:B) = TRIM(A326)),
  """"
)"),"")</f>
        <v/>
      </c>
      <c r="G326" s="4">
        <f t="shared" si="1"/>
        <v>0</v>
      </c>
    </row>
    <row r="327">
      <c r="F327" s="4" t="str">
        <f>IFERROR(__xludf.DUMMYFUNCTION("IFERROR(
  FILTER(#REF!, TRIM('CBK Students'!B:B) = TRIM(A327)),
  """"
)"),"")</f>
        <v/>
      </c>
      <c r="G327" s="4">
        <f t="shared" si="1"/>
        <v>0</v>
      </c>
    </row>
    <row r="328">
      <c r="F328" s="4" t="str">
        <f>IFERROR(__xludf.DUMMYFUNCTION("IFERROR(
  FILTER(#REF!, TRIM('CBK Students'!B:B) = TRIM(A328)),
  """"
)"),"")</f>
        <v/>
      </c>
      <c r="G328" s="4">
        <f t="shared" si="1"/>
        <v>0</v>
      </c>
    </row>
    <row r="329">
      <c r="F329" s="4" t="str">
        <f>IFERROR(__xludf.DUMMYFUNCTION("IFERROR(
  FILTER(#REF!, TRIM('CBK Students'!B:B) = TRIM(A329)),
  """"
)"),"")</f>
        <v/>
      </c>
      <c r="G329" s="4">
        <f t="shared" si="1"/>
        <v>0</v>
      </c>
    </row>
    <row r="330">
      <c r="F330" s="4" t="str">
        <f>IFERROR(__xludf.DUMMYFUNCTION("IFERROR(
  FILTER(#REF!, TRIM('CBK Students'!B:B) = TRIM(A330)),
  """"
)"),"")</f>
        <v/>
      </c>
      <c r="G330" s="4">
        <f t="shared" si="1"/>
        <v>0</v>
      </c>
    </row>
    <row r="331">
      <c r="F331" s="4" t="str">
        <f>IFERROR(__xludf.DUMMYFUNCTION("IFERROR(
  FILTER(#REF!, TRIM('CBK Students'!B:B) = TRIM(A331)),
  """"
)"),"")</f>
        <v/>
      </c>
      <c r="G331" s="4">
        <f t="shared" si="1"/>
        <v>0</v>
      </c>
    </row>
    <row r="332">
      <c r="F332" s="4" t="str">
        <f>IFERROR(__xludf.DUMMYFUNCTION("IFERROR(
  FILTER(#REF!, TRIM('CBK Students'!B:B) = TRIM(A332)),
  """"
)"),"")</f>
        <v/>
      </c>
      <c r="G332" s="4">
        <f t="shared" si="1"/>
        <v>0</v>
      </c>
    </row>
    <row r="333">
      <c r="F333" s="4" t="str">
        <f>IFERROR(__xludf.DUMMYFUNCTION("IFERROR(
  FILTER(#REF!, TRIM('CBK Students'!B:B) = TRIM(A333)),
  """"
)"),"")</f>
        <v/>
      </c>
      <c r="G333" s="4">
        <f t="shared" si="1"/>
        <v>0</v>
      </c>
    </row>
    <row r="334">
      <c r="F334" s="4" t="str">
        <f>IFERROR(__xludf.DUMMYFUNCTION("IFERROR(
  FILTER(#REF!, TRIM('CBK Students'!B:B) = TRIM(A334)),
  """"
)"),"")</f>
        <v/>
      </c>
      <c r="G334" s="4">
        <f t="shared" si="1"/>
        <v>0</v>
      </c>
    </row>
    <row r="335">
      <c r="F335" s="4" t="str">
        <f>IFERROR(__xludf.DUMMYFUNCTION("IFERROR(
  FILTER(#REF!, TRIM('CBK Students'!B:B) = TRIM(A335)),
  """"
)"),"")</f>
        <v/>
      </c>
      <c r="G335" s="4">
        <f t="shared" si="1"/>
        <v>0</v>
      </c>
    </row>
    <row r="336">
      <c r="F336" s="4" t="str">
        <f>IFERROR(__xludf.DUMMYFUNCTION("IFERROR(
  FILTER(#REF!, TRIM('CBK Students'!B:B) = TRIM(A336)),
  """"
)"),"")</f>
        <v/>
      </c>
      <c r="G336" s="4">
        <f t="shared" si="1"/>
        <v>0</v>
      </c>
    </row>
    <row r="337">
      <c r="F337" s="4" t="str">
        <f>IFERROR(__xludf.DUMMYFUNCTION("IFERROR(
  FILTER(#REF!, TRIM('CBK Students'!B:B) = TRIM(A337)),
  """"
)"),"")</f>
        <v/>
      </c>
      <c r="G337" s="4">
        <f t="shared" si="1"/>
        <v>0</v>
      </c>
    </row>
    <row r="338">
      <c r="F338" s="4" t="str">
        <f>IFERROR(__xludf.DUMMYFUNCTION("IFERROR(
  FILTER(#REF!, TRIM('CBK Students'!B:B) = TRIM(A338)),
  """"
)"),"")</f>
        <v/>
      </c>
      <c r="G338" s="4">
        <f t="shared" si="1"/>
        <v>0</v>
      </c>
    </row>
    <row r="339">
      <c r="F339" s="4" t="str">
        <f>IFERROR(__xludf.DUMMYFUNCTION("IFERROR(
  FILTER(#REF!, TRIM('CBK Students'!B:B) = TRIM(A339)),
  """"
)"),"")</f>
        <v/>
      </c>
      <c r="G339" s="4">
        <f t="shared" si="1"/>
        <v>0</v>
      </c>
    </row>
    <row r="340">
      <c r="F340" s="4" t="str">
        <f>IFERROR(__xludf.DUMMYFUNCTION("IFERROR(
  FILTER(#REF!, TRIM('CBK Students'!B:B) = TRIM(A340)),
  """"
)"),"")</f>
        <v/>
      </c>
      <c r="G340" s="4">
        <f t="shared" si="1"/>
        <v>0</v>
      </c>
    </row>
    <row r="341">
      <c r="F341" s="4" t="str">
        <f>IFERROR(__xludf.DUMMYFUNCTION("IFERROR(
  FILTER(#REF!, TRIM('CBK Students'!B:B) = TRIM(A341)),
  """"
)"),"")</f>
        <v/>
      </c>
      <c r="G341" s="4">
        <f t="shared" si="1"/>
        <v>0</v>
      </c>
    </row>
    <row r="342">
      <c r="F342" s="4" t="str">
        <f>IFERROR(__xludf.DUMMYFUNCTION("IFERROR(
  FILTER(#REF!, TRIM('CBK Students'!B:B) = TRIM(A342)),
  """"
)"),"")</f>
        <v/>
      </c>
      <c r="G342" s="4">
        <f t="shared" si="1"/>
        <v>0</v>
      </c>
    </row>
    <row r="343">
      <c r="F343" s="4" t="str">
        <f>IFERROR(__xludf.DUMMYFUNCTION("IFERROR(
  FILTER(#REF!, TRIM('CBK Students'!B:B) = TRIM(A343)),
  """"
)"),"")</f>
        <v/>
      </c>
      <c r="G343" s="4">
        <f t="shared" si="1"/>
        <v>0</v>
      </c>
    </row>
    <row r="344">
      <c r="F344" s="4" t="str">
        <f>IFERROR(__xludf.DUMMYFUNCTION("IFERROR(
  FILTER(#REF!, TRIM('CBK Students'!B:B) = TRIM(A344)),
  """"
)"),"")</f>
        <v/>
      </c>
      <c r="G344" s="4">
        <f t="shared" si="1"/>
        <v>0</v>
      </c>
    </row>
    <row r="345">
      <c r="F345" s="4" t="str">
        <f>IFERROR(__xludf.DUMMYFUNCTION("IFERROR(
  FILTER(#REF!, TRIM('CBK Students'!B:B) = TRIM(A345)),
  """"
)"),"")</f>
        <v/>
      </c>
      <c r="G345" s="4">
        <f t="shared" si="1"/>
        <v>0</v>
      </c>
    </row>
    <row r="346">
      <c r="F346" s="4" t="str">
        <f>IFERROR(__xludf.DUMMYFUNCTION("IFERROR(
  FILTER(#REF!, TRIM('CBK Students'!B:B) = TRIM(A346)),
  """"
)"),"")</f>
        <v/>
      </c>
      <c r="G346" s="4">
        <f t="shared" si="1"/>
        <v>0</v>
      </c>
    </row>
    <row r="347">
      <c r="F347" s="4" t="str">
        <f>IFERROR(__xludf.DUMMYFUNCTION("IFERROR(
  FILTER(#REF!, TRIM('CBK Students'!B:B) = TRIM(A347)),
  """"
)"),"")</f>
        <v/>
      </c>
      <c r="G347" s="4">
        <f t="shared" si="1"/>
        <v>0</v>
      </c>
    </row>
    <row r="348">
      <c r="F348" s="4" t="str">
        <f>IFERROR(__xludf.DUMMYFUNCTION("IFERROR(
  FILTER(#REF!, TRIM('CBK Students'!B:B) = TRIM(A348)),
  """"
)"),"")</f>
        <v/>
      </c>
      <c r="G348" s="4">
        <f t="shared" si="1"/>
        <v>0</v>
      </c>
    </row>
    <row r="349">
      <c r="F349" s="4" t="str">
        <f>IFERROR(__xludf.DUMMYFUNCTION("IFERROR(
  FILTER(#REF!, TRIM('CBK Students'!B:B) = TRIM(A349)),
  """"
)"),"")</f>
        <v/>
      </c>
      <c r="G349" s="4">
        <f t="shared" si="1"/>
        <v>0</v>
      </c>
    </row>
    <row r="350">
      <c r="F350" s="4" t="str">
        <f>IFERROR(__xludf.DUMMYFUNCTION("IFERROR(
  FILTER(#REF!, TRIM('CBK Students'!B:B) = TRIM(A350)),
  """"
)"),"")</f>
        <v/>
      </c>
      <c r="G350" s="4">
        <f t="shared" si="1"/>
        <v>0</v>
      </c>
    </row>
    <row r="351">
      <c r="F351" s="4" t="str">
        <f>IFERROR(__xludf.DUMMYFUNCTION("IFERROR(
  FILTER(#REF!, TRIM('CBK Students'!B:B) = TRIM(A351)),
  """"
)"),"")</f>
        <v/>
      </c>
      <c r="G351" s="4">
        <f t="shared" si="1"/>
        <v>0</v>
      </c>
    </row>
    <row r="352">
      <c r="F352" s="4" t="str">
        <f>IFERROR(__xludf.DUMMYFUNCTION("IFERROR(
  FILTER(#REF!, TRIM('CBK Students'!B:B) = TRIM(A352)),
  """"
)"),"")</f>
        <v/>
      </c>
      <c r="G352" s="4">
        <f t="shared" si="1"/>
        <v>0</v>
      </c>
    </row>
    <row r="353">
      <c r="F353" s="4" t="str">
        <f>IFERROR(__xludf.DUMMYFUNCTION("IFERROR(
  FILTER(#REF!, TRIM('CBK Students'!B:B) = TRIM(A353)),
  """"
)"),"")</f>
        <v/>
      </c>
      <c r="G353" s="4">
        <f t="shared" si="1"/>
        <v>0</v>
      </c>
    </row>
    <row r="354">
      <c r="F354" s="4" t="str">
        <f>IFERROR(__xludf.DUMMYFUNCTION("IFERROR(
  FILTER(#REF!, TRIM('CBK Students'!B:B) = TRIM(A354)),
  """"
)"),"")</f>
        <v/>
      </c>
      <c r="G354" s="4">
        <f t="shared" si="1"/>
        <v>0</v>
      </c>
    </row>
    <row r="355">
      <c r="F355" s="4" t="str">
        <f>IFERROR(__xludf.DUMMYFUNCTION("IFERROR(
  FILTER(#REF!, TRIM('CBK Students'!B:B) = TRIM(A355)),
  """"
)"),"")</f>
        <v/>
      </c>
      <c r="G355" s="4">
        <f t="shared" si="1"/>
        <v>0</v>
      </c>
    </row>
    <row r="356">
      <c r="F356" s="4" t="str">
        <f>IFERROR(__xludf.DUMMYFUNCTION("IFERROR(
  FILTER(#REF!, TRIM('CBK Students'!B:B) = TRIM(A356)),
  """"
)"),"")</f>
        <v/>
      </c>
      <c r="G356" s="4">
        <f t="shared" si="1"/>
        <v>0</v>
      </c>
    </row>
    <row r="357">
      <c r="F357" s="4" t="str">
        <f>IFERROR(__xludf.DUMMYFUNCTION("IFERROR(
  FILTER(#REF!, TRIM('CBK Students'!B:B) = TRIM(A357)),
  """"
)"),"")</f>
        <v/>
      </c>
      <c r="G357" s="4">
        <f t="shared" si="1"/>
        <v>0</v>
      </c>
    </row>
    <row r="358">
      <c r="F358" s="4" t="str">
        <f>IFERROR(__xludf.DUMMYFUNCTION("IFERROR(
  FILTER(#REF!, TRIM('CBK Students'!B:B) = TRIM(A358)),
  """"
)"),"")</f>
        <v/>
      </c>
      <c r="G358" s="4">
        <f t="shared" si="1"/>
        <v>0</v>
      </c>
    </row>
    <row r="359">
      <c r="F359" s="4" t="str">
        <f>IFERROR(__xludf.DUMMYFUNCTION("IFERROR(
  FILTER(#REF!, TRIM('CBK Students'!B:B) = TRIM(A359)),
  """"
)"),"")</f>
        <v/>
      </c>
      <c r="G359" s="4">
        <f t="shared" si="1"/>
        <v>0</v>
      </c>
    </row>
    <row r="360">
      <c r="F360" s="4" t="str">
        <f>IFERROR(__xludf.DUMMYFUNCTION("IFERROR(
  FILTER(#REF!, TRIM('CBK Students'!B:B) = TRIM(A360)),
  """"
)"),"")</f>
        <v/>
      </c>
      <c r="G360" s="4">
        <f t="shared" si="1"/>
        <v>0</v>
      </c>
    </row>
    <row r="361">
      <c r="F361" s="4" t="str">
        <f>IFERROR(__xludf.DUMMYFUNCTION("IFERROR(
  FILTER(#REF!, TRIM('CBK Students'!B:B) = TRIM(A361)),
  """"
)"),"")</f>
        <v/>
      </c>
      <c r="G361" s="4">
        <f t="shared" si="1"/>
        <v>0</v>
      </c>
    </row>
    <row r="362">
      <c r="F362" s="4" t="str">
        <f>IFERROR(__xludf.DUMMYFUNCTION("IFERROR(
  FILTER(#REF!, TRIM('CBK Students'!B:B) = TRIM(A362)),
  """"
)"),"")</f>
        <v/>
      </c>
      <c r="G362" s="4">
        <f t="shared" si="1"/>
        <v>0</v>
      </c>
    </row>
    <row r="363">
      <c r="F363" s="4" t="str">
        <f>IFERROR(__xludf.DUMMYFUNCTION("IFERROR(
  FILTER(#REF!, TRIM('CBK Students'!B:B) = TRIM(A363)),
  """"
)"),"")</f>
        <v/>
      </c>
      <c r="G363" s="4">
        <f t="shared" si="1"/>
        <v>0</v>
      </c>
    </row>
    <row r="364">
      <c r="F364" s="4" t="str">
        <f>IFERROR(__xludf.DUMMYFUNCTION("IFERROR(
  FILTER(#REF!, TRIM('CBK Students'!B:B) = TRIM(A364)),
  """"
)"),"")</f>
        <v/>
      </c>
      <c r="G364" s="4">
        <f t="shared" si="1"/>
        <v>0</v>
      </c>
    </row>
    <row r="365">
      <c r="F365" s="4" t="str">
        <f>IFERROR(__xludf.DUMMYFUNCTION("IFERROR(
  FILTER(#REF!, TRIM('CBK Students'!B:B) = TRIM(A365)),
  """"
)"),"")</f>
        <v/>
      </c>
      <c r="G365" s="4">
        <f t="shared" si="1"/>
        <v>0</v>
      </c>
    </row>
    <row r="366">
      <c r="F366" s="4" t="str">
        <f>IFERROR(__xludf.DUMMYFUNCTION("IFERROR(
  FILTER(#REF!, TRIM('CBK Students'!B:B) = TRIM(A366)),
  """"
)"),"")</f>
        <v/>
      </c>
      <c r="G366" s="4">
        <f t="shared" si="1"/>
        <v>0</v>
      </c>
    </row>
    <row r="367">
      <c r="F367" s="4" t="str">
        <f>IFERROR(__xludf.DUMMYFUNCTION("IFERROR(
  FILTER(#REF!, TRIM('CBK Students'!B:B) = TRIM(A367)),
  """"
)"),"")</f>
        <v/>
      </c>
      <c r="G367" s="4">
        <f t="shared" si="1"/>
        <v>0</v>
      </c>
    </row>
    <row r="368">
      <c r="F368" s="4" t="str">
        <f>IFERROR(__xludf.DUMMYFUNCTION("IFERROR(
  FILTER(#REF!, TRIM('CBK Students'!B:B) = TRIM(A368)),
  """"
)"),"")</f>
        <v/>
      </c>
      <c r="G368" s="4">
        <f t="shared" si="1"/>
        <v>0</v>
      </c>
    </row>
    <row r="369">
      <c r="F369" s="4" t="str">
        <f>IFERROR(__xludf.DUMMYFUNCTION("IFERROR(
  FILTER(#REF!, TRIM('CBK Students'!B:B) = TRIM(A369)),
  """"
)"),"")</f>
        <v/>
      </c>
      <c r="G369" s="4">
        <f t="shared" si="1"/>
        <v>0</v>
      </c>
    </row>
    <row r="370">
      <c r="F370" s="4" t="str">
        <f>IFERROR(__xludf.DUMMYFUNCTION("IFERROR(
  FILTER(#REF!, TRIM('CBK Students'!B:B) = TRIM(A370)),
  """"
)"),"")</f>
        <v/>
      </c>
      <c r="G370" s="4">
        <f t="shared" si="1"/>
        <v>0</v>
      </c>
    </row>
    <row r="371">
      <c r="F371" s="4" t="str">
        <f>IFERROR(__xludf.DUMMYFUNCTION("IFERROR(
  FILTER(#REF!, TRIM('CBK Students'!B:B) = TRIM(A371)),
  """"
)"),"")</f>
        <v/>
      </c>
      <c r="G371" s="4">
        <f t="shared" si="1"/>
        <v>0</v>
      </c>
    </row>
    <row r="372">
      <c r="F372" s="4" t="str">
        <f>IFERROR(__xludf.DUMMYFUNCTION("IFERROR(
  FILTER(#REF!, TRIM('CBK Students'!B:B) = TRIM(A372)),
  """"
)"),"")</f>
        <v/>
      </c>
      <c r="G372" s="4">
        <f t="shared" si="1"/>
        <v>0</v>
      </c>
    </row>
    <row r="373">
      <c r="F373" s="4" t="str">
        <f>IFERROR(__xludf.DUMMYFUNCTION("IFERROR(
  FILTER(#REF!, TRIM('CBK Students'!B:B) = TRIM(A373)),
  """"
)"),"")</f>
        <v/>
      </c>
      <c r="G373" s="4">
        <f t="shared" si="1"/>
        <v>0</v>
      </c>
    </row>
    <row r="374">
      <c r="F374" s="4" t="str">
        <f>IFERROR(__xludf.DUMMYFUNCTION("IFERROR(
  FILTER(#REF!, TRIM('CBK Students'!B:B) = TRIM(A374)),
  """"
)"),"")</f>
        <v/>
      </c>
      <c r="G374" s="4">
        <f t="shared" si="1"/>
        <v>0</v>
      </c>
    </row>
    <row r="375">
      <c r="F375" s="4" t="str">
        <f>IFERROR(__xludf.DUMMYFUNCTION("IFERROR(
  FILTER(#REF!, TRIM('CBK Students'!B:B) = TRIM(A375)),
  """"
)"),"")</f>
        <v/>
      </c>
      <c r="G375" s="4">
        <f t="shared" si="1"/>
        <v>0</v>
      </c>
    </row>
    <row r="376">
      <c r="F376" s="4" t="str">
        <f>IFERROR(__xludf.DUMMYFUNCTION("IFERROR(
  FILTER(#REF!, TRIM('CBK Students'!B:B) = TRIM(A376)),
  """"
)"),"")</f>
        <v/>
      </c>
      <c r="G376" s="4">
        <f t="shared" si="1"/>
        <v>0</v>
      </c>
    </row>
    <row r="377">
      <c r="F377" s="4" t="str">
        <f>IFERROR(__xludf.DUMMYFUNCTION("IFERROR(
  FILTER(#REF!, TRIM('CBK Students'!B:B) = TRIM(A377)),
  """"
)"),"")</f>
        <v/>
      </c>
      <c r="G377" s="4">
        <f t="shared" si="1"/>
        <v>0</v>
      </c>
    </row>
    <row r="378">
      <c r="F378" s="4" t="str">
        <f>IFERROR(__xludf.DUMMYFUNCTION("IFERROR(
  FILTER(#REF!, TRIM('CBK Students'!B:B) = TRIM(A378)),
  """"
)"),"")</f>
        <v/>
      </c>
      <c r="G378" s="4">
        <f t="shared" si="1"/>
        <v>0</v>
      </c>
    </row>
    <row r="379">
      <c r="F379" s="4" t="str">
        <f>IFERROR(__xludf.DUMMYFUNCTION("IFERROR(
  FILTER(#REF!, TRIM('CBK Students'!B:B) = TRIM(A379)),
  """"
)"),"")</f>
        <v/>
      </c>
      <c r="G379" s="4">
        <f t="shared" si="1"/>
        <v>0</v>
      </c>
    </row>
    <row r="380">
      <c r="F380" s="4" t="str">
        <f>IFERROR(__xludf.DUMMYFUNCTION("IFERROR(
  FILTER(#REF!, TRIM('CBK Students'!B:B) = TRIM(A380)),
  """"
)"),"")</f>
        <v/>
      </c>
      <c r="G380" s="4">
        <f t="shared" si="1"/>
        <v>0</v>
      </c>
    </row>
    <row r="381">
      <c r="F381" s="4" t="str">
        <f>IFERROR(__xludf.DUMMYFUNCTION("IFERROR(
  FILTER(#REF!, TRIM('CBK Students'!B:B) = TRIM(A381)),
  """"
)"),"")</f>
        <v/>
      </c>
      <c r="G381" s="4">
        <f t="shared" si="1"/>
        <v>0</v>
      </c>
    </row>
    <row r="382">
      <c r="F382" s="4" t="str">
        <f>IFERROR(__xludf.DUMMYFUNCTION("IFERROR(
  FILTER(#REF!, TRIM('CBK Students'!B:B) = TRIM(A382)),
  """"
)"),"")</f>
        <v/>
      </c>
      <c r="G382" s="4">
        <f t="shared" si="1"/>
        <v>0</v>
      </c>
    </row>
    <row r="383">
      <c r="F383" s="4" t="str">
        <f>IFERROR(__xludf.DUMMYFUNCTION("IFERROR(
  FILTER(#REF!, TRIM('CBK Students'!B:B) = TRIM(A383)),
  """"
)"),"")</f>
        <v/>
      </c>
      <c r="G383" s="4">
        <f t="shared" si="1"/>
        <v>0</v>
      </c>
    </row>
    <row r="384">
      <c r="F384" s="4" t="str">
        <f>IFERROR(__xludf.DUMMYFUNCTION("IFERROR(
  FILTER(#REF!, TRIM('CBK Students'!B:B) = TRIM(A384)),
  """"
)"),"")</f>
        <v/>
      </c>
      <c r="G384" s="4">
        <f t="shared" si="1"/>
        <v>0</v>
      </c>
    </row>
    <row r="385">
      <c r="F385" s="4" t="str">
        <f>IFERROR(__xludf.DUMMYFUNCTION("IFERROR(
  FILTER(#REF!, TRIM('CBK Students'!B:B) = TRIM(A385)),
  """"
)"),"")</f>
        <v/>
      </c>
      <c r="G385" s="4">
        <f t="shared" si="1"/>
        <v>0</v>
      </c>
    </row>
    <row r="386">
      <c r="F386" s="4" t="str">
        <f>IFERROR(__xludf.DUMMYFUNCTION("IFERROR(
  FILTER(#REF!, TRIM('CBK Students'!B:B) = TRIM(A386)),
  """"
)"),"")</f>
        <v/>
      </c>
      <c r="G386" s="4">
        <f t="shared" si="1"/>
        <v>0</v>
      </c>
    </row>
    <row r="387">
      <c r="F387" s="4" t="str">
        <f>IFERROR(__xludf.DUMMYFUNCTION("IFERROR(
  FILTER(#REF!, TRIM('CBK Students'!B:B) = TRIM(A387)),
  """"
)"),"")</f>
        <v/>
      </c>
      <c r="G387" s="4">
        <f t="shared" si="1"/>
        <v>0</v>
      </c>
    </row>
    <row r="388">
      <c r="F388" s="4" t="str">
        <f>IFERROR(__xludf.DUMMYFUNCTION("IFERROR(
  FILTER(#REF!, TRIM('CBK Students'!B:B) = TRIM(A388)),
  """"
)"),"")</f>
        <v/>
      </c>
      <c r="G388" s="4">
        <f t="shared" si="1"/>
        <v>0</v>
      </c>
    </row>
    <row r="389">
      <c r="F389" s="4" t="str">
        <f>IFERROR(__xludf.DUMMYFUNCTION("IFERROR(
  FILTER(#REF!, TRIM('CBK Students'!B:B) = TRIM(A389)),
  """"
)"),"")</f>
        <v/>
      </c>
      <c r="G389" s="4">
        <f t="shared" si="1"/>
        <v>0</v>
      </c>
    </row>
    <row r="390">
      <c r="F390" s="4" t="str">
        <f>IFERROR(__xludf.DUMMYFUNCTION("IFERROR(
  FILTER(#REF!, TRIM('CBK Students'!B:B) = TRIM(A390)),
  """"
)"),"")</f>
        <v/>
      </c>
      <c r="G390" s="4">
        <f t="shared" si="1"/>
        <v>0</v>
      </c>
    </row>
    <row r="391">
      <c r="F391" s="4" t="str">
        <f>IFERROR(__xludf.DUMMYFUNCTION("IFERROR(
  FILTER(#REF!, TRIM('CBK Students'!B:B) = TRIM(A391)),
  """"
)"),"")</f>
        <v/>
      </c>
      <c r="G391" s="4">
        <f t="shared" si="1"/>
        <v>0</v>
      </c>
    </row>
    <row r="392">
      <c r="F392" s="4" t="str">
        <f>IFERROR(__xludf.DUMMYFUNCTION("IFERROR(
  FILTER(#REF!, TRIM('CBK Students'!B:B) = TRIM(A392)),
  """"
)"),"")</f>
        <v/>
      </c>
      <c r="G392" s="4">
        <f t="shared" si="1"/>
        <v>0</v>
      </c>
    </row>
    <row r="393">
      <c r="F393" s="4" t="str">
        <f>IFERROR(__xludf.DUMMYFUNCTION("IFERROR(
  FILTER(#REF!, TRIM('CBK Students'!B:B) = TRIM(A393)),
  """"
)"),"")</f>
        <v/>
      </c>
      <c r="G393" s="4">
        <f t="shared" si="1"/>
        <v>0</v>
      </c>
    </row>
    <row r="394">
      <c r="F394" s="4" t="str">
        <f>IFERROR(__xludf.DUMMYFUNCTION("IFERROR(
  FILTER(#REF!, TRIM('CBK Students'!B:B) = TRIM(A394)),
  """"
)"),"")</f>
        <v/>
      </c>
      <c r="G394" s="4">
        <f t="shared" si="1"/>
        <v>0</v>
      </c>
    </row>
    <row r="395">
      <c r="F395" s="4" t="str">
        <f>IFERROR(__xludf.DUMMYFUNCTION("IFERROR(
  FILTER(#REF!, TRIM('CBK Students'!B:B) = TRIM(A395)),
  """"
)"),"")</f>
        <v/>
      </c>
      <c r="G395" s="4">
        <f t="shared" si="1"/>
        <v>0</v>
      </c>
    </row>
    <row r="396">
      <c r="F396" s="4" t="str">
        <f>IFERROR(__xludf.DUMMYFUNCTION("IFERROR(
  FILTER(#REF!, TRIM('CBK Students'!B:B) = TRIM(A396)),
  """"
)"),"")</f>
        <v/>
      </c>
      <c r="G396" s="4">
        <f t="shared" si="1"/>
        <v>0</v>
      </c>
    </row>
    <row r="397">
      <c r="F397" s="4" t="str">
        <f>IFERROR(__xludf.DUMMYFUNCTION("IFERROR(
  FILTER(#REF!, TRIM('CBK Students'!B:B) = TRIM(A397)),
  """"
)"),"")</f>
        <v/>
      </c>
      <c r="G397" s="4">
        <f t="shared" si="1"/>
        <v>0</v>
      </c>
    </row>
    <row r="398">
      <c r="F398" s="4" t="str">
        <f>IFERROR(__xludf.DUMMYFUNCTION("IFERROR(
  FILTER(#REF!, TRIM('CBK Students'!B:B) = TRIM(A398)),
  """"
)"),"")</f>
        <v/>
      </c>
      <c r="G398" s="4">
        <f t="shared" si="1"/>
        <v>0</v>
      </c>
    </row>
    <row r="399">
      <c r="F399" s="4" t="str">
        <f>IFERROR(__xludf.DUMMYFUNCTION("IFERROR(
  FILTER(#REF!, TRIM('CBK Students'!B:B) = TRIM(A399)),
  """"
)"),"")</f>
        <v/>
      </c>
      <c r="G399" s="4">
        <f t="shared" si="1"/>
        <v>0</v>
      </c>
    </row>
    <row r="400">
      <c r="F400" s="4" t="str">
        <f>IFERROR(__xludf.DUMMYFUNCTION("IFERROR(
  FILTER(#REF!, TRIM('CBK Students'!B:B) = TRIM(A400)),
  """"
)"),"")</f>
        <v/>
      </c>
      <c r="G400" s="4">
        <f t="shared" si="1"/>
        <v>0</v>
      </c>
    </row>
    <row r="401">
      <c r="F401" s="4" t="str">
        <f>IFERROR(__xludf.DUMMYFUNCTION("IFERROR(
  FILTER(#REF!, TRIM('CBK Students'!B:B) = TRIM(A401)),
  """"
)"),"")</f>
        <v/>
      </c>
      <c r="G401" s="4">
        <f t="shared" si="1"/>
        <v>0</v>
      </c>
    </row>
    <row r="402">
      <c r="F402" s="4" t="str">
        <f>IFERROR(__xludf.DUMMYFUNCTION("IFERROR(
  FILTER(#REF!, TRIM('CBK Students'!B:B) = TRIM(A402)),
  """"
)"),"")</f>
        <v/>
      </c>
      <c r="G402" s="4">
        <f t="shared" si="1"/>
        <v>0</v>
      </c>
    </row>
    <row r="403">
      <c r="F403" s="4" t="str">
        <f>IFERROR(__xludf.DUMMYFUNCTION("IFERROR(
  FILTER(#REF!, TRIM('CBK Students'!B:B) = TRIM(A403)),
  """"
)"),"")</f>
        <v/>
      </c>
      <c r="G403" s="4">
        <f t="shared" si="1"/>
        <v>0</v>
      </c>
    </row>
    <row r="404">
      <c r="F404" s="4" t="str">
        <f>IFERROR(__xludf.DUMMYFUNCTION("IFERROR(
  FILTER(#REF!, TRIM('CBK Students'!B:B) = TRIM(A404)),
  """"
)"),"")</f>
        <v/>
      </c>
      <c r="G404" s="4">
        <f t="shared" si="1"/>
        <v>0</v>
      </c>
    </row>
    <row r="405">
      <c r="F405" s="4" t="str">
        <f>IFERROR(__xludf.DUMMYFUNCTION("IFERROR(
  FILTER(#REF!, TRIM('CBK Students'!B:B) = TRIM(A405)),
  """"
)"),"")</f>
        <v/>
      </c>
      <c r="G405" s="4">
        <f t="shared" si="1"/>
        <v>0</v>
      </c>
    </row>
    <row r="406">
      <c r="F406" s="4" t="str">
        <f>IFERROR(__xludf.DUMMYFUNCTION("IFERROR(
  FILTER(#REF!, TRIM('CBK Students'!B:B) = TRIM(A406)),
  """"
)"),"")</f>
        <v/>
      </c>
      <c r="G406" s="4">
        <f t="shared" si="1"/>
        <v>0</v>
      </c>
    </row>
    <row r="407">
      <c r="F407" s="4" t="str">
        <f>IFERROR(__xludf.DUMMYFUNCTION("IFERROR(
  FILTER(#REF!, TRIM('CBK Students'!B:B) = TRIM(A407)),
  """"
)"),"")</f>
        <v/>
      </c>
      <c r="G407" s="4">
        <f t="shared" si="1"/>
        <v>0</v>
      </c>
    </row>
    <row r="408">
      <c r="F408" s="4" t="str">
        <f>IFERROR(__xludf.DUMMYFUNCTION("IFERROR(
  FILTER(#REF!, TRIM('CBK Students'!B:B) = TRIM(A408)),
  """"
)"),"")</f>
        <v/>
      </c>
      <c r="G408" s="4">
        <f t="shared" si="1"/>
        <v>0</v>
      </c>
    </row>
    <row r="409">
      <c r="F409" s="4" t="str">
        <f>IFERROR(__xludf.DUMMYFUNCTION("IFERROR(
  FILTER(#REF!, TRIM('CBK Students'!B:B) = TRIM(A409)),
  """"
)"),"")</f>
        <v/>
      </c>
      <c r="G409" s="4">
        <f t="shared" si="1"/>
        <v>0</v>
      </c>
    </row>
    <row r="410">
      <c r="F410" s="4" t="str">
        <f>IFERROR(__xludf.DUMMYFUNCTION("IFERROR(
  FILTER(#REF!, TRIM('CBK Students'!B:B) = TRIM(A410)),
  """"
)"),"")</f>
        <v/>
      </c>
      <c r="G410" s="4">
        <f t="shared" si="1"/>
        <v>0</v>
      </c>
    </row>
    <row r="411">
      <c r="F411" s="4" t="str">
        <f>IFERROR(__xludf.DUMMYFUNCTION("IFERROR(
  FILTER(#REF!, TRIM('CBK Students'!B:B) = TRIM(A411)),
  """"
)"),"")</f>
        <v/>
      </c>
      <c r="G411" s="4">
        <f t="shared" si="1"/>
        <v>0</v>
      </c>
    </row>
    <row r="412">
      <c r="F412" s="4" t="str">
        <f>IFERROR(__xludf.DUMMYFUNCTION("IFERROR(
  FILTER(#REF!, TRIM('CBK Students'!B:B) = TRIM(A412)),
  """"
)"),"")</f>
        <v/>
      </c>
      <c r="G412" s="4">
        <f t="shared" si="1"/>
        <v>0</v>
      </c>
    </row>
    <row r="413">
      <c r="F413" s="4" t="str">
        <f>IFERROR(__xludf.DUMMYFUNCTION("IFERROR(
  FILTER(#REF!, TRIM('CBK Students'!B:B) = TRIM(A413)),
  """"
)"),"")</f>
        <v/>
      </c>
      <c r="G413" s="4">
        <f t="shared" si="1"/>
        <v>0</v>
      </c>
    </row>
    <row r="414">
      <c r="F414" s="4" t="str">
        <f>IFERROR(__xludf.DUMMYFUNCTION("IFERROR(
  FILTER(#REF!, TRIM('CBK Students'!B:B) = TRIM(A414)),
  """"
)"),"")</f>
        <v/>
      </c>
      <c r="G414" s="4">
        <f t="shared" si="1"/>
        <v>0</v>
      </c>
    </row>
    <row r="415">
      <c r="F415" s="4" t="str">
        <f>IFERROR(__xludf.DUMMYFUNCTION("IFERROR(
  FILTER(#REF!, TRIM('CBK Students'!B:B) = TRIM(A415)),
  """"
)"),"")</f>
        <v/>
      </c>
      <c r="G415" s="4">
        <f t="shared" si="1"/>
        <v>0</v>
      </c>
    </row>
    <row r="416">
      <c r="F416" s="4" t="str">
        <f>IFERROR(__xludf.DUMMYFUNCTION("IFERROR(
  FILTER(#REF!, TRIM('CBK Students'!B:B) = TRIM(A416)),
  """"
)"),"")</f>
        <v/>
      </c>
      <c r="G416" s="4">
        <f t="shared" si="1"/>
        <v>0</v>
      </c>
    </row>
    <row r="417">
      <c r="F417" s="4" t="str">
        <f>IFERROR(__xludf.DUMMYFUNCTION("IFERROR(
  FILTER(#REF!, TRIM('CBK Students'!B:B) = TRIM(A417)),
  """"
)"),"")</f>
        <v/>
      </c>
      <c r="G417" s="4">
        <f t="shared" si="1"/>
        <v>0</v>
      </c>
    </row>
    <row r="418">
      <c r="F418" s="4" t="str">
        <f>IFERROR(__xludf.DUMMYFUNCTION("IFERROR(
  FILTER(#REF!, TRIM('CBK Students'!B:B) = TRIM(A418)),
  """"
)"),"")</f>
        <v/>
      </c>
      <c r="G418" s="4">
        <f t="shared" si="1"/>
        <v>0</v>
      </c>
    </row>
    <row r="419">
      <c r="F419" s="4" t="str">
        <f>IFERROR(__xludf.DUMMYFUNCTION("IFERROR(
  FILTER(#REF!, TRIM('CBK Students'!B:B) = TRIM(A419)),
  """"
)"),"")</f>
        <v/>
      </c>
      <c r="G419" s="4">
        <f t="shared" si="1"/>
        <v>0</v>
      </c>
    </row>
    <row r="420">
      <c r="F420" s="4" t="str">
        <f>IFERROR(__xludf.DUMMYFUNCTION("IFERROR(
  FILTER(#REF!, TRIM('CBK Students'!B:B) = TRIM(A420)),
  """"
)"),"")</f>
        <v/>
      </c>
      <c r="G420" s="4">
        <f t="shared" si="1"/>
        <v>0</v>
      </c>
    </row>
    <row r="421">
      <c r="F421" s="4" t="str">
        <f>IFERROR(__xludf.DUMMYFUNCTION("IFERROR(
  FILTER(#REF!, TRIM('CBK Students'!B:B) = TRIM(A421)),
  """"
)"),"")</f>
        <v/>
      </c>
      <c r="G421" s="4">
        <f t="shared" si="1"/>
        <v>0</v>
      </c>
    </row>
    <row r="422">
      <c r="F422" s="4" t="str">
        <f>IFERROR(__xludf.DUMMYFUNCTION("IFERROR(
  FILTER(#REF!, TRIM('CBK Students'!B:B) = TRIM(A422)),
  """"
)"),"")</f>
        <v/>
      </c>
      <c r="G422" s="4">
        <f t="shared" si="1"/>
        <v>0</v>
      </c>
    </row>
    <row r="423">
      <c r="F423" s="4" t="str">
        <f>IFERROR(__xludf.DUMMYFUNCTION("IFERROR(
  FILTER(#REF!, TRIM('CBK Students'!B:B) = TRIM(A423)),
  """"
)"),"")</f>
        <v/>
      </c>
      <c r="G423" s="4">
        <f t="shared" si="1"/>
        <v>0</v>
      </c>
    </row>
    <row r="424">
      <c r="F424" s="4" t="str">
        <f>IFERROR(__xludf.DUMMYFUNCTION("IFERROR(
  FILTER(#REF!, TRIM('CBK Students'!B:B) = TRIM(A424)),
  """"
)"),"")</f>
        <v/>
      </c>
      <c r="G424" s="4">
        <f t="shared" si="1"/>
        <v>0</v>
      </c>
    </row>
    <row r="425">
      <c r="F425" s="4" t="str">
        <f>IFERROR(__xludf.DUMMYFUNCTION("IFERROR(
  FILTER(#REF!, TRIM('CBK Students'!B:B) = TRIM(A425)),
  """"
)"),"")</f>
        <v/>
      </c>
      <c r="G425" s="4">
        <f t="shared" si="1"/>
        <v>0</v>
      </c>
    </row>
    <row r="426">
      <c r="F426" s="4" t="str">
        <f>IFERROR(__xludf.DUMMYFUNCTION("IFERROR(
  FILTER(#REF!, TRIM('CBK Students'!B:B) = TRIM(A426)),
  """"
)"),"")</f>
        <v/>
      </c>
      <c r="G426" s="4">
        <f t="shared" si="1"/>
        <v>0</v>
      </c>
    </row>
    <row r="427">
      <c r="F427" s="4" t="str">
        <f>IFERROR(__xludf.DUMMYFUNCTION("IFERROR(
  FILTER(#REF!, TRIM('CBK Students'!B:B) = TRIM(A427)),
  """"
)"),"")</f>
        <v/>
      </c>
      <c r="G427" s="4">
        <f t="shared" si="1"/>
        <v>0</v>
      </c>
    </row>
    <row r="428">
      <c r="F428" s="4" t="str">
        <f>IFERROR(__xludf.DUMMYFUNCTION("IFERROR(
  FILTER(#REF!, TRIM('CBK Students'!B:B) = TRIM(A428)),
  """"
)"),"")</f>
        <v/>
      </c>
      <c r="G428" s="4">
        <f t="shared" si="1"/>
        <v>0</v>
      </c>
    </row>
    <row r="429">
      <c r="F429" s="4" t="str">
        <f>IFERROR(__xludf.DUMMYFUNCTION("IFERROR(
  FILTER(#REF!, TRIM('CBK Students'!B:B) = TRIM(A429)),
  """"
)"),"")</f>
        <v/>
      </c>
      <c r="G429" s="4">
        <f t="shared" si="1"/>
        <v>0</v>
      </c>
    </row>
    <row r="430">
      <c r="F430" s="4" t="str">
        <f>IFERROR(__xludf.DUMMYFUNCTION("IFERROR(
  FILTER(#REF!, TRIM('CBK Students'!B:B) = TRIM(A430)),
  """"
)"),"")</f>
        <v/>
      </c>
      <c r="G430" s="4">
        <f t="shared" si="1"/>
        <v>0</v>
      </c>
    </row>
    <row r="431">
      <c r="F431" s="4" t="str">
        <f>IFERROR(__xludf.DUMMYFUNCTION("IFERROR(
  FILTER(#REF!, TRIM('CBK Students'!B:B) = TRIM(A431)),
  """"
)"),"")</f>
        <v/>
      </c>
      <c r="G431" s="4">
        <f t="shared" si="1"/>
        <v>0</v>
      </c>
    </row>
    <row r="432">
      <c r="F432" s="4" t="str">
        <f>IFERROR(__xludf.DUMMYFUNCTION("IFERROR(
  FILTER(#REF!, TRIM('CBK Students'!B:B) = TRIM(A432)),
  """"
)"),"")</f>
        <v/>
      </c>
      <c r="G432" s="4">
        <f t="shared" si="1"/>
        <v>0</v>
      </c>
    </row>
    <row r="433">
      <c r="F433" s="4" t="str">
        <f>IFERROR(__xludf.DUMMYFUNCTION("IFERROR(
  FILTER(#REF!, TRIM('CBK Students'!B:B) = TRIM(A433)),
  """"
)"),"")</f>
        <v/>
      </c>
      <c r="G433" s="4">
        <f t="shared" si="1"/>
        <v>0</v>
      </c>
    </row>
    <row r="434">
      <c r="F434" s="4" t="str">
        <f>IFERROR(__xludf.DUMMYFUNCTION("IFERROR(
  FILTER(#REF!, TRIM('CBK Students'!B:B) = TRIM(A434)),
  """"
)"),"")</f>
        <v/>
      </c>
      <c r="G434" s="4">
        <f t="shared" si="1"/>
        <v>0</v>
      </c>
    </row>
    <row r="435">
      <c r="F435" s="4" t="str">
        <f>IFERROR(__xludf.DUMMYFUNCTION("IFERROR(
  FILTER(#REF!, TRIM('CBK Students'!B:B) = TRIM(A435)),
  """"
)"),"")</f>
        <v/>
      </c>
      <c r="G435" s="4">
        <f t="shared" si="1"/>
        <v>0</v>
      </c>
    </row>
    <row r="436">
      <c r="F436" s="4" t="str">
        <f>IFERROR(__xludf.DUMMYFUNCTION("IFERROR(
  FILTER(#REF!, TRIM('CBK Students'!B:B) = TRIM(A436)),
  """"
)"),"")</f>
        <v/>
      </c>
      <c r="G436" s="4">
        <f t="shared" si="1"/>
        <v>0</v>
      </c>
    </row>
    <row r="437">
      <c r="F437" s="4" t="str">
        <f>IFERROR(__xludf.DUMMYFUNCTION("IFERROR(
  FILTER(#REF!, TRIM('CBK Students'!B:B) = TRIM(A437)),
  """"
)"),"")</f>
        <v/>
      </c>
      <c r="G437" s="4">
        <f t="shared" si="1"/>
        <v>0</v>
      </c>
    </row>
    <row r="438">
      <c r="F438" s="4" t="str">
        <f>IFERROR(__xludf.DUMMYFUNCTION("IFERROR(
  FILTER(#REF!, TRIM('CBK Students'!B:B) = TRIM(A438)),
  """"
)"),"")</f>
        <v/>
      </c>
      <c r="G438" s="4">
        <f t="shared" si="1"/>
        <v>0</v>
      </c>
    </row>
    <row r="439">
      <c r="F439" s="4" t="str">
        <f>IFERROR(__xludf.DUMMYFUNCTION("IFERROR(
  FILTER(#REF!, TRIM('CBK Students'!B:B) = TRIM(A439)),
  """"
)"),"")</f>
        <v/>
      </c>
      <c r="G439" s="4">
        <f t="shared" si="1"/>
        <v>0</v>
      </c>
    </row>
    <row r="440">
      <c r="F440" s="4" t="str">
        <f>IFERROR(__xludf.DUMMYFUNCTION("IFERROR(
  FILTER(#REF!, TRIM('CBK Students'!B:B) = TRIM(A440)),
  """"
)"),"")</f>
        <v/>
      </c>
      <c r="G440" s="4">
        <f t="shared" si="1"/>
        <v>0</v>
      </c>
    </row>
    <row r="441">
      <c r="F441" s="4" t="str">
        <f>IFERROR(__xludf.DUMMYFUNCTION("IFERROR(
  FILTER(#REF!, TRIM('CBK Students'!B:B) = TRIM(A441)),
  """"
)"),"")</f>
        <v/>
      </c>
      <c r="G441" s="4">
        <f t="shared" si="1"/>
        <v>0</v>
      </c>
    </row>
    <row r="442">
      <c r="F442" s="4" t="str">
        <f>IFERROR(__xludf.DUMMYFUNCTION("IFERROR(
  FILTER(#REF!, TRIM('CBK Students'!B:B) = TRIM(A442)),
  """"
)"),"")</f>
        <v/>
      </c>
      <c r="G442" s="4">
        <f t="shared" si="1"/>
        <v>0</v>
      </c>
    </row>
    <row r="443">
      <c r="F443" s="4" t="str">
        <f>IFERROR(__xludf.DUMMYFUNCTION("IFERROR(
  FILTER(#REF!, TRIM('CBK Students'!B:B) = TRIM(A443)),
  """"
)"),"")</f>
        <v/>
      </c>
      <c r="G443" s="4">
        <f t="shared" si="1"/>
        <v>0</v>
      </c>
    </row>
    <row r="444">
      <c r="F444" s="4" t="str">
        <f>IFERROR(__xludf.DUMMYFUNCTION("IFERROR(
  FILTER(#REF!, TRIM('CBK Students'!B:B) = TRIM(A444)),
  """"
)"),"")</f>
        <v/>
      </c>
      <c r="G444" s="4">
        <f t="shared" si="1"/>
        <v>0</v>
      </c>
    </row>
    <row r="445">
      <c r="F445" s="4" t="str">
        <f>IFERROR(__xludf.DUMMYFUNCTION("IFERROR(
  FILTER(#REF!, TRIM('CBK Students'!B:B) = TRIM(A445)),
  """"
)"),"")</f>
        <v/>
      </c>
      <c r="G445" s="4">
        <f t="shared" si="1"/>
        <v>0</v>
      </c>
    </row>
    <row r="446">
      <c r="F446" s="4" t="str">
        <f>IFERROR(__xludf.DUMMYFUNCTION("IFERROR(
  FILTER(#REF!, TRIM('CBK Students'!B:B) = TRIM(A446)),
  """"
)"),"")</f>
        <v/>
      </c>
      <c r="G446" s="4">
        <f t="shared" si="1"/>
        <v>0</v>
      </c>
    </row>
    <row r="447">
      <c r="F447" s="4" t="str">
        <f>IFERROR(__xludf.DUMMYFUNCTION("IFERROR(
  FILTER(#REF!, TRIM('CBK Students'!B:B) = TRIM(A447)),
  """"
)"),"")</f>
        <v/>
      </c>
      <c r="G447" s="4">
        <f t="shared" si="1"/>
        <v>0</v>
      </c>
    </row>
    <row r="448">
      <c r="F448" s="4" t="str">
        <f>IFERROR(__xludf.DUMMYFUNCTION("IFERROR(
  FILTER(#REF!, TRIM('CBK Students'!B:B) = TRIM(A448)),
  """"
)"),"")</f>
        <v/>
      </c>
      <c r="G448" s="4">
        <f t="shared" si="1"/>
        <v>0</v>
      </c>
    </row>
    <row r="449">
      <c r="F449" s="4" t="str">
        <f>IFERROR(__xludf.DUMMYFUNCTION("IFERROR(
  FILTER(#REF!, TRIM('CBK Students'!B:B) = TRIM(A449)),
  """"
)"),"")</f>
        <v/>
      </c>
      <c r="G449" s="4">
        <f t="shared" si="1"/>
        <v>0</v>
      </c>
    </row>
    <row r="450">
      <c r="F450" s="4" t="str">
        <f>IFERROR(__xludf.DUMMYFUNCTION("IFERROR(
  FILTER(#REF!, TRIM('CBK Students'!B:B) = TRIM(A450)),
  """"
)"),"")</f>
        <v/>
      </c>
      <c r="G450" s="4">
        <f t="shared" si="1"/>
        <v>0</v>
      </c>
    </row>
    <row r="451">
      <c r="F451" s="4" t="str">
        <f>IFERROR(__xludf.DUMMYFUNCTION("IFERROR(
  FILTER(#REF!, TRIM('CBK Students'!B:B) = TRIM(A451)),
  """"
)"),"")</f>
        <v/>
      </c>
      <c r="G451" s="4">
        <f t="shared" si="1"/>
        <v>0</v>
      </c>
    </row>
    <row r="452">
      <c r="F452" s="4" t="str">
        <f>IFERROR(__xludf.DUMMYFUNCTION("IFERROR(
  FILTER(#REF!, TRIM('CBK Students'!B:B) = TRIM(A452)),
  """"
)"),"")</f>
        <v/>
      </c>
      <c r="G452" s="4">
        <f t="shared" si="1"/>
        <v>0</v>
      </c>
    </row>
    <row r="453">
      <c r="F453" s="4" t="str">
        <f>IFERROR(__xludf.DUMMYFUNCTION("IFERROR(
  FILTER(#REF!, TRIM('CBK Students'!B:B) = TRIM(A453)),
  """"
)"),"")</f>
        <v/>
      </c>
      <c r="G453" s="4">
        <f t="shared" si="1"/>
        <v>0</v>
      </c>
    </row>
    <row r="454">
      <c r="F454" s="4" t="str">
        <f>IFERROR(__xludf.DUMMYFUNCTION("IFERROR(
  FILTER(#REF!, TRIM('CBK Students'!B:B) = TRIM(A454)),
  """"
)"),"")</f>
        <v/>
      </c>
      <c r="G454" s="4">
        <f t="shared" si="1"/>
        <v>0</v>
      </c>
    </row>
    <row r="455">
      <c r="F455" s="4" t="str">
        <f>IFERROR(__xludf.DUMMYFUNCTION("IFERROR(
  FILTER(#REF!, TRIM('CBK Students'!B:B) = TRIM(A455)),
  """"
)"),"")</f>
        <v/>
      </c>
      <c r="G455" s="4">
        <f t="shared" si="1"/>
        <v>0</v>
      </c>
    </row>
    <row r="456">
      <c r="F456" s="4" t="str">
        <f>IFERROR(__xludf.DUMMYFUNCTION("IFERROR(
  FILTER(#REF!, TRIM('CBK Students'!B:B) = TRIM(A456)),
  """"
)"),"")</f>
        <v/>
      </c>
      <c r="G456" s="4">
        <f t="shared" si="1"/>
        <v>0</v>
      </c>
    </row>
    <row r="457">
      <c r="F457" s="4" t="str">
        <f>IFERROR(__xludf.DUMMYFUNCTION("IFERROR(
  FILTER(#REF!, TRIM('CBK Students'!B:B) = TRIM(A457)),
  """"
)"),"")</f>
        <v/>
      </c>
      <c r="G457" s="4">
        <f t="shared" si="1"/>
        <v>0</v>
      </c>
    </row>
    <row r="458">
      <c r="F458" s="4" t="str">
        <f>IFERROR(__xludf.DUMMYFUNCTION("IFERROR(
  FILTER(#REF!, TRIM('CBK Students'!B:B) = TRIM(A458)),
  """"
)"),"")</f>
        <v/>
      </c>
      <c r="G458" s="4">
        <f t="shared" si="1"/>
        <v>0</v>
      </c>
    </row>
    <row r="459">
      <c r="F459" s="4" t="str">
        <f>IFERROR(__xludf.DUMMYFUNCTION("IFERROR(
  FILTER(#REF!, TRIM('CBK Students'!B:B) = TRIM(A459)),
  """"
)"),"")</f>
        <v/>
      </c>
      <c r="G459" s="4">
        <f t="shared" si="1"/>
        <v>0</v>
      </c>
    </row>
    <row r="460">
      <c r="F460" s="4" t="str">
        <f>IFERROR(__xludf.DUMMYFUNCTION("IFERROR(
  FILTER(#REF!, TRIM('CBK Students'!B:B) = TRIM(A460)),
  """"
)"),"")</f>
        <v/>
      </c>
      <c r="G460" s="4">
        <f t="shared" si="1"/>
        <v>0</v>
      </c>
    </row>
    <row r="461">
      <c r="F461" s="4" t="str">
        <f>IFERROR(__xludf.DUMMYFUNCTION("IFERROR(
  FILTER(#REF!, TRIM('CBK Students'!B:B) = TRIM(A461)),
  """"
)"),"")</f>
        <v/>
      </c>
      <c r="G461" s="4">
        <f t="shared" si="1"/>
        <v>0</v>
      </c>
    </row>
    <row r="462">
      <c r="F462" s="4" t="str">
        <f>IFERROR(__xludf.DUMMYFUNCTION("IFERROR(
  FILTER(#REF!, TRIM('CBK Students'!B:B) = TRIM(A462)),
  """"
)"),"")</f>
        <v/>
      </c>
      <c r="G462" s="4">
        <f t="shared" si="1"/>
        <v>0</v>
      </c>
    </row>
    <row r="463">
      <c r="F463" s="4" t="str">
        <f>IFERROR(__xludf.DUMMYFUNCTION("IFERROR(
  FILTER(#REF!, TRIM('CBK Students'!B:B) = TRIM(A463)),
  """"
)"),"")</f>
        <v/>
      </c>
      <c r="G463" s="4">
        <f t="shared" si="1"/>
        <v>0</v>
      </c>
    </row>
    <row r="464">
      <c r="F464" s="4" t="str">
        <f>IFERROR(__xludf.DUMMYFUNCTION("IFERROR(
  FILTER(#REF!, TRIM('CBK Students'!B:B) = TRIM(A464)),
  """"
)"),"")</f>
        <v/>
      </c>
      <c r="G464" s="4">
        <f t="shared" si="1"/>
        <v>0</v>
      </c>
    </row>
    <row r="465">
      <c r="F465" s="4" t="str">
        <f>IFERROR(__xludf.DUMMYFUNCTION("IFERROR(
  FILTER(#REF!, TRIM('CBK Students'!B:B) = TRIM(A465)),
  """"
)"),"")</f>
        <v/>
      </c>
      <c r="G465" s="4">
        <f t="shared" si="1"/>
        <v>0</v>
      </c>
    </row>
    <row r="466">
      <c r="F466" s="4" t="str">
        <f>IFERROR(__xludf.DUMMYFUNCTION("IFERROR(
  FILTER(#REF!, TRIM('CBK Students'!B:B) = TRIM(A466)),
  """"
)"),"")</f>
        <v/>
      </c>
      <c r="G466" s="4">
        <f t="shared" si="1"/>
        <v>0</v>
      </c>
    </row>
    <row r="467">
      <c r="F467" s="4" t="str">
        <f>IFERROR(__xludf.DUMMYFUNCTION("IFERROR(
  FILTER(#REF!, TRIM('CBK Students'!B:B) = TRIM(A467)),
  """"
)"),"")</f>
        <v/>
      </c>
      <c r="G467" s="4">
        <f t="shared" si="1"/>
        <v>0</v>
      </c>
    </row>
    <row r="468">
      <c r="F468" s="4" t="str">
        <f>IFERROR(__xludf.DUMMYFUNCTION("IFERROR(
  FILTER(#REF!, TRIM('CBK Students'!B:B) = TRIM(A468)),
  """"
)"),"")</f>
        <v/>
      </c>
      <c r="G468" s="4">
        <f t="shared" si="1"/>
        <v>0</v>
      </c>
    </row>
    <row r="469">
      <c r="F469" s="4" t="str">
        <f>IFERROR(__xludf.DUMMYFUNCTION("IFERROR(
  FILTER(#REF!, TRIM('CBK Students'!B:B) = TRIM(A469)),
  """"
)"),"")</f>
        <v/>
      </c>
      <c r="G469" s="4">
        <f t="shared" si="1"/>
        <v>0</v>
      </c>
    </row>
    <row r="470">
      <c r="F470" s="4" t="str">
        <f>IFERROR(__xludf.DUMMYFUNCTION("IFERROR(
  FILTER(#REF!, TRIM('CBK Students'!B:B) = TRIM(A470)),
  """"
)"),"")</f>
        <v/>
      </c>
      <c r="G470" s="4">
        <f t="shared" si="1"/>
        <v>0</v>
      </c>
    </row>
    <row r="471">
      <c r="F471" s="4" t="str">
        <f>IFERROR(__xludf.DUMMYFUNCTION("IFERROR(
  FILTER(#REF!, TRIM('CBK Students'!B:B) = TRIM(A471)),
  """"
)"),"")</f>
        <v/>
      </c>
      <c r="G471" s="4">
        <f t="shared" si="1"/>
        <v>0</v>
      </c>
    </row>
    <row r="472">
      <c r="F472" s="4" t="str">
        <f>IFERROR(__xludf.DUMMYFUNCTION("IFERROR(
  FILTER(#REF!, TRIM('CBK Students'!B:B) = TRIM(A472)),
  """"
)"),"")</f>
        <v/>
      </c>
      <c r="G472" s="4">
        <f t="shared" si="1"/>
        <v>0</v>
      </c>
    </row>
    <row r="473">
      <c r="F473" s="4" t="str">
        <f>IFERROR(__xludf.DUMMYFUNCTION("IFERROR(
  FILTER(#REF!, TRIM('CBK Students'!B:B) = TRIM(A473)),
  """"
)"),"")</f>
        <v/>
      </c>
      <c r="G473" s="4">
        <f t="shared" si="1"/>
        <v>0</v>
      </c>
    </row>
    <row r="474">
      <c r="F474" s="4" t="str">
        <f>IFERROR(__xludf.DUMMYFUNCTION("IFERROR(
  FILTER(#REF!, TRIM('CBK Students'!B:B) = TRIM(A474)),
  """"
)"),"")</f>
        <v/>
      </c>
      <c r="G474" s="4">
        <f t="shared" si="1"/>
        <v>0</v>
      </c>
    </row>
    <row r="475">
      <c r="F475" s="4" t="str">
        <f>IFERROR(__xludf.DUMMYFUNCTION("IFERROR(
  FILTER(#REF!, TRIM('CBK Students'!B:B) = TRIM(A475)),
  """"
)"),"")</f>
        <v/>
      </c>
      <c r="G475" s="4">
        <f t="shared" si="1"/>
        <v>0</v>
      </c>
    </row>
    <row r="476">
      <c r="F476" s="4" t="str">
        <f>IFERROR(__xludf.DUMMYFUNCTION("IFERROR(
  FILTER(#REF!, TRIM('CBK Students'!B:B) = TRIM(A476)),
  """"
)"),"")</f>
        <v/>
      </c>
      <c r="G476" s="4">
        <f t="shared" si="1"/>
        <v>0</v>
      </c>
    </row>
    <row r="477">
      <c r="F477" s="4" t="str">
        <f>IFERROR(__xludf.DUMMYFUNCTION("IFERROR(
  FILTER(#REF!, TRIM('CBK Students'!B:B) = TRIM(A477)),
  """"
)"),"")</f>
        <v/>
      </c>
      <c r="G477" s="4">
        <f t="shared" si="1"/>
        <v>0</v>
      </c>
    </row>
    <row r="478">
      <c r="F478" s="4" t="str">
        <f>IFERROR(__xludf.DUMMYFUNCTION("IFERROR(
  FILTER(#REF!, TRIM('CBK Students'!B:B) = TRIM(A478)),
  """"
)"),"")</f>
        <v/>
      </c>
      <c r="G478" s="4">
        <f t="shared" si="1"/>
        <v>0</v>
      </c>
    </row>
    <row r="479">
      <c r="F479" s="4" t="str">
        <f>IFERROR(__xludf.DUMMYFUNCTION("IFERROR(
  FILTER(#REF!, TRIM('CBK Students'!B:B) = TRIM(A479)),
  """"
)"),"")</f>
        <v/>
      </c>
      <c r="G479" s="4">
        <f t="shared" si="1"/>
        <v>0</v>
      </c>
    </row>
    <row r="480">
      <c r="F480" s="4" t="str">
        <f>IFERROR(__xludf.DUMMYFUNCTION("IFERROR(
  FILTER(#REF!, TRIM('CBK Students'!B:B) = TRIM(A480)),
  """"
)"),"")</f>
        <v/>
      </c>
      <c r="G480" s="4">
        <f t="shared" si="1"/>
        <v>0</v>
      </c>
    </row>
    <row r="481">
      <c r="F481" s="4" t="str">
        <f>IFERROR(__xludf.DUMMYFUNCTION("IFERROR(
  FILTER(#REF!, TRIM('CBK Students'!B:B) = TRIM(A481)),
  """"
)"),"")</f>
        <v/>
      </c>
      <c r="G481" s="4">
        <f t="shared" si="1"/>
        <v>0</v>
      </c>
    </row>
    <row r="482">
      <c r="F482" s="4" t="str">
        <f>IFERROR(__xludf.DUMMYFUNCTION("IFERROR(
  FILTER(#REF!, TRIM('CBK Students'!B:B) = TRIM(A482)),
  """"
)"),"")</f>
        <v/>
      </c>
      <c r="G482" s="4">
        <f t="shared" si="1"/>
        <v>0</v>
      </c>
    </row>
    <row r="483">
      <c r="F483" s="4" t="str">
        <f>IFERROR(__xludf.DUMMYFUNCTION("IFERROR(
  FILTER(#REF!, TRIM('CBK Students'!B:B) = TRIM(A483)),
  """"
)"),"")</f>
        <v/>
      </c>
      <c r="G483" s="4">
        <f t="shared" si="1"/>
        <v>0</v>
      </c>
    </row>
    <row r="484">
      <c r="F484" s="4" t="str">
        <f>IFERROR(__xludf.DUMMYFUNCTION("IFERROR(
  FILTER(#REF!, TRIM('CBK Students'!B:B) = TRIM(A484)),
  """"
)"),"")</f>
        <v/>
      </c>
      <c r="G484" s="4">
        <f t="shared" si="1"/>
        <v>0</v>
      </c>
    </row>
    <row r="485">
      <c r="F485" s="4" t="str">
        <f>IFERROR(__xludf.DUMMYFUNCTION("IFERROR(
  FILTER(#REF!, TRIM('CBK Students'!B:B) = TRIM(A485)),
  """"
)"),"")</f>
        <v/>
      </c>
      <c r="G485" s="4">
        <f t="shared" si="1"/>
        <v>0</v>
      </c>
    </row>
    <row r="486">
      <c r="F486" s="4" t="str">
        <f>IFERROR(__xludf.DUMMYFUNCTION("IFERROR(
  FILTER(#REF!, TRIM('CBK Students'!B:B) = TRIM(A486)),
  """"
)"),"")</f>
        <v/>
      </c>
      <c r="G486" s="4">
        <f t="shared" si="1"/>
        <v>0</v>
      </c>
    </row>
    <row r="487">
      <c r="F487" s="4" t="str">
        <f>IFERROR(__xludf.DUMMYFUNCTION("IFERROR(
  FILTER(#REF!, TRIM('CBK Students'!B:B) = TRIM(A487)),
  """"
)"),"")</f>
        <v/>
      </c>
      <c r="G487" s="4">
        <f t="shared" si="1"/>
        <v>0</v>
      </c>
    </row>
    <row r="488">
      <c r="F488" s="4" t="str">
        <f>IFERROR(__xludf.DUMMYFUNCTION("IFERROR(
  FILTER(#REF!, TRIM('CBK Students'!B:B) = TRIM(A488)),
  """"
)"),"")</f>
        <v/>
      </c>
      <c r="G488" s="4">
        <f t="shared" si="1"/>
        <v>0</v>
      </c>
    </row>
    <row r="489">
      <c r="F489" s="4" t="str">
        <f>IFERROR(__xludf.DUMMYFUNCTION("IFERROR(
  FILTER(#REF!, TRIM('CBK Students'!B:B) = TRIM(A489)),
  """"
)"),"")</f>
        <v/>
      </c>
      <c r="G489" s="4">
        <f t="shared" si="1"/>
        <v>0</v>
      </c>
    </row>
    <row r="490">
      <c r="F490" s="4" t="str">
        <f>IFERROR(__xludf.DUMMYFUNCTION("IFERROR(
  FILTER(#REF!, TRIM('CBK Students'!B:B) = TRIM(A490)),
  """"
)"),"")</f>
        <v/>
      </c>
      <c r="G490" s="4">
        <f t="shared" si="1"/>
        <v>0</v>
      </c>
    </row>
    <row r="491">
      <c r="F491" s="4" t="str">
        <f>IFERROR(__xludf.DUMMYFUNCTION("IFERROR(
  FILTER(#REF!, TRIM('CBK Students'!B:B) = TRIM(A491)),
  """"
)"),"")</f>
        <v/>
      </c>
      <c r="G491" s="4">
        <f t="shared" si="1"/>
        <v>0</v>
      </c>
    </row>
    <row r="492">
      <c r="F492" s="4" t="str">
        <f>IFERROR(__xludf.DUMMYFUNCTION("IFERROR(
  FILTER(#REF!, TRIM('CBK Students'!B:B) = TRIM(A492)),
  """"
)"),"")</f>
        <v/>
      </c>
      <c r="G492" s="4">
        <f t="shared" si="1"/>
        <v>0</v>
      </c>
    </row>
    <row r="493">
      <c r="F493" s="4" t="str">
        <f>IFERROR(__xludf.DUMMYFUNCTION("IFERROR(
  FILTER(#REF!, TRIM('CBK Students'!B:B) = TRIM(A493)),
  """"
)"),"")</f>
        <v/>
      </c>
      <c r="G493" s="4">
        <f t="shared" si="1"/>
        <v>0</v>
      </c>
    </row>
    <row r="494">
      <c r="F494" s="4" t="str">
        <f>IFERROR(__xludf.DUMMYFUNCTION("IFERROR(
  FILTER(#REF!, TRIM('CBK Students'!B:B) = TRIM(A494)),
  """"
)"),"")</f>
        <v/>
      </c>
      <c r="G494" s="4">
        <f t="shared" si="1"/>
        <v>0</v>
      </c>
    </row>
    <row r="495">
      <c r="F495" s="4" t="str">
        <f>IFERROR(__xludf.DUMMYFUNCTION("IFERROR(
  FILTER(#REF!, TRIM('CBK Students'!B:B) = TRIM(A495)),
  """"
)"),"")</f>
        <v/>
      </c>
      <c r="G495" s="4">
        <f t="shared" si="1"/>
        <v>0</v>
      </c>
    </row>
    <row r="496">
      <c r="F496" s="4" t="str">
        <f>IFERROR(__xludf.DUMMYFUNCTION("IFERROR(
  FILTER(#REF!, TRIM('CBK Students'!B:B) = TRIM(A496)),
  """"
)"),"")</f>
        <v/>
      </c>
      <c r="G496" s="4">
        <f t="shared" si="1"/>
        <v>0</v>
      </c>
    </row>
    <row r="497">
      <c r="F497" s="4" t="str">
        <f>IFERROR(__xludf.DUMMYFUNCTION("IFERROR(
  FILTER(#REF!, TRIM('CBK Students'!B:B) = TRIM(A497)),
  """"
)"),"")</f>
        <v/>
      </c>
      <c r="G497" s="4">
        <f t="shared" si="1"/>
        <v>0</v>
      </c>
    </row>
    <row r="498">
      <c r="F498" s="4" t="str">
        <f>IFERROR(__xludf.DUMMYFUNCTION("IFERROR(
  FILTER(#REF!, TRIM('CBK Students'!B:B) = TRIM(A498)),
  """"
)"),"")</f>
        <v/>
      </c>
      <c r="G498" s="4">
        <f t="shared" si="1"/>
        <v>0</v>
      </c>
    </row>
    <row r="499">
      <c r="F499" s="4" t="str">
        <f>IFERROR(__xludf.DUMMYFUNCTION("IFERROR(
  FILTER(#REF!, TRIM('CBK Students'!B:B) = TRIM(A499)),
  """"
)"),"")</f>
        <v/>
      </c>
      <c r="G499" s="4">
        <f t="shared" si="1"/>
        <v>0</v>
      </c>
    </row>
    <row r="500">
      <c r="F500" s="4" t="str">
        <f>IFERROR(__xludf.DUMMYFUNCTION("IFERROR(
  FILTER(#REF!, TRIM('CBK Students'!B:B) = TRIM(A500)),
  """"
)"),"")</f>
        <v/>
      </c>
      <c r="G500" s="4">
        <f t="shared" si="1"/>
        <v>0</v>
      </c>
    </row>
    <row r="501">
      <c r="F501" s="4" t="str">
        <f>IFERROR(__xludf.DUMMYFUNCTION("IFERROR(
  FILTER(#REF!, TRIM('CBK Students'!B:B) = TRIM(A501)),
  """"
)"),"")</f>
        <v/>
      </c>
      <c r="G501" s="4">
        <f t="shared" si="1"/>
        <v>0</v>
      </c>
    </row>
    <row r="502">
      <c r="F502" s="4" t="str">
        <f>IFERROR(__xludf.DUMMYFUNCTION("IFERROR(
  FILTER(#REF!, TRIM('CBK Students'!B:B) = TRIM(A502)),
  """"
)"),"")</f>
        <v/>
      </c>
      <c r="G502" s="4">
        <f t="shared" si="1"/>
        <v>0</v>
      </c>
    </row>
    <row r="503">
      <c r="F503" s="4" t="str">
        <f>IFERROR(__xludf.DUMMYFUNCTION("IFERROR(
  FILTER(#REF!, TRIM('CBK Students'!B:B) = TRIM(A503)),
  """"
)"),"")</f>
        <v/>
      </c>
      <c r="G503" s="4">
        <f t="shared" si="1"/>
        <v>0</v>
      </c>
    </row>
    <row r="504">
      <c r="F504" s="4" t="str">
        <f>IFERROR(__xludf.DUMMYFUNCTION("IFERROR(
  FILTER(#REF!, TRIM('CBK Students'!B:B) = TRIM(A504)),
  """"
)"),"")</f>
        <v/>
      </c>
      <c r="G504" s="4">
        <f t="shared" si="1"/>
        <v>0</v>
      </c>
    </row>
    <row r="505">
      <c r="F505" s="4" t="str">
        <f>IFERROR(__xludf.DUMMYFUNCTION("IFERROR(
  FILTER(#REF!, TRIM('CBK Students'!B:B) = TRIM(A505)),
  """"
)"),"")</f>
        <v/>
      </c>
      <c r="G505" s="4">
        <f t="shared" si="1"/>
        <v>0</v>
      </c>
    </row>
    <row r="506">
      <c r="F506" s="4" t="str">
        <f>IFERROR(__xludf.DUMMYFUNCTION("IFERROR(
  FILTER(#REF!, TRIM('CBK Students'!B:B) = TRIM(A506)),
  """"
)"),"")</f>
        <v/>
      </c>
      <c r="G506" s="4">
        <f t="shared" si="1"/>
        <v>0</v>
      </c>
    </row>
    <row r="507">
      <c r="F507" s="4" t="str">
        <f>IFERROR(__xludf.DUMMYFUNCTION("IFERROR(
  FILTER(#REF!, TRIM('CBK Students'!B:B) = TRIM(A507)),
  """"
)"),"")</f>
        <v/>
      </c>
      <c r="G507" s="4">
        <f t="shared" si="1"/>
        <v>0</v>
      </c>
    </row>
    <row r="508">
      <c r="F508" s="4" t="str">
        <f>IFERROR(__xludf.DUMMYFUNCTION("IFERROR(
  FILTER(#REF!, TRIM('CBK Students'!B:B) = TRIM(A508)),
  """"
)"),"")</f>
        <v/>
      </c>
      <c r="G508" s="4">
        <f t="shared" si="1"/>
        <v>0</v>
      </c>
    </row>
    <row r="509">
      <c r="F509" s="4" t="str">
        <f>IFERROR(__xludf.DUMMYFUNCTION("IFERROR(
  FILTER(#REF!, TRIM('CBK Students'!B:B) = TRIM(A509)),
  """"
)"),"")</f>
        <v/>
      </c>
      <c r="G509" s="4">
        <f t="shared" si="1"/>
        <v>0</v>
      </c>
    </row>
    <row r="510">
      <c r="F510" s="4" t="str">
        <f>IFERROR(__xludf.DUMMYFUNCTION("IFERROR(
  FILTER(#REF!, TRIM('CBK Students'!B:B) = TRIM(A510)),
  """"
)"),"")</f>
        <v/>
      </c>
      <c r="G510" s="4">
        <f t="shared" si="1"/>
        <v>0</v>
      </c>
    </row>
    <row r="511">
      <c r="F511" s="4" t="str">
        <f>IFERROR(__xludf.DUMMYFUNCTION("IFERROR(
  FILTER(#REF!, TRIM('CBK Students'!B:B) = TRIM(A511)),
  """"
)"),"")</f>
        <v/>
      </c>
      <c r="G511" s="4">
        <f t="shared" si="1"/>
        <v>0</v>
      </c>
    </row>
    <row r="512">
      <c r="F512" s="4" t="str">
        <f>IFERROR(__xludf.DUMMYFUNCTION("IFERROR(
  FILTER(#REF!, TRIM('CBK Students'!B:B) = TRIM(A512)),
  """"
)"),"")</f>
        <v/>
      </c>
      <c r="G512" s="4">
        <f t="shared" si="1"/>
        <v>0</v>
      </c>
    </row>
    <row r="513">
      <c r="F513" s="4" t="str">
        <f>IFERROR(__xludf.DUMMYFUNCTION("IFERROR(
  FILTER(#REF!, TRIM('CBK Students'!B:B) = TRIM(A513)),
  """"
)"),"")</f>
        <v/>
      </c>
      <c r="G513" s="4">
        <f t="shared" si="1"/>
        <v>0</v>
      </c>
    </row>
    <row r="514">
      <c r="F514" s="4" t="str">
        <f>IFERROR(__xludf.DUMMYFUNCTION("IFERROR(
  FILTER(#REF!, TRIM('CBK Students'!B:B) = TRIM(A514)),
  """"
)"),"")</f>
        <v/>
      </c>
      <c r="G514" s="4">
        <f t="shared" si="1"/>
        <v>0</v>
      </c>
    </row>
    <row r="515">
      <c r="F515" s="4" t="str">
        <f>IFERROR(__xludf.DUMMYFUNCTION("IFERROR(
  FILTER(#REF!, TRIM('CBK Students'!B:B) = TRIM(A515)),
  """"
)"),"")</f>
        <v/>
      </c>
      <c r="G515" s="4">
        <f t="shared" si="1"/>
        <v>0</v>
      </c>
    </row>
    <row r="516">
      <c r="F516" s="4" t="str">
        <f>IFERROR(__xludf.DUMMYFUNCTION("IFERROR(
  FILTER(#REF!, TRIM('CBK Students'!B:B) = TRIM(A516)),
  """"
)"),"")</f>
        <v/>
      </c>
      <c r="G516" s="4">
        <f t="shared" si="1"/>
        <v>0</v>
      </c>
    </row>
    <row r="517">
      <c r="F517" s="4" t="str">
        <f>IFERROR(__xludf.DUMMYFUNCTION("IFERROR(
  FILTER(#REF!, TRIM('CBK Students'!B:B) = TRIM(A517)),
  """"
)"),"")</f>
        <v/>
      </c>
      <c r="G517" s="4">
        <f t="shared" si="1"/>
        <v>0</v>
      </c>
    </row>
    <row r="518">
      <c r="F518" s="4" t="str">
        <f>IFERROR(__xludf.DUMMYFUNCTION("IFERROR(
  FILTER(#REF!, TRIM('CBK Students'!B:B) = TRIM(A518)),
  """"
)"),"")</f>
        <v/>
      </c>
      <c r="G518" s="4">
        <f t="shared" si="1"/>
        <v>0</v>
      </c>
    </row>
    <row r="519">
      <c r="F519" s="4" t="str">
        <f>IFERROR(__xludf.DUMMYFUNCTION("IFERROR(
  FILTER(#REF!, TRIM('CBK Students'!B:B) = TRIM(A519)),
  """"
)"),"")</f>
        <v/>
      </c>
      <c r="G519" s="4">
        <f t="shared" si="1"/>
        <v>0</v>
      </c>
    </row>
    <row r="520">
      <c r="F520" s="4" t="str">
        <f>IFERROR(__xludf.DUMMYFUNCTION("IFERROR(
  FILTER(#REF!, TRIM('CBK Students'!B:B) = TRIM(A520)),
  """"
)"),"")</f>
        <v/>
      </c>
      <c r="G520" s="4">
        <f t="shared" si="1"/>
        <v>0</v>
      </c>
    </row>
    <row r="521">
      <c r="F521" s="4" t="str">
        <f>IFERROR(__xludf.DUMMYFUNCTION("IFERROR(
  FILTER(#REF!, TRIM('CBK Students'!B:B) = TRIM(A521)),
  """"
)"),"")</f>
        <v/>
      </c>
      <c r="G521" s="4">
        <f t="shared" si="1"/>
        <v>0</v>
      </c>
    </row>
    <row r="522">
      <c r="F522" s="4" t="str">
        <f>IFERROR(__xludf.DUMMYFUNCTION("IFERROR(
  FILTER(#REF!, TRIM('CBK Students'!B:B) = TRIM(A522)),
  """"
)"),"")</f>
        <v/>
      </c>
      <c r="G522" s="4">
        <f t="shared" si="1"/>
        <v>0</v>
      </c>
    </row>
    <row r="523">
      <c r="F523" s="4" t="str">
        <f>IFERROR(__xludf.DUMMYFUNCTION("IFERROR(
  FILTER(#REF!, TRIM('CBK Students'!B:B) = TRIM(A523)),
  """"
)"),"")</f>
        <v/>
      </c>
      <c r="G523" s="4">
        <f t="shared" si="1"/>
        <v>0</v>
      </c>
    </row>
    <row r="524">
      <c r="F524" s="4" t="str">
        <f>IFERROR(__xludf.DUMMYFUNCTION("IFERROR(
  FILTER(#REF!, TRIM('CBK Students'!B:B) = TRIM(A524)),
  """"
)"),"")</f>
        <v/>
      </c>
      <c r="G524" s="4">
        <f t="shared" si="1"/>
        <v>0</v>
      </c>
    </row>
    <row r="525">
      <c r="F525" s="4" t="str">
        <f>IFERROR(__xludf.DUMMYFUNCTION("IFERROR(
  FILTER(#REF!, TRIM('CBK Students'!B:B) = TRIM(A525)),
  """"
)"),"")</f>
        <v/>
      </c>
      <c r="G525" s="4">
        <f t="shared" si="1"/>
        <v>0</v>
      </c>
    </row>
    <row r="526">
      <c r="F526" s="4" t="str">
        <f>IFERROR(__xludf.DUMMYFUNCTION("IFERROR(
  FILTER(#REF!, TRIM('CBK Students'!B:B) = TRIM(A526)),
  """"
)"),"")</f>
        <v/>
      </c>
      <c r="G526" s="4">
        <f t="shared" si="1"/>
        <v>0</v>
      </c>
    </row>
    <row r="527">
      <c r="F527" s="4" t="str">
        <f>IFERROR(__xludf.DUMMYFUNCTION("IFERROR(
  FILTER(#REF!, TRIM('CBK Students'!B:B) = TRIM(A527)),
  """"
)"),"")</f>
        <v/>
      </c>
      <c r="G527" s="4">
        <f t="shared" si="1"/>
        <v>0</v>
      </c>
    </row>
    <row r="528">
      <c r="F528" s="4" t="str">
        <f>IFERROR(__xludf.DUMMYFUNCTION("IFERROR(
  FILTER(#REF!, TRIM('CBK Students'!B:B) = TRIM(A528)),
  """"
)"),"")</f>
        <v/>
      </c>
      <c r="G528" s="4">
        <f t="shared" si="1"/>
        <v>0</v>
      </c>
    </row>
    <row r="529">
      <c r="F529" s="4" t="str">
        <f>IFERROR(__xludf.DUMMYFUNCTION("IFERROR(
  FILTER(#REF!, TRIM('CBK Students'!B:B) = TRIM(A529)),
  """"
)"),"")</f>
        <v/>
      </c>
      <c r="G529" s="4">
        <f t="shared" si="1"/>
        <v>0</v>
      </c>
    </row>
    <row r="530">
      <c r="F530" s="4" t="str">
        <f>IFERROR(__xludf.DUMMYFUNCTION("IFERROR(
  FILTER(#REF!, TRIM('CBK Students'!B:B) = TRIM(A530)),
  """"
)"),"")</f>
        <v/>
      </c>
      <c r="G530" s="4">
        <f t="shared" si="1"/>
        <v>0</v>
      </c>
    </row>
    <row r="531">
      <c r="F531" s="4" t="str">
        <f>IFERROR(__xludf.DUMMYFUNCTION("IFERROR(
  FILTER(#REF!, TRIM('CBK Students'!B:B) = TRIM(A531)),
  """"
)"),"")</f>
        <v/>
      </c>
      <c r="G531" s="4">
        <f t="shared" si="1"/>
        <v>0</v>
      </c>
    </row>
    <row r="532">
      <c r="F532" s="4" t="str">
        <f>IFERROR(__xludf.DUMMYFUNCTION("IFERROR(
  FILTER(#REF!, TRIM('CBK Students'!B:B) = TRIM(A532)),
  """"
)"),"")</f>
        <v/>
      </c>
      <c r="G532" s="4">
        <f t="shared" si="1"/>
        <v>0</v>
      </c>
    </row>
    <row r="533">
      <c r="F533" s="4" t="str">
        <f>IFERROR(__xludf.DUMMYFUNCTION("IFERROR(
  FILTER(#REF!, TRIM('CBK Students'!B:B) = TRIM(A533)),
  """"
)"),"")</f>
        <v/>
      </c>
      <c r="G533" s="4">
        <f t="shared" si="1"/>
        <v>0</v>
      </c>
    </row>
    <row r="534">
      <c r="F534" s="4" t="str">
        <f>IFERROR(__xludf.DUMMYFUNCTION("IFERROR(
  FILTER(#REF!, TRIM('CBK Students'!B:B) = TRIM(A534)),
  """"
)"),"")</f>
        <v/>
      </c>
      <c r="G534" s="4">
        <f t="shared" si="1"/>
        <v>0</v>
      </c>
    </row>
    <row r="535">
      <c r="F535" s="4" t="str">
        <f>IFERROR(__xludf.DUMMYFUNCTION("IFERROR(
  FILTER(#REF!, TRIM('CBK Students'!B:B) = TRIM(A535)),
  """"
)"),"")</f>
        <v/>
      </c>
      <c r="G535" s="4">
        <f t="shared" si="1"/>
        <v>0</v>
      </c>
    </row>
    <row r="536">
      <c r="F536" s="4" t="str">
        <f>IFERROR(__xludf.DUMMYFUNCTION("IFERROR(
  FILTER(#REF!, TRIM('CBK Students'!B:B) = TRIM(A536)),
  """"
)"),"")</f>
        <v/>
      </c>
      <c r="G536" s="4">
        <f t="shared" si="1"/>
        <v>0</v>
      </c>
    </row>
    <row r="537">
      <c r="F537" s="4" t="str">
        <f>IFERROR(__xludf.DUMMYFUNCTION("IFERROR(
  FILTER(#REF!, TRIM('CBK Students'!B:B) = TRIM(A537)),
  """"
)"),"")</f>
        <v/>
      </c>
      <c r="G537" s="4">
        <f t="shared" si="1"/>
        <v>0</v>
      </c>
    </row>
    <row r="538">
      <c r="F538" s="4" t="str">
        <f>IFERROR(__xludf.DUMMYFUNCTION("IFERROR(
  FILTER(#REF!, TRIM('CBK Students'!B:B) = TRIM(A538)),
  """"
)"),"")</f>
        <v/>
      </c>
      <c r="G538" s="4">
        <f t="shared" si="1"/>
        <v>0</v>
      </c>
    </row>
    <row r="539">
      <c r="F539" s="4" t="str">
        <f>IFERROR(__xludf.DUMMYFUNCTION("IFERROR(
  FILTER(#REF!, TRIM('CBK Students'!B:B) = TRIM(A539)),
  """"
)"),"")</f>
        <v/>
      </c>
      <c r="G539" s="4">
        <f t="shared" si="1"/>
        <v>0</v>
      </c>
    </row>
    <row r="540">
      <c r="F540" s="4" t="str">
        <f>IFERROR(__xludf.DUMMYFUNCTION("IFERROR(
  FILTER(#REF!, TRIM('CBK Students'!B:B) = TRIM(A540)),
  """"
)"),"")</f>
        <v/>
      </c>
      <c r="G540" s="4">
        <f t="shared" si="1"/>
        <v>0</v>
      </c>
    </row>
    <row r="541">
      <c r="F541" s="4" t="str">
        <f>IFERROR(__xludf.DUMMYFUNCTION("IFERROR(
  FILTER(#REF!, TRIM('CBK Students'!B:B) = TRIM(A541)),
  """"
)"),"")</f>
        <v/>
      </c>
      <c r="G541" s="4">
        <f t="shared" si="1"/>
        <v>0</v>
      </c>
    </row>
    <row r="542">
      <c r="F542" s="4" t="str">
        <f>IFERROR(__xludf.DUMMYFUNCTION("IFERROR(
  FILTER(#REF!, TRIM('CBK Students'!B:B) = TRIM(A542)),
  """"
)"),"")</f>
        <v/>
      </c>
      <c r="G542" s="4">
        <f t="shared" si="1"/>
        <v>0</v>
      </c>
    </row>
    <row r="543">
      <c r="F543" s="4" t="str">
        <f>IFERROR(__xludf.DUMMYFUNCTION("IFERROR(
  FILTER(#REF!, TRIM('CBK Students'!B:B) = TRIM(A543)),
  """"
)"),"")</f>
        <v/>
      </c>
      <c r="G543" s="4">
        <f t="shared" si="1"/>
        <v>0</v>
      </c>
    </row>
    <row r="544">
      <c r="F544" s="4" t="str">
        <f>IFERROR(__xludf.DUMMYFUNCTION("IFERROR(
  FILTER(#REF!, TRIM('CBK Students'!B:B) = TRIM(A544)),
  """"
)"),"")</f>
        <v/>
      </c>
      <c r="G544" s="4">
        <f t="shared" si="1"/>
        <v>0</v>
      </c>
    </row>
    <row r="545">
      <c r="F545" s="4" t="str">
        <f>IFERROR(__xludf.DUMMYFUNCTION("IFERROR(
  FILTER(#REF!, TRIM('CBK Students'!B:B) = TRIM(A545)),
  """"
)"),"")</f>
        <v/>
      </c>
      <c r="G545" s="4">
        <f t="shared" si="1"/>
        <v>0</v>
      </c>
    </row>
    <row r="546">
      <c r="F546" s="4" t="str">
        <f>IFERROR(__xludf.DUMMYFUNCTION("IFERROR(
  FILTER(#REF!, TRIM('CBK Students'!B:B) = TRIM(A546)),
  """"
)"),"")</f>
        <v/>
      </c>
      <c r="G546" s="4">
        <f t="shared" si="1"/>
        <v>0</v>
      </c>
    </row>
    <row r="547">
      <c r="F547" s="4" t="str">
        <f>IFERROR(__xludf.DUMMYFUNCTION("IFERROR(
  FILTER(#REF!, TRIM('CBK Students'!B:B) = TRIM(A547)),
  """"
)"),"")</f>
        <v/>
      </c>
      <c r="G547" s="4">
        <f t="shared" si="1"/>
        <v>0</v>
      </c>
    </row>
    <row r="548">
      <c r="F548" s="4" t="str">
        <f>IFERROR(__xludf.DUMMYFUNCTION("IFERROR(
  FILTER(#REF!, TRIM('CBK Students'!B:B) = TRIM(A548)),
  """"
)"),"")</f>
        <v/>
      </c>
      <c r="G548" s="4">
        <f t="shared" si="1"/>
        <v>0</v>
      </c>
    </row>
    <row r="549">
      <c r="F549" s="4" t="str">
        <f>IFERROR(__xludf.DUMMYFUNCTION("IFERROR(
  FILTER(#REF!, TRIM('CBK Students'!B:B) = TRIM(A549)),
  """"
)"),"")</f>
        <v/>
      </c>
      <c r="G549" s="4">
        <f t="shared" si="1"/>
        <v>0</v>
      </c>
    </row>
    <row r="550">
      <c r="F550" s="4" t="str">
        <f>IFERROR(__xludf.DUMMYFUNCTION("IFERROR(
  FILTER(#REF!, TRIM('CBK Students'!B:B) = TRIM(A550)),
  """"
)"),"")</f>
        <v/>
      </c>
      <c r="G550" s="4">
        <f t="shared" si="1"/>
        <v>0</v>
      </c>
    </row>
    <row r="551">
      <c r="F551" s="4" t="str">
        <f>IFERROR(__xludf.DUMMYFUNCTION("IFERROR(
  FILTER(#REF!, TRIM('CBK Students'!B:B) = TRIM(A551)),
  """"
)"),"")</f>
        <v/>
      </c>
      <c r="G551" s="4">
        <f t="shared" si="1"/>
        <v>0</v>
      </c>
    </row>
    <row r="552">
      <c r="F552" s="4" t="str">
        <f>IFERROR(__xludf.DUMMYFUNCTION("IFERROR(
  FILTER(#REF!, TRIM('CBK Students'!B:B) = TRIM(A552)),
  """"
)"),"")</f>
        <v/>
      </c>
      <c r="G552" s="4">
        <f t="shared" si="1"/>
        <v>0</v>
      </c>
    </row>
    <row r="553">
      <c r="F553" s="4" t="str">
        <f>IFERROR(__xludf.DUMMYFUNCTION("IFERROR(
  FILTER(#REF!, TRIM('CBK Students'!B:B) = TRIM(A553)),
  """"
)"),"")</f>
        <v/>
      </c>
      <c r="G553" s="4">
        <f t="shared" si="1"/>
        <v>0</v>
      </c>
    </row>
    <row r="554">
      <c r="F554" s="4" t="str">
        <f>IFERROR(__xludf.DUMMYFUNCTION("IFERROR(
  FILTER(#REF!, TRIM('CBK Students'!B:B) = TRIM(A554)),
  """"
)"),"")</f>
        <v/>
      </c>
      <c r="G554" s="4">
        <f t="shared" si="1"/>
        <v>0</v>
      </c>
    </row>
    <row r="555">
      <c r="F555" s="4" t="str">
        <f>IFERROR(__xludf.DUMMYFUNCTION("IFERROR(
  FILTER(#REF!, TRIM('CBK Students'!B:B) = TRIM(A555)),
  """"
)"),"")</f>
        <v/>
      </c>
      <c r="G555" s="4">
        <f t="shared" si="1"/>
        <v>0</v>
      </c>
    </row>
    <row r="556">
      <c r="F556" s="4" t="str">
        <f>IFERROR(__xludf.DUMMYFUNCTION("IFERROR(
  FILTER(#REF!, TRIM('CBK Students'!B:B) = TRIM(A556)),
  """"
)"),"")</f>
        <v/>
      </c>
      <c r="G556" s="4">
        <f t="shared" si="1"/>
        <v>0</v>
      </c>
    </row>
    <row r="557">
      <c r="F557" s="4" t="str">
        <f>IFERROR(__xludf.DUMMYFUNCTION("IFERROR(
  FILTER(#REF!, TRIM('CBK Students'!B:B) = TRIM(A557)),
  """"
)"),"")</f>
        <v/>
      </c>
      <c r="G557" s="4">
        <f t="shared" si="1"/>
        <v>0</v>
      </c>
    </row>
    <row r="558">
      <c r="F558" s="4" t="str">
        <f>IFERROR(__xludf.DUMMYFUNCTION("IFERROR(
  FILTER(#REF!, TRIM('CBK Students'!B:B) = TRIM(A558)),
  """"
)"),"")</f>
        <v/>
      </c>
      <c r="G558" s="4">
        <f t="shared" si="1"/>
        <v>0</v>
      </c>
    </row>
    <row r="559">
      <c r="F559" s="4" t="str">
        <f>IFERROR(__xludf.DUMMYFUNCTION("IFERROR(
  FILTER(#REF!, TRIM('CBK Students'!B:B) = TRIM(A559)),
  """"
)"),"")</f>
        <v/>
      </c>
      <c r="G559" s="4">
        <f t="shared" si="1"/>
        <v>0</v>
      </c>
    </row>
    <row r="560">
      <c r="F560" s="4" t="str">
        <f>IFERROR(__xludf.DUMMYFUNCTION("IFERROR(
  FILTER(#REF!, TRIM('CBK Students'!B:B) = TRIM(A560)),
  """"
)"),"")</f>
        <v/>
      </c>
      <c r="G560" s="4">
        <f t="shared" si="1"/>
        <v>0</v>
      </c>
    </row>
    <row r="561">
      <c r="F561" s="4" t="str">
        <f>IFERROR(__xludf.DUMMYFUNCTION("IFERROR(
  FILTER(#REF!, TRIM('CBK Students'!B:B) = TRIM(A561)),
  """"
)"),"")</f>
        <v/>
      </c>
      <c r="G561" s="4">
        <f t="shared" si="1"/>
        <v>0</v>
      </c>
    </row>
    <row r="562">
      <c r="F562" s="4" t="str">
        <f>IFERROR(__xludf.DUMMYFUNCTION("IFERROR(
  FILTER(#REF!, TRIM('CBK Students'!B:B) = TRIM(A562)),
  """"
)"),"")</f>
        <v/>
      </c>
      <c r="G562" s="4">
        <f t="shared" si="1"/>
        <v>0</v>
      </c>
    </row>
    <row r="563">
      <c r="F563" s="4" t="str">
        <f>IFERROR(__xludf.DUMMYFUNCTION("IFERROR(
  FILTER(#REF!, TRIM('CBK Students'!B:B) = TRIM(A563)),
  """"
)"),"")</f>
        <v/>
      </c>
      <c r="G563" s="4">
        <f t="shared" si="1"/>
        <v>0</v>
      </c>
    </row>
    <row r="564">
      <c r="F564" s="4" t="str">
        <f>IFERROR(__xludf.DUMMYFUNCTION("IFERROR(
  FILTER(#REF!, TRIM('CBK Students'!B:B) = TRIM(A564)),
  """"
)"),"")</f>
        <v/>
      </c>
      <c r="G564" s="4">
        <f t="shared" si="1"/>
        <v>0</v>
      </c>
    </row>
    <row r="565">
      <c r="F565" s="4" t="str">
        <f>IFERROR(__xludf.DUMMYFUNCTION("IFERROR(
  FILTER(#REF!, TRIM('CBK Students'!B:B) = TRIM(A565)),
  """"
)"),"")</f>
        <v/>
      </c>
      <c r="G565" s="4">
        <f t="shared" si="1"/>
        <v>0</v>
      </c>
    </row>
    <row r="566">
      <c r="F566" s="4" t="str">
        <f>IFERROR(__xludf.DUMMYFUNCTION("IFERROR(
  FILTER(#REF!, TRIM('CBK Students'!B:B) = TRIM(A566)),
  """"
)"),"")</f>
        <v/>
      </c>
      <c r="G566" s="4">
        <f t="shared" si="1"/>
        <v>0</v>
      </c>
    </row>
    <row r="567">
      <c r="F567" s="4" t="str">
        <f>IFERROR(__xludf.DUMMYFUNCTION("IFERROR(
  FILTER(#REF!, TRIM('CBK Students'!B:B) = TRIM(A567)),
  """"
)"),"")</f>
        <v/>
      </c>
      <c r="G567" s="4">
        <f t="shared" si="1"/>
        <v>0</v>
      </c>
    </row>
    <row r="568">
      <c r="F568" s="4" t="str">
        <f>IFERROR(__xludf.DUMMYFUNCTION("IFERROR(
  FILTER(#REF!, TRIM('CBK Students'!B:B) = TRIM(A568)),
  """"
)"),"")</f>
        <v/>
      </c>
      <c r="G568" s="4">
        <f t="shared" si="1"/>
        <v>0</v>
      </c>
    </row>
    <row r="569">
      <c r="F569" s="4" t="str">
        <f>IFERROR(__xludf.DUMMYFUNCTION("IFERROR(
  FILTER(#REF!, TRIM('CBK Students'!B:B) = TRIM(A569)),
  """"
)"),"")</f>
        <v/>
      </c>
      <c r="G569" s="4">
        <f t="shared" si="1"/>
        <v>0</v>
      </c>
    </row>
    <row r="570">
      <c r="F570" s="4" t="str">
        <f>IFERROR(__xludf.DUMMYFUNCTION("IFERROR(
  FILTER(#REF!, TRIM('CBK Students'!B:B) = TRIM(A570)),
  """"
)"),"")</f>
        <v/>
      </c>
      <c r="G570" s="4">
        <f t="shared" si="1"/>
        <v>0</v>
      </c>
    </row>
    <row r="571">
      <c r="F571" s="4" t="str">
        <f>IFERROR(__xludf.DUMMYFUNCTION("IFERROR(
  FILTER(#REF!, TRIM('CBK Students'!B:B) = TRIM(A571)),
  """"
)"),"")</f>
        <v/>
      </c>
      <c r="G571" s="4">
        <f t="shared" si="1"/>
        <v>0</v>
      </c>
    </row>
    <row r="572">
      <c r="F572" s="4" t="str">
        <f>IFERROR(__xludf.DUMMYFUNCTION("IFERROR(
  FILTER(#REF!, TRIM('CBK Students'!B:B) = TRIM(A572)),
  """"
)"),"")</f>
        <v/>
      </c>
      <c r="G572" s="4">
        <f t="shared" si="1"/>
        <v>0</v>
      </c>
    </row>
    <row r="573">
      <c r="F573" s="4" t="str">
        <f>IFERROR(__xludf.DUMMYFUNCTION("IFERROR(
  FILTER(#REF!, TRIM('CBK Students'!B:B) = TRIM(A573)),
  """"
)"),"")</f>
        <v/>
      </c>
      <c r="G573" s="4">
        <f t="shared" si="1"/>
        <v>0</v>
      </c>
    </row>
    <row r="574">
      <c r="F574" s="4" t="str">
        <f>IFERROR(__xludf.DUMMYFUNCTION("IFERROR(
  FILTER(#REF!, TRIM('CBK Students'!B:B) = TRIM(A574)),
  """"
)"),"")</f>
        <v/>
      </c>
      <c r="G574" s="4">
        <f t="shared" si="1"/>
        <v>0</v>
      </c>
    </row>
    <row r="575">
      <c r="F575" s="4" t="str">
        <f>IFERROR(__xludf.DUMMYFUNCTION("IFERROR(
  FILTER(#REF!, TRIM('CBK Students'!B:B) = TRIM(A575)),
  """"
)"),"")</f>
        <v/>
      </c>
      <c r="G575" s="4">
        <f t="shared" si="1"/>
        <v>0</v>
      </c>
    </row>
    <row r="576">
      <c r="F576" s="4" t="str">
        <f>IFERROR(__xludf.DUMMYFUNCTION("IFERROR(
  FILTER(#REF!, TRIM('CBK Students'!B:B) = TRIM(A576)),
  """"
)"),"")</f>
        <v/>
      </c>
      <c r="G576" s="4">
        <f t="shared" si="1"/>
        <v>0</v>
      </c>
    </row>
    <row r="577">
      <c r="F577" s="4" t="str">
        <f>IFERROR(__xludf.DUMMYFUNCTION("IFERROR(
  FILTER(#REF!, TRIM('CBK Students'!B:B) = TRIM(A577)),
  """"
)"),"")</f>
        <v/>
      </c>
      <c r="G577" s="4">
        <f t="shared" si="1"/>
        <v>0</v>
      </c>
    </row>
    <row r="578">
      <c r="F578" s="4" t="str">
        <f>IFERROR(__xludf.DUMMYFUNCTION("IFERROR(
  FILTER(#REF!, TRIM('CBK Students'!B:B) = TRIM(A578)),
  """"
)"),"")</f>
        <v/>
      </c>
      <c r="G578" s="4">
        <f t="shared" si="1"/>
        <v>0</v>
      </c>
    </row>
    <row r="579">
      <c r="F579" s="4" t="str">
        <f>IFERROR(__xludf.DUMMYFUNCTION("IFERROR(
  FILTER(#REF!, TRIM('CBK Students'!B:B) = TRIM(A579)),
  """"
)"),"")</f>
        <v/>
      </c>
      <c r="G579" s="4">
        <f t="shared" si="1"/>
        <v>0</v>
      </c>
    </row>
    <row r="580">
      <c r="F580" s="4" t="str">
        <f>IFERROR(__xludf.DUMMYFUNCTION("IFERROR(
  FILTER(#REF!, TRIM('CBK Students'!B:B) = TRIM(A580)),
  """"
)"),"")</f>
        <v/>
      </c>
      <c r="G580" s="4">
        <f t="shared" si="1"/>
        <v>0</v>
      </c>
    </row>
    <row r="581">
      <c r="F581" s="4" t="str">
        <f>IFERROR(__xludf.DUMMYFUNCTION("IFERROR(
  FILTER(#REF!, TRIM('CBK Students'!B:B) = TRIM(A581)),
  """"
)"),"")</f>
        <v/>
      </c>
      <c r="G581" s="4">
        <f t="shared" si="1"/>
        <v>0</v>
      </c>
    </row>
    <row r="582">
      <c r="F582" s="4" t="str">
        <f>IFERROR(__xludf.DUMMYFUNCTION("IFERROR(
  FILTER(#REF!, TRIM('CBK Students'!B:B) = TRIM(A582)),
  """"
)"),"")</f>
        <v/>
      </c>
      <c r="G582" s="4">
        <f t="shared" si="1"/>
        <v>0</v>
      </c>
    </row>
    <row r="583">
      <c r="F583" s="4" t="str">
        <f>IFERROR(__xludf.DUMMYFUNCTION("IFERROR(
  FILTER(#REF!, TRIM('CBK Students'!B:B) = TRIM(A583)),
  """"
)"),"")</f>
        <v/>
      </c>
      <c r="G583" s="4">
        <f t="shared" si="1"/>
        <v>0</v>
      </c>
    </row>
    <row r="584">
      <c r="F584" s="4" t="str">
        <f>IFERROR(__xludf.DUMMYFUNCTION("IFERROR(
  FILTER(#REF!, TRIM('CBK Students'!B:B) = TRIM(A584)),
  """"
)"),"")</f>
        <v/>
      </c>
      <c r="G584" s="4">
        <f t="shared" si="1"/>
        <v>0</v>
      </c>
    </row>
    <row r="585">
      <c r="F585" s="4" t="str">
        <f>IFERROR(__xludf.DUMMYFUNCTION("IFERROR(
  FILTER(#REF!, TRIM('CBK Students'!B:B) = TRIM(A585)),
  """"
)"),"")</f>
        <v/>
      </c>
      <c r="G585" s="4">
        <f t="shared" si="1"/>
        <v>0</v>
      </c>
    </row>
    <row r="586">
      <c r="F586" s="4" t="str">
        <f>IFERROR(__xludf.DUMMYFUNCTION("IFERROR(
  FILTER(#REF!, TRIM('CBK Students'!B:B) = TRIM(A586)),
  """"
)"),"")</f>
        <v/>
      </c>
      <c r="G586" s="4">
        <f t="shared" si="1"/>
        <v>0</v>
      </c>
    </row>
    <row r="587">
      <c r="F587" s="4" t="str">
        <f>IFERROR(__xludf.DUMMYFUNCTION("IFERROR(
  FILTER(#REF!, TRIM('CBK Students'!B:B) = TRIM(A587)),
  """"
)"),"")</f>
        <v/>
      </c>
      <c r="G587" s="4">
        <f t="shared" si="1"/>
        <v>0</v>
      </c>
    </row>
    <row r="588">
      <c r="F588" s="4" t="str">
        <f>IFERROR(__xludf.DUMMYFUNCTION("IFERROR(
  FILTER(#REF!, TRIM('CBK Students'!B:B) = TRIM(A588)),
  """"
)"),"")</f>
        <v/>
      </c>
      <c r="G588" s="4">
        <f t="shared" si="1"/>
        <v>0</v>
      </c>
    </row>
    <row r="589">
      <c r="F589" s="4" t="str">
        <f>IFERROR(__xludf.DUMMYFUNCTION("IFERROR(
  FILTER(#REF!, TRIM('CBK Students'!B:B) = TRIM(A589)),
  """"
)"),"")</f>
        <v/>
      </c>
      <c r="G589" s="4">
        <f t="shared" si="1"/>
        <v>0</v>
      </c>
    </row>
    <row r="590">
      <c r="F590" s="4" t="str">
        <f>IFERROR(__xludf.DUMMYFUNCTION("IFERROR(
  FILTER(#REF!, TRIM('CBK Students'!B:B) = TRIM(A590)),
  """"
)"),"")</f>
        <v/>
      </c>
      <c r="G590" s="4">
        <f t="shared" si="1"/>
        <v>0</v>
      </c>
    </row>
    <row r="591">
      <c r="F591" s="4" t="str">
        <f>IFERROR(__xludf.DUMMYFUNCTION("IFERROR(
  FILTER(#REF!, TRIM('CBK Students'!B:B) = TRIM(A591)),
  """"
)"),"")</f>
        <v/>
      </c>
      <c r="G591" s="4">
        <f t="shared" si="1"/>
        <v>0</v>
      </c>
    </row>
    <row r="592">
      <c r="F592" s="4" t="str">
        <f>IFERROR(__xludf.DUMMYFUNCTION("IFERROR(
  FILTER(#REF!, TRIM('CBK Students'!B:B) = TRIM(A592)),
  """"
)"),"")</f>
        <v/>
      </c>
      <c r="G592" s="4">
        <f t="shared" si="1"/>
        <v>0</v>
      </c>
    </row>
    <row r="593">
      <c r="F593" s="4" t="str">
        <f>IFERROR(__xludf.DUMMYFUNCTION("IFERROR(
  FILTER(#REF!, TRIM('CBK Students'!B:B) = TRIM(A593)),
  """"
)"),"")</f>
        <v/>
      </c>
      <c r="G593" s="4">
        <f t="shared" si="1"/>
        <v>0</v>
      </c>
    </row>
    <row r="594">
      <c r="F594" s="4" t="str">
        <f>IFERROR(__xludf.DUMMYFUNCTION("IFERROR(
  FILTER(#REF!, TRIM('CBK Students'!B:B) = TRIM(A594)),
  """"
)"),"")</f>
        <v/>
      </c>
      <c r="G594" s="4">
        <f t="shared" si="1"/>
        <v>0</v>
      </c>
    </row>
    <row r="595">
      <c r="F595" s="4" t="str">
        <f>IFERROR(__xludf.DUMMYFUNCTION("IFERROR(
  FILTER(#REF!, TRIM('CBK Students'!B:B) = TRIM(A595)),
  """"
)"),"")</f>
        <v/>
      </c>
      <c r="G595" s="4">
        <f t="shared" si="1"/>
        <v>0</v>
      </c>
    </row>
    <row r="596">
      <c r="F596" s="4" t="str">
        <f>IFERROR(__xludf.DUMMYFUNCTION("IFERROR(
  FILTER(#REF!, TRIM('CBK Students'!B:B) = TRIM(A596)),
  """"
)"),"")</f>
        <v/>
      </c>
      <c r="G596" s="4">
        <f t="shared" si="1"/>
        <v>0</v>
      </c>
    </row>
    <row r="597">
      <c r="F597" s="4" t="str">
        <f>IFERROR(__xludf.DUMMYFUNCTION("IFERROR(
  FILTER(#REF!, TRIM('CBK Students'!B:B) = TRIM(A597)),
  """"
)"),"")</f>
        <v/>
      </c>
      <c r="G597" s="4">
        <f t="shared" si="1"/>
        <v>0</v>
      </c>
    </row>
    <row r="598">
      <c r="F598" s="4" t="str">
        <f>IFERROR(__xludf.DUMMYFUNCTION("IFERROR(
  FILTER(#REF!, TRIM('CBK Students'!B:B) = TRIM(A598)),
  """"
)"),"")</f>
        <v/>
      </c>
      <c r="G598" s="4">
        <f t="shared" si="1"/>
        <v>0</v>
      </c>
    </row>
    <row r="599">
      <c r="F599" s="4" t="str">
        <f>IFERROR(__xludf.DUMMYFUNCTION("IFERROR(
  FILTER(#REF!, TRIM('CBK Students'!B:B) = TRIM(A599)),
  """"
)"),"")</f>
        <v/>
      </c>
      <c r="G599" s="4">
        <f t="shared" si="1"/>
        <v>0</v>
      </c>
    </row>
    <row r="600">
      <c r="F600" s="4" t="str">
        <f>IFERROR(__xludf.DUMMYFUNCTION("IFERROR(
  FILTER(#REF!, TRIM('CBK Students'!B:B) = TRIM(A600)),
  """"
)"),"")</f>
        <v/>
      </c>
      <c r="G600" s="4">
        <f t="shared" si="1"/>
        <v>0</v>
      </c>
    </row>
    <row r="601">
      <c r="F601" s="4" t="str">
        <f>IFERROR(__xludf.DUMMYFUNCTION("IFERROR(
  FILTER(#REF!, TRIM('CBK Students'!B:B) = TRIM(A601)),
  """"
)"),"")</f>
        <v/>
      </c>
      <c r="G601" s="4">
        <f t="shared" si="1"/>
        <v>0</v>
      </c>
    </row>
    <row r="602">
      <c r="F602" s="4" t="str">
        <f>IFERROR(__xludf.DUMMYFUNCTION("IFERROR(
  FILTER(#REF!, TRIM('CBK Students'!B:B) = TRIM(A602)),
  """"
)"),"")</f>
        <v/>
      </c>
      <c r="G602" s="4">
        <f t="shared" si="1"/>
        <v>0</v>
      </c>
    </row>
    <row r="603">
      <c r="F603" s="4" t="str">
        <f>IFERROR(__xludf.DUMMYFUNCTION("IFERROR(
  FILTER(#REF!, TRIM('CBK Students'!B:B) = TRIM(A603)),
  """"
)"),"")</f>
        <v/>
      </c>
      <c r="G603" s="4">
        <f t="shared" si="1"/>
        <v>0</v>
      </c>
    </row>
    <row r="604">
      <c r="F604" s="4" t="str">
        <f>IFERROR(__xludf.DUMMYFUNCTION("IFERROR(
  FILTER(#REF!, TRIM('CBK Students'!B:B) = TRIM(A604)),
  """"
)"),"")</f>
        <v/>
      </c>
      <c r="G604" s="4">
        <f t="shared" si="1"/>
        <v>0</v>
      </c>
    </row>
    <row r="605">
      <c r="F605" s="4" t="str">
        <f>IFERROR(__xludf.DUMMYFUNCTION("IFERROR(
  FILTER(#REF!, TRIM('CBK Students'!B:B) = TRIM(A605)),
  """"
)"),"")</f>
        <v/>
      </c>
      <c r="G605" s="4">
        <f t="shared" si="1"/>
        <v>0</v>
      </c>
    </row>
    <row r="606">
      <c r="F606" s="4" t="str">
        <f>IFERROR(__xludf.DUMMYFUNCTION("IFERROR(
  FILTER(#REF!, TRIM('CBK Students'!B:B) = TRIM(A606)),
  """"
)"),"")</f>
        <v/>
      </c>
      <c r="G606" s="4">
        <f t="shared" si="1"/>
        <v>0</v>
      </c>
    </row>
    <row r="607">
      <c r="F607" s="4" t="str">
        <f>IFERROR(__xludf.DUMMYFUNCTION("IFERROR(
  FILTER(#REF!, TRIM('CBK Students'!B:B) = TRIM(A607)),
  """"
)"),"")</f>
        <v/>
      </c>
      <c r="G607" s="4">
        <f t="shared" si="1"/>
        <v>0</v>
      </c>
    </row>
    <row r="608">
      <c r="F608" s="4" t="str">
        <f>IFERROR(__xludf.DUMMYFUNCTION("IFERROR(
  FILTER(#REF!, TRIM('CBK Students'!B:B) = TRIM(A608)),
  """"
)"),"")</f>
        <v/>
      </c>
      <c r="G608" s="4">
        <f t="shared" si="1"/>
        <v>0</v>
      </c>
    </row>
    <row r="609">
      <c r="F609" s="4" t="str">
        <f>IFERROR(__xludf.DUMMYFUNCTION("IFERROR(
  FILTER(#REF!, TRIM('CBK Students'!B:B) = TRIM(A609)),
  """"
)"),"")</f>
        <v/>
      </c>
      <c r="G609" s="4">
        <f t="shared" si="1"/>
        <v>0</v>
      </c>
    </row>
    <row r="610">
      <c r="F610" s="4" t="str">
        <f>IFERROR(__xludf.DUMMYFUNCTION("IFERROR(
  FILTER(#REF!, TRIM('CBK Students'!B:B) = TRIM(A610)),
  """"
)"),"")</f>
        <v/>
      </c>
      <c r="G610" s="4">
        <f t="shared" si="1"/>
        <v>0</v>
      </c>
    </row>
    <row r="611">
      <c r="F611" s="4" t="str">
        <f>IFERROR(__xludf.DUMMYFUNCTION("IFERROR(
  FILTER(#REF!, TRIM('CBK Students'!B:B) = TRIM(A611)),
  """"
)"),"")</f>
        <v/>
      </c>
      <c r="G611" s="4">
        <f t="shared" si="1"/>
        <v>0</v>
      </c>
    </row>
    <row r="612">
      <c r="F612" s="4" t="str">
        <f>IFERROR(__xludf.DUMMYFUNCTION("IFERROR(
  FILTER(#REF!, TRIM('CBK Students'!B:B) = TRIM(A612)),
  """"
)"),"")</f>
        <v/>
      </c>
      <c r="G612" s="4">
        <f t="shared" si="1"/>
        <v>0</v>
      </c>
    </row>
    <row r="613">
      <c r="F613" s="4" t="str">
        <f>IFERROR(__xludf.DUMMYFUNCTION("IFERROR(
  FILTER(#REF!, TRIM('CBK Students'!B:B) = TRIM(A613)),
  """"
)"),"")</f>
        <v/>
      </c>
      <c r="G613" s="4">
        <f t="shared" si="1"/>
        <v>0</v>
      </c>
    </row>
    <row r="614">
      <c r="F614" s="4" t="str">
        <f>IFERROR(__xludf.DUMMYFUNCTION("IFERROR(
  FILTER(#REF!, TRIM('CBK Students'!B:B) = TRIM(A614)),
  """"
)"),"")</f>
        <v/>
      </c>
      <c r="G614" s="4">
        <f t="shared" si="1"/>
        <v>0</v>
      </c>
    </row>
    <row r="615">
      <c r="F615" s="4" t="str">
        <f>IFERROR(__xludf.DUMMYFUNCTION("IFERROR(
  FILTER(#REF!, TRIM('CBK Students'!B:B) = TRIM(A615)),
  """"
)"),"")</f>
        <v/>
      </c>
      <c r="G615" s="4">
        <f t="shared" si="1"/>
        <v>0</v>
      </c>
    </row>
    <row r="616">
      <c r="F616" s="4" t="str">
        <f>IFERROR(__xludf.DUMMYFUNCTION("IFERROR(
  FILTER(#REF!, TRIM('CBK Students'!B:B) = TRIM(A616)),
  """"
)"),"")</f>
        <v/>
      </c>
      <c r="G616" s="4">
        <f t="shared" si="1"/>
        <v>0</v>
      </c>
    </row>
    <row r="617">
      <c r="F617" s="4" t="str">
        <f>IFERROR(__xludf.DUMMYFUNCTION("IFERROR(
  FILTER(#REF!, TRIM('CBK Students'!B:B) = TRIM(A617)),
  """"
)"),"")</f>
        <v/>
      </c>
      <c r="G617" s="4">
        <f t="shared" si="1"/>
        <v>0</v>
      </c>
    </row>
    <row r="618">
      <c r="F618" s="4" t="str">
        <f>IFERROR(__xludf.DUMMYFUNCTION("IFERROR(
  FILTER(#REF!, TRIM('CBK Students'!B:B) = TRIM(A618)),
  """"
)"),"")</f>
        <v/>
      </c>
      <c r="G618" s="4">
        <f t="shared" si="1"/>
        <v>0</v>
      </c>
    </row>
    <row r="619">
      <c r="F619" s="4" t="str">
        <f>IFERROR(__xludf.DUMMYFUNCTION("IFERROR(
  FILTER(#REF!, TRIM('CBK Students'!B:B) = TRIM(A619)),
  """"
)"),"")</f>
        <v/>
      </c>
      <c r="G619" s="4">
        <f t="shared" si="1"/>
        <v>0</v>
      </c>
    </row>
    <row r="620">
      <c r="F620" s="4" t="str">
        <f>IFERROR(__xludf.DUMMYFUNCTION("IFERROR(
  FILTER(#REF!, TRIM('CBK Students'!B:B) = TRIM(A620)),
  """"
)"),"")</f>
        <v/>
      </c>
      <c r="G620" s="4">
        <f t="shared" si="1"/>
        <v>0</v>
      </c>
    </row>
    <row r="621">
      <c r="F621" s="4" t="str">
        <f>IFERROR(__xludf.DUMMYFUNCTION("IFERROR(
  FILTER(#REF!, TRIM('CBK Students'!B:B) = TRIM(A621)),
  """"
)"),"")</f>
        <v/>
      </c>
      <c r="G621" s="4">
        <f t="shared" si="1"/>
        <v>0</v>
      </c>
    </row>
    <row r="622">
      <c r="F622" s="4" t="str">
        <f>IFERROR(__xludf.DUMMYFUNCTION("IFERROR(
  FILTER(#REF!, TRIM('CBK Students'!B:B) = TRIM(A622)),
  """"
)"),"")</f>
        <v/>
      </c>
      <c r="G622" s="4">
        <f t="shared" si="1"/>
        <v>0</v>
      </c>
    </row>
    <row r="623">
      <c r="F623" s="4" t="str">
        <f>IFERROR(__xludf.DUMMYFUNCTION("IFERROR(
  FILTER(#REF!, TRIM('CBK Students'!B:B) = TRIM(A623)),
  """"
)"),"")</f>
        <v/>
      </c>
      <c r="G623" s="4">
        <f t="shared" si="1"/>
        <v>0</v>
      </c>
    </row>
    <row r="624">
      <c r="F624" s="4" t="str">
        <f>IFERROR(__xludf.DUMMYFUNCTION("IFERROR(
  FILTER(#REF!, TRIM('CBK Students'!B:B) = TRIM(A624)),
  """"
)"),"")</f>
        <v/>
      </c>
      <c r="G624" s="4">
        <f t="shared" si="1"/>
        <v>0</v>
      </c>
    </row>
    <row r="625">
      <c r="F625" s="4" t="str">
        <f>IFERROR(__xludf.DUMMYFUNCTION("IFERROR(
  FILTER(#REF!, TRIM('CBK Students'!B:B) = TRIM(A625)),
  """"
)"),"")</f>
        <v/>
      </c>
      <c r="G625" s="4">
        <f t="shared" si="1"/>
        <v>0</v>
      </c>
    </row>
    <row r="626">
      <c r="F626" s="4" t="str">
        <f>IFERROR(__xludf.DUMMYFUNCTION("IFERROR(
  FILTER(#REF!, TRIM('CBK Students'!B:B) = TRIM(A626)),
  """"
)"),"")</f>
        <v/>
      </c>
      <c r="G626" s="4">
        <f t="shared" si="1"/>
        <v>0</v>
      </c>
    </row>
    <row r="627">
      <c r="F627" s="4" t="str">
        <f>IFERROR(__xludf.DUMMYFUNCTION("IFERROR(
  FILTER(#REF!, TRIM('CBK Students'!B:B) = TRIM(A627)),
  """"
)"),"")</f>
        <v/>
      </c>
      <c r="G627" s="4">
        <f t="shared" si="1"/>
        <v>0</v>
      </c>
    </row>
    <row r="628">
      <c r="F628" s="4" t="str">
        <f>IFERROR(__xludf.DUMMYFUNCTION("IFERROR(
  FILTER(#REF!, TRIM('CBK Students'!B:B) = TRIM(A628)),
  """"
)"),"")</f>
        <v/>
      </c>
      <c r="G628" s="4">
        <f t="shared" si="1"/>
        <v>0</v>
      </c>
    </row>
    <row r="629">
      <c r="F629" s="4" t="str">
        <f>IFERROR(__xludf.DUMMYFUNCTION("IFERROR(
  FILTER(#REF!, TRIM('CBK Students'!B:B) = TRIM(A629)),
  """"
)"),"")</f>
        <v/>
      </c>
      <c r="G629" s="4">
        <f t="shared" si="1"/>
        <v>0</v>
      </c>
    </row>
    <row r="630">
      <c r="F630" s="4" t="str">
        <f>IFERROR(__xludf.DUMMYFUNCTION("IFERROR(
  FILTER(#REF!, TRIM('CBK Students'!B:B) = TRIM(A630)),
  """"
)"),"")</f>
        <v/>
      </c>
      <c r="G630" s="4">
        <f t="shared" si="1"/>
        <v>0</v>
      </c>
    </row>
    <row r="631">
      <c r="F631" s="4" t="str">
        <f>IFERROR(__xludf.DUMMYFUNCTION("IFERROR(
  FILTER(#REF!, TRIM('CBK Students'!B:B) = TRIM(A631)),
  """"
)"),"")</f>
        <v/>
      </c>
      <c r="G631" s="4">
        <f t="shared" si="1"/>
        <v>0</v>
      </c>
    </row>
    <row r="632">
      <c r="F632" s="4" t="str">
        <f>IFERROR(__xludf.DUMMYFUNCTION("IFERROR(
  FILTER(#REF!, TRIM('CBK Students'!B:B) = TRIM(A632)),
  """"
)"),"")</f>
        <v/>
      </c>
      <c r="G632" s="4">
        <f t="shared" si="1"/>
        <v>0</v>
      </c>
    </row>
    <row r="633">
      <c r="F633" s="4" t="str">
        <f>IFERROR(__xludf.DUMMYFUNCTION("IFERROR(
  FILTER(#REF!, TRIM('CBK Students'!B:B) = TRIM(A633)),
  """"
)"),"")</f>
        <v/>
      </c>
      <c r="G633" s="4">
        <f t="shared" si="1"/>
        <v>0</v>
      </c>
    </row>
    <row r="634">
      <c r="F634" s="4" t="str">
        <f>IFERROR(__xludf.DUMMYFUNCTION("IFERROR(
  FILTER(#REF!, TRIM('CBK Students'!B:B) = TRIM(A634)),
  """"
)"),"")</f>
        <v/>
      </c>
      <c r="G634" s="4">
        <f t="shared" si="1"/>
        <v>0</v>
      </c>
    </row>
    <row r="635">
      <c r="F635" s="4" t="str">
        <f>IFERROR(__xludf.DUMMYFUNCTION("IFERROR(
  FILTER(#REF!, TRIM('CBK Students'!B:B) = TRIM(A635)),
  """"
)"),"")</f>
        <v/>
      </c>
      <c r="G635" s="4">
        <f t="shared" si="1"/>
        <v>0</v>
      </c>
    </row>
    <row r="636">
      <c r="F636" s="4" t="str">
        <f>IFERROR(__xludf.DUMMYFUNCTION("IFERROR(
  FILTER(#REF!, TRIM('CBK Students'!B:B) = TRIM(A636)),
  """"
)"),"")</f>
        <v/>
      </c>
      <c r="G636" s="4">
        <f t="shared" si="1"/>
        <v>0</v>
      </c>
    </row>
    <row r="637">
      <c r="F637" s="4" t="str">
        <f>IFERROR(__xludf.DUMMYFUNCTION("IFERROR(
  FILTER(#REF!, TRIM('CBK Students'!B:B) = TRIM(A637)),
  """"
)"),"")</f>
        <v/>
      </c>
      <c r="G637" s="4">
        <f t="shared" si="1"/>
        <v>0</v>
      </c>
    </row>
    <row r="638">
      <c r="F638" s="4" t="str">
        <f>IFERROR(__xludf.DUMMYFUNCTION("IFERROR(
  FILTER(#REF!, TRIM('CBK Students'!B:B) = TRIM(A638)),
  """"
)"),"")</f>
        <v/>
      </c>
      <c r="G638" s="4">
        <f t="shared" si="1"/>
        <v>0</v>
      </c>
    </row>
    <row r="639">
      <c r="F639" s="4" t="str">
        <f>IFERROR(__xludf.DUMMYFUNCTION("IFERROR(
  FILTER(#REF!, TRIM('CBK Students'!B:B) = TRIM(A639)),
  """"
)"),"")</f>
        <v/>
      </c>
      <c r="G639" s="4">
        <f t="shared" si="1"/>
        <v>0</v>
      </c>
    </row>
    <row r="640">
      <c r="F640" s="4" t="str">
        <f>IFERROR(__xludf.DUMMYFUNCTION("IFERROR(
  FILTER(#REF!, TRIM('CBK Students'!B:B) = TRIM(A640)),
  """"
)"),"")</f>
        <v/>
      </c>
      <c r="G640" s="4">
        <f t="shared" si="1"/>
        <v>0</v>
      </c>
    </row>
    <row r="641">
      <c r="F641" s="4" t="str">
        <f>IFERROR(__xludf.DUMMYFUNCTION("IFERROR(
  FILTER(#REF!, TRIM('CBK Students'!B:B) = TRIM(A641)),
  """"
)"),"")</f>
        <v/>
      </c>
      <c r="G641" s="4">
        <f t="shared" si="1"/>
        <v>0</v>
      </c>
    </row>
    <row r="642">
      <c r="F642" s="4" t="str">
        <f>IFERROR(__xludf.DUMMYFUNCTION("IFERROR(
  FILTER(#REF!, TRIM('CBK Students'!B:B) = TRIM(A642)),
  """"
)"),"")</f>
        <v/>
      </c>
      <c r="G642" s="4">
        <f t="shared" si="1"/>
        <v>0</v>
      </c>
    </row>
    <row r="643">
      <c r="F643" s="4" t="str">
        <f>IFERROR(__xludf.DUMMYFUNCTION("IFERROR(
  FILTER(#REF!, TRIM('CBK Students'!B:B) = TRIM(A643)),
  """"
)"),"")</f>
        <v/>
      </c>
      <c r="G643" s="4">
        <f t="shared" si="1"/>
        <v>0</v>
      </c>
    </row>
    <row r="644">
      <c r="F644" s="4" t="str">
        <f>IFERROR(__xludf.DUMMYFUNCTION("IFERROR(
  FILTER(#REF!, TRIM('CBK Students'!B:B) = TRIM(A644)),
  """"
)"),"")</f>
        <v/>
      </c>
      <c r="G644" s="4">
        <f t="shared" si="1"/>
        <v>0</v>
      </c>
    </row>
    <row r="645">
      <c r="F645" s="4" t="str">
        <f>IFERROR(__xludf.DUMMYFUNCTION("IFERROR(
  FILTER(#REF!, TRIM('CBK Students'!B:B) = TRIM(A645)),
  """"
)"),"")</f>
        <v/>
      </c>
      <c r="G645" s="4">
        <f t="shared" si="1"/>
        <v>0</v>
      </c>
    </row>
    <row r="646">
      <c r="F646" s="4" t="str">
        <f>IFERROR(__xludf.DUMMYFUNCTION("IFERROR(
  FILTER(#REF!, TRIM('CBK Students'!B:B) = TRIM(A646)),
  """"
)"),"")</f>
        <v/>
      </c>
      <c r="G646" s="4">
        <f t="shared" si="1"/>
        <v>0</v>
      </c>
    </row>
    <row r="647">
      <c r="F647" s="4" t="str">
        <f>IFERROR(__xludf.DUMMYFUNCTION("IFERROR(
  FILTER(#REF!, TRIM('CBK Students'!B:B) = TRIM(A647)),
  """"
)"),"")</f>
        <v/>
      </c>
      <c r="G647" s="4">
        <f t="shared" si="1"/>
        <v>0</v>
      </c>
    </row>
    <row r="648">
      <c r="F648" s="4" t="str">
        <f>IFERROR(__xludf.DUMMYFUNCTION("IFERROR(
  FILTER(#REF!, TRIM('CBK Students'!B:B) = TRIM(A648)),
  """"
)"),"")</f>
        <v/>
      </c>
      <c r="G648" s="4">
        <f t="shared" si="1"/>
        <v>0</v>
      </c>
    </row>
    <row r="649">
      <c r="F649" s="4" t="str">
        <f>IFERROR(__xludf.DUMMYFUNCTION("IFERROR(
  FILTER(#REF!, TRIM('CBK Students'!B:B) = TRIM(A649)),
  """"
)"),"")</f>
        <v/>
      </c>
      <c r="G649" s="4">
        <f t="shared" si="1"/>
        <v>0</v>
      </c>
    </row>
    <row r="650">
      <c r="F650" s="4" t="str">
        <f>IFERROR(__xludf.DUMMYFUNCTION("IFERROR(
  FILTER(#REF!, TRIM('CBK Students'!B:B) = TRIM(A650)),
  """"
)"),"")</f>
        <v/>
      </c>
      <c r="G650" s="4">
        <f t="shared" si="1"/>
        <v>0</v>
      </c>
    </row>
    <row r="651">
      <c r="F651" s="4" t="str">
        <f>IFERROR(__xludf.DUMMYFUNCTION("IFERROR(
  FILTER(#REF!, TRIM('CBK Students'!B:B) = TRIM(A651)),
  """"
)"),"")</f>
        <v/>
      </c>
      <c r="G651" s="4">
        <f t="shared" si="1"/>
        <v>0</v>
      </c>
    </row>
    <row r="652">
      <c r="F652" s="4" t="str">
        <f>IFERROR(__xludf.DUMMYFUNCTION("IFERROR(
  FILTER(#REF!, TRIM('CBK Students'!B:B) = TRIM(A652)),
  """"
)"),"")</f>
        <v/>
      </c>
      <c r="G652" s="4">
        <f t="shared" si="1"/>
        <v>0</v>
      </c>
    </row>
    <row r="653">
      <c r="F653" s="4" t="str">
        <f>IFERROR(__xludf.DUMMYFUNCTION("IFERROR(
  FILTER(#REF!, TRIM('CBK Students'!B:B) = TRIM(A653)),
  """"
)"),"")</f>
        <v/>
      </c>
      <c r="G653" s="4">
        <f t="shared" si="1"/>
        <v>0</v>
      </c>
    </row>
    <row r="654">
      <c r="F654" s="4" t="str">
        <f>IFERROR(__xludf.DUMMYFUNCTION("IFERROR(
  FILTER(#REF!, TRIM('CBK Students'!B:B) = TRIM(A654)),
  """"
)"),"")</f>
        <v/>
      </c>
      <c r="G654" s="4">
        <f t="shared" si="1"/>
        <v>0</v>
      </c>
    </row>
    <row r="655">
      <c r="F655" s="4" t="str">
        <f>IFERROR(__xludf.DUMMYFUNCTION("IFERROR(
  FILTER(#REF!, TRIM('CBK Students'!B:B) = TRIM(A655)),
  """"
)"),"")</f>
        <v/>
      </c>
      <c r="G655" s="4">
        <f t="shared" si="1"/>
        <v>0</v>
      </c>
    </row>
    <row r="656">
      <c r="F656" s="4" t="str">
        <f>IFERROR(__xludf.DUMMYFUNCTION("IFERROR(
  FILTER(#REF!, TRIM('CBK Students'!B:B) = TRIM(A656)),
  """"
)"),"")</f>
        <v/>
      </c>
      <c r="G656" s="4">
        <f t="shared" si="1"/>
        <v>0</v>
      </c>
    </row>
    <row r="657">
      <c r="F657" s="4" t="str">
        <f>IFERROR(__xludf.DUMMYFUNCTION("IFERROR(
  FILTER(#REF!, TRIM('CBK Students'!B:B) = TRIM(A657)),
  """"
)"),"")</f>
        <v/>
      </c>
      <c r="G657" s="4">
        <f t="shared" si="1"/>
        <v>0</v>
      </c>
    </row>
    <row r="658">
      <c r="F658" s="4" t="str">
        <f>IFERROR(__xludf.DUMMYFUNCTION("IFERROR(
  FILTER(#REF!, TRIM('CBK Students'!B:B) = TRIM(A658)),
  """"
)"),"")</f>
        <v/>
      </c>
      <c r="G658" s="4">
        <f t="shared" si="1"/>
        <v>0</v>
      </c>
    </row>
    <row r="659">
      <c r="F659" s="4" t="str">
        <f>IFERROR(__xludf.DUMMYFUNCTION("IFERROR(
  FILTER(#REF!, TRIM('CBK Students'!B:B) = TRIM(A659)),
  """"
)"),"")</f>
        <v/>
      </c>
      <c r="G659" s="4">
        <f t="shared" si="1"/>
        <v>0</v>
      </c>
    </row>
    <row r="660">
      <c r="F660" s="4" t="str">
        <f>IFERROR(__xludf.DUMMYFUNCTION("IFERROR(
  FILTER(#REF!, TRIM('CBK Students'!B:B) = TRIM(A660)),
  """"
)"),"")</f>
        <v/>
      </c>
      <c r="G660" s="4">
        <f t="shared" si="1"/>
        <v>0</v>
      </c>
    </row>
    <row r="661">
      <c r="F661" s="4" t="str">
        <f>IFERROR(__xludf.DUMMYFUNCTION("IFERROR(
  FILTER(#REF!, TRIM('CBK Students'!B:B) = TRIM(A661)),
  """"
)"),"")</f>
        <v/>
      </c>
      <c r="G661" s="4">
        <f t="shared" si="1"/>
        <v>0</v>
      </c>
    </row>
    <row r="662">
      <c r="F662" s="4" t="str">
        <f>IFERROR(__xludf.DUMMYFUNCTION("IFERROR(
  FILTER(#REF!, TRIM('CBK Students'!B:B) = TRIM(A662)),
  """"
)"),"")</f>
        <v/>
      </c>
      <c r="G662" s="4">
        <f t="shared" si="1"/>
        <v>0</v>
      </c>
    </row>
    <row r="663">
      <c r="F663" s="4" t="str">
        <f>IFERROR(__xludf.DUMMYFUNCTION("IFERROR(
  FILTER(#REF!, TRIM('CBK Students'!B:B) = TRIM(A663)),
  """"
)"),"")</f>
        <v/>
      </c>
      <c r="G663" s="4">
        <f t="shared" si="1"/>
        <v>0</v>
      </c>
    </row>
    <row r="664">
      <c r="F664" s="4" t="str">
        <f>IFERROR(__xludf.DUMMYFUNCTION("IFERROR(
  FILTER(#REF!, TRIM('CBK Students'!B:B) = TRIM(A664)),
  """"
)"),"")</f>
        <v/>
      </c>
      <c r="G664" s="4">
        <f t="shared" si="1"/>
        <v>0</v>
      </c>
    </row>
    <row r="665">
      <c r="F665" s="4" t="str">
        <f>IFERROR(__xludf.DUMMYFUNCTION("IFERROR(
  FILTER(#REF!, TRIM('CBK Students'!B:B) = TRIM(A665)),
  """"
)"),"")</f>
        <v/>
      </c>
      <c r="G665" s="4">
        <f t="shared" si="1"/>
        <v>0</v>
      </c>
    </row>
    <row r="666">
      <c r="F666" s="4" t="str">
        <f>IFERROR(__xludf.DUMMYFUNCTION("IFERROR(
  FILTER(#REF!, TRIM('CBK Students'!B:B) = TRIM(A666)),
  """"
)"),"")</f>
        <v/>
      </c>
      <c r="G666" s="4">
        <f t="shared" si="1"/>
        <v>0</v>
      </c>
    </row>
    <row r="667">
      <c r="F667" s="4" t="str">
        <f>IFERROR(__xludf.DUMMYFUNCTION("IFERROR(
  FILTER(#REF!, TRIM('CBK Students'!B:B) = TRIM(A667)),
  """"
)"),"")</f>
        <v/>
      </c>
      <c r="G667" s="4">
        <f t="shared" si="1"/>
        <v>0</v>
      </c>
    </row>
    <row r="668">
      <c r="F668" s="4" t="str">
        <f>IFERROR(__xludf.DUMMYFUNCTION("IFERROR(
  FILTER(#REF!, TRIM('CBK Students'!B:B) = TRIM(A668)),
  """"
)"),"")</f>
        <v/>
      </c>
      <c r="G668" s="4">
        <f t="shared" si="1"/>
        <v>0</v>
      </c>
    </row>
    <row r="669">
      <c r="F669" s="4" t="str">
        <f>IFERROR(__xludf.DUMMYFUNCTION("IFERROR(
  FILTER(#REF!, TRIM('CBK Students'!B:B) = TRIM(A669)),
  """"
)"),"")</f>
        <v/>
      </c>
      <c r="G669" s="4">
        <f t="shared" si="1"/>
        <v>0</v>
      </c>
    </row>
    <row r="670">
      <c r="F670" s="4" t="str">
        <f>IFERROR(__xludf.DUMMYFUNCTION("IFERROR(
  FILTER(#REF!, TRIM('CBK Students'!B:B) = TRIM(A670)),
  """"
)"),"")</f>
        <v/>
      </c>
      <c r="G670" s="4">
        <f t="shared" si="1"/>
        <v>0</v>
      </c>
    </row>
    <row r="671">
      <c r="F671" s="4" t="str">
        <f>IFERROR(__xludf.DUMMYFUNCTION("IFERROR(
  FILTER(#REF!, TRIM('CBK Students'!B:B) = TRIM(A671)),
  """"
)"),"")</f>
        <v/>
      </c>
      <c r="G671" s="4">
        <f t="shared" si="1"/>
        <v>0</v>
      </c>
    </row>
    <row r="672">
      <c r="F672" s="4" t="str">
        <f>IFERROR(__xludf.DUMMYFUNCTION("IFERROR(
  FILTER(#REF!, TRIM('CBK Students'!B:B) = TRIM(A672)),
  """"
)"),"")</f>
        <v/>
      </c>
      <c r="G672" s="4">
        <f t="shared" si="1"/>
        <v>0</v>
      </c>
    </row>
    <row r="673">
      <c r="F673" s="4" t="str">
        <f>IFERROR(__xludf.DUMMYFUNCTION("IFERROR(
  FILTER(#REF!, TRIM('CBK Students'!B:B) = TRIM(A673)),
  """"
)"),"")</f>
        <v/>
      </c>
      <c r="G673" s="4">
        <f t="shared" si="1"/>
        <v>0</v>
      </c>
    </row>
    <row r="674">
      <c r="F674" s="4" t="str">
        <f>IFERROR(__xludf.DUMMYFUNCTION("IFERROR(
  FILTER(#REF!, TRIM('CBK Students'!B:B) = TRIM(A674)),
  """"
)"),"")</f>
        <v/>
      </c>
      <c r="G674" s="4">
        <f t="shared" si="1"/>
        <v>0</v>
      </c>
    </row>
    <row r="675">
      <c r="F675" s="4" t="str">
        <f>IFERROR(__xludf.DUMMYFUNCTION("IFERROR(
  FILTER(#REF!, TRIM('CBK Students'!B:B) = TRIM(A675)),
  """"
)"),"")</f>
        <v/>
      </c>
      <c r="G675" s="4">
        <f t="shared" si="1"/>
        <v>0</v>
      </c>
    </row>
    <row r="676">
      <c r="F676" s="4" t="str">
        <f>IFERROR(__xludf.DUMMYFUNCTION("IFERROR(
  FILTER(#REF!, TRIM('CBK Students'!B:B) = TRIM(A676)),
  """"
)"),"")</f>
        <v/>
      </c>
      <c r="G676" s="4">
        <f t="shared" si="1"/>
        <v>0</v>
      </c>
    </row>
    <row r="677">
      <c r="F677" s="4" t="str">
        <f>IFERROR(__xludf.DUMMYFUNCTION("IFERROR(
  FILTER(#REF!, TRIM('CBK Students'!B:B) = TRIM(A677)),
  """"
)"),"")</f>
        <v/>
      </c>
      <c r="G677" s="4">
        <f t="shared" si="1"/>
        <v>0</v>
      </c>
    </row>
    <row r="678">
      <c r="F678" s="4" t="str">
        <f>IFERROR(__xludf.DUMMYFUNCTION("IFERROR(
  FILTER(#REF!, TRIM('CBK Students'!B:B) = TRIM(A678)),
  """"
)"),"")</f>
        <v/>
      </c>
      <c r="G678" s="4">
        <f t="shared" si="1"/>
        <v>0</v>
      </c>
    </row>
    <row r="679">
      <c r="F679" s="4" t="str">
        <f>IFERROR(__xludf.DUMMYFUNCTION("IFERROR(
  FILTER(#REF!, TRIM('CBK Students'!B:B) = TRIM(A679)),
  """"
)"),"")</f>
        <v/>
      </c>
      <c r="G679" s="4">
        <f t="shared" si="1"/>
        <v>0</v>
      </c>
    </row>
    <row r="680">
      <c r="F680" s="4" t="str">
        <f>IFERROR(__xludf.DUMMYFUNCTION("IFERROR(
  FILTER(#REF!, TRIM('CBK Students'!B:B) = TRIM(A680)),
  """"
)"),"")</f>
        <v/>
      </c>
      <c r="G680" s="4">
        <f t="shared" si="1"/>
        <v>0</v>
      </c>
    </row>
    <row r="681">
      <c r="F681" s="4" t="str">
        <f>IFERROR(__xludf.DUMMYFUNCTION("IFERROR(
  FILTER(#REF!, TRIM('CBK Students'!B:B) = TRIM(A681)),
  """"
)"),"")</f>
        <v/>
      </c>
      <c r="G681" s="4">
        <f t="shared" si="1"/>
        <v>0</v>
      </c>
    </row>
    <row r="682">
      <c r="F682" s="4" t="str">
        <f>IFERROR(__xludf.DUMMYFUNCTION("IFERROR(
  FILTER(#REF!, TRIM('CBK Students'!B:B) = TRIM(A682)),
  """"
)"),"")</f>
        <v/>
      </c>
      <c r="G682" s="4">
        <f t="shared" si="1"/>
        <v>0</v>
      </c>
    </row>
    <row r="683">
      <c r="F683" s="4" t="str">
        <f>IFERROR(__xludf.DUMMYFUNCTION("IFERROR(
  FILTER(#REF!, TRIM('CBK Students'!B:B) = TRIM(A683)),
  """"
)"),"")</f>
        <v/>
      </c>
      <c r="G683" s="4">
        <f t="shared" si="1"/>
        <v>0</v>
      </c>
    </row>
    <row r="684">
      <c r="F684" s="4" t="str">
        <f>IFERROR(__xludf.DUMMYFUNCTION("IFERROR(
  FILTER(#REF!, TRIM('CBK Students'!B:B) = TRIM(A684)),
  """"
)"),"")</f>
        <v/>
      </c>
      <c r="G684" s="4">
        <f t="shared" si="1"/>
        <v>0</v>
      </c>
    </row>
    <row r="685">
      <c r="F685" s="4" t="str">
        <f>IFERROR(__xludf.DUMMYFUNCTION("IFERROR(
  FILTER(#REF!, TRIM('CBK Students'!B:B) = TRIM(A685)),
  """"
)"),"")</f>
        <v/>
      </c>
      <c r="G685" s="4">
        <f t="shared" si="1"/>
        <v>0</v>
      </c>
    </row>
    <row r="686">
      <c r="F686" s="4" t="str">
        <f>IFERROR(__xludf.DUMMYFUNCTION("IFERROR(
  FILTER(#REF!, TRIM('CBK Students'!B:B) = TRIM(A686)),
  """"
)"),"")</f>
        <v/>
      </c>
      <c r="G686" s="4">
        <f t="shared" si="1"/>
        <v>0</v>
      </c>
    </row>
    <row r="687">
      <c r="F687" s="4" t="str">
        <f>IFERROR(__xludf.DUMMYFUNCTION("IFERROR(
  FILTER(#REF!, TRIM('CBK Students'!B:B) = TRIM(A687)),
  """"
)"),"")</f>
        <v/>
      </c>
      <c r="G687" s="4">
        <f t="shared" si="1"/>
        <v>0</v>
      </c>
    </row>
    <row r="688">
      <c r="F688" s="4" t="str">
        <f>IFERROR(__xludf.DUMMYFUNCTION("IFERROR(
  FILTER(#REF!, TRIM('CBK Students'!B:B) = TRIM(A688)),
  """"
)"),"")</f>
        <v/>
      </c>
      <c r="G688" s="4">
        <f t="shared" si="1"/>
        <v>0</v>
      </c>
    </row>
    <row r="689">
      <c r="F689" s="4" t="str">
        <f>IFERROR(__xludf.DUMMYFUNCTION("IFERROR(
  FILTER(#REF!, TRIM('CBK Students'!B:B) = TRIM(A689)),
  """"
)"),"")</f>
        <v/>
      </c>
      <c r="G689" s="4">
        <f t="shared" si="1"/>
        <v>0</v>
      </c>
    </row>
    <row r="690">
      <c r="F690" s="4" t="str">
        <f>IFERROR(__xludf.DUMMYFUNCTION("IFERROR(
  FILTER(#REF!, TRIM('CBK Students'!B:B) = TRIM(A690)),
  """"
)"),"")</f>
        <v/>
      </c>
      <c r="G690" s="4">
        <f t="shared" si="1"/>
        <v>0</v>
      </c>
    </row>
    <row r="691">
      <c r="F691" s="4" t="str">
        <f>IFERROR(__xludf.DUMMYFUNCTION("IFERROR(
  FILTER(#REF!, TRIM('CBK Students'!B:B) = TRIM(A691)),
  """"
)"),"")</f>
        <v/>
      </c>
      <c r="G691" s="4">
        <f t="shared" si="1"/>
        <v>0</v>
      </c>
    </row>
    <row r="692">
      <c r="F692" s="4" t="str">
        <f>IFERROR(__xludf.DUMMYFUNCTION("IFERROR(
  FILTER(#REF!, TRIM('CBK Students'!B:B) = TRIM(A692)),
  """"
)"),"")</f>
        <v/>
      </c>
      <c r="G692" s="4">
        <f t="shared" si="1"/>
        <v>0</v>
      </c>
    </row>
    <row r="693">
      <c r="F693" s="4" t="str">
        <f>IFERROR(__xludf.DUMMYFUNCTION("IFERROR(
  FILTER(#REF!, TRIM('CBK Students'!B:B) = TRIM(A693)),
  """"
)"),"")</f>
        <v/>
      </c>
      <c r="G693" s="4">
        <f t="shared" si="1"/>
        <v>0</v>
      </c>
    </row>
    <row r="694">
      <c r="F694" s="4" t="str">
        <f>IFERROR(__xludf.DUMMYFUNCTION("IFERROR(
  FILTER(#REF!, TRIM('CBK Students'!B:B) = TRIM(A694)),
  """"
)"),"")</f>
        <v/>
      </c>
      <c r="G694" s="4">
        <f t="shared" si="1"/>
        <v>0</v>
      </c>
    </row>
    <row r="695">
      <c r="F695" s="4" t="str">
        <f>IFERROR(__xludf.DUMMYFUNCTION("IFERROR(
  FILTER(#REF!, TRIM('CBK Students'!B:B) = TRIM(A695)),
  """"
)"),"")</f>
        <v/>
      </c>
      <c r="G695" s="4">
        <f t="shared" si="1"/>
        <v>0</v>
      </c>
    </row>
    <row r="696">
      <c r="F696" s="4" t="str">
        <f>IFERROR(__xludf.DUMMYFUNCTION("IFERROR(
  FILTER(#REF!, TRIM('CBK Students'!B:B) = TRIM(A696)),
  """"
)"),"")</f>
        <v/>
      </c>
      <c r="G696" s="4">
        <f t="shared" si="1"/>
        <v>0</v>
      </c>
    </row>
    <row r="697">
      <c r="F697" s="4" t="str">
        <f>IFERROR(__xludf.DUMMYFUNCTION("IFERROR(
  FILTER(#REF!, TRIM('CBK Students'!B:B) = TRIM(A697)),
  """"
)"),"")</f>
        <v/>
      </c>
      <c r="G697" s="4">
        <f t="shared" si="1"/>
        <v>0</v>
      </c>
    </row>
    <row r="698">
      <c r="F698" s="4" t="str">
        <f>IFERROR(__xludf.DUMMYFUNCTION("IFERROR(
  FILTER(#REF!, TRIM('CBK Students'!B:B) = TRIM(A698)),
  """"
)"),"")</f>
        <v/>
      </c>
      <c r="G698" s="4">
        <f t="shared" si="1"/>
        <v>0</v>
      </c>
    </row>
    <row r="699">
      <c r="F699" s="4" t="str">
        <f>IFERROR(__xludf.DUMMYFUNCTION("IFERROR(
  FILTER(#REF!, TRIM('CBK Students'!B:B) = TRIM(A699)),
  """"
)"),"")</f>
        <v/>
      </c>
      <c r="G699" s="4">
        <f t="shared" si="1"/>
        <v>0</v>
      </c>
    </row>
    <row r="700">
      <c r="F700" s="4" t="str">
        <f>IFERROR(__xludf.DUMMYFUNCTION("IFERROR(
  FILTER(#REF!, TRIM('CBK Students'!B:B) = TRIM(A700)),
  """"
)"),"")</f>
        <v/>
      </c>
      <c r="G700" s="4">
        <f t="shared" si="1"/>
        <v>0</v>
      </c>
    </row>
    <row r="701">
      <c r="F701" s="4" t="str">
        <f>IFERROR(__xludf.DUMMYFUNCTION("IFERROR(
  FILTER(#REF!, TRIM('CBK Students'!B:B) = TRIM(A701)),
  """"
)"),"")</f>
        <v/>
      </c>
      <c r="G701" s="4">
        <f t="shared" si="1"/>
        <v>0</v>
      </c>
    </row>
    <row r="702">
      <c r="F702" s="4" t="str">
        <f>IFERROR(__xludf.DUMMYFUNCTION("IFERROR(
  FILTER(#REF!, TRIM('CBK Students'!B:B) = TRIM(A702)),
  """"
)"),"")</f>
        <v/>
      </c>
      <c r="G702" s="4">
        <f t="shared" si="1"/>
        <v>0</v>
      </c>
    </row>
    <row r="703">
      <c r="F703" s="4" t="str">
        <f>IFERROR(__xludf.DUMMYFUNCTION("IFERROR(
  FILTER(#REF!, TRIM('CBK Students'!B:B) = TRIM(A703)),
  """"
)"),"")</f>
        <v/>
      </c>
      <c r="G703" s="4">
        <f t="shared" si="1"/>
        <v>0</v>
      </c>
    </row>
    <row r="704">
      <c r="F704" s="4" t="str">
        <f>IFERROR(__xludf.DUMMYFUNCTION("IFERROR(
  FILTER(#REF!, TRIM('CBK Students'!B:B) = TRIM(A704)),
  """"
)"),"")</f>
        <v/>
      </c>
      <c r="G704" s="4">
        <f t="shared" si="1"/>
        <v>0</v>
      </c>
    </row>
    <row r="705">
      <c r="F705" s="4" t="str">
        <f>IFERROR(__xludf.DUMMYFUNCTION("IFERROR(
  FILTER(#REF!, TRIM('CBK Students'!B:B) = TRIM(A705)),
  """"
)"),"")</f>
        <v/>
      </c>
      <c r="G705" s="4">
        <f t="shared" si="1"/>
        <v>0</v>
      </c>
    </row>
    <row r="706">
      <c r="F706" s="4" t="str">
        <f>IFERROR(__xludf.DUMMYFUNCTION("IFERROR(
  FILTER(#REF!, TRIM('CBK Students'!B:B) = TRIM(A706)),
  """"
)"),"")</f>
        <v/>
      </c>
      <c r="G706" s="4">
        <f t="shared" si="1"/>
        <v>0</v>
      </c>
    </row>
    <row r="707">
      <c r="F707" s="4" t="str">
        <f>IFERROR(__xludf.DUMMYFUNCTION("IFERROR(
  FILTER(#REF!, TRIM('CBK Students'!B:B) = TRIM(A707)),
  """"
)"),"")</f>
        <v/>
      </c>
      <c r="G707" s="4">
        <f t="shared" si="1"/>
        <v>0</v>
      </c>
    </row>
    <row r="708">
      <c r="F708" s="4" t="str">
        <f>IFERROR(__xludf.DUMMYFUNCTION("IFERROR(
  FILTER(#REF!, TRIM('CBK Students'!B:B) = TRIM(A708)),
  """"
)"),"")</f>
        <v/>
      </c>
      <c r="G708" s="4">
        <f t="shared" si="1"/>
        <v>0</v>
      </c>
    </row>
    <row r="709">
      <c r="F709" s="4" t="str">
        <f>IFERROR(__xludf.DUMMYFUNCTION("IFERROR(
  FILTER(#REF!, TRIM('CBK Students'!B:B) = TRIM(A709)),
  """"
)"),"")</f>
        <v/>
      </c>
      <c r="G709" s="4">
        <f t="shared" si="1"/>
        <v>0</v>
      </c>
    </row>
    <row r="710">
      <c r="F710" s="4" t="str">
        <f>IFERROR(__xludf.DUMMYFUNCTION("IFERROR(
  FILTER(#REF!, TRIM('CBK Students'!B:B) = TRIM(A710)),
  """"
)"),"")</f>
        <v/>
      </c>
      <c r="G710" s="4">
        <f t="shared" si="1"/>
        <v>0</v>
      </c>
    </row>
    <row r="711">
      <c r="F711" s="4" t="str">
        <f>IFERROR(__xludf.DUMMYFUNCTION("IFERROR(
  FILTER(#REF!, TRIM('CBK Students'!B:B) = TRIM(A711)),
  """"
)"),"")</f>
        <v/>
      </c>
      <c r="G711" s="4">
        <f t="shared" si="1"/>
        <v>0</v>
      </c>
    </row>
    <row r="712">
      <c r="F712" s="4" t="str">
        <f>IFERROR(__xludf.DUMMYFUNCTION("IFERROR(
  FILTER(#REF!, TRIM('CBK Students'!B:B) = TRIM(A712)),
  """"
)"),"")</f>
        <v/>
      </c>
      <c r="G712" s="4">
        <f t="shared" si="1"/>
        <v>0</v>
      </c>
    </row>
    <row r="713">
      <c r="F713" s="4" t="str">
        <f>IFERROR(__xludf.DUMMYFUNCTION("IFERROR(
  FILTER(#REF!, TRIM('CBK Students'!B:B) = TRIM(A713)),
  """"
)"),"")</f>
        <v/>
      </c>
      <c r="G713" s="4">
        <f t="shared" si="1"/>
        <v>0</v>
      </c>
    </row>
    <row r="714">
      <c r="F714" s="4" t="str">
        <f>IFERROR(__xludf.DUMMYFUNCTION("IFERROR(
  FILTER(#REF!, TRIM('CBK Students'!B:B) = TRIM(A714)),
  """"
)"),"")</f>
        <v/>
      </c>
      <c r="G714" s="4">
        <f t="shared" si="1"/>
        <v>0</v>
      </c>
    </row>
    <row r="715">
      <c r="F715" s="4" t="str">
        <f>IFERROR(__xludf.DUMMYFUNCTION("IFERROR(
  FILTER(#REF!, TRIM('CBK Students'!B:B) = TRIM(A715)),
  """"
)"),"")</f>
        <v/>
      </c>
      <c r="G715" s="4">
        <f t="shared" si="1"/>
        <v>0</v>
      </c>
    </row>
    <row r="716">
      <c r="F716" s="4" t="str">
        <f>IFERROR(__xludf.DUMMYFUNCTION("IFERROR(
  FILTER(#REF!, TRIM('CBK Students'!B:B) = TRIM(A716)),
  """"
)"),"")</f>
        <v/>
      </c>
      <c r="G716" s="4">
        <f t="shared" si="1"/>
        <v>0</v>
      </c>
    </row>
    <row r="717">
      <c r="F717" s="4" t="str">
        <f>IFERROR(__xludf.DUMMYFUNCTION("IFERROR(
  FILTER(#REF!, TRIM('CBK Students'!B:B) = TRIM(A717)),
  """"
)"),"")</f>
        <v/>
      </c>
      <c r="G717" s="4">
        <f t="shared" si="1"/>
        <v>0</v>
      </c>
    </row>
    <row r="718">
      <c r="F718" s="4" t="str">
        <f>IFERROR(__xludf.DUMMYFUNCTION("IFERROR(
  FILTER(#REF!, TRIM('CBK Students'!B:B) = TRIM(A718)),
  """"
)"),"")</f>
        <v/>
      </c>
      <c r="G718" s="4">
        <f t="shared" si="1"/>
        <v>0</v>
      </c>
    </row>
    <row r="719">
      <c r="F719" s="4" t="str">
        <f>IFERROR(__xludf.DUMMYFUNCTION("IFERROR(
  FILTER(#REF!, TRIM('CBK Students'!B:B) = TRIM(A719)),
  """"
)"),"")</f>
        <v/>
      </c>
      <c r="G719" s="4">
        <f t="shared" si="1"/>
        <v>0</v>
      </c>
    </row>
    <row r="720">
      <c r="F720" s="4" t="str">
        <f>IFERROR(__xludf.DUMMYFUNCTION("IFERROR(
  FILTER(#REF!, TRIM('CBK Students'!B:B) = TRIM(A720)),
  """"
)"),"")</f>
        <v/>
      </c>
      <c r="G720" s="4">
        <f t="shared" si="1"/>
        <v>0</v>
      </c>
    </row>
    <row r="721">
      <c r="F721" s="4" t="str">
        <f>IFERROR(__xludf.DUMMYFUNCTION("IFERROR(
  FILTER(#REF!, TRIM('CBK Students'!B:B) = TRIM(A721)),
  """"
)"),"")</f>
        <v/>
      </c>
      <c r="G721" s="4">
        <f t="shared" si="1"/>
        <v>0</v>
      </c>
    </row>
    <row r="722">
      <c r="F722" s="4" t="str">
        <f>IFERROR(__xludf.DUMMYFUNCTION("IFERROR(
  FILTER(#REF!, TRIM('CBK Students'!B:B) = TRIM(A722)),
  """"
)"),"")</f>
        <v/>
      </c>
      <c r="G722" s="4">
        <f t="shared" si="1"/>
        <v>0</v>
      </c>
    </row>
    <row r="723">
      <c r="F723" s="4" t="str">
        <f>IFERROR(__xludf.DUMMYFUNCTION("IFERROR(
  FILTER(#REF!, TRIM('CBK Students'!B:B) = TRIM(A723)),
  """"
)"),"")</f>
        <v/>
      </c>
      <c r="G723" s="4">
        <f t="shared" si="1"/>
        <v>0</v>
      </c>
    </row>
    <row r="724">
      <c r="F724" s="4" t="str">
        <f>IFERROR(__xludf.DUMMYFUNCTION("IFERROR(
  FILTER(#REF!, TRIM('CBK Students'!B:B) = TRIM(A724)),
  """"
)"),"")</f>
        <v/>
      </c>
      <c r="G724" s="4">
        <f t="shared" si="1"/>
        <v>0</v>
      </c>
    </row>
    <row r="725">
      <c r="F725" s="4" t="str">
        <f>IFERROR(__xludf.DUMMYFUNCTION("IFERROR(
  FILTER(#REF!, TRIM('CBK Students'!B:B) = TRIM(A725)),
  """"
)"),"")</f>
        <v/>
      </c>
      <c r="G725" s="4">
        <f t="shared" si="1"/>
        <v>0</v>
      </c>
    </row>
    <row r="726">
      <c r="F726" s="4" t="str">
        <f>IFERROR(__xludf.DUMMYFUNCTION("IFERROR(
  FILTER(#REF!, TRIM('CBK Students'!B:B) = TRIM(A726)),
  """"
)"),"")</f>
        <v/>
      </c>
      <c r="G726" s="4">
        <f t="shared" si="1"/>
        <v>0</v>
      </c>
    </row>
    <row r="727">
      <c r="F727" s="4" t="str">
        <f>IFERROR(__xludf.DUMMYFUNCTION("IFERROR(
  FILTER(#REF!, TRIM('CBK Students'!B:B) = TRIM(A727)),
  """"
)"),"")</f>
        <v/>
      </c>
      <c r="G727" s="4">
        <f t="shared" si="1"/>
        <v>0</v>
      </c>
    </row>
    <row r="728">
      <c r="F728" s="4" t="str">
        <f>IFERROR(__xludf.DUMMYFUNCTION("IFERROR(
  FILTER(#REF!, TRIM('CBK Students'!B:B) = TRIM(A728)),
  """"
)"),"")</f>
        <v/>
      </c>
      <c r="G728" s="4">
        <f t="shared" si="1"/>
        <v>0</v>
      </c>
    </row>
    <row r="729">
      <c r="F729" s="4" t="str">
        <f>IFERROR(__xludf.DUMMYFUNCTION("IFERROR(
  FILTER(#REF!, TRIM('CBK Students'!B:B) = TRIM(A729)),
  """"
)"),"")</f>
        <v/>
      </c>
      <c r="G729" s="4">
        <f t="shared" si="1"/>
        <v>0</v>
      </c>
    </row>
    <row r="730">
      <c r="F730" s="4" t="str">
        <f>IFERROR(__xludf.DUMMYFUNCTION("IFERROR(
  FILTER(#REF!, TRIM('CBK Students'!B:B) = TRIM(A730)),
  """"
)"),"")</f>
        <v/>
      </c>
      <c r="G730" s="4">
        <f t="shared" si="1"/>
        <v>0</v>
      </c>
    </row>
    <row r="731">
      <c r="F731" s="4" t="str">
        <f>IFERROR(__xludf.DUMMYFUNCTION("IFERROR(
  FILTER(#REF!, TRIM('CBK Students'!B:B) = TRIM(A731)),
  """"
)"),"")</f>
        <v/>
      </c>
      <c r="G731" s="4">
        <f t="shared" si="1"/>
        <v>0</v>
      </c>
    </row>
    <row r="732">
      <c r="F732" s="4" t="str">
        <f>IFERROR(__xludf.DUMMYFUNCTION("IFERROR(
  FILTER(#REF!, TRIM('CBK Students'!B:B) = TRIM(A732)),
  """"
)"),"")</f>
        <v/>
      </c>
      <c r="G732" s="4">
        <f t="shared" si="1"/>
        <v>0</v>
      </c>
    </row>
    <row r="733">
      <c r="F733" s="4" t="str">
        <f>IFERROR(__xludf.DUMMYFUNCTION("IFERROR(
  FILTER(#REF!, TRIM('CBK Students'!B:B) = TRIM(A733)),
  """"
)"),"")</f>
        <v/>
      </c>
      <c r="G733" s="4">
        <f t="shared" si="1"/>
        <v>0</v>
      </c>
    </row>
    <row r="734">
      <c r="F734" s="4" t="str">
        <f>IFERROR(__xludf.DUMMYFUNCTION("IFERROR(
  FILTER(#REF!, TRIM('CBK Students'!B:B) = TRIM(A734)),
  """"
)"),"")</f>
        <v/>
      </c>
      <c r="G734" s="4">
        <f t="shared" si="1"/>
        <v>0</v>
      </c>
    </row>
    <row r="735">
      <c r="F735" s="4" t="str">
        <f>IFERROR(__xludf.DUMMYFUNCTION("IFERROR(
  FILTER(#REF!, TRIM('CBK Students'!B:B) = TRIM(A735)),
  """"
)"),"")</f>
        <v/>
      </c>
      <c r="G735" s="4">
        <f t="shared" si="1"/>
        <v>0</v>
      </c>
    </row>
    <row r="736">
      <c r="F736" s="4" t="str">
        <f>IFERROR(__xludf.DUMMYFUNCTION("IFERROR(
  FILTER(#REF!, TRIM('CBK Students'!B:B) = TRIM(A736)),
  """"
)"),"")</f>
        <v/>
      </c>
      <c r="G736" s="4">
        <f t="shared" si="1"/>
        <v>0</v>
      </c>
    </row>
    <row r="737">
      <c r="F737" s="4" t="str">
        <f>IFERROR(__xludf.DUMMYFUNCTION("IFERROR(
  FILTER(#REF!, TRIM('CBK Students'!B:B) = TRIM(A737)),
  """"
)"),"")</f>
        <v/>
      </c>
      <c r="G737" s="4">
        <f t="shared" si="1"/>
        <v>0</v>
      </c>
    </row>
    <row r="738">
      <c r="F738" s="4" t="str">
        <f>IFERROR(__xludf.DUMMYFUNCTION("IFERROR(
  FILTER(#REF!, TRIM('CBK Students'!B:B) = TRIM(A738)),
  """"
)"),"")</f>
        <v/>
      </c>
      <c r="G738" s="4">
        <f t="shared" si="1"/>
        <v>0</v>
      </c>
    </row>
    <row r="739">
      <c r="F739" s="4" t="str">
        <f>IFERROR(__xludf.DUMMYFUNCTION("IFERROR(
  FILTER(#REF!, TRIM('CBK Students'!B:B) = TRIM(A739)),
  """"
)"),"")</f>
        <v/>
      </c>
      <c r="G739" s="4">
        <f t="shared" si="1"/>
        <v>0</v>
      </c>
    </row>
    <row r="740">
      <c r="F740" s="4" t="str">
        <f>IFERROR(__xludf.DUMMYFUNCTION("IFERROR(
  FILTER(#REF!, TRIM('CBK Students'!B:B) = TRIM(A740)),
  """"
)"),"")</f>
        <v/>
      </c>
      <c r="G740" s="4">
        <f t="shared" si="1"/>
        <v>0</v>
      </c>
    </row>
    <row r="741">
      <c r="F741" s="4" t="str">
        <f>IFERROR(__xludf.DUMMYFUNCTION("IFERROR(
  FILTER(#REF!, TRIM('CBK Students'!B:B) = TRIM(A741)),
  """"
)"),"")</f>
        <v/>
      </c>
      <c r="G741" s="4">
        <f t="shared" si="1"/>
        <v>0</v>
      </c>
    </row>
    <row r="742">
      <c r="F742" s="4" t="str">
        <f>IFERROR(__xludf.DUMMYFUNCTION("IFERROR(
  FILTER(#REF!, TRIM('CBK Students'!B:B) = TRIM(A742)),
  """"
)"),"")</f>
        <v/>
      </c>
      <c r="G742" s="4">
        <f t="shared" si="1"/>
        <v>0</v>
      </c>
    </row>
    <row r="743">
      <c r="F743" s="4" t="str">
        <f>IFERROR(__xludf.DUMMYFUNCTION("IFERROR(
  FILTER(#REF!, TRIM('CBK Students'!B:B) = TRIM(A743)),
  """"
)"),"")</f>
        <v/>
      </c>
      <c r="G743" s="4">
        <f t="shared" si="1"/>
        <v>0</v>
      </c>
    </row>
    <row r="744">
      <c r="F744" s="4" t="str">
        <f>IFERROR(__xludf.DUMMYFUNCTION("IFERROR(
  FILTER(#REF!, TRIM('CBK Students'!B:B) = TRIM(A744)),
  """"
)"),"")</f>
        <v/>
      </c>
      <c r="G744" s="4">
        <f t="shared" si="1"/>
        <v>0</v>
      </c>
    </row>
    <row r="745">
      <c r="F745" s="4" t="str">
        <f>IFERROR(__xludf.DUMMYFUNCTION("IFERROR(
  FILTER(#REF!, TRIM('CBK Students'!B:B) = TRIM(A745)),
  """"
)"),"")</f>
        <v/>
      </c>
      <c r="G745" s="4">
        <f t="shared" si="1"/>
        <v>0</v>
      </c>
    </row>
    <row r="746">
      <c r="F746" s="4" t="str">
        <f>IFERROR(__xludf.DUMMYFUNCTION("IFERROR(
  FILTER(#REF!, TRIM('CBK Students'!B:B) = TRIM(A746)),
  """"
)"),"")</f>
        <v/>
      </c>
      <c r="G746" s="4">
        <f t="shared" si="1"/>
        <v>0</v>
      </c>
    </row>
    <row r="747">
      <c r="F747" s="4" t="str">
        <f>IFERROR(__xludf.DUMMYFUNCTION("IFERROR(
  FILTER(#REF!, TRIM('CBK Students'!B:B) = TRIM(A747)),
  """"
)"),"")</f>
        <v/>
      </c>
      <c r="G747" s="4">
        <f t="shared" si="1"/>
        <v>0</v>
      </c>
    </row>
    <row r="748">
      <c r="F748" s="4" t="str">
        <f>IFERROR(__xludf.DUMMYFUNCTION("IFERROR(
  FILTER(#REF!, TRIM('CBK Students'!B:B) = TRIM(A748)),
  """"
)"),"")</f>
        <v/>
      </c>
      <c r="G748" s="4">
        <f t="shared" si="1"/>
        <v>0</v>
      </c>
    </row>
    <row r="749">
      <c r="F749" s="4" t="str">
        <f>IFERROR(__xludf.DUMMYFUNCTION("IFERROR(
  FILTER(#REF!, TRIM('CBK Students'!B:B) = TRIM(A749)),
  """"
)"),"")</f>
        <v/>
      </c>
      <c r="G749" s="4">
        <f t="shared" si="1"/>
        <v>0</v>
      </c>
    </row>
    <row r="750">
      <c r="F750" s="4" t="str">
        <f>IFERROR(__xludf.DUMMYFUNCTION("IFERROR(
  FILTER(#REF!, TRIM('CBK Students'!B:B) = TRIM(A750)),
  """"
)"),"")</f>
        <v/>
      </c>
      <c r="G750" s="4">
        <f t="shared" si="1"/>
        <v>0</v>
      </c>
    </row>
    <row r="751">
      <c r="F751" s="4" t="str">
        <f>IFERROR(__xludf.DUMMYFUNCTION("IFERROR(
  FILTER(#REF!, TRIM('CBK Students'!B:B) = TRIM(A751)),
  """"
)"),"")</f>
        <v/>
      </c>
      <c r="G751" s="4">
        <f t="shared" si="1"/>
        <v>0</v>
      </c>
    </row>
    <row r="752">
      <c r="F752" s="4" t="str">
        <f>IFERROR(__xludf.DUMMYFUNCTION("IFERROR(
  FILTER(#REF!, TRIM('CBK Students'!B:B) = TRIM(A752)),
  """"
)"),"")</f>
        <v/>
      </c>
      <c r="G752" s="4">
        <f t="shared" si="1"/>
        <v>0</v>
      </c>
    </row>
    <row r="753">
      <c r="F753" s="4" t="str">
        <f>IFERROR(__xludf.DUMMYFUNCTION("IFERROR(
  FILTER(#REF!, TRIM('CBK Students'!B:B) = TRIM(A753)),
  """"
)"),"")</f>
        <v/>
      </c>
      <c r="G753" s="4">
        <f t="shared" si="1"/>
        <v>0</v>
      </c>
    </row>
    <row r="754">
      <c r="F754" s="4" t="str">
        <f>IFERROR(__xludf.DUMMYFUNCTION("IFERROR(
  FILTER(#REF!, TRIM('CBK Students'!B:B) = TRIM(A754)),
  """"
)"),"")</f>
        <v/>
      </c>
      <c r="G754" s="4">
        <f t="shared" si="1"/>
        <v>0</v>
      </c>
    </row>
    <row r="755">
      <c r="F755" s="4" t="str">
        <f>IFERROR(__xludf.DUMMYFUNCTION("IFERROR(
  FILTER(#REF!, TRIM('CBK Students'!B:B) = TRIM(A755)),
  """"
)"),"")</f>
        <v/>
      </c>
      <c r="G755" s="4">
        <f t="shared" si="1"/>
        <v>0</v>
      </c>
    </row>
    <row r="756">
      <c r="F756" s="4" t="str">
        <f>IFERROR(__xludf.DUMMYFUNCTION("IFERROR(
  FILTER(#REF!, TRIM('CBK Students'!B:B) = TRIM(A756)),
  """"
)"),"")</f>
        <v/>
      </c>
      <c r="G756" s="4">
        <f t="shared" si="1"/>
        <v>0</v>
      </c>
    </row>
    <row r="757">
      <c r="F757" s="4" t="str">
        <f>IFERROR(__xludf.DUMMYFUNCTION("IFERROR(
  FILTER(#REF!, TRIM('CBK Students'!B:B) = TRIM(A757)),
  """"
)"),"")</f>
        <v/>
      </c>
      <c r="G757" s="4">
        <f t="shared" si="1"/>
        <v>0</v>
      </c>
    </row>
    <row r="758">
      <c r="F758" s="4" t="str">
        <f>IFERROR(__xludf.DUMMYFUNCTION("IFERROR(
  FILTER(#REF!, TRIM('CBK Students'!B:B) = TRIM(A758)),
  """"
)"),"")</f>
        <v/>
      </c>
      <c r="G758" s="4">
        <f t="shared" si="1"/>
        <v>0</v>
      </c>
    </row>
    <row r="759">
      <c r="F759" s="4" t="str">
        <f>IFERROR(__xludf.DUMMYFUNCTION("IFERROR(
  FILTER(#REF!, TRIM('CBK Students'!B:B) = TRIM(A759)),
  """"
)"),"")</f>
        <v/>
      </c>
      <c r="G759" s="4">
        <f t="shared" si="1"/>
        <v>0</v>
      </c>
    </row>
    <row r="760">
      <c r="F760" s="4" t="str">
        <f>IFERROR(__xludf.DUMMYFUNCTION("IFERROR(
  FILTER(#REF!, TRIM('CBK Students'!B:B) = TRIM(A760)),
  """"
)"),"")</f>
        <v/>
      </c>
      <c r="G760" s="4">
        <f t="shared" si="1"/>
        <v>0</v>
      </c>
    </row>
    <row r="761">
      <c r="F761" s="4" t="str">
        <f>IFERROR(__xludf.DUMMYFUNCTION("IFERROR(
  FILTER(#REF!, TRIM('CBK Students'!B:B) = TRIM(A761)),
  """"
)"),"")</f>
        <v/>
      </c>
      <c r="G761" s="4">
        <f t="shared" si="1"/>
        <v>0</v>
      </c>
    </row>
    <row r="762">
      <c r="F762" s="4" t="str">
        <f>IFERROR(__xludf.DUMMYFUNCTION("IFERROR(
  FILTER(#REF!, TRIM('CBK Students'!B:B) = TRIM(A762)),
  """"
)"),"")</f>
        <v/>
      </c>
      <c r="G762" s="4">
        <f t="shared" si="1"/>
        <v>0</v>
      </c>
    </row>
    <row r="763">
      <c r="F763" s="4" t="str">
        <f>IFERROR(__xludf.DUMMYFUNCTION("IFERROR(
  FILTER(#REF!, TRIM('CBK Students'!B:B) = TRIM(A763)),
  """"
)"),"")</f>
        <v/>
      </c>
      <c r="G763" s="4">
        <f t="shared" si="1"/>
        <v>0</v>
      </c>
    </row>
    <row r="764">
      <c r="F764" s="4" t="str">
        <f>IFERROR(__xludf.DUMMYFUNCTION("IFERROR(
  FILTER(#REF!, TRIM('CBK Students'!B:B) = TRIM(A764)),
  """"
)"),"")</f>
        <v/>
      </c>
      <c r="G764" s="4">
        <f t="shared" si="1"/>
        <v>0</v>
      </c>
    </row>
    <row r="765">
      <c r="F765" s="4" t="str">
        <f>IFERROR(__xludf.DUMMYFUNCTION("IFERROR(
  FILTER(#REF!, TRIM('CBK Students'!B:B) = TRIM(A765)),
  """"
)"),"")</f>
        <v/>
      </c>
      <c r="G765" s="4">
        <f t="shared" si="1"/>
        <v>0</v>
      </c>
    </row>
    <row r="766">
      <c r="F766" s="4" t="str">
        <f>IFERROR(__xludf.DUMMYFUNCTION("IFERROR(
  FILTER(#REF!, TRIM('CBK Students'!B:B) = TRIM(A766)),
  """"
)"),"")</f>
        <v/>
      </c>
      <c r="G766" s="4">
        <f t="shared" si="1"/>
        <v>0</v>
      </c>
    </row>
    <row r="767">
      <c r="F767" s="4" t="str">
        <f>IFERROR(__xludf.DUMMYFUNCTION("IFERROR(
  FILTER(#REF!, TRIM('CBK Students'!B:B) = TRIM(A767)),
  """"
)"),"")</f>
        <v/>
      </c>
      <c r="G767" s="4">
        <f t="shared" si="1"/>
        <v>0</v>
      </c>
    </row>
    <row r="768">
      <c r="F768" s="4" t="str">
        <f>IFERROR(__xludf.DUMMYFUNCTION("IFERROR(
  FILTER(#REF!, TRIM('CBK Students'!B:B) = TRIM(A768)),
  """"
)"),"")</f>
        <v/>
      </c>
      <c r="G768" s="4">
        <f t="shared" si="1"/>
        <v>0</v>
      </c>
    </row>
    <row r="769">
      <c r="F769" s="4" t="str">
        <f>IFERROR(__xludf.DUMMYFUNCTION("IFERROR(
  FILTER(#REF!, TRIM('CBK Students'!B:B) = TRIM(A769)),
  """"
)"),"")</f>
        <v/>
      </c>
      <c r="G769" s="4">
        <f t="shared" si="1"/>
        <v>0</v>
      </c>
    </row>
    <row r="770">
      <c r="F770" s="4" t="str">
        <f>IFERROR(__xludf.DUMMYFUNCTION("IFERROR(
  FILTER(#REF!, TRIM('CBK Students'!B:B) = TRIM(A770)),
  """"
)"),"")</f>
        <v/>
      </c>
      <c r="G770" s="4">
        <f t="shared" si="1"/>
        <v>0</v>
      </c>
    </row>
    <row r="771">
      <c r="F771" s="4" t="str">
        <f>IFERROR(__xludf.DUMMYFUNCTION("IFERROR(
  FILTER(#REF!, TRIM('CBK Students'!B:B) = TRIM(A771)),
  """"
)"),"")</f>
        <v/>
      </c>
      <c r="G771" s="4">
        <f t="shared" si="1"/>
        <v>0</v>
      </c>
    </row>
    <row r="772">
      <c r="F772" s="4" t="str">
        <f>IFERROR(__xludf.DUMMYFUNCTION("IFERROR(
  FILTER(#REF!, TRIM('CBK Students'!B:B) = TRIM(A772)),
  """"
)"),"")</f>
        <v/>
      </c>
      <c r="G772" s="4">
        <f t="shared" si="1"/>
        <v>0</v>
      </c>
    </row>
    <row r="773">
      <c r="F773" s="4" t="str">
        <f>IFERROR(__xludf.DUMMYFUNCTION("IFERROR(
  FILTER(#REF!, TRIM('CBK Students'!B:B) = TRIM(A773)),
  """"
)"),"")</f>
        <v/>
      </c>
      <c r="G773" s="4">
        <f t="shared" si="1"/>
        <v>0</v>
      </c>
    </row>
    <row r="774">
      <c r="F774" s="4" t="str">
        <f>IFERROR(__xludf.DUMMYFUNCTION("IFERROR(
  FILTER(#REF!, TRIM('CBK Students'!B:B) = TRIM(A774)),
  """"
)"),"")</f>
        <v/>
      </c>
      <c r="G774" s="4">
        <f t="shared" si="1"/>
        <v>0</v>
      </c>
    </row>
    <row r="775">
      <c r="F775" s="4" t="str">
        <f>IFERROR(__xludf.DUMMYFUNCTION("IFERROR(
  FILTER(#REF!, TRIM('CBK Students'!B:B) = TRIM(A775)),
  """"
)"),"")</f>
        <v/>
      </c>
      <c r="G775" s="4">
        <f t="shared" si="1"/>
        <v>0</v>
      </c>
    </row>
    <row r="776">
      <c r="F776" s="4" t="str">
        <f>IFERROR(__xludf.DUMMYFUNCTION("IFERROR(
  FILTER(#REF!, TRIM('CBK Students'!B:B) = TRIM(A776)),
  """"
)"),"")</f>
        <v/>
      </c>
      <c r="G776" s="4">
        <f t="shared" si="1"/>
        <v>0</v>
      </c>
    </row>
    <row r="777">
      <c r="F777" s="4" t="str">
        <f>IFERROR(__xludf.DUMMYFUNCTION("IFERROR(
  FILTER(#REF!, TRIM('CBK Students'!B:B) = TRIM(A777)),
  """"
)"),"")</f>
        <v/>
      </c>
      <c r="G777" s="4">
        <f t="shared" si="1"/>
        <v>0</v>
      </c>
    </row>
    <row r="778">
      <c r="F778" s="4" t="str">
        <f>IFERROR(__xludf.DUMMYFUNCTION("IFERROR(
  FILTER(#REF!, TRIM('CBK Students'!B:B) = TRIM(A778)),
  """"
)"),"")</f>
        <v/>
      </c>
      <c r="G778" s="4">
        <f t="shared" si="1"/>
        <v>0</v>
      </c>
    </row>
    <row r="779">
      <c r="F779" s="4" t="str">
        <f>IFERROR(__xludf.DUMMYFUNCTION("IFERROR(
  FILTER(#REF!, TRIM('CBK Students'!B:B) = TRIM(A779)),
  """"
)"),"")</f>
        <v/>
      </c>
      <c r="G779" s="4">
        <f t="shared" si="1"/>
        <v>0</v>
      </c>
    </row>
    <row r="780">
      <c r="F780" s="4" t="str">
        <f>IFERROR(__xludf.DUMMYFUNCTION("IFERROR(
  FILTER(#REF!, TRIM('CBK Students'!B:B) = TRIM(A780)),
  """"
)"),"")</f>
        <v/>
      </c>
      <c r="G780" s="4">
        <f t="shared" si="1"/>
        <v>0</v>
      </c>
    </row>
    <row r="781">
      <c r="F781" s="4" t="str">
        <f>IFERROR(__xludf.DUMMYFUNCTION("IFERROR(
  FILTER(#REF!, TRIM('CBK Students'!B:B) = TRIM(A781)),
  """"
)"),"")</f>
        <v/>
      </c>
      <c r="G781" s="4">
        <f t="shared" si="1"/>
        <v>0</v>
      </c>
    </row>
    <row r="782">
      <c r="F782" s="4" t="str">
        <f>IFERROR(__xludf.DUMMYFUNCTION("IFERROR(
  FILTER(#REF!, TRIM('CBK Students'!B:B) = TRIM(A782)),
  """"
)"),"")</f>
        <v/>
      </c>
      <c r="G782" s="4">
        <f t="shared" si="1"/>
        <v>0</v>
      </c>
    </row>
    <row r="783">
      <c r="F783" s="4" t="str">
        <f>IFERROR(__xludf.DUMMYFUNCTION("IFERROR(
  FILTER(#REF!, TRIM('CBK Students'!B:B) = TRIM(A783)),
  """"
)"),"")</f>
        <v/>
      </c>
      <c r="G783" s="4">
        <f t="shared" si="1"/>
        <v>0</v>
      </c>
    </row>
    <row r="784">
      <c r="F784" s="4" t="str">
        <f>IFERROR(__xludf.DUMMYFUNCTION("IFERROR(
  FILTER(#REF!, TRIM('CBK Students'!B:B) = TRIM(A784)),
  """"
)"),"")</f>
        <v/>
      </c>
      <c r="G784" s="4">
        <f t="shared" si="1"/>
        <v>0</v>
      </c>
    </row>
    <row r="785">
      <c r="F785" s="4" t="str">
        <f>IFERROR(__xludf.DUMMYFUNCTION("IFERROR(
  FILTER(#REF!, TRIM('CBK Students'!B:B) = TRIM(A785)),
  """"
)"),"")</f>
        <v/>
      </c>
      <c r="G785" s="4">
        <f t="shared" si="1"/>
        <v>0</v>
      </c>
    </row>
    <row r="786">
      <c r="F786" s="4" t="str">
        <f>IFERROR(__xludf.DUMMYFUNCTION("IFERROR(
  FILTER(#REF!, TRIM('CBK Students'!B:B) = TRIM(A786)),
  """"
)"),"")</f>
        <v/>
      </c>
      <c r="G786" s="4">
        <f t="shared" si="1"/>
        <v>0</v>
      </c>
    </row>
    <row r="787">
      <c r="F787" s="4" t="str">
        <f>IFERROR(__xludf.DUMMYFUNCTION("IFERROR(
  FILTER(#REF!, TRIM('CBK Students'!B:B) = TRIM(A787)),
  """"
)"),"")</f>
        <v/>
      </c>
      <c r="G787" s="4">
        <f t="shared" si="1"/>
        <v>0</v>
      </c>
    </row>
    <row r="788">
      <c r="F788" s="4" t="str">
        <f>IFERROR(__xludf.DUMMYFUNCTION("IFERROR(
  FILTER(#REF!, TRIM('CBK Students'!B:B) = TRIM(A788)),
  """"
)"),"")</f>
        <v/>
      </c>
      <c r="G788" s="4">
        <f t="shared" si="1"/>
        <v>0</v>
      </c>
    </row>
    <row r="789">
      <c r="F789" s="4" t="str">
        <f>IFERROR(__xludf.DUMMYFUNCTION("IFERROR(
  FILTER(#REF!, TRIM('CBK Students'!B:B) = TRIM(A789)),
  """"
)"),"")</f>
        <v/>
      </c>
      <c r="G789" s="4">
        <f t="shared" si="1"/>
        <v>0</v>
      </c>
    </row>
    <row r="790">
      <c r="F790" s="4" t="str">
        <f>IFERROR(__xludf.DUMMYFUNCTION("IFERROR(
  FILTER(#REF!, TRIM('CBK Students'!B:B) = TRIM(A790)),
  """"
)"),"")</f>
        <v/>
      </c>
      <c r="G790" s="4">
        <f t="shared" si="1"/>
        <v>0</v>
      </c>
    </row>
    <row r="791">
      <c r="F791" s="4" t="str">
        <f>IFERROR(__xludf.DUMMYFUNCTION("IFERROR(
  FILTER(#REF!, TRIM('CBK Students'!B:B) = TRIM(A791)),
  """"
)"),"")</f>
        <v/>
      </c>
      <c r="G791" s="4">
        <f t="shared" si="1"/>
        <v>0</v>
      </c>
    </row>
    <row r="792">
      <c r="F792" s="4" t="str">
        <f>IFERROR(__xludf.DUMMYFUNCTION("IFERROR(
  FILTER(#REF!, TRIM('CBK Students'!B:B) = TRIM(A792)),
  """"
)"),"")</f>
        <v/>
      </c>
      <c r="G792" s="4">
        <f t="shared" si="1"/>
        <v>0</v>
      </c>
    </row>
    <row r="793">
      <c r="F793" s="4" t="str">
        <f>IFERROR(__xludf.DUMMYFUNCTION("IFERROR(
  FILTER(#REF!, TRIM('CBK Students'!B:B) = TRIM(A793)),
  """"
)"),"")</f>
        <v/>
      </c>
      <c r="G793" s="4">
        <f t="shared" si="1"/>
        <v>0</v>
      </c>
    </row>
    <row r="794">
      <c r="F794" s="4" t="str">
        <f>IFERROR(__xludf.DUMMYFUNCTION("IFERROR(
  FILTER(#REF!, TRIM('CBK Students'!B:B) = TRIM(A794)),
  """"
)"),"")</f>
        <v/>
      </c>
      <c r="G794" s="4">
        <f t="shared" si="1"/>
        <v>0</v>
      </c>
    </row>
    <row r="795">
      <c r="F795" s="4" t="str">
        <f>IFERROR(__xludf.DUMMYFUNCTION("IFERROR(
  FILTER(#REF!, TRIM('CBK Students'!B:B) = TRIM(A795)),
  """"
)"),"")</f>
        <v/>
      </c>
      <c r="G795" s="4">
        <f t="shared" si="1"/>
        <v>0</v>
      </c>
    </row>
    <row r="796">
      <c r="F796" s="4" t="str">
        <f>IFERROR(__xludf.DUMMYFUNCTION("IFERROR(
  FILTER(#REF!, TRIM('CBK Students'!B:B) = TRIM(A796)),
  """"
)"),"")</f>
        <v/>
      </c>
      <c r="G796" s="4">
        <f t="shared" si="1"/>
        <v>0</v>
      </c>
    </row>
    <row r="797">
      <c r="F797" s="4" t="str">
        <f>IFERROR(__xludf.DUMMYFUNCTION("IFERROR(
  FILTER(#REF!, TRIM('CBK Students'!B:B) = TRIM(A797)),
  """"
)"),"")</f>
        <v/>
      </c>
      <c r="G797" s="4">
        <f t="shared" si="1"/>
        <v>0</v>
      </c>
    </row>
    <row r="798">
      <c r="F798" s="4" t="str">
        <f>IFERROR(__xludf.DUMMYFUNCTION("IFERROR(
  FILTER(#REF!, TRIM('CBK Students'!B:B) = TRIM(A798)),
  """"
)"),"")</f>
        <v/>
      </c>
      <c r="G798" s="4">
        <f t="shared" si="1"/>
        <v>0</v>
      </c>
    </row>
    <row r="799">
      <c r="F799" s="4" t="str">
        <f>IFERROR(__xludf.DUMMYFUNCTION("IFERROR(
  FILTER(#REF!, TRIM('CBK Students'!B:B) = TRIM(A799)),
  """"
)"),"")</f>
        <v/>
      </c>
      <c r="G799" s="4">
        <f t="shared" si="1"/>
        <v>0</v>
      </c>
    </row>
    <row r="800">
      <c r="F800" s="4" t="str">
        <f>IFERROR(__xludf.DUMMYFUNCTION("IFERROR(
  FILTER(#REF!, TRIM('CBK Students'!B:B) = TRIM(A800)),
  """"
)"),"")</f>
        <v/>
      </c>
      <c r="G800" s="4">
        <f t="shared" si="1"/>
        <v>0</v>
      </c>
    </row>
    <row r="801">
      <c r="F801" s="4" t="str">
        <f>IFERROR(__xludf.DUMMYFUNCTION("IFERROR(
  FILTER(#REF!, TRIM('CBK Students'!B:B) = TRIM(A801)),
  """"
)"),"")</f>
        <v/>
      </c>
      <c r="G801" s="4">
        <f t="shared" si="1"/>
        <v>0</v>
      </c>
    </row>
    <row r="802">
      <c r="F802" s="4" t="str">
        <f>IFERROR(__xludf.DUMMYFUNCTION("IFERROR(
  FILTER(#REF!, TRIM('CBK Students'!B:B) = TRIM(A802)),
  """"
)"),"")</f>
        <v/>
      </c>
      <c r="G802" s="4">
        <f t="shared" si="1"/>
        <v>0</v>
      </c>
    </row>
    <row r="803">
      <c r="F803" s="4" t="str">
        <f>IFERROR(__xludf.DUMMYFUNCTION("IFERROR(
  FILTER(#REF!, TRIM('CBK Students'!B:B) = TRIM(A803)),
  """"
)"),"")</f>
        <v/>
      </c>
      <c r="G803" s="4">
        <f t="shared" si="1"/>
        <v>0</v>
      </c>
    </row>
    <row r="804">
      <c r="F804" s="4" t="str">
        <f>IFERROR(__xludf.DUMMYFUNCTION("IFERROR(
  FILTER(#REF!, TRIM('CBK Students'!B:B) = TRIM(A804)),
  """"
)"),"")</f>
        <v/>
      </c>
      <c r="G804" s="4">
        <f t="shared" si="1"/>
        <v>0</v>
      </c>
    </row>
    <row r="805">
      <c r="F805" s="4" t="str">
        <f>IFERROR(__xludf.DUMMYFUNCTION("IFERROR(
  FILTER(#REF!, TRIM('CBK Students'!B:B) = TRIM(A805)),
  """"
)"),"")</f>
        <v/>
      </c>
      <c r="G805" s="4">
        <f t="shared" si="1"/>
        <v>0</v>
      </c>
    </row>
    <row r="806">
      <c r="F806" s="4" t="str">
        <f>IFERROR(__xludf.DUMMYFUNCTION("IFERROR(
  FILTER(#REF!, TRIM('CBK Students'!B:B) = TRIM(A806)),
  """"
)"),"")</f>
        <v/>
      </c>
      <c r="G806" s="4">
        <f t="shared" si="1"/>
        <v>0</v>
      </c>
    </row>
    <row r="807">
      <c r="F807" s="4" t="str">
        <f>IFERROR(__xludf.DUMMYFUNCTION("IFERROR(
  FILTER(#REF!, TRIM('CBK Students'!B:B) = TRIM(A807)),
  """"
)"),"")</f>
        <v/>
      </c>
      <c r="G807" s="4">
        <f t="shared" si="1"/>
        <v>0</v>
      </c>
    </row>
    <row r="808">
      <c r="F808" s="4" t="str">
        <f>IFERROR(__xludf.DUMMYFUNCTION("IFERROR(
  FILTER(#REF!, TRIM('CBK Students'!B:B) = TRIM(A808)),
  """"
)"),"")</f>
        <v/>
      </c>
      <c r="G808" s="4">
        <f t="shared" si="1"/>
        <v>0</v>
      </c>
    </row>
    <row r="809">
      <c r="F809" s="4" t="str">
        <f>IFERROR(__xludf.DUMMYFUNCTION("IFERROR(
  FILTER(#REF!, TRIM('CBK Students'!B:B) = TRIM(A809)),
  """"
)"),"")</f>
        <v/>
      </c>
      <c r="G809" s="4">
        <f t="shared" si="1"/>
        <v>0</v>
      </c>
    </row>
    <row r="810">
      <c r="F810" s="4" t="str">
        <f>IFERROR(__xludf.DUMMYFUNCTION("IFERROR(
  FILTER(#REF!, TRIM('CBK Students'!B:B) = TRIM(A810)),
  """"
)"),"")</f>
        <v/>
      </c>
      <c r="G810" s="4">
        <f t="shared" si="1"/>
        <v>0</v>
      </c>
    </row>
    <row r="811">
      <c r="F811" s="4" t="str">
        <f>IFERROR(__xludf.DUMMYFUNCTION("IFERROR(
  FILTER(#REF!, TRIM('CBK Students'!B:B) = TRIM(A811)),
  """"
)"),"")</f>
        <v/>
      </c>
      <c r="G811" s="4">
        <f t="shared" si="1"/>
        <v>0</v>
      </c>
    </row>
    <row r="812">
      <c r="F812" s="4" t="str">
        <f>IFERROR(__xludf.DUMMYFUNCTION("IFERROR(
  FILTER(#REF!, TRIM('CBK Students'!B:B) = TRIM(A812)),
  """"
)"),"")</f>
        <v/>
      </c>
      <c r="G812" s="4">
        <f t="shared" si="1"/>
        <v>0</v>
      </c>
    </row>
    <row r="813">
      <c r="F813" s="4" t="str">
        <f>IFERROR(__xludf.DUMMYFUNCTION("IFERROR(
  FILTER(#REF!, TRIM('CBK Students'!B:B) = TRIM(A813)),
  """"
)"),"")</f>
        <v/>
      </c>
      <c r="G813" s="4">
        <f t="shared" si="1"/>
        <v>0</v>
      </c>
    </row>
    <row r="814">
      <c r="F814" s="4" t="str">
        <f>IFERROR(__xludf.DUMMYFUNCTION("IFERROR(
  FILTER(#REF!, TRIM('CBK Students'!B:B) = TRIM(A814)),
  """"
)"),"")</f>
        <v/>
      </c>
      <c r="G814" s="4">
        <f t="shared" si="1"/>
        <v>0</v>
      </c>
    </row>
    <row r="815">
      <c r="F815" s="4" t="str">
        <f>IFERROR(__xludf.DUMMYFUNCTION("IFERROR(
  FILTER(#REF!, TRIM('CBK Students'!B:B) = TRIM(A815)),
  """"
)"),"")</f>
        <v/>
      </c>
      <c r="G815" s="4">
        <f t="shared" si="1"/>
        <v>0</v>
      </c>
    </row>
    <row r="816">
      <c r="F816" s="4" t="str">
        <f>IFERROR(__xludf.DUMMYFUNCTION("IFERROR(
  FILTER(#REF!, TRIM('CBK Students'!B:B) = TRIM(A816)),
  """"
)"),"")</f>
        <v/>
      </c>
      <c r="G816" s="4">
        <f t="shared" si="1"/>
        <v>0</v>
      </c>
    </row>
    <row r="817">
      <c r="F817" s="4" t="str">
        <f>IFERROR(__xludf.DUMMYFUNCTION("IFERROR(
  FILTER(#REF!, TRIM('CBK Students'!B:B) = TRIM(A817)),
  """"
)"),"")</f>
        <v/>
      </c>
      <c r="G817" s="4">
        <f t="shared" si="1"/>
        <v>0</v>
      </c>
    </row>
    <row r="818">
      <c r="F818" s="4" t="str">
        <f>IFERROR(__xludf.DUMMYFUNCTION("IFERROR(
  FILTER(#REF!, TRIM('CBK Students'!B:B) = TRIM(A818)),
  """"
)"),"")</f>
        <v/>
      </c>
      <c r="G818" s="4">
        <f t="shared" si="1"/>
        <v>0</v>
      </c>
    </row>
    <row r="819">
      <c r="F819" s="4" t="str">
        <f>IFERROR(__xludf.DUMMYFUNCTION("IFERROR(
  FILTER(#REF!, TRIM('CBK Students'!B:B) = TRIM(A819)),
  """"
)"),"")</f>
        <v/>
      </c>
      <c r="G819" s="4">
        <f t="shared" si="1"/>
        <v>0</v>
      </c>
    </row>
    <row r="820">
      <c r="F820" s="4" t="str">
        <f>IFERROR(__xludf.DUMMYFUNCTION("IFERROR(
  FILTER(#REF!, TRIM('CBK Students'!B:B) = TRIM(A820)),
  """"
)"),"")</f>
        <v/>
      </c>
      <c r="G820" s="4">
        <f t="shared" si="1"/>
        <v>0</v>
      </c>
    </row>
    <row r="821">
      <c r="F821" s="4" t="str">
        <f>IFERROR(__xludf.DUMMYFUNCTION("IFERROR(
  FILTER(#REF!, TRIM('CBK Students'!B:B) = TRIM(A821)),
  """"
)"),"")</f>
        <v/>
      </c>
      <c r="G821" s="4">
        <f t="shared" si="1"/>
        <v>0</v>
      </c>
    </row>
    <row r="822">
      <c r="F822" s="4" t="str">
        <f>IFERROR(__xludf.DUMMYFUNCTION("IFERROR(
  FILTER(#REF!, TRIM('CBK Students'!B:B) = TRIM(A822)),
  """"
)"),"")</f>
        <v/>
      </c>
      <c r="G822" s="4">
        <f t="shared" si="1"/>
        <v>0</v>
      </c>
    </row>
    <row r="823">
      <c r="F823" s="4" t="str">
        <f>IFERROR(__xludf.DUMMYFUNCTION("IFERROR(
  FILTER(#REF!, TRIM('CBK Students'!B:B) = TRIM(A823)),
  """"
)"),"")</f>
        <v/>
      </c>
      <c r="G823" s="4">
        <f t="shared" si="1"/>
        <v>0</v>
      </c>
    </row>
    <row r="824">
      <c r="F824" s="4" t="str">
        <f>IFERROR(__xludf.DUMMYFUNCTION("IFERROR(
  FILTER(#REF!, TRIM('CBK Students'!B:B) = TRIM(A824)),
  """"
)"),"")</f>
        <v/>
      </c>
      <c r="G824" s="4">
        <f t="shared" si="1"/>
        <v>0</v>
      </c>
    </row>
    <row r="825">
      <c r="F825" s="4" t="str">
        <f>IFERROR(__xludf.DUMMYFUNCTION("IFERROR(
  FILTER(#REF!, TRIM('CBK Students'!B:B) = TRIM(A825)),
  """"
)"),"")</f>
        <v/>
      </c>
      <c r="G825" s="4">
        <f t="shared" si="1"/>
        <v>0</v>
      </c>
    </row>
    <row r="826">
      <c r="F826" s="4" t="str">
        <f>IFERROR(__xludf.DUMMYFUNCTION("IFERROR(
  FILTER(#REF!, TRIM('CBK Students'!B:B) = TRIM(A826)),
  """"
)"),"")</f>
        <v/>
      </c>
      <c r="G826" s="4">
        <f t="shared" si="1"/>
        <v>0</v>
      </c>
    </row>
    <row r="827">
      <c r="F827" s="4" t="str">
        <f>IFERROR(__xludf.DUMMYFUNCTION("IFERROR(
  FILTER(#REF!, TRIM('CBK Students'!B:B) = TRIM(A827)),
  """"
)"),"")</f>
        <v/>
      </c>
      <c r="G827" s="4">
        <f t="shared" si="1"/>
        <v>0</v>
      </c>
    </row>
    <row r="828">
      <c r="F828" s="4" t="str">
        <f>IFERROR(__xludf.DUMMYFUNCTION("IFERROR(
  FILTER(#REF!, TRIM('CBK Students'!B:B) = TRIM(A828)),
  """"
)"),"")</f>
        <v/>
      </c>
      <c r="G828" s="4">
        <f t="shared" si="1"/>
        <v>0</v>
      </c>
    </row>
    <row r="829">
      <c r="F829" s="4" t="str">
        <f>IFERROR(__xludf.DUMMYFUNCTION("IFERROR(
  FILTER(#REF!, TRIM('CBK Students'!B:B) = TRIM(A829)),
  """"
)"),"")</f>
        <v/>
      </c>
      <c r="G829" s="4">
        <f t="shared" si="1"/>
        <v>0</v>
      </c>
    </row>
    <row r="830">
      <c r="F830" s="4" t="str">
        <f>IFERROR(__xludf.DUMMYFUNCTION("IFERROR(
  FILTER(#REF!, TRIM('CBK Students'!B:B) = TRIM(A830)),
  """"
)"),"")</f>
        <v/>
      </c>
      <c r="G830" s="4">
        <f t="shared" si="1"/>
        <v>0</v>
      </c>
    </row>
    <row r="831">
      <c r="F831" s="4" t="str">
        <f>IFERROR(__xludf.DUMMYFUNCTION("IFERROR(
  FILTER(#REF!, TRIM('CBK Students'!B:B) = TRIM(A831)),
  """"
)"),"")</f>
        <v/>
      </c>
      <c r="G831" s="4">
        <f t="shared" si="1"/>
        <v>0</v>
      </c>
    </row>
    <row r="832">
      <c r="F832" s="4" t="str">
        <f>IFERROR(__xludf.DUMMYFUNCTION("IFERROR(
  FILTER(#REF!, TRIM('CBK Students'!B:B) = TRIM(A832)),
  """"
)"),"")</f>
        <v/>
      </c>
      <c r="G832" s="4">
        <f t="shared" si="1"/>
        <v>0</v>
      </c>
    </row>
    <row r="833">
      <c r="F833" s="4" t="str">
        <f>IFERROR(__xludf.DUMMYFUNCTION("IFERROR(
  FILTER(#REF!, TRIM('CBK Students'!B:B) = TRIM(A833)),
  """"
)"),"")</f>
        <v/>
      </c>
      <c r="G833" s="4">
        <f t="shared" si="1"/>
        <v>0</v>
      </c>
    </row>
    <row r="834">
      <c r="F834" s="4" t="str">
        <f>IFERROR(__xludf.DUMMYFUNCTION("IFERROR(
  FILTER(#REF!, TRIM('CBK Students'!B:B) = TRIM(A834)),
  """"
)"),"")</f>
        <v/>
      </c>
      <c r="G834" s="4">
        <f t="shared" si="1"/>
        <v>0</v>
      </c>
    </row>
    <row r="835">
      <c r="F835" s="4" t="str">
        <f>IFERROR(__xludf.DUMMYFUNCTION("IFERROR(
  FILTER(#REF!, TRIM('CBK Students'!B:B) = TRIM(A835)),
  """"
)"),"")</f>
        <v/>
      </c>
      <c r="G835" s="4">
        <f t="shared" si="1"/>
        <v>0</v>
      </c>
    </row>
    <row r="836">
      <c r="F836" s="4" t="str">
        <f>IFERROR(__xludf.DUMMYFUNCTION("IFERROR(
  FILTER(#REF!, TRIM('CBK Students'!B:B) = TRIM(A836)),
  """"
)"),"")</f>
        <v/>
      </c>
      <c r="G836" s="4">
        <f t="shared" si="1"/>
        <v>0</v>
      </c>
    </row>
    <row r="837">
      <c r="F837" s="4" t="str">
        <f>IFERROR(__xludf.DUMMYFUNCTION("IFERROR(
  FILTER(#REF!, TRIM('CBK Students'!B:B) = TRIM(A837)),
  """"
)"),"")</f>
        <v/>
      </c>
      <c r="G837" s="4">
        <f t="shared" si="1"/>
        <v>0</v>
      </c>
    </row>
    <row r="838">
      <c r="F838" s="4" t="str">
        <f>IFERROR(__xludf.DUMMYFUNCTION("IFERROR(
  FILTER(#REF!, TRIM('CBK Students'!B:B) = TRIM(A838)),
  """"
)"),"")</f>
        <v/>
      </c>
      <c r="G838" s="4">
        <f t="shared" si="1"/>
        <v>0</v>
      </c>
    </row>
    <row r="839">
      <c r="F839" s="4" t="str">
        <f>IFERROR(__xludf.DUMMYFUNCTION("IFERROR(
  FILTER(#REF!, TRIM('CBK Students'!B:B) = TRIM(A839)),
  """"
)"),"")</f>
        <v/>
      </c>
      <c r="G839" s="4">
        <f t="shared" si="1"/>
        <v>0</v>
      </c>
    </row>
    <row r="840">
      <c r="F840" s="4" t="str">
        <f>IFERROR(__xludf.DUMMYFUNCTION("IFERROR(
  FILTER(#REF!, TRIM('CBK Students'!B:B) = TRIM(A840)),
  """"
)"),"")</f>
        <v/>
      </c>
      <c r="G840" s="4">
        <f t="shared" si="1"/>
        <v>0</v>
      </c>
    </row>
    <row r="841">
      <c r="F841" s="4" t="str">
        <f>IFERROR(__xludf.DUMMYFUNCTION("IFERROR(
  FILTER(#REF!, TRIM('CBK Students'!B:B) = TRIM(A841)),
  """"
)"),"")</f>
        <v/>
      </c>
      <c r="G841" s="4">
        <f t="shared" si="1"/>
        <v>0</v>
      </c>
    </row>
    <row r="842">
      <c r="F842" s="4" t="str">
        <f>IFERROR(__xludf.DUMMYFUNCTION("IFERROR(
  FILTER(#REF!, TRIM('CBK Students'!B:B) = TRIM(A842)),
  """"
)"),"")</f>
        <v/>
      </c>
      <c r="G842" s="4">
        <f t="shared" si="1"/>
        <v>0</v>
      </c>
    </row>
    <row r="843">
      <c r="F843" s="4" t="str">
        <f>IFERROR(__xludf.DUMMYFUNCTION("IFERROR(
  FILTER(#REF!, TRIM('CBK Students'!B:B) = TRIM(A843)),
  """"
)"),"")</f>
        <v/>
      </c>
      <c r="G843" s="4">
        <f t="shared" si="1"/>
        <v>0</v>
      </c>
    </row>
    <row r="844">
      <c r="F844" s="4" t="str">
        <f>IFERROR(__xludf.DUMMYFUNCTION("IFERROR(
  FILTER(#REF!, TRIM('CBK Students'!B:B) = TRIM(A844)),
  """"
)"),"")</f>
        <v/>
      </c>
      <c r="G844" s="4">
        <f t="shared" si="1"/>
        <v>0</v>
      </c>
    </row>
    <row r="845">
      <c r="F845" s="4" t="str">
        <f>IFERROR(__xludf.DUMMYFUNCTION("IFERROR(
  FILTER(#REF!, TRIM('CBK Students'!B:B) = TRIM(A845)),
  """"
)"),"")</f>
        <v/>
      </c>
      <c r="G845" s="4">
        <f t="shared" si="1"/>
        <v>0</v>
      </c>
    </row>
    <row r="846">
      <c r="F846" s="4" t="str">
        <f>IFERROR(__xludf.DUMMYFUNCTION("IFERROR(
  FILTER(#REF!, TRIM('CBK Students'!B:B) = TRIM(A846)),
  """"
)"),"")</f>
        <v/>
      </c>
      <c r="G846" s="4">
        <f t="shared" si="1"/>
        <v>0</v>
      </c>
    </row>
    <row r="847">
      <c r="F847" s="4" t="str">
        <f>IFERROR(__xludf.DUMMYFUNCTION("IFERROR(
  FILTER(#REF!, TRIM('CBK Students'!B:B) = TRIM(A847)),
  """"
)"),"")</f>
        <v/>
      </c>
      <c r="G847" s="4">
        <f t="shared" si="1"/>
        <v>0</v>
      </c>
    </row>
    <row r="848">
      <c r="F848" s="4" t="str">
        <f>IFERROR(__xludf.DUMMYFUNCTION("IFERROR(
  FILTER(#REF!, TRIM('CBK Students'!B:B) = TRIM(A848)),
  """"
)"),"")</f>
        <v/>
      </c>
      <c r="G848" s="4">
        <f t="shared" si="1"/>
        <v>0</v>
      </c>
    </row>
    <row r="849">
      <c r="F849" s="4" t="str">
        <f>IFERROR(__xludf.DUMMYFUNCTION("IFERROR(
  FILTER(#REF!, TRIM('CBK Students'!B:B) = TRIM(A849)),
  """"
)"),"")</f>
        <v/>
      </c>
      <c r="G849" s="4">
        <f t="shared" si="1"/>
        <v>0</v>
      </c>
    </row>
    <row r="850">
      <c r="F850" s="4" t="str">
        <f>IFERROR(__xludf.DUMMYFUNCTION("IFERROR(
  FILTER(#REF!, TRIM('CBK Students'!B:B) = TRIM(A850)),
  """"
)"),"")</f>
        <v/>
      </c>
      <c r="G850" s="4">
        <f t="shared" si="1"/>
        <v>0</v>
      </c>
    </row>
    <row r="851">
      <c r="F851" s="4" t="str">
        <f>IFERROR(__xludf.DUMMYFUNCTION("IFERROR(
  FILTER(#REF!, TRIM('CBK Students'!B:B) = TRIM(A851)),
  """"
)"),"")</f>
        <v/>
      </c>
      <c r="G851" s="4">
        <f t="shared" si="1"/>
        <v>0</v>
      </c>
    </row>
    <row r="852">
      <c r="F852" s="4" t="str">
        <f>IFERROR(__xludf.DUMMYFUNCTION("IFERROR(
  FILTER(#REF!, TRIM('CBK Students'!B:B) = TRIM(A852)),
  """"
)"),"")</f>
        <v/>
      </c>
      <c r="G852" s="4">
        <f t="shared" si="1"/>
        <v>0</v>
      </c>
    </row>
    <row r="853">
      <c r="F853" s="4" t="str">
        <f>IFERROR(__xludf.DUMMYFUNCTION("IFERROR(
  FILTER(#REF!, TRIM('CBK Students'!B:B) = TRIM(A853)),
  """"
)"),"")</f>
        <v/>
      </c>
      <c r="G853" s="4">
        <f t="shared" si="1"/>
        <v>0</v>
      </c>
    </row>
    <row r="854">
      <c r="F854" s="4" t="str">
        <f>IFERROR(__xludf.DUMMYFUNCTION("IFERROR(
  FILTER(#REF!, TRIM('CBK Students'!B:B) = TRIM(A854)),
  """"
)"),"")</f>
        <v/>
      </c>
      <c r="G854" s="4">
        <f t="shared" si="1"/>
        <v>0</v>
      </c>
    </row>
    <row r="855">
      <c r="F855" s="4" t="str">
        <f>IFERROR(__xludf.DUMMYFUNCTION("IFERROR(
  FILTER(#REF!, TRIM('CBK Students'!B:B) = TRIM(A855)),
  """"
)"),"")</f>
        <v/>
      </c>
      <c r="G855" s="4">
        <f t="shared" si="1"/>
        <v>0</v>
      </c>
    </row>
    <row r="856">
      <c r="F856" s="4" t="str">
        <f>IFERROR(__xludf.DUMMYFUNCTION("IFERROR(
  FILTER(#REF!, TRIM('CBK Students'!B:B) = TRIM(A856)),
  """"
)"),"")</f>
        <v/>
      </c>
      <c r="G856" s="4">
        <f t="shared" si="1"/>
        <v>0</v>
      </c>
    </row>
    <row r="857">
      <c r="F857" s="4" t="str">
        <f>IFERROR(__xludf.DUMMYFUNCTION("IFERROR(
  FILTER(#REF!, TRIM('CBK Students'!B:B) = TRIM(A857)),
  """"
)"),"")</f>
        <v/>
      </c>
      <c r="G857" s="4">
        <f t="shared" si="1"/>
        <v>0</v>
      </c>
    </row>
    <row r="858">
      <c r="F858" s="4" t="str">
        <f>IFERROR(__xludf.DUMMYFUNCTION("IFERROR(
  FILTER(#REF!, TRIM('CBK Students'!B:B) = TRIM(A858)),
  """"
)"),"")</f>
        <v/>
      </c>
      <c r="G858" s="4">
        <f t="shared" si="1"/>
        <v>0</v>
      </c>
    </row>
    <row r="859">
      <c r="F859" s="4" t="str">
        <f>IFERROR(__xludf.DUMMYFUNCTION("IFERROR(
  FILTER(#REF!, TRIM('CBK Students'!B:B) = TRIM(A859)),
  """"
)"),"")</f>
        <v/>
      </c>
      <c r="G859" s="4">
        <f t="shared" si="1"/>
        <v>0</v>
      </c>
    </row>
    <row r="860">
      <c r="F860" s="4" t="str">
        <f>IFERROR(__xludf.DUMMYFUNCTION("IFERROR(
  FILTER(#REF!, TRIM('CBK Students'!B:B) = TRIM(A860)),
  """"
)"),"")</f>
        <v/>
      </c>
      <c r="G860" s="4">
        <f t="shared" si="1"/>
        <v>0</v>
      </c>
    </row>
    <row r="861">
      <c r="F861" s="4" t="str">
        <f>IFERROR(__xludf.DUMMYFUNCTION("IFERROR(
  FILTER(#REF!, TRIM('CBK Students'!B:B) = TRIM(A861)),
  """"
)"),"")</f>
        <v/>
      </c>
      <c r="G861" s="4">
        <f t="shared" si="1"/>
        <v>0</v>
      </c>
    </row>
    <row r="862">
      <c r="F862" s="4" t="str">
        <f>IFERROR(__xludf.DUMMYFUNCTION("IFERROR(
  FILTER(#REF!, TRIM('CBK Students'!B:B) = TRIM(A862)),
  """"
)"),"")</f>
        <v/>
      </c>
      <c r="G862" s="4">
        <f t="shared" si="1"/>
        <v>0</v>
      </c>
    </row>
    <row r="863">
      <c r="F863" s="4" t="str">
        <f>IFERROR(__xludf.DUMMYFUNCTION("IFERROR(
  FILTER(#REF!, TRIM('CBK Students'!B:B) = TRIM(A863)),
  """"
)"),"")</f>
        <v/>
      </c>
      <c r="G863" s="4">
        <f t="shared" si="1"/>
        <v>0</v>
      </c>
    </row>
    <row r="864">
      <c r="F864" s="4" t="str">
        <f>IFERROR(__xludf.DUMMYFUNCTION("IFERROR(
  FILTER(#REF!, TRIM('CBK Students'!B:B) = TRIM(A864)),
  """"
)"),"")</f>
        <v/>
      </c>
      <c r="G864" s="4">
        <f t="shared" si="1"/>
        <v>0</v>
      </c>
    </row>
    <row r="865">
      <c r="F865" s="4" t="str">
        <f>IFERROR(__xludf.DUMMYFUNCTION("IFERROR(
  FILTER(#REF!, TRIM('CBK Students'!B:B) = TRIM(A865)),
  """"
)"),"")</f>
        <v/>
      </c>
      <c r="G865" s="4">
        <f t="shared" si="1"/>
        <v>0</v>
      </c>
    </row>
    <row r="866">
      <c r="F866" s="4" t="str">
        <f>IFERROR(__xludf.DUMMYFUNCTION("IFERROR(
  FILTER(#REF!, TRIM('CBK Students'!B:B) = TRIM(A866)),
  """"
)"),"")</f>
        <v/>
      </c>
      <c r="G866" s="4">
        <f t="shared" si="1"/>
        <v>0</v>
      </c>
    </row>
    <row r="867">
      <c r="F867" s="4" t="str">
        <f>IFERROR(__xludf.DUMMYFUNCTION("IFERROR(
  FILTER(#REF!, TRIM('CBK Students'!B:B) = TRIM(A867)),
  """"
)"),"")</f>
        <v/>
      </c>
      <c r="G867" s="4">
        <f t="shared" si="1"/>
        <v>0</v>
      </c>
    </row>
    <row r="868">
      <c r="F868" s="4" t="str">
        <f>IFERROR(__xludf.DUMMYFUNCTION("IFERROR(
  FILTER(#REF!, TRIM('CBK Students'!B:B) = TRIM(A868)),
  """"
)"),"")</f>
        <v/>
      </c>
      <c r="G868" s="4">
        <f t="shared" si="1"/>
        <v>0</v>
      </c>
    </row>
    <row r="869">
      <c r="F869" s="4" t="str">
        <f>IFERROR(__xludf.DUMMYFUNCTION("IFERROR(
  FILTER(#REF!, TRIM('CBK Students'!B:B) = TRIM(A869)),
  """"
)"),"")</f>
        <v/>
      </c>
      <c r="G869" s="4">
        <f t="shared" si="1"/>
        <v>0</v>
      </c>
    </row>
    <row r="870">
      <c r="F870" s="4" t="str">
        <f>IFERROR(__xludf.DUMMYFUNCTION("IFERROR(
  FILTER(#REF!, TRIM('CBK Students'!B:B) = TRIM(A870)),
  """"
)"),"")</f>
        <v/>
      </c>
      <c r="G870" s="4">
        <f t="shared" si="1"/>
        <v>0</v>
      </c>
    </row>
    <row r="871">
      <c r="F871" s="4" t="str">
        <f>IFERROR(__xludf.DUMMYFUNCTION("IFERROR(
  FILTER(#REF!, TRIM('CBK Students'!B:B) = TRIM(A871)),
  """"
)"),"")</f>
        <v/>
      </c>
      <c r="G871" s="4">
        <f t="shared" si="1"/>
        <v>0</v>
      </c>
    </row>
    <row r="872">
      <c r="F872" s="4" t="str">
        <f>IFERROR(__xludf.DUMMYFUNCTION("IFERROR(
  FILTER(#REF!, TRIM('CBK Students'!B:B) = TRIM(A872)),
  """"
)"),"")</f>
        <v/>
      </c>
      <c r="G872" s="4">
        <f t="shared" si="1"/>
        <v>0</v>
      </c>
    </row>
    <row r="873">
      <c r="F873" s="4" t="str">
        <f>IFERROR(__xludf.DUMMYFUNCTION("IFERROR(
  FILTER(#REF!, TRIM('CBK Students'!B:B) = TRIM(A873)),
  """"
)"),"")</f>
        <v/>
      </c>
      <c r="G873" s="4">
        <f t="shared" si="1"/>
        <v>0</v>
      </c>
    </row>
    <row r="874">
      <c r="F874" s="4" t="str">
        <f>IFERROR(__xludf.DUMMYFUNCTION("IFERROR(
  FILTER(#REF!, TRIM('CBK Students'!B:B) = TRIM(A874)),
  """"
)"),"")</f>
        <v/>
      </c>
      <c r="G874" s="4">
        <f t="shared" si="1"/>
        <v>0</v>
      </c>
    </row>
    <row r="875">
      <c r="F875" s="4" t="str">
        <f>IFERROR(__xludf.DUMMYFUNCTION("IFERROR(
  FILTER(#REF!, TRIM('CBK Students'!B:B) = TRIM(A875)),
  """"
)"),"")</f>
        <v/>
      </c>
      <c r="G875" s="4">
        <f t="shared" si="1"/>
        <v>0</v>
      </c>
    </row>
    <row r="876">
      <c r="F876" s="4" t="str">
        <f>IFERROR(__xludf.DUMMYFUNCTION("IFERROR(
  FILTER(#REF!, TRIM('CBK Students'!B:B) = TRIM(A876)),
  """"
)"),"")</f>
        <v/>
      </c>
      <c r="G876" s="4">
        <f t="shared" si="1"/>
        <v>0</v>
      </c>
    </row>
    <row r="877">
      <c r="F877" s="4" t="str">
        <f>IFERROR(__xludf.DUMMYFUNCTION("IFERROR(
  FILTER(#REF!, TRIM('CBK Students'!B:B) = TRIM(A877)),
  """"
)"),"")</f>
        <v/>
      </c>
      <c r="G877" s="4">
        <f t="shared" si="1"/>
        <v>0</v>
      </c>
    </row>
    <row r="878">
      <c r="F878" s="4" t="str">
        <f>IFERROR(__xludf.DUMMYFUNCTION("IFERROR(
  FILTER(#REF!, TRIM('CBK Students'!B:B) = TRIM(A878)),
  """"
)"),"")</f>
        <v/>
      </c>
      <c r="G878" s="4">
        <f t="shared" si="1"/>
        <v>0</v>
      </c>
    </row>
    <row r="879">
      <c r="F879" s="4" t="str">
        <f>IFERROR(__xludf.DUMMYFUNCTION("IFERROR(
  FILTER(#REF!, TRIM('CBK Students'!B:B) = TRIM(A879)),
  """"
)"),"")</f>
        <v/>
      </c>
      <c r="G879" s="4">
        <f t="shared" si="1"/>
        <v>0</v>
      </c>
    </row>
    <row r="880">
      <c r="F880" s="4" t="str">
        <f>IFERROR(__xludf.DUMMYFUNCTION("IFERROR(
  FILTER(#REF!, TRIM('CBK Students'!B:B) = TRIM(A880)),
  """"
)"),"")</f>
        <v/>
      </c>
      <c r="G880" s="4">
        <f t="shared" si="1"/>
        <v>0</v>
      </c>
    </row>
    <row r="881">
      <c r="F881" s="4" t="str">
        <f>IFERROR(__xludf.DUMMYFUNCTION("IFERROR(
  FILTER(#REF!, TRIM('CBK Students'!B:B) = TRIM(A881)),
  """"
)"),"")</f>
        <v/>
      </c>
      <c r="G881" s="4">
        <f t="shared" si="1"/>
        <v>0</v>
      </c>
    </row>
    <row r="882">
      <c r="F882" s="4" t="str">
        <f>IFERROR(__xludf.DUMMYFUNCTION("IFERROR(
  FILTER(#REF!, TRIM('CBK Students'!B:B) = TRIM(A882)),
  """"
)"),"")</f>
        <v/>
      </c>
      <c r="G882" s="4">
        <f t="shared" si="1"/>
        <v>0</v>
      </c>
    </row>
    <row r="883">
      <c r="F883" s="4" t="str">
        <f>IFERROR(__xludf.DUMMYFUNCTION("IFERROR(
  FILTER(#REF!, TRIM('CBK Students'!B:B) = TRIM(A883)),
  """"
)"),"")</f>
        <v/>
      </c>
      <c r="G883" s="4">
        <f t="shared" si="1"/>
        <v>0</v>
      </c>
    </row>
    <row r="884">
      <c r="F884" s="4" t="str">
        <f>IFERROR(__xludf.DUMMYFUNCTION("IFERROR(
  FILTER(#REF!, TRIM('CBK Students'!B:B) = TRIM(A884)),
  """"
)"),"")</f>
        <v/>
      </c>
      <c r="G884" s="4">
        <f t="shared" si="1"/>
        <v>0</v>
      </c>
    </row>
    <row r="885">
      <c r="F885" s="4" t="str">
        <f>IFERROR(__xludf.DUMMYFUNCTION("IFERROR(
  FILTER(#REF!, TRIM('CBK Students'!B:B) = TRIM(A885)),
  """"
)"),"")</f>
        <v/>
      </c>
      <c r="G885" s="4">
        <f t="shared" si="1"/>
        <v>0</v>
      </c>
    </row>
    <row r="886">
      <c r="F886" s="4" t="str">
        <f>IFERROR(__xludf.DUMMYFUNCTION("IFERROR(
  FILTER(#REF!, TRIM('CBK Students'!B:B) = TRIM(A886)),
  """"
)"),"")</f>
        <v/>
      </c>
      <c r="G886" s="4">
        <f t="shared" si="1"/>
        <v>0</v>
      </c>
    </row>
    <row r="887">
      <c r="F887" s="4" t="str">
        <f>IFERROR(__xludf.DUMMYFUNCTION("IFERROR(
  FILTER(#REF!, TRIM('CBK Students'!B:B) = TRIM(A887)),
  """"
)"),"")</f>
        <v/>
      </c>
      <c r="G887" s="4">
        <f t="shared" si="1"/>
        <v>0</v>
      </c>
    </row>
    <row r="888">
      <c r="F888" s="4" t="str">
        <f>IFERROR(__xludf.DUMMYFUNCTION("IFERROR(
  FILTER(#REF!, TRIM('CBK Students'!B:B) = TRIM(A888)),
  """"
)"),"")</f>
        <v/>
      </c>
      <c r="G888" s="4">
        <f t="shared" si="1"/>
        <v>0</v>
      </c>
    </row>
    <row r="889">
      <c r="F889" s="4" t="str">
        <f>IFERROR(__xludf.DUMMYFUNCTION("IFERROR(
  FILTER(#REF!, TRIM('CBK Students'!B:B) = TRIM(A889)),
  """"
)"),"")</f>
        <v/>
      </c>
      <c r="G889" s="4">
        <f t="shared" si="1"/>
        <v>0</v>
      </c>
    </row>
    <row r="890">
      <c r="F890" s="4" t="str">
        <f>IFERROR(__xludf.DUMMYFUNCTION("IFERROR(
  FILTER(#REF!, TRIM('CBK Students'!B:B) = TRIM(A890)),
  """"
)"),"")</f>
        <v/>
      </c>
      <c r="G890" s="4">
        <f t="shared" si="1"/>
        <v>0</v>
      </c>
    </row>
    <row r="891">
      <c r="F891" s="4" t="str">
        <f>IFERROR(__xludf.DUMMYFUNCTION("IFERROR(
  FILTER(#REF!, TRIM('CBK Students'!B:B) = TRIM(A891)),
  """"
)"),"")</f>
        <v/>
      </c>
      <c r="G891" s="4">
        <f t="shared" si="1"/>
        <v>0</v>
      </c>
    </row>
    <row r="892">
      <c r="F892" s="4" t="str">
        <f>IFERROR(__xludf.DUMMYFUNCTION("IFERROR(
  FILTER(#REF!, TRIM('CBK Students'!B:B) = TRIM(A892)),
  """"
)"),"")</f>
        <v/>
      </c>
      <c r="G892" s="4">
        <f t="shared" si="1"/>
        <v>0</v>
      </c>
    </row>
    <row r="893">
      <c r="F893" s="4" t="str">
        <f>IFERROR(__xludf.DUMMYFUNCTION("IFERROR(
  FILTER(#REF!, TRIM('CBK Students'!B:B) = TRIM(A893)),
  """"
)"),"")</f>
        <v/>
      </c>
      <c r="G893" s="4">
        <f t="shared" si="1"/>
        <v>0</v>
      </c>
    </row>
    <row r="894">
      <c r="F894" s="4" t="str">
        <f>IFERROR(__xludf.DUMMYFUNCTION("IFERROR(
  FILTER(#REF!, TRIM('CBK Students'!B:B) = TRIM(A894)),
  """"
)"),"")</f>
        <v/>
      </c>
      <c r="G894" s="4">
        <f t="shared" si="1"/>
        <v>0</v>
      </c>
    </row>
    <row r="895">
      <c r="F895" s="4" t="str">
        <f>IFERROR(__xludf.DUMMYFUNCTION("IFERROR(
  FILTER(#REF!, TRIM('CBK Students'!B:B) = TRIM(A895)),
  """"
)"),"")</f>
        <v/>
      </c>
      <c r="G895" s="4">
        <f t="shared" si="1"/>
        <v>0</v>
      </c>
    </row>
    <row r="896">
      <c r="F896" s="4" t="str">
        <f>IFERROR(__xludf.DUMMYFUNCTION("IFERROR(
  FILTER(#REF!, TRIM('CBK Students'!B:B) = TRIM(A896)),
  """"
)"),"")</f>
        <v/>
      </c>
      <c r="G896" s="4">
        <f t="shared" si="1"/>
        <v>0</v>
      </c>
    </row>
    <row r="897">
      <c r="F897" s="4" t="str">
        <f>IFERROR(__xludf.DUMMYFUNCTION("IFERROR(
  FILTER(#REF!, TRIM('CBK Students'!B:B) = TRIM(A897)),
  """"
)"),"")</f>
        <v/>
      </c>
      <c r="G897" s="4">
        <f t="shared" si="1"/>
        <v>0</v>
      </c>
    </row>
    <row r="898">
      <c r="F898" s="4" t="str">
        <f>IFERROR(__xludf.DUMMYFUNCTION("IFERROR(
  FILTER(#REF!, TRIM('CBK Students'!B:B) = TRIM(A898)),
  """"
)"),"")</f>
        <v/>
      </c>
      <c r="G898" s="4">
        <f t="shared" si="1"/>
        <v>0</v>
      </c>
    </row>
    <row r="899">
      <c r="F899" s="4" t="str">
        <f>IFERROR(__xludf.DUMMYFUNCTION("IFERROR(
  FILTER(#REF!, TRIM('CBK Students'!B:B) = TRIM(A899)),
  """"
)"),"")</f>
        <v/>
      </c>
      <c r="G899" s="4">
        <f t="shared" si="1"/>
        <v>0</v>
      </c>
    </row>
    <row r="900">
      <c r="F900" s="4" t="str">
        <f>IFERROR(__xludf.DUMMYFUNCTION("IFERROR(
  FILTER(#REF!, TRIM('CBK Students'!B:B) = TRIM(A900)),
  """"
)"),"")</f>
        <v/>
      </c>
      <c r="G900" s="4">
        <f t="shared" si="1"/>
        <v>0</v>
      </c>
    </row>
    <row r="901">
      <c r="F901" s="4" t="str">
        <f>IFERROR(__xludf.DUMMYFUNCTION("IFERROR(
  FILTER(#REF!, TRIM('CBK Students'!B:B) = TRIM(A901)),
  """"
)"),"")</f>
        <v/>
      </c>
      <c r="G901" s="4">
        <f t="shared" si="1"/>
        <v>0</v>
      </c>
    </row>
    <row r="902">
      <c r="F902" s="4" t="str">
        <f>IFERROR(__xludf.DUMMYFUNCTION("IFERROR(
  FILTER(#REF!, TRIM('CBK Students'!B:B) = TRIM(A902)),
  """"
)"),"")</f>
        <v/>
      </c>
      <c r="G902" s="4">
        <f t="shared" si="1"/>
        <v>0</v>
      </c>
    </row>
    <row r="903">
      <c r="F903" s="4" t="str">
        <f>IFERROR(__xludf.DUMMYFUNCTION("IFERROR(
  FILTER(#REF!, TRIM('CBK Students'!B:B) = TRIM(A903)),
  """"
)"),"")</f>
        <v/>
      </c>
      <c r="G903" s="4">
        <f t="shared" si="1"/>
        <v>0</v>
      </c>
    </row>
    <row r="904">
      <c r="F904" s="4" t="str">
        <f>IFERROR(__xludf.DUMMYFUNCTION("IFERROR(
  FILTER(#REF!, TRIM('CBK Students'!B:B) = TRIM(A904)),
  """"
)"),"")</f>
        <v/>
      </c>
      <c r="G904" s="4">
        <f t="shared" si="1"/>
        <v>0</v>
      </c>
    </row>
    <row r="905">
      <c r="F905" s="4" t="str">
        <f>IFERROR(__xludf.DUMMYFUNCTION("IFERROR(
  FILTER(#REF!, TRIM('CBK Students'!B:B) = TRIM(A905)),
  """"
)"),"")</f>
        <v/>
      </c>
      <c r="G905" s="4">
        <f t="shared" si="1"/>
        <v>0</v>
      </c>
    </row>
    <row r="906">
      <c r="F906" s="4" t="str">
        <f>IFERROR(__xludf.DUMMYFUNCTION("IFERROR(
  FILTER(#REF!, TRIM('CBK Students'!B:B) = TRIM(A906)),
  """"
)"),"")</f>
        <v/>
      </c>
      <c r="G906" s="4">
        <f t="shared" si="1"/>
        <v>0</v>
      </c>
    </row>
    <row r="907">
      <c r="F907" s="4" t="str">
        <f>IFERROR(__xludf.DUMMYFUNCTION("IFERROR(
  FILTER(#REF!, TRIM('CBK Students'!B:B) = TRIM(A907)),
  """"
)"),"")</f>
        <v/>
      </c>
      <c r="G907" s="4">
        <f t="shared" si="1"/>
        <v>0</v>
      </c>
    </row>
    <row r="908">
      <c r="F908" s="4" t="str">
        <f>IFERROR(__xludf.DUMMYFUNCTION("IFERROR(
  FILTER(#REF!, TRIM('CBK Students'!B:B) = TRIM(A908)),
  """"
)"),"")</f>
        <v/>
      </c>
      <c r="G908" s="4">
        <f t="shared" si="1"/>
        <v>0</v>
      </c>
    </row>
    <row r="909">
      <c r="F909" s="4" t="str">
        <f>IFERROR(__xludf.DUMMYFUNCTION("IFERROR(
  FILTER(#REF!, TRIM('CBK Students'!B:B) = TRIM(A909)),
  """"
)"),"")</f>
        <v/>
      </c>
      <c r="G909" s="4">
        <f t="shared" si="1"/>
        <v>0</v>
      </c>
    </row>
    <row r="910">
      <c r="F910" s="4" t="str">
        <f>IFERROR(__xludf.DUMMYFUNCTION("IFERROR(
  FILTER(#REF!, TRIM('CBK Students'!B:B) = TRIM(A910)),
  """"
)"),"")</f>
        <v/>
      </c>
      <c r="G910" s="4">
        <f t="shared" si="1"/>
        <v>0</v>
      </c>
    </row>
    <row r="911">
      <c r="F911" s="4" t="str">
        <f>IFERROR(__xludf.DUMMYFUNCTION("IFERROR(
  FILTER(#REF!, TRIM('CBK Students'!B:B) = TRIM(A911)),
  """"
)"),"")</f>
        <v/>
      </c>
      <c r="G911" s="4">
        <f t="shared" si="1"/>
        <v>0</v>
      </c>
    </row>
    <row r="912">
      <c r="F912" s="4" t="str">
        <f>IFERROR(__xludf.DUMMYFUNCTION("IFERROR(
  FILTER(#REF!, TRIM('CBK Students'!B:B) = TRIM(A912)),
  """"
)"),"")</f>
        <v/>
      </c>
      <c r="G912" s="4">
        <f t="shared" si="1"/>
        <v>0</v>
      </c>
    </row>
    <row r="913">
      <c r="F913" s="4" t="str">
        <f>IFERROR(__xludf.DUMMYFUNCTION("IFERROR(
  FILTER(#REF!, TRIM('CBK Students'!B:B) = TRIM(A913)),
  """"
)"),"")</f>
        <v/>
      </c>
      <c r="G913" s="4">
        <f t="shared" si="1"/>
        <v>0</v>
      </c>
    </row>
    <row r="914">
      <c r="F914" s="4" t="str">
        <f>IFERROR(__xludf.DUMMYFUNCTION("IFERROR(
  FILTER(#REF!, TRIM('CBK Students'!B:B) = TRIM(A914)),
  """"
)"),"")</f>
        <v/>
      </c>
      <c r="G914" s="4">
        <f t="shared" si="1"/>
        <v>0</v>
      </c>
    </row>
    <row r="915">
      <c r="F915" s="4" t="str">
        <f>IFERROR(__xludf.DUMMYFUNCTION("IFERROR(
  FILTER(#REF!, TRIM('CBK Students'!B:B) = TRIM(A915)),
  """"
)"),"")</f>
        <v/>
      </c>
      <c r="G915" s="4">
        <f t="shared" si="1"/>
        <v>0</v>
      </c>
    </row>
    <row r="916">
      <c r="F916" s="4" t="str">
        <f>IFERROR(__xludf.DUMMYFUNCTION("IFERROR(
  FILTER(#REF!, TRIM('CBK Students'!B:B) = TRIM(A916)),
  """"
)"),"")</f>
        <v/>
      </c>
      <c r="G916" s="4">
        <f t="shared" si="1"/>
        <v>0</v>
      </c>
    </row>
    <row r="917">
      <c r="F917" s="4" t="str">
        <f>IFERROR(__xludf.DUMMYFUNCTION("IFERROR(
  FILTER(#REF!, TRIM('CBK Students'!B:B) = TRIM(A917)),
  """"
)"),"")</f>
        <v/>
      </c>
      <c r="G917" s="4">
        <f t="shared" si="1"/>
        <v>0</v>
      </c>
    </row>
    <row r="918">
      <c r="F918" s="4" t="str">
        <f>IFERROR(__xludf.DUMMYFUNCTION("IFERROR(
  FILTER(#REF!, TRIM('CBK Students'!B:B) = TRIM(A918)),
  """"
)"),"")</f>
        <v/>
      </c>
      <c r="G918" s="4">
        <f t="shared" si="1"/>
        <v>0</v>
      </c>
    </row>
    <row r="919">
      <c r="F919" s="4" t="str">
        <f>IFERROR(__xludf.DUMMYFUNCTION("IFERROR(
  FILTER(#REF!, TRIM('CBK Students'!B:B) = TRIM(A919)),
  """"
)"),"")</f>
        <v/>
      </c>
      <c r="G919" s="4">
        <f t="shared" si="1"/>
        <v>0</v>
      </c>
    </row>
    <row r="920">
      <c r="F920" s="4" t="str">
        <f>IFERROR(__xludf.DUMMYFUNCTION("IFERROR(
  FILTER(#REF!, TRIM('CBK Students'!B:B) = TRIM(A920)),
  """"
)"),"")</f>
        <v/>
      </c>
      <c r="G920" s="4">
        <f t="shared" si="1"/>
        <v>0</v>
      </c>
    </row>
    <row r="921">
      <c r="F921" s="4" t="str">
        <f>IFERROR(__xludf.DUMMYFUNCTION("IFERROR(
  FILTER(#REF!, TRIM('CBK Students'!B:B) = TRIM(A921)),
  """"
)"),"")</f>
        <v/>
      </c>
      <c r="G921" s="4">
        <f t="shared" si="1"/>
        <v>0</v>
      </c>
    </row>
    <row r="922">
      <c r="F922" s="4" t="str">
        <f>IFERROR(__xludf.DUMMYFUNCTION("IFERROR(
  FILTER(#REF!, TRIM('CBK Students'!B:B) = TRIM(A922)),
  """"
)"),"")</f>
        <v/>
      </c>
      <c r="G922" s="4">
        <f t="shared" si="1"/>
        <v>0</v>
      </c>
    </row>
    <row r="923">
      <c r="F923" s="4" t="str">
        <f>IFERROR(__xludf.DUMMYFUNCTION("IFERROR(
  FILTER(#REF!, TRIM('CBK Students'!B:B) = TRIM(A923)),
  """"
)"),"")</f>
        <v/>
      </c>
      <c r="G923" s="4">
        <f t="shared" si="1"/>
        <v>0</v>
      </c>
    </row>
    <row r="924">
      <c r="F924" s="4" t="str">
        <f>IFERROR(__xludf.DUMMYFUNCTION("IFERROR(
  FILTER(#REF!, TRIM('CBK Students'!B:B) = TRIM(A924)),
  """"
)"),"")</f>
        <v/>
      </c>
      <c r="G924" s="4">
        <f t="shared" si="1"/>
        <v>0</v>
      </c>
    </row>
    <row r="925">
      <c r="F925" s="4" t="str">
        <f>IFERROR(__xludf.DUMMYFUNCTION("IFERROR(
  FILTER(#REF!, TRIM('CBK Students'!B:B) = TRIM(A925)),
  """"
)"),"")</f>
        <v/>
      </c>
      <c r="G925" s="4">
        <f t="shared" si="1"/>
        <v>0</v>
      </c>
    </row>
    <row r="926">
      <c r="F926" s="4" t="str">
        <f>IFERROR(__xludf.DUMMYFUNCTION("IFERROR(
  FILTER(#REF!, TRIM('CBK Students'!B:B) = TRIM(A926)),
  """"
)"),"")</f>
        <v/>
      </c>
      <c r="G926" s="4">
        <f t="shared" si="1"/>
        <v>0</v>
      </c>
    </row>
    <row r="927">
      <c r="F927" s="4" t="str">
        <f>IFERROR(__xludf.DUMMYFUNCTION("IFERROR(
  FILTER(#REF!, TRIM('CBK Students'!B:B) = TRIM(A927)),
  """"
)"),"")</f>
        <v/>
      </c>
      <c r="G927" s="4">
        <f t="shared" si="1"/>
        <v>0</v>
      </c>
    </row>
    <row r="928">
      <c r="F928" s="4" t="str">
        <f>IFERROR(__xludf.DUMMYFUNCTION("IFERROR(
  FILTER(#REF!, TRIM('CBK Students'!B:B) = TRIM(A928)),
  """"
)"),"")</f>
        <v/>
      </c>
      <c r="G928" s="4">
        <f t="shared" si="1"/>
        <v>0</v>
      </c>
    </row>
    <row r="929">
      <c r="F929" s="4" t="str">
        <f>IFERROR(__xludf.DUMMYFUNCTION("IFERROR(
  FILTER(#REF!, TRIM('CBK Students'!B:B) = TRIM(A929)),
  """"
)"),"")</f>
        <v/>
      </c>
      <c r="G929" s="4">
        <f t="shared" si="1"/>
        <v>0</v>
      </c>
    </row>
    <row r="930">
      <c r="F930" s="4" t="str">
        <f>IFERROR(__xludf.DUMMYFUNCTION("IFERROR(
  FILTER(#REF!, TRIM('CBK Students'!B:B) = TRIM(A930)),
  """"
)"),"")</f>
        <v/>
      </c>
      <c r="G930" s="4">
        <f t="shared" si="1"/>
        <v>0</v>
      </c>
    </row>
    <row r="931">
      <c r="F931" s="4" t="str">
        <f>IFERROR(__xludf.DUMMYFUNCTION("IFERROR(
  FILTER(#REF!, TRIM('CBK Students'!B:B) = TRIM(A931)),
  """"
)"),"")</f>
        <v/>
      </c>
      <c r="G931" s="4">
        <f t="shared" si="1"/>
        <v>0</v>
      </c>
    </row>
    <row r="932">
      <c r="F932" s="4" t="str">
        <f>IFERROR(__xludf.DUMMYFUNCTION("IFERROR(
  FILTER(#REF!, TRIM('CBK Students'!B:B) = TRIM(A932)),
  """"
)"),"")</f>
        <v/>
      </c>
      <c r="G932" s="4">
        <f t="shared" si="1"/>
        <v>0</v>
      </c>
    </row>
    <row r="933">
      <c r="F933" s="4" t="str">
        <f>IFERROR(__xludf.DUMMYFUNCTION("IFERROR(
  FILTER(#REF!, TRIM('CBK Students'!B:B) = TRIM(A933)),
  """"
)"),"")</f>
        <v/>
      </c>
      <c r="G933" s="4">
        <f t="shared" si="1"/>
        <v>0</v>
      </c>
    </row>
    <row r="934">
      <c r="F934" s="4" t="str">
        <f>IFERROR(__xludf.DUMMYFUNCTION("IFERROR(
  FILTER(#REF!, TRIM('CBK Students'!B:B) = TRIM(A934)),
  """"
)"),"")</f>
        <v/>
      </c>
      <c r="G934" s="4">
        <f t="shared" si="1"/>
        <v>0</v>
      </c>
    </row>
    <row r="935">
      <c r="F935" s="4" t="str">
        <f>IFERROR(__xludf.DUMMYFUNCTION("IFERROR(
  FILTER(#REF!, TRIM('CBK Students'!B:B) = TRIM(A935)),
  """"
)"),"")</f>
        <v/>
      </c>
      <c r="G935" s="4">
        <f t="shared" si="1"/>
        <v>0</v>
      </c>
    </row>
    <row r="936">
      <c r="F936" s="4" t="str">
        <f>IFERROR(__xludf.DUMMYFUNCTION("IFERROR(
  FILTER(#REF!, TRIM('CBK Students'!B:B) = TRIM(A936)),
  """"
)"),"")</f>
        <v/>
      </c>
      <c r="G936" s="4">
        <f t="shared" si="1"/>
        <v>0</v>
      </c>
    </row>
    <row r="937">
      <c r="F937" s="4" t="str">
        <f>IFERROR(__xludf.DUMMYFUNCTION("IFERROR(
  FILTER(#REF!, TRIM('CBK Students'!B:B) = TRIM(A937)),
  """"
)"),"")</f>
        <v/>
      </c>
      <c r="G937" s="4">
        <f t="shared" si="1"/>
        <v>0</v>
      </c>
    </row>
    <row r="938">
      <c r="F938" s="4" t="str">
        <f>IFERROR(__xludf.DUMMYFUNCTION("IFERROR(
  FILTER(#REF!, TRIM('CBK Students'!B:B) = TRIM(A938)),
  """"
)"),"")</f>
        <v/>
      </c>
      <c r="G938" s="4">
        <f t="shared" si="1"/>
        <v>0</v>
      </c>
    </row>
    <row r="939">
      <c r="F939" s="4" t="str">
        <f>IFERROR(__xludf.DUMMYFUNCTION("IFERROR(
  FILTER(#REF!, TRIM('CBK Students'!B:B) = TRIM(A939)),
  """"
)"),"")</f>
        <v/>
      </c>
      <c r="G939" s="4">
        <f t="shared" si="1"/>
        <v>0</v>
      </c>
    </row>
    <row r="940">
      <c r="F940" s="4" t="str">
        <f>IFERROR(__xludf.DUMMYFUNCTION("IFERROR(
  FILTER(#REF!, TRIM('CBK Students'!B:B) = TRIM(A940)),
  """"
)"),"")</f>
        <v/>
      </c>
      <c r="G940" s="4">
        <f t="shared" si="1"/>
        <v>0</v>
      </c>
    </row>
    <row r="941">
      <c r="F941" s="4" t="str">
        <f>IFERROR(__xludf.DUMMYFUNCTION("IFERROR(
  FILTER(#REF!, TRIM('CBK Students'!B:B) = TRIM(A941)),
  """"
)"),"")</f>
        <v/>
      </c>
      <c r="G941" s="4">
        <f t="shared" si="1"/>
        <v>0</v>
      </c>
    </row>
    <row r="942">
      <c r="F942" s="4" t="str">
        <f>IFERROR(__xludf.DUMMYFUNCTION("IFERROR(
  FILTER(#REF!, TRIM('CBK Students'!B:B) = TRIM(A942)),
  """"
)"),"")</f>
        <v/>
      </c>
      <c r="G942" s="4">
        <f t="shared" si="1"/>
        <v>0</v>
      </c>
    </row>
    <row r="943">
      <c r="F943" s="4" t="str">
        <f>IFERROR(__xludf.DUMMYFUNCTION("IFERROR(
  FILTER(#REF!, TRIM('CBK Students'!B:B) = TRIM(A943)),
  """"
)"),"")</f>
        <v/>
      </c>
      <c r="G943" s="4">
        <f t="shared" si="1"/>
        <v>0</v>
      </c>
    </row>
    <row r="944">
      <c r="F944" s="4" t="str">
        <f>IFERROR(__xludf.DUMMYFUNCTION("IFERROR(
  FILTER(#REF!, TRIM('CBK Students'!B:B) = TRIM(A944)),
  """"
)"),"")</f>
        <v/>
      </c>
      <c r="G944" s="4">
        <f t="shared" si="1"/>
        <v>0</v>
      </c>
    </row>
    <row r="945">
      <c r="F945" s="4" t="str">
        <f>IFERROR(__xludf.DUMMYFUNCTION("IFERROR(
  FILTER(#REF!, TRIM('CBK Students'!B:B) = TRIM(A945)),
  """"
)"),"")</f>
        <v/>
      </c>
      <c r="G945" s="4">
        <f t="shared" si="1"/>
        <v>0</v>
      </c>
    </row>
    <row r="946">
      <c r="F946" s="4" t="str">
        <f>IFERROR(__xludf.DUMMYFUNCTION("IFERROR(
  FILTER(#REF!, TRIM('CBK Students'!B:B) = TRIM(A946)),
  """"
)"),"")</f>
        <v/>
      </c>
      <c r="G946" s="4">
        <f t="shared" si="1"/>
        <v>0</v>
      </c>
    </row>
    <row r="947">
      <c r="F947" s="4" t="str">
        <f>IFERROR(__xludf.DUMMYFUNCTION("IFERROR(
  FILTER(#REF!, TRIM('CBK Students'!B:B) = TRIM(A947)),
  """"
)"),"")</f>
        <v/>
      </c>
      <c r="G947" s="4">
        <f t="shared" si="1"/>
        <v>0</v>
      </c>
    </row>
    <row r="948">
      <c r="F948" s="4" t="str">
        <f>IFERROR(__xludf.DUMMYFUNCTION("IFERROR(
  FILTER(#REF!, TRIM('CBK Students'!B:B) = TRIM(A948)),
  """"
)"),"")</f>
        <v/>
      </c>
      <c r="G948" s="4">
        <f t="shared" si="1"/>
        <v>0</v>
      </c>
    </row>
    <row r="949">
      <c r="F949" s="4" t="str">
        <f>IFERROR(__xludf.DUMMYFUNCTION("IFERROR(
  FILTER(#REF!, TRIM('CBK Students'!B:B) = TRIM(A949)),
  """"
)"),"")</f>
        <v/>
      </c>
      <c r="G949" s="4">
        <f t="shared" si="1"/>
        <v>0</v>
      </c>
    </row>
    <row r="950">
      <c r="F950" s="4" t="str">
        <f>IFERROR(__xludf.DUMMYFUNCTION("IFERROR(
  FILTER(#REF!, TRIM('CBK Students'!B:B) = TRIM(A950)),
  """"
)"),"")</f>
        <v/>
      </c>
      <c r="G950" s="4">
        <f t="shared" si="1"/>
        <v>0</v>
      </c>
    </row>
    <row r="951">
      <c r="F951" s="4" t="str">
        <f>IFERROR(__xludf.DUMMYFUNCTION("IFERROR(
  FILTER(#REF!, TRIM('CBK Students'!B:B) = TRIM(A951)),
  """"
)"),"")</f>
        <v/>
      </c>
      <c r="G951" s="4">
        <f t="shared" si="1"/>
        <v>0</v>
      </c>
    </row>
    <row r="952">
      <c r="F952" s="4" t="str">
        <f>IFERROR(__xludf.DUMMYFUNCTION("IFERROR(
  FILTER(#REF!, TRIM('CBK Students'!B:B) = TRIM(A952)),
  """"
)"),"")</f>
        <v/>
      </c>
      <c r="G952" s="4">
        <f t="shared" si="1"/>
        <v>0</v>
      </c>
    </row>
    <row r="953">
      <c r="F953" s="4" t="str">
        <f>IFERROR(__xludf.DUMMYFUNCTION("IFERROR(
  FILTER(#REF!, TRIM('CBK Students'!B:B) = TRIM(A953)),
  """"
)"),"")</f>
        <v/>
      </c>
      <c r="G953" s="4">
        <f t="shared" si="1"/>
        <v>0</v>
      </c>
    </row>
    <row r="954">
      <c r="F954" s="4" t="str">
        <f>IFERROR(__xludf.DUMMYFUNCTION("IFERROR(
  FILTER(#REF!, TRIM('CBK Students'!B:B) = TRIM(A954)),
  """"
)"),"")</f>
        <v/>
      </c>
      <c r="G954" s="4">
        <f t="shared" si="1"/>
        <v>0</v>
      </c>
    </row>
    <row r="955">
      <c r="F955" s="4" t="str">
        <f>IFERROR(__xludf.DUMMYFUNCTION("IFERROR(
  FILTER(#REF!, TRIM('CBK Students'!B:B) = TRIM(A955)),
  """"
)"),"")</f>
        <v/>
      </c>
      <c r="G955" s="4">
        <f t="shared" si="1"/>
        <v>0</v>
      </c>
    </row>
    <row r="956">
      <c r="F956" s="4" t="str">
        <f>IFERROR(__xludf.DUMMYFUNCTION("IFERROR(
  FILTER(#REF!, TRIM('CBK Students'!B:B) = TRIM(A956)),
  """"
)"),"")</f>
        <v/>
      </c>
      <c r="G956" s="4">
        <f t="shared" si="1"/>
        <v>0</v>
      </c>
    </row>
    <row r="957">
      <c r="F957" s="4" t="str">
        <f>IFERROR(__xludf.DUMMYFUNCTION("IFERROR(
  FILTER(#REF!, TRIM('CBK Students'!B:B) = TRIM(A957)),
  """"
)"),"")</f>
        <v/>
      </c>
      <c r="G957" s="4">
        <f t="shared" si="1"/>
        <v>0</v>
      </c>
    </row>
    <row r="958">
      <c r="F958" s="4" t="str">
        <f>IFERROR(__xludf.DUMMYFUNCTION("IFERROR(
  FILTER(#REF!, TRIM('CBK Students'!B:B) = TRIM(A958)),
  """"
)"),"")</f>
        <v/>
      </c>
      <c r="G958" s="4">
        <f t="shared" si="1"/>
        <v>0</v>
      </c>
    </row>
    <row r="959">
      <c r="F959" s="4" t="str">
        <f>IFERROR(__xludf.DUMMYFUNCTION("IFERROR(
  FILTER(#REF!, TRIM('CBK Students'!B:B) = TRIM(A959)),
  """"
)"),"")</f>
        <v/>
      </c>
      <c r="G959" s="4">
        <f t="shared" si="1"/>
        <v>0</v>
      </c>
    </row>
    <row r="960">
      <c r="F960" s="4" t="str">
        <f>IFERROR(__xludf.DUMMYFUNCTION("IFERROR(
  FILTER(#REF!, TRIM('CBK Students'!B:B) = TRIM(A960)),
  """"
)"),"")</f>
        <v/>
      </c>
      <c r="G960" s="4">
        <f t="shared" si="1"/>
        <v>0</v>
      </c>
    </row>
    <row r="961">
      <c r="F961" s="4" t="str">
        <f>IFERROR(__xludf.DUMMYFUNCTION("IFERROR(
  FILTER(#REF!, TRIM('CBK Students'!B:B) = TRIM(A961)),
  """"
)"),"")</f>
        <v/>
      </c>
      <c r="G961" s="4">
        <f t="shared" si="1"/>
        <v>0</v>
      </c>
    </row>
    <row r="962">
      <c r="F962" s="4" t="str">
        <f>IFERROR(__xludf.DUMMYFUNCTION("IFERROR(
  FILTER(#REF!, TRIM('CBK Students'!B:B) = TRIM(A962)),
  """"
)"),"")</f>
        <v/>
      </c>
      <c r="G962" s="4">
        <f t="shared" si="1"/>
        <v>0</v>
      </c>
    </row>
    <row r="963">
      <c r="F963" s="4" t="str">
        <f>IFERROR(__xludf.DUMMYFUNCTION("IFERROR(
  FILTER(#REF!, TRIM('CBK Students'!B:B) = TRIM(A963)),
  """"
)"),"")</f>
        <v/>
      </c>
      <c r="G963" s="4">
        <f t="shared" si="1"/>
        <v>0</v>
      </c>
    </row>
    <row r="964">
      <c r="F964" s="4" t="str">
        <f>IFERROR(__xludf.DUMMYFUNCTION("IFERROR(
  FILTER(#REF!, TRIM('CBK Students'!B:B) = TRIM(A964)),
  """"
)"),"")</f>
        <v/>
      </c>
      <c r="G964" s="4">
        <f t="shared" si="1"/>
        <v>0</v>
      </c>
    </row>
    <row r="965">
      <c r="F965" s="4" t="str">
        <f>IFERROR(__xludf.DUMMYFUNCTION("IFERROR(
  FILTER(#REF!, TRIM('CBK Students'!B:B) = TRIM(A965)),
  """"
)"),"")</f>
        <v/>
      </c>
      <c r="G965" s="4">
        <f t="shared" si="1"/>
        <v>0</v>
      </c>
    </row>
    <row r="966">
      <c r="F966" s="4" t="str">
        <f>IFERROR(__xludf.DUMMYFUNCTION("IFERROR(
  FILTER(#REF!, TRIM('CBK Students'!B:B) = TRIM(A966)),
  """"
)"),"")</f>
        <v/>
      </c>
      <c r="G966" s="4">
        <f t="shared" si="1"/>
        <v>0</v>
      </c>
    </row>
    <row r="967">
      <c r="F967" s="4" t="str">
        <f>IFERROR(__xludf.DUMMYFUNCTION("IFERROR(
  FILTER(#REF!, TRIM('CBK Students'!B:B) = TRIM(A967)),
  """"
)"),"")</f>
        <v/>
      </c>
      <c r="G967" s="4">
        <f t="shared" si="1"/>
        <v>0</v>
      </c>
    </row>
    <row r="968">
      <c r="F968" s="4" t="str">
        <f>IFERROR(__xludf.DUMMYFUNCTION("IFERROR(
  FILTER(#REF!, TRIM('CBK Students'!B:B) = TRIM(A968)),
  """"
)"),"")</f>
        <v/>
      </c>
      <c r="G968" s="4">
        <f t="shared" si="1"/>
        <v>0</v>
      </c>
    </row>
    <row r="969">
      <c r="F969" s="4" t="str">
        <f>IFERROR(__xludf.DUMMYFUNCTION("IFERROR(
  FILTER(#REF!, TRIM('CBK Students'!B:B) = TRIM(A969)),
  """"
)"),"")</f>
        <v/>
      </c>
      <c r="G969" s="4">
        <f t="shared" si="1"/>
        <v>0</v>
      </c>
    </row>
    <row r="970">
      <c r="F970" s="4" t="str">
        <f>IFERROR(__xludf.DUMMYFUNCTION("IFERROR(
  FILTER(#REF!, TRIM('CBK Students'!B:B) = TRIM(A970)),
  """"
)"),"")</f>
        <v/>
      </c>
      <c r="G970" s="4">
        <f t="shared" si="1"/>
        <v>0</v>
      </c>
    </row>
    <row r="971">
      <c r="F971" s="4" t="str">
        <f>IFERROR(__xludf.DUMMYFUNCTION("IFERROR(
  FILTER(#REF!, TRIM('CBK Students'!B:B) = TRIM(A971)),
  """"
)"),"")</f>
        <v/>
      </c>
      <c r="G971" s="4">
        <f t="shared" si="1"/>
        <v>0</v>
      </c>
    </row>
    <row r="972">
      <c r="F972" s="4" t="str">
        <f>IFERROR(__xludf.DUMMYFUNCTION("IFERROR(
  FILTER(#REF!, TRIM('CBK Students'!B:B) = TRIM(A972)),
  """"
)"),"")</f>
        <v/>
      </c>
      <c r="G972" s="4">
        <f t="shared" si="1"/>
        <v>0</v>
      </c>
    </row>
    <row r="973">
      <c r="F973" s="4" t="str">
        <f>IFERROR(__xludf.DUMMYFUNCTION("IFERROR(
  FILTER(#REF!, TRIM('CBK Students'!B:B) = TRIM(A973)),
  """"
)"),"")</f>
        <v/>
      </c>
      <c r="G973" s="4">
        <f t="shared" si="1"/>
        <v>0</v>
      </c>
    </row>
    <row r="974">
      <c r="F974" s="4" t="str">
        <f>IFERROR(__xludf.DUMMYFUNCTION("IFERROR(
  FILTER(#REF!, TRIM('CBK Students'!B:B) = TRIM(A974)),
  """"
)"),"")</f>
        <v/>
      </c>
      <c r="G974" s="4">
        <f t="shared" si="1"/>
        <v>0</v>
      </c>
    </row>
    <row r="975">
      <c r="F975" s="4" t="str">
        <f>IFERROR(__xludf.DUMMYFUNCTION("IFERROR(
  FILTER(#REF!, TRIM('CBK Students'!B:B) = TRIM(A975)),
  """"
)"),"")</f>
        <v/>
      </c>
      <c r="G975" s="4">
        <f t="shared" si="1"/>
        <v>0</v>
      </c>
    </row>
    <row r="976">
      <c r="F976" s="4" t="str">
        <f>IFERROR(__xludf.DUMMYFUNCTION("IFERROR(
  FILTER(#REF!, TRIM('CBK Students'!B:B) = TRIM(A976)),
  """"
)"),"")</f>
        <v/>
      </c>
      <c r="G976" s="4">
        <f t="shared" si="1"/>
        <v>0</v>
      </c>
    </row>
    <row r="977">
      <c r="F977" s="4" t="str">
        <f>IFERROR(__xludf.DUMMYFUNCTION("IFERROR(
  FILTER(#REF!, TRIM('CBK Students'!B:B) = TRIM(A977)),
  """"
)"),"")</f>
        <v/>
      </c>
      <c r="G977" s="4">
        <f t="shared" si="1"/>
        <v>0</v>
      </c>
    </row>
    <row r="978">
      <c r="F978" s="4" t="str">
        <f>IFERROR(__xludf.DUMMYFUNCTION("IFERROR(
  FILTER(#REF!, TRIM('CBK Students'!B:B) = TRIM(A978)),
  """"
)"),"")</f>
        <v/>
      </c>
      <c r="G978" s="4">
        <f t="shared" si="1"/>
        <v>0</v>
      </c>
    </row>
    <row r="979">
      <c r="F979" s="4" t="str">
        <f>IFERROR(__xludf.DUMMYFUNCTION("IFERROR(
  FILTER(#REF!, TRIM('CBK Students'!B:B) = TRIM(A979)),
  """"
)"),"")</f>
        <v/>
      </c>
      <c r="G979" s="4">
        <f t="shared" si="1"/>
        <v>0</v>
      </c>
    </row>
    <row r="980">
      <c r="F980" s="4" t="str">
        <f>IFERROR(__xludf.DUMMYFUNCTION("IFERROR(
  FILTER(#REF!, TRIM('CBK Students'!B:B) = TRIM(A980)),
  """"
)"),"")</f>
        <v/>
      </c>
      <c r="G980" s="4">
        <f t="shared" si="1"/>
        <v>0</v>
      </c>
    </row>
    <row r="981">
      <c r="F981" s="4" t="str">
        <f>IFERROR(__xludf.DUMMYFUNCTION("IFERROR(
  FILTER(#REF!, TRIM('CBK Students'!B:B) = TRIM(A981)),
  """"
)"),"")</f>
        <v/>
      </c>
      <c r="G981" s="4">
        <f t="shared" si="1"/>
        <v>0</v>
      </c>
    </row>
    <row r="982">
      <c r="F982" s="4" t="str">
        <f>IFERROR(__xludf.DUMMYFUNCTION("IFERROR(
  FILTER(#REF!, TRIM('CBK Students'!B:B) = TRIM(A982)),
  """"
)"),"")</f>
        <v/>
      </c>
      <c r="G982" s="4">
        <f t="shared" si="1"/>
        <v>0</v>
      </c>
    </row>
    <row r="983">
      <c r="F983" s="4" t="str">
        <f>IFERROR(__xludf.DUMMYFUNCTION("IFERROR(
  FILTER(#REF!, TRIM('CBK Students'!B:B) = TRIM(A983)),
  """"
)"),"")</f>
        <v/>
      </c>
      <c r="G983" s="4">
        <f t="shared" si="1"/>
        <v>0</v>
      </c>
    </row>
    <row r="984">
      <c r="F984" s="4" t="str">
        <f>IFERROR(__xludf.DUMMYFUNCTION("IFERROR(
  FILTER(#REF!, TRIM('CBK Students'!B:B) = TRIM(A984)),
  """"
)"),"")</f>
        <v/>
      </c>
      <c r="G984" s="4">
        <f t="shared" si="1"/>
        <v>0</v>
      </c>
    </row>
    <row r="985">
      <c r="F985" s="4" t="str">
        <f>IFERROR(__xludf.DUMMYFUNCTION("IFERROR(
  FILTER(#REF!, TRIM('CBK Students'!B:B) = TRIM(A985)),
  """"
)"),"")</f>
        <v/>
      </c>
      <c r="G985" s="4">
        <f t="shared" si="1"/>
        <v>0</v>
      </c>
    </row>
    <row r="986">
      <c r="F986" s="4" t="str">
        <f>IFERROR(__xludf.DUMMYFUNCTION("IFERROR(
  FILTER(#REF!, TRIM('CBK Students'!B:B) = TRIM(A986)),
  """"
)"),"")</f>
        <v/>
      </c>
      <c r="G986" s="4">
        <f t="shared" si="1"/>
        <v>0</v>
      </c>
    </row>
    <row r="987">
      <c r="F987" s="4" t="str">
        <f>IFERROR(__xludf.DUMMYFUNCTION("IFERROR(
  FILTER(#REF!, TRIM('CBK Students'!B:B) = TRIM(A987)),
  """"
)"),"")</f>
        <v/>
      </c>
      <c r="G987" s="4">
        <f t="shared" si="1"/>
        <v>0</v>
      </c>
    </row>
    <row r="988">
      <c r="F988" s="4" t="str">
        <f>IFERROR(__xludf.DUMMYFUNCTION("IFERROR(
  FILTER(#REF!, TRIM('CBK Students'!B:B) = TRIM(A988)),
  """"
)"),"")</f>
        <v/>
      </c>
      <c r="G988" s="4">
        <f t="shared" si="1"/>
        <v>0</v>
      </c>
    </row>
    <row r="989">
      <c r="F989" s="4" t="str">
        <f>IFERROR(__xludf.DUMMYFUNCTION("IFERROR(
  FILTER(#REF!, TRIM('CBK Students'!B:B) = TRIM(A989)),
  """"
)"),"")</f>
        <v/>
      </c>
      <c r="G989" s="4">
        <f t="shared" si="1"/>
        <v>0</v>
      </c>
    </row>
    <row r="990">
      <c r="F990" s="4" t="str">
        <f>IFERROR(__xludf.DUMMYFUNCTION("IFERROR(
  FILTER(#REF!, TRIM('CBK Students'!B:B) = TRIM(A990)),
  """"
)"),"")</f>
        <v/>
      </c>
      <c r="G990" s="4">
        <f t="shared" si="1"/>
        <v>0</v>
      </c>
    </row>
    <row r="991">
      <c r="F991" s="4" t="str">
        <f>IFERROR(__xludf.DUMMYFUNCTION("IFERROR(
  FILTER(#REF!, TRIM('CBK Students'!B:B) = TRIM(A991)),
  """"
)"),"")</f>
        <v/>
      </c>
      <c r="G991" s="4">
        <f t="shared" si="1"/>
        <v>0</v>
      </c>
    </row>
    <row r="992">
      <c r="F992" s="4" t="str">
        <f>IFERROR(__xludf.DUMMYFUNCTION("IFERROR(
  FILTER(#REF!, TRIM('CBK Students'!B:B) = TRIM(A992)),
  """"
)"),"")</f>
        <v/>
      </c>
      <c r="G992" s="4">
        <f t="shared" si="1"/>
        <v>0</v>
      </c>
    </row>
    <row r="993">
      <c r="F993" s="4" t="str">
        <f>IFERROR(__xludf.DUMMYFUNCTION("IFERROR(
  FILTER(#REF!, TRIM('CBK Students'!B:B) = TRIM(A993)),
  """"
)"),"")</f>
        <v/>
      </c>
      <c r="G993" s="4">
        <f t="shared" si="1"/>
        <v>0</v>
      </c>
    </row>
    <row r="994">
      <c r="F994" s="4" t="str">
        <f>IFERROR(__xludf.DUMMYFUNCTION("IFERROR(
  FILTER(#REF!, TRIM('CBK Students'!B:B) = TRIM(A994)),
  """"
)"),"")</f>
        <v/>
      </c>
      <c r="G994" s="4">
        <f t="shared" si="1"/>
        <v>0</v>
      </c>
    </row>
    <row r="995">
      <c r="F995" s="4" t="str">
        <f>IFERROR(__xludf.DUMMYFUNCTION("IFERROR(
  FILTER(#REF!, TRIM('CBK Students'!B:B) = TRIM(A995)),
  """"
)"),"")</f>
        <v/>
      </c>
      <c r="G995" s="4">
        <f t="shared" si="1"/>
        <v>0</v>
      </c>
    </row>
    <row r="996">
      <c r="F996" s="4" t="str">
        <f>IFERROR(__xludf.DUMMYFUNCTION("IFERROR(
  FILTER(#REF!, TRIM('CBK Students'!B:B) = TRIM(A996)),
  """"
)"),"")</f>
        <v/>
      </c>
      <c r="G996" s="4">
        <f t="shared" si="1"/>
        <v>0</v>
      </c>
    </row>
    <row r="997">
      <c r="F997" s="4" t="str">
        <f>IFERROR(__xludf.DUMMYFUNCTION("IFERROR(
  FILTER(#REF!, TRIM('CBK Students'!B:B) = TRIM(A997)),
  """"
)"),"")</f>
        <v/>
      </c>
      <c r="G997" s="4">
        <f t="shared" si="1"/>
        <v>0</v>
      </c>
    </row>
    <row r="998">
      <c r="F998" s="4" t="str">
        <f>IFERROR(__xludf.DUMMYFUNCTION("IFERROR(
  FILTER(#REF!, TRIM('CBK Students'!B:B) = TRIM(A998)),
  """"
)"),"")</f>
        <v/>
      </c>
      <c r="G998" s="4">
        <f t="shared" si="1"/>
        <v>0</v>
      </c>
    </row>
    <row r="999">
      <c r="F999" s="4" t="str">
        <f>IFERROR(__xludf.DUMMYFUNCTION("IFERROR(
  FILTER(#REF!, TRIM('CBK Students'!B:B) = TRIM(A999)),
  """"
)"),"")</f>
        <v/>
      </c>
      <c r="G999" s="4">
        <f t="shared" si="1"/>
        <v>0</v>
      </c>
    </row>
    <row r="1000">
      <c r="G1000" s="4">
        <f t="shared" si="1"/>
        <v>0</v>
      </c>
    </row>
    <row r="1001">
      <c r="G1001" s="4">
        <f t="shared" si="1"/>
        <v>0</v>
      </c>
    </row>
    <row r="1002">
      <c r="G1002" s="4">
        <f t="shared" si="1"/>
        <v>0</v>
      </c>
    </row>
    <row r="1003">
      <c r="G1003" s="4">
        <f t="shared" si="1"/>
        <v>0</v>
      </c>
    </row>
    <row r="1004">
      <c r="G1004" s="4">
        <f t="shared" si="1"/>
        <v>0</v>
      </c>
    </row>
    <row r="1005">
      <c r="G1005" s="4">
        <f t="shared" si="1"/>
        <v>0</v>
      </c>
    </row>
    <row r="1006">
      <c r="G1006" s="4">
        <f t="shared" si="1"/>
        <v>0</v>
      </c>
    </row>
    <row r="1007">
      <c r="G1007" s="4">
        <f t="shared" si="1"/>
        <v>0</v>
      </c>
    </row>
    <row r="1008">
      <c r="G1008" s="4">
        <f t="shared" si="1"/>
        <v>0</v>
      </c>
    </row>
    <row r="1009">
      <c r="G1009" s="4">
        <f t="shared" si="1"/>
        <v>0</v>
      </c>
    </row>
    <row r="1010">
      <c r="G1010" s="4">
        <f t="shared" si="1"/>
        <v>0</v>
      </c>
    </row>
    <row r="1011">
      <c r="G1011" s="4">
        <f t="shared" si="1"/>
        <v>0</v>
      </c>
    </row>
    <row r="1012">
      <c r="G1012" s="4">
        <f t="shared" si="1"/>
        <v>0</v>
      </c>
    </row>
    <row r="1013">
      <c r="G1013" s="4">
        <f t="shared" si="1"/>
        <v>0</v>
      </c>
    </row>
    <row r="1014">
      <c r="G1014" s="4">
        <f t="shared" si="1"/>
        <v>0</v>
      </c>
    </row>
    <row r="1015">
      <c r="G1015" s="4">
        <f t="shared" si="1"/>
        <v>0</v>
      </c>
    </row>
    <row r="1016">
      <c r="G1016" s="4">
        <f t="shared" si="1"/>
        <v>0</v>
      </c>
    </row>
    <row r="1017">
      <c r="G1017" s="4">
        <f t="shared" si="1"/>
        <v>0</v>
      </c>
    </row>
    <row r="1018">
      <c r="G1018" s="4">
        <f t="shared" si="1"/>
        <v>0</v>
      </c>
    </row>
    <row r="1019">
      <c r="G1019" s="4">
        <f t="shared" si="1"/>
        <v>0</v>
      </c>
    </row>
    <row r="1020">
      <c r="G1020" s="4">
        <f t="shared" si="1"/>
        <v>0</v>
      </c>
    </row>
    <row r="1021">
      <c r="G1021" s="4">
        <f t="shared" si="1"/>
        <v>0</v>
      </c>
    </row>
    <row r="1022">
      <c r="G1022" s="4">
        <f t="shared" si="1"/>
        <v>0</v>
      </c>
    </row>
    <row r="1023">
      <c r="G1023" s="4">
        <f t="shared" si="1"/>
        <v>0</v>
      </c>
    </row>
    <row r="1024">
      <c r="G1024" s="4">
        <f t="shared" si="1"/>
        <v>0</v>
      </c>
    </row>
    <row r="1025">
      <c r="G1025" s="4">
        <f t="shared" si="1"/>
        <v>0</v>
      </c>
    </row>
    <row r="1026">
      <c r="G1026" s="4">
        <f t="shared" si="1"/>
        <v>0</v>
      </c>
    </row>
    <row r="1027">
      <c r="G1027" s="4">
        <f t="shared" si="1"/>
        <v>0</v>
      </c>
    </row>
    <row r="1028">
      <c r="G1028" s="4">
        <f t="shared" si="1"/>
        <v>0</v>
      </c>
    </row>
    <row r="1029">
      <c r="G1029" s="4">
        <f t="shared" si="1"/>
        <v>0</v>
      </c>
    </row>
    <row r="1030">
      <c r="G1030" s="4">
        <f t="shared" si="1"/>
        <v>0</v>
      </c>
    </row>
    <row r="1031">
      <c r="G1031" s="4">
        <f t="shared" si="1"/>
        <v>0</v>
      </c>
    </row>
    <row r="1032">
      <c r="G1032" s="4">
        <f t="shared" si="1"/>
        <v>0</v>
      </c>
    </row>
    <row r="1033">
      <c r="G1033" s="4">
        <f t="shared" si="1"/>
        <v>0</v>
      </c>
    </row>
    <row r="1034">
      <c r="G1034" s="4">
        <f t="shared" si="1"/>
        <v>0</v>
      </c>
    </row>
    <row r="1035">
      <c r="G1035" s="4">
        <f t="shared" si="1"/>
        <v>0</v>
      </c>
    </row>
    <row r="1036">
      <c r="G1036" s="4">
        <f t="shared" si="1"/>
        <v>0</v>
      </c>
    </row>
    <row r="1037">
      <c r="G1037" s="4">
        <f t="shared" si="1"/>
        <v>0</v>
      </c>
    </row>
    <row r="1038">
      <c r="G1038" s="4">
        <f t="shared" si="1"/>
        <v>0</v>
      </c>
    </row>
    <row r="1039">
      <c r="G1039" s="4">
        <f t="shared" si="1"/>
        <v>0</v>
      </c>
    </row>
    <row r="1040">
      <c r="G1040" s="4">
        <f t="shared" si="1"/>
        <v>0</v>
      </c>
    </row>
    <row r="1041">
      <c r="G1041" s="4">
        <f t="shared" si="1"/>
        <v>0</v>
      </c>
    </row>
    <row r="1042">
      <c r="G1042" s="4">
        <f t="shared" si="1"/>
        <v>0</v>
      </c>
    </row>
    <row r="1043">
      <c r="G1043" s="4">
        <f t="shared" si="1"/>
        <v>0</v>
      </c>
    </row>
    <row r="1044">
      <c r="G1044" s="4">
        <f t="shared" si="1"/>
        <v>0</v>
      </c>
    </row>
    <row r="1045">
      <c r="G1045" s="4">
        <f t="shared" si="1"/>
        <v>0</v>
      </c>
    </row>
    <row r="1046">
      <c r="G1046" s="4">
        <f t="shared" si="1"/>
        <v>0</v>
      </c>
    </row>
    <row r="1047">
      <c r="G1047" s="4">
        <f t="shared" si="1"/>
        <v>0</v>
      </c>
    </row>
    <row r="1048">
      <c r="G1048" s="4">
        <f t="shared" si="1"/>
        <v>0</v>
      </c>
    </row>
    <row r="1049">
      <c r="G1049" s="4">
        <f t="shared" si="1"/>
        <v>0</v>
      </c>
    </row>
    <row r="1050">
      <c r="G1050" s="4">
        <f t="shared" si="1"/>
        <v>0</v>
      </c>
    </row>
    <row r="1051">
      <c r="G1051" s="4">
        <f t="shared" si="1"/>
        <v>0</v>
      </c>
    </row>
    <row r="1052">
      <c r="G1052" s="4">
        <f t="shared" si="1"/>
        <v>0</v>
      </c>
    </row>
    <row r="1053">
      <c r="G1053" s="4">
        <f t="shared" si="1"/>
        <v>0</v>
      </c>
    </row>
    <row r="1054">
      <c r="G1054" s="4">
        <f t="shared" si="1"/>
        <v>0</v>
      </c>
    </row>
    <row r="1055">
      <c r="G1055" s="4">
        <f t="shared" si="1"/>
        <v>0</v>
      </c>
    </row>
    <row r="1056">
      <c r="G1056" s="4">
        <f t="shared" si="1"/>
        <v>0</v>
      </c>
    </row>
    <row r="1057">
      <c r="G1057" s="4">
        <f t="shared" si="1"/>
        <v>0</v>
      </c>
    </row>
    <row r="1058">
      <c r="G1058" s="4">
        <f t="shared" si="1"/>
        <v>0</v>
      </c>
    </row>
    <row r="1059">
      <c r="G1059" s="4">
        <f t="shared" si="1"/>
        <v>0</v>
      </c>
    </row>
    <row r="1060">
      <c r="G1060" s="4">
        <f t="shared" si="1"/>
        <v>0</v>
      </c>
    </row>
    <row r="1061">
      <c r="G1061" s="4">
        <f t="shared" si="1"/>
        <v>0</v>
      </c>
    </row>
    <row r="1062">
      <c r="G1062" s="4">
        <f t="shared" si="1"/>
        <v>0</v>
      </c>
    </row>
    <row r="1063">
      <c r="G1063" s="4">
        <f t="shared" si="1"/>
        <v>0</v>
      </c>
    </row>
    <row r="1064">
      <c r="G1064" s="4">
        <f t="shared" si="1"/>
        <v>0</v>
      </c>
    </row>
    <row r="1065">
      <c r="G1065" s="4">
        <f t="shared" si="1"/>
        <v>0</v>
      </c>
    </row>
    <row r="1066">
      <c r="G1066" s="4">
        <f t="shared" si="1"/>
        <v>0</v>
      </c>
    </row>
    <row r="1067">
      <c r="G1067" s="4">
        <f t="shared" si="1"/>
        <v>0</v>
      </c>
    </row>
    <row r="1068">
      <c r="G1068" s="4">
        <f t="shared" si="1"/>
        <v>0</v>
      </c>
    </row>
    <row r="1069">
      <c r="G1069" s="4">
        <f t="shared" si="1"/>
        <v>0</v>
      </c>
    </row>
    <row r="1070">
      <c r="G1070" s="4">
        <f t="shared" si="1"/>
        <v>0</v>
      </c>
    </row>
    <row r="1071">
      <c r="G1071" s="4">
        <f t="shared" si="1"/>
        <v>0</v>
      </c>
    </row>
    <row r="1072">
      <c r="G1072" s="4">
        <f t="shared" si="1"/>
        <v>0</v>
      </c>
    </row>
    <row r="1073">
      <c r="G1073" s="4">
        <f t="shared" si="1"/>
        <v>0</v>
      </c>
    </row>
    <row r="1074">
      <c r="G1074" s="4">
        <f t="shared" si="1"/>
        <v>0</v>
      </c>
    </row>
    <row r="1075">
      <c r="G1075" s="4">
        <f t="shared" si="1"/>
        <v>0</v>
      </c>
    </row>
    <row r="1076">
      <c r="G1076" s="4">
        <f t="shared" si="1"/>
        <v>0</v>
      </c>
    </row>
    <row r="1077">
      <c r="G1077" s="4">
        <f t="shared" si="1"/>
        <v>0</v>
      </c>
    </row>
    <row r="1078">
      <c r="G1078" s="4">
        <f t="shared" si="1"/>
        <v>0</v>
      </c>
    </row>
    <row r="1079">
      <c r="G1079" s="4">
        <f t="shared" si="1"/>
        <v>0</v>
      </c>
    </row>
    <row r="1080">
      <c r="G1080" s="4">
        <f t="shared" si="1"/>
        <v>0</v>
      </c>
    </row>
    <row r="1081">
      <c r="G1081" s="4">
        <f t="shared" si="1"/>
        <v>0</v>
      </c>
    </row>
    <row r="1082">
      <c r="G1082" s="4">
        <f t="shared" si="1"/>
        <v>0</v>
      </c>
    </row>
    <row r="1083">
      <c r="G1083" s="4">
        <f t="shared" si="1"/>
        <v>0</v>
      </c>
    </row>
    <row r="1084">
      <c r="G1084" s="4">
        <f t="shared" si="1"/>
        <v>0</v>
      </c>
    </row>
    <row r="1085">
      <c r="G1085" s="4">
        <f t="shared" si="1"/>
        <v>0</v>
      </c>
    </row>
    <row r="1086">
      <c r="G1086" s="4">
        <f t="shared" si="1"/>
        <v>0</v>
      </c>
    </row>
    <row r="1087">
      <c r="G1087" s="4">
        <f t="shared" si="1"/>
        <v>0</v>
      </c>
    </row>
    <row r="1088">
      <c r="G1088" s="4">
        <f t="shared" si="1"/>
        <v>0</v>
      </c>
    </row>
    <row r="1089">
      <c r="G1089" s="4">
        <f t="shared" si="1"/>
        <v>0</v>
      </c>
    </row>
    <row r="1090">
      <c r="G1090" s="4">
        <f t="shared" si="1"/>
        <v>0</v>
      </c>
    </row>
    <row r="1091">
      <c r="G1091" s="4">
        <f t="shared" si="1"/>
        <v>0</v>
      </c>
    </row>
    <row r="1092">
      <c r="G1092" s="4">
        <f t="shared" si="1"/>
        <v>0</v>
      </c>
    </row>
    <row r="1093">
      <c r="G1093" s="4">
        <f t="shared" si="1"/>
        <v>0</v>
      </c>
    </row>
    <row r="1094">
      <c r="G1094" s="4">
        <f t="shared" si="1"/>
        <v>0</v>
      </c>
    </row>
    <row r="1095">
      <c r="G1095" s="4">
        <f t="shared" si="1"/>
        <v>0</v>
      </c>
    </row>
    <row r="1096">
      <c r="G1096" s="4">
        <f t="shared" si="1"/>
        <v>0</v>
      </c>
    </row>
    <row r="1097">
      <c r="G1097" s="4">
        <f t="shared" si="1"/>
        <v>0</v>
      </c>
    </row>
    <row r="1098">
      <c r="G1098" s="4">
        <f t="shared" si="1"/>
        <v>0</v>
      </c>
    </row>
    <row r="1099">
      <c r="G1099" s="4">
        <f t="shared" si="1"/>
        <v>0</v>
      </c>
    </row>
    <row r="1100">
      <c r="G1100" s="4">
        <f t="shared" si="1"/>
        <v>0</v>
      </c>
    </row>
    <row r="1101">
      <c r="G1101" s="4">
        <f t="shared" si="1"/>
        <v>0</v>
      </c>
    </row>
    <row r="1102">
      <c r="G1102" s="4">
        <f t="shared" si="1"/>
        <v>0</v>
      </c>
    </row>
    <row r="1103">
      <c r="G1103" s="4">
        <f t="shared" si="1"/>
        <v>0</v>
      </c>
    </row>
    <row r="1104">
      <c r="G1104" s="4">
        <f t="shared" si="1"/>
        <v>0</v>
      </c>
    </row>
    <row r="1105">
      <c r="G1105" s="4">
        <f t="shared" si="1"/>
        <v>0</v>
      </c>
    </row>
    <row r="1106">
      <c r="G1106" s="4">
        <f t="shared" si="1"/>
        <v>0</v>
      </c>
    </row>
    <row r="1107">
      <c r="G1107" s="4">
        <f t="shared" si="1"/>
        <v>0</v>
      </c>
    </row>
    <row r="1108">
      <c r="G1108" s="4">
        <f t="shared" si="1"/>
        <v>0</v>
      </c>
    </row>
    <row r="1109">
      <c r="G1109" s="4">
        <f t="shared" si="1"/>
        <v>0</v>
      </c>
    </row>
    <row r="1110">
      <c r="G1110" s="4">
        <f t="shared" si="1"/>
        <v>0</v>
      </c>
    </row>
    <row r="1111">
      <c r="G1111" s="4">
        <f t="shared" si="1"/>
        <v>0</v>
      </c>
    </row>
    <row r="1112">
      <c r="G1112" s="4">
        <f t="shared" si="1"/>
        <v>0</v>
      </c>
    </row>
    <row r="1113">
      <c r="G1113" s="4">
        <f t="shared" si="1"/>
        <v>0</v>
      </c>
    </row>
    <row r="1114">
      <c r="G1114" s="4">
        <f t="shared" si="1"/>
        <v>0</v>
      </c>
    </row>
    <row r="1115">
      <c r="G1115" s="4">
        <f t="shared" si="1"/>
        <v>0</v>
      </c>
    </row>
    <row r="1116">
      <c r="G1116" s="4">
        <f t="shared" si="1"/>
        <v>0</v>
      </c>
    </row>
    <row r="1117">
      <c r="G1117" s="4">
        <f t="shared" si="1"/>
        <v>0</v>
      </c>
    </row>
    <row r="1118">
      <c r="G1118" s="4">
        <f t="shared" si="1"/>
        <v>0</v>
      </c>
    </row>
    <row r="1119">
      <c r="G1119" s="4">
        <f t="shared" si="1"/>
        <v>0</v>
      </c>
    </row>
    <row r="1120">
      <c r="G1120" s="4">
        <f t="shared" si="1"/>
        <v>0</v>
      </c>
    </row>
    <row r="1121">
      <c r="G1121" s="4">
        <f t="shared" si="1"/>
        <v>0</v>
      </c>
    </row>
    <row r="1122">
      <c r="G1122" s="4">
        <f t="shared" si="1"/>
        <v>0</v>
      </c>
    </row>
    <row r="1123">
      <c r="G1123" s="4">
        <f t="shared" si="1"/>
        <v>0</v>
      </c>
    </row>
    <row r="1124">
      <c r="G1124" s="4">
        <f t="shared" si="1"/>
        <v>0</v>
      </c>
    </row>
    <row r="1125">
      <c r="G1125" s="4">
        <f t="shared" si="1"/>
        <v>0</v>
      </c>
    </row>
    <row r="1126">
      <c r="G1126" s="4">
        <f t="shared" si="1"/>
        <v>0</v>
      </c>
    </row>
    <row r="1127">
      <c r="G1127" s="4">
        <f t="shared" si="1"/>
        <v>0</v>
      </c>
    </row>
    <row r="1128">
      <c r="G1128" s="4">
        <f t="shared" si="1"/>
        <v>0</v>
      </c>
    </row>
    <row r="1129">
      <c r="G1129" s="4">
        <f t="shared" si="1"/>
        <v>0</v>
      </c>
    </row>
    <row r="1130">
      <c r="G1130" s="4">
        <f t="shared" si="1"/>
        <v>0</v>
      </c>
    </row>
    <row r="1131">
      <c r="G1131" s="4">
        <f t="shared" si="1"/>
        <v>0</v>
      </c>
    </row>
    <row r="1132">
      <c r="G1132" s="4">
        <f t="shared" si="1"/>
        <v>0</v>
      </c>
    </row>
    <row r="1133">
      <c r="G1133" s="4">
        <f t="shared" si="1"/>
        <v>0</v>
      </c>
    </row>
    <row r="1134">
      <c r="G1134" s="4">
        <f t="shared" si="1"/>
        <v>0</v>
      </c>
    </row>
    <row r="1135">
      <c r="G1135" s="4">
        <f t="shared" si="1"/>
        <v>0</v>
      </c>
    </row>
    <row r="1136">
      <c r="G1136" s="4">
        <f t="shared" si="1"/>
        <v>0</v>
      </c>
    </row>
    <row r="1137">
      <c r="G1137" s="4">
        <f t="shared" si="1"/>
        <v>0</v>
      </c>
    </row>
    <row r="1138">
      <c r="G1138" s="4">
        <f t="shared" si="1"/>
        <v>0</v>
      </c>
    </row>
    <row r="1139">
      <c r="G1139" s="4">
        <f t="shared" si="1"/>
        <v>0</v>
      </c>
    </row>
    <row r="1140">
      <c r="G1140" s="4">
        <f t="shared" si="1"/>
        <v>0</v>
      </c>
    </row>
    <row r="1141">
      <c r="G1141" s="4">
        <f t="shared" si="1"/>
        <v>0</v>
      </c>
    </row>
    <row r="1142">
      <c r="G1142" s="4">
        <f t="shared" si="1"/>
        <v>0</v>
      </c>
    </row>
    <row r="1143">
      <c r="G1143" s="4">
        <f t="shared" si="1"/>
        <v>0</v>
      </c>
    </row>
    <row r="1144">
      <c r="G1144" s="4">
        <f t="shared" si="1"/>
        <v>0</v>
      </c>
    </row>
    <row r="1145">
      <c r="G1145" s="4">
        <f t="shared" si="1"/>
        <v>0</v>
      </c>
    </row>
    <row r="1146">
      <c r="G1146" s="4">
        <f t="shared" si="1"/>
        <v>0</v>
      </c>
    </row>
    <row r="1147">
      <c r="G1147" s="4">
        <f t="shared" si="1"/>
        <v>0</v>
      </c>
    </row>
    <row r="1148">
      <c r="G1148" s="4">
        <f t="shared" si="1"/>
        <v>0</v>
      </c>
    </row>
    <row r="1149">
      <c r="G1149" s="4">
        <f t="shared" si="1"/>
        <v>0</v>
      </c>
    </row>
    <row r="1150">
      <c r="G1150" s="4">
        <f t="shared" si="1"/>
        <v>0</v>
      </c>
    </row>
    <row r="1151">
      <c r="G1151" s="4">
        <f t="shared" si="1"/>
        <v>0</v>
      </c>
    </row>
    <row r="1152">
      <c r="G1152" s="4">
        <f t="shared" si="1"/>
        <v>0</v>
      </c>
    </row>
    <row r="1153">
      <c r="G1153" s="4">
        <f t="shared" si="1"/>
        <v>0</v>
      </c>
    </row>
    <row r="1154">
      <c r="G1154" s="4">
        <f t="shared" si="1"/>
        <v>0</v>
      </c>
    </row>
    <row r="1155">
      <c r="G1155" s="4">
        <f t="shared" si="1"/>
        <v>0</v>
      </c>
    </row>
    <row r="1156">
      <c r="G1156" s="4">
        <f t="shared" si="1"/>
        <v>0</v>
      </c>
    </row>
    <row r="1157">
      <c r="G1157" s="4">
        <f t="shared" si="1"/>
        <v>0</v>
      </c>
    </row>
    <row r="1158">
      <c r="G1158" s="4">
        <f t="shared" si="1"/>
        <v>0</v>
      </c>
    </row>
    <row r="1159">
      <c r="G1159" s="4">
        <f t="shared" si="1"/>
        <v>0</v>
      </c>
    </row>
    <row r="1160">
      <c r="G1160" s="4">
        <f t="shared" si="1"/>
        <v>0</v>
      </c>
    </row>
    <row r="1161">
      <c r="G1161" s="4">
        <f t="shared" si="1"/>
        <v>0</v>
      </c>
    </row>
    <row r="1162">
      <c r="G1162" s="4">
        <f t="shared" si="1"/>
        <v>0</v>
      </c>
    </row>
    <row r="1163">
      <c r="G1163" s="4">
        <f t="shared" si="1"/>
        <v>0</v>
      </c>
    </row>
    <row r="1164">
      <c r="G1164" s="4">
        <f t="shared" si="1"/>
        <v>0</v>
      </c>
    </row>
    <row r="1165">
      <c r="G1165" s="4">
        <f t="shared" si="1"/>
        <v>0</v>
      </c>
    </row>
    <row r="1166">
      <c r="G1166" s="4">
        <f t="shared" si="1"/>
        <v>0</v>
      </c>
    </row>
    <row r="1167">
      <c r="G1167" s="4">
        <f t="shared" si="1"/>
        <v>0</v>
      </c>
    </row>
    <row r="1168">
      <c r="G1168" s="4">
        <f t="shared" si="1"/>
        <v>0</v>
      </c>
    </row>
    <row r="1169">
      <c r="G1169" s="4">
        <f t="shared" si="1"/>
        <v>0</v>
      </c>
    </row>
    <row r="1170">
      <c r="G1170" s="4">
        <f t="shared" si="1"/>
        <v>0</v>
      </c>
    </row>
    <row r="1171">
      <c r="G1171" s="4">
        <f t="shared" si="1"/>
        <v>0</v>
      </c>
    </row>
    <row r="1172">
      <c r="G1172" s="4">
        <f t="shared" si="1"/>
        <v>0</v>
      </c>
    </row>
    <row r="1173">
      <c r="G1173" s="4">
        <f t="shared" si="1"/>
        <v>0</v>
      </c>
    </row>
    <row r="1174">
      <c r="G1174" s="4">
        <f t="shared" si="1"/>
        <v>0</v>
      </c>
    </row>
    <row r="1175">
      <c r="G1175" s="4">
        <f t="shared" si="1"/>
        <v>0</v>
      </c>
    </row>
    <row r="1176">
      <c r="G1176" s="4">
        <f t="shared" si="1"/>
        <v>0</v>
      </c>
    </row>
    <row r="1177">
      <c r="G1177" s="4">
        <f t="shared" si="1"/>
        <v>0</v>
      </c>
    </row>
    <row r="1178">
      <c r="G1178" s="4">
        <f t="shared" si="1"/>
        <v>0</v>
      </c>
    </row>
    <row r="1179">
      <c r="G1179" s="4">
        <f t="shared" si="1"/>
        <v>0</v>
      </c>
    </row>
    <row r="1180">
      <c r="G1180" s="4">
        <f t="shared" si="1"/>
        <v>0</v>
      </c>
    </row>
    <row r="1181">
      <c r="G1181" s="4">
        <f t="shared" si="1"/>
        <v>0</v>
      </c>
    </row>
    <row r="1182">
      <c r="G1182" s="4">
        <f t="shared" si="1"/>
        <v>0</v>
      </c>
    </row>
    <row r="1183">
      <c r="G1183" s="4">
        <f t="shared" si="1"/>
        <v>0</v>
      </c>
    </row>
    <row r="1184">
      <c r="G1184" s="4">
        <f t="shared" si="1"/>
        <v>0</v>
      </c>
    </row>
    <row r="1185">
      <c r="G1185" s="4">
        <f t="shared" si="1"/>
        <v>0</v>
      </c>
    </row>
    <row r="1186">
      <c r="G1186" s="4">
        <f t="shared" si="1"/>
        <v>0</v>
      </c>
    </row>
    <row r="1187">
      <c r="G1187" s="4">
        <f t="shared" si="1"/>
        <v>0</v>
      </c>
    </row>
    <row r="1188">
      <c r="G1188" s="4">
        <f t="shared" si="1"/>
        <v>0</v>
      </c>
    </row>
    <row r="1189">
      <c r="G1189" s="4">
        <f t="shared" si="1"/>
        <v>0</v>
      </c>
    </row>
    <row r="1190">
      <c r="G1190" s="4">
        <f t="shared" si="1"/>
        <v>0</v>
      </c>
    </row>
    <row r="1191">
      <c r="G1191" s="4">
        <f t="shared" si="1"/>
        <v>0</v>
      </c>
    </row>
    <row r="1192">
      <c r="G1192" s="4">
        <f t="shared" si="1"/>
        <v>0</v>
      </c>
    </row>
    <row r="1193">
      <c r="G1193" s="4">
        <f t="shared" si="1"/>
        <v>0</v>
      </c>
    </row>
    <row r="1194">
      <c r="G1194" s="4">
        <f t="shared" si="1"/>
        <v>0</v>
      </c>
    </row>
    <row r="1195">
      <c r="G1195" s="4">
        <f t="shared" si="1"/>
        <v>0</v>
      </c>
    </row>
    <row r="1196">
      <c r="G1196" s="4">
        <f t="shared" si="1"/>
        <v>0</v>
      </c>
    </row>
    <row r="1197">
      <c r="G1197" s="4">
        <f t="shared" si="1"/>
        <v>0</v>
      </c>
    </row>
    <row r="1198">
      <c r="G1198" s="4">
        <f t="shared" si="1"/>
        <v>0</v>
      </c>
    </row>
    <row r="1199">
      <c r="G1199" s="4">
        <f t="shared" si="1"/>
        <v>0</v>
      </c>
    </row>
    <row r="1200">
      <c r="G1200" s="4">
        <f t="shared" si="1"/>
        <v>0</v>
      </c>
    </row>
    <row r="1201">
      <c r="G1201" s="4">
        <f t="shared" si="1"/>
        <v>0</v>
      </c>
    </row>
    <row r="1202">
      <c r="G1202" s="4">
        <f t="shared" si="1"/>
        <v>0</v>
      </c>
    </row>
    <row r="1203">
      <c r="G1203" s="4">
        <f t="shared" si="1"/>
        <v>0</v>
      </c>
    </row>
    <row r="1204">
      <c r="G1204" s="4">
        <f t="shared" si="1"/>
        <v>0</v>
      </c>
    </row>
    <row r="1205">
      <c r="G1205" s="4">
        <f t="shared" si="1"/>
        <v>0</v>
      </c>
    </row>
    <row r="1206">
      <c r="G1206" s="4">
        <f t="shared" si="1"/>
        <v>0</v>
      </c>
    </row>
    <row r="1207">
      <c r="G1207" s="4">
        <f t="shared" si="1"/>
        <v>0</v>
      </c>
    </row>
    <row r="1208">
      <c r="G1208" s="4">
        <f t="shared" si="1"/>
        <v>0</v>
      </c>
    </row>
    <row r="1209">
      <c r="G1209" s="4">
        <f t="shared" si="1"/>
        <v>0</v>
      </c>
    </row>
    <row r="1210">
      <c r="G1210" s="4">
        <f t="shared" si="1"/>
        <v>0</v>
      </c>
    </row>
    <row r="1211">
      <c r="G1211" s="4">
        <f t="shared" si="1"/>
        <v>0</v>
      </c>
    </row>
    <row r="1212">
      <c r="G1212" s="4">
        <f t="shared" si="1"/>
        <v>0</v>
      </c>
    </row>
    <row r="1213">
      <c r="G1213" s="4">
        <f t="shared" si="1"/>
        <v>0</v>
      </c>
    </row>
    <row r="1214">
      <c r="G1214" s="4">
        <f t="shared" si="1"/>
        <v>0</v>
      </c>
    </row>
    <row r="1215">
      <c r="G1215" s="4">
        <f t="shared" si="1"/>
        <v>0</v>
      </c>
    </row>
    <row r="1216">
      <c r="G1216" s="4">
        <f t="shared" si="1"/>
        <v>0</v>
      </c>
    </row>
    <row r="1217">
      <c r="G1217" s="4">
        <f t="shared" si="1"/>
        <v>0</v>
      </c>
    </row>
    <row r="1218">
      <c r="G1218" s="4">
        <f t="shared" si="1"/>
        <v>0</v>
      </c>
    </row>
    <row r="1219">
      <c r="G1219" s="4">
        <f t="shared" si="1"/>
        <v>0</v>
      </c>
    </row>
    <row r="1220">
      <c r="G1220" s="4">
        <f t="shared" si="1"/>
        <v>0</v>
      </c>
    </row>
    <row r="1221">
      <c r="G1221" s="4">
        <f t="shared" si="1"/>
        <v>0</v>
      </c>
    </row>
    <row r="1222">
      <c r="G1222" s="4">
        <f t="shared" si="1"/>
        <v>0</v>
      </c>
    </row>
    <row r="1223">
      <c r="G1223" s="4">
        <f t="shared" si="1"/>
        <v>0</v>
      </c>
    </row>
    <row r="1224">
      <c r="G1224" s="4">
        <f t="shared" si="1"/>
        <v>0</v>
      </c>
    </row>
    <row r="1225">
      <c r="G1225" s="4">
        <f t="shared" si="1"/>
        <v>0</v>
      </c>
    </row>
    <row r="1226">
      <c r="G1226" s="4">
        <f t="shared" si="1"/>
        <v>0</v>
      </c>
    </row>
    <row r="1227">
      <c r="G1227" s="4">
        <f t="shared" si="1"/>
        <v>0</v>
      </c>
    </row>
    <row r="1228">
      <c r="G1228" s="4">
        <f t="shared" si="1"/>
        <v>0</v>
      </c>
    </row>
    <row r="1229">
      <c r="G1229" s="4">
        <f t="shared" si="1"/>
        <v>0</v>
      </c>
    </row>
    <row r="1230">
      <c r="G1230" s="4">
        <f t="shared" si="1"/>
        <v>0</v>
      </c>
    </row>
    <row r="1231">
      <c r="G1231" s="4">
        <f t="shared" si="1"/>
        <v>0</v>
      </c>
    </row>
    <row r="1232">
      <c r="G1232" s="4">
        <f t="shared" si="1"/>
        <v>0</v>
      </c>
    </row>
    <row r="1233">
      <c r="G1233" s="4">
        <f t="shared" si="1"/>
        <v>0</v>
      </c>
    </row>
    <row r="1234">
      <c r="G1234" s="4">
        <f t="shared" si="1"/>
        <v>0</v>
      </c>
    </row>
    <row r="1235">
      <c r="G1235" s="4">
        <f t="shared" si="1"/>
        <v>0</v>
      </c>
    </row>
    <row r="1236">
      <c r="G1236" s="4">
        <f t="shared" si="1"/>
        <v>0</v>
      </c>
    </row>
    <row r="1237">
      <c r="G1237" s="4">
        <f t="shared" si="1"/>
        <v>0</v>
      </c>
    </row>
    <row r="1238">
      <c r="G1238" s="4">
        <f t="shared" si="1"/>
        <v>0</v>
      </c>
    </row>
    <row r="1239">
      <c r="G1239" s="4">
        <f t="shared" si="1"/>
        <v>0</v>
      </c>
    </row>
    <row r="1240">
      <c r="G1240" s="4">
        <f t="shared" si="1"/>
        <v>0</v>
      </c>
    </row>
    <row r="1241">
      <c r="G1241" s="4">
        <f t="shared" si="1"/>
        <v>0</v>
      </c>
    </row>
    <row r="1242">
      <c r="G1242" s="4">
        <f t="shared" si="1"/>
        <v>0</v>
      </c>
    </row>
    <row r="1243">
      <c r="G1243" s="4">
        <f t="shared" si="1"/>
        <v>0</v>
      </c>
    </row>
    <row r="1244">
      <c r="G1244" s="4">
        <f t="shared" si="1"/>
        <v>0</v>
      </c>
    </row>
    <row r="1245">
      <c r="G1245" s="4">
        <f t="shared" si="1"/>
        <v>0</v>
      </c>
    </row>
    <row r="1246">
      <c r="G1246" s="4">
        <f t="shared" si="1"/>
        <v>0</v>
      </c>
    </row>
    <row r="1247">
      <c r="G1247" s="4">
        <f t="shared" si="1"/>
        <v>0</v>
      </c>
    </row>
    <row r="1248">
      <c r="G1248" s="4">
        <f t="shared" si="1"/>
        <v>0</v>
      </c>
    </row>
    <row r="1249">
      <c r="G1249" s="4">
        <f t="shared" si="1"/>
        <v>0</v>
      </c>
    </row>
    <row r="1250">
      <c r="G1250" s="4">
        <f t="shared" si="1"/>
        <v>0</v>
      </c>
    </row>
    <row r="1251">
      <c r="G1251" s="4">
        <f t="shared" si="1"/>
        <v>0</v>
      </c>
    </row>
    <row r="1252">
      <c r="G1252" s="4">
        <f t="shared" si="1"/>
        <v>0</v>
      </c>
    </row>
    <row r="1253">
      <c r="G1253" s="4">
        <f t="shared" si="1"/>
        <v>0</v>
      </c>
    </row>
    <row r="1254">
      <c r="G1254" s="4">
        <f t="shared" si="1"/>
        <v>0</v>
      </c>
    </row>
    <row r="1255">
      <c r="G1255" s="4">
        <f t="shared" si="1"/>
        <v>0</v>
      </c>
    </row>
    <row r="1256">
      <c r="G1256" s="4">
        <f t="shared" si="1"/>
        <v>0</v>
      </c>
    </row>
    <row r="1257">
      <c r="G1257" s="4">
        <f t="shared" si="1"/>
        <v>0</v>
      </c>
    </row>
    <row r="1258">
      <c r="G1258" s="4">
        <f t="shared" si="1"/>
        <v>0</v>
      </c>
    </row>
    <row r="1259">
      <c r="G1259" s="4">
        <f t="shared" si="1"/>
        <v>0</v>
      </c>
    </row>
    <row r="1260">
      <c r="G1260" s="4">
        <f t="shared" si="1"/>
        <v>0</v>
      </c>
    </row>
    <row r="1261">
      <c r="G1261" s="4">
        <f t="shared" si="1"/>
        <v>0</v>
      </c>
    </row>
    <row r="1262">
      <c r="G1262" s="4">
        <f t="shared" si="1"/>
        <v>0</v>
      </c>
    </row>
    <row r="1263">
      <c r="G1263" s="4">
        <f t="shared" si="1"/>
        <v>0</v>
      </c>
    </row>
    <row r="1264">
      <c r="G1264" s="4">
        <f t="shared" si="1"/>
        <v>0</v>
      </c>
    </row>
    <row r="1265">
      <c r="G1265" s="4">
        <f t="shared" si="1"/>
        <v>0</v>
      </c>
    </row>
    <row r="1266">
      <c r="G1266" s="4">
        <f t="shared" si="1"/>
        <v>0</v>
      </c>
    </row>
    <row r="1267">
      <c r="G1267" s="4">
        <f t="shared" si="1"/>
        <v>0</v>
      </c>
    </row>
    <row r="1268">
      <c r="G1268" s="4">
        <f t="shared" si="1"/>
        <v>0</v>
      </c>
    </row>
    <row r="1269">
      <c r="G1269" s="4">
        <f t="shared" si="1"/>
        <v>0</v>
      </c>
    </row>
    <row r="1270">
      <c r="G1270" s="4">
        <f t="shared" si="1"/>
        <v>0</v>
      </c>
    </row>
    <row r="1271">
      <c r="G1271" s="4">
        <f t="shared" si="1"/>
        <v>0</v>
      </c>
    </row>
    <row r="1272">
      <c r="G1272" s="4">
        <f t="shared" si="1"/>
        <v>0</v>
      </c>
    </row>
    <row r="1273">
      <c r="G1273" s="4">
        <f t="shared" si="1"/>
        <v>0</v>
      </c>
    </row>
    <row r="1274">
      <c r="G1274" s="4">
        <f t="shared" si="1"/>
        <v>0</v>
      </c>
    </row>
    <row r="1275">
      <c r="G1275" s="4">
        <f t="shared" si="1"/>
        <v>0</v>
      </c>
    </row>
    <row r="1276">
      <c r="G1276" s="4">
        <f t="shared" si="1"/>
        <v>0</v>
      </c>
    </row>
    <row r="1277">
      <c r="G1277" s="4">
        <f t="shared" si="1"/>
        <v>0</v>
      </c>
    </row>
    <row r="1278">
      <c r="G1278" s="4">
        <f t="shared" si="1"/>
        <v>0</v>
      </c>
    </row>
    <row r="1279">
      <c r="G1279" s="4">
        <f t="shared" si="1"/>
        <v>0</v>
      </c>
    </row>
    <row r="1280">
      <c r="G1280" s="4">
        <f t="shared" si="1"/>
        <v>0</v>
      </c>
    </row>
    <row r="1281">
      <c r="G1281" s="4">
        <f t="shared" si="1"/>
        <v>0</v>
      </c>
    </row>
    <row r="1282">
      <c r="G1282" s="4">
        <f t="shared" si="1"/>
        <v>0</v>
      </c>
    </row>
    <row r="1283">
      <c r="G1283" s="4">
        <f t="shared" si="1"/>
        <v>0</v>
      </c>
    </row>
    <row r="1284">
      <c r="G1284" s="4">
        <f t="shared" si="1"/>
        <v>0</v>
      </c>
    </row>
    <row r="1285">
      <c r="G1285" s="4">
        <f t="shared" si="1"/>
        <v>0</v>
      </c>
    </row>
    <row r="1286">
      <c r="G1286" s="4">
        <f t="shared" si="1"/>
        <v>0</v>
      </c>
    </row>
    <row r="1287">
      <c r="G1287" s="4">
        <f t="shared" si="1"/>
        <v>0</v>
      </c>
    </row>
    <row r="1288">
      <c r="G1288" s="4">
        <f t="shared" si="1"/>
        <v>0</v>
      </c>
    </row>
    <row r="1289">
      <c r="G1289" s="4">
        <f t="shared" si="1"/>
        <v>0</v>
      </c>
    </row>
    <row r="1290">
      <c r="G1290" s="4">
        <f t="shared" si="1"/>
        <v>0</v>
      </c>
    </row>
    <row r="1291">
      <c r="G1291" s="4">
        <f t="shared" si="1"/>
        <v>0</v>
      </c>
    </row>
    <row r="1292">
      <c r="G1292" s="4">
        <f t="shared" si="1"/>
        <v>0</v>
      </c>
    </row>
    <row r="1293">
      <c r="G1293" s="4">
        <f t="shared" si="1"/>
        <v>0</v>
      </c>
    </row>
    <row r="1294">
      <c r="G1294" s="4">
        <f t="shared" si="1"/>
        <v>0</v>
      </c>
    </row>
    <row r="1295">
      <c r="G1295" s="4">
        <f t="shared" si="1"/>
        <v>0</v>
      </c>
    </row>
    <row r="1296">
      <c r="G1296" s="4">
        <f t="shared" si="1"/>
        <v>0</v>
      </c>
    </row>
    <row r="1297">
      <c r="G1297" s="4">
        <f t="shared" si="1"/>
        <v>0</v>
      </c>
    </row>
    <row r="1298">
      <c r="G1298" s="4">
        <f t="shared" si="1"/>
        <v>0</v>
      </c>
    </row>
    <row r="1299">
      <c r="G1299" s="4">
        <f t="shared" si="1"/>
        <v>0</v>
      </c>
    </row>
    <row r="1300">
      <c r="G1300" s="4">
        <f t="shared" si="1"/>
        <v>0</v>
      </c>
    </row>
    <row r="1301">
      <c r="G1301" s="4">
        <f t="shared" si="1"/>
        <v>0</v>
      </c>
    </row>
    <row r="1302">
      <c r="G1302" s="4">
        <f t="shared" si="1"/>
        <v>0</v>
      </c>
    </row>
    <row r="1303">
      <c r="G1303" s="4">
        <f t="shared" si="1"/>
        <v>0</v>
      </c>
    </row>
    <row r="1304">
      <c r="G1304" s="4">
        <f t="shared" si="1"/>
        <v>0</v>
      </c>
    </row>
    <row r="1305">
      <c r="G1305" s="4">
        <f t="shared" si="1"/>
        <v>0</v>
      </c>
    </row>
    <row r="1306">
      <c r="G1306" s="4">
        <f t="shared" si="1"/>
        <v>0</v>
      </c>
    </row>
    <row r="1307">
      <c r="G1307" s="4">
        <f t="shared" si="1"/>
        <v>0</v>
      </c>
    </row>
    <row r="1308">
      <c r="G1308" s="4">
        <f t="shared" si="1"/>
        <v>0</v>
      </c>
    </row>
    <row r="1309">
      <c r="G1309" s="4">
        <f t="shared" si="1"/>
        <v>0</v>
      </c>
    </row>
    <row r="1310">
      <c r="G1310" s="4">
        <f t="shared" si="1"/>
        <v>0</v>
      </c>
    </row>
    <row r="1311">
      <c r="G1311" s="4">
        <f t="shared" si="1"/>
        <v>0</v>
      </c>
    </row>
    <row r="1312">
      <c r="G1312" s="4">
        <f t="shared" si="1"/>
        <v>0</v>
      </c>
    </row>
    <row r="1313">
      <c r="G1313" s="4">
        <f t="shared" si="1"/>
        <v>0</v>
      </c>
    </row>
    <row r="1314">
      <c r="G1314" s="4">
        <f t="shared" si="1"/>
        <v>0</v>
      </c>
    </row>
    <row r="1315">
      <c r="G1315" s="4">
        <f t="shared" si="1"/>
        <v>0</v>
      </c>
    </row>
    <row r="1316">
      <c r="G1316" s="4">
        <f t="shared" si="1"/>
        <v>0</v>
      </c>
    </row>
    <row r="1317">
      <c r="G1317" s="4">
        <f t="shared" si="1"/>
        <v>0</v>
      </c>
    </row>
    <row r="1318">
      <c r="G1318" s="4">
        <f t="shared" si="1"/>
        <v>0</v>
      </c>
    </row>
    <row r="1319">
      <c r="G1319" s="4">
        <f t="shared" si="1"/>
        <v>0</v>
      </c>
    </row>
    <row r="1320">
      <c r="G1320" s="4">
        <f t="shared" si="1"/>
        <v>0</v>
      </c>
    </row>
    <row r="1321">
      <c r="G1321" s="4">
        <f t="shared" si="1"/>
        <v>0</v>
      </c>
    </row>
    <row r="1322">
      <c r="G1322" s="4">
        <f t="shared" si="1"/>
        <v>0</v>
      </c>
    </row>
    <row r="1323">
      <c r="G1323" s="4">
        <f t="shared" si="1"/>
        <v>0</v>
      </c>
    </row>
    <row r="1324">
      <c r="G1324" s="4">
        <f t="shared" si="1"/>
        <v>0</v>
      </c>
    </row>
    <row r="1325">
      <c r="G1325" s="4">
        <f t="shared" si="1"/>
        <v>0</v>
      </c>
    </row>
    <row r="1326">
      <c r="G1326" s="4">
        <f t="shared" si="1"/>
        <v>0</v>
      </c>
    </row>
    <row r="1327">
      <c r="G1327" s="4">
        <f t="shared" si="1"/>
        <v>0</v>
      </c>
    </row>
    <row r="1328">
      <c r="G1328" s="4">
        <f t="shared" si="1"/>
        <v>0</v>
      </c>
    </row>
    <row r="1329">
      <c r="G1329" s="4">
        <f t="shared" si="1"/>
        <v>0</v>
      </c>
    </row>
    <row r="1330">
      <c r="G1330" s="4">
        <f t="shared" si="1"/>
        <v>0</v>
      </c>
    </row>
    <row r="1331">
      <c r="G1331" s="4">
        <f t="shared" si="1"/>
        <v>0</v>
      </c>
    </row>
    <row r="1332">
      <c r="G1332" s="4">
        <f t="shared" si="1"/>
        <v>0</v>
      </c>
    </row>
    <row r="1333">
      <c r="G1333" s="4">
        <f t="shared" si="1"/>
        <v>0</v>
      </c>
    </row>
    <row r="1334">
      <c r="G1334" s="4">
        <f t="shared" si="1"/>
        <v>0</v>
      </c>
    </row>
    <row r="1335">
      <c r="G1335" s="4">
        <f t="shared" si="1"/>
        <v>0</v>
      </c>
    </row>
    <row r="1336">
      <c r="G1336" s="4">
        <f t="shared" si="1"/>
        <v>0</v>
      </c>
    </row>
    <row r="1337">
      <c r="G1337" s="4">
        <f t="shared" si="1"/>
        <v>0</v>
      </c>
    </row>
    <row r="1338">
      <c r="G1338" s="4">
        <f t="shared" si="1"/>
        <v>0</v>
      </c>
    </row>
    <row r="1339">
      <c r="G1339" s="4">
        <f t="shared" si="1"/>
        <v>0</v>
      </c>
    </row>
    <row r="1340">
      <c r="G1340" s="4">
        <f t="shared" si="1"/>
        <v>0</v>
      </c>
    </row>
    <row r="1341">
      <c r="G1341" s="4">
        <f t="shared" si="1"/>
        <v>0</v>
      </c>
    </row>
    <row r="1342">
      <c r="G1342" s="4">
        <f t="shared" si="1"/>
        <v>0</v>
      </c>
    </row>
    <row r="1343">
      <c r="G1343" s="4">
        <f t="shared" si="1"/>
        <v>0</v>
      </c>
    </row>
    <row r="1344">
      <c r="G1344" s="4">
        <f t="shared" si="1"/>
        <v>0</v>
      </c>
    </row>
    <row r="1345">
      <c r="G1345" s="4">
        <f t="shared" si="1"/>
        <v>0</v>
      </c>
    </row>
    <row r="1346">
      <c r="G1346" s="4">
        <f t="shared" si="1"/>
        <v>0</v>
      </c>
    </row>
    <row r="1347">
      <c r="G1347" s="4">
        <f t="shared" si="1"/>
        <v>0</v>
      </c>
    </row>
    <row r="1348">
      <c r="G1348" s="4">
        <f t="shared" si="1"/>
        <v>0</v>
      </c>
    </row>
    <row r="1349">
      <c r="G1349" s="4">
        <f t="shared" si="1"/>
        <v>0</v>
      </c>
    </row>
    <row r="1350">
      <c r="G1350" s="4">
        <f t="shared" si="1"/>
        <v>0</v>
      </c>
    </row>
    <row r="1351">
      <c r="G1351" s="4">
        <f t="shared" si="1"/>
        <v>0</v>
      </c>
    </row>
    <row r="1352">
      <c r="G1352" s="4">
        <f t="shared" si="1"/>
        <v>0</v>
      </c>
    </row>
    <row r="1353">
      <c r="G1353" s="4">
        <f t="shared" si="1"/>
        <v>0</v>
      </c>
    </row>
    <row r="1354">
      <c r="G1354" s="4">
        <f t="shared" si="1"/>
        <v>0</v>
      </c>
    </row>
    <row r="1355">
      <c r="G1355" s="4">
        <f t="shared" si="1"/>
        <v>0</v>
      </c>
    </row>
    <row r="1356">
      <c r="G1356" s="4">
        <f t="shared" si="1"/>
        <v>0</v>
      </c>
    </row>
    <row r="1357">
      <c r="G1357" s="4">
        <f t="shared" si="1"/>
        <v>0</v>
      </c>
    </row>
    <row r="1358">
      <c r="G1358" s="4">
        <f t="shared" si="1"/>
        <v>0</v>
      </c>
    </row>
    <row r="1359">
      <c r="G1359" s="4">
        <f t="shared" si="1"/>
        <v>0</v>
      </c>
    </row>
    <row r="1360">
      <c r="G1360" s="4">
        <f t="shared" si="1"/>
        <v>0</v>
      </c>
    </row>
    <row r="1361">
      <c r="G1361" s="4">
        <f t="shared" si="1"/>
        <v>0</v>
      </c>
    </row>
    <row r="1362">
      <c r="G1362" s="4">
        <f t="shared" si="1"/>
        <v>0</v>
      </c>
    </row>
    <row r="1363">
      <c r="G1363" s="4">
        <f t="shared" si="1"/>
        <v>0</v>
      </c>
    </row>
    <row r="1364">
      <c r="G1364" s="4">
        <f t="shared" si="1"/>
        <v>0</v>
      </c>
    </row>
    <row r="1365">
      <c r="G1365" s="4">
        <f t="shared" si="1"/>
        <v>0</v>
      </c>
    </row>
    <row r="1366">
      <c r="G1366" s="4">
        <f t="shared" si="1"/>
        <v>0</v>
      </c>
    </row>
    <row r="1367">
      <c r="G1367" s="4">
        <f t="shared" si="1"/>
        <v>0</v>
      </c>
    </row>
    <row r="1368">
      <c r="G1368" s="4">
        <f t="shared" si="1"/>
        <v>0</v>
      </c>
    </row>
    <row r="1369">
      <c r="G1369" s="4">
        <f t="shared" si="1"/>
        <v>0</v>
      </c>
    </row>
    <row r="1370">
      <c r="G1370" s="4">
        <f t="shared" si="1"/>
        <v>0</v>
      </c>
    </row>
    <row r="1371">
      <c r="G1371" s="4">
        <f t="shared" si="1"/>
        <v>0</v>
      </c>
    </row>
    <row r="1372">
      <c r="G1372" s="4">
        <f t="shared" si="1"/>
        <v>0</v>
      </c>
    </row>
    <row r="1373">
      <c r="G1373" s="4">
        <f t="shared" si="1"/>
        <v>0</v>
      </c>
    </row>
    <row r="1374">
      <c r="G1374" s="4">
        <f t="shared" si="1"/>
        <v>0</v>
      </c>
    </row>
    <row r="1375">
      <c r="G1375" s="4">
        <f t="shared" si="1"/>
        <v>0</v>
      </c>
    </row>
    <row r="1376">
      <c r="G1376" s="4">
        <f t="shared" si="1"/>
        <v>0</v>
      </c>
    </row>
    <row r="1377">
      <c r="G1377" s="4">
        <f t="shared" si="1"/>
        <v>0</v>
      </c>
    </row>
    <row r="1378">
      <c r="G1378" s="4">
        <f t="shared" si="1"/>
        <v>0</v>
      </c>
    </row>
    <row r="1379">
      <c r="G1379" s="4">
        <f t="shared" si="1"/>
        <v>0</v>
      </c>
    </row>
    <row r="1380">
      <c r="G1380" s="4">
        <f t="shared" si="1"/>
        <v>0</v>
      </c>
    </row>
    <row r="1381">
      <c r="G1381" s="4">
        <f t="shared" si="1"/>
        <v>0</v>
      </c>
    </row>
    <row r="1382">
      <c r="G1382" s="4">
        <f t="shared" si="1"/>
        <v>0</v>
      </c>
    </row>
    <row r="1383">
      <c r="G1383" s="4">
        <f t="shared" si="1"/>
        <v>0</v>
      </c>
    </row>
    <row r="1384">
      <c r="G1384" s="4">
        <f t="shared" si="1"/>
        <v>0</v>
      </c>
    </row>
    <row r="1385">
      <c r="G1385" s="4">
        <f t="shared" si="1"/>
        <v>0</v>
      </c>
    </row>
    <row r="1386">
      <c r="G1386" s="4">
        <f t="shared" si="1"/>
        <v>0</v>
      </c>
    </row>
    <row r="1387">
      <c r="G1387" s="4">
        <f t="shared" si="1"/>
        <v>0</v>
      </c>
    </row>
    <row r="1388">
      <c r="G1388" s="4">
        <f t="shared" si="1"/>
        <v>0</v>
      </c>
    </row>
    <row r="1389">
      <c r="G1389" s="4">
        <f t="shared" si="1"/>
        <v>0</v>
      </c>
    </row>
    <row r="1390">
      <c r="G1390" s="4">
        <f t="shared" si="1"/>
        <v>0</v>
      </c>
    </row>
    <row r="1391">
      <c r="G1391" s="4">
        <f t="shared" si="1"/>
        <v>0</v>
      </c>
    </row>
    <row r="1392">
      <c r="G1392" s="4">
        <f t="shared" si="1"/>
        <v>0</v>
      </c>
    </row>
    <row r="1393">
      <c r="G1393" s="4">
        <f t="shared" si="1"/>
        <v>0</v>
      </c>
    </row>
    <row r="1394">
      <c r="G1394" s="4">
        <f t="shared" si="1"/>
        <v>0</v>
      </c>
    </row>
    <row r="1395">
      <c r="G1395" s="4">
        <f t="shared" si="1"/>
        <v>0</v>
      </c>
    </row>
    <row r="1396">
      <c r="G1396" s="4">
        <f t="shared" si="1"/>
        <v>0</v>
      </c>
    </row>
    <row r="1397">
      <c r="G1397" s="4">
        <f t="shared" si="1"/>
        <v>0</v>
      </c>
    </row>
    <row r="1398">
      <c r="G1398" s="4">
        <f t="shared" si="1"/>
        <v>0</v>
      </c>
    </row>
    <row r="1399">
      <c r="G1399" s="4">
        <f t="shared" si="1"/>
        <v>0</v>
      </c>
    </row>
    <row r="1400">
      <c r="G1400" s="4">
        <f t="shared" si="1"/>
        <v>0</v>
      </c>
    </row>
    <row r="1401">
      <c r="G1401" s="4">
        <f t="shared" si="1"/>
        <v>0</v>
      </c>
    </row>
    <row r="1402">
      <c r="G1402" s="4">
        <f t="shared" si="1"/>
        <v>0</v>
      </c>
    </row>
    <row r="1403">
      <c r="G1403" s="4">
        <f t="shared" si="1"/>
        <v>0</v>
      </c>
    </row>
    <row r="1404">
      <c r="G1404" s="4">
        <f t="shared" si="1"/>
        <v>0</v>
      </c>
    </row>
    <row r="1405">
      <c r="G1405" s="4">
        <f t="shared" si="1"/>
        <v>0</v>
      </c>
    </row>
    <row r="1406">
      <c r="G1406" s="4">
        <f t="shared" si="1"/>
        <v>0</v>
      </c>
    </row>
    <row r="1407">
      <c r="G1407" s="4">
        <f t="shared" si="1"/>
        <v>0</v>
      </c>
    </row>
    <row r="1408">
      <c r="G1408" s="4">
        <f t="shared" si="1"/>
        <v>0</v>
      </c>
    </row>
    <row r="1409">
      <c r="G1409" s="4">
        <f t="shared" si="1"/>
        <v>0</v>
      </c>
    </row>
    <row r="1410">
      <c r="G1410" s="4">
        <f t="shared" si="1"/>
        <v>0</v>
      </c>
    </row>
    <row r="1411">
      <c r="G1411" s="4">
        <f t="shared" si="1"/>
        <v>0</v>
      </c>
    </row>
    <row r="1412">
      <c r="G1412" s="4">
        <f t="shared" si="1"/>
        <v>0</v>
      </c>
    </row>
    <row r="1413">
      <c r="G1413" s="4">
        <f t="shared" si="1"/>
        <v>0</v>
      </c>
    </row>
    <row r="1414">
      <c r="G1414" s="4">
        <f t="shared" si="1"/>
        <v>0</v>
      </c>
    </row>
    <row r="1415">
      <c r="G1415" s="4">
        <f t="shared" si="1"/>
        <v>0</v>
      </c>
    </row>
    <row r="1416">
      <c r="G1416" s="4">
        <f t="shared" si="1"/>
        <v>0</v>
      </c>
    </row>
    <row r="1417">
      <c r="G1417" s="4">
        <f t="shared" si="1"/>
        <v>0</v>
      </c>
    </row>
    <row r="1418">
      <c r="G1418" s="4">
        <f t="shared" si="1"/>
        <v>0</v>
      </c>
    </row>
    <row r="1419">
      <c r="G1419" s="4">
        <f t="shared" si="1"/>
        <v>0</v>
      </c>
    </row>
    <row r="1420">
      <c r="G1420" s="4">
        <f t="shared" si="1"/>
        <v>0</v>
      </c>
    </row>
    <row r="1421">
      <c r="G1421" s="4">
        <f t="shared" si="1"/>
        <v>0</v>
      </c>
    </row>
    <row r="1422">
      <c r="G1422" s="4">
        <f t="shared" si="1"/>
        <v>0</v>
      </c>
    </row>
    <row r="1423">
      <c r="G1423" s="4">
        <f t="shared" si="1"/>
        <v>0</v>
      </c>
    </row>
    <row r="1424">
      <c r="G1424" s="4">
        <f t="shared" si="1"/>
        <v>0</v>
      </c>
    </row>
    <row r="1425">
      <c r="G1425" s="4">
        <f t="shared" si="1"/>
        <v>0</v>
      </c>
    </row>
    <row r="1426">
      <c r="G1426" s="4">
        <f t="shared" si="1"/>
        <v>0</v>
      </c>
    </row>
    <row r="1427">
      <c r="G1427" s="4">
        <f t="shared" si="1"/>
        <v>0</v>
      </c>
    </row>
    <row r="1428">
      <c r="G1428" s="4">
        <f t="shared" si="1"/>
        <v>0</v>
      </c>
    </row>
    <row r="1429">
      <c r="G1429" s="4">
        <f t="shared" si="1"/>
        <v>0</v>
      </c>
    </row>
    <row r="1430">
      <c r="G1430" s="4">
        <f t="shared" si="1"/>
        <v>0</v>
      </c>
    </row>
    <row r="1431">
      <c r="G1431" s="4">
        <f t="shared" si="1"/>
        <v>0</v>
      </c>
    </row>
    <row r="1432">
      <c r="G1432" s="4">
        <f t="shared" si="1"/>
        <v>0</v>
      </c>
    </row>
    <row r="1433">
      <c r="G1433" s="4">
        <f t="shared" si="1"/>
        <v>0</v>
      </c>
    </row>
    <row r="1434">
      <c r="G1434" s="4">
        <f t="shared" si="1"/>
        <v>0</v>
      </c>
    </row>
    <row r="1435">
      <c r="G1435" s="4">
        <f t="shared" si="1"/>
        <v>0</v>
      </c>
    </row>
    <row r="1436">
      <c r="G1436" s="4">
        <f t="shared" si="1"/>
        <v>0</v>
      </c>
    </row>
    <row r="1437">
      <c r="G1437" s="4">
        <f t="shared" si="1"/>
        <v>0</v>
      </c>
    </row>
    <row r="1438">
      <c r="G1438" s="4">
        <f t="shared" si="1"/>
        <v>0</v>
      </c>
    </row>
    <row r="1439">
      <c r="G1439" s="4">
        <f t="shared" si="1"/>
        <v>0</v>
      </c>
    </row>
    <row r="1440">
      <c r="G1440" s="4">
        <f t="shared" si="1"/>
        <v>0</v>
      </c>
    </row>
    <row r="1441">
      <c r="G1441" s="4">
        <f t="shared" si="1"/>
        <v>0</v>
      </c>
    </row>
    <row r="1442">
      <c r="G1442" s="4">
        <f t="shared" si="1"/>
        <v>0</v>
      </c>
    </row>
    <row r="1443">
      <c r="G1443" s="4">
        <f t="shared" si="1"/>
        <v>0</v>
      </c>
    </row>
    <row r="1444">
      <c r="G1444" s="4">
        <f t="shared" si="1"/>
        <v>0</v>
      </c>
    </row>
    <row r="1445">
      <c r="G1445" s="4">
        <f t="shared" si="1"/>
        <v>0</v>
      </c>
    </row>
    <row r="1446">
      <c r="G1446" s="4">
        <f t="shared" si="1"/>
        <v>0</v>
      </c>
    </row>
    <row r="1447">
      <c r="G1447" s="4">
        <f t="shared" si="1"/>
        <v>0</v>
      </c>
    </row>
    <row r="1448">
      <c r="G1448" s="4">
        <f t="shared" si="1"/>
        <v>0</v>
      </c>
    </row>
    <row r="1449">
      <c r="G1449" s="4">
        <f t="shared" si="1"/>
        <v>0</v>
      </c>
    </row>
    <row r="1450">
      <c r="G1450" s="4">
        <f t="shared" si="1"/>
        <v>0</v>
      </c>
    </row>
    <row r="1451">
      <c r="G1451" s="4">
        <f t="shared" si="1"/>
        <v>0</v>
      </c>
    </row>
    <row r="1452">
      <c r="G1452" s="4">
        <f t="shared" si="1"/>
        <v>0</v>
      </c>
    </row>
    <row r="1453">
      <c r="G1453" s="4">
        <f t="shared" si="1"/>
        <v>0</v>
      </c>
    </row>
    <row r="1454">
      <c r="G1454" s="4">
        <f t="shared" si="1"/>
        <v>0</v>
      </c>
    </row>
    <row r="1455">
      <c r="G1455" s="4">
        <f t="shared" si="1"/>
        <v>0</v>
      </c>
    </row>
    <row r="1456">
      <c r="G1456" s="4">
        <f t="shared" si="1"/>
        <v>0</v>
      </c>
    </row>
    <row r="1457">
      <c r="G1457" s="4">
        <f t="shared" si="1"/>
        <v>0</v>
      </c>
    </row>
    <row r="1458">
      <c r="G1458" s="4">
        <f t="shared" si="1"/>
        <v>0</v>
      </c>
    </row>
    <row r="1459">
      <c r="G1459" s="4">
        <f t="shared" si="1"/>
        <v>0</v>
      </c>
    </row>
    <row r="1460">
      <c r="G1460" s="4">
        <f t="shared" si="1"/>
        <v>0</v>
      </c>
    </row>
    <row r="1461">
      <c r="G1461" s="4">
        <f t="shared" si="1"/>
        <v>0</v>
      </c>
    </row>
    <row r="1462">
      <c r="G1462" s="4">
        <f t="shared" si="1"/>
        <v>0</v>
      </c>
    </row>
    <row r="1463">
      <c r="G1463" s="4">
        <f t="shared" si="1"/>
        <v>0</v>
      </c>
    </row>
    <row r="1464">
      <c r="G1464" s="4">
        <f t="shared" si="1"/>
        <v>0</v>
      </c>
    </row>
    <row r="1465">
      <c r="G1465" s="4">
        <f t="shared" si="1"/>
        <v>0</v>
      </c>
    </row>
    <row r="1466">
      <c r="G1466" s="4">
        <f t="shared" si="1"/>
        <v>0</v>
      </c>
    </row>
    <row r="1467">
      <c r="G1467" s="4">
        <f t="shared" si="1"/>
        <v>0</v>
      </c>
    </row>
    <row r="1468">
      <c r="G1468" s="4">
        <f t="shared" si="1"/>
        <v>0</v>
      </c>
    </row>
    <row r="1469">
      <c r="G1469" s="4">
        <f t="shared" si="1"/>
        <v>0</v>
      </c>
    </row>
    <row r="1470">
      <c r="G1470" s="4">
        <f t="shared" si="1"/>
        <v>0</v>
      </c>
    </row>
    <row r="1471">
      <c r="G1471" s="4">
        <f t="shared" si="1"/>
        <v>0</v>
      </c>
    </row>
    <row r="1472">
      <c r="G1472" s="4">
        <f t="shared" si="1"/>
        <v>0</v>
      </c>
    </row>
    <row r="1473">
      <c r="G1473" s="4">
        <f t="shared" si="1"/>
        <v>0</v>
      </c>
    </row>
    <row r="1474">
      <c r="G1474" s="4">
        <f t="shared" si="1"/>
        <v>0</v>
      </c>
    </row>
    <row r="1475">
      <c r="G1475" s="4">
        <f t="shared" si="1"/>
        <v>0</v>
      </c>
    </row>
    <row r="1476">
      <c r="G1476" s="4">
        <f t="shared" si="1"/>
        <v>0</v>
      </c>
    </row>
    <row r="1477">
      <c r="G1477" s="4">
        <f t="shared" si="1"/>
        <v>0</v>
      </c>
    </row>
    <row r="1478">
      <c r="G1478" s="4">
        <f t="shared" si="1"/>
        <v>0</v>
      </c>
    </row>
    <row r="1479">
      <c r="G1479" s="4">
        <f t="shared" si="1"/>
        <v>0</v>
      </c>
    </row>
    <row r="1480">
      <c r="G1480" s="4">
        <f t="shared" si="1"/>
        <v>0</v>
      </c>
    </row>
    <row r="1481">
      <c r="G1481" s="4">
        <f t="shared" si="1"/>
        <v>0</v>
      </c>
    </row>
    <row r="1482">
      <c r="G1482" s="4">
        <f t="shared" si="1"/>
        <v>0</v>
      </c>
    </row>
    <row r="1483">
      <c r="G1483" s="4">
        <f t="shared" si="1"/>
        <v>0</v>
      </c>
    </row>
    <row r="1484">
      <c r="G1484" s="4">
        <f t="shared" si="1"/>
        <v>0</v>
      </c>
    </row>
    <row r="1485">
      <c r="G1485" s="4">
        <f t="shared" si="1"/>
        <v>0</v>
      </c>
    </row>
    <row r="1486">
      <c r="G1486" s="4">
        <f t="shared" si="1"/>
        <v>0</v>
      </c>
    </row>
    <row r="1487">
      <c r="G1487" s="4">
        <f t="shared" si="1"/>
        <v>0</v>
      </c>
    </row>
    <row r="1488">
      <c r="G1488" s="4">
        <f t="shared" si="1"/>
        <v>0</v>
      </c>
    </row>
    <row r="1489">
      <c r="G1489" s="4">
        <f t="shared" si="1"/>
        <v>0</v>
      </c>
    </row>
    <row r="1490">
      <c r="G1490" s="4">
        <f t="shared" si="1"/>
        <v>0</v>
      </c>
    </row>
    <row r="1491">
      <c r="G1491" s="4">
        <f t="shared" si="1"/>
        <v>0</v>
      </c>
    </row>
    <row r="1492">
      <c r="G1492" s="4">
        <f t="shared" si="1"/>
        <v>0</v>
      </c>
    </row>
    <row r="1493">
      <c r="G1493" s="4">
        <f t="shared" si="1"/>
        <v>0</v>
      </c>
    </row>
    <row r="1494">
      <c r="G1494" s="4">
        <f t="shared" si="1"/>
        <v>0</v>
      </c>
    </row>
    <row r="1495">
      <c r="G1495" s="4">
        <f t="shared" si="1"/>
        <v>0</v>
      </c>
    </row>
    <row r="1496">
      <c r="G1496" s="4">
        <f t="shared" si="1"/>
        <v>0</v>
      </c>
    </row>
    <row r="1497">
      <c r="G1497" s="4">
        <f t="shared" si="1"/>
        <v>0</v>
      </c>
    </row>
    <row r="1498">
      <c r="G1498" s="4">
        <f t="shared" si="1"/>
        <v>0</v>
      </c>
    </row>
    <row r="1499">
      <c r="G1499" s="4">
        <f t="shared" si="1"/>
        <v>0</v>
      </c>
    </row>
    <row r="1500">
      <c r="G1500" s="4">
        <f t="shared" si="1"/>
        <v>0</v>
      </c>
    </row>
    <row r="1501">
      <c r="G1501" s="4">
        <f t="shared" si="1"/>
        <v>0</v>
      </c>
    </row>
    <row r="1502">
      <c r="G1502" s="4">
        <f t="shared" si="1"/>
        <v>0</v>
      </c>
    </row>
    <row r="1503">
      <c r="G1503" s="4">
        <f t="shared" si="1"/>
        <v>0</v>
      </c>
    </row>
    <row r="1504">
      <c r="G1504" s="4">
        <f t="shared" si="1"/>
        <v>0</v>
      </c>
    </row>
    <row r="1505">
      <c r="G1505" s="4">
        <f t="shared" si="1"/>
        <v>0</v>
      </c>
    </row>
    <row r="1506">
      <c r="G1506" s="4">
        <f t="shared" si="1"/>
        <v>0</v>
      </c>
    </row>
    <row r="1507">
      <c r="G1507" s="4">
        <f t="shared" si="1"/>
        <v>0</v>
      </c>
    </row>
    <row r="1508">
      <c r="G1508" s="4">
        <f t="shared" si="1"/>
        <v>0</v>
      </c>
    </row>
    <row r="1509">
      <c r="G1509" s="4">
        <f t="shared" si="1"/>
        <v>0</v>
      </c>
    </row>
    <row r="1510">
      <c r="G1510" s="4">
        <f t="shared" si="1"/>
        <v>0</v>
      </c>
    </row>
    <row r="1511">
      <c r="G1511" s="4">
        <f t="shared" si="1"/>
        <v>0</v>
      </c>
    </row>
    <row r="1512">
      <c r="G1512" s="4">
        <f t="shared" si="1"/>
        <v>0</v>
      </c>
    </row>
    <row r="1513">
      <c r="G1513" s="4">
        <f t="shared" si="1"/>
        <v>0</v>
      </c>
    </row>
    <row r="1514">
      <c r="G1514" s="4">
        <f t="shared" si="1"/>
        <v>0</v>
      </c>
    </row>
    <row r="1515">
      <c r="G1515" s="4">
        <f t="shared" si="1"/>
        <v>0</v>
      </c>
    </row>
    <row r="1516">
      <c r="G1516" s="4">
        <f t="shared" si="1"/>
        <v>0</v>
      </c>
    </row>
    <row r="1517">
      <c r="G1517" s="4">
        <f t="shared" si="1"/>
        <v>0</v>
      </c>
    </row>
    <row r="1518">
      <c r="G1518" s="4">
        <f t="shared" si="1"/>
        <v>0</v>
      </c>
    </row>
    <row r="1519">
      <c r="G1519" s="4">
        <f t="shared" si="1"/>
        <v>0</v>
      </c>
    </row>
    <row r="1520">
      <c r="G1520" s="4">
        <f t="shared" si="1"/>
        <v>0</v>
      </c>
    </row>
    <row r="1521">
      <c r="G1521" s="4">
        <f t="shared" si="1"/>
        <v>0</v>
      </c>
    </row>
    <row r="1522">
      <c r="G1522" s="4">
        <f t="shared" si="1"/>
        <v>0</v>
      </c>
    </row>
    <row r="1523">
      <c r="G1523" s="4">
        <f t="shared" si="1"/>
        <v>0</v>
      </c>
    </row>
    <row r="1524">
      <c r="G1524" s="4">
        <f t="shared" si="1"/>
        <v>0</v>
      </c>
    </row>
    <row r="1525">
      <c r="G1525" s="4">
        <f t="shared" si="1"/>
        <v>0</v>
      </c>
    </row>
    <row r="1526">
      <c r="G1526" s="4">
        <f t="shared" si="1"/>
        <v>0</v>
      </c>
    </row>
    <row r="1527">
      <c r="G1527" s="4">
        <f t="shared" si="1"/>
        <v>0</v>
      </c>
    </row>
    <row r="1528">
      <c r="G1528" s="4">
        <f t="shared" si="1"/>
        <v>0</v>
      </c>
    </row>
    <row r="1529">
      <c r="G1529" s="4">
        <f t="shared" si="1"/>
        <v>0</v>
      </c>
    </row>
    <row r="1530">
      <c r="G1530" s="4">
        <f t="shared" si="1"/>
        <v>0</v>
      </c>
    </row>
    <row r="1531">
      <c r="G1531" s="4">
        <f t="shared" si="1"/>
        <v>0</v>
      </c>
    </row>
    <row r="1532">
      <c r="G1532" s="4">
        <f t="shared" si="1"/>
        <v>0</v>
      </c>
    </row>
    <row r="1533">
      <c r="G1533" s="4">
        <f t="shared" si="1"/>
        <v>0</v>
      </c>
    </row>
    <row r="1534">
      <c r="G1534" s="4">
        <f t="shared" si="1"/>
        <v>0</v>
      </c>
    </row>
    <row r="1535">
      <c r="G1535" s="4">
        <f t="shared" si="1"/>
        <v>0</v>
      </c>
    </row>
    <row r="1536">
      <c r="G1536" s="4">
        <f t="shared" si="1"/>
        <v>0</v>
      </c>
    </row>
    <row r="1537">
      <c r="G1537" s="4">
        <f t="shared" si="1"/>
        <v>0</v>
      </c>
    </row>
    <row r="1538">
      <c r="G1538" s="4">
        <f t="shared" si="1"/>
        <v>0</v>
      </c>
    </row>
    <row r="1539">
      <c r="G1539" s="4">
        <f t="shared" si="1"/>
        <v>0</v>
      </c>
    </row>
    <row r="1540">
      <c r="G1540" s="4">
        <f t="shared" si="1"/>
        <v>0</v>
      </c>
    </row>
    <row r="1541">
      <c r="G1541" s="4">
        <f t="shared" si="1"/>
        <v>0</v>
      </c>
    </row>
    <row r="1542">
      <c r="G1542" s="4">
        <f t="shared" si="1"/>
        <v>0</v>
      </c>
    </row>
    <row r="1543">
      <c r="G1543" s="4">
        <f t="shared" si="1"/>
        <v>0</v>
      </c>
    </row>
    <row r="1544">
      <c r="G1544" s="4">
        <f t="shared" si="1"/>
        <v>0</v>
      </c>
    </row>
    <row r="1545">
      <c r="G1545" s="4">
        <f t="shared" si="1"/>
        <v>0</v>
      </c>
    </row>
    <row r="1546">
      <c r="G1546" s="4">
        <f t="shared" si="1"/>
        <v>0</v>
      </c>
    </row>
    <row r="1547">
      <c r="G1547" s="4">
        <f t="shared" si="1"/>
        <v>0</v>
      </c>
    </row>
    <row r="1548">
      <c r="G1548" s="4">
        <f t="shared" si="1"/>
        <v>0</v>
      </c>
    </row>
    <row r="1549">
      <c r="G1549" s="4">
        <f t="shared" si="1"/>
        <v>0</v>
      </c>
    </row>
    <row r="1550">
      <c r="G1550" s="4">
        <f t="shared" si="1"/>
        <v>0</v>
      </c>
    </row>
    <row r="1551">
      <c r="G1551" s="4">
        <f t="shared" si="1"/>
        <v>0</v>
      </c>
    </row>
    <row r="1552">
      <c r="G1552" s="4">
        <f t="shared" si="1"/>
        <v>0</v>
      </c>
    </row>
    <row r="1553">
      <c r="G1553" s="4">
        <f t="shared" si="1"/>
        <v>0</v>
      </c>
    </row>
    <row r="1554">
      <c r="G1554" s="4">
        <f t="shared" si="1"/>
        <v>0</v>
      </c>
    </row>
    <row r="1555">
      <c r="G1555" s="4">
        <f t="shared" si="1"/>
        <v>0</v>
      </c>
    </row>
    <row r="1556">
      <c r="G1556" s="4">
        <f t="shared" si="1"/>
        <v>0</v>
      </c>
    </row>
    <row r="1557">
      <c r="G1557" s="4">
        <f t="shared" si="1"/>
        <v>0</v>
      </c>
    </row>
    <row r="1558">
      <c r="G1558" s="4">
        <f t="shared" si="1"/>
        <v>0</v>
      </c>
    </row>
    <row r="1559">
      <c r="G1559" s="4">
        <f t="shared" si="1"/>
        <v>0</v>
      </c>
    </row>
    <row r="1560">
      <c r="G1560" s="4">
        <f t="shared" si="1"/>
        <v>0</v>
      </c>
    </row>
    <row r="1561">
      <c r="G1561" s="4">
        <f t="shared" si="1"/>
        <v>0</v>
      </c>
    </row>
    <row r="1562">
      <c r="G1562" s="4">
        <f t="shared" si="1"/>
        <v>0</v>
      </c>
    </row>
    <row r="1563">
      <c r="G1563" s="4">
        <f t="shared" si="1"/>
        <v>0</v>
      </c>
    </row>
    <row r="1564">
      <c r="G1564" s="4">
        <f t="shared" si="1"/>
        <v>0</v>
      </c>
    </row>
    <row r="1565">
      <c r="G1565" s="4">
        <f t="shared" si="1"/>
        <v>0</v>
      </c>
    </row>
    <row r="1566">
      <c r="G1566" s="4">
        <f t="shared" si="1"/>
        <v>0</v>
      </c>
    </row>
    <row r="1567">
      <c r="G1567" s="4">
        <f t="shared" si="1"/>
        <v>0</v>
      </c>
    </row>
    <row r="1568">
      <c r="G1568" s="4">
        <f t="shared" si="1"/>
        <v>0</v>
      </c>
    </row>
    <row r="1569">
      <c r="G1569" s="4">
        <f t="shared" si="1"/>
        <v>0</v>
      </c>
    </row>
    <row r="1570">
      <c r="G1570" s="4">
        <f t="shared" si="1"/>
        <v>0</v>
      </c>
    </row>
    <row r="1571">
      <c r="G1571" s="4">
        <f t="shared" si="1"/>
        <v>0</v>
      </c>
    </row>
    <row r="1572">
      <c r="G1572" s="4">
        <f t="shared" si="1"/>
        <v>0</v>
      </c>
    </row>
    <row r="1573">
      <c r="G1573" s="4">
        <f t="shared" si="1"/>
        <v>0</v>
      </c>
    </row>
    <row r="1574">
      <c r="G1574" s="4">
        <f t="shared" si="1"/>
        <v>0</v>
      </c>
    </row>
    <row r="1575">
      <c r="G1575" s="4">
        <f t="shared" si="1"/>
        <v>0</v>
      </c>
    </row>
    <row r="1576">
      <c r="G1576" s="4">
        <f t="shared" si="1"/>
        <v>0</v>
      </c>
    </row>
    <row r="1577">
      <c r="G1577" s="4">
        <f t="shared" si="1"/>
        <v>0</v>
      </c>
    </row>
    <row r="1578">
      <c r="G1578" s="4">
        <f t="shared" si="1"/>
        <v>0</v>
      </c>
    </row>
    <row r="1579">
      <c r="G1579" s="4">
        <f t="shared" si="1"/>
        <v>0</v>
      </c>
    </row>
    <row r="1580">
      <c r="G1580" s="4">
        <f t="shared" si="1"/>
        <v>0</v>
      </c>
    </row>
    <row r="1581">
      <c r="G1581" s="4">
        <f t="shared" si="1"/>
        <v>0</v>
      </c>
    </row>
    <row r="1582">
      <c r="G1582" s="4">
        <f t="shared" si="1"/>
        <v>0</v>
      </c>
    </row>
    <row r="1583">
      <c r="G1583" s="4">
        <f t="shared" si="1"/>
        <v>0</v>
      </c>
    </row>
    <row r="1584">
      <c r="G1584" s="4">
        <f t="shared" si="1"/>
        <v>0</v>
      </c>
    </row>
    <row r="1585">
      <c r="G1585" s="4">
        <f t="shared" si="1"/>
        <v>0</v>
      </c>
    </row>
    <row r="1586">
      <c r="G1586" s="4">
        <f t="shared" si="1"/>
        <v>0</v>
      </c>
    </row>
    <row r="1587">
      <c r="G1587" s="4">
        <f t="shared" si="1"/>
        <v>0</v>
      </c>
    </row>
    <row r="1588">
      <c r="G1588" s="4">
        <f t="shared" si="1"/>
        <v>0</v>
      </c>
    </row>
    <row r="1589">
      <c r="G1589" s="4">
        <f t="shared" si="1"/>
        <v>0</v>
      </c>
    </row>
    <row r="1590">
      <c r="G1590" s="4">
        <f t="shared" si="1"/>
        <v>0</v>
      </c>
    </row>
    <row r="1591">
      <c r="G1591" s="4">
        <f t="shared" si="1"/>
        <v>0</v>
      </c>
    </row>
    <row r="1592">
      <c r="G1592" s="4">
        <f t="shared" si="1"/>
        <v>0</v>
      </c>
    </row>
    <row r="1593">
      <c r="G1593" s="4">
        <f t="shared" si="1"/>
        <v>0</v>
      </c>
    </row>
    <row r="1594">
      <c r="G1594" s="4">
        <f t="shared" si="1"/>
        <v>0</v>
      </c>
    </row>
    <row r="1595">
      <c r="G1595" s="4">
        <f t="shared" si="1"/>
        <v>0</v>
      </c>
    </row>
    <row r="1596">
      <c r="G1596" s="4">
        <f t="shared" si="1"/>
        <v>0</v>
      </c>
    </row>
    <row r="1597">
      <c r="G1597" s="4">
        <f t="shared" si="1"/>
        <v>0</v>
      </c>
    </row>
    <row r="1598">
      <c r="G1598" s="4">
        <f t="shared" si="1"/>
        <v>0</v>
      </c>
    </row>
    <row r="1599">
      <c r="G1599" s="4">
        <f t="shared" si="1"/>
        <v>0</v>
      </c>
    </row>
    <row r="1600">
      <c r="G1600" s="4">
        <f t="shared" si="1"/>
        <v>0</v>
      </c>
    </row>
    <row r="1601">
      <c r="G1601" s="4">
        <f t="shared" si="1"/>
        <v>0</v>
      </c>
    </row>
    <row r="1602">
      <c r="G1602" s="4">
        <f t="shared" si="1"/>
        <v>0</v>
      </c>
    </row>
    <row r="1603">
      <c r="G1603" s="4">
        <f t="shared" si="1"/>
        <v>0</v>
      </c>
    </row>
    <row r="1604">
      <c r="G1604" s="4">
        <f t="shared" si="1"/>
        <v>0</v>
      </c>
    </row>
    <row r="1605">
      <c r="G1605" s="4">
        <f t="shared" si="1"/>
        <v>0</v>
      </c>
    </row>
    <row r="1606">
      <c r="G1606" s="4">
        <f t="shared" si="1"/>
        <v>0</v>
      </c>
    </row>
    <row r="1607">
      <c r="G1607" s="4">
        <f t="shared" si="1"/>
        <v>0</v>
      </c>
    </row>
    <row r="1608">
      <c r="G1608" s="4">
        <f t="shared" si="1"/>
        <v>0</v>
      </c>
    </row>
    <row r="1609">
      <c r="G1609" s="4">
        <f t="shared" si="1"/>
        <v>0</v>
      </c>
    </row>
    <row r="1610">
      <c r="G1610" s="4">
        <f t="shared" si="1"/>
        <v>0</v>
      </c>
    </row>
    <row r="1611">
      <c r="G1611" s="4">
        <f t="shared" si="1"/>
        <v>0</v>
      </c>
    </row>
    <row r="1612">
      <c r="G1612" s="4">
        <f t="shared" si="1"/>
        <v>0</v>
      </c>
    </row>
    <row r="1613">
      <c r="G1613" s="4">
        <f t="shared" si="1"/>
        <v>0</v>
      </c>
    </row>
    <row r="1614">
      <c r="G1614" s="4">
        <f t="shared" si="1"/>
        <v>0</v>
      </c>
    </row>
    <row r="1615">
      <c r="G1615" s="4">
        <f t="shared" si="1"/>
        <v>0</v>
      </c>
    </row>
    <row r="1616">
      <c r="G1616" s="4">
        <f t="shared" si="1"/>
        <v>0</v>
      </c>
    </row>
    <row r="1617">
      <c r="G1617" s="4">
        <f t="shared" si="1"/>
        <v>0</v>
      </c>
    </row>
    <row r="1618">
      <c r="G1618" s="4">
        <f t="shared" si="1"/>
        <v>0</v>
      </c>
    </row>
    <row r="1619">
      <c r="G1619" s="4">
        <f t="shared" si="1"/>
        <v>0</v>
      </c>
    </row>
    <row r="1620">
      <c r="G1620" s="4">
        <f t="shared" si="1"/>
        <v>0</v>
      </c>
    </row>
    <row r="1621">
      <c r="G1621" s="4">
        <f t="shared" si="1"/>
        <v>0</v>
      </c>
    </row>
    <row r="1622">
      <c r="G1622" s="4">
        <f t="shared" si="1"/>
        <v>0</v>
      </c>
    </row>
    <row r="1623">
      <c r="G1623" s="4">
        <f t="shared" si="1"/>
        <v>0</v>
      </c>
    </row>
    <row r="1624">
      <c r="G1624" s="4">
        <f t="shared" si="1"/>
        <v>0</v>
      </c>
    </row>
    <row r="1625">
      <c r="G1625" s="4">
        <f t="shared" si="1"/>
        <v>0</v>
      </c>
    </row>
    <row r="1626">
      <c r="G1626" s="4">
        <f t="shared" si="1"/>
        <v>0</v>
      </c>
    </row>
    <row r="1627">
      <c r="G1627" s="4">
        <f t="shared" si="1"/>
        <v>0</v>
      </c>
    </row>
    <row r="1628">
      <c r="G1628" s="4">
        <f t="shared" si="1"/>
        <v>0</v>
      </c>
    </row>
    <row r="1629">
      <c r="G1629" s="4">
        <f t="shared" si="1"/>
        <v>0</v>
      </c>
    </row>
    <row r="1630">
      <c r="G1630" s="4">
        <f t="shared" si="1"/>
        <v>0</v>
      </c>
    </row>
    <row r="1631">
      <c r="G1631" s="4">
        <f t="shared" si="1"/>
        <v>0</v>
      </c>
    </row>
    <row r="1632">
      <c r="G1632" s="4">
        <f t="shared" si="1"/>
        <v>0</v>
      </c>
    </row>
    <row r="1633">
      <c r="G1633" s="4">
        <f t="shared" si="1"/>
        <v>0</v>
      </c>
    </row>
    <row r="1634">
      <c r="G1634" s="4">
        <f t="shared" si="1"/>
        <v>0</v>
      </c>
    </row>
    <row r="1635">
      <c r="G1635" s="4">
        <f t="shared" si="1"/>
        <v>0</v>
      </c>
    </row>
    <row r="1636">
      <c r="G1636" s="4">
        <f t="shared" si="1"/>
        <v>0</v>
      </c>
    </row>
    <row r="1637">
      <c r="G1637" s="4">
        <f t="shared" si="1"/>
        <v>0</v>
      </c>
    </row>
    <row r="1638">
      <c r="G1638" s="4">
        <f t="shared" si="1"/>
        <v>0</v>
      </c>
    </row>
    <row r="1639">
      <c r="G1639" s="4">
        <f t="shared" si="1"/>
        <v>0</v>
      </c>
    </row>
    <row r="1640">
      <c r="G1640" s="4">
        <f t="shared" si="1"/>
        <v>0</v>
      </c>
    </row>
    <row r="1641">
      <c r="G1641" s="4">
        <f t="shared" si="1"/>
        <v>0</v>
      </c>
    </row>
    <row r="1642">
      <c r="G1642" s="4">
        <f t="shared" si="1"/>
        <v>0</v>
      </c>
    </row>
    <row r="1643">
      <c r="G1643" s="4">
        <f t="shared" si="1"/>
        <v>0</v>
      </c>
    </row>
    <row r="1644">
      <c r="G1644" s="4">
        <f t="shared" si="1"/>
        <v>0</v>
      </c>
    </row>
    <row r="1645">
      <c r="G1645" s="4">
        <f t="shared" si="1"/>
        <v>0</v>
      </c>
    </row>
    <row r="1646">
      <c r="G1646" s="4">
        <f t="shared" si="1"/>
        <v>0</v>
      </c>
    </row>
    <row r="1647">
      <c r="G1647" s="4">
        <f t="shared" si="1"/>
        <v>0</v>
      </c>
    </row>
    <row r="1648">
      <c r="G1648" s="4">
        <f t="shared" si="1"/>
        <v>0</v>
      </c>
    </row>
    <row r="1649">
      <c r="G1649" s="4">
        <f t="shared" si="1"/>
        <v>0</v>
      </c>
    </row>
    <row r="1650">
      <c r="G1650" s="4">
        <f t="shared" si="1"/>
        <v>0</v>
      </c>
    </row>
    <row r="1651">
      <c r="G1651" s="4">
        <f t="shared" si="1"/>
        <v>0</v>
      </c>
    </row>
    <row r="1652">
      <c r="G1652" s="4">
        <f t="shared" si="1"/>
        <v>0</v>
      </c>
    </row>
    <row r="1653">
      <c r="G1653" s="4">
        <f t="shared" si="1"/>
        <v>0</v>
      </c>
    </row>
    <row r="1654">
      <c r="G1654" s="4">
        <f t="shared" si="1"/>
        <v>0</v>
      </c>
    </row>
    <row r="1655">
      <c r="G1655" s="4">
        <f t="shared" si="1"/>
        <v>0</v>
      </c>
    </row>
    <row r="1656">
      <c r="G1656" s="4">
        <f t="shared" si="1"/>
        <v>0</v>
      </c>
    </row>
    <row r="1657">
      <c r="G1657" s="4">
        <f t="shared" si="1"/>
        <v>0</v>
      </c>
    </row>
    <row r="1658">
      <c r="G1658" s="4">
        <f t="shared" si="1"/>
        <v>0</v>
      </c>
    </row>
    <row r="1659">
      <c r="G1659" s="4">
        <f t="shared" si="1"/>
        <v>0</v>
      </c>
    </row>
    <row r="1660">
      <c r="G1660" s="4">
        <f t="shared" si="1"/>
        <v>0</v>
      </c>
    </row>
    <row r="1661">
      <c r="G1661" s="4">
        <f t="shared" si="1"/>
        <v>0</v>
      </c>
    </row>
    <row r="1662">
      <c r="G1662" s="4">
        <f t="shared" si="1"/>
        <v>0</v>
      </c>
    </row>
    <row r="1663">
      <c r="G1663" s="4">
        <f t="shared" si="1"/>
        <v>0</v>
      </c>
    </row>
    <row r="1664">
      <c r="G1664" s="4">
        <f t="shared" si="1"/>
        <v>0</v>
      </c>
    </row>
    <row r="1665">
      <c r="G1665" s="4">
        <f t="shared" si="1"/>
        <v>0</v>
      </c>
    </row>
    <row r="1666">
      <c r="G1666" s="4">
        <f t="shared" si="1"/>
        <v>0</v>
      </c>
    </row>
    <row r="1667">
      <c r="G1667" s="4">
        <f t="shared" si="1"/>
        <v>0</v>
      </c>
    </row>
    <row r="1668">
      <c r="G1668" s="4">
        <f t="shared" si="1"/>
        <v>0</v>
      </c>
    </row>
    <row r="1669">
      <c r="G1669" s="4">
        <f t="shared" si="1"/>
        <v>0</v>
      </c>
    </row>
    <row r="1670">
      <c r="G1670" s="4">
        <f t="shared" si="1"/>
        <v>0</v>
      </c>
    </row>
    <row r="1671">
      <c r="G1671" s="4">
        <f t="shared" si="1"/>
        <v>0</v>
      </c>
    </row>
    <row r="1672">
      <c r="G1672" s="4">
        <f t="shared" si="1"/>
        <v>0</v>
      </c>
    </row>
    <row r="1673">
      <c r="G1673" s="4">
        <f t="shared" si="1"/>
        <v>0</v>
      </c>
    </row>
    <row r="1674">
      <c r="G1674" s="4">
        <f t="shared" si="1"/>
        <v>0</v>
      </c>
    </row>
    <row r="1675">
      <c r="G1675" s="4">
        <f t="shared" si="1"/>
        <v>0</v>
      </c>
    </row>
    <row r="1676">
      <c r="G1676" s="4">
        <f t="shared" si="1"/>
        <v>0</v>
      </c>
    </row>
    <row r="1677">
      <c r="G1677" s="4">
        <f t="shared" si="1"/>
        <v>0</v>
      </c>
    </row>
    <row r="1678">
      <c r="G1678" s="4">
        <f t="shared" si="1"/>
        <v>0</v>
      </c>
    </row>
    <row r="1679">
      <c r="G1679" s="4">
        <f t="shared" si="1"/>
        <v>0</v>
      </c>
    </row>
    <row r="1680">
      <c r="G1680" s="4">
        <f t="shared" si="1"/>
        <v>0</v>
      </c>
    </row>
    <row r="1681">
      <c r="G1681" s="4">
        <f t="shared" si="1"/>
        <v>0</v>
      </c>
    </row>
    <row r="1682">
      <c r="G1682" s="4">
        <f t="shared" si="1"/>
        <v>0</v>
      </c>
    </row>
    <row r="1683">
      <c r="G1683" s="4">
        <f t="shared" si="1"/>
        <v>0</v>
      </c>
    </row>
    <row r="1684">
      <c r="G1684" s="4">
        <f t="shared" si="1"/>
        <v>0</v>
      </c>
    </row>
    <row r="1685">
      <c r="G1685" s="4">
        <f t="shared" si="1"/>
        <v>0</v>
      </c>
    </row>
    <row r="1686">
      <c r="G1686" s="4">
        <f t="shared" si="1"/>
        <v>0</v>
      </c>
    </row>
    <row r="1687">
      <c r="G1687" s="4">
        <f t="shared" si="1"/>
        <v>0</v>
      </c>
    </row>
    <row r="1688">
      <c r="G1688" s="4">
        <f t="shared" si="1"/>
        <v>0</v>
      </c>
    </row>
    <row r="1689">
      <c r="G1689" s="4">
        <f t="shared" si="1"/>
        <v>0</v>
      </c>
    </row>
    <row r="1690">
      <c r="G1690" s="4">
        <f t="shared" si="1"/>
        <v>0</v>
      </c>
    </row>
    <row r="1691">
      <c r="G1691" s="4">
        <f t="shared" si="1"/>
        <v>0</v>
      </c>
    </row>
    <row r="1692">
      <c r="G1692" s="4">
        <f t="shared" si="1"/>
        <v>0</v>
      </c>
    </row>
    <row r="1693">
      <c r="G1693" s="4">
        <f t="shared" si="1"/>
        <v>0</v>
      </c>
    </row>
    <row r="1694">
      <c r="G1694" s="4">
        <f t="shared" si="1"/>
        <v>0</v>
      </c>
    </row>
    <row r="1695">
      <c r="G1695" s="4">
        <f t="shared" si="1"/>
        <v>0</v>
      </c>
    </row>
    <row r="1696">
      <c r="G1696" s="4">
        <f t="shared" si="1"/>
        <v>0</v>
      </c>
    </row>
    <row r="1697">
      <c r="G1697" s="4">
        <f t="shared" si="1"/>
        <v>0</v>
      </c>
    </row>
    <row r="1698">
      <c r="G1698" s="4">
        <f t="shared" si="1"/>
        <v>0</v>
      </c>
    </row>
    <row r="1699">
      <c r="G1699" s="4">
        <f t="shared" si="1"/>
        <v>0</v>
      </c>
    </row>
    <row r="1700">
      <c r="G1700" s="4">
        <f t="shared" si="1"/>
        <v>0</v>
      </c>
    </row>
    <row r="1701">
      <c r="G1701" s="4">
        <f t="shared" si="1"/>
        <v>0</v>
      </c>
    </row>
    <row r="1702">
      <c r="G1702" s="4">
        <f t="shared" si="1"/>
        <v>0</v>
      </c>
    </row>
    <row r="1703">
      <c r="G1703" s="4">
        <f t="shared" si="1"/>
        <v>0</v>
      </c>
    </row>
    <row r="1704">
      <c r="G1704" s="4">
        <f t="shared" si="1"/>
        <v>0</v>
      </c>
    </row>
    <row r="1705">
      <c r="G1705" s="4">
        <f t="shared" si="1"/>
        <v>0</v>
      </c>
    </row>
    <row r="1706">
      <c r="G1706" s="4">
        <f t="shared" si="1"/>
        <v>0</v>
      </c>
    </row>
    <row r="1707">
      <c r="G1707" s="4">
        <f t="shared" si="1"/>
        <v>0</v>
      </c>
    </row>
    <row r="1708">
      <c r="G1708" s="4">
        <f t="shared" si="1"/>
        <v>0</v>
      </c>
    </row>
    <row r="1709">
      <c r="G1709" s="4">
        <f t="shared" si="1"/>
        <v>0</v>
      </c>
    </row>
    <row r="1710">
      <c r="G1710" s="4">
        <f t="shared" si="1"/>
        <v>0</v>
      </c>
    </row>
    <row r="1711">
      <c r="G1711" s="4">
        <f t="shared" si="1"/>
        <v>0</v>
      </c>
    </row>
    <row r="1712">
      <c r="G1712" s="4">
        <f t="shared" si="1"/>
        <v>0</v>
      </c>
    </row>
    <row r="1713">
      <c r="G1713" s="4">
        <f t="shared" si="1"/>
        <v>0</v>
      </c>
    </row>
    <row r="1714">
      <c r="G1714" s="4">
        <f t="shared" si="1"/>
        <v>0</v>
      </c>
    </row>
    <row r="1715">
      <c r="G1715" s="4">
        <f t="shared" si="1"/>
        <v>0</v>
      </c>
    </row>
    <row r="1716">
      <c r="G1716" s="4">
        <f t="shared" si="1"/>
        <v>0</v>
      </c>
    </row>
    <row r="1717">
      <c r="G1717" s="4">
        <f t="shared" si="1"/>
        <v>0</v>
      </c>
    </row>
    <row r="1718">
      <c r="G1718" s="4">
        <f t="shared" si="1"/>
        <v>0</v>
      </c>
    </row>
    <row r="1719">
      <c r="G1719" s="4">
        <f t="shared" si="1"/>
        <v>0</v>
      </c>
    </row>
    <row r="1720">
      <c r="G1720" s="4">
        <f t="shared" si="1"/>
        <v>0</v>
      </c>
    </row>
    <row r="1721">
      <c r="G1721" s="4">
        <f t="shared" si="1"/>
        <v>0</v>
      </c>
    </row>
    <row r="1722">
      <c r="G1722" s="4">
        <f t="shared" si="1"/>
        <v>0</v>
      </c>
    </row>
    <row r="1723">
      <c r="G1723" s="4">
        <f t="shared" si="1"/>
        <v>0</v>
      </c>
    </row>
    <row r="1724">
      <c r="G1724" s="4">
        <f t="shared" si="1"/>
        <v>0</v>
      </c>
    </row>
    <row r="1725">
      <c r="G1725" s="4">
        <f t="shared" si="1"/>
        <v>0</v>
      </c>
    </row>
    <row r="1726">
      <c r="G1726" s="4">
        <f t="shared" si="1"/>
        <v>0</v>
      </c>
    </row>
    <row r="1727">
      <c r="G1727" s="4">
        <f t="shared" si="1"/>
        <v>0</v>
      </c>
    </row>
    <row r="1728">
      <c r="G1728" s="4">
        <f t="shared" si="1"/>
        <v>0</v>
      </c>
    </row>
    <row r="1729">
      <c r="G1729" s="4">
        <f t="shared" si="1"/>
        <v>0</v>
      </c>
    </row>
    <row r="1730">
      <c r="G1730" s="4">
        <f t="shared" si="1"/>
        <v>0</v>
      </c>
    </row>
    <row r="1731">
      <c r="G1731" s="4">
        <f t="shared" si="1"/>
        <v>0</v>
      </c>
    </row>
    <row r="1732">
      <c r="G1732" s="4">
        <f t="shared" si="1"/>
        <v>0</v>
      </c>
    </row>
    <row r="1733">
      <c r="G1733" s="4">
        <f t="shared" si="1"/>
        <v>0</v>
      </c>
    </row>
    <row r="1734">
      <c r="G1734" s="4">
        <f t="shared" si="1"/>
        <v>0</v>
      </c>
    </row>
    <row r="1735">
      <c r="G1735" s="4">
        <f t="shared" si="1"/>
        <v>0</v>
      </c>
    </row>
    <row r="1736">
      <c r="G1736" s="4">
        <f t="shared" si="1"/>
        <v>0</v>
      </c>
    </row>
    <row r="1737">
      <c r="G1737" s="4">
        <f t="shared" si="1"/>
        <v>0</v>
      </c>
    </row>
    <row r="1738">
      <c r="G1738" s="4">
        <f t="shared" si="1"/>
        <v>0</v>
      </c>
    </row>
    <row r="1739">
      <c r="G1739" s="4">
        <f t="shared" si="1"/>
        <v>0</v>
      </c>
    </row>
    <row r="1740">
      <c r="G1740" s="4">
        <f t="shared" si="1"/>
        <v>0</v>
      </c>
    </row>
    <row r="1741">
      <c r="G1741" s="4">
        <f t="shared" si="1"/>
        <v>0</v>
      </c>
    </row>
    <row r="1742">
      <c r="G1742" s="4">
        <f t="shared" si="1"/>
        <v>0</v>
      </c>
    </row>
    <row r="1743">
      <c r="G1743" s="4">
        <f t="shared" si="1"/>
        <v>0</v>
      </c>
    </row>
    <row r="1744">
      <c r="G1744" s="4">
        <f t="shared" si="1"/>
        <v>0</v>
      </c>
    </row>
    <row r="1745">
      <c r="G1745" s="4">
        <f t="shared" si="1"/>
        <v>0</v>
      </c>
    </row>
    <row r="1746">
      <c r="G1746" s="4">
        <f t="shared" si="1"/>
        <v>0</v>
      </c>
    </row>
    <row r="1747">
      <c r="G1747" s="4">
        <f t="shared" si="1"/>
        <v>0</v>
      </c>
    </row>
    <row r="1748">
      <c r="G1748" s="4">
        <f t="shared" si="1"/>
        <v>0</v>
      </c>
    </row>
    <row r="1749">
      <c r="G1749" s="4">
        <f t="shared" si="1"/>
        <v>0</v>
      </c>
    </row>
    <row r="1750">
      <c r="G1750" s="4">
        <f t="shared" si="1"/>
        <v>0</v>
      </c>
    </row>
    <row r="1751">
      <c r="G1751" s="4">
        <f t="shared" si="1"/>
        <v>0</v>
      </c>
    </row>
    <row r="1752">
      <c r="G1752" s="4">
        <f t="shared" si="1"/>
        <v>0</v>
      </c>
    </row>
    <row r="1753">
      <c r="G1753" s="4">
        <f t="shared" si="1"/>
        <v>0</v>
      </c>
    </row>
    <row r="1754">
      <c r="G1754" s="4">
        <f t="shared" si="1"/>
        <v>0</v>
      </c>
    </row>
    <row r="1755">
      <c r="G1755" s="4">
        <f t="shared" si="1"/>
        <v>0</v>
      </c>
    </row>
    <row r="1756">
      <c r="G1756" s="4">
        <f t="shared" si="1"/>
        <v>0</v>
      </c>
    </row>
    <row r="1757">
      <c r="G1757" s="4">
        <f t="shared" si="1"/>
        <v>0</v>
      </c>
    </row>
    <row r="1758">
      <c r="G1758" s="4">
        <f t="shared" si="1"/>
        <v>0</v>
      </c>
    </row>
    <row r="1759">
      <c r="G1759" s="4">
        <f t="shared" si="1"/>
        <v>0</v>
      </c>
    </row>
    <row r="1760">
      <c r="G1760" s="4">
        <f t="shared" si="1"/>
        <v>0</v>
      </c>
    </row>
    <row r="1761">
      <c r="G1761" s="4">
        <f t="shared" si="1"/>
        <v>0</v>
      </c>
    </row>
    <row r="1762">
      <c r="G1762" s="4">
        <f t="shared" si="1"/>
        <v>0</v>
      </c>
    </row>
    <row r="1763">
      <c r="G1763" s="4">
        <f t="shared" si="1"/>
        <v>0</v>
      </c>
    </row>
    <row r="1764">
      <c r="G1764" s="4">
        <f t="shared" si="1"/>
        <v>0</v>
      </c>
    </row>
    <row r="1765">
      <c r="G1765" s="4">
        <f t="shared" si="1"/>
        <v>0</v>
      </c>
    </row>
    <row r="1766">
      <c r="G1766" s="4">
        <f t="shared" si="1"/>
        <v>0</v>
      </c>
    </row>
    <row r="1767">
      <c r="G1767" s="4">
        <f t="shared" si="1"/>
        <v>0</v>
      </c>
    </row>
    <row r="1768">
      <c r="G1768" s="4">
        <f t="shared" si="1"/>
        <v>0</v>
      </c>
    </row>
    <row r="1769">
      <c r="G1769" s="4">
        <f t="shared" si="1"/>
        <v>0</v>
      </c>
    </row>
    <row r="1770">
      <c r="G1770" s="4">
        <f t="shared" si="1"/>
        <v>0</v>
      </c>
    </row>
    <row r="1771">
      <c r="G1771" s="4">
        <f t="shared" si="1"/>
        <v>0</v>
      </c>
    </row>
    <row r="1772">
      <c r="G1772" s="4">
        <f t="shared" si="1"/>
        <v>0</v>
      </c>
    </row>
    <row r="1773">
      <c r="G1773" s="4">
        <f t="shared" si="1"/>
        <v>0</v>
      </c>
    </row>
    <row r="1774">
      <c r="G1774" s="4">
        <f t="shared" si="1"/>
        <v>0</v>
      </c>
    </row>
    <row r="1775">
      <c r="G1775" s="4">
        <f t="shared" si="1"/>
        <v>0</v>
      </c>
    </row>
    <row r="1776">
      <c r="G1776" s="4">
        <f t="shared" si="1"/>
        <v>0</v>
      </c>
    </row>
    <row r="1777">
      <c r="G1777" s="4">
        <f t="shared" si="1"/>
        <v>0</v>
      </c>
    </row>
    <row r="1778">
      <c r="G1778" s="4">
        <f t="shared" si="1"/>
        <v>0</v>
      </c>
    </row>
    <row r="1779">
      <c r="G1779" s="4">
        <f t="shared" si="1"/>
        <v>0</v>
      </c>
    </row>
    <row r="1780">
      <c r="G1780" s="4">
        <f t="shared" si="1"/>
        <v>0</v>
      </c>
    </row>
    <row r="1781">
      <c r="G1781" s="4">
        <f t="shared" si="1"/>
        <v>0</v>
      </c>
    </row>
    <row r="1782">
      <c r="G1782" s="4">
        <f t="shared" si="1"/>
        <v>0</v>
      </c>
    </row>
    <row r="1783">
      <c r="G1783" s="4">
        <f t="shared" si="1"/>
        <v>0</v>
      </c>
    </row>
    <row r="1784">
      <c r="G1784" s="4">
        <f t="shared" si="1"/>
        <v>0</v>
      </c>
    </row>
    <row r="1785">
      <c r="G1785" s="4">
        <f t="shared" si="1"/>
        <v>0</v>
      </c>
    </row>
    <row r="1786">
      <c r="G1786" s="4">
        <f t="shared" si="1"/>
        <v>0</v>
      </c>
    </row>
    <row r="1787">
      <c r="G1787" s="4">
        <f t="shared" si="1"/>
        <v>0</v>
      </c>
    </row>
    <row r="1788">
      <c r="G1788" s="4">
        <f t="shared" si="1"/>
        <v>0</v>
      </c>
    </row>
    <row r="1789">
      <c r="G1789" s="4">
        <f t="shared" si="1"/>
        <v>0</v>
      </c>
    </row>
    <row r="1790">
      <c r="G1790" s="4">
        <f t="shared" si="1"/>
        <v>0</v>
      </c>
    </row>
    <row r="1791">
      <c r="G1791" s="4">
        <f t="shared" si="1"/>
        <v>0</v>
      </c>
    </row>
    <row r="1792">
      <c r="G1792" s="4">
        <f t="shared" si="1"/>
        <v>0</v>
      </c>
    </row>
    <row r="1793">
      <c r="G1793" s="4">
        <f t="shared" si="1"/>
        <v>0</v>
      </c>
    </row>
    <row r="1794">
      <c r="G1794" s="4">
        <f t="shared" si="1"/>
        <v>0</v>
      </c>
    </row>
    <row r="1795">
      <c r="G1795" s="4">
        <f t="shared" si="1"/>
        <v>0</v>
      </c>
    </row>
    <row r="1796">
      <c r="G1796" s="4">
        <f t="shared" si="1"/>
        <v>0</v>
      </c>
    </row>
    <row r="1797">
      <c r="G1797" s="4">
        <f t="shared" si="1"/>
        <v>0</v>
      </c>
    </row>
    <row r="1798">
      <c r="G1798" s="4">
        <f t="shared" si="1"/>
        <v>0</v>
      </c>
    </row>
    <row r="1799">
      <c r="G1799" s="4">
        <f t="shared" si="1"/>
        <v>0</v>
      </c>
    </row>
    <row r="1800">
      <c r="G1800" s="4">
        <f t="shared" si="1"/>
        <v>0</v>
      </c>
    </row>
    <row r="1801">
      <c r="G1801" s="4">
        <f t="shared" si="1"/>
        <v>0</v>
      </c>
    </row>
    <row r="1802">
      <c r="G1802" s="4">
        <f t="shared" si="1"/>
        <v>0</v>
      </c>
    </row>
    <row r="1803">
      <c r="G1803" s="4">
        <f t="shared" si="1"/>
        <v>0</v>
      </c>
    </row>
    <row r="1804">
      <c r="G1804" s="4">
        <f t="shared" si="1"/>
        <v>0</v>
      </c>
    </row>
    <row r="1805">
      <c r="G1805" s="4">
        <f t="shared" si="1"/>
        <v>0</v>
      </c>
    </row>
    <row r="1806">
      <c r="G1806" s="4">
        <f t="shared" si="1"/>
        <v>0</v>
      </c>
    </row>
    <row r="1807">
      <c r="G1807" s="4">
        <f t="shared" si="1"/>
        <v>0</v>
      </c>
    </row>
    <row r="1808">
      <c r="G1808" s="4">
        <f t="shared" si="1"/>
        <v>0</v>
      </c>
    </row>
    <row r="1809">
      <c r="G1809" s="4">
        <f t="shared" si="1"/>
        <v>0</v>
      </c>
    </row>
    <row r="1810">
      <c r="G1810" s="4">
        <f t="shared" si="1"/>
        <v>0</v>
      </c>
    </row>
    <row r="1811">
      <c r="G1811" s="4">
        <f t="shared" si="1"/>
        <v>0</v>
      </c>
    </row>
    <row r="1812">
      <c r="G1812" s="4">
        <f t="shared" si="1"/>
        <v>0</v>
      </c>
    </row>
    <row r="1813">
      <c r="G1813" s="4">
        <f t="shared" si="1"/>
        <v>0</v>
      </c>
    </row>
    <row r="1814">
      <c r="G1814" s="4">
        <f t="shared" si="1"/>
        <v>0</v>
      </c>
    </row>
    <row r="1815">
      <c r="G1815" s="4">
        <f t="shared" si="1"/>
        <v>0</v>
      </c>
    </row>
    <row r="1816">
      <c r="G1816" s="4">
        <f t="shared" si="1"/>
        <v>0</v>
      </c>
    </row>
    <row r="1817">
      <c r="G1817" s="4">
        <f t="shared" si="1"/>
        <v>0</v>
      </c>
    </row>
    <row r="1818">
      <c r="G1818" s="4">
        <f t="shared" si="1"/>
        <v>0</v>
      </c>
    </row>
    <row r="1819">
      <c r="G1819" s="4">
        <f t="shared" si="1"/>
        <v>0</v>
      </c>
    </row>
    <row r="1820">
      <c r="G1820" s="4">
        <f t="shared" si="1"/>
        <v>0</v>
      </c>
    </row>
    <row r="1821">
      <c r="G1821" s="4">
        <f t="shared" si="1"/>
        <v>0</v>
      </c>
    </row>
    <row r="1822">
      <c r="G1822" s="4">
        <f t="shared" si="1"/>
        <v>0</v>
      </c>
    </row>
    <row r="1823">
      <c r="G1823" s="4">
        <f t="shared" si="1"/>
        <v>0</v>
      </c>
    </row>
    <row r="1824">
      <c r="G1824" s="4">
        <f t="shared" si="1"/>
        <v>0</v>
      </c>
    </row>
    <row r="1825">
      <c r="G1825" s="4">
        <f t="shared" si="1"/>
        <v>0</v>
      </c>
    </row>
    <row r="1826">
      <c r="G1826" s="4">
        <f t="shared" si="1"/>
        <v>0</v>
      </c>
    </row>
    <row r="1827">
      <c r="G1827" s="4">
        <f t="shared" si="1"/>
        <v>0</v>
      </c>
    </row>
    <row r="1828">
      <c r="G1828" s="4">
        <f t="shared" si="1"/>
        <v>0</v>
      </c>
    </row>
    <row r="1829">
      <c r="G1829" s="4">
        <f t="shared" si="1"/>
        <v>0</v>
      </c>
    </row>
    <row r="1830">
      <c r="G1830" s="4">
        <f t="shared" si="1"/>
        <v>0</v>
      </c>
    </row>
    <row r="1831">
      <c r="G1831" s="4">
        <f t="shared" si="1"/>
        <v>0</v>
      </c>
    </row>
    <row r="1832">
      <c r="G1832" s="4">
        <f t="shared" si="1"/>
        <v>0</v>
      </c>
    </row>
    <row r="1833">
      <c r="G1833" s="4">
        <f t="shared" si="1"/>
        <v>0</v>
      </c>
    </row>
    <row r="1834">
      <c r="G1834" s="4">
        <f t="shared" si="1"/>
        <v>0</v>
      </c>
    </row>
    <row r="1835">
      <c r="G1835" s="4">
        <f t="shared" si="1"/>
        <v>0</v>
      </c>
    </row>
    <row r="1836">
      <c r="G1836" s="4">
        <f t="shared" si="1"/>
        <v>0</v>
      </c>
    </row>
    <row r="1837">
      <c r="G1837" s="4">
        <f t="shared" si="1"/>
        <v>0</v>
      </c>
    </row>
    <row r="1838">
      <c r="G1838" s="4">
        <f t="shared" si="1"/>
        <v>0</v>
      </c>
    </row>
    <row r="1839">
      <c r="G1839" s="4">
        <f t="shared" si="1"/>
        <v>0</v>
      </c>
    </row>
    <row r="1840">
      <c r="G1840" s="4">
        <f t="shared" si="1"/>
        <v>0</v>
      </c>
    </row>
    <row r="1841">
      <c r="G1841" s="4">
        <f t="shared" si="1"/>
        <v>0</v>
      </c>
    </row>
    <row r="1842">
      <c r="G1842" s="4">
        <f t="shared" si="1"/>
        <v>0</v>
      </c>
    </row>
    <row r="1843">
      <c r="G1843" s="4">
        <f t="shared" si="1"/>
        <v>0</v>
      </c>
    </row>
    <row r="1844">
      <c r="G1844" s="4">
        <f t="shared" si="1"/>
        <v>0</v>
      </c>
    </row>
    <row r="1845">
      <c r="G1845" s="4">
        <f t="shared" si="1"/>
        <v>0</v>
      </c>
    </row>
    <row r="1846">
      <c r="G1846" s="4">
        <f t="shared" si="1"/>
        <v>0</v>
      </c>
    </row>
    <row r="1847">
      <c r="G1847" s="4">
        <f t="shared" si="1"/>
        <v>0</v>
      </c>
    </row>
    <row r="1848">
      <c r="G1848" s="4">
        <f t="shared" si="1"/>
        <v>0</v>
      </c>
    </row>
    <row r="1849">
      <c r="G1849" s="4">
        <f t="shared" si="1"/>
        <v>0</v>
      </c>
    </row>
    <row r="1850">
      <c r="G1850" s="4">
        <f t="shared" si="1"/>
        <v>0</v>
      </c>
    </row>
    <row r="1851">
      <c r="G1851" s="4">
        <f t="shared" si="1"/>
        <v>0</v>
      </c>
    </row>
    <row r="1852">
      <c r="G1852" s="4">
        <f t="shared" si="1"/>
        <v>0</v>
      </c>
    </row>
    <row r="1853">
      <c r="G1853" s="4">
        <f t="shared" si="1"/>
        <v>0</v>
      </c>
    </row>
    <row r="1854">
      <c r="G1854" s="4">
        <f t="shared" si="1"/>
        <v>0</v>
      </c>
    </row>
    <row r="1855">
      <c r="G1855" s="4">
        <f t="shared" si="1"/>
        <v>0</v>
      </c>
    </row>
    <row r="1856">
      <c r="G1856" s="4">
        <f t="shared" si="1"/>
        <v>0</v>
      </c>
    </row>
    <row r="1857">
      <c r="G1857" s="4">
        <f t="shared" si="1"/>
        <v>0</v>
      </c>
    </row>
    <row r="1858">
      <c r="G1858" s="4">
        <f t="shared" si="1"/>
        <v>0</v>
      </c>
    </row>
    <row r="1859">
      <c r="G1859" s="4">
        <f t="shared" si="1"/>
        <v>0</v>
      </c>
    </row>
    <row r="1860">
      <c r="G1860" s="4">
        <f t="shared" si="1"/>
        <v>0</v>
      </c>
    </row>
    <row r="1861">
      <c r="G1861" s="4">
        <f t="shared" si="1"/>
        <v>0</v>
      </c>
    </row>
    <row r="1862">
      <c r="G1862" s="4">
        <f t="shared" si="1"/>
        <v>0</v>
      </c>
    </row>
    <row r="1863">
      <c r="G1863" s="4">
        <f t="shared" si="1"/>
        <v>0</v>
      </c>
    </row>
    <row r="1864">
      <c r="G1864" s="4">
        <f t="shared" si="1"/>
        <v>0</v>
      </c>
    </row>
    <row r="1865">
      <c r="G1865" s="4">
        <f t="shared" si="1"/>
        <v>0</v>
      </c>
    </row>
    <row r="1866">
      <c r="G1866" s="4">
        <f t="shared" si="1"/>
        <v>0</v>
      </c>
    </row>
    <row r="1867">
      <c r="G1867" s="4">
        <f t="shared" si="1"/>
        <v>0</v>
      </c>
    </row>
    <row r="1868">
      <c r="G1868" s="4">
        <f t="shared" si="1"/>
        <v>0</v>
      </c>
    </row>
    <row r="1869">
      <c r="G1869" s="4">
        <f t="shared" si="1"/>
        <v>0</v>
      </c>
    </row>
    <row r="1870">
      <c r="G1870" s="4">
        <f t="shared" si="1"/>
        <v>0</v>
      </c>
    </row>
    <row r="1871">
      <c r="G1871" s="4">
        <f t="shared" si="1"/>
        <v>0</v>
      </c>
    </row>
    <row r="1872">
      <c r="G1872" s="4">
        <f t="shared" si="1"/>
        <v>0</v>
      </c>
    </row>
    <row r="1873">
      <c r="G1873" s="4">
        <f t="shared" si="1"/>
        <v>0</v>
      </c>
    </row>
    <row r="1874">
      <c r="G1874" s="4">
        <f t="shared" si="1"/>
        <v>0</v>
      </c>
    </row>
    <row r="1875">
      <c r="G1875" s="4">
        <f t="shared" si="1"/>
        <v>0</v>
      </c>
    </row>
    <row r="1876">
      <c r="G1876" s="4">
        <f t="shared" si="1"/>
        <v>0</v>
      </c>
    </row>
    <row r="1877">
      <c r="G1877" s="4">
        <f t="shared" si="1"/>
        <v>0</v>
      </c>
    </row>
    <row r="1878">
      <c r="G1878" s="4">
        <f t="shared" si="1"/>
        <v>0</v>
      </c>
    </row>
    <row r="1879">
      <c r="G1879" s="4">
        <f t="shared" si="1"/>
        <v>0</v>
      </c>
    </row>
    <row r="1880">
      <c r="G1880" s="4">
        <f t="shared" si="1"/>
        <v>0</v>
      </c>
    </row>
    <row r="1881">
      <c r="G1881" s="4">
        <f t="shared" si="1"/>
        <v>0</v>
      </c>
    </row>
    <row r="1882">
      <c r="G1882" s="4">
        <f t="shared" si="1"/>
        <v>0</v>
      </c>
    </row>
    <row r="1883">
      <c r="G1883" s="4">
        <f t="shared" si="1"/>
        <v>0</v>
      </c>
    </row>
    <row r="1884">
      <c r="G1884" s="4">
        <f t="shared" si="1"/>
        <v>0</v>
      </c>
    </row>
    <row r="1885">
      <c r="G1885" s="4">
        <f t="shared" si="1"/>
        <v>0</v>
      </c>
    </row>
    <row r="1886">
      <c r="G1886" s="4">
        <f t="shared" si="1"/>
        <v>0</v>
      </c>
    </row>
    <row r="1887">
      <c r="G1887" s="4">
        <f t="shared" si="1"/>
        <v>0</v>
      </c>
    </row>
    <row r="1888">
      <c r="G1888" s="4">
        <f t="shared" si="1"/>
        <v>0</v>
      </c>
    </row>
    <row r="1889">
      <c r="G1889" s="4">
        <f t="shared" si="1"/>
        <v>0</v>
      </c>
    </row>
    <row r="1890">
      <c r="G1890" s="4">
        <f t="shared" si="1"/>
        <v>0</v>
      </c>
    </row>
    <row r="1891">
      <c r="G1891" s="4">
        <f t="shared" si="1"/>
        <v>0</v>
      </c>
    </row>
    <row r="1892">
      <c r="G1892" s="4">
        <f t="shared" si="1"/>
        <v>0</v>
      </c>
    </row>
    <row r="1893">
      <c r="G1893" s="4">
        <f t="shared" si="1"/>
        <v>0</v>
      </c>
    </row>
    <row r="1894">
      <c r="G1894" s="4">
        <f t="shared" si="1"/>
        <v>0</v>
      </c>
    </row>
    <row r="1895">
      <c r="G1895" s="4">
        <f t="shared" si="1"/>
        <v>0</v>
      </c>
    </row>
    <row r="1896">
      <c r="G1896" s="4">
        <f t="shared" si="1"/>
        <v>0</v>
      </c>
    </row>
    <row r="1897">
      <c r="G1897" s="4">
        <f t="shared" si="1"/>
        <v>0</v>
      </c>
    </row>
    <row r="1898">
      <c r="G1898" s="4">
        <f t="shared" si="1"/>
        <v>0</v>
      </c>
    </row>
    <row r="1899">
      <c r="G1899" s="4">
        <f t="shared" si="1"/>
        <v>0</v>
      </c>
    </row>
    <row r="1900">
      <c r="G1900" s="4">
        <f t="shared" si="1"/>
        <v>0</v>
      </c>
    </row>
    <row r="1901">
      <c r="G1901" s="4">
        <f t="shared" si="1"/>
        <v>0</v>
      </c>
    </row>
    <row r="1902">
      <c r="G1902" s="4">
        <f t="shared" si="1"/>
        <v>0</v>
      </c>
    </row>
    <row r="1903">
      <c r="G1903" s="4">
        <f t="shared" si="1"/>
        <v>0</v>
      </c>
    </row>
    <row r="1904">
      <c r="G1904" s="4">
        <f t="shared" si="1"/>
        <v>0</v>
      </c>
    </row>
    <row r="1905">
      <c r="G1905" s="4">
        <f t="shared" si="1"/>
        <v>0</v>
      </c>
    </row>
    <row r="1906">
      <c r="G1906" s="4">
        <f t="shared" si="1"/>
        <v>0</v>
      </c>
    </row>
    <row r="1907">
      <c r="G1907" s="4">
        <f t="shared" si="1"/>
        <v>0</v>
      </c>
    </row>
    <row r="1908">
      <c r="G1908" s="4">
        <f t="shared" si="1"/>
        <v>0</v>
      </c>
    </row>
    <row r="1909">
      <c r="G1909" s="4">
        <f t="shared" si="1"/>
        <v>0</v>
      </c>
    </row>
    <row r="1910">
      <c r="G1910" s="4">
        <f t="shared" si="1"/>
        <v>0</v>
      </c>
    </row>
    <row r="1911">
      <c r="G1911" s="4">
        <f t="shared" si="1"/>
        <v>0</v>
      </c>
    </row>
    <row r="1912">
      <c r="G1912" s="4">
        <f t="shared" si="1"/>
        <v>0</v>
      </c>
    </row>
    <row r="1913">
      <c r="G1913" s="4">
        <f t="shared" si="1"/>
        <v>0</v>
      </c>
    </row>
    <row r="1914">
      <c r="G1914" s="4">
        <f t="shared" si="1"/>
        <v>0</v>
      </c>
    </row>
    <row r="1915">
      <c r="G1915" s="4">
        <f t="shared" si="1"/>
        <v>0</v>
      </c>
    </row>
    <row r="1916">
      <c r="G1916" s="4">
        <f t="shared" si="1"/>
        <v>0</v>
      </c>
    </row>
    <row r="1917">
      <c r="G1917" s="4">
        <f t="shared" si="1"/>
        <v>0</v>
      </c>
    </row>
    <row r="1918">
      <c r="G1918" s="4">
        <f t="shared" si="1"/>
        <v>0</v>
      </c>
    </row>
    <row r="1919">
      <c r="G1919" s="4">
        <f t="shared" si="1"/>
        <v>0</v>
      </c>
    </row>
    <row r="1920">
      <c r="G1920" s="4">
        <f t="shared" si="1"/>
        <v>0</v>
      </c>
    </row>
    <row r="1921">
      <c r="G1921" s="4">
        <f t="shared" si="1"/>
        <v>0</v>
      </c>
    </row>
    <row r="1922">
      <c r="G1922" s="4">
        <f t="shared" si="1"/>
        <v>0</v>
      </c>
    </row>
    <row r="1923">
      <c r="G1923" s="4">
        <f t="shared" si="1"/>
        <v>0</v>
      </c>
    </row>
    <row r="1924">
      <c r="G1924" s="4">
        <f t="shared" si="1"/>
        <v>0</v>
      </c>
    </row>
    <row r="1925">
      <c r="G1925" s="4">
        <f t="shared" si="1"/>
        <v>0</v>
      </c>
    </row>
    <row r="1926">
      <c r="G1926" s="4">
        <f t="shared" si="1"/>
        <v>0</v>
      </c>
    </row>
    <row r="1927">
      <c r="G1927" s="4">
        <f t="shared" si="1"/>
        <v>0</v>
      </c>
    </row>
    <row r="1928">
      <c r="G1928" s="4">
        <f t="shared" si="1"/>
        <v>0</v>
      </c>
    </row>
    <row r="1929">
      <c r="G1929" s="4">
        <f t="shared" si="1"/>
        <v>0</v>
      </c>
    </row>
    <row r="1930">
      <c r="G1930" s="4">
        <f t="shared" si="1"/>
        <v>0</v>
      </c>
    </row>
    <row r="1931">
      <c r="G1931" s="4">
        <f t="shared" si="1"/>
        <v>0</v>
      </c>
    </row>
    <row r="1932">
      <c r="G1932" s="4">
        <f t="shared" si="1"/>
        <v>0</v>
      </c>
    </row>
    <row r="1933">
      <c r="G1933" s="4">
        <f t="shared" si="1"/>
        <v>0</v>
      </c>
    </row>
    <row r="1934">
      <c r="G1934" s="4">
        <f t="shared" si="1"/>
        <v>0</v>
      </c>
    </row>
    <row r="1935">
      <c r="G1935" s="4">
        <f t="shared" si="1"/>
        <v>0</v>
      </c>
    </row>
    <row r="1936">
      <c r="G1936" s="4">
        <f t="shared" si="1"/>
        <v>0</v>
      </c>
    </row>
    <row r="1937">
      <c r="G1937" s="4">
        <f t="shared" si="1"/>
        <v>0</v>
      </c>
    </row>
    <row r="1938">
      <c r="G1938" s="4">
        <f t="shared" si="1"/>
        <v>0</v>
      </c>
    </row>
    <row r="1939">
      <c r="G1939" s="4">
        <f t="shared" si="1"/>
        <v>0</v>
      </c>
    </row>
    <row r="1940">
      <c r="G1940" s="4">
        <f t="shared" si="1"/>
        <v>0</v>
      </c>
    </row>
    <row r="1941">
      <c r="G1941" s="4">
        <f t="shared" si="1"/>
        <v>0</v>
      </c>
    </row>
    <row r="1942">
      <c r="G1942" s="4">
        <f t="shared" si="1"/>
        <v>0</v>
      </c>
    </row>
    <row r="1943">
      <c r="G1943" s="4">
        <f t="shared" si="1"/>
        <v>0</v>
      </c>
    </row>
    <row r="1944">
      <c r="G1944" s="4">
        <f t="shared" si="1"/>
        <v>0</v>
      </c>
    </row>
    <row r="1945">
      <c r="G1945" s="4">
        <f t="shared" si="1"/>
        <v>0</v>
      </c>
    </row>
    <row r="1946">
      <c r="G1946" s="4">
        <f t="shared" si="1"/>
        <v>0</v>
      </c>
    </row>
    <row r="1947">
      <c r="G1947" s="4">
        <f t="shared" si="1"/>
        <v>0</v>
      </c>
    </row>
    <row r="1948">
      <c r="G1948" s="4">
        <f t="shared" si="1"/>
        <v>0</v>
      </c>
    </row>
    <row r="1949">
      <c r="G1949" s="4">
        <f t="shared" si="1"/>
        <v>0</v>
      </c>
    </row>
    <row r="1950">
      <c r="G1950" s="4">
        <f t="shared" si="1"/>
        <v>0</v>
      </c>
    </row>
    <row r="1951">
      <c r="G1951" s="4">
        <f t="shared" si="1"/>
        <v>0</v>
      </c>
    </row>
    <row r="1952">
      <c r="G1952" s="4">
        <f t="shared" si="1"/>
        <v>0</v>
      </c>
    </row>
    <row r="1953">
      <c r="G1953" s="4">
        <f t="shared" si="1"/>
        <v>0</v>
      </c>
    </row>
    <row r="1954">
      <c r="G1954" s="4">
        <f t="shared" si="1"/>
        <v>0</v>
      </c>
    </row>
    <row r="1955">
      <c r="G1955" s="4">
        <f t="shared" si="1"/>
        <v>0</v>
      </c>
    </row>
    <row r="1956">
      <c r="G1956" s="4">
        <f t="shared" si="1"/>
        <v>0</v>
      </c>
    </row>
    <row r="1957">
      <c r="G1957" s="4">
        <f t="shared" si="1"/>
        <v>0</v>
      </c>
    </row>
    <row r="1958">
      <c r="G1958" s="4">
        <f t="shared" si="1"/>
        <v>0</v>
      </c>
    </row>
    <row r="1959">
      <c r="G1959" s="4">
        <f t="shared" si="1"/>
        <v>0</v>
      </c>
    </row>
    <row r="1960">
      <c r="G1960" s="4">
        <f t="shared" si="1"/>
        <v>0</v>
      </c>
    </row>
    <row r="1961">
      <c r="G1961" s="4">
        <f t="shared" si="1"/>
        <v>0</v>
      </c>
    </row>
    <row r="1962">
      <c r="G1962" s="4">
        <f t="shared" si="1"/>
        <v>0</v>
      </c>
    </row>
    <row r="1963">
      <c r="G1963" s="4">
        <f t="shared" si="1"/>
        <v>0</v>
      </c>
    </row>
    <row r="1964">
      <c r="G1964" s="4">
        <f t="shared" si="1"/>
        <v>0</v>
      </c>
    </row>
    <row r="1965">
      <c r="G1965" s="4">
        <f t="shared" si="1"/>
        <v>0</v>
      </c>
    </row>
    <row r="1966">
      <c r="G1966" s="4">
        <f t="shared" si="1"/>
        <v>0</v>
      </c>
    </row>
    <row r="1967">
      <c r="G1967" s="4">
        <f t="shared" si="1"/>
        <v>0</v>
      </c>
    </row>
    <row r="1968">
      <c r="G1968" s="4">
        <f t="shared" si="1"/>
        <v>0</v>
      </c>
    </row>
    <row r="1969">
      <c r="G1969" s="4">
        <f t="shared" si="1"/>
        <v>0</v>
      </c>
    </row>
    <row r="1970">
      <c r="G1970" s="4">
        <f t="shared" si="1"/>
        <v>0</v>
      </c>
    </row>
  </sheetData>
  <conditionalFormatting sqref="G1:G2470">
    <cfRule type="cellIs" dxfId="10" priority="1" operator="greaterThan">
      <formula>1</formula>
    </cfRule>
  </conditionalFormatting>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39.14"/>
    <col customWidth="1" min="12" max="12" width="29.57"/>
  </cols>
  <sheetData>
    <row r="1">
      <c r="A1" s="129" t="s">
        <v>664</v>
      </c>
      <c r="B1" s="129" t="s">
        <v>665</v>
      </c>
      <c r="C1" s="129" t="s">
        <v>62</v>
      </c>
      <c r="D1" s="129" t="s">
        <v>64</v>
      </c>
    </row>
    <row r="2">
      <c r="A2" s="226">
        <v>45924.529324814815</v>
      </c>
      <c r="B2" s="129" t="s">
        <v>666</v>
      </c>
      <c r="C2" s="129" t="s">
        <v>667</v>
      </c>
      <c r="D2" s="129" t="s">
        <v>48</v>
      </c>
    </row>
    <row r="3">
      <c r="A3" s="226">
        <v>45925.68832052083</v>
      </c>
      <c r="B3" s="129" t="s">
        <v>668</v>
      </c>
      <c r="C3" s="129" t="s">
        <v>669</v>
      </c>
      <c r="D3" s="129" t="s">
        <v>48</v>
      </c>
    </row>
    <row r="4">
      <c r="A4" s="226">
        <v>45925.705105</v>
      </c>
      <c r="B4" s="129" t="s">
        <v>670</v>
      </c>
      <c r="C4" s="129" t="s">
        <v>671</v>
      </c>
      <c r="D4" s="129" t="s">
        <v>48</v>
      </c>
    </row>
    <row r="5">
      <c r="A5" s="226">
        <v>45929.52737895833</v>
      </c>
      <c r="B5" s="129" t="s">
        <v>303</v>
      </c>
      <c r="C5" s="129" t="s">
        <v>672</v>
      </c>
      <c r="D5" s="129" t="s">
        <v>48</v>
      </c>
    </row>
    <row r="6">
      <c r="A6" s="226">
        <v>45931.51654002315</v>
      </c>
      <c r="B6" s="129" t="s">
        <v>673</v>
      </c>
      <c r="C6" s="129" t="s">
        <v>674</v>
      </c>
      <c r="D6" s="129" t="s">
        <v>48</v>
      </c>
    </row>
    <row r="7">
      <c r="A7" s="226">
        <v>45931.54522989583</v>
      </c>
      <c r="B7" s="129" t="s">
        <v>40</v>
      </c>
      <c r="C7" s="129" t="s">
        <v>675</v>
      </c>
      <c r="D7" s="129" t="s">
        <v>48</v>
      </c>
    </row>
    <row r="8">
      <c r="A8" s="226">
        <v>45931.55059627315</v>
      </c>
      <c r="B8" s="129" t="s">
        <v>676</v>
      </c>
      <c r="C8" s="10" t="s">
        <v>677</v>
      </c>
      <c r="D8" s="129" t="s">
        <v>48</v>
      </c>
    </row>
    <row r="9">
      <c r="A9" s="226">
        <v>45931.57207579861</v>
      </c>
      <c r="B9" s="129" t="s">
        <v>678</v>
      </c>
      <c r="C9" s="129" t="s">
        <v>679</v>
      </c>
      <c r="D9" s="129" t="s">
        <v>48</v>
      </c>
    </row>
    <row r="10">
      <c r="A10" s="226">
        <v>45932.638057986114</v>
      </c>
      <c r="B10" s="129" t="s">
        <v>603</v>
      </c>
      <c r="C10" s="129" t="s">
        <v>680</v>
      </c>
      <c r="D10" s="129" t="s">
        <v>48</v>
      </c>
    </row>
    <row r="11">
      <c r="A11" s="226">
        <v>45932.65002351852</v>
      </c>
      <c r="B11" s="129" t="s">
        <v>236</v>
      </c>
      <c r="C11" s="129" t="s">
        <v>681</v>
      </c>
      <c r="D11" s="129" t="s">
        <v>48</v>
      </c>
    </row>
    <row r="12">
      <c r="A12" s="226">
        <v>45932.65209853009</v>
      </c>
      <c r="B12" s="129" t="s">
        <v>668</v>
      </c>
      <c r="C12" s="129" t="s">
        <v>682</v>
      </c>
      <c r="D12" s="129" t="s">
        <v>141</v>
      </c>
    </row>
    <row r="13">
      <c r="A13" s="226">
        <v>45933.607119594904</v>
      </c>
      <c r="B13" s="129" t="s">
        <v>140</v>
      </c>
      <c r="C13" s="129" t="s">
        <v>683</v>
      </c>
      <c r="D13" s="129" t="s">
        <v>48</v>
      </c>
    </row>
    <row r="14">
      <c r="A14" s="226">
        <v>45933.70232412037</v>
      </c>
      <c r="B14" s="129" t="s">
        <v>303</v>
      </c>
      <c r="C14" s="129" t="s">
        <v>684</v>
      </c>
      <c r="D14" s="129" t="s">
        <v>48</v>
      </c>
    </row>
    <row r="15">
      <c r="A15" s="226">
        <v>45933.97027104167</v>
      </c>
      <c r="B15" s="129" t="s">
        <v>589</v>
      </c>
      <c r="C15" s="129" t="s">
        <v>685</v>
      </c>
      <c r="D15" s="129" t="s">
        <v>48</v>
      </c>
    </row>
    <row r="16">
      <c r="A16" s="226">
        <v>45934.42085726852</v>
      </c>
      <c r="B16" s="129" t="s">
        <v>192</v>
      </c>
      <c r="C16" s="129" t="s">
        <v>686</v>
      </c>
      <c r="D16" s="129" t="s">
        <v>48</v>
      </c>
    </row>
    <row r="17">
      <c r="A17" s="226">
        <v>45938.491363587964</v>
      </c>
      <c r="B17" s="129" t="s">
        <v>687</v>
      </c>
      <c r="C17" s="129" t="s">
        <v>688</v>
      </c>
      <c r="D17" s="129" t="s">
        <v>141</v>
      </c>
    </row>
    <row r="18">
      <c r="A18" s="226">
        <v>45938.49864958333</v>
      </c>
      <c r="B18" s="129" t="s">
        <v>90</v>
      </c>
      <c r="C18" s="129" t="s">
        <v>689</v>
      </c>
      <c r="D18" s="129" t="s">
        <v>141</v>
      </c>
    </row>
    <row r="19">
      <c r="A19" s="226">
        <v>45938.56929141204</v>
      </c>
      <c r="B19" s="129" t="s">
        <v>690</v>
      </c>
      <c r="C19" s="129" t="s">
        <v>691</v>
      </c>
      <c r="D19" s="129" t="s">
        <v>141</v>
      </c>
    </row>
    <row r="20">
      <c r="A20" s="226">
        <v>45938.62332283564</v>
      </c>
      <c r="B20" s="129" t="s">
        <v>676</v>
      </c>
      <c r="C20" s="129" t="s">
        <v>692</v>
      </c>
      <c r="D20" s="129" t="s">
        <v>141</v>
      </c>
    </row>
    <row r="21">
      <c r="A21" s="226">
        <v>45939.495504907405</v>
      </c>
      <c r="B21" s="129" t="s">
        <v>192</v>
      </c>
      <c r="C21" s="129" t="s">
        <v>693</v>
      </c>
      <c r="D21" s="129" t="s">
        <v>141</v>
      </c>
    </row>
    <row r="22">
      <c r="A22" s="226">
        <v>45940.58692700231</v>
      </c>
      <c r="B22" s="129" t="s">
        <v>589</v>
      </c>
      <c r="C22" s="129" t="s">
        <v>694</v>
      </c>
      <c r="D22" s="129" t="s">
        <v>141</v>
      </c>
    </row>
    <row r="23">
      <c r="A23" s="226">
        <v>45944.47994666667</v>
      </c>
      <c r="B23" s="129" t="s">
        <v>158</v>
      </c>
      <c r="C23" s="129" t="s">
        <v>695</v>
      </c>
      <c r="D23" s="129" t="s">
        <v>141</v>
      </c>
    </row>
    <row r="24">
      <c r="A24" s="226">
        <v>45944.483930891205</v>
      </c>
      <c r="B24" s="129" t="s">
        <v>358</v>
      </c>
      <c r="C24" s="129" t="s">
        <v>696</v>
      </c>
      <c r="D24" s="129" t="s">
        <v>141</v>
      </c>
    </row>
    <row r="25">
      <c r="A25" s="226">
        <v>45944.501140277775</v>
      </c>
      <c r="B25" s="129" t="s">
        <v>135</v>
      </c>
      <c r="C25" s="129" t="s">
        <v>697</v>
      </c>
      <c r="D25" s="129" t="s">
        <v>141</v>
      </c>
    </row>
    <row r="26">
      <c r="A26" s="226">
        <v>45944.55817672454</v>
      </c>
      <c r="B26" s="129" t="s">
        <v>602</v>
      </c>
      <c r="C26" s="129" t="s">
        <v>698</v>
      </c>
      <c r="D26" s="129" t="s">
        <v>48</v>
      </c>
    </row>
    <row r="27">
      <c r="A27" s="226">
        <v>45944.559806192134</v>
      </c>
      <c r="B27" s="129" t="s">
        <v>603</v>
      </c>
      <c r="C27" s="129" t="s">
        <v>699</v>
      </c>
      <c r="D27" s="129" t="s">
        <v>48</v>
      </c>
    </row>
    <row r="28">
      <c r="A28" s="226">
        <v>45945.476434861106</v>
      </c>
      <c r="B28" s="129" t="s">
        <v>577</v>
      </c>
      <c r="C28" s="129" t="s">
        <v>700</v>
      </c>
      <c r="D28" s="129" t="s">
        <v>141</v>
      </c>
    </row>
    <row r="29">
      <c r="A29" s="226">
        <v>45945.54785256945</v>
      </c>
      <c r="B29" s="129" t="s">
        <v>610</v>
      </c>
      <c r="C29" s="129" t="s">
        <v>701</v>
      </c>
      <c r="D29" s="129" t="s">
        <v>48</v>
      </c>
    </row>
    <row r="30">
      <c r="A30" s="226">
        <v>45945.55567194444</v>
      </c>
      <c r="B30" s="129" t="s">
        <v>466</v>
      </c>
      <c r="C30" s="129" t="s">
        <v>702</v>
      </c>
      <c r="D30" s="129" t="s">
        <v>48</v>
      </c>
    </row>
    <row r="31">
      <c r="A31" s="226">
        <v>45946.4721666088</v>
      </c>
      <c r="B31" s="129" t="s">
        <v>196</v>
      </c>
      <c r="C31" s="129" t="s">
        <v>703</v>
      </c>
      <c r="D31" s="129" t="s">
        <v>141</v>
      </c>
    </row>
    <row r="32">
      <c r="A32" s="226">
        <v>45946.6279466088</v>
      </c>
      <c r="B32" s="129" t="s">
        <v>704</v>
      </c>
      <c r="C32" s="129" t="s">
        <v>705</v>
      </c>
      <c r="D32" s="129" t="s">
        <v>141</v>
      </c>
    </row>
    <row r="33">
      <c r="A33" s="226">
        <v>45946.65731892361</v>
      </c>
      <c r="B33" s="129" t="s">
        <v>706</v>
      </c>
      <c r="C33" s="129" t="s">
        <v>707</v>
      </c>
      <c r="D33" s="129" t="s">
        <v>141</v>
      </c>
    </row>
    <row r="34">
      <c r="A34" s="226">
        <v>45947.67201579861</v>
      </c>
      <c r="B34" s="129" t="s">
        <v>708</v>
      </c>
      <c r="C34" s="129" t="s">
        <v>709</v>
      </c>
      <c r="D34" s="129" t="s">
        <v>48</v>
      </c>
    </row>
    <row r="35">
      <c r="A35" s="226">
        <v>45951.53622159723</v>
      </c>
      <c r="B35" s="129" t="s">
        <v>36</v>
      </c>
      <c r="C35" s="129" t="s">
        <v>710</v>
      </c>
      <c r="D35" s="129" t="s">
        <v>48</v>
      </c>
    </row>
    <row r="36">
      <c r="A36" s="226">
        <v>45953.65913685186</v>
      </c>
      <c r="B36" s="129" t="s">
        <v>606</v>
      </c>
      <c r="C36" s="129" t="s">
        <v>711</v>
      </c>
      <c r="D36" s="129" t="s">
        <v>48</v>
      </c>
    </row>
    <row r="37">
      <c r="A37" s="226">
        <v>45953.66123020834</v>
      </c>
      <c r="B37" s="129" t="s">
        <v>712</v>
      </c>
      <c r="C37" s="129" t="s">
        <v>713</v>
      </c>
      <c r="D37" s="129" t="s">
        <v>141</v>
      </c>
    </row>
    <row r="38">
      <c r="A38" s="226">
        <v>45953.661843229165</v>
      </c>
      <c r="B38" s="129" t="s">
        <v>714</v>
      </c>
      <c r="C38" s="129" t="s">
        <v>715</v>
      </c>
      <c r="D38" s="129" t="s">
        <v>141</v>
      </c>
    </row>
    <row r="39">
      <c r="A39" s="226">
        <v>45967.658192256946</v>
      </c>
      <c r="B39" s="129" t="s">
        <v>140</v>
      </c>
      <c r="C39" s="129" t="s">
        <v>716</v>
      </c>
      <c r="D39" s="129" t="s">
        <v>141</v>
      </c>
    </row>
    <row r="40">
      <c r="A40" s="226">
        <v>45967.661849386575</v>
      </c>
      <c r="B40" s="129" t="s">
        <v>145</v>
      </c>
      <c r="C40" s="129" t="s">
        <v>717</v>
      </c>
      <c r="D40" s="129" t="s">
        <v>48</v>
      </c>
    </row>
    <row r="41">
      <c r="A41" s="226">
        <v>45967.664032280096</v>
      </c>
      <c r="B41" s="129" t="s">
        <v>718</v>
      </c>
      <c r="C41" s="129" t="s">
        <v>719</v>
      </c>
      <c r="D41" s="129" t="s">
        <v>48</v>
      </c>
    </row>
    <row r="42">
      <c r="A42" s="226">
        <v>45967.66504373842</v>
      </c>
      <c r="B42" s="129" t="s">
        <v>452</v>
      </c>
      <c r="C42" s="129" t="s">
        <v>720</v>
      </c>
      <c r="D42" s="129" t="s">
        <v>48</v>
      </c>
    </row>
    <row r="43">
      <c r="A43" s="226">
        <v>45967.66563175926</v>
      </c>
      <c r="B43" s="129" t="s">
        <v>447</v>
      </c>
      <c r="C43" s="129" t="s">
        <v>721</v>
      </c>
      <c r="D43" s="129" t="s">
        <v>48</v>
      </c>
    </row>
    <row r="44">
      <c r="A44" s="226">
        <v>45967.67360888889</v>
      </c>
      <c r="B44" s="129" t="s">
        <v>722</v>
      </c>
      <c r="C44" s="129" t="s">
        <v>723</v>
      </c>
      <c r="D44" s="129" t="s">
        <v>141</v>
      </c>
    </row>
    <row r="45">
      <c r="A45" s="226">
        <v>45972.62279479166</v>
      </c>
      <c r="B45" s="129" t="s">
        <v>137</v>
      </c>
      <c r="C45" s="129" t="s">
        <v>724</v>
      </c>
      <c r="D45" s="129" t="s">
        <v>141</v>
      </c>
    </row>
    <row r="46">
      <c r="A46" s="226">
        <v>45973.530337557866</v>
      </c>
      <c r="B46" s="129" t="s">
        <v>725</v>
      </c>
      <c r="C46" s="129" t="s">
        <v>726</v>
      </c>
      <c r="D46" s="129" t="s">
        <v>48</v>
      </c>
    </row>
    <row r="47">
      <c r="A47" s="226">
        <v>45986.69666621528</v>
      </c>
      <c r="B47" s="129" t="s">
        <v>727</v>
      </c>
      <c r="C47" s="129" t="s">
        <v>728</v>
      </c>
      <c r="D47" s="129" t="s">
        <v>141</v>
      </c>
    </row>
    <row r="48">
      <c r="A48" s="226">
        <v>45986.76789393519</v>
      </c>
      <c r="B48" s="129" t="s">
        <v>315</v>
      </c>
      <c r="C48" s="129" t="s">
        <v>729</v>
      </c>
      <c r="D48" s="129" t="s">
        <v>141</v>
      </c>
    </row>
    <row r="49">
      <c r="A49" s="226">
        <v>46063.44399908565</v>
      </c>
      <c r="B49" s="129" t="s">
        <v>140</v>
      </c>
      <c r="C49" s="129" t="s">
        <v>730</v>
      </c>
      <c r="D49" s="129" t="s">
        <v>141</v>
      </c>
    </row>
    <row r="50">
      <c r="A50" s="226">
        <v>46065.58690040509</v>
      </c>
      <c r="B50" s="129" t="s">
        <v>731</v>
      </c>
      <c r="C50" s="129" t="s">
        <v>732</v>
      </c>
      <c r="D50" s="129" t="s">
        <v>48</v>
      </c>
    </row>
    <row r="51">
      <c r="A51" s="226">
        <v>46065.767257060186</v>
      </c>
      <c r="B51" s="129" t="s">
        <v>140</v>
      </c>
      <c r="C51" s="129" t="s">
        <v>733</v>
      </c>
      <c r="D51" s="129" t="s">
        <v>48</v>
      </c>
      <c r="E51" s="227" t="s">
        <v>734</v>
      </c>
    </row>
    <row r="52">
      <c r="A52" s="226">
        <v>46077.759641111115</v>
      </c>
      <c r="B52" s="129" t="s">
        <v>116</v>
      </c>
      <c r="C52" s="129" t="s">
        <v>735</v>
      </c>
      <c r="D52" s="129" t="s">
        <v>48</v>
      </c>
    </row>
    <row r="53">
      <c r="A53" s="226">
        <v>46118.587654849536</v>
      </c>
      <c r="B53" s="129" t="s">
        <v>140</v>
      </c>
      <c r="C53" s="129" t="s">
        <v>736</v>
      </c>
      <c r="D53" s="129" t="s">
        <v>48</v>
      </c>
      <c r="E53" s="227" t="s">
        <v>737</v>
      </c>
    </row>
  </sheetData>
  <hyperlinks>
    <hyperlink r:id="rId1" ref="E51"/>
    <hyperlink r:id="rId2" ref="E53"/>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37.71"/>
    <col customWidth="1" min="2" max="2" width="16.43"/>
  </cols>
  <sheetData>
    <row r="1">
      <c r="A1" s="228" t="str">
        <f>'CBK Students'!B:B</f>
        <v>Student Name</v>
      </c>
      <c r="B1" s="228" t="str">
        <f>'CBK Students'!H:H</f>
        <v>Mentor</v>
      </c>
      <c r="C1" s="229" t="s">
        <v>738</v>
      </c>
      <c r="D1" s="229" t="s">
        <v>739</v>
      </c>
      <c r="E1" s="229" t="s">
        <v>740</v>
      </c>
      <c r="F1" s="229" t="s">
        <v>741</v>
      </c>
      <c r="G1" s="229" t="s">
        <v>23</v>
      </c>
      <c r="H1" s="229" t="s">
        <v>24</v>
      </c>
      <c r="I1" s="229" t="s">
        <v>25</v>
      </c>
      <c r="J1" s="229" t="s">
        <v>26</v>
      </c>
      <c r="K1" s="229" t="s">
        <v>27</v>
      </c>
      <c r="L1" s="229" t="s">
        <v>28</v>
      </c>
      <c r="M1" s="229" t="s">
        <v>29</v>
      </c>
      <c r="N1" s="229" t="s">
        <v>30</v>
      </c>
    </row>
    <row r="2">
      <c r="A2" s="4" t="str">
        <f>IFERROR(__xludf.DUMMYFUNCTION("FILTER(
  'CBK Students'!B:B,
  'CBK Students'!B:B&lt;&gt;"""",
  'CBK Students'!C:C=""Active""
)"),"Jane Wong Xin Yue")</f>
        <v>Jane Wong Xin Yue</v>
      </c>
      <c r="B2" s="8" t="str">
        <f t="array" ref="B2:B739">IF(A2:A739="","",
  VLOOKUP(
    A2:A739,
    'CBK Students'!B:H,
    5,
    FALSE
  )
 )</f>
        <v>1 Mon 7:30-8:30pm</v>
      </c>
      <c r="C2" s="4">
        <f t="array" ref="C2:C739">IF(A2:A739="","",
  COUNTIFS(
    Remark!B:B, A2:A739,
    Remark!A:A, "&gt;="&amp;DATE(2026,1,1),
    Remark!A:A, "&lt;"&amp;EOMONTH(DATE(2026,1,1),0)+1
  )
 )</f>
        <v>0</v>
      </c>
      <c r="D2" s="4">
        <f t="array" ref="D2:D739">IF(A2:A739="","",
  COUNTIFS(
    Remark!B:B, A2:A739,
    Remark!A:A, "&gt;="&amp;DATE(2026,2,1),
    Remark!A:A, "&lt;"&amp;EOMONTH(DATE(2026,2,1),0)+1
  )
 )</f>
        <v>0</v>
      </c>
      <c r="E2" s="4">
        <f t="array" ref="E2:E739">IF(A2:A739="","",
  COUNTIFS(
    Remark!B:B, A2:A739,
    Remark!A:A, "&gt;="&amp;DATE(2026,3,1),
    Remark!A:A, "&lt;"&amp;EOMONTH(DATE(2026,3,1),0)+1
  )
 )</f>
        <v>0</v>
      </c>
      <c r="F2" s="4">
        <f t="array" ref="F2:F739">IF(A2:A739="","",
  COUNTIFS(
    Remark!B:B, A2:A739,
    Remark!A:A, "&gt;="&amp;DATE(2026,4,1),
    Remark!A:A, "&lt;"&amp;EOMONTH(DATE(2026,4,1),0)+1
  )
 )</f>
        <v>0</v>
      </c>
      <c r="G2" s="4">
        <f t="array" ref="G2:G739">IF(A2:A739="","",
  COUNTIFS(
    Remark!B:B, A2:A739,
    Remark!A:A, "&gt;="&amp;DATE(2026,5,1),
    Remark!A:A, "&lt;"&amp;EOMONTH(DATE(2026,5,1),0)+1
  )
 )</f>
        <v>0</v>
      </c>
      <c r="H2" s="4">
        <f t="array" ref="H2:H739">IF(A2:A739="","",
  COUNTIFS(
    Remark!B:B, A2:A739,
    Remark!A:A, "&gt;="&amp;DATE(2026,6,1),
    Remark!A:A, "&lt;"&amp;EOMONTH(DATE(2026,6,1),0)+1
  )
 )</f>
        <v>0</v>
      </c>
      <c r="I2" s="4">
        <f t="array" ref="I2:I739">IF(A2:A739="","",
  COUNTIFS(
    Remark!B:B, A2:A739,
    Remark!A:A, "&gt;="&amp;DATE(2026,7,1),
    Remark!A:A, "&lt;"&amp;EOMONTH(DATE(2026,7,1),0)+1
  )
 )</f>
        <v>0</v>
      </c>
      <c r="J2" s="4">
        <f t="array" ref="J2:J739">IF(A2:A739="","",
  COUNTIFS(
    Remark!B:B, A2:A739,
    Remark!A:A, "&gt;="&amp;DATE(2026,8,1),
    Remark!A:A, "&lt;"&amp;EOMONTH(DATE(2026,8,1),0)+1
  )
 )</f>
        <v>0</v>
      </c>
      <c r="K2" s="4">
        <f t="array" ref="K2:K739">IF(A2:A739="","",
  COUNTIFS(
    Remark!B:B, A2:A739,
    Remark!A:A, "&gt;="&amp;DATE(2026,9,1),
    Remark!A:A, "&lt;"&amp;EOMONTH(DATE(2026,9,1),0)+1
  )
 )</f>
        <v>0</v>
      </c>
      <c r="L2" s="4">
        <f t="array" ref="L2:L739">IF(A2:A739="","",
  COUNTIFS(
    Remark!B:B, A2:A739,
    Remark!A:A, "&gt;="&amp;DATE(2026,10,1),
    Remark!A:A, "&lt;"&amp;EOMONTH(DATE(2026,10,1),0)+1
  )
 )</f>
        <v>0</v>
      </c>
      <c r="M2" s="4">
        <f t="array" ref="M2:M739">IF(A2:A739="","",
  COUNTIFS(
    Remark!B:B, A2:A739,
    Remark!A:A, "&gt;="&amp;DATE(2026,11,1),
    Remark!A:A, "&lt;"&amp;EOMONTH(DATE(2026,11,1),0)+1
  )
 )</f>
        <v>0</v>
      </c>
      <c r="N2" s="4">
        <f t="array" ref="N2:N739">IF(A2:A739="","",
  COUNTIFS(
    Remark!B:B, A2:A739,
    Remark!A:A, "&gt;="&amp;DATE(2026,12,1),
    Remark!A:A, "&lt;"&amp;EOMONTH(DATE(2026,12,1),0)+1
  )
 )</f>
        <v>0</v>
      </c>
    </row>
    <row r="3">
      <c r="A3" s="4" t="str">
        <f>IFERROR(__xludf.DUMMYFUNCTION("""COMPUTED_VALUE"""),"Aidan Siaw Min Le")</f>
        <v>Aidan Siaw Min Le</v>
      </c>
      <c r="B3" s="8" t="s">
        <v>77</v>
      </c>
      <c r="C3" s="4">
        <v>0.0</v>
      </c>
      <c r="D3" s="4">
        <v>0.0</v>
      </c>
      <c r="E3" s="4">
        <v>0.0</v>
      </c>
      <c r="F3" s="4">
        <v>0.0</v>
      </c>
      <c r="G3" s="4">
        <v>0.0</v>
      </c>
      <c r="H3" s="4">
        <v>0.0</v>
      </c>
      <c r="I3" s="4">
        <v>0.0</v>
      </c>
      <c r="J3" s="4">
        <v>0.0</v>
      </c>
      <c r="K3" s="4">
        <v>0.0</v>
      </c>
      <c r="L3" s="4">
        <v>0.0</v>
      </c>
      <c r="M3" s="4">
        <v>0.0</v>
      </c>
      <c r="N3" s="4">
        <v>0.0</v>
      </c>
    </row>
    <row r="4">
      <c r="A4" s="17" t="str">
        <f>IFERROR(__xludf.DUMMYFUNCTION("""COMPUTED_VALUE"""),"Elina Kong Zhe En")</f>
        <v>Elina Kong Zhe En</v>
      </c>
      <c r="B4" s="8" t="s">
        <v>77</v>
      </c>
      <c r="C4" s="4">
        <v>0.0</v>
      </c>
      <c r="D4" s="4">
        <v>0.0</v>
      </c>
      <c r="E4" s="4">
        <v>0.0</v>
      </c>
      <c r="F4" s="4">
        <v>0.0</v>
      </c>
      <c r="G4" s="4">
        <v>0.0</v>
      </c>
      <c r="H4" s="4">
        <v>0.0</v>
      </c>
      <c r="I4" s="4">
        <v>0.0</v>
      </c>
      <c r="J4" s="4">
        <v>0.0</v>
      </c>
      <c r="K4" s="4">
        <v>0.0</v>
      </c>
      <c r="L4" s="4">
        <v>0.0</v>
      </c>
      <c r="M4" s="4">
        <v>0.0</v>
      </c>
      <c r="N4" s="4">
        <v>0.0</v>
      </c>
    </row>
    <row r="5">
      <c r="A5" s="17" t="str">
        <f>IFERROR(__xludf.DUMMYFUNCTION("""COMPUTED_VALUE"""),"Eileen Wong Hui Qing")</f>
        <v>Eileen Wong Hui Qing</v>
      </c>
      <c r="B5" s="8" t="s">
        <v>77</v>
      </c>
      <c r="C5" s="4">
        <v>0.0</v>
      </c>
      <c r="D5" s="4">
        <v>0.0</v>
      </c>
      <c r="E5" s="4">
        <v>0.0</v>
      </c>
      <c r="F5" s="4">
        <v>0.0</v>
      </c>
      <c r="G5" s="4">
        <v>0.0</v>
      </c>
      <c r="H5" s="4">
        <v>0.0</v>
      </c>
      <c r="I5" s="4">
        <v>0.0</v>
      </c>
      <c r="J5" s="4">
        <v>0.0</v>
      </c>
      <c r="K5" s="4">
        <v>0.0</v>
      </c>
      <c r="L5" s="4">
        <v>0.0</v>
      </c>
      <c r="M5" s="4">
        <v>0.0</v>
      </c>
      <c r="N5" s="4">
        <v>0.0</v>
      </c>
    </row>
    <row r="6">
      <c r="A6" s="4" t="str">
        <f>IFERROR(__xludf.DUMMYFUNCTION("""COMPUTED_VALUE"""),"Jabez Huan Ngieng Hung")</f>
        <v>Jabez Huan Ngieng Hung</v>
      </c>
      <c r="B6" s="8" t="s">
        <v>77</v>
      </c>
      <c r="C6" s="4">
        <v>0.0</v>
      </c>
      <c r="D6" s="4">
        <v>0.0</v>
      </c>
      <c r="E6" s="4">
        <v>0.0</v>
      </c>
      <c r="F6" s="4">
        <v>0.0</v>
      </c>
      <c r="G6" s="4">
        <v>0.0</v>
      </c>
      <c r="H6" s="4">
        <v>0.0</v>
      </c>
      <c r="I6" s="4">
        <v>0.0</v>
      </c>
      <c r="J6" s="4">
        <v>0.0</v>
      </c>
      <c r="K6" s="4">
        <v>0.0</v>
      </c>
      <c r="L6" s="4">
        <v>0.0</v>
      </c>
      <c r="M6" s="4">
        <v>0.0</v>
      </c>
      <c r="N6" s="4">
        <v>0.0</v>
      </c>
    </row>
    <row r="7">
      <c r="A7" s="4" t="str">
        <f>IFERROR(__xludf.DUMMYFUNCTION("""COMPUTED_VALUE"""),"Lucas Lau Yee Ming")</f>
        <v>Lucas Lau Yee Ming</v>
      </c>
      <c r="B7" s="8" t="s">
        <v>77</v>
      </c>
      <c r="C7" s="4">
        <v>0.0</v>
      </c>
      <c r="D7" s="4">
        <v>0.0</v>
      </c>
      <c r="E7" s="4">
        <v>0.0</v>
      </c>
      <c r="F7" s="4">
        <v>0.0</v>
      </c>
      <c r="G7" s="4">
        <v>0.0</v>
      </c>
      <c r="H7" s="4">
        <v>0.0</v>
      </c>
      <c r="I7" s="4">
        <v>0.0</v>
      </c>
      <c r="J7" s="4">
        <v>0.0</v>
      </c>
      <c r="K7" s="4">
        <v>0.0</v>
      </c>
      <c r="L7" s="4">
        <v>0.0</v>
      </c>
      <c r="M7" s="4">
        <v>0.0</v>
      </c>
      <c r="N7" s="4">
        <v>0.0</v>
      </c>
    </row>
    <row r="8">
      <c r="A8" s="4" t="str">
        <f>IFERROR(__xludf.DUMMYFUNCTION("""COMPUTED_VALUE"""),"Clexter Cheng Kwong Yong")</f>
        <v>Clexter Cheng Kwong Yong</v>
      </c>
      <c r="B8" s="8" t="s">
        <v>77</v>
      </c>
      <c r="C8" s="4">
        <v>0.0</v>
      </c>
      <c r="D8" s="4">
        <v>0.0</v>
      </c>
      <c r="E8" s="4">
        <v>0.0</v>
      </c>
      <c r="F8" s="4">
        <v>0.0</v>
      </c>
      <c r="G8" s="4">
        <v>0.0</v>
      </c>
      <c r="H8" s="4">
        <v>0.0</v>
      </c>
      <c r="I8" s="4">
        <v>0.0</v>
      </c>
      <c r="J8" s="4">
        <v>0.0</v>
      </c>
      <c r="K8" s="4">
        <v>0.0</v>
      </c>
      <c r="L8" s="4">
        <v>0.0</v>
      </c>
      <c r="M8" s="4">
        <v>0.0</v>
      </c>
      <c r="N8" s="4">
        <v>0.0</v>
      </c>
    </row>
    <row r="9">
      <c r="A9" s="4" t="str">
        <f>IFERROR(__xludf.DUMMYFUNCTION("""COMPUTED_VALUE"""),"Hillary Yong")</f>
        <v>Hillary Yong</v>
      </c>
      <c r="B9" s="8" t="s">
        <v>77</v>
      </c>
      <c r="C9" s="4">
        <v>0.0</v>
      </c>
      <c r="D9" s="4">
        <v>0.0</v>
      </c>
      <c r="E9" s="4">
        <v>0.0</v>
      </c>
      <c r="F9" s="4">
        <v>0.0</v>
      </c>
      <c r="G9" s="4">
        <v>0.0</v>
      </c>
      <c r="H9" s="4">
        <v>0.0</v>
      </c>
      <c r="I9" s="4">
        <v>0.0</v>
      </c>
      <c r="J9" s="4">
        <v>0.0</v>
      </c>
      <c r="K9" s="4">
        <v>0.0</v>
      </c>
      <c r="L9" s="4">
        <v>0.0</v>
      </c>
      <c r="M9" s="4">
        <v>0.0</v>
      </c>
      <c r="N9" s="4">
        <v>0.0</v>
      </c>
    </row>
    <row r="10">
      <c r="A10" s="17" t="str">
        <f>IFERROR(__xludf.DUMMYFUNCTION("""COMPUTED_VALUE"""),"Janice Wong Xiao Yue")</f>
        <v>Janice Wong Xiao Yue</v>
      </c>
      <c r="B10" s="8" t="s">
        <v>77</v>
      </c>
      <c r="C10" s="4">
        <v>0.0</v>
      </c>
      <c r="D10" s="4">
        <v>0.0</v>
      </c>
      <c r="E10" s="4">
        <v>0.0</v>
      </c>
      <c r="F10" s="4">
        <v>0.0</v>
      </c>
      <c r="G10" s="4">
        <v>0.0</v>
      </c>
      <c r="H10" s="4">
        <v>0.0</v>
      </c>
      <c r="I10" s="4">
        <v>0.0</v>
      </c>
      <c r="J10" s="4">
        <v>0.0</v>
      </c>
      <c r="K10" s="4">
        <v>0.0</v>
      </c>
      <c r="L10" s="4">
        <v>0.0</v>
      </c>
      <c r="M10" s="4">
        <v>0.0</v>
      </c>
      <c r="N10" s="4">
        <v>0.0</v>
      </c>
    </row>
    <row r="11">
      <c r="A11" s="17" t="str">
        <f>IFERROR(__xludf.DUMMYFUNCTION("""COMPUTED_VALUE"""),"Kyan Ling Tian Xiang")</f>
        <v>Kyan Ling Tian Xiang</v>
      </c>
      <c r="B11" s="8" t="s">
        <v>77</v>
      </c>
      <c r="C11" s="4">
        <v>0.0</v>
      </c>
      <c r="D11" s="4">
        <v>0.0</v>
      </c>
      <c r="E11" s="4">
        <v>0.0</v>
      </c>
      <c r="F11" s="4">
        <v>0.0</v>
      </c>
      <c r="G11" s="4">
        <v>0.0</v>
      </c>
      <c r="H11" s="4">
        <v>0.0</v>
      </c>
      <c r="I11" s="4">
        <v>0.0</v>
      </c>
      <c r="J11" s="4">
        <v>0.0</v>
      </c>
      <c r="K11" s="4">
        <v>0.0</v>
      </c>
      <c r="L11" s="4">
        <v>0.0</v>
      </c>
      <c r="M11" s="4">
        <v>0.0</v>
      </c>
      <c r="N11" s="4">
        <v>0.0</v>
      </c>
    </row>
    <row r="12">
      <c r="A12" s="17" t="str">
        <f>IFERROR(__xludf.DUMMYFUNCTION("""COMPUTED_VALUE"""),"Gabriel Hung Tuan Zhi")</f>
        <v>Gabriel Hung Tuan Zhi</v>
      </c>
      <c r="B12" s="8" t="s">
        <v>77</v>
      </c>
      <c r="C12" s="4">
        <v>0.0</v>
      </c>
      <c r="D12" s="4">
        <v>0.0</v>
      </c>
      <c r="E12" s="4">
        <v>0.0</v>
      </c>
      <c r="F12" s="4">
        <v>0.0</v>
      </c>
      <c r="G12" s="4">
        <v>0.0</v>
      </c>
      <c r="H12" s="4">
        <v>0.0</v>
      </c>
      <c r="I12" s="4">
        <v>0.0</v>
      </c>
      <c r="J12" s="4">
        <v>0.0</v>
      </c>
      <c r="K12" s="4">
        <v>0.0</v>
      </c>
      <c r="L12" s="4">
        <v>0.0</v>
      </c>
      <c r="M12" s="4">
        <v>0.0</v>
      </c>
      <c r="N12" s="4">
        <v>0.0</v>
      </c>
    </row>
    <row r="13">
      <c r="A13" s="17" t="str">
        <f>IFERROR(__xludf.DUMMYFUNCTION("""COMPUTED_VALUE"""),"Josh Ting Sie Jun")</f>
        <v>Josh Ting Sie Jun</v>
      </c>
      <c r="B13" s="8" t="s">
        <v>77</v>
      </c>
      <c r="C13" s="4">
        <v>0.0</v>
      </c>
      <c r="D13" s="4">
        <v>0.0</v>
      </c>
      <c r="E13" s="4">
        <v>0.0</v>
      </c>
      <c r="F13" s="4">
        <v>0.0</v>
      </c>
      <c r="G13" s="4">
        <v>0.0</v>
      </c>
      <c r="H13" s="4">
        <v>0.0</v>
      </c>
      <c r="I13" s="4">
        <v>0.0</v>
      </c>
      <c r="J13" s="4">
        <v>0.0</v>
      </c>
      <c r="K13" s="4">
        <v>0.0</v>
      </c>
      <c r="L13" s="4">
        <v>0.0</v>
      </c>
      <c r="M13" s="4">
        <v>0.0</v>
      </c>
      <c r="N13" s="4">
        <v>0.0</v>
      </c>
    </row>
    <row r="14">
      <c r="A14" s="4" t="str">
        <f>IFERROR(__xludf.DUMMYFUNCTION("""COMPUTED_VALUE"""),"Eeson Wong bin Mohammad Hisham")</f>
        <v>Eeson Wong bin Mohammad Hisham</v>
      </c>
      <c r="B14" s="8" t="s">
        <v>77</v>
      </c>
      <c r="C14" s="4">
        <v>0.0</v>
      </c>
      <c r="D14" s="4">
        <v>0.0</v>
      </c>
      <c r="E14" s="4">
        <v>0.0</v>
      </c>
      <c r="F14" s="4">
        <v>0.0</v>
      </c>
      <c r="G14" s="4">
        <v>0.0</v>
      </c>
      <c r="H14" s="4">
        <v>0.0</v>
      </c>
      <c r="I14" s="4">
        <v>0.0</v>
      </c>
      <c r="J14" s="4">
        <v>0.0</v>
      </c>
      <c r="K14" s="4">
        <v>0.0</v>
      </c>
      <c r="L14" s="4">
        <v>0.0</v>
      </c>
      <c r="M14" s="4">
        <v>0.0</v>
      </c>
      <c r="N14" s="4">
        <v>0.0</v>
      </c>
    </row>
    <row r="15">
      <c r="A15" s="17" t="str">
        <f>IFERROR(__xludf.DUMMYFUNCTION("""COMPUTED_VALUE"""),"Isaac Lau Li Sheng")</f>
        <v>Isaac Lau Li Sheng</v>
      </c>
      <c r="B15" s="8" t="s">
        <v>77</v>
      </c>
      <c r="C15" s="4">
        <v>0.0</v>
      </c>
      <c r="D15" s="4">
        <v>0.0</v>
      </c>
      <c r="E15" s="4">
        <v>0.0</v>
      </c>
      <c r="F15" s="4">
        <v>0.0</v>
      </c>
      <c r="G15" s="4">
        <v>0.0</v>
      </c>
      <c r="H15" s="4">
        <v>0.0</v>
      </c>
      <c r="I15" s="4">
        <v>0.0</v>
      </c>
      <c r="J15" s="4">
        <v>0.0</v>
      </c>
      <c r="K15" s="4">
        <v>0.0</v>
      </c>
      <c r="L15" s="4">
        <v>0.0</v>
      </c>
      <c r="M15" s="4">
        <v>0.0</v>
      </c>
      <c r="N15" s="4">
        <v>0.0</v>
      </c>
    </row>
    <row r="16">
      <c r="A16" s="17" t="str">
        <f>IFERROR(__xludf.DUMMYFUNCTION("""COMPUTED_VALUE"""),"Yong Feng Kai")</f>
        <v>Yong Feng Kai</v>
      </c>
      <c r="B16" s="8" t="s">
        <v>77</v>
      </c>
      <c r="C16" s="4">
        <v>0.0</v>
      </c>
      <c r="D16" s="4">
        <v>1.0</v>
      </c>
      <c r="E16" s="4">
        <v>0.0</v>
      </c>
      <c r="F16" s="4">
        <v>0.0</v>
      </c>
      <c r="G16" s="4">
        <v>0.0</v>
      </c>
      <c r="H16" s="4">
        <v>0.0</v>
      </c>
      <c r="I16" s="4">
        <v>0.0</v>
      </c>
      <c r="J16" s="4">
        <v>0.0</v>
      </c>
      <c r="K16" s="4">
        <v>0.0</v>
      </c>
      <c r="L16" s="4">
        <v>0.0</v>
      </c>
      <c r="M16" s="4">
        <v>0.0</v>
      </c>
      <c r="N16" s="4">
        <v>0.0</v>
      </c>
    </row>
    <row r="17">
      <c r="A17" s="4" t="str">
        <f>IFERROR(__xludf.DUMMYFUNCTION("""COMPUTED_VALUE"""),"Ezra Ling Sing Yi")</f>
        <v>Ezra Ling Sing Yi</v>
      </c>
      <c r="B17" s="8" t="s">
        <v>77</v>
      </c>
      <c r="C17" s="4">
        <v>0.0</v>
      </c>
      <c r="D17" s="4">
        <v>0.0</v>
      </c>
      <c r="E17" s="4">
        <v>0.0</v>
      </c>
      <c r="F17" s="4">
        <v>0.0</v>
      </c>
      <c r="G17" s="4">
        <v>0.0</v>
      </c>
      <c r="H17" s="4">
        <v>0.0</v>
      </c>
      <c r="I17" s="4">
        <v>0.0</v>
      </c>
      <c r="J17" s="4">
        <v>0.0</v>
      </c>
      <c r="K17" s="4">
        <v>0.0</v>
      </c>
      <c r="L17" s="4">
        <v>0.0</v>
      </c>
      <c r="M17" s="4">
        <v>0.0</v>
      </c>
      <c r="N17" s="4">
        <v>0.0</v>
      </c>
    </row>
    <row r="18">
      <c r="A18" s="4" t="str">
        <f>IFERROR(__xludf.DUMMYFUNCTION("""COMPUTED_VALUE"""),"Ting Zhi Xin")</f>
        <v>Ting Zhi Xin</v>
      </c>
      <c r="B18" s="8" t="s">
        <v>77</v>
      </c>
      <c r="C18" s="4">
        <v>0.0</v>
      </c>
      <c r="D18" s="4">
        <v>0.0</v>
      </c>
      <c r="E18" s="4">
        <v>0.0</v>
      </c>
      <c r="F18" s="4">
        <v>0.0</v>
      </c>
      <c r="G18" s="4">
        <v>0.0</v>
      </c>
      <c r="H18" s="4">
        <v>0.0</v>
      </c>
      <c r="I18" s="4">
        <v>0.0</v>
      </c>
      <c r="J18" s="4">
        <v>0.0</v>
      </c>
      <c r="K18" s="4">
        <v>0.0</v>
      </c>
      <c r="L18" s="4">
        <v>0.0</v>
      </c>
      <c r="M18" s="4">
        <v>0.0</v>
      </c>
      <c r="N18" s="4">
        <v>0.0</v>
      </c>
    </row>
    <row r="19">
      <c r="A19" s="4" t="str">
        <f>IFERROR(__xludf.DUMMYFUNCTION("""COMPUTED_VALUE"""),"Marcus Lau Yee Ho")</f>
        <v>Marcus Lau Yee Ho</v>
      </c>
      <c r="B19" s="8" t="s">
        <v>77</v>
      </c>
      <c r="C19" s="4">
        <v>0.0</v>
      </c>
      <c r="D19" s="4">
        <v>0.0</v>
      </c>
      <c r="E19" s="4">
        <v>0.0</v>
      </c>
      <c r="F19" s="4">
        <v>0.0</v>
      </c>
      <c r="G19" s="4">
        <v>0.0</v>
      </c>
      <c r="H19" s="4">
        <v>0.0</v>
      </c>
      <c r="I19" s="4">
        <v>0.0</v>
      </c>
      <c r="J19" s="4">
        <v>0.0</v>
      </c>
      <c r="K19" s="4">
        <v>0.0</v>
      </c>
      <c r="L19" s="4">
        <v>0.0</v>
      </c>
      <c r="M19" s="4">
        <v>0.0</v>
      </c>
      <c r="N19" s="4">
        <v>0.0</v>
      </c>
    </row>
    <row r="20">
      <c r="A20" s="4" t="str">
        <f>IFERROR(__xludf.DUMMYFUNCTION("""COMPUTED_VALUE"""),"Oscar Khiew Jian Lyn")</f>
        <v>Oscar Khiew Jian Lyn</v>
      </c>
      <c r="B20" s="8" t="s">
        <v>77</v>
      </c>
      <c r="C20" s="4">
        <v>0.0</v>
      </c>
      <c r="D20" s="4">
        <v>0.0</v>
      </c>
      <c r="E20" s="4">
        <v>0.0</v>
      </c>
      <c r="F20" s="4">
        <v>0.0</v>
      </c>
      <c r="G20" s="4">
        <v>0.0</v>
      </c>
      <c r="H20" s="4">
        <v>0.0</v>
      </c>
      <c r="I20" s="4">
        <v>0.0</v>
      </c>
      <c r="J20" s="4">
        <v>0.0</v>
      </c>
      <c r="K20" s="4">
        <v>0.0</v>
      </c>
      <c r="L20" s="4">
        <v>0.0</v>
      </c>
      <c r="M20" s="4">
        <v>0.0</v>
      </c>
      <c r="N20" s="4">
        <v>0.0</v>
      </c>
    </row>
    <row r="21">
      <c r="A21" s="17" t="str">
        <f>IFERROR(__xludf.DUMMYFUNCTION("""COMPUTED_VALUE"""),"Jerry Yong Ching Hwa")</f>
        <v>Jerry Yong Ching Hwa</v>
      </c>
      <c r="B21" s="8" t="s">
        <v>77</v>
      </c>
      <c r="C21" s="4">
        <v>0.0</v>
      </c>
      <c r="D21" s="4">
        <v>0.0</v>
      </c>
      <c r="E21" s="4">
        <v>0.0</v>
      </c>
      <c r="F21" s="4">
        <v>0.0</v>
      </c>
      <c r="G21" s="4">
        <v>0.0</v>
      </c>
      <c r="H21" s="4">
        <v>0.0</v>
      </c>
      <c r="I21" s="4">
        <v>0.0</v>
      </c>
      <c r="J21" s="4">
        <v>0.0</v>
      </c>
      <c r="K21" s="4">
        <v>0.0</v>
      </c>
      <c r="L21" s="4">
        <v>0.0</v>
      </c>
      <c r="M21" s="4">
        <v>0.0</v>
      </c>
      <c r="N21" s="4">
        <v>0.0</v>
      </c>
    </row>
    <row r="22">
      <c r="A22" s="4" t="str">
        <f>IFERROR(__xludf.DUMMYFUNCTION("""COMPUTED_VALUE"""),"Ting Zhi En")</f>
        <v>Ting Zhi En</v>
      </c>
      <c r="B22" s="8" t="s">
        <v>132</v>
      </c>
      <c r="C22" s="4">
        <v>0.0</v>
      </c>
      <c r="D22" s="4">
        <v>0.0</v>
      </c>
      <c r="E22" s="4">
        <v>0.0</v>
      </c>
      <c r="F22" s="4">
        <v>0.0</v>
      </c>
      <c r="G22" s="4">
        <v>0.0</v>
      </c>
      <c r="H22" s="4">
        <v>0.0</v>
      </c>
      <c r="I22" s="4">
        <v>0.0</v>
      </c>
      <c r="J22" s="4">
        <v>0.0</v>
      </c>
      <c r="K22" s="4">
        <v>0.0</v>
      </c>
      <c r="L22" s="4">
        <v>0.0</v>
      </c>
      <c r="M22" s="4">
        <v>0.0</v>
      </c>
      <c r="N22" s="4">
        <v>0.0</v>
      </c>
    </row>
    <row r="23">
      <c r="A23" s="4" t="str">
        <f>IFERROR(__xludf.DUMMYFUNCTION("""COMPUTED_VALUE"""),"Joelle Lau Lik Ying")</f>
        <v>Joelle Lau Lik Ying</v>
      </c>
      <c r="B23" s="8" t="s">
        <v>132</v>
      </c>
      <c r="C23" s="4">
        <v>0.0</v>
      </c>
      <c r="D23" s="4">
        <v>0.0</v>
      </c>
      <c r="E23" s="4">
        <v>0.0</v>
      </c>
      <c r="F23" s="4">
        <v>0.0</v>
      </c>
      <c r="G23" s="4">
        <v>0.0</v>
      </c>
      <c r="H23" s="4">
        <v>0.0</v>
      </c>
      <c r="I23" s="4">
        <v>0.0</v>
      </c>
      <c r="J23" s="4">
        <v>0.0</v>
      </c>
      <c r="K23" s="4">
        <v>0.0</v>
      </c>
      <c r="L23" s="4">
        <v>0.0</v>
      </c>
      <c r="M23" s="4">
        <v>0.0</v>
      </c>
      <c r="N23" s="4">
        <v>0.0</v>
      </c>
    </row>
    <row r="24">
      <c r="A24" s="4" t="str">
        <f>IFERROR(__xludf.DUMMYFUNCTION("""COMPUTED_VALUE"""),"Eugene Lau Lik Yang")</f>
        <v>Eugene Lau Lik Yang</v>
      </c>
      <c r="B24" s="8" t="s">
        <v>132</v>
      </c>
      <c r="C24" s="4">
        <v>0.0</v>
      </c>
      <c r="D24" s="4">
        <v>0.0</v>
      </c>
      <c r="E24" s="4">
        <v>0.0</v>
      </c>
      <c r="F24" s="4">
        <v>0.0</v>
      </c>
      <c r="G24" s="4">
        <v>0.0</v>
      </c>
      <c r="H24" s="4">
        <v>0.0</v>
      </c>
      <c r="I24" s="4">
        <v>0.0</v>
      </c>
      <c r="J24" s="4">
        <v>0.0</v>
      </c>
      <c r="K24" s="4">
        <v>0.0</v>
      </c>
      <c r="L24" s="4">
        <v>0.0</v>
      </c>
      <c r="M24" s="4">
        <v>0.0</v>
      </c>
      <c r="N24" s="4">
        <v>0.0</v>
      </c>
    </row>
    <row r="25">
      <c r="A25" s="17" t="str">
        <f>IFERROR(__xludf.DUMMYFUNCTION("""COMPUTED_VALUE"""),"Max Yong Seng Jing")</f>
        <v>Max Yong Seng Jing</v>
      </c>
      <c r="B25" s="8" t="s">
        <v>132</v>
      </c>
      <c r="C25" s="4">
        <v>0.0</v>
      </c>
      <c r="D25" s="4">
        <v>0.0</v>
      </c>
      <c r="E25" s="4">
        <v>0.0</v>
      </c>
      <c r="F25" s="4">
        <v>0.0</v>
      </c>
      <c r="G25" s="4">
        <v>0.0</v>
      </c>
      <c r="H25" s="4">
        <v>0.0</v>
      </c>
      <c r="I25" s="4">
        <v>0.0</v>
      </c>
      <c r="J25" s="4">
        <v>0.0</v>
      </c>
      <c r="K25" s="4">
        <v>0.0</v>
      </c>
      <c r="L25" s="4">
        <v>0.0</v>
      </c>
      <c r="M25" s="4">
        <v>0.0</v>
      </c>
      <c r="N25" s="4">
        <v>0.0</v>
      </c>
    </row>
    <row r="26">
      <c r="A26" s="4" t="str">
        <f>IFERROR(__xludf.DUMMYFUNCTION("""COMPUTED_VALUE"""),"Aaron Ting Kuan Siang")</f>
        <v>Aaron Ting Kuan Siang</v>
      </c>
      <c r="B26" s="8" t="s">
        <v>132</v>
      </c>
      <c r="C26" s="4">
        <v>0.0</v>
      </c>
      <c r="D26" s="4">
        <v>2.0</v>
      </c>
      <c r="E26" s="4">
        <v>0.0</v>
      </c>
      <c r="F26" s="4">
        <v>1.0</v>
      </c>
      <c r="G26" s="4">
        <v>0.0</v>
      </c>
      <c r="H26" s="4">
        <v>0.0</v>
      </c>
      <c r="I26" s="4">
        <v>0.0</v>
      </c>
      <c r="J26" s="4">
        <v>0.0</v>
      </c>
      <c r="K26" s="4">
        <v>0.0</v>
      </c>
      <c r="L26" s="4">
        <v>0.0</v>
      </c>
      <c r="M26" s="4">
        <v>0.0</v>
      </c>
      <c r="N26" s="4">
        <v>0.0</v>
      </c>
    </row>
    <row r="27">
      <c r="A27" s="4" t="str">
        <f>IFERROR(__xludf.DUMMYFUNCTION("""COMPUTED_VALUE"""),"Kyle Ling Zhong You")</f>
        <v>Kyle Ling Zhong You</v>
      </c>
      <c r="B27" s="8" t="s">
        <v>132</v>
      </c>
      <c r="C27" s="4">
        <v>0.0</v>
      </c>
      <c r="D27" s="4">
        <v>0.0</v>
      </c>
      <c r="E27" s="4">
        <v>0.0</v>
      </c>
      <c r="F27" s="4">
        <v>0.0</v>
      </c>
      <c r="G27" s="4">
        <v>0.0</v>
      </c>
      <c r="H27" s="4">
        <v>0.0</v>
      </c>
      <c r="I27" s="4">
        <v>0.0</v>
      </c>
      <c r="J27" s="4">
        <v>0.0</v>
      </c>
      <c r="K27" s="4">
        <v>0.0</v>
      </c>
      <c r="L27" s="4">
        <v>0.0</v>
      </c>
      <c r="M27" s="4">
        <v>0.0</v>
      </c>
      <c r="N27" s="4">
        <v>0.0</v>
      </c>
    </row>
    <row r="28">
      <c r="A28" s="4" t="str">
        <f>IFERROR(__xludf.DUMMYFUNCTION("""COMPUTED_VALUE"""),"Benjamin Lee Zhe Ming")</f>
        <v>Benjamin Lee Zhe Ming</v>
      </c>
      <c r="B28" s="8" t="s">
        <v>132</v>
      </c>
      <c r="C28" s="4">
        <v>0.0</v>
      </c>
      <c r="D28" s="4">
        <v>0.0</v>
      </c>
      <c r="E28" s="4">
        <v>0.0</v>
      </c>
      <c r="F28" s="4">
        <v>0.0</v>
      </c>
      <c r="G28" s="4">
        <v>0.0</v>
      </c>
      <c r="H28" s="4">
        <v>0.0</v>
      </c>
      <c r="I28" s="4">
        <v>0.0</v>
      </c>
      <c r="J28" s="4">
        <v>0.0</v>
      </c>
      <c r="K28" s="4">
        <v>0.0</v>
      </c>
      <c r="L28" s="4">
        <v>0.0</v>
      </c>
      <c r="M28" s="4">
        <v>0.0</v>
      </c>
      <c r="N28" s="4">
        <v>0.0</v>
      </c>
    </row>
    <row r="29">
      <c r="A29" s="4" t="str">
        <f>IFERROR(__xludf.DUMMYFUNCTION("""COMPUTED_VALUE"""),"Amarion Hii Lu Ong")</f>
        <v>Amarion Hii Lu Ong</v>
      </c>
      <c r="B29" s="8" t="s">
        <v>132</v>
      </c>
      <c r="C29" s="4">
        <v>0.0</v>
      </c>
      <c r="D29" s="4">
        <v>0.0</v>
      </c>
      <c r="E29" s="4">
        <v>0.0</v>
      </c>
      <c r="F29" s="4">
        <v>0.0</v>
      </c>
      <c r="G29" s="4">
        <v>0.0</v>
      </c>
      <c r="H29" s="4">
        <v>0.0</v>
      </c>
      <c r="I29" s="4">
        <v>0.0</v>
      </c>
      <c r="J29" s="4">
        <v>0.0</v>
      </c>
      <c r="K29" s="4">
        <v>0.0</v>
      </c>
      <c r="L29" s="4">
        <v>0.0</v>
      </c>
      <c r="M29" s="4">
        <v>0.0</v>
      </c>
      <c r="N29" s="4">
        <v>0.0</v>
      </c>
    </row>
    <row r="30">
      <c r="A30" s="17" t="str">
        <f>IFERROR(__xludf.DUMMYFUNCTION("""COMPUTED_VALUE"""),"Noelle Wong Jing Yan")</f>
        <v>Noelle Wong Jing Yan</v>
      </c>
      <c r="B30" s="8" t="s">
        <v>132</v>
      </c>
      <c r="C30" s="4">
        <v>0.0</v>
      </c>
      <c r="D30" s="4">
        <v>0.0</v>
      </c>
      <c r="E30" s="4">
        <v>0.0</v>
      </c>
      <c r="F30" s="4">
        <v>0.0</v>
      </c>
      <c r="G30" s="4">
        <v>0.0</v>
      </c>
      <c r="H30" s="4">
        <v>0.0</v>
      </c>
      <c r="I30" s="4">
        <v>0.0</v>
      </c>
      <c r="J30" s="4">
        <v>0.0</v>
      </c>
      <c r="K30" s="4">
        <v>0.0</v>
      </c>
      <c r="L30" s="4">
        <v>0.0</v>
      </c>
      <c r="M30" s="4">
        <v>0.0</v>
      </c>
      <c r="N30" s="4">
        <v>0.0</v>
      </c>
    </row>
    <row r="31">
      <c r="A31" s="4" t="str">
        <f>IFERROR(__xludf.DUMMYFUNCTION("""COMPUTED_VALUE"""),"Javier Hii Wei Wen")</f>
        <v>Javier Hii Wei Wen</v>
      </c>
      <c r="B31" s="8" t="s">
        <v>132</v>
      </c>
      <c r="C31" s="4">
        <v>0.0</v>
      </c>
      <c r="D31" s="4">
        <v>0.0</v>
      </c>
      <c r="E31" s="4">
        <v>0.0</v>
      </c>
      <c r="F31" s="4">
        <v>0.0</v>
      </c>
      <c r="G31" s="4">
        <v>0.0</v>
      </c>
      <c r="H31" s="4">
        <v>0.0</v>
      </c>
      <c r="I31" s="4">
        <v>0.0</v>
      </c>
      <c r="J31" s="4">
        <v>0.0</v>
      </c>
      <c r="K31" s="4">
        <v>0.0</v>
      </c>
      <c r="L31" s="4">
        <v>0.0</v>
      </c>
      <c r="M31" s="4">
        <v>0.0</v>
      </c>
      <c r="N31" s="4">
        <v>0.0</v>
      </c>
    </row>
    <row r="32">
      <c r="A32" s="4" t="str">
        <f>IFERROR(__xludf.DUMMYFUNCTION("""COMPUTED_VALUE"""),"Evan Sim Teck Yang")</f>
        <v>Evan Sim Teck Yang</v>
      </c>
      <c r="B32" s="8" t="s">
        <v>132</v>
      </c>
      <c r="C32" s="4">
        <v>0.0</v>
      </c>
      <c r="D32" s="4">
        <v>0.0</v>
      </c>
      <c r="E32" s="4">
        <v>0.0</v>
      </c>
      <c r="F32" s="4">
        <v>0.0</v>
      </c>
      <c r="G32" s="4">
        <v>0.0</v>
      </c>
      <c r="H32" s="4">
        <v>0.0</v>
      </c>
      <c r="I32" s="4">
        <v>0.0</v>
      </c>
      <c r="J32" s="4">
        <v>0.0</v>
      </c>
      <c r="K32" s="4">
        <v>0.0</v>
      </c>
      <c r="L32" s="4">
        <v>0.0</v>
      </c>
      <c r="M32" s="4">
        <v>0.0</v>
      </c>
      <c r="N32" s="4">
        <v>0.0</v>
      </c>
    </row>
    <row r="33">
      <c r="A33" s="4" t="str">
        <f>IFERROR(__xludf.DUMMYFUNCTION("""COMPUTED_VALUE"""),"Boey Ling")</f>
        <v>Boey Ling</v>
      </c>
      <c r="B33" s="8" t="s">
        <v>132</v>
      </c>
      <c r="C33" s="4">
        <v>0.0</v>
      </c>
      <c r="D33" s="4">
        <v>0.0</v>
      </c>
      <c r="E33" s="4">
        <v>0.0</v>
      </c>
      <c r="F33" s="4">
        <v>0.0</v>
      </c>
      <c r="G33" s="4">
        <v>0.0</v>
      </c>
      <c r="H33" s="4">
        <v>0.0</v>
      </c>
      <c r="I33" s="4">
        <v>0.0</v>
      </c>
      <c r="J33" s="4">
        <v>0.0</v>
      </c>
      <c r="K33" s="4">
        <v>0.0</v>
      </c>
      <c r="L33" s="4">
        <v>0.0</v>
      </c>
      <c r="M33" s="4">
        <v>0.0</v>
      </c>
      <c r="N33" s="4">
        <v>0.0</v>
      </c>
    </row>
    <row r="34">
      <c r="A34" s="4" t="str">
        <f>IFERROR(__xludf.DUMMYFUNCTION("""COMPUTED_VALUE"""),"Ngu Hieng Sing")</f>
        <v>Ngu Hieng Sing</v>
      </c>
      <c r="B34" s="8" t="s">
        <v>132</v>
      </c>
      <c r="C34" s="4">
        <v>0.0</v>
      </c>
      <c r="D34" s="4">
        <v>0.0</v>
      </c>
      <c r="E34" s="4">
        <v>0.0</v>
      </c>
      <c r="F34" s="4">
        <v>0.0</v>
      </c>
      <c r="G34" s="4">
        <v>0.0</v>
      </c>
      <c r="H34" s="4">
        <v>0.0</v>
      </c>
      <c r="I34" s="4">
        <v>0.0</v>
      </c>
      <c r="J34" s="4">
        <v>0.0</v>
      </c>
      <c r="K34" s="4">
        <v>0.0</v>
      </c>
      <c r="L34" s="4">
        <v>0.0</v>
      </c>
      <c r="M34" s="4">
        <v>0.0</v>
      </c>
      <c r="N34" s="4">
        <v>0.0</v>
      </c>
    </row>
    <row r="35">
      <c r="A35" s="17" t="str">
        <f>IFERROR(__xludf.DUMMYFUNCTION("""COMPUTED_VALUE"""),"Amos Wong Jun Ren")</f>
        <v>Amos Wong Jun Ren</v>
      </c>
      <c r="B35" s="8" t="s">
        <v>132</v>
      </c>
      <c r="C35" s="4">
        <v>0.0</v>
      </c>
      <c r="D35" s="4">
        <v>0.0</v>
      </c>
      <c r="E35" s="4">
        <v>0.0</v>
      </c>
      <c r="F35" s="4">
        <v>0.0</v>
      </c>
      <c r="G35" s="4">
        <v>0.0</v>
      </c>
      <c r="H35" s="4">
        <v>0.0</v>
      </c>
      <c r="I35" s="4">
        <v>0.0</v>
      </c>
      <c r="J35" s="4">
        <v>0.0</v>
      </c>
      <c r="K35" s="4">
        <v>0.0</v>
      </c>
      <c r="L35" s="4">
        <v>0.0</v>
      </c>
      <c r="M35" s="4">
        <v>0.0</v>
      </c>
      <c r="N35" s="4">
        <v>0.0</v>
      </c>
    </row>
    <row r="36">
      <c r="A36" s="17" t="str">
        <f>IFERROR(__xludf.DUMMYFUNCTION("""COMPUTED_VALUE"""),"Ivan Yong Seng Feng")</f>
        <v>Ivan Yong Seng Feng</v>
      </c>
      <c r="B36" s="8" t="s">
        <v>132</v>
      </c>
      <c r="C36" s="4">
        <v>0.0</v>
      </c>
      <c r="D36" s="4">
        <v>0.0</v>
      </c>
      <c r="E36" s="4">
        <v>0.0</v>
      </c>
      <c r="F36" s="4">
        <v>0.0</v>
      </c>
      <c r="G36" s="4">
        <v>0.0</v>
      </c>
      <c r="H36" s="4">
        <v>0.0</v>
      </c>
      <c r="I36" s="4">
        <v>0.0</v>
      </c>
      <c r="J36" s="4">
        <v>0.0</v>
      </c>
      <c r="K36" s="4">
        <v>0.0</v>
      </c>
      <c r="L36" s="4">
        <v>0.0</v>
      </c>
      <c r="M36" s="4">
        <v>0.0</v>
      </c>
      <c r="N36" s="4">
        <v>0.0</v>
      </c>
    </row>
    <row r="37">
      <c r="A37" s="17" t="str">
        <f>IFERROR(__xludf.DUMMYFUNCTION("""COMPUTED_VALUE"""),"Richie Louis Chieng Jin Jie")</f>
        <v>Richie Louis Chieng Jin Jie</v>
      </c>
      <c r="B37" s="8" t="s">
        <v>132</v>
      </c>
      <c r="C37" s="4">
        <v>0.0</v>
      </c>
      <c r="D37" s="4">
        <v>0.0</v>
      </c>
      <c r="E37" s="4">
        <v>0.0</v>
      </c>
      <c r="F37" s="4">
        <v>0.0</v>
      </c>
      <c r="G37" s="4">
        <v>0.0</v>
      </c>
      <c r="H37" s="4">
        <v>0.0</v>
      </c>
      <c r="I37" s="4">
        <v>0.0</v>
      </c>
      <c r="J37" s="4">
        <v>0.0</v>
      </c>
      <c r="K37" s="4">
        <v>0.0</v>
      </c>
      <c r="L37" s="4">
        <v>0.0</v>
      </c>
      <c r="M37" s="4">
        <v>0.0</v>
      </c>
      <c r="N37" s="4">
        <v>0.0</v>
      </c>
    </row>
    <row r="38">
      <c r="A38" s="17" t="str">
        <f>IFERROR(__xludf.DUMMYFUNCTION("""COMPUTED_VALUE"""),"Faye Wong Jing Tong")</f>
        <v>Faye Wong Jing Tong</v>
      </c>
      <c r="B38" s="8" t="s">
        <v>132</v>
      </c>
      <c r="C38" s="4">
        <v>0.0</v>
      </c>
      <c r="D38" s="4">
        <v>0.0</v>
      </c>
      <c r="E38" s="4">
        <v>0.0</v>
      </c>
      <c r="F38" s="4">
        <v>0.0</v>
      </c>
      <c r="G38" s="4">
        <v>0.0</v>
      </c>
      <c r="H38" s="4">
        <v>0.0</v>
      </c>
      <c r="I38" s="4">
        <v>0.0</v>
      </c>
      <c r="J38" s="4">
        <v>0.0</v>
      </c>
      <c r="K38" s="4">
        <v>0.0</v>
      </c>
      <c r="L38" s="4">
        <v>0.0</v>
      </c>
      <c r="M38" s="4">
        <v>0.0</v>
      </c>
      <c r="N38" s="4">
        <v>0.0</v>
      </c>
    </row>
    <row r="39">
      <c r="A39" s="17" t="str">
        <f>IFERROR(__xludf.DUMMYFUNCTION("""COMPUTED_VALUE"""),"Ethan Tan Jun Han")</f>
        <v>Ethan Tan Jun Han</v>
      </c>
      <c r="B39" s="8" t="s">
        <v>132</v>
      </c>
      <c r="C39" s="4">
        <v>0.0</v>
      </c>
      <c r="D39" s="4">
        <v>0.0</v>
      </c>
      <c r="E39" s="4">
        <v>0.0</v>
      </c>
      <c r="F39" s="4">
        <v>0.0</v>
      </c>
      <c r="G39" s="4">
        <v>0.0</v>
      </c>
      <c r="H39" s="4">
        <v>0.0</v>
      </c>
      <c r="I39" s="4">
        <v>0.0</v>
      </c>
      <c r="J39" s="4">
        <v>0.0</v>
      </c>
      <c r="K39" s="4">
        <v>0.0</v>
      </c>
      <c r="L39" s="4">
        <v>0.0</v>
      </c>
      <c r="M39" s="4">
        <v>0.0</v>
      </c>
      <c r="N39" s="4">
        <v>0.0</v>
      </c>
    </row>
    <row r="40">
      <c r="A40" s="17" t="str">
        <f>IFERROR(__xludf.DUMMYFUNCTION("""COMPUTED_VALUE"""),"Ian Yung Yi En")</f>
        <v>Ian Yung Yi En</v>
      </c>
      <c r="B40" s="8" t="s">
        <v>132</v>
      </c>
      <c r="C40" s="4">
        <v>0.0</v>
      </c>
      <c r="D40" s="4">
        <v>0.0</v>
      </c>
      <c r="E40" s="4">
        <v>0.0</v>
      </c>
      <c r="F40" s="4">
        <v>0.0</v>
      </c>
      <c r="G40" s="4">
        <v>0.0</v>
      </c>
      <c r="H40" s="4">
        <v>0.0</v>
      </c>
      <c r="I40" s="4">
        <v>0.0</v>
      </c>
      <c r="J40" s="4">
        <v>0.0</v>
      </c>
      <c r="K40" s="4">
        <v>0.0</v>
      </c>
      <c r="L40" s="4">
        <v>0.0</v>
      </c>
      <c r="M40" s="4">
        <v>0.0</v>
      </c>
      <c r="N40" s="4">
        <v>0.0</v>
      </c>
    </row>
    <row r="41">
      <c r="A41" s="17" t="str">
        <f>IFERROR(__xludf.DUMMYFUNCTION("""COMPUTED_VALUE"""),"Abigail Yung Qi En")</f>
        <v>Abigail Yung Qi En</v>
      </c>
      <c r="B41" s="8" t="s">
        <v>132</v>
      </c>
      <c r="C41" s="4">
        <v>0.0</v>
      </c>
      <c r="D41" s="4">
        <v>0.0</v>
      </c>
      <c r="E41" s="4">
        <v>0.0</v>
      </c>
      <c r="F41" s="4">
        <v>0.0</v>
      </c>
      <c r="G41" s="4">
        <v>0.0</v>
      </c>
      <c r="H41" s="4">
        <v>0.0</v>
      </c>
      <c r="I41" s="4">
        <v>0.0</v>
      </c>
      <c r="J41" s="4">
        <v>0.0</v>
      </c>
      <c r="K41" s="4">
        <v>0.0</v>
      </c>
      <c r="L41" s="4">
        <v>0.0</v>
      </c>
      <c r="M41" s="4">
        <v>0.0</v>
      </c>
      <c r="N41" s="4">
        <v>0.0</v>
      </c>
    </row>
    <row r="42">
      <c r="A42" s="17" t="str">
        <f>IFERROR(__xludf.DUMMYFUNCTION("""COMPUTED_VALUE"""),"Joanna Ling Zhi Hui")</f>
        <v>Joanna Ling Zhi Hui</v>
      </c>
      <c r="B42" s="8" t="s">
        <v>132</v>
      </c>
      <c r="C42" s="4">
        <v>0.0</v>
      </c>
      <c r="D42" s="4">
        <v>0.0</v>
      </c>
      <c r="E42" s="4">
        <v>0.0</v>
      </c>
      <c r="F42" s="4">
        <v>0.0</v>
      </c>
      <c r="G42" s="4">
        <v>0.0</v>
      </c>
      <c r="H42" s="4">
        <v>0.0</v>
      </c>
      <c r="I42" s="4">
        <v>0.0</v>
      </c>
      <c r="J42" s="4">
        <v>0.0</v>
      </c>
      <c r="K42" s="4">
        <v>0.0</v>
      </c>
      <c r="L42" s="4">
        <v>0.0</v>
      </c>
      <c r="M42" s="4">
        <v>0.0</v>
      </c>
      <c r="N42" s="4">
        <v>0.0</v>
      </c>
    </row>
    <row r="43">
      <c r="A43" s="17" t="str">
        <f>IFERROR(__xludf.DUMMYFUNCTION("""COMPUTED_VALUE"""),"Eunice Tiong Jia Yi")</f>
        <v>Eunice Tiong Jia Yi</v>
      </c>
      <c r="B43" s="8" t="s">
        <v>132</v>
      </c>
      <c r="C43" s="4">
        <v>0.0</v>
      </c>
      <c r="D43" s="4">
        <v>0.0</v>
      </c>
      <c r="E43" s="4">
        <v>0.0</v>
      </c>
      <c r="F43" s="4">
        <v>0.0</v>
      </c>
      <c r="G43" s="4">
        <v>0.0</v>
      </c>
      <c r="H43" s="4">
        <v>0.0</v>
      </c>
      <c r="I43" s="4">
        <v>0.0</v>
      </c>
      <c r="J43" s="4">
        <v>0.0</v>
      </c>
      <c r="K43" s="4">
        <v>0.0</v>
      </c>
      <c r="L43" s="4">
        <v>0.0</v>
      </c>
      <c r="M43" s="4">
        <v>0.0</v>
      </c>
      <c r="N43" s="4">
        <v>0.0</v>
      </c>
    </row>
    <row r="44">
      <c r="A44" s="17" t="str">
        <f>IFERROR(__xludf.DUMMYFUNCTION("""COMPUTED_VALUE"""),"Owen  Huong Ke Xiang ")</f>
        <v>Owen  Huong Ke Xiang </v>
      </c>
      <c r="B44" s="8" t="s">
        <v>132</v>
      </c>
      <c r="C44" s="4">
        <v>0.0</v>
      </c>
      <c r="D44" s="4">
        <v>0.0</v>
      </c>
      <c r="E44" s="4">
        <v>0.0</v>
      </c>
      <c r="F44" s="4">
        <v>0.0</v>
      </c>
      <c r="G44" s="4">
        <v>0.0</v>
      </c>
      <c r="H44" s="4">
        <v>0.0</v>
      </c>
      <c r="I44" s="4">
        <v>0.0</v>
      </c>
      <c r="J44" s="4">
        <v>0.0</v>
      </c>
      <c r="K44" s="4">
        <v>0.0</v>
      </c>
      <c r="L44" s="4">
        <v>0.0</v>
      </c>
      <c r="M44" s="4">
        <v>0.0</v>
      </c>
      <c r="N44" s="4">
        <v>0.0</v>
      </c>
    </row>
    <row r="45">
      <c r="A45" s="17" t="str">
        <f>IFERROR(__xludf.DUMMYFUNCTION("""COMPUTED_VALUE"""),"Ian lee Jing Ming")</f>
        <v>Ian lee Jing Ming</v>
      </c>
      <c r="B45" s="8" t="s">
        <v>132</v>
      </c>
      <c r="C45" s="4">
        <v>0.0</v>
      </c>
      <c r="D45" s="4">
        <v>0.0</v>
      </c>
      <c r="E45" s="4">
        <v>0.0</v>
      </c>
      <c r="F45" s="4">
        <v>0.0</v>
      </c>
      <c r="G45" s="4">
        <v>0.0</v>
      </c>
      <c r="H45" s="4">
        <v>0.0</v>
      </c>
      <c r="I45" s="4">
        <v>0.0</v>
      </c>
      <c r="J45" s="4">
        <v>0.0</v>
      </c>
      <c r="K45" s="4">
        <v>0.0</v>
      </c>
      <c r="L45" s="4">
        <v>0.0</v>
      </c>
      <c r="M45" s="4">
        <v>0.0</v>
      </c>
      <c r="N45" s="4">
        <v>0.0</v>
      </c>
    </row>
    <row r="46">
      <c r="A46" s="17" t="str">
        <f>IFERROR(__xludf.DUMMYFUNCTION("""COMPUTED_VALUE"""),"John Sia Wee Yan")</f>
        <v>John Sia Wee Yan</v>
      </c>
      <c r="B46" s="8" t="s">
        <v>180</v>
      </c>
      <c r="C46" s="4">
        <v>0.0</v>
      </c>
      <c r="D46" s="4">
        <v>0.0</v>
      </c>
      <c r="E46" s="4">
        <v>0.0</v>
      </c>
      <c r="F46" s="4">
        <v>0.0</v>
      </c>
      <c r="G46" s="4">
        <v>0.0</v>
      </c>
      <c r="H46" s="4">
        <v>0.0</v>
      </c>
      <c r="I46" s="4">
        <v>0.0</v>
      </c>
      <c r="J46" s="4">
        <v>0.0</v>
      </c>
      <c r="K46" s="4">
        <v>0.0</v>
      </c>
      <c r="L46" s="4">
        <v>0.0</v>
      </c>
      <c r="M46" s="4">
        <v>0.0</v>
      </c>
      <c r="N46" s="4">
        <v>0.0</v>
      </c>
    </row>
    <row r="47">
      <c r="A47" s="17" t="str">
        <f>IFERROR(__xludf.DUMMYFUNCTION("""COMPUTED_VALUE"""),"Tiffany Sia SIiu Yee")</f>
        <v>Tiffany Sia SIiu Yee</v>
      </c>
      <c r="B47" s="8" t="s">
        <v>180</v>
      </c>
      <c r="C47" s="4">
        <v>0.0</v>
      </c>
      <c r="D47" s="4">
        <v>0.0</v>
      </c>
      <c r="E47" s="4">
        <v>0.0</v>
      </c>
      <c r="F47" s="4">
        <v>0.0</v>
      </c>
      <c r="G47" s="4">
        <v>0.0</v>
      </c>
      <c r="H47" s="4">
        <v>0.0</v>
      </c>
      <c r="I47" s="4">
        <v>0.0</v>
      </c>
      <c r="J47" s="4">
        <v>0.0</v>
      </c>
      <c r="K47" s="4">
        <v>0.0</v>
      </c>
      <c r="L47" s="4">
        <v>0.0</v>
      </c>
      <c r="M47" s="4">
        <v>0.0</v>
      </c>
      <c r="N47" s="4">
        <v>0.0</v>
      </c>
    </row>
    <row r="48">
      <c r="A48" s="4" t="str">
        <f>IFERROR(__xludf.DUMMYFUNCTION("""COMPUTED_VALUE"""),"Kingsley Kiing Kiu Yik")</f>
        <v>Kingsley Kiing Kiu Yik</v>
      </c>
      <c r="B48" s="8" t="s">
        <v>185</v>
      </c>
      <c r="C48" s="4">
        <v>0.0</v>
      </c>
      <c r="D48" s="4">
        <v>0.0</v>
      </c>
      <c r="E48" s="4">
        <v>0.0</v>
      </c>
      <c r="F48" s="4">
        <v>0.0</v>
      </c>
      <c r="G48" s="4">
        <v>0.0</v>
      </c>
      <c r="H48" s="4">
        <v>0.0</v>
      </c>
      <c r="I48" s="4">
        <v>0.0</v>
      </c>
      <c r="J48" s="4">
        <v>0.0</v>
      </c>
      <c r="K48" s="4">
        <v>0.0</v>
      </c>
      <c r="L48" s="4">
        <v>0.0</v>
      </c>
      <c r="M48" s="4">
        <v>0.0</v>
      </c>
      <c r="N48" s="4">
        <v>0.0</v>
      </c>
    </row>
    <row r="49">
      <c r="A49" s="4" t="str">
        <f>IFERROR(__xludf.DUMMYFUNCTION("""COMPUTED_VALUE"""),"Melvin Tiong Meng Han")</f>
        <v>Melvin Tiong Meng Han</v>
      </c>
      <c r="B49" s="8" t="s">
        <v>185</v>
      </c>
      <c r="C49" s="4">
        <v>0.0</v>
      </c>
      <c r="D49" s="4">
        <v>0.0</v>
      </c>
      <c r="E49" s="4">
        <v>0.0</v>
      </c>
      <c r="F49" s="4">
        <v>0.0</v>
      </c>
      <c r="G49" s="4">
        <v>0.0</v>
      </c>
      <c r="H49" s="4">
        <v>0.0</v>
      </c>
      <c r="I49" s="4">
        <v>0.0</v>
      </c>
      <c r="J49" s="4">
        <v>0.0</v>
      </c>
      <c r="K49" s="4">
        <v>0.0</v>
      </c>
      <c r="L49" s="4">
        <v>0.0</v>
      </c>
      <c r="M49" s="4">
        <v>0.0</v>
      </c>
      <c r="N49" s="4">
        <v>0.0</v>
      </c>
    </row>
    <row r="50">
      <c r="A50" s="4" t="str">
        <f>IFERROR(__xludf.DUMMYFUNCTION("""COMPUTED_VALUE"""),"Ethan Lau Hui Hong")</f>
        <v>Ethan Lau Hui Hong</v>
      </c>
      <c r="B50" s="8" t="s">
        <v>185</v>
      </c>
      <c r="C50" s="4">
        <v>0.0</v>
      </c>
      <c r="D50" s="4">
        <v>0.0</v>
      </c>
      <c r="E50" s="4">
        <v>0.0</v>
      </c>
      <c r="F50" s="4">
        <v>0.0</v>
      </c>
      <c r="G50" s="4">
        <v>0.0</v>
      </c>
      <c r="H50" s="4">
        <v>0.0</v>
      </c>
      <c r="I50" s="4">
        <v>0.0</v>
      </c>
      <c r="J50" s="4">
        <v>0.0</v>
      </c>
      <c r="K50" s="4">
        <v>0.0</v>
      </c>
      <c r="L50" s="4">
        <v>0.0</v>
      </c>
      <c r="M50" s="4">
        <v>0.0</v>
      </c>
      <c r="N50" s="4">
        <v>0.0</v>
      </c>
    </row>
    <row r="51">
      <c r="A51" s="4" t="str">
        <f>IFERROR(__xludf.DUMMYFUNCTION("""COMPUTED_VALUE"""),"Jayden Ling Xian Yang")</f>
        <v>Jayden Ling Xian Yang</v>
      </c>
      <c r="B51" s="8" t="s">
        <v>185</v>
      </c>
      <c r="C51" s="4">
        <v>0.0</v>
      </c>
      <c r="D51" s="4">
        <v>0.0</v>
      </c>
      <c r="E51" s="4">
        <v>0.0</v>
      </c>
      <c r="F51" s="4">
        <v>0.0</v>
      </c>
      <c r="G51" s="4">
        <v>0.0</v>
      </c>
      <c r="H51" s="4">
        <v>0.0</v>
      </c>
      <c r="I51" s="4">
        <v>0.0</v>
      </c>
      <c r="J51" s="4">
        <v>0.0</v>
      </c>
      <c r="K51" s="4">
        <v>0.0</v>
      </c>
      <c r="L51" s="4">
        <v>0.0</v>
      </c>
      <c r="M51" s="4">
        <v>0.0</v>
      </c>
      <c r="N51" s="4">
        <v>0.0</v>
      </c>
    </row>
    <row r="52">
      <c r="A52" s="4" t="str">
        <f>IFERROR(__xludf.DUMMYFUNCTION("""COMPUTED_VALUE"""),"Arielle Lee Zeng See")</f>
        <v>Arielle Lee Zeng See</v>
      </c>
      <c r="B52" s="8" t="s">
        <v>185</v>
      </c>
      <c r="C52" s="4">
        <v>0.0</v>
      </c>
      <c r="D52" s="4">
        <v>0.0</v>
      </c>
      <c r="E52" s="4">
        <v>0.0</v>
      </c>
      <c r="F52" s="4">
        <v>0.0</v>
      </c>
      <c r="G52" s="4">
        <v>0.0</v>
      </c>
      <c r="H52" s="4">
        <v>0.0</v>
      </c>
      <c r="I52" s="4">
        <v>0.0</v>
      </c>
      <c r="J52" s="4">
        <v>0.0</v>
      </c>
      <c r="K52" s="4">
        <v>0.0</v>
      </c>
      <c r="L52" s="4">
        <v>0.0</v>
      </c>
      <c r="M52" s="4">
        <v>0.0</v>
      </c>
      <c r="N52" s="4">
        <v>0.0</v>
      </c>
    </row>
    <row r="53">
      <c r="A53" s="4" t="str">
        <f>IFERROR(__xludf.DUMMYFUNCTION("""COMPUTED_VALUE"""),"Clarence Ting Yong Wei")</f>
        <v>Clarence Ting Yong Wei</v>
      </c>
      <c r="B53" s="8" t="s">
        <v>185</v>
      </c>
      <c r="C53" s="4">
        <v>0.0</v>
      </c>
      <c r="D53" s="4">
        <v>0.0</v>
      </c>
      <c r="E53" s="4">
        <v>0.0</v>
      </c>
      <c r="F53" s="4">
        <v>0.0</v>
      </c>
      <c r="G53" s="4">
        <v>0.0</v>
      </c>
      <c r="H53" s="4">
        <v>0.0</v>
      </c>
      <c r="I53" s="4">
        <v>0.0</v>
      </c>
      <c r="J53" s="4">
        <v>0.0</v>
      </c>
      <c r="K53" s="4">
        <v>0.0</v>
      </c>
      <c r="L53" s="4">
        <v>0.0</v>
      </c>
      <c r="M53" s="4">
        <v>0.0</v>
      </c>
      <c r="N53" s="4">
        <v>0.0</v>
      </c>
    </row>
    <row r="54">
      <c r="A54" s="17" t="str">
        <f>IFERROR(__xludf.DUMMYFUNCTION("""COMPUTED_VALUE"""),"Isaac Tiong Yong Yi")</f>
        <v>Isaac Tiong Yong Yi</v>
      </c>
      <c r="B54" s="8" t="s">
        <v>185</v>
      </c>
      <c r="C54" s="4">
        <v>0.0</v>
      </c>
      <c r="D54" s="4">
        <v>0.0</v>
      </c>
      <c r="E54" s="4">
        <v>0.0</v>
      </c>
      <c r="F54" s="4">
        <v>0.0</v>
      </c>
      <c r="G54" s="4">
        <v>0.0</v>
      </c>
      <c r="H54" s="4">
        <v>0.0</v>
      </c>
      <c r="I54" s="4">
        <v>0.0</v>
      </c>
      <c r="J54" s="4">
        <v>0.0</v>
      </c>
      <c r="K54" s="4">
        <v>0.0</v>
      </c>
      <c r="L54" s="4">
        <v>0.0</v>
      </c>
      <c r="M54" s="4">
        <v>0.0</v>
      </c>
      <c r="N54" s="4">
        <v>0.0</v>
      </c>
    </row>
    <row r="55">
      <c r="A55" s="17" t="str">
        <f>IFERROR(__xludf.DUMMYFUNCTION("""COMPUTED_VALUE"""),"Noah Tiong Xun Rong ")</f>
        <v>Noah Tiong Xun Rong </v>
      </c>
      <c r="B55" s="8" t="s">
        <v>185</v>
      </c>
      <c r="C55" s="4">
        <v>0.0</v>
      </c>
      <c r="D55" s="4">
        <v>0.0</v>
      </c>
      <c r="E55" s="4">
        <v>0.0</v>
      </c>
      <c r="F55" s="4">
        <v>0.0</v>
      </c>
      <c r="G55" s="4">
        <v>0.0</v>
      </c>
      <c r="H55" s="4">
        <v>0.0</v>
      </c>
      <c r="I55" s="4">
        <v>0.0</v>
      </c>
      <c r="J55" s="4">
        <v>0.0</v>
      </c>
      <c r="K55" s="4">
        <v>0.0</v>
      </c>
      <c r="L55" s="4">
        <v>0.0</v>
      </c>
      <c r="M55" s="4">
        <v>0.0</v>
      </c>
      <c r="N55" s="4">
        <v>0.0</v>
      </c>
    </row>
    <row r="56">
      <c r="A56" s="4" t="str">
        <f>IFERROR(__xludf.DUMMYFUNCTION("""COMPUTED_VALUE"""),"Clement Ting Yong Rui")</f>
        <v>Clement Ting Yong Rui</v>
      </c>
      <c r="B56" s="8" t="s">
        <v>185</v>
      </c>
      <c r="C56" s="4">
        <v>0.0</v>
      </c>
      <c r="D56" s="4">
        <v>0.0</v>
      </c>
      <c r="E56" s="4">
        <v>0.0</v>
      </c>
      <c r="F56" s="4">
        <v>0.0</v>
      </c>
      <c r="G56" s="4">
        <v>0.0</v>
      </c>
      <c r="H56" s="4">
        <v>0.0</v>
      </c>
      <c r="I56" s="4">
        <v>0.0</v>
      </c>
      <c r="J56" s="4">
        <v>0.0</v>
      </c>
      <c r="K56" s="4">
        <v>0.0</v>
      </c>
      <c r="L56" s="4">
        <v>0.0</v>
      </c>
      <c r="M56" s="4">
        <v>0.0</v>
      </c>
      <c r="N56" s="4">
        <v>0.0</v>
      </c>
    </row>
    <row r="57">
      <c r="A57" s="4" t="str">
        <f>IFERROR(__xludf.DUMMYFUNCTION("""COMPUTED_VALUE"""),"Gia Lim Jia En")</f>
        <v>Gia Lim Jia En</v>
      </c>
      <c r="B57" s="8" t="s">
        <v>185</v>
      </c>
      <c r="C57" s="4">
        <v>0.0</v>
      </c>
      <c r="D57" s="4">
        <v>0.0</v>
      </c>
      <c r="E57" s="4">
        <v>0.0</v>
      </c>
      <c r="F57" s="4">
        <v>0.0</v>
      </c>
      <c r="G57" s="4">
        <v>0.0</v>
      </c>
      <c r="H57" s="4">
        <v>0.0</v>
      </c>
      <c r="I57" s="4">
        <v>0.0</v>
      </c>
      <c r="J57" s="4">
        <v>0.0</v>
      </c>
      <c r="K57" s="4">
        <v>0.0</v>
      </c>
      <c r="L57" s="4">
        <v>0.0</v>
      </c>
      <c r="M57" s="4">
        <v>0.0</v>
      </c>
      <c r="N57" s="4">
        <v>0.0</v>
      </c>
    </row>
    <row r="58">
      <c r="A58" s="17" t="str">
        <f>IFERROR(__xludf.DUMMYFUNCTION("""COMPUTED_VALUE"""),"Ethan Tiong Yong Xin")</f>
        <v>Ethan Tiong Yong Xin</v>
      </c>
      <c r="B58" s="8" t="s">
        <v>185</v>
      </c>
      <c r="C58" s="4">
        <v>0.0</v>
      </c>
      <c r="D58" s="4">
        <v>0.0</v>
      </c>
      <c r="E58" s="4">
        <v>0.0</v>
      </c>
      <c r="F58" s="4">
        <v>0.0</v>
      </c>
      <c r="G58" s="4">
        <v>0.0</v>
      </c>
      <c r="H58" s="4">
        <v>0.0</v>
      </c>
      <c r="I58" s="4">
        <v>0.0</v>
      </c>
      <c r="J58" s="4">
        <v>0.0</v>
      </c>
      <c r="K58" s="4">
        <v>0.0</v>
      </c>
      <c r="L58" s="4">
        <v>0.0</v>
      </c>
      <c r="M58" s="4">
        <v>0.0</v>
      </c>
      <c r="N58" s="4">
        <v>0.0</v>
      </c>
    </row>
    <row r="59">
      <c r="A59" s="17" t="str">
        <f>IFERROR(__xludf.DUMMYFUNCTION("""COMPUTED_VALUE"""),"Cody Chan Shan Yu")</f>
        <v>Cody Chan Shan Yu</v>
      </c>
      <c r="B59" s="8" t="s">
        <v>185</v>
      </c>
      <c r="C59" s="4">
        <v>0.0</v>
      </c>
      <c r="D59" s="4">
        <v>0.0</v>
      </c>
      <c r="E59" s="4">
        <v>0.0</v>
      </c>
      <c r="F59" s="4">
        <v>0.0</v>
      </c>
      <c r="G59" s="4">
        <v>0.0</v>
      </c>
      <c r="H59" s="4">
        <v>0.0</v>
      </c>
      <c r="I59" s="4">
        <v>0.0</v>
      </c>
      <c r="J59" s="4">
        <v>0.0</v>
      </c>
      <c r="K59" s="4">
        <v>0.0</v>
      </c>
      <c r="L59" s="4">
        <v>0.0</v>
      </c>
      <c r="M59" s="4">
        <v>0.0</v>
      </c>
      <c r="N59" s="4">
        <v>0.0</v>
      </c>
    </row>
    <row r="60">
      <c r="A60" s="4" t="str">
        <f>IFERROR(__xludf.DUMMYFUNCTION("""COMPUTED_VALUE"""),"Jonas Wong Qin En")</f>
        <v>Jonas Wong Qin En</v>
      </c>
      <c r="B60" s="8" t="s">
        <v>210</v>
      </c>
      <c r="C60" s="4">
        <v>0.0</v>
      </c>
      <c r="D60" s="4">
        <v>0.0</v>
      </c>
      <c r="E60" s="4">
        <v>0.0</v>
      </c>
      <c r="F60" s="4">
        <v>0.0</v>
      </c>
      <c r="G60" s="4">
        <v>0.0</v>
      </c>
      <c r="H60" s="4">
        <v>0.0</v>
      </c>
      <c r="I60" s="4">
        <v>0.0</v>
      </c>
      <c r="J60" s="4">
        <v>0.0</v>
      </c>
      <c r="K60" s="4">
        <v>0.0</v>
      </c>
      <c r="L60" s="4">
        <v>0.0</v>
      </c>
      <c r="M60" s="4">
        <v>0.0</v>
      </c>
      <c r="N60" s="4">
        <v>0.0</v>
      </c>
    </row>
    <row r="61">
      <c r="A61" s="4" t="str">
        <f>IFERROR(__xludf.DUMMYFUNCTION("""COMPUTED_VALUE"""),"Asher Lim Zhong Jie")</f>
        <v>Asher Lim Zhong Jie</v>
      </c>
      <c r="B61" s="8" t="s">
        <v>210</v>
      </c>
      <c r="C61" s="4">
        <v>0.0</v>
      </c>
      <c r="D61" s="4">
        <v>0.0</v>
      </c>
      <c r="E61" s="4">
        <v>0.0</v>
      </c>
      <c r="F61" s="4">
        <v>0.0</v>
      </c>
      <c r="G61" s="4">
        <v>0.0</v>
      </c>
      <c r="H61" s="4">
        <v>0.0</v>
      </c>
      <c r="I61" s="4">
        <v>0.0</v>
      </c>
      <c r="J61" s="4">
        <v>0.0</v>
      </c>
      <c r="K61" s="4">
        <v>0.0</v>
      </c>
      <c r="L61" s="4">
        <v>0.0</v>
      </c>
      <c r="M61" s="4">
        <v>0.0</v>
      </c>
      <c r="N61" s="4">
        <v>0.0</v>
      </c>
    </row>
    <row r="62">
      <c r="A62" s="4" t="str">
        <f>IFERROR(__xludf.DUMMYFUNCTION("""COMPUTED_VALUE"""),"Lau Yong")</f>
        <v>Lau Yong</v>
      </c>
      <c r="B62" s="8" t="s">
        <v>210</v>
      </c>
      <c r="C62" s="4">
        <v>0.0</v>
      </c>
      <c r="D62" s="4">
        <v>0.0</v>
      </c>
      <c r="E62" s="4">
        <v>0.0</v>
      </c>
      <c r="F62" s="4">
        <v>0.0</v>
      </c>
      <c r="G62" s="4">
        <v>0.0</v>
      </c>
      <c r="H62" s="4">
        <v>0.0</v>
      </c>
      <c r="I62" s="4">
        <v>0.0</v>
      </c>
      <c r="J62" s="4">
        <v>0.0</v>
      </c>
      <c r="K62" s="4">
        <v>0.0</v>
      </c>
      <c r="L62" s="4">
        <v>0.0</v>
      </c>
      <c r="M62" s="4">
        <v>0.0</v>
      </c>
      <c r="N62" s="4">
        <v>0.0</v>
      </c>
    </row>
    <row r="63">
      <c r="A63" s="4" t="str">
        <f>IFERROR(__xludf.DUMMYFUNCTION("""COMPUTED_VALUE"""),"Lau Jyi Xian")</f>
        <v>Lau Jyi Xian</v>
      </c>
      <c r="B63" s="8" t="s">
        <v>210</v>
      </c>
      <c r="C63" s="4">
        <v>0.0</v>
      </c>
      <c r="D63" s="4">
        <v>0.0</v>
      </c>
      <c r="E63" s="4">
        <v>0.0</v>
      </c>
      <c r="F63" s="4">
        <v>0.0</v>
      </c>
      <c r="G63" s="4">
        <v>0.0</v>
      </c>
      <c r="H63" s="4">
        <v>0.0</v>
      </c>
      <c r="I63" s="4">
        <v>0.0</v>
      </c>
      <c r="J63" s="4">
        <v>0.0</v>
      </c>
      <c r="K63" s="4">
        <v>0.0</v>
      </c>
      <c r="L63" s="4">
        <v>0.0</v>
      </c>
      <c r="M63" s="4">
        <v>0.0</v>
      </c>
      <c r="N63" s="4">
        <v>0.0</v>
      </c>
    </row>
    <row r="64">
      <c r="A64" s="4" t="str">
        <f>IFERROR(__xludf.DUMMYFUNCTION("""COMPUTED_VALUE"""),"Abraham Anak Francis Engkala")</f>
        <v>Abraham Anak Francis Engkala</v>
      </c>
      <c r="B64" s="8" t="s">
        <v>210</v>
      </c>
      <c r="C64" s="4">
        <v>0.0</v>
      </c>
      <c r="D64" s="4">
        <v>0.0</v>
      </c>
      <c r="E64" s="4">
        <v>0.0</v>
      </c>
      <c r="F64" s="4">
        <v>0.0</v>
      </c>
      <c r="G64" s="4">
        <v>0.0</v>
      </c>
      <c r="H64" s="4">
        <v>0.0</v>
      </c>
      <c r="I64" s="4">
        <v>0.0</v>
      </c>
      <c r="J64" s="4">
        <v>0.0</v>
      </c>
      <c r="K64" s="4">
        <v>0.0</v>
      </c>
      <c r="L64" s="4">
        <v>0.0</v>
      </c>
      <c r="M64" s="4">
        <v>0.0</v>
      </c>
      <c r="N64" s="4">
        <v>0.0</v>
      </c>
    </row>
    <row r="65">
      <c r="A65" s="4" t="str">
        <f>IFERROR(__xludf.DUMMYFUNCTION("""COMPUTED_VALUE"""),"Ko King Wei")</f>
        <v>Ko King Wei</v>
      </c>
      <c r="B65" s="8" t="s">
        <v>210</v>
      </c>
      <c r="C65" s="4">
        <v>0.0</v>
      </c>
      <c r="D65" s="4">
        <v>0.0</v>
      </c>
      <c r="E65" s="4">
        <v>0.0</v>
      </c>
      <c r="F65" s="4">
        <v>0.0</v>
      </c>
      <c r="G65" s="4">
        <v>0.0</v>
      </c>
      <c r="H65" s="4">
        <v>0.0</v>
      </c>
      <c r="I65" s="4">
        <v>0.0</v>
      </c>
      <c r="J65" s="4">
        <v>0.0</v>
      </c>
      <c r="K65" s="4">
        <v>0.0</v>
      </c>
      <c r="L65" s="4">
        <v>0.0</v>
      </c>
      <c r="M65" s="4">
        <v>0.0</v>
      </c>
      <c r="N65" s="4">
        <v>0.0</v>
      </c>
    </row>
    <row r="66">
      <c r="A66" s="17" t="str">
        <f>IFERROR(__xludf.DUMMYFUNCTION("""COMPUTED_VALUE"""),"Ko King Hui")</f>
        <v>Ko King Hui</v>
      </c>
      <c r="B66" s="8" t="s">
        <v>210</v>
      </c>
      <c r="C66" s="4">
        <v>0.0</v>
      </c>
      <c r="D66" s="4">
        <v>0.0</v>
      </c>
      <c r="E66" s="4">
        <v>0.0</v>
      </c>
      <c r="F66" s="4">
        <v>0.0</v>
      </c>
      <c r="G66" s="4">
        <v>0.0</v>
      </c>
      <c r="H66" s="4">
        <v>0.0</v>
      </c>
      <c r="I66" s="4">
        <v>0.0</v>
      </c>
      <c r="J66" s="4">
        <v>0.0</v>
      </c>
      <c r="K66" s="4">
        <v>0.0</v>
      </c>
      <c r="L66" s="4">
        <v>0.0</v>
      </c>
      <c r="M66" s="4">
        <v>0.0</v>
      </c>
      <c r="N66" s="4">
        <v>0.0</v>
      </c>
    </row>
    <row r="67">
      <c r="A67" s="17" t="str">
        <f>IFERROR(__xludf.DUMMYFUNCTION("""COMPUTED_VALUE"""),"Abraham Ting Lik Yue")</f>
        <v>Abraham Ting Lik Yue</v>
      </c>
      <c r="B67" s="8" t="s">
        <v>210</v>
      </c>
      <c r="C67" s="4">
        <v>0.0</v>
      </c>
      <c r="D67" s="4">
        <v>0.0</v>
      </c>
      <c r="E67" s="4">
        <v>0.0</v>
      </c>
      <c r="F67" s="4">
        <v>0.0</v>
      </c>
      <c r="G67" s="4">
        <v>0.0</v>
      </c>
      <c r="H67" s="4">
        <v>0.0</v>
      </c>
      <c r="I67" s="4">
        <v>0.0</v>
      </c>
      <c r="J67" s="4">
        <v>0.0</v>
      </c>
      <c r="K67" s="4">
        <v>0.0</v>
      </c>
      <c r="L67" s="4">
        <v>0.0</v>
      </c>
      <c r="M67" s="4">
        <v>0.0</v>
      </c>
      <c r="N67" s="4">
        <v>0.0</v>
      </c>
    </row>
    <row r="68">
      <c r="A68" s="17" t="str">
        <f>IFERROR(__xludf.DUMMYFUNCTION("""COMPUTED_VALUE"""),"Ryan Wong Bak Chen")</f>
        <v>Ryan Wong Bak Chen</v>
      </c>
      <c r="B68" s="8" t="s">
        <v>210</v>
      </c>
      <c r="C68" s="4">
        <v>0.0</v>
      </c>
      <c r="D68" s="4">
        <v>0.0</v>
      </c>
      <c r="E68" s="4">
        <v>0.0</v>
      </c>
      <c r="F68" s="4">
        <v>0.0</v>
      </c>
      <c r="G68" s="4">
        <v>0.0</v>
      </c>
      <c r="H68" s="4">
        <v>0.0</v>
      </c>
      <c r="I68" s="4">
        <v>0.0</v>
      </c>
      <c r="J68" s="4">
        <v>0.0</v>
      </c>
      <c r="K68" s="4">
        <v>0.0</v>
      </c>
      <c r="L68" s="4">
        <v>0.0</v>
      </c>
      <c r="M68" s="4">
        <v>0.0</v>
      </c>
      <c r="N68" s="4">
        <v>0.0</v>
      </c>
    </row>
    <row r="69">
      <c r="A69" s="4" t="str">
        <f>IFERROR(__xludf.DUMMYFUNCTION("""COMPUTED_VALUE"""),"Oscar Wong Kwang Minhai")</f>
        <v>Oscar Wong Kwang Minhai</v>
      </c>
      <c r="B69" s="8" t="s">
        <v>210</v>
      </c>
      <c r="C69" s="4">
        <v>0.0</v>
      </c>
      <c r="D69" s="4">
        <v>0.0</v>
      </c>
      <c r="E69" s="4">
        <v>0.0</v>
      </c>
      <c r="F69" s="4">
        <v>0.0</v>
      </c>
      <c r="G69" s="4">
        <v>0.0</v>
      </c>
      <c r="H69" s="4">
        <v>0.0</v>
      </c>
      <c r="I69" s="4">
        <v>0.0</v>
      </c>
      <c r="J69" s="4">
        <v>0.0</v>
      </c>
      <c r="K69" s="4">
        <v>0.0</v>
      </c>
      <c r="L69" s="4">
        <v>0.0</v>
      </c>
      <c r="M69" s="4">
        <v>0.0</v>
      </c>
      <c r="N69" s="4">
        <v>0.0</v>
      </c>
    </row>
    <row r="70">
      <c r="A70" s="17" t="str">
        <f>IFERROR(__xludf.DUMMYFUNCTION("""COMPUTED_VALUE"""),"Peso Yang Ming Yu")</f>
        <v>Peso Yang Ming Yu</v>
      </c>
      <c r="B70" s="8" t="s">
        <v>210</v>
      </c>
      <c r="C70" s="4">
        <v>0.0</v>
      </c>
      <c r="D70" s="4">
        <v>0.0</v>
      </c>
      <c r="E70" s="4">
        <v>0.0</v>
      </c>
      <c r="F70" s="4">
        <v>0.0</v>
      </c>
      <c r="G70" s="4">
        <v>0.0</v>
      </c>
      <c r="H70" s="4">
        <v>0.0</v>
      </c>
      <c r="I70" s="4">
        <v>0.0</v>
      </c>
      <c r="J70" s="4">
        <v>0.0</v>
      </c>
      <c r="K70" s="4">
        <v>0.0</v>
      </c>
      <c r="L70" s="4">
        <v>0.0</v>
      </c>
      <c r="M70" s="4">
        <v>0.0</v>
      </c>
      <c r="N70" s="4">
        <v>0.0</v>
      </c>
    </row>
    <row r="71">
      <c r="A71" s="17" t="str">
        <f>IFERROR(__xludf.DUMMYFUNCTION("""COMPUTED_VALUE"""),"Jayden Ting Ri Bin")</f>
        <v>Jayden Ting Ri Bin</v>
      </c>
      <c r="B71" s="8" t="s">
        <v>210</v>
      </c>
      <c r="C71" s="4">
        <v>0.0</v>
      </c>
      <c r="D71" s="4">
        <v>0.0</v>
      </c>
      <c r="E71" s="4">
        <v>0.0</v>
      </c>
      <c r="F71" s="4">
        <v>0.0</v>
      </c>
      <c r="G71" s="4">
        <v>0.0</v>
      </c>
      <c r="H71" s="4">
        <v>0.0</v>
      </c>
      <c r="I71" s="4">
        <v>0.0</v>
      </c>
      <c r="J71" s="4">
        <v>0.0</v>
      </c>
      <c r="K71" s="4">
        <v>0.0</v>
      </c>
      <c r="L71" s="4">
        <v>0.0</v>
      </c>
      <c r="M71" s="4">
        <v>0.0</v>
      </c>
      <c r="N71" s="4">
        <v>0.0</v>
      </c>
    </row>
    <row r="72">
      <c r="A72" s="17" t="str">
        <f>IFERROR(__xludf.DUMMYFUNCTION("""COMPUTED_VALUE"""),"Derrick Ling Ning Seng")</f>
        <v>Derrick Ling Ning Seng</v>
      </c>
      <c r="B72" s="8" t="s">
        <v>210</v>
      </c>
      <c r="C72" s="4">
        <v>0.0</v>
      </c>
      <c r="D72" s="4">
        <v>0.0</v>
      </c>
      <c r="E72" s="4">
        <v>0.0</v>
      </c>
      <c r="F72" s="4">
        <v>0.0</v>
      </c>
      <c r="G72" s="4">
        <v>0.0</v>
      </c>
      <c r="H72" s="4">
        <v>0.0</v>
      </c>
      <c r="I72" s="4">
        <v>0.0</v>
      </c>
      <c r="J72" s="4">
        <v>0.0</v>
      </c>
      <c r="K72" s="4">
        <v>0.0</v>
      </c>
      <c r="L72" s="4">
        <v>0.0</v>
      </c>
      <c r="M72" s="4">
        <v>0.0</v>
      </c>
      <c r="N72" s="4">
        <v>0.0</v>
      </c>
    </row>
    <row r="73">
      <c r="A73" s="4" t="str">
        <f>IFERROR(__xludf.DUMMYFUNCTION("""COMPUTED_VALUE"""),"Amber Wong Yun Qi")</f>
        <v>Amber Wong Yun Qi</v>
      </c>
      <c r="B73" s="8" t="s">
        <v>210</v>
      </c>
      <c r="C73" s="4">
        <v>0.0</v>
      </c>
      <c r="D73" s="4">
        <v>0.0</v>
      </c>
      <c r="E73" s="4">
        <v>0.0</v>
      </c>
      <c r="F73" s="4">
        <v>0.0</v>
      </c>
      <c r="G73" s="4">
        <v>0.0</v>
      </c>
      <c r="H73" s="4">
        <v>0.0</v>
      </c>
      <c r="I73" s="4">
        <v>0.0</v>
      </c>
      <c r="J73" s="4">
        <v>0.0</v>
      </c>
      <c r="K73" s="4">
        <v>0.0</v>
      </c>
      <c r="L73" s="4">
        <v>0.0</v>
      </c>
      <c r="M73" s="4">
        <v>0.0</v>
      </c>
      <c r="N73" s="4">
        <v>0.0</v>
      </c>
    </row>
    <row r="74">
      <c r="A74" s="17" t="str">
        <f>IFERROR(__xludf.DUMMYFUNCTION("""COMPUTED_VALUE"""),"Josh Law Wen Jun")</f>
        <v>Josh Law Wen Jun</v>
      </c>
      <c r="B74" s="8" t="s">
        <v>239</v>
      </c>
      <c r="C74" s="4">
        <v>0.0</v>
      </c>
      <c r="D74" s="4">
        <v>0.0</v>
      </c>
      <c r="E74" s="4">
        <v>0.0</v>
      </c>
      <c r="F74" s="4">
        <v>0.0</v>
      </c>
      <c r="G74" s="4">
        <v>0.0</v>
      </c>
      <c r="H74" s="4">
        <v>0.0</v>
      </c>
      <c r="I74" s="4">
        <v>0.0</v>
      </c>
      <c r="J74" s="4">
        <v>0.0</v>
      </c>
      <c r="K74" s="4">
        <v>0.0</v>
      </c>
      <c r="L74" s="4">
        <v>0.0</v>
      </c>
      <c r="M74" s="4">
        <v>0.0</v>
      </c>
      <c r="N74" s="4">
        <v>0.0</v>
      </c>
    </row>
    <row r="75">
      <c r="A75" s="4" t="str">
        <f>IFERROR(__xludf.DUMMYFUNCTION("""COMPUTED_VALUE"""),"Edric Yong Tian Jun")</f>
        <v>Edric Yong Tian Jun</v>
      </c>
      <c r="B75" s="8" t="s">
        <v>210</v>
      </c>
      <c r="C75" s="4">
        <v>0.0</v>
      </c>
      <c r="D75" s="4">
        <v>0.0</v>
      </c>
      <c r="E75" s="4">
        <v>0.0</v>
      </c>
      <c r="F75" s="4">
        <v>0.0</v>
      </c>
      <c r="G75" s="4">
        <v>0.0</v>
      </c>
      <c r="H75" s="4">
        <v>0.0</v>
      </c>
      <c r="I75" s="4">
        <v>0.0</v>
      </c>
      <c r="J75" s="4">
        <v>0.0</v>
      </c>
      <c r="K75" s="4">
        <v>0.0</v>
      </c>
      <c r="L75" s="4">
        <v>0.0</v>
      </c>
      <c r="M75" s="4">
        <v>0.0</v>
      </c>
      <c r="N75" s="4">
        <v>0.0</v>
      </c>
    </row>
    <row r="76">
      <c r="A76" s="4" t="str">
        <f>IFERROR(__xludf.DUMMYFUNCTION("""COMPUTED_VALUE"""),"Herman Kong Kerk Xiang")</f>
        <v>Herman Kong Kerk Xiang</v>
      </c>
      <c r="B76" s="8" t="s">
        <v>239</v>
      </c>
      <c r="C76" s="4">
        <v>0.0</v>
      </c>
      <c r="D76" s="4">
        <v>0.0</v>
      </c>
      <c r="E76" s="4">
        <v>0.0</v>
      </c>
      <c r="F76" s="4">
        <v>0.0</v>
      </c>
      <c r="G76" s="4">
        <v>0.0</v>
      </c>
      <c r="H76" s="4">
        <v>0.0</v>
      </c>
      <c r="I76" s="4">
        <v>0.0</v>
      </c>
      <c r="J76" s="4">
        <v>0.0</v>
      </c>
      <c r="K76" s="4">
        <v>0.0</v>
      </c>
      <c r="L76" s="4">
        <v>0.0</v>
      </c>
      <c r="M76" s="4">
        <v>0.0</v>
      </c>
      <c r="N76" s="4">
        <v>0.0</v>
      </c>
    </row>
    <row r="77">
      <c r="A77" s="4" t="str">
        <f>IFERROR(__xludf.DUMMYFUNCTION("""COMPUTED_VALUE"""),"Harper Kong Xuen")</f>
        <v>Harper Kong Xuen</v>
      </c>
      <c r="B77" s="8" t="s">
        <v>239</v>
      </c>
      <c r="C77" s="4">
        <v>0.0</v>
      </c>
      <c r="D77" s="4">
        <v>0.0</v>
      </c>
      <c r="E77" s="4">
        <v>0.0</v>
      </c>
      <c r="F77" s="4">
        <v>0.0</v>
      </c>
      <c r="G77" s="4">
        <v>0.0</v>
      </c>
      <c r="H77" s="4">
        <v>0.0</v>
      </c>
      <c r="I77" s="4">
        <v>0.0</v>
      </c>
      <c r="J77" s="4">
        <v>0.0</v>
      </c>
      <c r="K77" s="4">
        <v>0.0</v>
      </c>
      <c r="L77" s="4">
        <v>0.0</v>
      </c>
      <c r="M77" s="4">
        <v>0.0</v>
      </c>
      <c r="N77" s="4">
        <v>0.0</v>
      </c>
    </row>
    <row r="78">
      <c r="A78" s="17" t="str">
        <f>IFERROR(__xludf.DUMMYFUNCTION("""COMPUTED_VALUE"""),"Dylan Ling Hung Fan")</f>
        <v>Dylan Ling Hung Fan</v>
      </c>
      <c r="B78" s="8" t="s">
        <v>239</v>
      </c>
      <c r="C78" s="4">
        <v>0.0</v>
      </c>
      <c r="D78" s="4">
        <v>0.0</v>
      </c>
      <c r="E78" s="4">
        <v>0.0</v>
      </c>
      <c r="F78" s="4">
        <v>0.0</v>
      </c>
      <c r="G78" s="4">
        <v>0.0</v>
      </c>
      <c r="H78" s="4">
        <v>0.0</v>
      </c>
      <c r="I78" s="4">
        <v>0.0</v>
      </c>
      <c r="J78" s="4">
        <v>0.0</v>
      </c>
      <c r="K78" s="4">
        <v>0.0</v>
      </c>
      <c r="L78" s="4">
        <v>0.0</v>
      </c>
      <c r="M78" s="4">
        <v>0.0</v>
      </c>
      <c r="N78" s="4">
        <v>0.0</v>
      </c>
    </row>
    <row r="79">
      <c r="A79" s="4" t="str">
        <f>IFERROR(__xludf.DUMMYFUNCTION("""COMPUTED_VALUE"""),"Teo Kah Wei")</f>
        <v>Teo Kah Wei</v>
      </c>
      <c r="B79" s="8" t="s">
        <v>239</v>
      </c>
      <c r="C79" s="4">
        <v>0.0</v>
      </c>
      <c r="D79" s="4">
        <v>0.0</v>
      </c>
      <c r="E79" s="4">
        <v>0.0</v>
      </c>
      <c r="F79" s="4">
        <v>0.0</v>
      </c>
      <c r="G79" s="4">
        <v>0.0</v>
      </c>
      <c r="H79" s="4">
        <v>0.0</v>
      </c>
      <c r="I79" s="4">
        <v>0.0</v>
      </c>
      <c r="J79" s="4">
        <v>0.0</v>
      </c>
      <c r="K79" s="4">
        <v>0.0</v>
      </c>
      <c r="L79" s="4">
        <v>0.0</v>
      </c>
      <c r="M79" s="4">
        <v>0.0</v>
      </c>
      <c r="N79" s="4">
        <v>0.0</v>
      </c>
    </row>
    <row r="80">
      <c r="A80" s="17" t="str">
        <f>IFERROR(__xludf.DUMMYFUNCTION("""COMPUTED_VALUE"""),"Alston Chan Yu Han")</f>
        <v>Alston Chan Yu Han</v>
      </c>
      <c r="B80" s="8" t="s">
        <v>239</v>
      </c>
      <c r="C80" s="4">
        <v>0.0</v>
      </c>
      <c r="D80" s="4">
        <v>0.0</v>
      </c>
      <c r="E80" s="4">
        <v>0.0</v>
      </c>
      <c r="F80" s="4">
        <v>0.0</v>
      </c>
      <c r="G80" s="4">
        <v>0.0</v>
      </c>
      <c r="H80" s="4">
        <v>0.0</v>
      </c>
      <c r="I80" s="4">
        <v>0.0</v>
      </c>
      <c r="J80" s="4">
        <v>0.0</v>
      </c>
      <c r="K80" s="4">
        <v>0.0</v>
      </c>
      <c r="L80" s="4">
        <v>0.0</v>
      </c>
      <c r="M80" s="4">
        <v>0.0</v>
      </c>
      <c r="N80" s="4">
        <v>0.0</v>
      </c>
    </row>
    <row r="81">
      <c r="A81" s="4" t="str">
        <f>IFERROR(__xludf.DUMMYFUNCTION("""COMPUTED_VALUE"""),"Joshua Tong Tze Cheng")</f>
        <v>Joshua Tong Tze Cheng</v>
      </c>
      <c r="B81" s="8" t="s">
        <v>239</v>
      </c>
      <c r="C81" s="4">
        <v>0.0</v>
      </c>
      <c r="D81" s="4">
        <v>0.0</v>
      </c>
      <c r="E81" s="4">
        <v>0.0</v>
      </c>
      <c r="F81" s="4">
        <v>0.0</v>
      </c>
      <c r="G81" s="4">
        <v>0.0</v>
      </c>
      <c r="H81" s="4">
        <v>0.0</v>
      </c>
      <c r="I81" s="4">
        <v>0.0</v>
      </c>
      <c r="J81" s="4">
        <v>0.0</v>
      </c>
      <c r="K81" s="4">
        <v>0.0</v>
      </c>
      <c r="L81" s="4">
        <v>0.0</v>
      </c>
      <c r="M81" s="4">
        <v>0.0</v>
      </c>
      <c r="N81" s="4">
        <v>0.0</v>
      </c>
    </row>
    <row r="82">
      <c r="A82" s="4" t="str">
        <f>IFERROR(__xludf.DUMMYFUNCTION("""COMPUTED_VALUE"""),"Clovis Low Zhao Ming")</f>
        <v>Clovis Low Zhao Ming</v>
      </c>
      <c r="B82" s="8" t="s">
        <v>239</v>
      </c>
      <c r="C82" s="4">
        <v>0.0</v>
      </c>
      <c r="D82" s="4">
        <v>0.0</v>
      </c>
      <c r="E82" s="4">
        <v>0.0</v>
      </c>
      <c r="F82" s="4">
        <v>0.0</v>
      </c>
      <c r="G82" s="4">
        <v>0.0</v>
      </c>
      <c r="H82" s="4">
        <v>0.0</v>
      </c>
      <c r="I82" s="4">
        <v>0.0</v>
      </c>
      <c r="J82" s="4">
        <v>0.0</v>
      </c>
      <c r="K82" s="4">
        <v>0.0</v>
      </c>
      <c r="L82" s="4">
        <v>0.0</v>
      </c>
      <c r="M82" s="4">
        <v>0.0</v>
      </c>
      <c r="N82" s="4">
        <v>0.0</v>
      </c>
    </row>
    <row r="83">
      <c r="A83" s="4" t="str">
        <f>IFERROR(__xludf.DUMMYFUNCTION("""COMPUTED_VALUE"""),"Ayden Lee Zeng Hsu")</f>
        <v>Ayden Lee Zeng Hsu</v>
      </c>
      <c r="B83" s="8" t="s">
        <v>239</v>
      </c>
      <c r="C83" s="4">
        <v>0.0</v>
      </c>
      <c r="D83" s="4">
        <v>0.0</v>
      </c>
      <c r="E83" s="4">
        <v>0.0</v>
      </c>
      <c r="F83" s="4">
        <v>0.0</v>
      </c>
      <c r="G83" s="4">
        <v>0.0</v>
      </c>
      <c r="H83" s="4">
        <v>0.0</v>
      </c>
      <c r="I83" s="4">
        <v>0.0</v>
      </c>
      <c r="J83" s="4">
        <v>0.0</v>
      </c>
      <c r="K83" s="4">
        <v>0.0</v>
      </c>
      <c r="L83" s="4">
        <v>0.0</v>
      </c>
      <c r="M83" s="4">
        <v>0.0</v>
      </c>
      <c r="N83" s="4">
        <v>0.0</v>
      </c>
    </row>
    <row r="84">
      <c r="A84" s="4" t="str">
        <f>IFERROR(__xludf.DUMMYFUNCTION("""COMPUTED_VALUE"""),"Emily Wong Mon Rong")</f>
        <v>Emily Wong Mon Rong</v>
      </c>
      <c r="B84" s="8" t="s">
        <v>239</v>
      </c>
      <c r="C84" s="4">
        <v>0.0</v>
      </c>
      <c r="D84" s="4">
        <v>0.0</v>
      </c>
      <c r="E84" s="4">
        <v>0.0</v>
      </c>
      <c r="F84" s="4">
        <v>0.0</v>
      </c>
      <c r="G84" s="4">
        <v>0.0</v>
      </c>
      <c r="H84" s="4">
        <v>0.0</v>
      </c>
      <c r="I84" s="4">
        <v>0.0</v>
      </c>
      <c r="J84" s="4">
        <v>0.0</v>
      </c>
      <c r="K84" s="4">
        <v>0.0</v>
      </c>
      <c r="L84" s="4">
        <v>0.0</v>
      </c>
      <c r="M84" s="4">
        <v>0.0</v>
      </c>
      <c r="N84" s="4">
        <v>0.0</v>
      </c>
    </row>
    <row r="85">
      <c r="A85" s="4" t="str">
        <f>IFERROR(__xludf.DUMMYFUNCTION("""COMPUTED_VALUE"""),"Julius Chiew Zhen Hao")</f>
        <v>Julius Chiew Zhen Hao</v>
      </c>
      <c r="B85" s="8" t="s">
        <v>239</v>
      </c>
      <c r="C85" s="4">
        <v>0.0</v>
      </c>
      <c r="D85" s="4">
        <v>0.0</v>
      </c>
      <c r="E85" s="4">
        <v>0.0</v>
      </c>
      <c r="F85" s="4">
        <v>0.0</v>
      </c>
      <c r="G85" s="4">
        <v>0.0</v>
      </c>
      <c r="H85" s="4">
        <v>0.0</v>
      </c>
      <c r="I85" s="4">
        <v>0.0</v>
      </c>
      <c r="J85" s="4">
        <v>0.0</v>
      </c>
      <c r="K85" s="4">
        <v>0.0</v>
      </c>
      <c r="L85" s="4">
        <v>0.0</v>
      </c>
      <c r="M85" s="4">
        <v>0.0</v>
      </c>
      <c r="N85" s="4">
        <v>0.0</v>
      </c>
    </row>
    <row r="86">
      <c r="A86" s="17" t="str">
        <f>IFERROR(__xludf.DUMMYFUNCTION("""COMPUTED_VALUE"""),"Samuel Moh Nian Quan")</f>
        <v>Samuel Moh Nian Quan</v>
      </c>
      <c r="B86" s="8" t="s">
        <v>239</v>
      </c>
      <c r="C86" s="4">
        <v>0.0</v>
      </c>
      <c r="D86" s="4">
        <v>0.0</v>
      </c>
      <c r="E86" s="4">
        <v>0.0</v>
      </c>
      <c r="F86" s="4">
        <v>0.0</v>
      </c>
      <c r="G86" s="4">
        <v>0.0</v>
      </c>
      <c r="H86" s="4">
        <v>0.0</v>
      </c>
      <c r="I86" s="4">
        <v>0.0</v>
      </c>
      <c r="J86" s="4">
        <v>0.0</v>
      </c>
      <c r="K86" s="4">
        <v>0.0</v>
      </c>
      <c r="L86" s="4">
        <v>0.0</v>
      </c>
      <c r="M86" s="4">
        <v>0.0</v>
      </c>
      <c r="N86" s="4">
        <v>0.0</v>
      </c>
    </row>
    <row r="87">
      <c r="A87" s="17" t="str">
        <f>IFERROR(__xludf.DUMMYFUNCTION("""COMPUTED_VALUE"""),"Rachelle Teh Ern Cher")</f>
        <v>Rachelle Teh Ern Cher</v>
      </c>
      <c r="B87" s="8" t="s">
        <v>239</v>
      </c>
      <c r="C87" s="4">
        <v>0.0</v>
      </c>
      <c r="D87" s="4">
        <v>0.0</v>
      </c>
      <c r="E87" s="4">
        <v>0.0</v>
      </c>
      <c r="F87" s="4">
        <v>0.0</v>
      </c>
      <c r="G87" s="4">
        <v>0.0</v>
      </c>
      <c r="H87" s="4">
        <v>0.0</v>
      </c>
      <c r="I87" s="4">
        <v>0.0</v>
      </c>
      <c r="J87" s="4">
        <v>0.0</v>
      </c>
      <c r="K87" s="4">
        <v>0.0</v>
      </c>
      <c r="L87" s="4">
        <v>0.0</v>
      </c>
      <c r="M87" s="4">
        <v>0.0</v>
      </c>
      <c r="N87" s="4">
        <v>0.0</v>
      </c>
    </row>
    <row r="88">
      <c r="A88" s="17" t="str">
        <f>IFERROR(__xludf.DUMMYFUNCTION("""COMPUTED_VALUE"""),"Daphne Wong")</f>
        <v>Daphne Wong</v>
      </c>
      <c r="B88" s="8" t="s">
        <v>239</v>
      </c>
      <c r="C88" s="4">
        <v>0.0</v>
      </c>
      <c r="D88" s="4">
        <v>0.0</v>
      </c>
      <c r="E88" s="4">
        <v>0.0</v>
      </c>
      <c r="F88" s="4">
        <v>0.0</v>
      </c>
      <c r="G88" s="4">
        <v>0.0</v>
      </c>
      <c r="H88" s="4">
        <v>0.0</v>
      </c>
      <c r="I88" s="4">
        <v>0.0</v>
      </c>
      <c r="J88" s="4">
        <v>0.0</v>
      </c>
      <c r="K88" s="4">
        <v>0.0</v>
      </c>
      <c r="L88" s="4">
        <v>0.0</v>
      </c>
      <c r="M88" s="4">
        <v>0.0</v>
      </c>
      <c r="N88" s="4">
        <v>0.0</v>
      </c>
    </row>
    <row r="89">
      <c r="A89" s="4" t="str">
        <f>IFERROR(__xludf.DUMMYFUNCTION("""COMPUTED_VALUE"""),"Howard Ling Hong Ern")</f>
        <v>Howard Ling Hong Ern</v>
      </c>
      <c r="B89" s="8" t="s">
        <v>239</v>
      </c>
      <c r="C89" s="4">
        <v>0.0</v>
      </c>
      <c r="D89" s="4">
        <v>0.0</v>
      </c>
      <c r="E89" s="4">
        <v>0.0</v>
      </c>
      <c r="F89" s="4">
        <v>0.0</v>
      </c>
      <c r="G89" s="4">
        <v>0.0</v>
      </c>
      <c r="H89" s="4">
        <v>0.0</v>
      </c>
      <c r="I89" s="4">
        <v>0.0</v>
      </c>
      <c r="J89" s="4">
        <v>0.0</v>
      </c>
      <c r="K89" s="4">
        <v>0.0</v>
      </c>
      <c r="L89" s="4">
        <v>0.0</v>
      </c>
      <c r="M89" s="4">
        <v>0.0</v>
      </c>
      <c r="N89" s="4">
        <v>0.0</v>
      </c>
    </row>
    <row r="90">
      <c r="A90" s="4" t="str">
        <f>IFERROR(__xludf.DUMMYFUNCTION("""COMPUTED_VALUE"""),"Kong Ming Yi")</f>
        <v>Kong Ming Yi</v>
      </c>
      <c r="B90" s="8" t="s">
        <v>239</v>
      </c>
      <c r="C90" s="4">
        <v>0.0</v>
      </c>
      <c r="D90" s="4">
        <v>0.0</v>
      </c>
      <c r="E90" s="4">
        <v>0.0</v>
      </c>
      <c r="F90" s="4">
        <v>0.0</v>
      </c>
      <c r="G90" s="4">
        <v>0.0</v>
      </c>
      <c r="H90" s="4">
        <v>0.0</v>
      </c>
      <c r="I90" s="4">
        <v>0.0</v>
      </c>
      <c r="J90" s="4">
        <v>0.0</v>
      </c>
      <c r="K90" s="4">
        <v>0.0</v>
      </c>
      <c r="L90" s="4">
        <v>0.0</v>
      </c>
      <c r="M90" s="4">
        <v>0.0</v>
      </c>
      <c r="N90" s="4">
        <v>0.0</v>
      </c>
    </row>
    <row r="91">
      <c r="A91" s="17" t="str">
        <f>IFERROR(__xludf.DUMMYFUNCTION("""COMPUTED_VALUE"""),"Anselm Chiong Chan Sung")</f>
        <v>Anselm Chiong Chan Sung</v>
      </c>
      <c r="B91" s="8" t="s">
        <v>239</v>
      </c>
      <c r="C91" s="4">
        <v>0.0</v>
      </c>
      <c r="D91" s="4">
        <v>0.0</v>
      </c>
      <c r="E91" s="4">
        <v>0.0</v>
      </c>
      <c r="F91" s="4">
        <v>0.0</v>
      </c>
      <c r="G91" s="4">
        <v>0.0</v>
      </c>
      <c r="H91" s="4">
        <v>0.0</v>
      </c>
      <c r="I91" s="4">
        <v>0.0</v>
      </c>
      <c r="J91" s="4">
        <v>0.0</v>
      </c>
      <c r="K91" s="4">
        <v>0.0</v>
      </c>
      <c r="L91" s="4">
        <v>0.0</v>
      </c>
      <c r="M91" s="4">
        <v>0.0</v>
      </c>
      <c r="N91" s="4">
        <v>0.0</v>
      </c>
    </row>
    <row r="92">
      <c r="A92" s="17" t="str">
        <f>IFERROR(__xludf.DUMMYFUNCTION("""COMPUTED_VALUE"""),"Alfred Koo Yi Xiang")</f>
        <v>Alfred Koo Yi Xiang</v>
      </c>
      <c r="B92" s="8" t="s">
        <v>239</v>
      </c>
      <c r="C92" s="4">
        <v>0.0</v>
      </c>
      <c r="D92" s="4">
        <v>0.0</v>
      </c>
      <c r="E92" s="4">
        <v>0.0</v>
      </c>
      <c r="F92" s="4">
        <v>0.0</v>
      </c>
      <c r="G92" s="4">
        <v>0.0</v>
      </c>
      <c r="H92" s="4">
        <v>0.0</v>
      </c>
      <c r="I92" s="4">
        <v>0.0</v>
      </c>
      <c r="J92" s="4">
        <v>0.0</v>
      </c>
      <c r="K92" s="4">
        <v>0.0</v>
      </c>
      <c r="L92" s="4">
        <v>0.0</v>
      </c>
      <c r="M92" s="4">
        <v>0.0</v>
      </c>
      <c r="N92" s="4">
        <v>0.0</v>
      </c>
    </row>
    <row r="93">
      <c r="A93" s="17" t="str">
        <f>IFERROR(__xludf.DUMMYFUNCTION("""COMPUTED_VALUE"""),"Jarvis Ningkan Anak Henry")</f>
        <v>Jarvis Ningkan Anak Henry</v>
      </c>
      <c r="B93" s="8" t="s">
        <v>239</v>
      </c>
      <c r="C93" s="4">
        <v>0.0</v>
      </c>
      <c r="D93" s="4">
        <v>0.0</v>
      </c>
      <c r="E93" s="4">
        <v>0.0</v>
      </c>
      <c r="F93" s="4">
        <v>0.0</v>
      </c>
      <c r="G93" s="4">
        <v>0.0</v>
      </c>
      <c r="H93" s="4">
        <v>0.0</v>
      </c>
      <c r="I93" s="4">
        <v>0.0</v>
      </c>
      <c r="J93" s="4">
        <v>0.0</v>
      </c>
      <c r="K93" s="4">
        <v>0.0</v>
      </c>
      <c r="L93" s="4">
        <v>0.0</v>
      </c>
      <c r="M93" s="4">
        <v>0.0</v>
      </c>
      <c r="N93" s="4">
        <v>0.0</v>
      </c>
    </row>
    <row r="94">
      <c r="A94" s="17" t="str">
        <f>IFERROR(__xludf.DUMMYFUNCTION("""COMPUTED_VALUE"""),"Gabby Ling Hung Yu")</f>
        <v>Gabby Ling Hung Yu</v>
      </c>
      <c r="B94" s="8" t="s">
        <v>239</v>
      </c>
      <c r="C94" s="4">
        <v>0.0</v>
      </c>
      <c r="D94" s="4">
        <v>0.0</v>
      </c>
      <c r="E94" s="4">
        <v>0.0</v>
      </c>
      <c r="F94" s="4">
        <v>0.0</v>
      </c>
      <c r="G94" s="4">
        <v>0.0</v>
      </c>
      <c r="H94" s="4">
        <v>0.0</v>
      </c>
      <c r="I94" s="4">
        <v>0.0</v>
      </c>
      <c r="J94" s="4">
        <v>0.0</v>
      </c>
      <c r="K94" s="4">
        <v>0.0</v>
      </c>
      <c r="L94" s="4">
        <v>0.0</v>
      </c>
      <c r="M94" s="4">
        <v>0.0</v>
      </c>
      <c r="N94" s="4">
        <v>0.0</v>
      </c>
    </row>
    <row r="95">
      <c r="A95" s="17" t="str">
        <f>IFERROR(__xludf.DUMMYFUNCTION("""COMPUTED_VALUE"""),"Tang Xu Wen")</f>
        <v>Tang Xu Wen</v>
      </c>
      <c r="B95" s="8" t="s">
        <v>239</v>
      </c>
      <c r="C95" s="4">
        <v>0.0</v>
      </c>
      <c r="D95" s="4">
        <v>0.0</v>
      </c>
      <c r="E95" s="4">
        <v>0.0</v>
      </c>
      <c r="F95" s="4">
        <v>0.0</v>
      </c>
      <c r="G95" s="4">
        <v>0.0</v>
      </c>
      <c r="H95" s="4">
        <v>0.0</v>
      </c>
      <c r="I95" s="4">
        <v>0.0</v>
      </c>
      <c r="J95" s="4">
        <v>0.0</v>
      </c>
      <c r="K95" s="4">
        <v>0.0</v>
      </c>
      <c r="L95" s="4">
        <v>0.0</v>
      </c>
      <c r="M95" s="4">
        <v>0.0</v>
      </c>
      <c r="N95" s="4">
        <v>0.0</v>
      </c>
    </row>
    <row r="96">
      <c r="A96" s="17" t="str">
        <f>IFERROR(__xludf.DUMMYFUNCTION("""COMPUTED_VALUE"""),"Tang Shue Yean")</f>
        <v>Tang Shue Yean</v>
      </c>
      <c r="B96" s="8" t="s">
        <v>239</v>
      </c>
      <c r="C96" s="4">
        <v>0.0</v>
      </c>
      <c r="D96" s="4">
        <v>0.0</v>
      </c>
      <c r="E96" s="4">
        <v>0.0</v>
      </c>
      <c r="F96" s="4">
        <v>0.0</v>
      </c>
      <c r="G96" s="4">
        <v>0.0</v>
      </c>
      <c r="H96" s="4">
        <v>0.0</v>
      </c>
      <c r="I96" s="4">
        <v>0.0</v>
      </c>
      <c r="J96" s="4">
        <v>0.0</v>
      </c>
      <c r="K96" s="4">
        <v>0.0</v>
      </c>
      <c r="L96" s="4">
        <v>0.0</v>
      </c>
      <c r="M96" s="4">
        <v>0.0</v>
      </c>
      <c r="N96" s="4">
        <v>0.0</v>
      </c>
    </row>
    <row r="97">
      <c r="A97" s="17" t="str">
        <f>IFERROR(__xludf.DUMMYFUNCTION("""COMPUTED_VALUE"""),"Tang Yun Sey")</f>
        <v>Tang Yun Sey</v>
      </c>
      <c r="B97" s="8" t="s">
        <v>239</v>
      </c>
      <c r="C97" s="4">
        <v>0.0</v>
      </c>
      <c r="D97" s="4">
        <v>0.0</v>
      </c>
      <c r="E97" s="4">
        <v>0.0</v>
      </c>
      <c r="F97" s="4">
        <v>0.0</v>
      </c>
      <c r="G97" s="4">
        <v>0.0</v>
      </c>
      <c r="H97" s="4">
        <v>0.0</v>
      </c>
      <c r="I97" s="4">
        <v>0.0</v>
      </c>
      <c r="J97" s="4">
        <v>0.0</v>
      </c>
      <c r="K97" s="4">
        <v>0.0</v>
      </c>
      <c r="L97" s="4">
        <v>0.0</v>
      </c>
      <c r="M97" s="4">
        <v>0.0</v>
      </c>
      <c r="N97" s="4">
        <v>0.0</v>
      </c>
    </row>
    <row r="98">
      <c r="A98" s="4" t="str">
        <f>IFERROR(__xludf.DUMMYFUNCTION("""COMPUTED_VALUE"""),"Feliz Loh Li Fei")</f>
        <v>Feliz Loh Li Fei</v>
      </c>
      <c r="B98" s="8" t="s">
        <v>283</v>
      </c>
      <c r="C98" s="4">
        <v>0.0</v>
      </c>
      <c r="D98" s="4">
        <v>0.0</v>
      </c>
      <c r="E98" s="4">
        <v>0.0</v>
      </c>
      <c r="F98" s="4">
        <v>0.0</v>
      </c>
      <c r="G98" s="4">
        <v>0.0</v>
      </c>
      <c r="H98" s="4">
        <v>0.0</v>
      </c>
      <c r="I98" s="4">
        <v>0.0</v>
      </c>
      <c r="J98" s="4">
        <v>0.0</v>
      </c>
      <c r="K98" s="4">
        <v>0.0</v>
      </c>
      <c r="L98" s="4">
        <v>0.0</v>
      </c>
      <c r="M98" s="4">
        <v>0.0</v>
      </c>
      <c r="N98" s="4">
        <v>0.0</v>
      </c>
    </row>
    <row r="99">
      <c r="A99" s="4" t="str">
        <f>IFERROR(__xludf.DUMMYFUNCTION("""COMPUTED_VALUE"""),"Wallance Wong Chung Yiu")</f>
        <v>Wallance Wong Chung Yiu</v>
      </c>
      <c r="B99" s="8" t="s">
        <v>283</v>
      </c>
      <c r="C99" s="4">
        <v>0.0</v>
      </c>
      <c r="D99" s="4">
        <v>0.0</v>
      </c>
      <c r="E99" s="4">
        <v>0.0</v>
      </c>
      <c r="F99" s="4">
        <v>0.0</v>
      </c>
      <c r="G99" s="4">
        <v>0.0</v>
      </c>
      <c r="H99" s="4">
        <v>0.0</v>
      </c>
      <c r="I99" s="4">
        <v>0.0</v>
      </c>
      <c r="J99" s="4">
        <v>0.0</v>
      </c>
      <c r="K99" s="4">
        <v>0.0</v>
      </c>
      <c r="L99" s="4">
        <v>0.0</v>
      </c>
      <c r="M99" s="4">
        <v>0.0</v>
      </c>
      <c r="N99" s="4">
        <v>0.0</v>
      </c>
    </row>
    <row r="100">
      <c r="A100" s="4" t="str">
        <f>IFERROR(__xludf.DUMMYFUNCTION("""COMPUTED_VALUE"""),"Ayden Lee Tai Yu")</f>
        <v>Ayden Lee Tai Yu</v>
      </c>
      <c r="B100" s="8" t="s">
        <v>283</v>
      </c>
      <c r="C100" s="4">
        <v>0.0</v>
      </c>
      <c r="D100" s="4">
        <v>0.0</v>
      </c>
      <c r="E100" s="4">
        <v>0.0</v>
      </c>
      <c r="F100" s="4">
        <v>0.0</v>
      </c>
      <c r="G100" s="4">
        <v>0.0</v>
      </c>
      <c r="H100" s="4">
        <v>0.0</v>
      </c>
      <c r="I100" s="4">
        <v>0.0</v>
      </c>
      <c r="J100" s="4">
        <v>0.0</v>
      </c>
      <c r="K100" s="4">
        <v>0.0</v>
      </c>
      <c r="L100" s="4">
        <v>0.0</v>
      </c>
      <c r="M100" s="4">
        <v>0.0</v>
      </c>
      <c r="N100" s="4">
        <v>0.0</v>
      </c>
    </row>
    <row r="101">
      <c r="A101" s="17" t="str">
        <f>IFERROR(__xludf.DUMMYFUNCTION("""COMPUTED_VALUE"""),"Aryssa Sofea binti Mohd Ahmadi")</f>
        <v>Aryssa Sofea binti Mohd Ahmadi</v>
      </c>
      <c r="B101" s="8" t="s">
        <v>283</v>
      </c>
      <c r="C101" s="4">
        <v>0.0</v>
      </c>
      <c r="D101" s="4">
        <v>0.0</v>
      </c>
      <c r="E101" s="4">
        <v>0.0</v>
      </c>
      <c r="F101" s="4">
        <v>0.0</v>
      </c>
      <c r="G101" s="4">
        <v>0.0</v>
      </c>
      <c r="H101" s="4">
        <v>0.0</v>
      </c>
      <c r="I101" s="4">
        <v>0.0</v>
      </c>
      <c r="J101" s="4">
        <v>0.0</v>
      </c>
      <c r="K101" s="4">
        <v>0.0</v>
      </c>
      <c r="L101" s="4">
        <v>0.0</v>
      </c>
      <c r="M101" s="4">
        <v>0.0</v>
      </c>
      <c r="N101" s="4">
        <v>0.0</v>
      </c>
    </row>
    <row r="102">
      <c r="A102" s="17" t="str">
        <f>IFERROR(__xludf.DUMMYFUNCTION("""COMPUTED_VALUE"""),"Muhammad Ammar Yusof bin Mohd Ahmadi")</f>
        <v>Muhammad Ammar Yusof bin Mohd Ahmadi</v>
      </c>
      <c r="B102" s="8" t="s">
        <v>283</v>
      </c>
      <c r="C102" s="4">
        <v>0.0</v>
      </c>
      <c r="D102" s="4">
        <v>0.0</v>
      </c>
      <c r="E102" s="4">
        <v>0.0</v>
      </c>
      <c r="F102" s="4">
        <v>0.0</v>
      </c>
      <c r="G102" s="4">
        <v>0.0</v>
      </c>
      <c r="H102" s="4">
        <v>0.0</v>
      </c>
      <c r="I102" s="4">
        <v>0.0</v>
      </c>
      <c r="J102" s="4">
        <v>0.0</v>
      </c>
      <c r="K102" s="4">
        <v>0.0</v>
      </c>
      <c r="L102" s="4">
        <v>0.0</v>
      </c>
      <c r="M102" s="4">
        <v>0.0</v>
      </c>
      <c r="N102" s="4">
        <v>0.0</v>
      </c>
    </row>
    <row r="103">
      <c r="A103" s="17" t="str">
        <f>IFERROR(__xludf.DUMMYFUNCTION("""COMPUTED_VALUE"""),"Muhammad Auf Zayyan bin Mohd Ahmadi")</f>
        <v>Muhammad Auf Zayyan bin Mohd Ahmadi</v>
      </c>
      <c r="B103" s="8" t="s">
        <v>283</v>
      </c>
      <c r="C103" s="4">
        <v>0.0</v>
      </c>
      <c r="D103" s="4">
        <v>0.0</v>
      </c>
      <c r="E103" s="4">
        <v>0.0</v>
      </c>
      <c r="F103" s="4">
        <v>0.0</v>
      </c>
      <c r="G103" s="4">
        <v>0.0</v>
      </c>
      <c r="H103" s="4">
        <v>0.0</v>
      </c>
      <c r="I103" s="4">
        <v>0.0</v>
      </c>
      <c r="J103" s="4">
        <v>0.0</v>
      </c>
      <c r="K103" s="4">
        <v>0.0</v>
      </c>
      <c r="L103" s="4">
        <v>0.0</v>
      </c>
      <c r="M103" s="4">
        <v>0.0</v>
      </c>
      <c r="N103" s="4">
        <v>0.0</v>
      </c>
    </row>
    <row r="104">
      <c r="A104" s="4" t="str">
        <f>IFERROR(__xludf.DUMMYFUNCTION("""COMPUTED_VALUE"""),"Nicholas Yong Yi Hua")</f>
        <v>Nicholas Yong Yi Hua</v>
      </c>
      <c r="B104" s="8" t="s">
        <v>283</v>
      </c>
      <c r="C104" s="4">
        <v>0.0</v>
      </c>
      <c r="D104" s="4">
        <v>0.0</v>
      </c>
      <c r="E104" s="4">
        <v>0.0</v>
      </c>
      <c r="F104" s="4">
        <v>0.0</v>
      </c>
      <c r="G104" s="4">
        <v>0.0</v>
      </c>
      <c r="H104" s="4">
        <v>0.0</v>
      </c>
      <c r="I104" s="4">
        <v>0.0</v>
      </c>
      <c r="J104" s="4">
        <v>0.0</v>
      </c>
      <c r="K104" s="4">
        <v>0.0</v>
      </c>
      <c r="L104" s="4">
        <v>0.0</v>
      </c>
      <c r="M104" s="4">
        <v>0.0</v>
      </c>
      <c r="N104" s="4">
        <v>0.0</v>
      </c>
    </row>
    <row r="105">
      <c r="A105" s="4" t="str">
        <f>IFERROR(__xludf.DUMMYFUNCTION("""COMPUTED_VALUE"""),"Luke Yong Nuo Hua")</f>
        <v>Luke Yong Nuo Hua</v>
      </c>
      <c r="B105" s="8" t="s">
        <v>283</v>
      </c>
      <c r="C105" s="4">
        <v>0.0</v>
      </c>
      <c r="D105" s="4">
        <v>0.0</v>
      </c>
      <c r="E105" s="4">
        <v>0.0</v>
      </c>
      <c r="F105" s="4">
        <v>0.0</v>
      </c>
      <c r="G105" s="4">
        <v>0.0</v>
      </c>
      <c r="H105" s="4">
        <v>0.0</v>
      </c>
      <c r="I105" s="4">
        <v>0.0</v>
      </c>
      <c r="J105" s="4">
        <v>0.0</v>
      </c>
      <c r="K105" s="4">
        <v>0.0</v>
      </c>
      <c r="L105" s="4">
        <v>0.0</v>
      </c>
      <c r="M105" s="4">
        <v>0.0</v>
      </c>
      <c r="N105" s="4">
        <v>0.0</v>
      </c>
    </row>
    <row r="106">
      <c r="A106" s="4" t="str">
        <f>IFERROR(__xludf.DUMMYFUNCTION("""COMPUTED_VALUE"""),"Constantine Tiong Wei Heng")</f>
        <v>Constantine Tiong Wei Heng</v>
      </c>
      <c r="B106" s="8" t="s">
        <v>283</v>
      </c>
      <c r="C106" s="4">
        <v>0.0</v>
      </c>
      <c r="D106" s="4">
        <v>0.0</v>
      </c>
      <c r="E106" s="4">
        <v>0.0</v>
      </c>
      <c r="F106" s="4">
        <v>0.0</v>
      </c>
      <c r="G106" s="4">
        <v>0.0</v>
      </c>
      <c r="H106" s="4">
        <v>0.0</v>
      </c>
      <c r="I106" s="4">
        <v>0.0</v>
      </c>
      <c r="J106" s="4">
        <v>0.0</v>
      </c>
      <c r="K106" s="4">
        <v>0.0</v>
      </c>
      <c r="L106" s="4">
        <v>0.0</v>
      </c>
      <c r="M106" s="4">
        <v>0.0</v>
      </c>
      <c r="N106" s="4">
        <v>0.0</v>
      </c>
    </row>
    <row r="107">
      <c r="A107" s="4" t="str">
        <f>IFERROR(__xludf.DUMMYFUNCTION("""COMPUTED_VALUE"""),"Frederick Tiong Wei Xiang")</f>
        <v>Frederick Tiong Wei Xiang</v>
      </c>
      <c r="B107" s="8" t="s">
        <v>283</v>
      </c>
      <c r="C107" s="4">
        <v>0.0</v>
      </c>
      <c r="D107" s="4">
        <v>0.0</v>
      </c>
      <c r="E107" s="4">
        <v>0.0</v>
      </c>
      <c r="F107" s="4">
        <v>0.0</v>
      </c>
      <c r="G107" s="4">
        <v>0.0</v>
      </c>
      <c r="H107" s="4">
        <v>0.0</v>
      </c>
      <c r="I107" s="4">
        <v>0.0</v>
      </c>
      <c r="J107" s="4">
        <v>0.0</v>
      </c>
      <c r="K107" s="4">
        <v>0.0</v>
      </c>
      <c r="L107" s="4">
        <v>0.0</v>
      </c>
      <c r="M107" s="4">
        <v>0.0</v>
      </c>
      <c r="N107" s="4">
        <v>0.0</v>
      </c>
    </row>
    <row r="108">
      <c r="A108" s="4" t="str">
        <f>IFERROR(__xludf.DUMMYFUNCTION("""COMPUTED_VALUE"""),"Ethan Sia Kee Rong")</f>
        <v>Ethan Sia Kee Rong</v>
      </c>
      <c r="B108" s="8" t="s">
        <v>283</v>
      </c>
      <c r="C108" s="4">
        <v>0.0</v>
      </c>
      <c r="D108" s="4">
        <v>0.0</v>
      </c>
      <c r="E108" s="4">
        <v>0.0</v>
      </c>
      <c r="F108" s="4">
        <v>0.0</v>
      </c>
      <c r="G108" s="4">
        <v>0.0</v>
      </c>
      <c r="H108" s="4">
        <v>0.0</v>
      </c>
      <c r="I108" s="4">
        <v>0.0</v>
      </c>
      <c r="J108" s="4">
        <v>0.0</v>
      </c>
      <c r="K108" s="4">
        <v>0.0</v>
      </c>
      <c r="L108" s="4">
        <v>0.0</v>
      </c>
      <c r="M108" s="4">
        <v>0.0</v>
      </c>
      <c r="N108" s="4">
        <v>0.0</v>
      </c>
    </row>
    <row r="109">
      <c r="A109" s="4" t="str">
        <f>IFERROR(__xludf.DUMMYFUNCTION("""COMPUTED_VALUE"""),"Aisy Aryan bin Ali Harris")</f>
        <v>Aisy Aryan bin Ali Harris</v>
      </c>
      <c r="B109" s="8" t="s">
        <v>283</v>
      </c>
      <c r="C109" s="4">
        <v>0.0</v>
      </c>
      <c r="D109" s="4">
        <v>0.0</v>
      </c>
      <c r="E109" s="4">
        <v>0.0</v>
      </c>
      <c r="F109" s="4">
        <v>0.0</v>
      </c>
      <c r="G109" s="4">
        <v>0.0</v>
      </c>
      <c r="H109" s="4">
        <v>0.0</v>
      </c>
      <c r="I109" s="4">
        <v>0.0</v>
      </c>
      <c r="J109" s="4">
        <v>0.0</v>
      </c>
      <c r="K109" s="4">
        <v>0.0</v>
      </c>
      <c r="L109" s="4">
        <v>0.0</v>
      </c>
      <c r="M109" s="4">
        <v>0.0</v>
      </c>
      <c r="N109" s="4">
        <v>0.0</v>
      </c>
    </row>
    <row r="110">
      <c r="A110" s="4" t="str">
        <f>IFERROR(__xludf.DUMMYFUNCTION("""COMPUTED_VALUE"""),"Wensley Wong Chung Ze")</f>
        <v>Wensley Wong Chung Ze</v>
      </c>
      <c r="B110" s="8" t="s">
        <v>283</v>
      </c>
      <c r="C110" s="4">
        <v>0.0</v>
      </c>
      <c r="D110" s="4">
        <v>0.0</v>
      </c>
      <c r="E110" s="4">
        <v>0.0</v>
      </c>
      <c r="F110" s="4">
        <v>0.0</v>
      </c>
      <c r="G110" s="4">
        <v>0.0</v>
      </c>
      <c r="H110" s="4">
        <v>0.0</v>
      </c>
      <c r="I110" s="4">
        <v>0.0</v>
      </c>
      <c r="J110" s="4">
        <v>0.0</v>
      </c>
      <c r="K110" s="4">
        <v>0.0</v>
      </c>
      <c r="L110" s="4">
        <v>0.0</v>
      </c>
      <c r="M110" s="4">
        <v>0.0</v>
      </c>
      <c r="N110" s="4">
        <v>0.0</v>
      </c>
    </row>
    <row r="111">
      <c r="A111" s="4" t="str">
        <f>IFERROR(__xludf.DUMMYFUNCTION("""COMPUTED_VALUE"""),"Oscar Sia Chen Hong")</f>
        <v>Oscar Sia Chen Hong</v>
      </c>
      <c r="B111" s="8" t="s">
        <v>283</v>
      </c>
      <c r="C111" s="4">
        <v>0.0</v>
      </c>
      <c r="D111" s="4">
        <v>0.0</v>
      </c>
      <c r="E111" s="4">
        <v>0.0</v>
      </c>
      <c r="F111" s="4">
        <v>0.0</v>
      </c>
      <c r="G111" s="4">
        <v>0.0</v>
      </c>
      <c r="H111" s="4">
        <v>0.0</v>
      </c>
      <c r="I111" s="4">
        <v>0.0</v>
      </c>
      <c r="J111" s="4">
        <v>0.0</v>
      </c>
      <c r="K111" s="4">
        <v>0.0</v>
      </c>
      <c r="L111" s="4">
        <v>0.0</v>
      </c>
      <c r="M111" s="4">
        <v>0.0</v>
      </c>
      <c r="N111" s="4">
        <v>0.0</v>
      </c>
    </row>
    <row r="112">
      <c r="A112" s="4" t="str">
        <f>IFERROR(__xludf.DUMMYFUNCTION("""COMPUTED_VALUE"""),"Vionetta Injang Anak Engan")</f>
        <v>Vionetta Injang Anak Engan</v>
      </c>
      <c r="B112" s="8" t="s">
        <v>283</v>
      </c>
      <c r="C112" s="4">
        <v>0.0</v>
      </c>
      <c r="D112" s="4">
        <v>0.0</v>
      </c>
      <c r="E112" s="4">
        <v>0.0</v>
      </c>
      <c r="F112" s="4">
        <v>0.0</v>
      </c>
      <c r="G112" s="4">
        <v>0.0</v>
      </c>
      <c r="H112" s="4">
        <v>0.0</v>
      </c>
      <c r="I112" s="4">
        <v>0.0</v>
      </c>
      <c r="J112" s="4">
        <v>0.0</v>
      </c>
      <c r="K112" s="4">
        <v>0.0</v>
      </c>
      <c r="L112" s="4">
        <v>0.0</v>
      </c>
      <c r="M112" s="4">
        <v>0.0</v>
      </c>
      <c r="N112" s="4">
        <v>0.0</v>
      </c>
    </row>
    <row r="113">
      <c r="A113" s="17" t="str">
        <f>IFERROR(__xludf.DUMMYFUNCTION("""COMPUTED_VALUE"""),"Aria Tong Yun Fann")</f>
        <v>Aria Tong Yun Fann</v>
      </c>
      <c r="B113" s="8" t="s">
        <v>283</v>
      </c>
      <c r="C113" s="4">
        <v>0.0</v>
      </c>
      <c r="D113" s="4">
        <v>0.0</v>
      </c>
      <c r="E113" s="4">
        <v>0.0</v>
      </c>
      <c r="F113" s="4">
        <v>0.0</v>
      </c>
      <c r="G113" s="4">
        <v>0.0</v>
      </c>
      <c r="H113" s="4">
        <v>0.0</v>
      </c>
      <c r="I113" s="4">
        <v>0.0</v>
      </c>
      <c r="J113" s="4">
        <v>0.0</v>
      </c>
      <c r="K113" s="4">
        <v>0.0</v>
      </c>
      <c r="L113" s="4">
        <v>0.0</v>
      </c>
      <c r="M113" s="4">
        <v>0.0</v>
      </c>
      <c r="N113" s="4">
        <v>0.0</v>
      </c>
    </row>
    <row r="114">
      <c r="A114" s="4" t="str">
        <f>IFERROR(__xludf.DUMMYFUNCTION("""COMPUTED_VALUE"""),"Oliver Sia Chen Jun")</f>
        <v>Oliver Sia Chen Jun</v>
      </c>
      <c r="B114" s="8" t="s">
        <v>283</v>
      </c>
      <c r="C114" s="4">
        <v>0.0</v>
      </c>
      <c r="D114" s="4">
        <v>0.0</v>
      </c>
      <c r="E114" s="4">
        <v>0.0</v>
      </c>
      <c r="F114" s="4">
        <v>0.0</v>
      </c>
      <c r="G114" s="4">
        <v>0.0</v>
      </c>
      <c r="H114" s="4">
        <v>0.0</v>
      </c>
      <c r="I114" s="4">
        <v>0.0</v>
      </c>
      <c r="J114" s="4">
        <v>0.0</v>
      </c>
      <c r="K114" s="4">
        <v>0.0</v>
      </c>
      <c r="L114" s="4">
        <v>0.0</v>
      </c>
      <c r="M114" s="4">
        <v>0.0</v>
      </c>
      <c r="N114" s="4">
        <v>0.0</v>
      </c>
    </row>
    <row r="115">
      <c r="A115" s="4" t="str">
        <f>IFERROR(__xludf.DUMMYFUNCTION("""COMPUTED_VALUE"""),"Leon Thien Jun Siang")</f>
        <v>Leon Thien Jun Siang</v>
      </c>
      <c r="B115" s="8" t="s">
        <v>283</v>
      </c>
      <c r="C115" s="4">
        <v>0.0</v>
      </c>
      <c r="D115" s="4">
        <v>0.0</v>
      </c>
      <c r="E115" s="4">
        <v>0.0</v>
      </c>
      <c r="F115" s="4">
        <v>0.0</v>
      </c>
      <c r="G115" s="4">
        <v>0.0</v>
      </c>
      <c r="H115" s="4">
        <v>0.0</v>
      </c>
      <c r="I115" s="4">
        <v>0.0</v>
      </c>
      <c r="J115" s="4">
        <v>0.0</v>
      </c>
      <c r="K115" s="4">
        <v>0.0</v>
      </c>
      <c r="L115" s="4">
        <v>0.0</v>
      </c>
      <c r="M115" s="4">
        <v>0.0</v>
      </c>
      <c r="N115" s="4">
        <v>0.0</v>
      </c>
    </row>
    <row r="116">
      <c r="A116" s="4" t="str">
        <f>IFERROR(__xludf.DUMMYFUNCTION("""COMPUTED_VALUE"""),"Alfred Lau Ke Yi")</f>
        <v>Alfred Lau Ke Yi</v>
      </c>
      <c r="B116" s="8" t="s">
        <v>283</v>
      </c>
      <c r="C116" s="4">
        <v>0.0</v>
      </c>
      <c r="D116" s="4">
        <v>0.0</v>
      </c>
      <c r="E116" s="4">
        <v>0.0</v>
      </c>
      <c r="F116" s="4">
        <v>0.0</v>
      </c>
      <c r="G116" s="4">
        <v>0.0</v>
      </c>
      <c r="H116" s="4">
        <v>0.0</v>
      </c>
      <c r="I116" s="4">
        <v>0.0</v>
      </c>
      <c r="J116" s="4">
        <v>0.0</v>
      </c>
      <c r="K116" s="4">
        <v>0.0</v>
      </c>
      <c r="L116" s="4">
        <v>0.0</v>
      </c>
      <c r="M116" s="4">
        <v>0.0</v>
      </c>
      <c r="N116" s="4">
        <v>0.0</v>
      </c>
    </row>
    <row r="117">
      <c r="A117" s="4" t="str">
        <f>IFERROR(__xludf.DUMMYFUNCTION("""COMPUTED_VALUE"""),"Casper Lau Ke Qing")</f>
        <v>Casper Lau Ke Qing</v>
      </c>
      <c r="B117" s="8" t="s">
        <v>283</v>
      </c>
      <c r="C117" s="4">
        <v>0.0</v>
      </c>
      <c r="D117" s="4">
        <v>0.0</v>
      </c>
      <c r="E117" s="4">
        <v>0.0</v>
      </c>
      <c r="F117" s="4">
        <v>0.0</v>
      </c>
      <c r="G117" s="4">
        <v>0.0</v>
      </c>
      <c r="H117" s="4">
        <v>0.0</v>
      </c>
      <c r="I117" s="4">
        <v>0.0</v>
      </c>
      <c r="J117" s="4">
        <v>0.0</v>
      </c>
      <c r="K117" s="4">
        <v>0.0</v>
      </c>
      <c r="L117" s="4">
        <v>0.0</v>
      </c>
      <c r="M117" s="4">
        <v>0.0</v>
      </c>
      <c r="N117" s="4">
        <v>0.0</v>
      </c>
    </row>
    <row r="118">
      <c r="A118" s="4" t="str">
        <f>IFERROR(__xludf.DUMMYFUNCTION("""COMPUTED_VALUE"""),"Cloudius Tay Lik Kung ")</f>
        <v>Cloudius Tay Lik Kung </v>
      </c>
      <c r="B118" s="8" t="s">
        <v>283</v>
      </c>
      <c r="C118" s="4">
        <v>0.0</v>
      </c>
      <c r="D118" s="4">
        <v>0.0</v>
      </c>
      <c r="E118" s="4">
        <v>0.0</v>
      </c>
      <c r="F118" s="4">
        <v>0.0</v>
      </c>
      <c r="G118" s="4">
        <v>0.0</v>
      </c>
      <c r="H118" s="4">
        <v>0.0</v>
      </c>
      <c r="I118" s="4">
        <v>0.0</v>
      </c>
      <c r="J118" s="4">
        <v>0.0</v>
      </c>
      <c r="K118" s="4">
        <v>0.0</v>
      </c>
      <c r="L118" s="4">
        <v>0.0</v>
      </c>
      <c r="M118" s="4">
        <v>0.0</v>
      </c>
      <c r="N118" s="4">
        <v>0.0</v>
      </c>
    </row>
    <row r="119">
      <c r="A119" s="4" t="str">
        <f>IFERROR(__xludf.DUMMYFUNCTION("""COMPUTED_VALUE"""),"Jvan Tan Jun Yik")</f>
        <v>Jvan Tan Jun Yik</v>
      </c>
      <c r="B119" s="8" t="s">
        <v>323</v>
      </c>
      <c r="C119" s="4">
        <v>0.0</v>
      </c>
      <c r="D119" s="4">
        <v>0.0</v>
      </c>
      <c r="E119" s="4">
        <v>0.0</v>
      </c>
      <c r="F119" s="4">
        <v>0.0</v>
      </c>
      <c r="G119" s="4">
        <v>0.0</v>
      </c>
      <c r="H119" s="4">
        <v>0.0</v>
      </c>
      <c r="I119" s="4">
        <v>0.0</v>
      </c>
      <c r="J119" s="4">
        <v>0.0</v>
      </c>
      <c r="K119" s="4">
        <v>0.0</v>
      </c>
      <c r="L119" s="4">
        <v>0.0</v>
      </c>
      <c r="M119" s="4">
        <v>0.0</v>
      </c>
      <c r="N119" s="4">
        <v>0.0</v>
      </c>
    </row>
    <row r="120">
      <c r="A120" s="4" t="str">
        <f>IFERROR(__xludf.DUMMYFUNCTION("""COMPUTED_VALUE"""),"Ivan Tan Jun Haw")</f>
        <v>Ivan Tan Jun Haw</v>
      </c>
      <c r="B120" s="8" t="s">
        <v>323</v>
      </c>
      <c r="C120" s="4">
        <v>0.0</v>
      </c>
      <c r="D120" s="4">
        <v>0.0</v>
      </c>
      <c r="E120" s="4">
        <v>0.0</v>
      </c>
      <c r="F120" s="4">
        <v>0.0</v>
      </c>
      <c r="G120" s="4">
        <v>0.0</v>
      </c>
      <c r="H120" s="4">
        <v>0.0</v>
      </c>
      <c r="I120" s="4">
        <v>0.0</v>
      </c>
      <c r="J120" s="4">
        <v>0.0</v>
      </c>
      <c r="K120" s="4">
        <v>0.0</v>
      </c>
      <c r="L120" s="4">
        <v>0.0</v>
      </c>
      <c r="M120" s="4">
        <v>0.0</v>
      </c>
      <c r="N120" s="4">
        <v>0.0</v>
      </c>
    </row>
    <row r="121">
      <c r="A121" s="4" t="str">
        <f>IFERROR(__xludf.DUMMYFUNCTION("""COMPUTED_VALUE"""),"Evonne Cheng Xin Ning")</f>
        <v>Evonne Cheng Xin Ning</v>
      </c>
      <c r="B121" s="8" t="s">
        <v>323</v>
      </c>
      <c r="C121" s="4">
        <v>0.0</v>
      </c>
      <c r="D121" s="4">
        <v>0.0</v>
      </c>
      <c r="E121" s="4">
        <v>0.0</v>
      </c>
      <c r="F121" s="4">
        <v>0.0</v>
      </c>
      <c r="G121" s="4">
        <v>0.0</v>
      </c>
      <c r="H121" s="4">
        <v>0.0</v>
      </c>
      <c r="I121" s="4">
        <v>0.0</v>
      </c>
      <c r="J121" s="4">
        <v>0.0</v>
      </c>
      <c r="K121" s="4">
        <v>0.0</v>
      </c>
      <c r="L121" s="4">
        <v>0.0</v>
      </c>
      <c r="M121" s="4">
        <v>0.0</v>
      </c>
      <c r="N121" s="4">
        <v>0.0</v>
      </c>
    </row>
    <row r="122">
      <c r="A122" s="17" t="str">
        <f>IFERROR(__xludf.DUMMYFUNCTION("""COMPUTED_VALUE"""),"Andrew Chai Kai Jun")</f>
        <v>Andrew Chai Kai Jun</v>
      </c>
      <c r="B122" s="8" t="s">
        <v>323</v>
      </c>
      <c r="C122" s="4">
        <v>0.0</v>
      </c>
      <c r="D122" s="4">
        <v>0.0</v>
      </c>
      <c r="E122" s="4">
        <v>0.0</v>
      </c>
      <c r="F122" s="4">
        <v>0.0</v>
      </c>
      <c r="G122" s="4">
        <v>0.0</v>
      </c>
      <c r="H122" s="4">
        <v>0.0</v>
      </c>
      <c r="I122" s="4">
        <v>0.0</v>
      </c>
      <c r="J122" s="4">
        <v>0.0</v>
      </c>
      <c r="K122" s="4">
        <v>0.0</v>
      </c>
      <c r="L122" s="4">
        <v>0.0</v>
      </c>
      <c r="M122" s="4">
        <v>0.0</v>
      </c>
      <c r="N122" s="4">
        <v>0.0</v>
      </c>
    </row>
    <row r="123">
      <c r="A123" s="4" t="str">
        <f>IFERROR(__xludf.DUMMYFUNCTION("""COMPUTED_VALUE"""),"Veeyyai Anak Engan")</f>
        <v>Veeyyai Anak Engan</v>
      </c>
      <c r="B123" s="8" t="s">
        <v>323</v>
      </c>
      <c r="C123" s="4">
        <v>0.0</v>
      </c>
      <c r="D123" s="4">
        <v>0.0</v>
      </c>
      <c r="E123" s="4">
        <v>0.0</v>
      </c>
      <c r="F123" s="4">
        <v>0.0</v>
      </c>
      <c r="G123" s="4">
        <v>0.0</v>
      </c>
      <c r="H123" s="4">
        <v>0.0</v>
      </c>
      <c r="I123" s="4">
        <v>0.0</v>
      </c>
      <c r="J123" s="4">
        <v>0.0</v>
      </c>
      <c r="K123" s="4">
        <v>0.0</v>
      </c>
      <c r="L123" s="4">
        <v>0.0</v>
      </c>
      <c r="M123" s="4">
        <v>0.0</v>
      </c>
      <c r="N123" s="4">
        <v>0.0</v>
      </c>
    </row>
    <row r="124">
      <c r="A124" s="4" t="str">
        <f>IFERROR(__xludf.DUMMYFUNCTION("""COMPUTED_VALUE"""),"Dalinda Anak Felix Soul")</f>
        <v>Dalinda Anak Felix Soul</v>
      </c>
      <c r="B124" s="8" t="s">
        <v>323</v>
      </c>
      <c r="C124" s="4">
        <v>0.0</v>
      </c>
      <c r="D124" s="4">
        <v>0.0</v>
      </c>
      <c r="E124" s="4">
        <v>0.0</v>
      </c>
      <c r="F124" s="4">
        <v>0.0</v>
      </c>
      <c r="G124" s="4">
        <v>0.0</v>
      </c>
      <c r="H124" s="4">
        <v>0.0</v>
      </c>
      <c r="I124" s="4">
        <v>0.0</v>
      </c>
      <c r="J124" s="4">
        <v>0.0</v>
      </c>
      <c r="K124" s="4">
        <v>0.0</v>
      </c>
      <c r="L124" s="4">
        <v>0.0</v>
      </c>
      <c r="M124" s="4">
        <v>0.0</v>
      </c>
      <c r="N124" s="4">
        <v>0.0</v>
      </c>
    </row>
    <row r="125">
      <c r="A125" s="17" t="str">
        <f>IFERROR(__xludf.DUMMYFUNCTION("""COMPUTED_VALUE"""),"Hng Khar Jun")</f>
        <v>Hng Khar Jun</v>
      </c>
      <c r="B125" s="8" t="s">
        <v>323</v>
      </c>
      <c r="C125" s="4">
        <v>0.0</v>
      </c>
      <c r="D125" s="4">
        <v>0.0</v>
      </c>
      <c r="E125" s="4">
        <v>0.0</v>
      </c>
      <c r="F125" s="4">
        <v>0.0</v>
      </c>
      <c r="G125" s="4">
        <v>0.0</v>
      </c>
      <c r="H125" s="4">
        <v>0.0</v>
      </c>
      <c r="I125" s="4">
        <v>0.0</v>
      </c>
      <c r="J125" s="4">
        <v>0.0</v>
      </c>
      <c r="K125" s="4">
        <v>0.0</v>
      </c>
      <c r="L125" s="4">
        <v>0.0</v>
      </c>
      <c r="M125" s="4">
        <v>0.0</v>
      </c>
      <c r="N125" s="4">
        <v>0.0</v>
      </c>
    </row>
    <row r="126">
      <c r="A126" s="17" t="str">
        <f>IFERROR(__xludf.DUMMYFUNCTION("""COMPUTED_VALUE"""),"Jayden Siaw Cun En")</f>
        <v>Jayden Siaw Cun En</v>
      </c>
      <c r="B126" s="8" t="s">
        <v>323</v>
      </c>
      <c r="C126" s="4">
        <v>0.0</v>
      </c>
      <c r="D126" s="4">
        <v>0.0</v>
      </c>
      <c r="E126" s="4">
        <v>0.0</v>
      </c>
      <c r="F126" s="4">
        <v>0.0</v>
      </c>
      <c r="G126" s="4">
        <v>0.0</v>
      </c>
      <c r="H126" s="4">
        <v>0.0</v>
      </c>
      <c r="I126" s="4">
        <v>0.0</v>
      </c>
      <c r="J126" s="4">
        <v>0.0</v>
      </c>
      <c r="K126" s="4">
        <v>0.0</v>
      </c>
      <c r="L126" s="4">
        <v>0.0</v>
      </c>
      <c r="M126" s="4">
        <v>0.0</v>
      </c>
      <c r="N126" s="4">
        <v>0.0</v>
      </c>
    </row>
    <row r="127">
      <c r="A127" s="4" t="str">
        <f>IFERROR(__xludf.DUMMYFUNCTION("""COMPUTED_VALUE"""),"Ethan Koh Chya Bing")</f>
        <v>Ethan Koh Chya Bing</v>
      </c>
      <c r="B127" s="8" t="s">
        <v>338</v>
      </c>
      <c r="C127" s="4">
        <v>0.0</v>
      </c>
      <c r="D127" s="4">
        <v>0.0</v>
      </c>
      <c r="E127" s="4">
        <v>0.0</v>
      </c>
      <c r="F127" s="4">
        <v>0.0</v>
      </c>
      <c r="G127" s="4">
        <v>0.0</v>
      </c>
      <c r="H127" s="4">
        <v>0.0</v>
      </c>
      <c r="I127" s="4">
        <v>0.0</v>
      </c>
      <c r="J127" s="4">
        <v>0.0</v>
      </c>
      <c r="K127" s="4">
        <v>0.0</v>
      </c>
      <c r="L127" s="4">
        <v>0.0</v>
      </c>
      <c r="M127" s="4">
        <v>0.0</v>
      </c>
      <c r="N127" s="4">
        <v>0.0</v>
      </c>
    </row>
    <row r="128">
      <c r="A128" s="4" t="str">
        <f>IFERROR(__xludf.DUMMYFUNCTION("""COMPUTED_VALUE"""),"Anson Ling Jia Le")</f>
        <v>Anson Ling Jia Le</v>
      </c>
      <c r="B128" s="8" t="s">
        <v>338</v>
      </c>
      <c r="C128" s="4">
        <v>0.0</v>
      </c>
      <c r="D128" s="4">
        <v>0.0</v>
      </c>
      <c r="E128" s="4">
        <v>0.0</v>
      </c>
      <c r="F128" s="4">
        <v>0.0</v>
      </c>
      <c r="G128" s="4">
        <v>0.0</v>
      </c>
      <c r="H128" s="4">
        <v>0.0</v>
      </c>
      <c r="I128" s="4">
        <v>0.0</v>
      </c>
      <c r="J128" s="4">
        <v>0.0</v>
      </c>
      <c r="K128" s="4">
        <v>0.0</v>
      </c>
      <c r="L128" s="4">
        <v>0.0</v>
      </c>
      <c r="M128" s="4">
        <v>0.0</v>
      </c>
      <c r="N128" s="4">
        <v>0.0</v>
      </c>
    </row>
    <row r="129">
      <c r="A129" s="4" t="str">
        <f>IFERROR(__xludf.DUMMYFUNCTION("""COMPUTED_VALUE"""),"Benson Tiong Guang Rui")</f>
        <v>Benson Tiong Guang Rui</v>
      </c>
      <c r="B129" s="8" t="s">
        <v>338</v>
      </c>
      <c r="C129" s="4">
        <v>0.0</v>
      </c>
      <c r="D129" s="4">
        <v>0.0</v>
      </c>
      <c r="E129" s="4">
        <v>0.0</v>
      </c>
      <c r="F129" s="4">
        <v>0.0</v>
      </c>
      <c r="G129" s="4">
        <v>0.0</v>
      </c>
      <c r="H129" s="4">
        <v>0.0</v>
      </c>
      <c r="I129" s="4">
        <v>0.0</v>
      </c>
      <c r="J129" s="4">
        <v>0.0</v>
      </c>
      <c r="K129" s="4">
        <v>0.0</v>
      </c>
      <c r="L129" s="4">
        <v>0.0</v>
      </c>
      <c r="M129" s="4">
        <v>0.0</v>
      </c>
      <c r="N129" s="4">
        <v>0.0</v>
      </c>
    </row>
    <row r="130">
      <c r="A130" s="17" t="str">
        <f>IFERROR(__xludf.DUMMYFUNCTION("""COMPUTED_VALUE"""),"Erika Ong Jing Rong")</f>
        <v>Erika Ong Jing Rong</v>
      </c>
      <c r="B130" s="8" t="s">
        <v>338</v>
      </c>
      <c r="C130" s="4">
        <v>0.0</v>
      </c>
      <c r="D130" s="4">
        <v>0.0</v>
      </c>
      <c r="E130" s="4">
        <v>0.0</v>
      </c>
      <c r="F130" s="4">
        <v>0.0</v>
      </c>
      <c r="G130" s="4">
        <v>0.0</v>
      </c>
      <c r="H130" s="4">
        <v>0.0</v>
      </c>
      <c r="I130" s="4">
        <v>0.0</v>
      </c>
      <c r="J130" s="4">
        <v>0.0</v>
      </c>
      <c r="K130" s="4">
        <v>0.0</v>
      </c>
      <c r="L130" s="4">
        <v>0.0</v>
      </c>
      <c r="M130" s="4">
        <v>0.0</v>
      </c>
      <c r="N130" s="4">
        <v>0.0</v>
      </c>
    </row>
    <row r="131">
      <c r="A131" s="17" t="str">
        <f>IFERROR(__xludf.DUMMYFUNCTION("""COMPUTED_VALUE"""),"Tiffany Ling Yun Ting")</f>
        <v>Tiffany Ling Yun Ting</v>
      </c>
      <c r="B131" s="8" t="s">
        <v>338</v>
      </c>
      <c r="C131" s="4">
        <v>0.0</v>
      </c>
      <c r="D131" s="4">
        <v>0.0</v>
      </c>
      <c r="E131" s="4">
        <v>0.0</v>
      </c>
      <c r="F131" s="4">
        <v>0.0</v>
      </c>
      <c r="G131" s="4">
        <v>0.0</v>
      </c>
      <c r="H131" s="4">
        <v>0.0</v>
      </c>
      <c r="I131" s="4">
        <v>0.0</v>
      </c>
      <c r="J131" s="4">
        <v>0.0</v>
      </c>
      <c r="K131" s="4">
        <v>0.0</v>
      </c>
      <c r="L131" s="4">
        <v>0.0</v>
      </c>
      <c r="M131" s="4">
        <v>0.0</v>
      </c>
      <c r="N131" s="4">
        <v>0.0</v>
      </c>
    </row>
    <row r="132">
      <c r="A132" s="17" t="str">
        <f>IFERROR(__xludf.DUMMYFUNCTION("""COMPUTED_VALUE"""),"Quentin Law Yen Yan")</f>
        <v>Quentin Law Yen Yan</v>
      </c>
      <c r="B132" s="8" t="s">
        <v>338</v>
      </c>
      <c r="C132" s="4">
        <v>0.0</v>
      </c>
      <c r="D132" s="4">
        <v>0.0</v>
      </c>
      <c r="E132" s="4">
        <v>0.0</v>
      </c>
      <c r="F132" s="4">
        <v>0.0</v>
      </c>
      <c r="G132" s="4">
        <v>0.0</v>
      </c>
      <c r="H132" s="4">
        <v>0.0</v>
      </c>
      <c r="I132" s="4">
        <v>0.0</v>
      </c>
      <c r="J132" s="4">
        <v>0.0</v>
      </c>
      <c r="K132" s="4">
        <v>0.0</v>
      </c>
      <c r="L132" s="4">
        <v>0.0</v>
      </c>
      <c r="M132" s="4">
        <v>0.0</v>
      </c>
      <c r="N132" s="4">
        <v>0.0</v>
      </c>
    </row>
    <row r="133">
      <c r="A133" s="17" t="str">
        <f>IFERROR(__xludf.DUMMYFUNCTION("""COMPUTED_VALUE"""),"Wong Shi Yaw")</f>
        <v>Wong Shi Yaw</v>
      </c>
      <c r="B133" s="8" t="s">
        <v>338</v>
      </c>
      <c r="C133" s="4">
        <v>0.0</v>
      </c>
      <c r="D133" s="4">
        <v>0.0</v>
      </c>
      <c r="E133" s="4">
        <v>0.0</v>
      </c>
      <c r="F133" s="4">
        <v>0.0</v>
      </c>
      <c r="G133" s="4">
        <v>0.0</v>
      </c>
      <c r="H133" s="4">
        <v>0.0</v>
      </c>
      <c r="I133" s="4">
        <v>0.0</v>
      </c>
      <c r="J133" s="4">
        <v>0.0</v>
      </c>
      <c r="K133" s="4">
        <v>0.0</v>
      </c>
      <c r="L133" s="4">
        <v>0.0</v>
      </c>
      <c r="M133" s="4">
        <v>0.0</v>
      </c>
      <c r="N133" s="4">
        <v>0.0</v>
      </c>
    </row>
    <row r="134">
      <c r="A134" s="17" t="str">
        <f>IFERROR(__xludf.DUMMYFUNCTION("""COMPUTED_VALUE"""),"Iessabelle Rayeanna Billie Tami")</f>
        <v>Iessabelle Rayeanna Billie Tami</v>
      </c>
      <c r="B134" s="8" t="s">
        <v>338</v>
      </c>
      <c r="C134" s="4">
        <v>0.0</v>
      </c>
      <c r="D134" s="4">
        <v>0.0</v>
      </c>
      <c r="E134" s="4">
        <v>0.0</v>
      </c>
      <c r="F134" s="4">
        <v>0.0</v>
      </c>
      <c r="G134" s="4">
        <v>0.0</v>
      </c>
      <c r="H134" s="4">
        <v>0.0</v>
      </c>
      <c r="I134" s="4">
        <v>0.0</v>
      </c>
      <c r="J134" s="4">
        <v>0.0</v>
      </c>
      <c r="K134" s="4">
        <v>0.0</v>
      </c>
      <c r="L134" s="4">
        <v>0.0</v>
      </c>
      <c r="M134" s="4">
        <v>0.0</v>
      </c>
      <c r="N134" s="4">
        <v>0.0</v>
      </c>
    </row>
    <row r="135">
      <c r="A135" s="17" t="str">
        <f>IFERROR(__xludf.DUMMYFUNCTION("""COMPUTED_VALUE"""),"Teoh Wei kai")</f>
        <v>Teoh Wei kai</v>
      </c>
      <c r="B135" s="8" t="s">
        <v>338</v>
      </c>
      <c r="C135" s="4">
        <v>0.0</v>
      </c>
      <c r="D135" s="4">
        <v>0.0</v>
      </c>
      <c r="E135" s="4">
        <v>0.0</v>
      </c>
      <c r="F135" s="4">
        <v>0.0</v>
      </c>
      <c r="G135" s="4">
        <v>0.0</v>
      </c>
      <c r="H135" s="4">
        <v>0.0</v>
      </c>
      <c r="I135" s="4">
        <v>0.0</v>
      </c>
      <c r="J135" s="4">
        <v>0.0</v>
      </c>
      <c r="K135" s="4">
        <v>0.0</v>
      </c>
      <c r="L135" s="4">
        <v>0.0</v>
      </c>
      <c r="M135" s="4">
        <v>0.0</v>
      </c>
      <c r="N135" s="4">
        <v>0.0</v>
      </c>
    </row>
    <row r="136">
      <c r="A136" s="4" t="str">
        <f>IFERROR(__xludf.DUMMYFUNCTION("""COMPUTED_VALUE"""),"Anderson Sui Shuen Hon")</f>
        <v>Anderson Sui Shuen Hon</v>
      </c>
      <c r="B136" s="8" t="s">
        <v>338</v>
      </c>
      <c r="C136" s="4">
        <v>0.0</v>
      </c>
      <c r="D136" s="4">
        <v>0.0</v>
      </c>
      <c r="E136" s="4">
        <v>0.0</v>
      </c>
      <c r="F136" s="4">
        <v>0.0</v>
      </c>
      <c r="G136" s="4">
        <v>0.0</v>
      </c>
      <c r="H136" s="4">
        <v>0.0</v>
      </c>
      <c r="I136" s="4">
        <v>0.0</v>
      </c>
      <c r="J136" s="4">
        <v>0.0</v>
      </c>
      <c r="K136" s="4">
        <v>0.0</v>
      </c>
      <c r="L136" s="4">
        <v>0.0</v>
      </c>
      <c r="M136" s="4">
        <v>0.0</v>
      </c>
      <c r="N136" s="4">
        <v>0.0</v>
      </c>
    </row>
    <row r="137">
      <c r="A137" s="17" t="str">
        <f>IFERROR(__xludf.DUMMYFUNCTION("""COMPUTED_VALUE"""),"Sarah Wong Jing Lin")</f>
        <v>Sarah Wong Jing Lin</v>
      </c>
      <c r="B137" s="8" t="s">
        <v>338</v>
      </c>
      <c r="C137" s="4">
        <v>0.0</v>
      </c>
      <c r="D137" s="4">
        <v>0.0</v>
      </c>
      <c r="E137" s="4">
        <v>0.0</v>
      </c>
      <c r="F137" s="4">
        <v>0.0</v>
      </c>
      <c r="G137" s="4">
        <v>0.0</v>
      </c>
      <c r="H137" s="4">
        <v>0.0</v>
      </c>
      <c r="I137" s="4">
        <v>0.0</v>
      </c>
      <c r="J137" s="4">
        <v>0.0</v>
      </c>
      <c r="K137" s="4">
        <v>0.0</v>
      </c>
      <c r="L137" s="4">
        <v>0.0</v>
      </c>
      <c r="M137" s="4">
        <v>0.0</v>
      </c>
      <c r="N137" s="4">
        <v>0.0</v>
      </c>
    </row>
    <row r="138">
      <c r="A138" s="17" t="str">
        <f>IFERROR(__xludf.DUMMYFUNCTION("""COMPUTED_VALUE"""),"Ivanna Ling Yirou")</f>
        <v>Ivanna Ling Yirou</v>
      </c>
      <c r="B138" s="8" t="s">
        <v>338</v>
      </c>
      <c r="C138" s="4">
        <v>0.0</v>
      </c>
      <c r="D138" s="4">
        <v>0.0</v>
      </c>
      <c r="E138" s="4">
        <v>0.0</v>
      </c>
      <c r="F138" s="4">
        <v>0.0</v>
      </c>
      <c r="G138" s="4">
        <v>0.0</v>
      </c>
      <c r="H138" s="4">
        <v>0.0</v>
      </c>
      <c r="I138" s="4">
        <v>0.0</v>
      </c>
      <c r="J138" s="4">
        <v>0.0</v>
      </c>
      <c r="K138" s="4">
        <v>0.0</v>
      </c>
      <c r="L138" s="4">
        <v>0.0</v>
      </c>
      <c r="M138" s="4">
        <v>0.0</v>
      </c>
      <c r="N138" s="4">
        <v>0.0</v>
      </c>
    </row>
    <row r="139">
      <c r="A139" s="17" t="str">
        <f>IFERROR(__xludf.DUMMYFUNCTION("""COMPUTED_VALUE"""),"Eugenia Ong Jing Xuan")</f>
        <v>Eugenia Ong Jing Xuan</v>
      </c>
      <c r="B139" s="8" t="s">
        <v>338</v>
      </c>
      <c r="C139" s="4">
        <v>0.0</v>
      </c>
      <c r="D139" s="4">
        <v>0.0</v>
      </c>
      <c r="E139" s="4">
        <v>0.0</v>
      </c>
      <c r="F139" s="4">
        <v>0.0</v>
      </c>
      <c r="G139" s="4">
        <v>0.0</v>
      </c>
      <c r="H139" s="4">
        <v>0.0</v>
      </c>
      <c r="I139" s="4">
        <v>0.0</v>
      </c>
      <c r="J139" s="4">
        <v>0.0</v>
      </c>
      <c r="K139" s="4">
        <v>0.0</v>
      </c>
      <c r="L139" s="4">
        <v>0.0</v>
      </c>
      <c r="M139" s="4">
        <v>0.0</v>
      </c>
      <c r="N139" s="4">
        <v>0.0</v>
      </c>
    </row>
    <row r="140">
      <c r="A140" s="17" t="str">
        <f>IFERROR(__xludf.DUMMYFUNCTION("""COMPUTED_VALUE"""),"Royson Sandah Tan Kee Lim")</f>
        <v>Royson Sandah Tan Kee Lim</v>
      </c>
      <c r="B140" s="8" t="s">
        <v>366</v>
      </c>
      <c r="C140" s="4">
        <v>0.0</v>
      </c>
      <c r="D140" s="4">
        <v>0.0</v>
      </c>
      <c r="E140" s="4">
        <v>0.0</v>
      </c>
      <c r="F140" s="4">
        <v>0.0</v>
      </c>
      <c r="G140" s="4">
        <v>0.0</v>
      </c>
      <c r="H140" s="4">
        <v>0.0</v>
      </c>
      <c r="I140" s="4">
        <v>0.0</v>
      </c>
      <c r="J140" s="4">
        <v>0.0</v>
      </c>
      <c r="K140" s="4">
        <v>0.0</v>
      </c>
      <c r="L140" s="4">
        <v>0.0</v>
      </c>
      <c r="M140" s="4">
        <v>0.0</v>
      </c>
      <c r="N140" s="4">
        <v>0.0</v>
      </c>
    </row>
    <row r="141">
      <c r="A141" s="17" t="str">
        <f>IFERROR(__xludf.DUMMYFUNCTION("""COMPUTED_VALUE"""),"Ramssey Bin Raymand")</f>
        <v>Ramssey Bin Raymand</v>
      </c>
      <c r="B141" s="8" t="s">
        <v>366</v>
      </c>
      <c r="C141" s="4">
        <v>0.0</v>
      </c>
      <c r="D141" s="4">
        <v>0.0</v>
      </c>
      <c r="E141" s="4">
        <v>0.0</v>
      </c>
      <c r="F141" s="4">
        <v>0.0</v>
      </c>
      <c r="G141" s="4">
        <v>0.0</v>
      </c>
      <c r="H141" s="4">
        <v>0.0</v>
      </c>
      <c r="I141" s="4">
        <v>0.0</v>
      </c>
      <c r="J141" s="4">
        <v>0.0</v>
      </c>
      <c r="K141" s="4">
        <v>0.0</v>
      </c>
      <c r="L141" s="4">
        <v>0.0</v>
      </c>
      <c r="M141" s="4">
        <v>0.0</v>
      </c>
      <c r="N141" s="4">
        <v>0.0</v>
      </c>
    </row>
    <row r="142">
      <c r="A142" s="17" t="str">
        <f>IFERROR(__xludf.DUMMYFUNCTION("""COMPUTED_VALUE"""),"Nathanael Lee Yi Yang")</f>
        <v>Nathanael Lee Yi Yang</v>
      </c>
      <c r="B142" s="8" t="s">
        <v>366</v>
      </c>
      <c r="C142" s="4">
        <v>0.0</v>
      </c>
      <c r="D142" s="4">
        <v>0.0</v>
      </c>
      <c r="E142" s="4">
        <v>0.0</v>
      </c>
      <c r="F142" s="4">
        <v>0.0</v>
      </c>
      <c r="G142" s="4">
        <v>0.0</v>
      </c>
      <c r="H142" s="4">
        <v>0.0</v>
      </c>
      <c r="I142" s="4">
        <v>0.0</v>
      </c>
      <c r="J142" s="4">
        <v>0.0</v>
      </c>
      <c r="K142" s="4">
        <v>0.0</v>
      </c>
      <c r="L142" s="4">
        <v>0.0</v>
      </c>
      <c r="M142" s="4">
        <v>0.0</v>
      </c>
      <c r="N142" s="4">
        <v>0.0</v>
      </c>
    </row>
    <row r="143">
      <c r="A143" s="17" t="str">
        <f>IFERROR(__xludf.DUMMYFUNCTION("""COMPUTED_VALUE"""),"Desmond Chai Kai Ze")</f>
        <v>Desmond Chai Kai Ze</v>
      </c>
      <c r="B143" s="8" t="s">
        <v>366</v>
      </c>
      <c r="C143" s="4">
        <v>0.0</v>
      </c>
      <c r="D143" s="4">
        <v>0.0</v>
      </c>
      <c r="E143" s="4">
        <v>0.0</v>
      </c>
      <c r="F143" s="4">
        <v>0.0</v>
      </c>
      <c r="G143" s="4">
        <v>0.0</v>
      </c>
      <c r="H143" s="4">
        <v>0.0</v>
      </c>
      <c r="I143" s="4">
        <v>0.0</v>
      </c>
      <c r="J143" s="4">
        <v>0.0</v>
      </c>
      <c r="K143" s="4">
        <v>0.0</v>
      </c>
      <c r="L143" s="4">
        <v>0.0</v>
      </c>
      <c r="M143" s="4">
        <v>0.0</v>
      </c>
      <c r="N143" s="4">
        <v>0.0</v>
      </c>
    </row>
    <row r="144">
      <c r="A144" s="17" t="str">
        <f>IFERROR(__xludf.DUMMYFUNCTION("""COMPUTED_VALUE"""),"Tolber Lee Jun Han")</f>
        <v>Tolber Lee Jun Han</v>
      </c>
      <c r="B144" s="8" t="s">
        <v>366</v>
      </c>
      <c r="C144" s="4">
        <v>0.0</v>
      </c>
      <c r="D144" s="4">
        <v>0.0</v>
      </c>
      <c r="E144" s="4">
        <v>0.0</v>
      </c>
      <c r="F144" s="4">
        <v>0.0</v>
      </c>
      <c r="G144" s="4">
        <v>0.0</v>
      </c>
      <c r="H144" s="4">
        <v>0.0</v>
      </c>
      <c r="I144" s="4">
        <v>0.0</v>
      </c>
      <c r="J144" s="4">
        <v>0.0</v>
      </c>
      <c r="K144" s="4">
        <v>0.0</v>
      </c>
      <c r="L144" s="4">
        <v>0.0</v>
      </c>
      <c r="M144" s="4">
        <v>0.0</v>
      </c>
      <c r="N144" s="4">
        <v>0.0</v>
      </c>
    </row>
    <row r="145">
      <c r="A145" s="17" t="str">
        <f>IFERROR(__xludf.DUMMYFUNCTION("""COMPUTED_VALUE"""),"Marcus Moh Nien Yi")</f>
        <v>Marcus Moh Nien Yi</v>
      </c>
      <c r="B145" s="8" t="s">
        <v>366</v>
      </c>
      <c r="C145" s="4">
        <v>0.0</v>
      </c>
      <c r="D145" s="4">
        <v>0.0</v>
      </c>
      <c r="E145" s="4">
        <v>0.0</v>
      </c>
      <c r="F145" s="4">
        <v>0.0</v>
      </c>
      <c r="G145" s="4">
        <v>0.0</v>
      </c>
      <c r="H145" s="4">
        <v>0.0</v>
      </c>
      <c r="I145" s="4">
        <v>0.0</v>
      </c>
      <c r="J145" s="4">
        <v>0.0</v>
      </c>
      <c r="K145" s="4">
        <v>0.0</v>
      </c>
      <c r="L145" s="4">
        <v>0.0</v>
      </c>
      <c r="M145" s="4">
        <v>0.0</v>
      </c>
      <c r="N145" s="4">
        <v>0.0</v>
      </c>
    </row>
    <row r="146">
      <c r="A146" s="17" t="str">
        <f>IFERROR(__xludf.DUMMYFUNCTION("""COMPUTED_VALUE"""),"Jayden Huan Kah Hang")</f>
        <v>Jayden Huan Kah Hang</v>
      </c>
      <c r="B146" s="8" t="s">
        <v>380</v>
      </c>
      <c r="C146" s="4">
        <v>0.0</v>
      </c>
      <c r="D146" s="4">
        <v>0.0</v>
      </c>
      <c r="E146" s="4">
        <v>0.0</v>
      </c>
      <c r="F146" s="4">
        <v>0.0</v>
      </c>
      <c r="G146" s="4">
        <v>0.0</v>
      </c>
      <c r="H146" s="4">
        <v>0.0</v>
      </c>
      <c r="I146" s="4">
        <v>0.0</v>
      </c>
      <c r="J146" s="4">
        <v>0.0</v>
      </c>
      <c r="K146" s="4">
        <v>0.0</v>
      </c>
      <c r="L146" s="4">
        <v>0.0</v>
      </c>
      <c r="M146" s="4">
        <v>0.0</v>
      </c>
      <c r="N146" s="4">
        <v>0.0</v>
      </c>
    </row>
    <row r="147">
      <c r="A147" s="17" t="str">
        <f>IFERROR(__xludf.DUMMYFUNCTION("""COMPUTED_VALUE"""),"Samson Moh Nian Hui")</f>
        <v>Samson Moh Nian Hui</v>
      </c>
      <c r="B147" s="8" t="s">
        <v>380</v>
      </c>
      <c r="C147" s="4">
        <v>0.0</v>
      </c>
      <c r="D147" s="4">
        <v>0.0</v>
      </c>
      <c r="E147" s="4">
        <v>0.0</v>
      </c>
      <c r="F147" s="4">
        <v>0.0</v>
      </c>
      <c r="G147" s="4">
        <v>0.0</v>
      </c>
      <c r="H147" s="4">
        <v>0.0</v>
      </c>
      <c r="I147" s="4">
        <v>0.0</v>
      </c>
      <c r="J147" s="4">
        <v>0.0</v>
      </c>
      <c r="K147" s="4">
        <v>0.0</v>
      </c>
      <c r="L147" s="4">
        <v>0.0</v>
      </c>
      <c r="M147" s="4">
        <v>0.0</v>
      </c>
      <c r="N147" s="4">
        <v>0.0</v>
      </c>
    </row>
    <row r="148">
      <c r="A148" s="17" t="str">
        <f>IFERROR(__xludf.DUMMYFUNCTION("""COMPUTED_VALUE"""),"Simeon Shu Zhong Sheng")</f>
        <v>Simeon Shu Zhong Sheng</v>
      </c>
      <c r="B148" s="8" t="s">
        <v>380</v>
      </c>
      <c r="C148" s="4">
        <v>0.0</v>
      </c>
      <c r="D148" s="4">
        <v>0.0</v>
      </c>
      <c r="E148" s="4">
        <v>0.0</v>
      </c>
      <c r="F148" s="4">
        <v>0.0</v>
      </c>
      <c r="G148" s="4">
        <v>0.0</v>
      </c>
      <c r="H148" s="4">
        <v>0.0</v>
      </c>
      <c r="I148" s="4">
        <v>0.0</v>
      </c>
      <c r="J148" s="4">
        <v>0.0</v>
      </c>
      <c r="K148" s="4">
        <v>0.0</v>
      </c>
      <c r="L148" s="4">
        <v>0.0</v>
      </c>
      <c r="M148" s="4">
        <v>0.0</v>
      </c>
      <c r="N148" s="4">
        <v>0.0</v>
      </c>
    </row>
    <row r="149">
      <c r="A149" s="17" t="str">
        <f>IFERROR(__xludf.DUMMYFUNCTION("""COMPUTED_VALUE"""),"Ling Zi Heng ")</f>
        <v>Ling Zi Heng </v>
      </c>
      <c r="B149" s="8" t="s">
        <v>380</v>
      </c>
      <c r="C149" s="4">
        <v>0.0</v>
      </c>
      <c r="D149" s="4">
        <v>0.0</v>
      </c>
      <c r="E149" s="4">
        <v>0.0</v>
      </c>
      <c r="F149" s="4">
        <v>0.0</v>
      </c>
      <c r="G149" s="4">
        <v>0.0</v>
      </c>
      <c r="H149" s="4">
        <v>0.0</v>
      </c>
      <c r="I149" s="4">
        <v>0.0</v>
      </c>
      <c r="J149" s="4">
        <v>0.0</v>
      </c>
      <c r="K149" s="4">
        <v>0.0</v>
      </c>
      <c r="L149" s="4">
        <v>0.0</v>
      </c>
      <c r="M149" s="4">
        <v>0.0</v>
      </c>
      <c r="N149" s="4">
        <v>0.0</v>
      </c>
    </row>
    <row r="150">
      <c r="A150" s="17" t="str">
        <f>IFERROR(__xludf.DUMMYFUNCTION("""COMPUTED_VALUE"""),"Ling Yii Xiong")</f>
        <v>Ling Yii Xiong</v>
      </c>
      <c r="B150" s="8" t="s">
        <v>380</v>
      </c>
      <c r="C150" s="4">
        <v>0.0</v>
      </c>
      <c r="D150" s="4">
        <v>0.0</v>
      </c>
      <c r="E150" s="4">
        <v>0.0</v>
      </c>
      <c r="F150" s="4">
        <v>0.0</v>
      </c>
      <c r="G150" s="4">
        <v>0.0</v>
      </c>
      <c r="H150" s="4">
        <v>0.0</v>
      </c>
      <c r="I150" s="4">
        <v>0.0</v>
      </c>
      <c r="J150" s="4">
        <v>0.0</v>
      </c>
      <c r="K150" s="4">
        <v>0.0</v>
      </c>
      <c r="L150" s="4">
        <v>0.0</v>
      </c>
      <c r="M150" s="4">
        <v>0.0</v>
      </c>
      <c r="N150" s="4">
        <v>0.0</v>
      </c>
    </row>
    <row r="151">
      <c r="A151" s="17" t="str">
        <f>IFERROR(__xludf.DUMMYFUNCTION("""COMPUTED_VALUE"""),"Elvis Yek Zhu Xiang")</f>
        <v>Elvis Yek Zhu Xiang</v>
      </c>
      <c r="B151" s="8" t="s">
        <v>380</v>
      </c>
      <c r="C151" s="4">
        <v>0.0</v>
      </c>
      <c r="D151" s="4">
        <v>0.0</v>
      </c>
      <c r="E151" s="4">
        <v>0.0</v>
      </c>
      <c r="F151" s="4">
        <v>0.0</v>
      </c>
      <c r="G151" s="4">
        <v>0.0</v>
      </c>
      <c r="H151" s="4">
        <v>0.0</v>
      </c>
      <c r="I151" s="4">
        <v>0.0</v>
      </c>
      <c r="J151" s="4">
        <v>0.0</v>
      </c>
      <c r="K151" s="4">
        <v>0.0</v>
      </c>
      <c r="L151" s="4">
        <v>0.0</v>
      </c>
      <c r="M151" s="4">
        <v>0.0</v>
      </c>
      <c r="N151" s="4">
        <v>0.0</v>
      </c>
    </row>
    <row r="152">
      <c r="A152" s="4" t="str">
        <f>IFERROR(__xludf.DUMMYFUNCTION("""COMPUTED_VALUE"""),"Elson Low Zhen Quan")</f>
        <v>Elson Low Zhen Quan</v>
      </c>
      <c r="B152" s="8" t="s">
        <v>393</v>
      </c>
      <c r="C152" s="4">
        <v>0.0</v>
      </c>
      <c r="D152" s="4">
        <v>0.0</v>
      </c>
      <c r="E152" s="4">
        <v>0.0</v>
      </c>
      <c r="F152" s="4">
        <v>0.0</v>
      </c>
      <c r="G152" s="4">
        <v>0.0</v>
      </c>
      <c r="H152" s="4">
        <v>0.0</v>
      </c>
      <c r="I152" s="4">
        <v>0.0</v>
      </c>
      <c r="J152" s="4">
        <v>0.0</v>
      </c>
      <c r="K152" s="4">
        <v>0.0</v>
      </c>
      <c r="L152" s="4">
        <v>0.0</v>
      </c>
      <c r="M152" s="4">
        <v>0.0</v>
      </c>
      <c r="N152" s="4">
        <v>0.0</v>
      </c>
    </row>
    <row r="153">
      <c r="A153" s="4" t="str">
        <f>IFERROR(__xludf.DUMMYFUNCTION("""COMPUTED_VALUE"""),"Carson Low Zhen Shen")</f>
        <v>Carson Low Zhen Shen</v>
      </c>
      <c r="B153" s="8" t="s">
        <v>393</v>
      </c>
      <c r="C153" s="4">
        <v>0.0</v>
      </c>
      <c r="D153" s="4">
        <v>0.0</v>
      </c>
      <c r="E153" s="4">
        <v>0.0</v>
      </c>
      <c r="F153" s="4">
        <v>0.0</v>
      </c>
      <c r="G153" s="4">
        <v>0.0</v>
      </c>
      <c r="H153" s="4">
        <v>0.0</v>
      </c>
      <c r="I153" s="4">
        <v>0.0</v>
      </c>
      <c r="J153" s="4">
        <v>0.0</v>
      </c>
      <c r="K153" s="4">
        <v>0.0</v>
      </c>
      <c r="L153" s="4">
        <v>0.0</v>
      </c>
      <c r="M153" s="4">
        <v>0.0</v>
      </c>
      <c r="N153" s="4">
        <v>0.0</v>
      </c>
    </row>
    <row r="154">
      <c r="A154" s="17" t="str">
        <f>IFERROR(__xludf.DUMMYFUNCTION("""COMPUTED_VALUE"""),"Ling Yong Jing")</f>
        <v>Ling Yong Jing</v>
      </c>
      <c r="B154" s="8" t="s">
        <v>393</v>
      </c>
      <c r="C154" s="4">
        <v>0.0</v>
      </c>
      <c r="D154" s="4">
        <v>0.0</v>
      </c>
      <c r="E154" s="4">
        <v>0.0</v>
      </c>
      <c r="F154" s="4">
        <v>0.0</v>
      </c>
      <c r="G154" s="4">
        <v>0.0</v>
      </c>
      <c r="H154" s="4">
        <v>0.0</v>
      </c>
      <c r="I154" s="4">
        <v>0.0</v>
      </c>
      <c r="J154" s="4">
        <v>0.0</v>
      </c>
      <c r="K154" s="4">
        <v>0.0</v>
      </c>
      <c r="L154" s="4">
        <v>0.0</v>
      </c>
      <c r="M154" s="4">
        <v>0.0</v>
      </c>
      <c r="N154" s="4">
        <v>0.0</v>
      </c>
    </row>
    <row r="155">
      <c r="A155" s="17" t="str">
        <f>IFERROR(__xludf.DUMMYFUNCTION("""COMPUTED_VALUE"""),"Ann Wong Sie Eng")</f>
        <v>Ann Wong Sie Eng</v>
      </c>
      <c r="B155" s="8" t="s">
        <v>393</v>
      </c>
      <c r="C155" s="4">
        <v>0.0</v>
      </c>
      <c r="D155" s="4">
        <v>0.0</v>
      </c>
      <c r="E155" s="4">
        <v>0.0</v>
      </c>
      <c r="F155" s="4">
        <v>0.0</v>
      </c>
      <c r="G155" s="4">
        <v>0.0</v>
      </c>
      <c r="H155" s="4">
        <v>0.0</v>
      </c>
      <c r="I155" s="4">
        <v>0.0</v>
      </c>
      <c r="J155" s="4">
        <v>0.0</v>
      </c>
      <c r="K155" s="4">
        <v>0.0</v>
      </c>
      <c r="L155" s="4">
        <v>0.0</v>
      </c>
      <c r="M155" s="4">
        <v>0.0</v>
      </c>
      <c r="N155" s="4">
        <v>0.0</v>
      </c>
    </row>
    <row r="156">
      <c r="A156" s="17" t="str">
        <f>IFERROR(__xludf.DUMMYFUNCTION("""COMPUTED_VALUE"""),"Leo Wong Sie Siong")</f>
        <v>Leo Wong Sie Siong</v>
      </c>
      <c r="B156" s="8" t="s">
        <v>393</v>
      </c>
      <c r="C156" s="4">
        <v>0.0</v>
      </c>
      <c r="D156" s="4">
        <v>0.0</v>
      </c>
      <c r="E156" s="4">
        <v>0.0</v>
      </c>
      <c r="F156" s="4">
        <v>0.0</v>
      </c>
      <c r="G156" s="4">
        <v>0.0</v>
      </c>
      <c r="H156" s="4">
        <v>0.0</v>
      </c>
      <c r="I156" s="4">
        <v>0.0</v>
      </c>
      <c r="J156" s="4">
        <v>0.0</v>
      </c>
      <c r="K156" s="4">
        <v>0.0</v>
      </c>
      <c r="L156" s="4">
        <v>0.0</v>
      </c>
      <c r="M156" s="4">
        <v>0.0</v>
      </c>
      <c r="N156" s="4">
        <v>0.0</v>
      </c>
    </row>
    <row r="157">
      <c r="A157" s="17" t="str">
        <f>IFERROR(__xludf.DUMMYFUNCTION("""COMPUTED_VALUE"""),"Kristian Low Ming Ruy")</f>
        <v>Kristian Low Ming Ruy</v>
      </c>
      <c r="B157" s="8" t="s">
        <v>393</v>
      </c>
      <c r="C157" s="4">
        <v>0.0</v>
      </c>
      <c r="D157" s="4">
        <v>0.0</v>
      </c>
      <c r="E157" s="4">
        <v>0.0</v>
      </c>
      <c r="F157" s="4">
        <v>0.0</v>
      </c>
      <c r="G157" s="4">
        <v>0.0</v>
      </c>
      <c r="H157" s="4">
        <v>0.0</v>
      </c>
      <c r="I157" s="4">
        <v>0.0</v>
      </c>
      <c r="J157" s="4">
        <v>0.0</v>
      </c>
      <c r="K157" s="4">
        <v>0.0</v>
      </c>
      <c r="L157" s="4">
        <v>0.0</v>
      </c>
      <c r="M157" s="4">
        <v>0.0</v>
      </c>
      <c r="N157" s="4">
        <v>0.0</v>
      </c>
    </row>
    <row r="158">
      <c r="A158" s="17" t="str">
        <f>IFERROR(__xludf.DUMMYFUNCTION("""COMPUTED_VALUE"""),"Elnathan Ryan Anak David")</f>
        <v>Elnathan Ryan Anak David</v>
      </c>
      <c r="B158" s="8" t="s">
        <v>405</v>
      </c>
      <c r="C158" s="4">
        <v>0.0</v>
      </c>
      <c r="D158" s="4">
        <v>0.0</v>
      </c>
      <c r="E158" s="4">
        <v>0.0</v>
      </c>
      <c r="F158" s="4">
        <v>0.0</v>
      </c>
      <c r="G158" s="4">
        <v>0.0</v>
      </c>
      <c r="H158" s="4">
        <v>0.0</v>
      </c>
      <c r="I158" s="4">
        <v>0.0</v>
      </c>
      <c r="J158" s="4">
        <v>0.0</v>
      </c>
      <c r="K158" s="4">
        <v>0.0</v>
      </c>
      <c r="L158" s="4">
        <v>0.0</v>
      </c>
      <c r="M158" s="4">
        <v>0.0</v>
      </c>
      <c r="N158" s="4">
        <v>0.0</v>
      </c>
    </row>
    <row r="159">
      <c r="A159" s="17" t="str">
        <f>IFERROR(__xludf.DUMMYFUNCTION("""COMPUTED_VALUE"""),"Samuel Bryan Donny")</f>
        <v>Samuel Bryan Donny</v>
      </c>
      <c r="B159" s="8" t="s">
        <v>405</v>
      </c>
      <c r="C159" s="4">
        <v>0.0</v>
      </c>
      <c r="D159" s="4">
        <v>0.0</v>
      </c>
      <c r="E159" s="4">
        <v>0.0</v>
      </c>
      <c r="F159" s="4">
        <v>0.0</v>
      </c>
      <c r="G159" s="4">
        <v>0.0</v>
      </c>
      <c r="H159" s="4">
        <v>0.0</v>
      </c>
      <c r="I159" s="4">
        <v>0.0</v>
      </c>
      <c r="J159" s="4">
        <v>0.0</v>
      </c>
      <c r="K159" s="4">
        <v>0.0</v>
      </c>
      <c r="L159" s="4">
        <v>0.0</v>
      </c>
      <c r="M159" s="4">
        <v>0.0</v>
      </c>
      <c r="N159" s="4">
        <v>0.0</v>
      </c>
    </row>
    <row r="160">
      <c r="A160" s="17" t="str">
        <f>IFERROR(__xludf.DUMMYFUNCTION("""COMPUTED_VALUE"""),"Clayton Chieng Zhu Rui")</f>
        <v>Clayton Chieng Zhu Rui</v>
      </c>
      <c r="B160" s="8" t="s">
        <v>405</v>
      </c>
      <c r="C160" s="4">
        <v>0.0</v>
      </c>
      <c r="D160" s="4">
        <v>0.0</v>
      </c>
      <c r="E160" s="4">
        <v>0.0</v>
      </c>
      <c r="F160" s="4">
        <v>0.0</v>
      </c>
      <c r="G160" s="4">
        <v>0.0</v>
      </c>
      <c r="H160" s="4">
        <v>0.0</v>
      </c>
      <c r="I160" s="4">
        <v>0.0</v>
      </c>
      <c r="J160" s="4">
        <v>0.0</v>
      </c>
      <c r="K160" s="4">
        <v>0.0</v>
      </c>
      <c r="L160" s="4">
        <v>0.0</v>
      </c>
      <c r="M160" s="4">
        <v>0.0</v>
      </c>
      <c r="N160" s="4">
        <v>0.0</v>
      </c>
    </row>
    <row r="161">
      <c r="A161" s="17" t="str">
        <f>IFERROR(__xludf.DUMMYFUNCTION("""COMPUTED_VALUE"""),"Wong Pak Ung")</f>
        <v>Wong Pak Ung</v>
      </c>
      <c r="B161" s="8" t="s">
        <v>405</v>
      </c>
      <c r="C161" s="4">
        <v>0.0</v>
      </c>
      <c r="D161" s="4">
        <v>0.0</v>
      </c>
      <c r="E161" s="4">
        <v>0.0</v>
      </c>
      <c r="F161" s="4">
        <v>0.0</v>
      </c>
      <c r="G161" s="4">
        <v>0.0</v>
      </c>
      <c r="H161" s="4">
        <v>0.0</v>
      </c>
      <c r="I161" s="4">
        <v>0.0</v>
      </c>
      <c r="J161" s="4">
        <v>0.0</v>
      </c>
      <c r="K161" s="4">
        <v>0.0</v>
      </c>
      <c r="L161" s="4">
        <v>0.0</v>
      </c>
      <c r="M161" s="4">
        <v>0.0</v>
      </c>
      <c r="N161" s="4">
        <v>0.0</v>
      </c>
    </row>
    <row r="162">
      <c r="A162" s="17" t="str">
        <f>IFERROR(__xludf.DUMMYFUNCTION("""COMPUTED_VALUE"""),"Benaiah Ethan Ling")</f>
        <v>Benaiah Ethan Ling</v>
      </c>
      <c r="B162" s="8" t="s">
        <v>414</v>
      </c>
      <c r="C162" s="4">
        <v>0.0</v>
      </c>
      <c r="D162" s="4">
        <v>0.0</v>
      </c>
      <c r="E162" s="4">
        <v>0.0</v>
      </c>
      <c r="F162" s="4">
        <v>0.0</v>
      </c>
      <c r="G162" s="4">
        <v>0.0</v>
      </c>
      <c r="H162" s="4">
        <v>0.0</v>
      </c>
      <c r="I162" s="4">
        <v>0.0</v>
      </c>
      <c r="J162" s="4">
        <v>0.0</v>
      </c>
      <c r="K162" s="4">
        <v>0.0</v>
      </c>
      <c r="L162" s="4">
        <v>0.0</v>
      </c>
      <c r="M162" s="4">
        <v>0.0</v>
      </c>
      <c r="N162" s="4">
        <v>0.0</v>
      </c>
    </row>
    <row r="163">
      <c r="A163" s="17" t="str">
        <f>IFERROR(__xludf.DUMMYFUNCTION("""COMPUTED_VALUE"""),"Dalton Yik Haw Xuan")</f>
        <v>Dalton Yik Haw Xuan</v>
      </c>
      <c r="B163" s="8" t="s">
        <v>414</v>
      </c>
      <c r="C163" s="4">
        <v>0.0</v>
      </c>
      <c r="D163" s="4">
        <v>0.0</v>
      </c>
      <c r="E163" s="4">
        <v>0.0</v>
      </c>
      <c r="F163" s="4">
        <v>0.0</v>
      </c>
      <c r="G163" s="4">
        <v>0.0</v>
      </c>
      <c r="H163" s="4">
        <v>0.0</v>
      </c>
      <c r="I163" s="4">
        <v>0.0</v>
      </c>
      <c r="J163" s="4">
        <v>0.0</v>
      </c>
      <c r="K163" s="4">
        <v>0.0</v>
      </c>
      <c r="L163" s="4">
        <v>0.0</v>
      </c>
      <c r="M163" s="4">
        <v>0.0</v>
      </c>
      <c r="N163" s="4">
        <v>0.0</v>
      </c>
    </row>
    <row r="164">
      <c r="A164" s="17" t="str">
        <f>IFERROR(__xludf.DUMMYFUNCTION("""COMPUTED_VALUE"""),"Aidan Hii Sing Hong")</f>
        <v>Aidan Hii Sing Hong</v>
      </c>
      <c r="B164" s="8" t="s">
        <v>414</v>
      </c>
      <c r="C164" s="4">
        <v>0.0</v>
      </c>
      <c r="D164" s="4">
        <v>0.0</v>
      </c>
      <c r="E164" s="4">
        <v>0.0</v>
      </c>
      <c r="F164" s="4">
        <v>0.0</v>
      </c>
      <c r="G164" s="4">
        <v>0.0</v>
      </c>
      <c r="H164" s="4">
        <v>0.0</v>
      </c>
      <c r="I164" s="4">
        <v>0.0</v>
      </c>
      <c r="J164" s="4">
        <v>0.0</v>
      </c>
      <c r="K164" s="4">
        <v>0.0</v>
      </c>
      <c r="L164" s="4">
        <v>0.0</v>
      </c>
      <c r="M164" s="4">
        <v>0.0</v>
      </c>
      <c r="N164" s="4">
        <v>0.0</v>
      </c>
    </row>
    <row r="165">
      <c r="A165" s="17" t="str">
        <f>IFERROR(__xludf.DUMMYFUNCTION("""COMPUTED_VALUE"""),"Lewin Lau Bik Liang")</f>
        <v>Lewin Lau Bik Liang</v>
      </c>
      <c r="B165" s="8" t="s">
        <v>414</v>
      </c>
      <c r="C165" s="4">
        <v>0.0</v>
      </c>
      <c r="D165" s="4">
        <v>0.0</v>
      </c>
      <c r="E165" s="4">
        <v>0.0</v>
      </c>
      <c r="F165" s="4">
        <v>0.0</v>
      </c>
      <c r="G165" s="4">
        <v>0.0</v>
      </c>
      <c r="H165" s="4">
        <v>0.0</v>
      </c>
      <c r="I165" s="4">
        <v>0.0</v>
      </c>
      <c r="J165" s="4">
        <v>0.0</v>
      </c>
      <c r="K165" s="4">
        <v>0.0</v>
      </c>
      <c r="L165" s="4">
        <v>0.0</v>
      </c>
      <c r="M165" s="4">
        <v>0.0</v>
      </c>
      <c r="N165" s="4">
        <v>0.0</v>
      </c>
    </row>
    <row r="166">
      <c r="A166" s="17" t="str">
        <f>IFERROR(__xludf.DUMMYFUNCTION("""COMPUTED_VALUE"""),"Aston Wong Yi Zuen")</f>
        <v>Aston Wong Yi Zuen</v>
      </c>
      <c r="B166" s="8" t="s">
        <v>414</v>
      </c>
      <c r="C166" s="4">
        <v>0.0</v>
      </c>
      <c r="D166" s="4">
        <v>0.0</v>
      </c>
      <c r="E166" s="4">
        <v>0.0</v>
      </c>
      <c r="F166" s="4">
        <v>0.0</v>
      </c>
      <c r="G166" s="4">
        <v>0.0</v>
      </c>
      <c r="H166" s="4">
        <v>0.0</v>
      </c>
      <c r="I166" s="4">
        <v>0.0</v>
      </c>
      <c r="J166" s="4">
        <v>0.0</v>
      </c>
      <c r="K166" s="4">
        <v>0.0</v>
      </c>
      <c r="L166" s="4">
        <v>0.0</v>
      </c>
      <c r="M166" s="4">
        <v>0.0</v>
      </c>
      <c r="N166" s="4">
        <v>0.0</v>
      </c>
    </row>
    <row r="167">
      <c r="A167" s="17" t="str">
        <f>IFERROR(__xludf.DUMMYFUNCTION("""COMPUTED_VALUE"""),"Austin Yek Xuan Rui")</f>
        <v>Austin Yek Xuan Rui</v>
      </c>
      <c r="B167" s="8" t="s">
        <v>414</v>
      </c>
      <c r="C167" s="4">
        <v>0.0</v>
      </c>
      <c r="D167" s="4">
        <v>0.0</v>
      </c>
      <c r="E167" s="4">
        <v>0.0</v>
      </c>
      <c r="F167" s="4">
        <v>0.0</v>
      </c>
      <c r="G167" s="4">
        <v>0.0</v>
      </c>
      <c r="H167" s="4">
        <v>0.0</v>
      </c>
      <c r="I167" s="4">
        <v>0.0</v>
      </c>
      <c r="J167" s="4">
        <v>0.0</v>
      </c>
      <c r="K167" s="4">
        <v>0.0</v>
      </c>
      <c r="L167" s="4">
        <v>0.0</v>
      </c>
      <c r="M167" s="4">
        <v>0.0</v>
      </c>
      <c r="N167" s="4">
        <v>0.0</v>
      </c>
    </row>
    <row r="168">
      <c r="A168" s="17" t="str">
        <f>IFERROR(__xludf.DUMMYFUNCTION("""COMPUTED_VALUE"""),"Liong Zi Yang")</f>
        <v>Liong Zi Yang</v>
      </c>
      <c r="B168" s="8" t="s">
        <v>414</v>
      </c>
      <c r="C168" s="4">
        <v>0.0</v>
      </c>
      <c r="D168" s="4">
        <v>0.0</v>
      </c>
      <c r="E168" s="4">
        <v>0.0</v>
      </c>
      <c r="F168" s="4">
        <v>0.0</v>
      </c>
      <c r="G168" s="4">
        <v>0.0</v>
      </c>
      <c r="H168" s="4">
        <v>0.0</v>
      </c>
      <c r="I168" s="4">
        <v>0.0</v>
      </c>
      <c r="J168" s="4">
        <v>0.0</v>
      </c>
      <c r="K168" s="4">
        <v>0.0</v>
      </c>
      <c r="L168" s="4">
        <v>0.0</v>
      </c>
      <c r="M168" s="4">
        <v>0.0</v>
      </c>
      <c r="N168" s="4">
        <v>0.0</v>
      </c>
    </row>
    <row r="169">
      <c r="A169" s="17" t="str">
        <f>IFERROR(__xludf.DUMMYFUNCTION("""COMPUTED_VALUE"""),"Edric Sia Ting Chen")</f>
        <v>Edric Sia Ting Chen</v>
      </c>
      <c r="B169" s="8" t="s">
        <v>414</v>
      </c>
      <c r="C169" s="4">
        <v>0.0</v>
      </c>
      <c r="D169" s="4">
        <v>0.0</v>
      </c>
      <c r="E169" s="4">
        <v>0.0</v>
      </c>
      <c r="F169" s="4">
        <v>0.0</v>
      </c>
      <c r="G169" s="4">
        <v>0.0</v>
      </c>
      <c r="H169" s="4">
        <v>0.0</v>
      </c>
      <c r="I169" s="4">
        <v>0.0</v>
      </c>
      <c r="J169" s="4">
        <v>0.0</v>
      </c>
      <c r="K169" s="4">
        <v>0.0</v>
      </c>
      <c r="L169" s="4">
        <v>0.0</v>
      </c>
      <c r="M169" s="4">
        <v>0.0</v>
      </c>
      <c r="N169" s="4">
        <v>0.0</v>
      </c>
    </row>
    <row r="170">
      <c r="A170" s="17" t="str">
        <f>IFERROR(__xludf.DUMMYFUNCTION("""COMPUTED_VALUE"""),"Cayla Loh Yu Xuan")</f>
        <v>Cayla Loh Yu Xuan</v>
      </c>
      <c r="B170" s="8" t="s">
        <v>414</v>
      </c>
      <c r="C170" s="4">
        <v>0.0</v>
      </c>
      <c r="D170" s="4">
        <v>0.0</v>
      </c>
      <c r="E170" s="4">
        <v>0.0</v>
      </c>
      <c r="F170" s="4">
        <v>0.0</v>
      </c>
      <c r="G170" s="4">
        <v>0.0</v>
      </c>
      <c r="H170" s="4">
        <v>0.0</v>
      </c>
      <c r="I170" s="4">
        <v>0.0</v>
      </c>
      <c r="J170" s="4">
        <v>0.0</v>
      </c>
      <c r="K170" s="4">
        <v>0.0</v>
      </c>
      <c r="L170" s="4">
        <v>0.0</v>
      </c>
      <c r="M170" s="4">
        <v>0.0</v>
      </c>
      <c r="N170" s="4">
        <v>0.0</v>
      </c>
    </row>
    <row r="171">
      <c r="A171" s="17" t="str">
        <f>IFERROR(__xludf.DUMMYFUNCTION("""COMPUTED_VALUE"""),"Phoebe Yeo Kai Lu")</f>
        <v>Phoebe Yeo Kai Lu</v>
      </c>
      <c r="B171" s="8" t="s">
        <v>414</v>
      </c>
      <c r="C171" s="4">
        <v>0.0</v>
      </c>
      <c r="D171" s="4">
        <v>0.0</v>
      </c>
      <c r="E171" s="4">
        <v>0.0</v>
      </c>
      <c r="F171" s="4">
        <v>0.0</v>
      </c>
      <c r="G171" s="4">
        <v>0.0</v>
      </c>
      <c r="H171" s="4">
        <v>0.0</v>
      </c>
      <c r="I171" s="4">
        <v>0.0</v>
      </c>
      <c r="J171" s="4">
        <v>0.0</v>
      </c>
      <c r="K171" s="4">
        <v>0.0</v>
      </c>
      <c r="L171" s="4">
        <v>0.0</v>
      </c>
      <c r="M171" s="4">
        <v>0.0</v>
      </c>
      <c r="N171" s="4">
        <v>0.0</v>
      </c>
    </row>
    <row r="172">
      <c r="A172" s="17" t="str">
        <f>IFERROR(__xludf.DUMMYFUNCTION("""COMPUTED_VALUE"""),"Chong Xue Wen")</f>
        <v>Chong Xue Wen</v>
      </c>
      <c r="B172" s="8" t="s">
        <v>435</v>
      </c>
      <c r="C172" s="4">
        <v>0.0</v>
      </c>
      <c r="D172" s="4">
        <v>0.0</v>
      </c>
      <c r="E172" s="4">
        <v>0.0</v>
      </c>
      <c r="F172" s="4">
        <v>0.0</v>
      </c>
      <c r="G172" s="4">
        <v>0.0</v>
      </c>
      <c r="H172" s="4">
        <v>0.0</v>
      </c>
      <c r="I172" s="4">
        <v>0.0</v>
      </c>
      <c r="J172" s="4">
        <v>0.0</v>
      </c>
      <c r="K172" s="4">
        <v>0.0</v>
      </c>
      <c r="L172" s="4">
        <v>0.0</v>
      </c>
      <c r="M172" s="4">
        <v>0.0</v>
      </c>
      <c r="N172" s="4">
        <v>0.0</v>
      </c>
    </row>
    <row r="173">
      <c r="A173" s="4" t="str">
        <f>IFERROR(__xludf.DUMMYFUNCTION("""COMPUTED_VALUE"""),"Sophia Wong Kwang Yuchin")</f>
        <v>Sophia Wong Kwang Yuchin</v>
      </c>
      <c r="B173" s="8" t="s">
        <v>435</v>
      </c>
      <c r="C173" s="4">
        <v>0.0</v>
      </c>
      <c r="D173" s="4">
        <v>0.0</v>
      </c>
      <c r="E173" s="4">
        <v>0.0</v>
      </c>
      <c r="F173" s="4">
        <v>0.0</v>
      </c>
      <c r="G173" s="4">
        <v>0.0</v>
      </c>
      <c r="H173" s="4">
        <v>0.0</v>
      </c>
      <c r="I173" s="4">
        <v>0.0</v>
      </c>
      <c r="J173" s="4">
        <v>0.0</v>
      </c>
      <c r="K173" s="4">
        <v>0.0</v>
      </c>
      <c r="L173" s="4">
        <v>0.0</v>
      </c>
      <c r="M173" s="4">
        <v>0.0</v>
      </c>
      <c r="N173" s="4">
        <v>0.0</v>
      </c>
    </row>
    <row r="174">
      <c r="A174" s="17" t="str">
        <f>IFERROR(__xludf.DUMMYFUNCTION("""COMPUTED_VALUE"""),"Elroy Wong Yee Haw")</f>
        <v>Elroy Wong Yee Haw</v>
      </c>
      <c r="B174" s="8" t="s">
        <v>435</v>
      </c>
      <c r="C174" s="4">
        <v>0.0</v>
      </c>
      <c r="D174" s="4">
        <v>0.0</v>
      </c>
      <c r="E174" s="4">
        <v>0.0</v>
      </c>
      <c r="F174" s="4">
        <v>0.0</v>
      </c>
      <c r="G174" s="4">
        <v>0.0</v>
      </c>
      <c r="H174" s="4">
        <v>0.0</v>
      </c>
      <c r="I174" s="4">
        <v>0.0</v>
      </c>
      <c r="J174" s="4">
        <v>0.0</v>
      </c>
      <c r="K174" s="4">
        <v>0.0</v>
      </c>
      <c r="L174" s="4">
        <v>0.0</v>
      </c>
      <c r="M174" s="4">
        <v>0.0</v>
      </c>
      <c r="N174" s="4">
        <v>0.0</v>
      </c>
    </row>
    <row r="175">
      <c r="A175" s="17" t="str">
        <f>IFERROR(__xludf.DUMMYFUNCTION("""COMPUTED_VALUE"""),"Hailley Chee Yee JIe")</f>
        <v>Hailley Chee Yee JIe</v>
      </c>
      <c r="B175" s="8" t="s">
        <v>435</v>
      </c>
      <c r="C175" s="4">
        <v>0.0</v>
      </c>
      <c r="D175" s="4">
        <v>0.0</v>
      </c>
      <c r="E175" s="4">
        <v>0.0</v>
      </c>
      <c r="F175" s="4">
        <v>0.0</v>
      </c>
      <c r="G175" s="4">
        <v>0.0</v>
      </c>
      <c r="H175" s="4">
        <v>0.0</v>
      </c>
      <c r="I175" s="4">
        <v>0.0</v>
      </c>
      <c r="J175" s="4">
        <v>0.0</v>
      </c>
      <c r="K175" s="4">
        <v>0.0</v>
      </c>
      <c r="L175" s="4">
        <v>0.0</v>
      </c>
      <c r="M175" s="4">
        <v>0.0</v>
      </c>
      <c r="N175" s="4">
        <v>0.0</v>
      </c>
    </row>
    <row r="176">
      <c r="A176" s="4" t="str">
        <f>IFERROR(__xludf.DUMMYFUNCTION("""COMPUTED_VALUE"""),"Thomas Tiong Wei Hao")</f>
        <v>Thomas Tiong Wei Hao</v>
      </c>
      <c r="B176" s="8" t="s">
        <v>435</v>
      </c>
      <c r="C176" s="4">
        <v>0.0</v>
      </c>
      <c r="D176" s="4">
        <v>1.0</v>
      </c>
      <c r="E176" s="4">
        <v>0.0</v>
      </c>
      <c r="F176" s="4">
        <v>0.0</v>
      </c>
      <c r="G176" s="4">
        <v>0.0</v>
      </c>
      <c r="H176" s="4">
        <v>0.0</v>
      </c>
      <c r="I176" s="4">
        <v>0.0</v>
      </c>
      <c r="J176" s="4">
        <v>0.0</v>
      </c>
      <c r="K176" s="4">
        <v>0.0</v>
      </c>
      <c r="L176" s="4">
        <v>0.0</v>
      </c>
      <c r="M176" s="4">
        <v>0.0</v>
      </c>
      <c r="N176" s="4">
        <v>0.0</v>
      </c>
    </row>
    <row r="177">
      <c r="A177" s="17" t="str">
        <f>IFERROR(__xludf.DUMMYFUNCTION("""COMPUTED_VALUE"""),"Rexlee Ngu Shu Jing")</f>
        <v>Rexlee Ngu Shu Jing</v>
      </c>
      <c r="B177" s="8" t="s">
        <v>435</v>
      </c>
      <c r="C177" s="4">
        <v>0.0</v>
      </c>
      <c r="D177" s="4">
        <v>0.0</v>
      </c>
      <c r="E177" s="4">
        <v>0.0</v>
      </c>
      <c r="F177" s="4">
        <v>0.0</v>
      </c>
      <c r="G177" s="4">
        <v>0.0</v>
      </c>
      <c r="H177" s="4">
        <v>0.0</v>
      </c>
      <c r="I177" s="4">
        <v>0.0</v>
      </c>
      <c r="J177" s="4">
        <v>0.0</v>
      </c>
      <c r="K177" s="4">
        <v>0.0</v>
      </c>
      <c r="L177" s="4">
        <v>0.0</v>
      </c>
      <c r="M177" s="4">
        <v>0.0</v>
      </c>
      <c r="N177" s="4">
        <v>0.0</v>
      </c>
    </row>
    <row r="178">
      <c r="A178" s="17" t="str">
        <f>IFERROR(__xludf.DUMMYFUNCTION("""COMPUTED_VALUE"""),"Daniel Lee Meng Ze")</f>
        <v>Daniel Lee Meng Ze</v>
      </c>
      <c r="B178" s="8" t="s">
        <v>435</v>
      </c>
      <c r="C178" s="4">
        <v>0.0</v>
      </c>
      <c r="D178" s="4">
        <v>0.0</v>
      </c>
      <c r="E178" s="4">
        <v>0.0</v>
      </c>
      <c r="F178" s="4">
        <v>0.0</v>
      </c>
      <c r="G178" s="4">
        <v>0.0</v>
      </c>
      <c r="H178" s="4">
        <v>0.0</v>
      </c>
      <c r="I178" s="4">
        <v>0.0</v>
      </c>
      <c r="J178" s="4">
        <v>0.0</v>
      </c>
      <c r="K178" s="4">
        <v>0.0</v>
      </c>
      <c r="L178" s="4">
        <v>0.0</v>
      </c>
      <c r="M178" s="4">
        <v>0.0</v>
      </c>
      <c r="N178" s="4">
        <v>0.0</v>
      </c>
    </row>
    <row r="179">
      <c r="A179" s="17" t="str">
        <f>IFERROR(__xludf.DUMMYFUNCTION("""COMPUTED_VALUE"""),"Jerald Wong Xiang Zhe")</f>
        <v>Jerald Wong Xiang Zhe</v>
      </c>
      <c r="B179" s="8" t="s">
        <v>435</v>
      </c>
      <c r="C179" s="4">
        <v>0.0</v>
      </c>
      <c r="D179" s="4">
        <v>0.0</v>
      </c>
      <c r="E179" s="4">
        <v>0.0</v>
      </c>
      <c r="F179" s="4">
        <v>0.0</v>
      </c>
      <c r="G179" s="4">
        <v>0.0</v>
      </c>
      <c r="H179" s="4">
        <v>0.0</v>
      </c>
      <c r="I179" s="4">
        <v>0.0</v>
      </c>
      <c r="J179" s="4">
        <v>0.0</v>
      </c>
      <c r="K179" s="4">
        <v>0.0</v>
      </c>
      <c r="L179" s="4">
        <v>0.0</v>
      </c>
      <c r="M179" s="4">
        <v>0.0</v>
      </c>
      <c r="N179" s="4">
        <v>0.0</v>
      </c>
    </row>
    <row r="180">
      <c r="A180" s="17" t="str">
        <f>IFERROR(__xludf.DUMMYFUNCTION("""COMPUTED_VALUE"""),"Morgan Tiong Wei Han")</f>
        <v>Morgan Tiong Wei Han</v>
      </c>
      <c r="B180" s="8" t="s">
        <v>435</v>
      </c>
      <c r="C180" s="4">
        <v>0.0</v>
      </c>
      <c r="D180" s="4">
        <v>0.0</v>
      </c>
      <c r="E180" s="4">
        <v>0.0</v>
      </c>
      <c r="F180" s="4">
        <v>0.0</v>
      </c>
      <c r="G180" s="4">
        <v>0.0</v>
      </c>
      <c r="H180" s="4">
        <v>0.0</v>
      </c>
      <c r="I180" s="4">
        <v>0.0</v>
      </c>
      <c r="J180" s="4">
        <v>0.0</v>
      </c>
      <c r="K180" s="4">
        <v>0.0</v>
      </c>
      <c r="L180" s="4">
        <v>0.0</v>
      </c>
      <c r="M180" s="4">
        <v>0.0</v>
      </c>
      <c r="N180" s="4">
        <v>0.0</v>
      </c>
    </row>
    <row r="181">
      <c r="A181" s="4" t="str">
        <f>IFERROR(__xludf.DUMMYFUNCTION("""COMPUTED_VALUE"""),"Joyce Wong Qin Ai")</f>
        <v>Joyce Wong Qin Ai</v>
      </c>
      <c r="B181" s="8" t="s">
        <v>435</v>
      </c>
      <c r="C181" s="4">
        <v>0.0</v>
      </c>
      <c r="D181" s="4">
        <v>0.0</v>
      </c>
      <c r="E181" s="4">
        <v>0.0</v>
      </c>
      <c r="F181" s="4">
        <v>0.0</v>
      </c>
      <c r="G181" s="4">
        <v>0.0</v>
      </c>
      <c r="H181" s="4">
        <v>0.0</v>
      </c>
      <c r="I181" s="4">
        <v>0.0</v>
      </c>
      <c r="J181" s="4">
        <v>0.0</v>
      </c>
      <c r="K181" s="4">
        <v>0.0</v>
      </c>
      <c r="L181" s="4">
        <v>0.0</v>
      </c>
      <c r="M181" s="4">
        <v>0.0</v>
      </c>
      <c r="N181" s="4">
        <v>0.0</v>
      </c>
    </row>
    <row r="182">
      <c r="A182" s="17" t="str">
        <f>IFERROR(__xludf.DUMMYFUNCTION("""COMPUTED_VALUE"""),"Ryan Sia Rui Eng")</f>
        <v>Ryan Sia Rui Eng</v>
      </c>
      <c r="B182" s="8" t="s">
        <v>435</v>
      </c>
      <c r="C182" s="4">
        <v>0.0</v>
      </c>
      <c r="D182" s="4">
        <v>0.0</v>
      </c>
      <c r="E182" s="4">
        <v>0.0</v>
      </c>
      <c r="F182" s="4">
        <v>0.0</v>
      </c>
      <c r="G182" s="4">
        <v>0.0</v>
      </c>
      <c r="H182" s="4">
        <v>0.0</v>
      </c>
      <c r="I182" s="4">
        <v>0.0</v>
      </c>
      <c r="J182" s="4">
        <v>0.0</v>
      </c>
      <c r="K182" s="4">
        <v>0.0</v>
      </c>
      <c r="L182" s="4">
        <v>0.0</v>
      </c>
      <c r="M182" s="4">
        <v>0.0</v>
      </c>
      <c r="N182" s="4">
        <v>0.0</v>
      </c>
    </row>
    <row r="183">
      <c r="A183" s="17" t="str">
        <f>IFERROR(__xludf.DUMMYFUNCTION("""COMPUTED_VALUE"""),"Rochester Lee Eu Jyun")</f>
        <v>Rochester Lee Eu Jyun</v>
      </c>
      <c r="B183" s="8" t="s">
        <v>435</v>
      </c>
      <c r="C183" s="4">
        <v>0.0</v>
      </c>
      <c r="D183" s="4">
        <v>0.0</v>
      </c>
      <c r="E183" s="4">
        <v>0.0</v>
      </c>
      <c r="F183" s="4">
        <v>0.0</v>
      </c>
      <c r="G183" s="4">
        <v>0.0</v>
      </c>
      <c r="H183" s="4">
        <v>0.0</v>
      </c>
      <c r="I183" s="4">
        <v>0.0</v>
      </c>
      <c r="J183" s="4">
        <v>0.0</v>
      </c>
      <c r="K183" s="4">
        <v>0.0</v>
      </c>
      <c r="L183" s="4">
        <v>0.0</v>
      </c>
      <c r="M183" s="4">
        <v>0.0</v>
      </c>
      <c r="N183" s="4">
        <v>0.0</v>
      </c>
    </row>
    <row r="184">
      <c r="A184" s="17" t="str">
        <f>IFERROR(__xludf.DUMMYFUNCTION("""COMPUTED_VALUE"""),"Osmund Tiong Zhen En")</f>
        <v>Osmund Tiong Zhen En</v>
      </c>
      <c r="B184" s="8" t="s">
        <v>435</v>
      </c>
      <c r="C184" s="4">
        <v>0.0</v>
      </c>
      <c r="D184" s="4">
        <v>0.0</v>
      </c>
      <c r="E184" s="4">
        <v>0.0</v>
      </c>
      <c r="F184" s="4">
        <v>0.0</v>
      </c>
      <c r="G184" s="4">
        <v>0.0</v>
      </c>
      <c r="H184" s="4">
        <v>0.0</v>
      </c>
      <c r="I184" s="4">
        <v>0.0</v>
      </c>
      <c r="J184" s="4">
        <v>0.0</v>
      </c>
      <c r="K184" s="4">
        <v>0.0</v>
      </c>
      <c r="L184" s="4">
        <v>0.0</v>
      </c>
      <c r="M184" s="4">
        <v>0.0</v>
      </c>
      <c r="N184" s="4">
        <v>0.0</v>
      </c>
    </row>
    <row r="185">
      <c r="A185" s="17" t="str">
        <f>IFERROR(__xludf.DUMMYFUNCTION("""COMPUTED_VALUE"""),"Charlene Ting Yan Jin")</f>
        <v>Charlene Ting Yan Jin</v>
      </c>
      <c r="B185" s="8" t="s">
        <v>435</v>
      </c>
      <c r="C185" s="4">
        <v>0.0</v>
      </c>
      <c r="D185" s="4">
        <v>0.0</v>
      </c>
      <c r="E185" s="4">
        <v>0.0</v>
      </c>
      <c r="F185" s="4">
        <v>0.0</v>
      </c>
      <c r="G185" s="4">
        <v>0.0</v>
      </c>
      <c r="H185" s="4">
        <v>0.0</v>
      </c>
      <c r="I185" s="4">
        <v>0.0</v>
      </c>
      <c r="J185" s="4">
        <v>0.0</v>
      </c>
      <c r="K185" s="4">
        <v>0.0</v>
      </c>
      <c r="L185" s="4">
        <v>0.0</v>
      </c>
      <c r="M185" s="4">
        <v>0.0</v>
      </c>
      <c r="N185" s="4">
        <v>0.0</v>
      </c>
    </row>
    <row r="186">
      <c r="A186" s="17" t="str">
        <f>IFERROR(__xludf.DUMMYFUNCTION("""COMPUTED_VALUE"""),"Lucas Chiew Wei Han")</f>
        <v>Lucas Chiew Wei Han</v>
      </c>
      <c r="B186" s="8" t="s">
        <v>435</v>
      </c>
      <c r="C186" s="4">
        <v>0.0</v>
      </c>
      <c r="D186" s="4">
        <v>0.0</v>
      </c>
      <c r="E186" s="4">
        <v>0.0</v>
      </c>
      <c r="F186" s="4">
        <v>0.0</v>
      </c>
      <c r="G186" s="4">
        <v>0.0</v>
      </c>
      <c r="H186" s="4">
        <v>0.0</v>
      </c>
      <c r="I186" s="4">
        <v>0.0</v>
      </c>
      <c r="J186" s="4">
        <v>0.0</v>
      </c>
      <c r="K186" s="4">
        <v>0.0</v>
      </c>
      <c r="L186" s="4">
        <v>0.0</v>
      </c>
      <c r="M186" s="4">
        <v>0.0</v>
      </c>
      <c r="N186" s="4">
        <v>0.0</v>
      </c>
    </row>
    <row r="187">
      <c r="A187" s="17" t="str">
        <f>IFERROR(__xludf.DUMMYFUNCTION("""COMPUTED_VALUE"""),"Giselda Kong Le En")</f>
        <v>Giselda Kong Le En</v>
      </c>
      <c r="B187" s="8" t="s">
        <v>435</v>
      </c>
      <c r="C187" s="4">
        <v>0.0</v>
      </c>
      <c r="D187" s="4">
        <v>0.0</v>
      </c>
      <c r="E187" s="4">
        <v>0.0</v>
      </c>
      <c r="F187" s="4">
        <v>0.0</v>
      </c>
      <c r="G187" s="4">
        <v>0.0</v>
      </c>
      <c r="H187" s="4">
        <v>0.0</v>
      </c>
      <c r="I187" s="4">
        <v>0.0</v>
      </c>
      <c r="J187" s="4">
        <v>0.0</v>
      </c>
      <c r="K187" s="4">
        <v>0.0</v>
      </c>
      <c r="L187" s="4">
        <v>0.0</v>
      </c>
      <c r="M187" s="4">
        <v>0.0</v>
      </c>
      <c r="N187" s="4">
        <v>0.0</v>
      </c>
    </row>
    <row r="188">
      <c r="A188" s="17" t="str">
        <f>IFERROR(__xludf.DUMMYFUNCTION("""COMPUTED_VALUE"""),"Wilfred Lau Jun Rui")</f>
        <v>Wilfred Lau Jun Rui</v>
      </c>
      <c r="B188" s="8" t="s">
        <v>435</v>
      </c>
      <c r="C188" s="4">
        <v>0.0</v>
      </c>
      <c r="D188" s="4">
        <v>0.0</v>
      </c>
      <c r="E188" s="4">
        <v>0.0</v>
      </c>
      <c r="F188" s="4">
        <v>0.0</v>
      </c>
      <c r="G188" s="4">
        <v>0.0</v>
      </c>
      <c r="H188" s="4">
        <v>0.0</v>
      </c>
      <c r="I188" s="4">
        <v>0.0</v>
      </c>
      <c r="J188" s="4">
        <v>0.0</v>
      </c>
      <c r="K188" s="4">
        <v>0.0</v>
      </c>
      <c r="L188" s="4">
        <v>0.0</v>
      </c>
      <c r="M188" s="4">
        <v>0.0</v>
      </c>
      <c r="N188" s="4">
        <v>0.0</v>
      </c>
    </row>
    <row r="189">
      <c r="A189" s="17" t="str">
        <f>IFERROR(__xludf.DUMMYFUNCTION("""COMPUTED_VALUE"""),"Eunice Wong Shi Qing")</f>
        <v>Eunice Wong Shi Qing</v>
      </c>
      <c r="B189" s="8" t="s">
        <v>435</v>
      </c>
      <c r="C189" s="4">
        <v>0.0</v>
      </c>
      <c r="D189" s="4">
        <v>0.0</v>
      </c>
      <c r="E189" s="4">
        <v>0.0</v>
      </c>
      <c r="F189" s="4">
        <v>0.0</v>
      </c>
      <c r="G189" s="4">
        <v>0.0</v>
      </c>
      <c r="H189" s="4">
        <v>0.0</v>
      </c>
      <c r="I189" s="4">
        <v>0.0</v>
      </c>
      <c r="J189" s="4">
        <v>0.0</v>
      </c>
      <c r="K189" s="4">
        <v>0.0</v>
      </c>
      <c r="L189" s="4">
        <v>0.0</v>
      </c>
      <c r="M189" s="4">
        <v>0.0</v>
      </c>
      <c r="N189" s="4">
        <v>0.0</v>
      </c>
    </row>
    <row r="190">
      <c r="A190" s="17" t="str">
        <f>IFERROR(__xludf.DUMMYFUNCTION("""COMPUTED_VALUE"""),"Gladys Wong Jing Wen")</f>
        <v>Gladys Wong Jing Wen</v>
      </c>
      <c r="B190" s="8" t="s">
        <v>435</v>
      </c>
      <c r="C190" s="4">
        <v>0.0</v>
      </c>
      <c r="D190" s="4">
        <v>0.0</v>
      </c>
      <c r="E190" s="4">
        <v>0.0</v>
      </c>
      <c r="F190" s="4">
        <v>0.0</v>
      </c>
      <c r="G190" s="4">
        <v>0.0</v>
      </c>
      <c r="H190" s="4">
        <v>0.0</v>
      </c>
      <c r="I190" s="4">
        <v>0.0</v>
      </c>
      <c r="J190" s="4">
        <v>0.0</v>
      </c>
      <c r="K190" s="4">
        <v>0.0</v>
      </c>
      <c r="L190" s="4">
        <v>0.0</v>
      </c>
      <c r="M190" s="4">
        <v>0.0</v>
      </c>
      <c r="N190" s="4">
        <v>0.0</v>
      </c>
    </row>
    <row r="191">
      <c r="A191" s="17" t="str">
        <f>IFERROR(__xludf.DUMMYFUNCTION("""COMPUTED_VALUE"""),"Lucas Ting Ker Jun")</f>
        <v>Lucas Ting Ker Jun</v>
      </c>
      <c r="B191" s="8" t="s">
        <v>471</v>
      </c>
      <c r="C191" s="4">
        <v>0.0</v>
      </c>
      <c r="D191" s="4">
        <v>0.0</v>
      </c>
      <c r="E191" s="4">
        <v>0.0</v>
      </c>
      <c r="F191" s="4">
        <v>0.0</v>
      </c>
      <c r="G191" s="4">
        <v>0.0</v>
      </c>
      <c r="H191" s="4">
        <v>0.0</v>
      </c>
      <c r="I191" s="4">
        <v>0.0</v>
      </c>
      <c r="J191" s="4">
        <v>0.0</v>
      </c>
      <c r="K191" s="4">
        <v>0.0</v>
      </c>
      <c r="L191" s="4">
        <v>0.0</v>
      </c>
      <c r="M191" s="4">
        <v>0.0</v>
      </c>
      <c r="N191" s="4">
        <v>0.0</v>
      </c>
    </row>
    <row r="192">
      <c r="A192" s="17" t="str">
        <f>IFERROR(__xludf.DUMMYFUNCTION("""COMPUTED_VALUE"""),"Harden Moh Heng Leong")</f>
        <v>Harden Moh Heng Leong</v>
      </c>
      <c r="B192" s="8" t="s">
        <v>471</v>
      </c>
      <c r="C192" s="4">
        <v>0.0</v>
      </c>
      <c r="D192" s="4">
        <v>0.0</v>
      </c>
      <c r="E192" s="4">
        <v>0.0</v>
      </c>
      <c r="F192" s="4">
        <v>0.0</v>
      </c>
      <c r="G192" s="4">
        <v>0.0</v>
      </c>
      <c r="H192" s="4">
        <v>0.0</v>
      </c>
      <c r="I192" s="4">
        <v>0.0</v>
      </c>
      <c r="J192" s="4">
        <v>0.0</v>
      </c>
      <c r="K192" s="4">
        <v>0.0</v>
      </c>
      <c r="L192" s="4">
        <v>0.0</v>
      </c>
      <c r="M192" s="4">
        <v>0.0</v>
      </c>
      <c r="N192" s="4">
        <v>0.0</v>
      </c>
    </row>
    <row r="193">
      <c r="A193" s="17" t="str">
        <f>IFERROR(__xludf.DUMMYFUNCTION("""COMPUTED_VALUE"""),"Jonathan Ramiel anak Richard Nyaru")</f>
        <v>Jonathan Ramiel anak Richard Nyaru</v>
      </c>
      <c r="B193" s="8" t="s">
        <v>471</v>
      </c>
      <c r="C193" s="4">
        <v>0.0</v>
      </c>
      <c r="D193" s="4">
        <v>0.0</v>
      </c>
      <c r="E193" s="4">
        <v>0.0</v>
      </c>
      <c r="F193" s="4">
        <v>0.0</v>
      </c>
      <c r="G193" s="4">
        <v>0.0</v>
      </c>
      <c r="H193" s="4">
        <v>0.0</v>
      </c>
      <c r="I193" s="4">
        <v>0.0</v>
      </c>
      <c r="J193" s="4">
        <v>0.0</v>
      </c>
      <c r="K193" s="4">
        <v>0.0</v>
      </c>
      <c r="L193" s="4">
        <v>0.0</v>
      </c>
      <c r="M193" s="4">
        <v>0.0</v>
      </c>
      <c r="N193" s="4">
        <v>0.0</v>
      </c>
    </row>
    <row r="194">
      <c r="A194" s="17" t="str">
        <f>IFERROR(__xludf.DUMMYFUNCTION("""COMPUTED_VALUE"""),"Fong Kah Lok")</f>
        <v>Fong Kah Lok</v>
      </c>
      <c r="B194" s="8" t="s">
        <v>471</v>
      </c>
      <c r="C194" s="4">
        <v>0.0</v>
      </c>
      <c r="D194" s="4">
        <v>0.0</v>
      </c>
      <c r="E194" s="4">
        <v>0.0</v>
      </c>
      <c r="F194" s="4">
        <v>0.0</v>
      </c>
      <c r="G194" s="4">
        <v>0.0</v>
      </c>
      <c r="H194" s="4">
        <v>0.0</v>
      </c>
      <c r="I194" s="4">
        <v>0.0</v>
      </c>
      <c r="J194" s="4">
        <v>0.0</v>
      </c>
      <c r="K194" s="4">
        <v>0.0</v>
      </c>
      <c r="L194" s="4">
        <v>0.0</v>
      </c>
      <c r="M194" s="4">
        <v>0.0</v>
      </c>
      <c r="N194" s="4">
        <v>0.0</v>
      </c>
    </row>
    <row r="195">
      <c r="A195" s="17" t="str">
        <f>IFERROR(__xludf.DUMMYFUNCTION("""COMPUTED_VALUE"""),"Jayden Lee Kang Cheng")</f>
        <v>Jayden Lee Kang Cheng</v>
      </c>
      <c r="B195" s="8" t="s">
        <v>471</v>
      </c>
      <c r="C195" s="4">
        <v>0.0</v>
      </c>
      <c r="D195" s="4">
        <v>0.0</v>
      </c>
      <c r="E195" s="4">
        <v>0.0</v>
      </c>
      <c r="F195" s="4">
        <v>0.0</v>
      </c>
      <c r="G195" s="4">
        <v>0.0</v>
      </c>
      <c r="H195" s="4">
        <v>0.0</v>
      </c>
      <c r="I195" s="4">
        <v>0.0</v>
      </c>
      <c r="J195" s="4">
        <v>0.0</v>
      </c>
      <c r="K195" s="4">
        <v>0.0</v>
      </c>
      <c r="L195" s="4">
        <v>0.0</v>
      </c>
      <c r="M195" s="4">
        <v>0.0</v>
      </c>
      <c r="N195" s="4">
        <v>0.0</v>
      </c>
    </row>
    <row r="196">
      <c r="A196" s="17" t="str">
        <f>IFERROR(__xludf.DUMMYFUNCTION("""COMPUTED_VALUE"""),"Wyn Chan Kai Yuan")</f>
        <v>Wyn Chan Kai Yuan</v>
      </c>
      <c r="B196" s="8" t="s">
        <v>471</v>
      </c>
      <c r="C196" s="4">
        <v>0.0</v>
      </c>
      <c r="D196" s="4">
        <v>0.0</v>
      </c>
      <c r="E196" s="4">
        <v>0.0</v>
      </c>
      <c r="F196" s="4">
        <v>0.0</v>
      </c>
      <c r="G196" s="4">
        <v>0.0</v>
      </c>
      <c r="H196" s="4">
        <v>0.0</v>
      </c>
      <c r="I196" s="4">
        <v>0.0</v>
      </c>
      <c r="J196" s="4">
        <v>0.0</v>
      </c>
      <c r="K196" s="4">
        <v>0.0</v>
      </c>
      <c r="L196" s="4">
        <v>0.0</v>
      </c>
      <c r="M196" s="4">
        <v>0.0</v>
      </c>
      <c r="N196" s="4">
        <v>0.0</v>
      </c>
    </row>
    <row r="197">
      <c r="A197" s="17" t="str">
        <f>IFERROR(__xludf.DUMMYFUNCTION("""COMPUTED_VALUE"""),"Isabelle ee Chii Sonn")</f>
        <v>Isabelle ee Chii Sonn</v>
      </c>
      <c r="B197" s="8" t="s">
        <v>471</v>
      </c>
      <c r="C197" s="4">
        <v>0.0</v>
      </c>
      <c r="D197" s="4">
        <v>0.0</v>
      </c>
      <c r="E197" s="4">
        <v>0.0</v>
      </c>
      <c r="F197" s="4">
        <v>0.0</v>
      </c>
      <c r="G197" s="4">
        <v>0.0</v>
      </c>
      <c r="H197" s="4">
        <v>0.0</v>
      </c>
      <c r="I197" s="4">
        <v>0.0</v>
      </c>
      <c r="J197" s="4">
        <v>0.0</v>
      </c>
      <c r="K197" s="4">
        <v>0.0</v>
      </c>
      <c r="L197" s="4">
        <v>0.0</v>
      </c>
      <c r="M197" s="4">
        <v>0.0</v>
      </c>
      <c r="N197" s="4">
        <v>0.0</v>
      </c>
    </row>
    <row r="198">
      <c r="A198" s="17" t="str">
        <f>IFERROR(__xludf.DUMMYFUNCTION("""COMPUTED_VALUE"""),"Ryan Ngu Shu Hao ")</f>
        <v>Ryan Ngu Shu Hao </v>
      </c>
      <c r="B198" s="8" t="s">
        <v>471</v>
      </c>
      <c r="C198" s="4">
        <v>0.0</v>
      </c>
      <c r="D198" s="4">
        <v>0.0</v>
      </c>
      <c r="E198" s="4">
        <v>0.0</v>
      </c>
      <c r="F198" s="4">
        <v>0.0</v>
      </c>
      <c r="G198" s="4">
        <v>0.0</v>
      </c>
      <c r="H198" s="4">
        <v>0.0</v>
      </c>
      <c r="I198" s="4">
        <v>0.0</v>
      </c>
      <c r="J198" s="4">
        <v>0.0</v>
      </c>
      <c r="K198" s="4">
        <v>0.0</v>
      </c>
      <c r="L198" s="4">
        <v>0.0</v>
      </c>
      <c r="M198" s="4">
        <v>0.0</v>
      </c>
      <c r="N198" s="4">
        <v>0.0</v>
      </c>
    </row>
    <row r="199">
      <c r="A199" s="17" t="str">
        <f>IFERROR(__xludf.DUMMYFUNCTION("""COMPUTED_VALUE"""),"Elsa Wong Yun Xi")</f>
        <v>Elsa Wong Yun Xi</v>
      </c>
      <c r="B199" s="8" t="s">
        <v>471</v>
      </c>
      <c r="C199" s="4">
        <v>0.0</v>
      </c>
      <c r="D199" s="4">
        <v>0.0</v>
      </c>
      <c r="E199" s="4">
        <v>0.0</v>
      </c>
      <c r="F199" s="4">
        <v>0.0</v>
      </c>
      <c r="G199" s="4">
        <v>0.0</v>
      </c>
      <c r="H199" s="4">
        <v>0.0</v>
      </c>
      <c r="I199" s="4">
        <v>0.0</v>
      </c>
      <c r="J199" s="4">
        <v>0.0</v>
      </c>
      <c r="K199" s="4">
        <v>0.0</v>
      </c>
      <c r="L199" s="4">
        <v>0.0</v>
      </c>
      <c r="M199" s="4">
        <v>0.0</v>
      </c>
      <c r="N199" s="4">
        <v>0.0</v>
      </c>
    </row>
    <row r="200">
      <c r="A200" s="17" t="str">
        <f>IFERROR(__xludf.DUMMYFUNCTION("""COMPUTED_VALUE"""),"Enoch Wong Khung Nokh")</f>
        <v>Enoch Wong Khung Nokh</v>
      </c>
      <c r="B200" s="8" t="s">
        <v>471</v>
      </c>
      <c r="C200" s="4">
        <v>0.0</v>
      </c>
      <c r="D200" s="4">
        <v>0.0</v>
      </c>
      <c r="E200" s="4">
        <v>0.0</v>
      </c>
      <c r="F200" s="4">
        <v>0.0</v>
      </c>
      <c r="G200" s="4">
        <v>0.0</v>
      </c>
      <c r="H200" s="4">
        <v>0.0</v>
      </c>
      <c r="I200" s="4">
        <v>0.0</v>
      </c>
      <c r="J200" s="4">
        <v>0.0</v>
      </c>
      <c r="K200" s="4">
        <v>0.0</v>
      </c>
      <c r="L200" s="4">
        <v>0.0</v>
      </c>
      <c r="M200" s="4">
        <v>0.0</v>
      </c>
      <c r="N200" s="4">
        <v>0.0</v>
      </c>
    </row>
    <row r="201">
      <c r="A201" s="17" t="str">
        <f>IFERROR(__xludf.DUMMYFUNCTION("""COMPUTED_VALUE"""),"Ling Li Ying")</f>
        <v>Ling Li Ying</v>
      </c>
      <c r="B201" s="8" t="s">
        <v>471</v>
      </c>
      <c r="C201" s="4">
        <v>0.0</v>
      </c>
      <c r="D201" s="4">
        <v>0.0</v>
      </c>
      <c r="E201" s="4">
        <v>0.0</v>
      </c>
      <c r="F201" s="4">
        <v>0.0</v>
      </c>
      <c r="G201" s="4">
        <v>0.0</v>
      </c>
      <c r="H201" s="4">
        <v>0.0</v>
      </c>
      <c r="I201" s="4">
        <v>0.0</v>
      </c>
      <c r="J201" s="4">
        <v>0.0</v>
      </c>
      <c r="K201" s="4">
        <v>0.0</v>
      </c>
      <c r="L201" s="4">
        <v>0.0</v>
      </c>
      <c r="M201" s="4">
        <v>0.0</v>
      </c>
      <c r="N201" s="4">
        <v>0.0</v>
      </c>
    </row>
    <row r="202">
      <c r="A202" s="17" t="str">
        <f>IFERROR(__xludf.DUMMYFUNCTION("""COMPUTED_VALUE"""),"Effie Wong Choo Hsin ")</f>
        <v>Effie Wong Choo Hsin </v>
      </c>
      <c r="B202" s="8" t="s">
        <v>471</v>
      </c>
      <c r="C202" s="4">
        <v>0.0</v>
      </c>
      <c r="D202" s="4">
        <v>0.0</v>
      </c>
      <c r="E202" s="4">
        <v>0.0</v>
      </c>
      <c r="F202" s="4">
        <v>0.0</v>
      </c>
      <c r="G202" s="4">
        <v>0.0</v>
      </c>
      <c r="H202" s="4">
        <v>0.0</v>
      </c>
      <c r="I202" s="4">
        <v>0.0</v>
      </c>
      <c r="J202" s="4">
        <v>0.0</v>
      </c>
      <c r="K202" s="4">
        <v>0.0</v>
      </c>
      <c r="L202" s="4">
        <v>0.0</v>
      </c>
      <c r="M202" s="4">
        <v>0.0</v>
      </c>
      <c r="N202" s="4">
        <v>0.0</v>
      </c>
    </row>
    <row r="203">
      <c r="A203" s="17" t="str">
        <f>IFERROR(__xludf.DUMMYFUNCTION("""COMPUTED_VALUE"""),"Felix Law Meng Hao")</f>
        <v>Felix Law Meng Hao</v>
      </c>
      <c r="B203" s="8" t="s">
        <v>471</v>
      </c>
      <c r="C203" s="4">
        <v>0.0</v>
      </c>
      <c r="D203" s="4">
        <v>0.0</v>
      </c>
      <c r="E203" s="4">
        <v>0.0</v>
      </c>
      <c r="F203" s="4">
        <v>0.0</v>
      </c>
      <c r="G203" s="4">
        <v>0.0</v>
      </c>
      <c r="H203" s="4">
        <v>0.0</v>
      </c>
      <c r="I203" s="4">
        <v>0.0</v>
      </c>
      <c r="J203" s="4">
        <v>0.0</v>
      </c>
      <c r="K203" s="4">
        <v>0.0</v>
      </c>
      <c r="L203" s="4">
        <v>0.0</v>
      </c>
      <c r="M203" s="4">
        <v>0.0</v>
      </c>
      <c r="N203" s="4">
        <v>0.0</v>
      </c>
    </row>
    <row r="204">
      <c r="A204" s="17" t="str">
        <f>IFERROR(__xludf.DUMMYFUNCTION("""COMPUTED_VALUE"""),"Daphne Chieng En Qing")</f>
        <v>Daphne Chieng En Qing</v>
      </c>
      <c r="B204" s="8" t="s">
        <v>471</v>
      </c>
      <c r="C204" s="4">
        <v>0.0</v>
      </c>
      <c r="D204" s="4">
        <v>0.0</v>
      </c>
      <c r="E204" s="4">
        <v>0.0</v>
      </c>
      <c r="F204" s="4">
        <v>0.0</v>
      </c>
      <c r="G204" s="4">
        <v>0.0</v>
      </c>
      <c r="H204" s="4">
        <v>0.0</v>
      </c>
      <c r="I204" s="4">
        <v>0.0</v>
      </c>
      <c r="J204" s="4">
        <v>0.0</v>
      </c>
      <c r="K204" s="4">
        <v>0.0</v>
      </c>
      <c r="L204" s="4">
        <v>0.0</v>
      </c>
      <c r="M204" s="4">
        <v>0.0</v>
      </c>
      <c r="N204" s="4">
        <v>0.0</v>
      </c>
    </row>
    <row r="205">
      <c r="A205" s="17" t="str">
        <f>IFERROR(__xludf.DUMMYFUNCTION("""COMPUTED_VALUE"""),"Iffia Thong Zhi Yuan")</f>
        <v>Iffia Thong Zhi Yuan</v>
      </c>
      <c r="B205" s="8" t="s">
        <v>471</v>
      </c>
      <c r="C205" s="4">
        <v>0.0</v>
      </c>
      <c r="D205" s="4">
        <v>0.0</v>
      </c>
      <c r="E205" s="4">
        <v>0.0</v>
      </c>
      <c r="F205" s="4">
        <v>0.0</v>
      </c>
      <c r="G205" s="4">
        <v>0.0</v>
      </c>
      <c r="H205" s="4">
        <v>0.0</v>
      </c>
      <c r="I205" s="4">
        <v>0.0</v>
      </c>
      <c r="J205" s="4">
        <v>0.0</v>
      </c>
      <c r="K205" s="4">
        <v>0.0</v>
      </c>
      <c r="L205" s="4">
        <v>0.0</v>
      </c>
      <c r="M205" s="4">
        <v>0.0</v>
      </c>
      <c r="N205" s="4">
        <v>0.0</v>
      </c>
    </row>
    <row r="206">
      <c r="A206" s="17" t="str">
        <f>IFERROR(__xludf.DUMMYFUNCTION("""COMPUTED_VALUE"""),"Gordon Choo Wen Xue")</f>
        <v>Gordon Choo Wen Xue</v>
      </c>
      <c r="B206" s="8" t="s">
        <v>471</v>
      </c>
      <c r="C206" s="4">
        <v>0.0</v>
      </c>
      <c r="D206" s="4">
        <v>0.0</v>
      </c>
      <c r="E206" s="4">
        <v>0.0</v>
      </c>
      <c r="F206" s="4">
        <v>0.0</v>
      </c>
      <c r="G206" s="4">
        <v>0.0</v>
      </c>
      <c r="H206" s="4">
        <v>0.0</v>
      </c>
      <c r="I206" s="4">
        <v>0.0</v>
      </c>
      <c r="J206" s="4">
        <v>0.0</v>
      </c>
      <c r="K206" s="4">
        <v>0.0</v>
      </c>
      <c r="L206" s="4">
        <v>0.0</v>
      </c>
      <c r="M206" s="4">
        <v>0.0</v>
      </c>
      <c r="N206" s="4">
        <v>0.0</v>
      </c>
    </row>
    <row r="207">
      <c r="A207" s="17" t="str">
        <f>IFERROR(__xludf.DUMMYFUNCTION("""COMPUTED_VALUE"""),"Leo Choo Jun Xue")</f>
        <v>Leo Choo Jun Xue</v>
      </c>
      <c r="B207" s="8" t="s">
        <v>471</v>
      </c>
      <c r="C207" s="4">
        <v>0.0</v>
      </c>
      <c r="D207" s="4">
        <v>0.0</v>
      </c>
      <c r="E207" s="4">
        <v>0.0</v>
      </c>
      <c r="F207" s="4">
        <v>0.0</v>
      </c>
      <c r="G207" s="4">
        <v>0.0</v>
      </c>
      <c r="H207" s="4">
        <v>0.0</v>
      </c>
      <c r="I207" s="4">
        <v>0.0</v>
      </c>
      <c r="J207" s="4">
        <v>0.0</v>
      </c>
      <c r="K207" s="4">
        <v>0.0</v>
      </c>
      <c r="L207" s="4">
        <v>0.0</v>
      </c>
      <c r="M207" s="4">
        <v>0.0</v>
      </c>
      <c r="N207" s="4">
        <v>0.0</v>
      </c>
    </row>
    <row r="208">
      <c r="A208" s="17" t="str">
        <f>IFERROR(__xludf.DUMMYFUNCTION("""COMPUTED_VALUE"""),"Aldrich Thong Qin Fu")</f>
        <v>Aldrich Thong Qin Fu</v>
      </c>
      <c r="B208" s="8" t="s">
        <v>471</v>
      </c>
      <c r="C208" s="4">
        <v>0.0</v>
      </c>
      <c r="D208" s="4">
        <v>0.0</v>
      </c>
      <c r="E208" s="4">
        <v>0.0</v>
      </c>
      <c r="F208" s="4">
        <v>0.0</v>
      </c>
      <c r="G208" s="4">
        <v>0.0</v>
      </c>
      <c r="H208" s="4">
        <v>0.0</v>
      </c>
      <c r="I208" s="4">
        <v>0.0</v>
      </c>
      <c r="J208" s="4">
        <v>0.0</v>
      </c>
      <c r="K208" s="4">
        <v>0.0</v>
      </c>
      <c r="L208" s="4">
        <v>0.0</v>
      </c>
      <c r="M208" s="4">
        <v>0.0</v>
      </c>
      <c r="N208" s="4">
        <v>0.0</v>
      </c>
    </row>
    <row r="209">
      <c r="A209" s="17" t="str">
        <f>IFERROR(__xludf.DUMMYFUNCTION("""COMPUTED_VALUE"""),"Inez Teng Zi Ning")</f>
        <v>Inez Teng Zi Ning</v>
      </c>
      <c r="B209" s="8" t="s">
        <v>471</v>
      </c>
      <c r="C209" s="4">
        <v>0.0</v>
      </c>
      <c r="D209" s="4">
        <v>0.0</v>
      </c>
      <c r="E209" s="4">
        <v>0.0</v>
      </c>
      <c r="F209" s="4">
        <v>0.0</v>
      </c>
      <c r="G209" s="4">
        <v>0.0</v>
      </c>
      <c r="H209" s="4">
        <v>0.0</v>
      </c>
      <c r="I209" s="4">
        <v>0.0</v>
      </c>
      <c r="J209" s="4">
        <v>0.0</v>
      </c>
      <c r="K209" s="4">
        <v>0.0</v>
      </c>
      <c r="L209" s="4">
        <v>0.0</v>
      </c>
      <c r="M209" s="4">
        <v>0.0</v>
      </c>
      <c r="N209" s="4">
        <v>0.0</v>
      </c>
    </row>
    <row r="210">
      <c r="A210" s="17" t="str">
        <f>IFERROR(__xludf.DUMMYFUNCTION("""COMPUTED_VALUE"""),"Isabel Lim Xin Lin")</f>
        <v>Isabel Lim Xin Lin</v>
      </c>
      <c r="B210" s="8" t="s">
        <v>471</v>
      </c>
      <c r="C210" s="4">
        <v>0.0</v>
      </c>
      <c r="D210" s="4">
        <v>0.0</v>
      </c>
      <c r="E210" s="4">
        <v>0.0</v>
      </c>
      <c r="F210" s="4">
        <v>0.0</v>
      </c>
      <c r="G210" s="4">
        <v>0.0</v>
      </c>
      <c r="H210" s="4">
        <v>0.0</v>
      </c>
      <c r="I210" s="4">
        <v>0.0</v>
      </c>
      <c r="J210" s="4">
        <v>0.0</v>
      </c>
      <c r="K210" s="4">
        <v>0.0</v>
      </c>
      <c r="L210" s="4">
        <v>0.0</v>
      </c>
      <c r="M210" s="4">
        <v>0.0</v>
      </c>
      <c r="N210" s="4">
        <v>0.0</v>
      </c>
    </row>
    <row r="211">
      <c r="A211" s="17" t="str">
        <f>IFERROR(__xludf.DUMMYFUNCTION("""COMPUTED_VALUE"""),"Rose Wong Xin Huey")</f>
        <v>Rose Wong Xin Huey</v>
      </c>
      <c r="B211" s="8" t="s">
        <v>471</v>
      </c>
      <c r="C211" s="4">
        <v>0.0</v>
      </c>
      <c r="D211" s="4">
        <v>0.0</v>
      </c>
      <c r="E211" s="4">
        <v>0.0</v>
      </c>
      <c r="F211" s="4">
        <v>0.0</v>
      </c>
      <c r="G211" s="4">
        <v>0.0</v>
      </c>
      <c r="H211" s="4">
        <v>0.0</v>
      </c>
      <c r="I211" s="4">
        <v>0.0</v>
      </c>
      <c r="J211" s="4">
        <v>0.0</v>
      </c>
      <c r="K211" s="4">
        <v>0.0</v>
      </c>
      <c r="L211" s="4">
        <v>0.0</v>
      </c>
      <c r="M211" s="4">
        <v>0.0</v>
      </c>
      <c r="N211" s="4">
        <v>0.0</v>
      </c>
    </row>
    <row r="212">
      <c r="A212" s="17" t="str">
        <f>IFERROR(__xludf.DUMMYFUNCTION("""COMPUTED_VALUE"""),"Jayvis Kueh Xu Kiet")</f>
        <v>Jayvis Kueh Xu Kiet</v>
      </c>
      <c r="B212" s="8" t="s">
        <v>471</v>
      </c>
      <c r="C212" s="4">
        <v>0.0</v>
      </c>
      <c r="D212" s="4">
        <v>0.0</v>
      </c>
      <c r="E212" s="4">
        <v>0.0</v>
      </c>
      <c r="F212" s="4">
        <v>0.0</v>
      </c>
      <c r="G212" s="4">
        <v>0.0</v>
      </c>
      <c r="H212" s="4">
        <v>0.0</v>
      </c>
      <c r="I212" s="4">
        <v>0.0</v>
      </c>
      <c r="J212" s="4">
        <v>0.0</v>
      </c>
      <c r="K212" s="4">
        <v>0.0</v>
      </c>
      <c r="L212" s="4">
        <v>0.0</v>
      </c>
      <c r="M212" s="4">
        <v>0.0</v>
      </c>
      <c r="N212" s="4">
        <v>0.0</v>
      </c>
    </row>
    <row r="213">
      <c r="A213" s="17" t="str">
        <f>IFERROR(__xludf.DUMMYFUNCTION("""COMPUTED_VALUE"""),"Amy Ting Rou Jun")</f>
        <v>Amy Ting Rou Jun</v>
      </c>
      <c r="B213" s="8" t="s">
        <v>512</v>
      </c>
      <c r="C213" s="4">
        <v>0.0</v>
      </c>
      <c r="D213" s="4">
        <v>0.0</v>
      </c>
      <c r="E213" s="4">
        <v>0.0</v>
      </c>
      <c r="F213" s="4">
        <v>0.0</v>
      </c>
      <c r="G213" s="4">
        <v>0.0</v>
      </c>
      <c r="H213" s="4">
        <v>0.0</v>
      </c>
      <c r="I213" s="4">
        <v>0.0</v>
      </c>
      <c r="J213" s="4">
        <v>0.0</v>
      </c>
      <c r="K213" s="4">
        <v>0.0</v>
      </c>
      <c r="L213" s="4">
        <v>0.0</v>
      </c>
      <c r="M213" s="4">
        <v>0.0</v>
      </c>
      <c r="N213" s="4">
        <v>0.0</v>
      </c>
    </row>
    <row r="214">
      <c r="A214" s="17" t="str">
        <f>IFERROR(__xludf.DUMMYFUNCTION("""COMPUTED_VALUE"""),"Fiona Ting Si Ying")</f>
        <v>Fiona Ting Si Ying</v>
      </c>
      <c r="B214" s="8" t="s">
        <v>512</v>
      </c>
      <c r="C214" s="4">
        <v>0.0</v>
      </c>
      <c r="D214" s="4">
        <v>0.0</v>
      </c>
      <c r="E214" s="4">
        <v>0.0</v>
      </c>
      <c r="F214" s="4">
        <v>0.0</v>
      </c>
      <c r="G214" s="4">
        <v>0.0</v>
      </c>
      <c r="H214" s="4">
        <v>0.0</v>
      </c>
      <c r="I214" s="4">
        <v>0.0</v>
      </c>
      <c r="J214" s="4">
        <v>0.0</v>
      </c>
      <c r="K214" s="4">
        <v>0.0</v>
      </c>
      <c r="L214" s="4">
        <v>0.0</v>
      </c>
      <c r="M214" s="4">
        <v>0.0</v>
      </c>
      <c r="N214" s="4">
        <v>0.0</v>
      </c>
    </row>
    <row r="215">
      <c r="A215" s="17" t="str">
        <f>IFERROR(__xludf.DUMMYFUNCTION("""COMPUTED_VALUE"""),"Nathan Ling Zhen Hong")</f>
        <v>Nathan Ling Zhen Hong</v>
      </c>
      <c r="B215" s="8" t="s">
        <v>512</v>
      </c>
      <c r="C215" s="4">
        <v>0.0</v>
      </c>
      <c r="D215" s="4">
        <v>0.0</v>
      </c>
      <c r="E215" s="4">
        <v>0.0</v>
      </c>
      <c r="F215" s="4">
        <v>0.0</v>
      </c>
      <c r="G215" s="4">
        <v>0.0</v>
      </c>
      <c r="H215" s="4">
        <v>0.0</v>
      </c>
      <c r="I215" s="4">
        <v>0.0</v>
      </c>
      <c r="J215" s="4">
        <v>0.0</v>
      </c>
      <c r="K215" s="4">
        <v>0.0</v>
      </c>
      <c r="L215" s="4">
        <v>0.0</v>
      </c>
      <c r="M215" s="4">
        <v>0.0</v>
      </c>
      <c r="N215" s="4">
        <v>0.0</v>
      </c>
    </row>
    <row r="216">
      <c r="A216" s="17" t="str">
        <f>IFERROR(__xludf.DUMMYFUNCTION("""COMPUTED_VALUE"""),"Sheldon Ling Zhen Jun")</f>
        <v>Sheldon Ling Zhen Jun</v>
      </c>
      <c r="B216" s="8" t="s">
        <v>512</v>
      </c>
      <c r="C216" s="4">
        <v>0.0</v>
      </c>
      <c r="D216" s="4">
        <v>0.0</v>
      </c>
      <c r="E216" s="4">
        <v>0.0</v>
      </c>
      <c r="F216" s="4">
        <v>0.0</v>
      </c>
      <c r="G216" s="4">
        <v>0.0</v>
      </c>
      <c r="H216" s="4">
        <v>0.0</v>
      </c>
      <c r="I216" s="4">
        <v>0.0</v>
      </c>
      <c r="J216" s="4">
        <v>0.0</v>
      </c>
      <c r="K216" s="4">
        <v>0.0</v>
      </c>
      <c r="L216" s="4">
        <v>0.0</v>
      </c>
      <c r="M216" s="4">
        <v>0.0</v>
      </c>
      <c r="N216" s="4">
        <v>0.0</v>
      </c>
    </row>
    <row r="217">
      <c r="A217" s="17" t="str">
        <f>IFERROR(__xludf.DUMMYFUNCTION("""COMPUTED_VALUE"""),"Samuel Chu Yang Yi")</f>
        <v>Samuel Chu Yang Yi</v>
      </c>
      <c r="B217" s="8" t="s">
        <v>512</v>
      </c>
      <c r="C217" s="4">
        <v>0.0</v>
      </c>
      <c r="D217" s="4">
        <v>0.0</v>
      </c>
      <c r="E217" s="4">
        <v>0.0</v>
      </c>
      <c r="F217" s="4">
        <v>0.0</v>
      </c>
      <c r="G217" s="4">
        <v>0.0</v>
      </c>
      <c r="H217" s="4">
        <v>0.0</v>
      </c>
      <c r="I217" s="4">
        <v>0.0</v>
      </c>
      <c r="J217" s="4">
        <v>0.0</v>
      </c>
      <c r="K217" s="4">
        <v>0.0</v>
      </c>
      <c r="L217" s="4">
        <v>0.0</v>
      </c>
      <c r="M217" s="4">
        <v>0.0</v>
      </c>
      <c r="N217" s="4">
        <v>0.0</v>
      </c>
    </row>
    <row r="218">
      <c r="A218" s="17" t="str">
        <f>IFERROR(__xludf.DUMMYFUNCTION("""COMPUTED_VALUE"""),"Neon Hii")</f>
        <v>Neon Hii</v>
      </c>
      <c r="B218" s="8" t="s">
        <v>512</v>
      </c>
      <c r="C218" s="4">
        <v>0.0</v>
      </c>
      <c r="D218" s="4">
        <v>0.0</v>
      </c>
      <c r="E218" s="4">
        <v>0.0</v>
      </c>
      <c r="F218" s="4">
        <v>0.0</v>
      </c>
      <c r="G218" s="4">
        <v>0.0</v>
      </c>
      <c r="H218" s="4">
        <v>0.0</v>
      </c>
      <c r="I218" s="4">
        <v>0.0</v>
      </c>
      <c r="J218" s="4">
        <v>0.0</v>
      </c>
      <c r="K218" s="4">
        <v>0.0</v>
      </c>
      <c r="L218" s="4">
        <v>0.0</v>
      </c>
      <c r="M218" s="4">
        <v>0.0</v>
      </c>
      <c r="N218" s="4">
        <v>0.0</v>
      </c>
    </row>
    <row r="219">
      <c r="A219" s="17" t="str">
        <f>IFERROR(__xludf.DUMMYFUNCTION("""COMPUTED_VALUE"""),"Eunice Tang Zhi Qian")</f>
        <v>Eunice Tang Zhi Qian</v>
      </c>
      <c r="B219" s="8" t="s">
        <v>512</v>
      </c>
      <c r="C219" s="4">
        <v>0.0</v>
      </c>
      <c r="D219" s="4">
        <v>0.0</v>
      </c>
      <c r="E219" s="4">
        <v>0.0</v>
      </c>
      <c r="F219" s="4">
        <v>0.0</v>
      </c>
      <c r="G219" s="4">
        <v>0.0</v>
      </c>
      <c r="H219" s="4">
        <v>0.0</v>
      </c>
      <c r="I219" s="4">
        <v>0.0</v>
      </c>
      <c r="J219" s="4">
        <v>0.0</v>
      </c>
      <c r="K219" s="4">
        <v>0.0</v>
      </c>
      <c r="L219" s="4">
        <v>0.0</v>
      </c>
      <c r="M219" s="4">
        <v>0.0</v>
      </c>
      <c r="N219" s="4">
        <v>0.0</v>
      </c>
    </row>
    <row r="220">
      <c r="A220" s="17" t="str">
        <f>IFERROR(__xludf.DUMMYFUNCTION("""COMPUTED_VALUE"""),"Aiden Yii Tiew Xu")</f>
        <v>Aiden Yii Tiew Xu</v>
      </c>
      <c r="B220" s="8" t="s">
        <v>512</v>
      </c>
      <c r="C220" s="4">
        <v>0.0</v>
      </c>
      <c r="D220" s="4">
        <v>0.0</v>
      </c>
      <c r="E220" s="4">
        <v>0.0</v>
      </c>
      <c r="F220" s="4">
        <v>0.0</v>
      </c>
      <c r="G220" s="4">
        <v>0.0</v>
      </c>
      <c r="H220" s="4">
        <v>0.0</v>
      </c>
      <c r="I220" s="4">
        <v>0.0</v>
      </c>
      <c r="J220" s="4">
        <v>0.0</v>
      </c>
      <c r="K220" s="4">
        <v>0.0</v>
      </c>
      <c r="L220" s="4">
        <v>0.0</v>
      </c>
      <c r="M220" s="4">
        <v>0.0</v>
      </c>
      <c r="N220" s="4">
        <v>0.0</v>
      </c>
    </row>
    <row r="221">
      <c r="A221" s="17" t="str">
        <f>IFERROR(__xludf.DUMMYFUNCTION("""COMPUTED_VALUE"""),"Ho Yu Chen")</f>
        <v>Ho Yu Chen</v>
      </c>
      <c r="B221" s="8" t="s">
        <v>512</v>
      </c>
      <c r="C221" s="4">
        <v>0.0</v>
      </c>
      <c r="D221" s="4">
        <v>0.0</v>
      </c>
      <c r="E221" s="4">
        <v>0.0</v>
      </c>
      <c r="F221" s="4">
        <v>0.0</v>
      </c>
      <c r="G221" s="4">
        <v>0.0</v>
      </c>
      <c r="H221" s="4">
        <v>0.0</v>
      </c>
      <c r="I221" s="4">
        <v>0.0</v>
      </c>
      <c r="J221" s="4">
        <v>0.0</v>
      </c>
      <c r="K221" s="4">
        <v>0.0</v>
      </c>
      <c r="L221" s="4">
        <v>0.0</v>
      </c>
      <c r="M221" s="4">
        <v>0.0</v>
      </c>
      <c r="N221" s="4">
        <v>0.0</v>
      </c>
    </row>
    <row r="222">
      <c r="A222" s="17" t="str">
        <f>IFERROR(__xludf.DUMMYFUNCTION("""COMPUTED_VALUE"""),"Ho Yu Han")</f>
        <v>Ho Yu Han</v>
      </c>
      <c r="B222" s="8" t="s">
        <v>512</v>
      </c>
      <c r="C222" s="4">
        <v>0.0</v>
      </c>
      <c r="D222" s="4">
        <v>0.0</v>
      </c>
      <c r="E222" s="4">
        <v>0.0</v>
      </c>
      <c r="F222" s="4">
        <v>0.0</v>
      </c>
      <c r="G222" s="4">
        <v>0.0</v>
      </c>
      <c r="H222" s="4">
        <v>0.0</v>
      </c>
      <c r="I222" s="4">
        <v>0.0</v>
      </c>
      <c r="J222" s="4">
        <v>0.0</v>
      </c>
      <c r="K222" s="4">
        <v>0.0</v>
      </c>
      <c r="L222" s="4">
        <v>0.0</v>
      </c>
      <c r="M222" s="4">
        <v>0.0</v>
      </c>
      <c r="N222" s="4">
        <v>0.0</v>
      </c>
    </row>
    <row r="223">
      <c r="A223" s="17" t="str">
        <f>IFERROR(__xludf.DUMMYFUNCTION("""COMPUTED_VALUE"""),"Lucas ting zheng rui")</f>
        <v>Lucas ting zheng rui</v>
      </c>
      <c r="B223" s="8" t="s">
        <v>512</v>
      </c>
      <c r="C223" s="4">
        <v>0.0</v>
      </c>
      <c r="D223" s="4">
        <v>0.0</v>
      </c>
      <c r="E223" s="4">
        <v>0.0</v>
      </c>
      <c r="F223" s="4">
        <v>0.0</v>
      </c>
      <c r="G223" s="4">
        <v>0.0</v>
      </c>
      <c r="H223" s="4">
        <v>0.0</v>
      </c>
      <c r="I223" s="4">
        <v>0.0</v>
      </c>
      <c r="J223" s="4">
        <v>0.0</v>
      </c>
      <c r="K223" s="4">
        <v>0.0</v>
      </c>
      <c r="L223" s="4">
        <v>0.0</v>
      </c>
      <c r="M223" s="4">
        <v>0.0</v>
      </c>
      <c r="N223" s="4">
        <v>0.0</v>
      </c>
    </row>
    <row r="224">
      <c r="A224" s="17" t="str">
        <f>IFERROR(__xludf.DUMMYFUNCTION("""COMPUTED_VALUE"""),"Owen Ting Chong Ung")</f>
        <v>Owen Ting Chong Ung</v>
      </c>
      <c r="B224" s="8" t="s">
        <v>512</v>
      </c>
      <c r="C224" s="4">
        <v>0.0</v>
      </c>
      <c r="D224" s="4">
        <v>0.0</v>
      </c>
      <c r="E224" s="4">
        <v>0.0</v>
      </c>
      <c r="F224" s="4">
        <v>0.0</v>
      </c>
      <c r="G224" s="4">
        <v>0.0</v>
      </c>
      <c r="H224" s="4">
        <v>0.0</v>
      </c>
      <c r="I224" s="4">
        <v>0.0</v>
      </c>
      <c r="J224" s="4">
        <v>0.0</v>
      </c>
      <c r="K224" s="4">
        <v>0.0</v>
      </c>
      <c r="L224" s="4">
        <v>0.0</v>
      </c>
      <c r="M224" s="4">
        <v>0.0</v>
      </c>
      <c r="N224" s="4">
        <v>0.0</v>
      </c>
    </row>
    <row r="225">
      <c r="A225" s="17" t="str">
        <f>IFERROR(__xludf.DUMMYFUNCTION("""COMPUTED_VALUE"""),"Abby Wong Lew Xuen")</f>
        <v>Abby Wong Lew Xuen</v>
      </c>
      <c r="B225" s="8" t="s">
        <v>512</v>
      </c>
      <c r="C225" s="4">
        <v>0.0</v>
      </c>
      <c r="D225" s="4">
        <v>0.0</v>
      </c>
      <c r="E225" s="4">
        <v>0.0</v>
      </c>
      <c r="F225" s="4">
        <v>0.0</v>
      </c>
      <c r="G225" s="4">
        <v>0.0</v>
      </c>
      <c r="H225" s="4">
        <v>0.0</v>
      </c>
      <c r="I225" s="4">
        <v>0.0</v>
      </c>
      <c r="J225" s="4">
        <v>0.0</v>
      </c>
      <c r="K225" s="4">
        <v>0.0</v>
      </c>
      <c r="L225" s="4">
        <v>0.0</v>
      </c>
      <c r="M225" s="4">
        <v>0.0</v>
      </c>
      <c r="N225" s="4">
        <v>0.0</v>
      </c>
    </row>
    <row r="226">
      <c r="A226" s="17" t="str">
        <f>IFERROR(__xludf.DUMMYFUNCTION("""COMPUTED_VALUE"""),"Charis Kong En Xi ")</f>
        <v>Charis Kong En Xi </v>
      </c>
      <c r="B226" s="8" t="s">
        <v>512</v>
      </c>
      <c r="C226" s="4">
        <v>0.0</v>
      </c>
      <c r="D226" s="4">
        <v>0.0</v>
      </c>
      <c r="E226" s="4">
        <v>0.0</v>
      </c>
      <c r="F226" s="4">
        <v>0.0</v>
      </c>
      <c r="G226" s="4">
        <v>0.0</v>
      </c>
      <c r="H226" s="4">
        <v>0.0</v>
      </c>
      <c r="I226" s="4">
        <v>0.0</v>
      </c>
      <c r="J226" s="4">
        <v>0.0</v>
      </c>
      <c r="K226" s="4">
        <v>0.0</v>
      </c>
      <c r="L226" s="4">
        <v>0.0</v>
      </c>
      <c r="M226" s="4">
        <v>0.0</v>
      </c>
      <c r="N226" s="4">
        <v>0.0</v>
      </c>
    </row>
    <row r="227">
      <c r="A227" s="17" t="str">
        <f>IFERROR(__xludf.DUMMYFUNCTION("""COMPUTED_VALUE"""),"Triston Ting Guan Zhang")</f>
        <v>Triston Ting Guan Zhang</v>
      </c>
      <c r="B227" s="8" t="s">
        <v>512</v>
      </c>
      <c r="C227" s="4">
        <v>0.0</v>
      </c>
      <c r="D227" s="4">
        <v>0.0</v>
      </c>
      <c r="E227" s="4">
        <v>0.0</v>
      </c>
      <c r="F227" s="4">
        <v>0.0</v>
      </c>
      <c r="G227" s="4">
        <v>0.0</v>
      </c>
      <c r="H227" s="4">
        <v>0.0</v>
      </c>
      <c r="I227" s="4">
        <v>0.0</v>
      </c>
      <c r="J227" s="4">
        <v>0.0</v>
      </c>
      <c r="K227" s="4">
        <v>0.0</v>
      </c>
      <c r="L227" s="4">
        <v>0.0</v>
      </c>
      <c r="M227" s="4">
        <v>0.0</v>
      </c>
      <c r="N227" s="4">
        <v>0.0</v>
      </c>
    </row>
    <row r="228">
      <c r="A228" s="17" t="str">
        <f>IFERROR(__xludf.DUMMYFUNCTION("""COMPUTED_VALUE"""),"Sofea Alyna")</f>
        <v>Sofea Alyna</v>
      </c>
      <c r="B228" s="8" t="s">
        <v>540</v>
      </c>
      <c r="C228" s="4">
        <v>0.0</v>
      </c>
      <c r="D228" s="4">
        <v>0.0</v>
      </c>
      <c r="E228" s="4">
        <v>0.0</v>
      </c>
      <c r="F228" s="4">
        <v>0.0</v>
      </c>
      <c r="G228" s="4">
        <v>0.0</v>
      </c>
      <c r="H228" s="4">
        <v>0.0</v>
      </c>
      <c r="I228" s="4">
        <v>0.0</v>
      </c>
      <c r="J228" s="4">
        <v>0.0</v>
      </c>
      <c r="K228" s="4">
        <v>0.0</v>
      </c>
      <c r="L228" s="4">
        <v>0.0</v>
      </c>
      <c r="M228" s="4">
        <v>0.0</v>
      </c>
      <c r="N228" s="4">
        <v>0.0</v>
      </c>
    </row>
    <row r="229">
      <c r="A229" s="17" t="str">
        <f>IFERROR(__xludf.DUMMYFUNCTION("""COMPUTED_VALUE"""),"Jayden Pang Zhen Xiang")</f>
        <v>Jayden Pang Zhen Xiang</v>
      </c>
      <c r="B229" s="8" t="s">
        <v>540</v>
      </c>
      <c r="C229" s="4">
        <v>0.0</v>
      </c>
      <c r="D229" s="4">
        <v>0.0</v>
      </c>
      <c r="E229" s="4">
        <v>0.0</v>
      </c>
      <c r="F229" s="4">
        <v>0.0</v>
      </c>
      <c r="G229" s="4">
        <v>0.0</v>
      </c>
      <c r="H229" s="4">
        <v>0.0</v>
      </c>
      <c r="I229" s="4">
        <v>0.0</v>
      </c>
      <c r="J229" s="4">
        <v>0.0</v>
      </c>
      <c r="K229" s="4">
        <v>0.0</v>
      </c>
      <c r="L229" s="4">
        <v>0.0</v>
      </c>
      <c r="M229" s="4">
        <v>0.0</v>
      </c>
      <c r="N229" s="4">
        <v>0.0</v>
      </c>
    </row>
    <row r="230">
      <c r="A230" s="17" t="str">
        <f>IFERROR(__xludf.DUMMYFUNCTION("""COMPUTED_VALUE"""),"Ryan Hung")</f>
        <v>Ryan Hung</v>
      </c>
      <c r="B230" s="8" t="s">
        <v>540</v>
      </c>
      <c r="C230" s="4">
        <v>0.0</v>
      </c>
      <c r="D230" s="4">
        <v>0.0</v>
      </c>
      <c r="E230" s="4">
        <v>0.0</v>
      </c>
      <c r="F230" s="4">
        <v>0.0</v>
      </c>
      <c r="G230" s="4">
        <v>0.0</v>
      </c>
      <c r="H230" s="4">
        <v>0.0</v>
      </c>
      <c r="I230" s="4">
        <v>0.0</v>
      </c>
      <c r="J230" s="4">
        <v>0.0</v>
      </c>
      <c r="K230" s="4">
        <v>0.0</v>
      </c>
      <c r="L230" s="4">
        <v>0.0</v>
      </c>
      <c r="M230" s="4">
        <v>0.0</v>
      </c>
      <c r="N230" s="4">
        <v>0.0</v>
      </c>
    </row>
    <row r="231">
      <c r="B231" s="8" t="s">
        <v>742</v>
      </c>
      <c r="C231" s="4" t="s">
        <v>742</v>
      </c>
      <c r="D231" s="4" t="s">
        <v>742</v>
      </c>
      <c r="E231" s="4" t="s">
        <v>742</v>
      </c>
      <c r="F231" s="4" t="s">
        <v>742</v>
      </c>
      <c r="G231" s="4" t="s">
        <v>742</v>
      </c>
      <c r="H231" s="4" t="s">
        <v>742</v>
      </c>
      <c r="I231" s="4" t="s">
        <v>742</v>
      </c>
      <c r="J231" s="4" t="s">
        <v>742</v>
      </c>
      <c r="K231" s="4" t="s">
        <v>742</v>
      </c>
      <c r="L231" s="4" t="s">
        <v>742</v>
      </c>
      <c r="M231" s="4" t="s">
        <v>742</v>
      </c>
      <c r="N231" s="4" t="s">
        <v>742</v>
      </c>
    </row>
    <row r="232">
      <c r="B232" s="8" t="s">
        <v>742</v>
      </c>
      <c r="C232" s="4" t="s">
        <v>742</v>
      </c>
      <c r="D232" s="4" t="s">
        <v>742</v>
      </c>
      <c r="E232" s="4" t="s">
        <v>742</v>
      </c>
      <c r="F232" s="4" t="s">
        <v>742</v>
      </c>
      <c r="G232" s="4" t="s">
        <v>742</v>
      </c>
      <c r="H232" s="4" t="s">
        <v>742</v>
      </c>
      <c r="I232" s="4" t="s">
        <v>742</v>
      </c>
      <c r="J232" s="4" t="s">
        <v>742</v>
      </c>
      <c r="K232" s="4" t="s">
        <v>742</v>
      </c>
      <c r="L232" s="4" t="s">
        <v>742</v>
      </c>
      <c r="M232" s="4" t="s">
        <v>742</v>
      </c>
      <c r="N232" s="4" t="s">
        <v>742</v>
      </c>
    </row>
    <row r="233">
      <c r="B233" s="8" t="s">
        <v>742</v>
      </c>
      <c r="C233" s="4" t="s">
        <v>742</v>
      </c>
      <c r="D233" s="4" t="s">
        <v>742</v>
      </c>
      <c r="E233" s="4" t="s">
        <v>742</v>
      </c>
      <c r="F233" s="4" t="s">
        <v>742</v>
      </c>
      <c r="G233" s="4" t="s">
        <v>742</v>
      </c>
      <c r="H233" s="4" t="s">
        <v>742</v>
      </c>
      <c r="I233" s="4" t="s">
        <v>742</v>
      </c>
      <c r="J233" s="4" t="s">
        <v>742</v>
      </c>
      <c r="K233" s="4" t="s">
        <v>742</v>
      </c>
      <c r="L233" s="4" t="s">
        <v>742</v>
      </c>
      <c r="M233" s="4" t="s">
        <v>742</v>
      </c>
      <c r="N233" s="4" t="s">
        <v>742</v>
      </c>
    </row>
    <row r="234">
      <c r="B234" s="8" t="s">
        <v>742</v>
      </c>
      <c r="C234" s="4" t="s">
        <v>742</v>
      </c>
      <c r="D234" s="4" t="s">
        <v>742</v>
      </c>
      <c r="E234" s="4" t="s">
        <v>742</v>
      </c>
      <c r="F234" s="4" t="s">
        <v>742</v>
      </c>
      <c r="G234" s="4" t="s">
        <v>742</v>
      </c>
      <c r="H234" s="4" t="s">
        <v>742</v>
      </c>
      <c r="I234" s="4" t="s">
        <v>742</v>
      </c>
      <c r="J234" s="4" t="s">
        <v>742</v>
      </c>
      <c r="K234" s="4" t="s">
        <v>742</v>
      </c>
      <c r="L234" s="4" t="s">
        <v>742</v>
      </c>
      <c r="M234" s="4" t="s">
        <v>742</v>
      </c>
      <c r="N234" s="4" t="s">
        <v>742</v>
      </c>
    </row>
    <row r="235">
      <c r="B235" s="8" t="s">
        <v>742</v>
      </c>
      <c r="C235" s="4" t="s">
        <v>742</v>
      </c>
      <c r="D235" s="4" t="s">
        <v>742</v>
      </c>
      <c r="E235" s="4" t="s">
        <v>742</v>
      </c>
      <c r="F235" s="4" t="s">
        <v>742</v>
      </c>
      <c r="G235" s="4" t="s">
        <v>742</v>
      </c>
      <c r="H235" s="4" t="s">
        <v>742</v>
      </c>
      <c r="I235" s="4" t="s">
        <v>742</v>
      </c>
      <c r="J235" s="4" t="s">
        <v>742</v>
      </c>
      <c r="K235" s="4" t="s">
        <v>742</v>
      </c>
      <c r="L235" s="4" t="s">
        <v>742</v>
      </c>
      <c r="M235" s="4" t="s">
        <v>742</v>
      </c>
      <c r="N235" s="4" t="s">
        <v>742</v>
      </c>
    </row>
    <row r="236">
      <c r="B236" s="8" t="s">
        <v>742</v>
      </c>
      <c r="C236" s="4" t="s">
        <v>742</v>
      </c>
      <c r="D236" s="4" t="s">
        <v>742</v>
      </c>
      <c r="E236" s="4" t="s">
        <v>742</v>
      </c>
      <c r="F236" s="4" t="s">
        <v>742</v>
      </c>
      <c r="G236" s="4" t="s">
        <v>742</v>
      </c>
      <c r="H236" s="4" t="s">
        <v>742</v>
      </c>
      <c r="I236" s="4" t="s">
        <v>742</v>
      </c>
      <c r="J236" s="4" t="s">
        <v>742</v>
      </c>
      <c r="K236" s="4" t="s">
        <v>742</v>
      </c>
      <c r="L236" s="4" t="s">
        <v>742</v>
      </c>
      <c r="M236" s="4" t="s">
        <v>742</v>
      </c>
      <c r="N236" s="4" t="s">
        <v>742</v>
      </c>
    </row>
    <row r="237">
      <c r="B237" s="8" t="s">
        <v>742</v>
      </c>
      <c r="C237" s="4" t="s">
        <v>742</v>
      </c>
      <c r="D237" s="4" t="s">
        <v>742</v>
      </c>
      <c r="E237" s="4" t="s">
        <v>742</v>
      </c>
      <c r="F237" s="4" t="s">
        <v>742</v>
      </c>
      <c r="G237" s="4" t="s">
        <v>742</v>
      </c>
      <c r="H237" s="4" t="s">
        <v>742</v>
      </c>
      <c r="I237" s="4" t="s">
        <v>742</v>
      </c>
      <c r="J237" s="4" t="s">
        <v>742</v>
      </c>
      <c r="K237" s="4" t="s">
        <v>742</v>
      </c>
      <c r="L237" s="4" t="s">
        <v>742</v>
      </c>
      <c r="M237" s="4" t="s">
        <v>742</v>
      </c>
      <c r="N237" s="4" t="s">
        <v>742</v>
      </c>
    </row>
    <row r="238">
      <c r="B238" s="8" t="s">
        <v>742</v>
      </c>
      <c r="C238" s="4" t="s">
        <v>742</v>
      </c>
      <c r="D238" s="4" t="s">
        <v>742</v>
      </c>
      <c r="E238" s="4" t="s">
        <v>742</v>
      </c>
      <c r="F238" s="4" t="s">
        <v>742</v>
      </c>
      <c r="G238" s="4" t="s">
        <v>742</v>
      </c>
      <c r="H238" s="4" t="s">
        <v>742</v>
      </c>
      <c r="I238" s="4" t="s">
        <v>742</v>
      </c>
      <c r="J238" s="4" t="s">
        <v>742</v>
      </c>
      <c r="K238" s="4" t="s">
        <v>742</v>
      </c>
      <c r="L238" s="4" t="s">
        <v>742</v>
      </c>
      <c r="M238" s="4" t="s">
        <v>742</v>
      </c>
      <c r="N238" s="4" t="s">
        <v>742</v>
      </c>
    </row>
    <row r="239">
      <c r="B239" s="8" t="s">
        <v>742</v>
      </c>
      <c r="C239" s="4" t="s">
        <v>742</v>
      </c>
      <c r="D239" s="4" t="s">
        <v>742</v>
      </c>
      <c r="E239" s="4" t="s">
        <v>742</v>
      </c>
      <c r="F239" s="4" t="s">
        <v>742</v>
      </c>
      <c r="G239" s="4" t="s">
        <v>742</v>
      </c>
      <c r="H239" s="4" t="s">
        <v>742</v>
      </c>
      <c r="I239" s="4" t="s">
        <v>742</v>
      </c>
      <c r="J239" s="4" t="s">
        <v>742</v>
      </c>
      <c r="K239" s="4" t="s">
        <v>742</v>
      </c>
      <c r="L239" s="4" t="s">
        <v>742</v>
      </c>
      <c r="M239" s="4" t="s">
        <v>742</v>
      </c>
      <c r="N239" s="4" t="s">
        <v>742</v>
      </c>
    </row>
    <row r="240">
      <c r="B240" s="8" t="s">
        <v>742</v>
      </c>
      <c r="C240" s="4" t="s">
        <v>742</v>
      </c>
      <c r="D240" s="4" t="s">
        <v>742</v>
      </c>
      <c r="E240" s="4" t="s">
        <v>742</v>
      </c>
      <c r="F240" s="4" t="s">
        <v>742</v>
      </c>
      <c r="G240" s="4" t="s">
        <v>742</v>
      </c>
      <c r="H240" s="4" t="s">
        <v>742</v>
      </c>
      <c r="I240" s="4" t="s">
        <v>742</v>
      </c>
      <c r="J240" s="4" t="s">
        <v>742</v>
      </c>
      <c r="K240" s="4" t="s">
        <v>742</v>
      </c>
      <c r="L240" s="4" t="s">
        <v>742</v>
      </c>
      <c r="M240" s="4" t="s">
        <v>742</v>
      </c>
      <c r="N240" s="4" t="s">
        <v>742</v>
      </c>
    </row>
    <row r="241">
      <c r="B241" s="8" t="s">
        <v>742</v>
      </c>
      <c r="C241" s="4" t="s">
        <v>742</v>
      </c>
      <c r="D241" s="4" t="s">
        <v>742</v>
      </c>
      <c r="E241" s="4" t="s">
        <v>742</v>
      </c>
      <c r="F241" s="4" t="s">
        <v>742</v>
      </c>
      <c r="G241" s="4" t="s">
        <v>742</v>
      </c>
      <c r="H241" s="4" t="s">
        <v>742</v>
      </c>
      <c r="I241" s="4" t="s">
        <v>742</v>
      </c>
      <c r="J241" s="4" t="s">
        <v>742</v>
      </c>
      <c r="K241" s="4" t="s">
        <v>742</v>
      </c>
      <c r="L241" s="4" t="s">
        <v>742</v>
      </c>
      <c r="M241" s="4" t="s">
        <v>742</v>
      </c>
      <c r="N241" s="4" t="s">
        <v>742</v>
      </c>
    </row>
    <row r="242">
      <c r="B242" s="8" t="s">
        <v>742</v>
      </c>
      <c r="C242" s="4" t="s">
        <v>742</v>
      </c>
      <c r="D242" s="4" t="s">
        <v>742</v>
      </c>
      <c r="E242" s="4" t="s">
        <v>742</v>
      </c>
      <c r="F242" s="4" t="s">
        <v>742</v>
      </c>
      <c r="G242" s="4" t="s">
        <v>742</v>
      </c>
      <c r="H242" s="4" t="s">
        <v>742</v>
      </c>
      <c r="I242" s="4" t="s">
        <v>742</v>
      </c>
      <c r="J242" s="4" t="s">
        <v>742</v>
      </c>
      <c r="K242" s="4" t="s">
        <v>742</v>
      </c>
      <c r="L242" s="4" t="s">
        <v>742</v>
      </c>
      <c r="M242" s="4" t="s">
        <v>742</v>
      </c>
      <c r="N242" s="4" t="s">
        <v>742</v>
      </c>
    </row>
    <row r="243">
      <c r="B243" s="8" t="s">
        <v>742</v>
      </c>
      <c r="C243" s="4" t="s">
        <v>742</v>
      </c>
      <c r="D243" s="4" t="s">
        <v>742</v>
      </c>
      <c r="E243" s="4" t="s">
        <v>742</v>
      </c>
      <c r="F243" s="4" t="s">
        <v>742</v>
      </c>
      <c r="G243" s="4" t="s">
        <v>742</v>
      </c>
      <c r="H243" s="4" t="s">
        <v>742</v>
      </c>
      <c r="I243" s="4" t="s">
        <v>742</v>
      </c>
      <c r="J243" s="4" t="s">
        <v>742</v>
      </c>
      <c r="K243" s="4" t="s">
        <v>742</v>
      </c>
      <c r="L243" s="4" t="s">
        <v>742</v>
      </c>
      <c r="M243" s="4" t="s">
        <v>742</v>
      </c>
      <c r="N243" s="4" t="s">
        <v>742</v>
      </c>
    </row>
    <row r="244">
      <c r="B244" s="8" t="s">
        <v>742</v>
      </c>
      <c r="C244" s="4" t="s">
        <v>742</v>
      </c>
      <c r="D244" s="4" t="s">
        <v>742</v>
      </c>
      <c r="E244" s="4" t="s">
        <v>742</v>
      </c>
      <c r="F244" s="4" t="s">
        <v>742</v>
      </c>
      <c r="G244" s="4" t="s">
        <v>742</v>
      </c>
      <c r="H244" s="4" t="s">
        <v>742</v>
      </c>
      <c r="I244" s="4" t="s">
        <v>742</v>
      </c>
      <c r="J244" s="4" t="s">
        <v>742</v>
      </c>
      <c r="K244" s="4" t="s">
        <v>742</v>
      </c>
      <c r="L244" s="4" t="s">
        <v>742</v>
      </c>
      <c r="M244" s="4" t="s">
        <v>742</v>
      </c>
      <c r="N244" s="4" t="s">
        <v>742</v>
      </c>
    </row>
    <row r="245">
      <c r="B245" s="8" t="s">
        <v>742</v>
      </c>
      <c r="C245" s="4" t="s">
        <v>742</v>
      </c>
      <c r="D245" s="4" t="s">
        <v>742</v>
      </c>
      <c r="E245" s="4" t="s">
        <v>742</v>
      </c>
      <c r="F245" s="4" t="s">
        <v>742</v>
      </c>
      <c r="G245" s="4" t="s">
        <v>742</v>
      </c>
      <c r="H245" s="4" t="s">
        <v>742</v>
      </c>
      <c r="I245" s="4" t="s">
        <v>742</v>
      </c>
      <c r="J245" s="4" t="s">
        <v>742</v>
      </c>
      <c r="K245" s="4" t="s">
        <v>742</v>
      </c>
      <c r="L245" s="4" t="s">
        <v>742</v>
      </c>
      <c r="M245" s="4" t="s">
        <v>742</v>
      </c>
      <c r="N245" s="4" t="s">
        <v>742</v>
      </c>
    </row>
    <row r="246">
      <c r="B246" s="8" t="s">
        <v>742</v>
      </c>
      <c r="C246" s="4" t="s">
        <v>742</v>
      </c>
      <c r="D246" s="4" t="s">
        <v>742</v>
      </c>
      <c r="E246" s="4" t="s">
        <v>742</v>
      </c>
      <c r="F246" s="4" t="s">
        <v>742</v>
      </c>
      <c r="G246" s="4" t="s">
        <v>742</v>
      </c>
      <c r="H246" s="4" t="s">
        <v>742</v>
      </c>
      <c r="I246" s="4" t="s">
        <v>742</v>
      </c>
      <c r="J246" s="4" t="s">
        <v>742</v>
      </c>
      <c r="K246" s="4" t="s">
        <v>742</v>
      </c>
      <c r="L246" s="4" t="s">
        <v>742</v>
      </c>
      <c r="M246" s="4" t="s">
        <v>742</v>
      </c>
      <c r="N246" s="4" t="s">
        <v>742</v>
      </c>
    </row>
    <row r="247">
      <c r="B247" s="8" t="s">
        <v>742</v>
      </c>
      <c r="C247" s="4" t="s">
        <v>742</v>
      </c>
      <c r="D247" s="4" t="s">
        <v>742</v>
      </c>
      <c r="E247" s="4" t="s">
        <v>742</v>
      </c>
      <c r="F247" s="4" t="s">
        <v>742</v>
      </c>
      <c r="G247" s="4" t="s">
        <v>742</v>
      </c>
      <c r="H247" s="4" t="s">
        <v>742</v>
      </c>
      <c r="I247" s="4" t="s">
        <v>742</v>
      </c>
      <c r="J247" s="4" t="s">
        <v>742</v>
      </c>
      <c r="K247" s="4" t="s">
        <v>742</v>
      </c>
      <c r="L247" s="4" t="s">
        <v>742</v>
      </c>
      <c r="M247" s="4" t="s">
        <v>742</v>
      </c>
      <c r="N247" s="4" t="s">
        <v>742</v>
      </c>
    </row>
    <row r="248">
      <c r="B248" s="8" t="s">
        <v>742</v>
      </c>
      <c r="C248" s="4" t="s">
        <v>742</v>
      </c>
      <c r="D248" s="4" t="s">
        <v>742</v>
      </c>
      <c r="E248" s="4" t="s">
        <v>742</v>
      </c>
      <c r="F248" s="4" t="s">
        <v>742</v>
      </c>
      <c r="G248" s="4" t="s">
        <v>742</v>
      </c>
      <c r="H248" s="4" t="s">
        <v>742</v>
      </c>
      <c r="I248" s="4" t="s">
        <v>742</v>
      </c>
      <c r="J248" s="4" t="s">
        <v>742</v>
      </c>
      <c r="K248" s="4" t="s">
        <v>742</v>
      </c>
      <c r="L248" s="4" t="s">
        <v>742</v>
      </c>
      <c r="M248" s="4" t="s">
        <v>742</v>
      </c>
      <c r="N248" s="4" t="s">
        <v>742</v>
      </c>
    </row>
    <row r="249">
      <c r="B249" s="8" t="s">
        <v>742</v>
      </c>
      <c r="C249" s="4" t="s">
        <v>742</v>
      </c>
      <c r="D249" s="4" t="s">
        <v>742</v>
      </c>
      <c r="E249" s="4" t="s">
        <v>742</v>
      </c>
      <c r="F249" s="4" t="s">
        <v>742</v>
      </c>
      <c r="G249" s="4" t="s">
        <v>742</v>
      </c>
      <c r="H249" s="4" t="s">
        <v>742</v>
      </c>
      <c r="I249" s="4" t="s">
        <v>742</v>
      </c>
      <c r="J249" s="4" t="s">
        <v>742</v>
      </c>
      <c r="K249" s="4" t="s">
        <v>742</v>
      </c>
      <c r="L249" s="4" t="s">
        <v>742</v>
      </c>
      <c r="M249" s="4" t="s">
        <v>742</v>
      </c>
      <c r="N249" s="4" t="s">
        <v>742</v>
      </c>
    </row>
    <row r="250">
      <c r="B250" s="8" t="s">
        <v>742</v>
      </c>
      <c r="C250" s="4" t="s">
        <v>742</v>
      </c>
      <c r="D250" s="4" t="s">
        <v>742</v>
      </c>
      <c r="E250" s="4" t="s">
        <v>742</v>
      </c>
      <c r="F250" s="4" t="s">
        <v>742</v>
      </c>
      <c r="G250" s="4" t="s">
        <v>742</v>
      </c>
      <c r="H250" s="4" t="s">
        <v>742</v>
      </c>
      <c r="I250" s="4" t="s">
        <v>742</v>
      </c>
      <c r="J250" s="4" t="s">
        <v>742</v>
      </c>
      <c r="K250" s="4" t="s">
        <v>742</v>
      </c>
      <c r="L250" s="4" t="s">
        <v>742</v>
      </c>
      <c r="M250" s="4" t="s">
        <v>742</v>
      </c>
      <c r="N250" s="4" t="s">
        <v>742</v>
      </c>
    </row>
    <row r="251">
      <c r="B251" s="8" t="s">
        <v>742</v>
      </c>
      <c r="C251" s="4" t="s">
        <v>742</v>
      </c>
      <c r="D251" s="4" t="s">
        <v>742</v>
      </c>
      <c r="E251" s="4" t="s">
        <v>742</v>
      </c>
      <c r="F251" s="4" t="s">
        <v>742</v>
      </c>
      <c r="G251" s="4" t="s">
        <v>742</v>
      </c>
      <c r="H251" s="4" t="s">
        <v>742</v>
      </c>
      <c r="I251" s="4" t="s">
        <v>742</v>
      </c>
      <c r="J251" s="4" t="s">
        <v>742</v>
      </c>
      <c r="K251" s="4" t="s">
        <v>742</v>
      </c>
      <c r="L251" s="4" t="s">
        <v>742</v>
      </c>
      <c r="M251" s="4" t="s">
        <v>742</v>
      </c>
      <c r="N251" s="4" t="s">
        <v>742</v>
      </c>
    </row>
    <row r="252">
      <c r="B252" s="8" t="s">
        <v>742</v>
      </c>
      <c r="C252" s="4" t="s">
        <v>742</v>
      </c>
      <c r="D252" s="4" t="s">
        <v>742</v>
      </c>
      <c r="E252" s="4" t="s">
        <v>742</v>
      </c>
      <c r="F252" s="4" t="s">
        <v>742</v>
      </c>
      <c r="G252" s="4" t="s">
        <v>742</v>
      </c>
      <c r="H252" s="4" t="s">
        <v>742</v>
      </c>
      <c r="I252" s="4" t="s">
        <v>742</v>
      </c>
      <c r="J252" s="4" t="s">
        <v>742</v>
      </c>
      <c r="K252" s="4" t="s">
        <v>742</v>
      </c>
      <c r="L252" s="4" t="s">
        <v>742</v>
      </c>
      <c r="M252" s="4" t="s">
        <v>742</v>
      </c>
      <c r="N252" s="4" t="s">
        <v>742</v>
      </c>
    </row>
    <row r="253">
      <c r="B253" s="8" t="s">
        <v>742</v>
      </c>
      <c r="C253" s="4" t="s">
        <v>742</v>
      </c>
      <c r="D253" s="4" t="s">
        <v>742</v>
      </c>
      <c r="E253" s="4" t="s">
        <v>742</v>
      </c>
      <c r="F253" s="4" t="s">
        <v>742</v>
      </c>
      <c r="G253" s="4" t="s">
        <v>742</v>
      </c>
      <c r="H253" s="4" t="s">
        <v>742</v>
      </c>
      <c r="I253" s="4" t="s">
        <v>742</v>
      </c>
      <c r="J253" s="4" t="s">
        <v>742</v>
      </c>
      <c r="K253" s="4" t="s">
        <v>742</v>
      </c>
      <c r="L253" s="4" t="s">
        <v>742</v>
      </c>
      <c r="M253" s="4" t="s">
        <v>742</v>
      </c>
      <c r="N253" s="4" t="s">
        <v>742</v>
      </c>
    </row>
    <row r="254">
      <c r="B254" s="8" t="s">
        <v>742</v>
      </c>
      <c r="C254" s="4" t="s">
        <v>742</v>
      </c>
      <c r="D254" s="4" t="s">
        <v>742</v>
      </c>
      <c r="E254" s="4" t="s">
        <v>742</v>
      </c>
      <c r="F254" s="4" t="s">
        <v>742</v>
      </c>
      <c r="G254" s="4" t="s">
        <v>742</v>
      </c>
      <c r="H254" s="4" t="s">
        <v>742</v>
      </c>
      <c r="I254" s="4" t="s">
        <v>742</v>
      </c>
      <c r="J254" s="4" t="s">
        <v>742</v>
      </c>
      <c r="K254" s="4" t="s">
        <v>742</v>
      </c>
      <c r="L254" s="4" t="s">
        <v>742</v>
      </c>
      <c r="M254" s="4" t="s">
        <v>742</v>
      </c>
      <c r="N254" s="4" t="s">
        <v>742</v>
      </c>
    </row>
    <row r="255">
      <c r="B255" s="8" t="s">
        <v>742</v>
      </c>
      <c r="C255" s="4" t="s">
        <v>742</v>
      </c>
      <c r="D255" s="4" t="s">
        <v>742</v>
      </c>
      <c r="E255" s="4" t="s">
        <v>742</v>
      </c>
      <c r="F255" s="4" t="s">
        <v>742</v>
      </c>
      <c r="G255" s="4" t="s">
        <v>742</v>
      </c>
      <c r="H255" s="4" t="s">
        <v>742</v>
      </c>
      <c r="I255" s="4" t="s">
        <v>742</v>
      </c>
      <c r="J255" s="4" t="s">
        <v>742</v>
      </c>
      <c r="K255" s="4" t="s">
        <v>742</v>
      </c>
      <c r="L255" s="4" t="s">
        <v>742</v>
      </c>
      <c r="M255" s="4" t="s">
        <v>742</v>
      </c>
      <c r="N255" s="4" t="s">
        <v>742</v>
      </c>
    </row>
    <row r="256">
      <c r="B256" s="8" t="s">
        <v>742</v>
      </c>
      <c r="C256" s="4" t="s">
        <v>742</v>
      </c>
      <c r="D256" s="4" t="s">
        <v>742</v>
      </c>
      <c r="E256" s="4" t="s">
        <v>742</v>
      </c>
      <c r="F256" s="4" t="s">
        <v>742</v>
      </c>
      <c r="G256" s="4" t="s">
        <v>742</v>
      </c>
      <c r="H256" s="4" t="s">
        <v>742</v>
      </c>
      <c r="I256" s="4" t="s">
        <v>742</v>
      </c>
      <c r="J256" s="4" t="s">
        <v>742</v>
      </c>
      <c r="K256" s="4" t="s">
        <v>742</v>
      </c>
      <c r="L256" s="4" t="s">
        <v>742</v>
      </c>
      <c r="M256" s="4" t="s">
        <v>742</v>
      </c>
      <c r="N256" s="4" t="s">
        <v>742</v>
      </c>
    </row>
    <row r="257">
      <c r="B257" s="8" t="s">
        <v>742</v>
      </c>
      <c r="C257" s="4" t="s">
        <v>742</v>
      </c>
      <c r="D257" s="4" t="s">
        <v>742</v>
      </c>
      <c r="E257" s="4" t="s">
        <v>742</v>
      </c>
      <c r="F257" s="4" t="s">
        <v>742</v>
      </c>
      <c r="G257" s="4" t="s">
        <v>742</v>
      </c>
      <c r="H257" s="4" t="s">
        <v>742</v>
      </c>
      <c r="I257" s="4" t="s">
        <v>742</v>
      </c>
      <c r="J257" s="4" t="s">
        <v>742</v>
      </c>
      <c r="K257" s="4" t="s">
        <v>742</v>
      </c>
      <c r="L257" s="4" t="s">
        <v>742</v>
      </c>
      <c r="M257" s="4" t="s">
        <v>742</v>
      </c>
      <c r="N257" s="4" t="s">
        <v>742</v>
      </c>
    </row>
    <row r="258">
      <c r="B258" s="8" t="s">
        <v>742</v>
      </c>
      <c r="C258" s="4" t="s">
        <v>742</v>
      </c>
      <c r="D258" s="4" t="s">
        <v>742</v>
      </c>
      <c r="E258" s="4" t="s">
        <v>742</v>
      </c>
      <c r="F258" s="4" t="s">
        <v>742</v>
      </c>
      <c r="G258" s="4" t="s">
        <v>742</v>
      </c>
      <c r="H258" s="4" t="s">
        <v>742</v>
      </c>
      <c r="I258" s="4" t="s">
        <v>742</v>
      </c>
      <c r="J258" s="4" t="s">
        <v>742</v>
      </c>
      <c r="K258" s="4" t="s">
        <v>742</v>
      </c>
      <c r="L258" s="4" t="s">
        <v>742</v>
      </c>
      <c r="M258" s="4" t="s">
        <v>742</v>
      </c>
      <c r="N258" s="4" t="s">
        <v>742</v>
      </c>
    </row>
    <row r="259">
      <c r="B259" s="8" t="s">
        <v>742</v>
      </c>
      <c r="C259" s="4" t="s">
        <v>742</v>
      </c>
      <c r="D259" s="4" t="s">
        <v>742</v>
      </c>
      <c r="E259" s="4" t="s">
        <v>742</v>
      </c>
      <c r="F259" s="4" t="s">
        <v>742</v>
      </c>
      <c r="G259" s="4" t="s">
        <v>742</v>
      </c>
      <c r="H259" s="4" t="s">
        <v>742</v>
      </c>
      <c r="I259" s="4" t="s">
        <v>742</v>
      </c>
      <c r="J259" s="4" t="s">
        <v>742</v>
      </c>
      <c r="K259" s="4" t="s">
        <v>742</v>
      </c>
      <c r="L259" s="4" t="s">
        <v>742</v>
      </c>
      <c r="M259" s="4" t="s">
        <v>742</v>
      </c>
      <c r="N259" s="4" t="s">
        <v>742</v>
      </c>
    </row>
    <row r="260">
      <c r="B260" s="8" t="s">
        <v>742</v>
      </c>
      <c r="C260" s="4" t="s">
        <v>742</v>
      </c>
      <c r="D260" s="4" t="s">
        <v>742</v>
      </c>
      <c r="E260" s="4" t="s">
        <v>742</v>
      </c>
      <c r="F260" s="4" t="s">
        <v>742</v>
      </c>
      <c r="G260" s="4" t="s">
        <v>742</v>
      </c>
      <c r="H260" s="4" t="s">
        <v>742</v>
      </c>
      <c r="I260" s="4" t="s">
        <v>742</v>
      </c>
      <c r="J260" s="4" t="s">
        <v>742</v>
      </c>
      <c r="K260" s="4" t="s">
        <v>742</v>
      </c>
      <c r="L260" s="4" t="s">
        <v>742</v>
      </c>
      <c r="M260" s="4" t="s">
        <v>742</v>
      </c>
      <c r="N260" s="4" t="s">
        <v>742</v>
      </c>
    </row>
    <row r="261">
      <c r="B261" s="8" t="s">
        <v>742</v>
      </c>
      <c r="C261" s="4" t="s">
        <v>742</v>
      </c>
      <c r="D261" s="4" t="s">
        <v>742</v>
      </c>
      <c r="E261" s="4" t="s">
        <v>742</v>
      </c>
      <c r="F261" s="4" t="s">
        <v>742</v>
      </c>
      <c r="G261" s="4" t="s">
        <v>742</v>
      </c>
      <c r="H261" s="4" t="s">
        <v>742</v>
      </c>
      <c r="I261" s="4" t="s">
        <v>742</v>
      </c>
      <c r="J261" s="4" t="s">
        <v>742</v>
      </c>
      <c r="K261" s="4" t="s">
        <v>742</v>
      </c>
      <c r="L261" s="4" t="s">
        <v>742</v>
      </c>
      <c r="M261" s="4" t="s">
        <v>742</v>
      </c>
      <c r="N261" s="4" t="s">
        <v>742</v>
      </c>
    </row>
    <row r="262">
      <c r="B262" s="8" t="s">
        <v>742</v>
      </c>
      <c r="C262" s="4" t="s">
        <v>742</v>
      </c>
      <c r="D262" s="4" t="s">
        <v>742</v>
      </c>
      <c r="E262" s="4" t="s">
        <v>742</v>
      </c>
      <c r="F262" s="4" t="s">
        <v>742</v>
      </c>
      <c r="G262" s="4" t="s">
        <v>742</v>
      </c>
      <c r="H262" s="4" t="s">
        <v>742</v>
      </c>
      <c r="I262" s="4" t="s">
        <v>742</v>
      </c>
      <c r="J262" s="4" t="s">
        <v>742</v>
      </c>
      <c r="K262" s="4" t="s">
        <v>742</v>
      </c>
      <c r="L262" s="4" t="s">
        <v>742</v>
      </c>
      <c r="M262" s="4" t="s">
        <v>742</v>
      </c>
      <c r="N262" s="4" t="s">
        <v>742</v>
      </c>
    </row>
    <row r="263">
      <c r="B263" s="8" t="s">
        <v>742</v>
      </c>
      <c r="C263" s="4" t="s">
        <v>742</v>
      </c>
      <c r="D263" s="4" t="s">
        <v>742</v>
      </c>
      <c r="E263" s="4" t="s">
        <v>742</v>
      </c>
      <c r="F263" s="4" t="s">
        <v>742</v>
      </c>
      <c r="G263" s="4" t="s">
        <v>742</v>
      </c>
      <c r="H263" s="4" t="s">
        <v>742</v>
      </c>
      <c r="I263" s="4" t="s">
        <v>742</v>
      </c>
      <c r="J263" s="4" t="s">
        <v>742</v>
      </c>
      <c r="K263" s="4" t="s">
        <v>742</v>
      </c>
      <c r="L263" s="4" t="s">
        <v>742</v>
      </c>
      <c r="M263" s="4" t="s">
        <v>742</v>
      </c>
      <c r="N263" s="4" t="s">
        <v>742</v>
      </c>
    </row>
    <row r="264">
      <c r="B264" s="8" t="s">
        <v>742</v>
      </c>
      <c r="C264" s="4" t="s">
        <v>742</v>
      </c>
      <c r="D264" s="4" t="s">
        <v>742</v>
      </c>
      <c r="E264" s="4" t="s">
        <v>742</v>
      </c>
      <c r="F264" s="4" t="s">
        <v>742</v>
      </c>
      <c r="G264" s="4" t="s">
        <v>742</v>
      </c>
      <c r="H264" s="4" t="s">
        <v>742</v>
      </c>
      <c r="I264" s="4" t="s">
        <v>742</v>
      </c>
      <c r="J264" s="4" t="s">
        <v>742</v>
      </c>
      <c r="K264" s="4" t="s">
        <v>742</v>
      </c>
      <c r="L264" s="4" t="s">
        <v>742</v>
      </c>
      <c r="M264" s="4" t="s">
        <v>742</v>
      </c>
      <c r="N264" s="4" t="s">
        <v>742</v>
      </c>
    </row>
    <row r="265">
      <c r="B265" s="8" t="s">
        <v>742</v>
      </c>
      <c r="C265" s="4" t="s">
        <v>742</v>
      </c>
      <c r="D265" s="4" t="s">
        <v>742</v>
      </c>
      <c r="E265" s="4" t="s">
        <v>742</v>
      </c>
      <c r="F265" s="4" t="s">
        <v>742</v>
      </c>
      <c r="G265" s="4" t="s">
        <v>742</v>
      </c>
      <c r="H265" s="4" t="s">
        <v>742</v>
      </c>
      <c r="I265" s="4" t="s">
        <v>742</v>
      </c>
      <c r="J265" s="4" t="s">
        <v>742</v>
      </c>
      <c r="K265" s="4" t="s">
        <v>742</v>
      </c>
      <c r="L265" s="4" t="s">
        <v>742</v>
      </c>
      <c r="M265" s="4" t="s">
        <v>742</v>
      </c>
      <c r="N265" s="4" t="s">
        <v>742</v>
      </c>
    </row>
    <row r="266">
      <c r="B266" s="8" t="s">
        <v>742</v>
      </c>
      <c r="C266" s="4" t="s">
        <v>742</v>
      </c>
      <c r="D266" s="4" t="s">
        <v>742</v>
      </c>
      <c r="E266" s="4" t="s">
        <v>742</v>
      </c>
      <c r="F266" s="4" t="s">
        <v>742</v>
      </c>
      <c r="G266" s="4" t="s">
        <v>742</v>
      </c>
      <c r="H266" s="4" t="s">
        <v>742</v>
      </c>
      <c r="I266" s="4" t="s">
        <v>742</v>
      </c>
      <c r="J266" s="4" t="s">
        <v>742</v>
      </c>
      <c r="K266" s="4" t="s">
        <v>742</v>
      </c>
      <c r="L266" s="4" t="s">
        <v>742</v>
      </c>
      <c r="M266" s="4" t="s">
        <v>742</v>
      </c>
      <c r="N266" s="4" t="s">
        <v>742</v>
      </c>
    </row>
    <row r="267">
      <c r="B267" s="8" t="s">
        <v>742</v>
      </c>
      <c r="C267" s="4" t="s">
        <v>742</v>
      </c>
      <c r="D267" s="4" t="s">
        <v>742</v>
      </c>
      <c r="E267" s="4" t="s">
        <v>742</v>
      </c>
      <c r="F267" s="4" t="s">
        <v>742</v>
      </c>
      <c r="G267" s="4" t="s">
        <v>742</v>
      </c>
      <c r="H267" s="4" t="s">
        <v>742</v>
      </c>
      <c r="I267" s="4" t="s">
        <v>742</v>
      </c>
      <c r="J267" s="4" t="s">
        <v>742</v>
      </c>
      <c r="K267" s="4" t="s">
        <v>742</v>
      </c>
      <c r="L267" s="4" t="s">
        <v>742</v>
      </c>
      <c r="M267" s="4" t="s">
        <v>742</v>
      </c>
      <c r="N267" s="4" t="s">
        <v>742</v>
      </c>
    </row>
    <row r="268">
      <c r="B268" s="8" t="s">
        <v>742</v>
      </c>
      <c r="C268" s="4" t="s">
        <v>742</v>
      </c>
      <c r="D268" s="4" t="s">
        <v>742</v>
      </c>
      <c r="E268" s="4" t="s">
        <v>742</v>
      </c>
      <c r="F268" s="4" t="s">
        <v>742</v>
      </c>
      <c r="G268" s="4" t="s">
        <v>742</v>
      </c>
      <c r="H268" s="4" t="s">
        <v>742</v>
      </c>
      <c r="I268" s="4" t="s">
        <v>742</v>
      </c>
      <c r="J268" s="4" t="s">
        <v>742</v>
      </c>
      <c r="K268" s="4" t="s">
        <v>742</v>
      </c>
      <c r="L268" s="4" t="s">
        <v>742</v>
      </c>
      <c r="M268" s="4" t="s">
        <v>742</v>
      </c>
      <c r="N268" s="4" t="s">
        <v>742</v>
      </c>
    </row>
    <row r="269">
      <c r="B269" s="8" t="s">
        <v>742</v>
      </c>
      <c r="C269" s="4" t="s">
        <v>742</v>
      </c>
      <c r="D269" s="4" t="s">
        <v>742</v>
      </c>
      <c r="E269" s="4" t="s">
        <v>742</v>
      </c>
      <c r="F269" s="4" t="s">
        <v>742</v>
      </c>
      <c r="G269" s="4" t="s">
        <v>742</v>
      </c>
      <c r="H269" s="4" t="s">
        <v>742</v>
      </c>
      <c r="I269" s="4" t="s">
        <v>742</v>
      </c>
      <c r="J269" s="4" t="s">
        <v>742</v>
      </c>
      <c r="K269" s="4" t="s">
        <v>742</v>
      </c>
      <c r="L269" s="4" t="s">
        <v>742</v>
      </c>
      <c r="M269" s="4" t="s">
        <v>742</v>
      </c>
      <c r="N269" s="4" t="s">
        <v>742</v>
      </c>
    </row>
    <row r="270">
      <c r="B270" s="8" t="s">
        <v>742</v>
      </c>
      <c r="C270" s="4" t="s">
        <v>742</v>
      </c>
      <c r="D270" s="4" t="s">
        <v>742</v>
      </c>
      <c r="E270" s="4" t="s">
        <v>742</v>
      </c>
      <c r="F270" s="4" t="s">
        <v>742</v>
      </c>
      <c r="G270" s="4" t="s">
        <v>742</v>
      </c>
      <c r="H270" s="4" t="s">
        <v>742</v>
      </c>
      <c r="I270" s="4" t="s">
        <v>742</v>
      </c>
      <c r="J270" s="4" t="s">
        <v>742</v>
      </c>
      <c r="K270" s="4" t="s">
        <v>742</v>
      </c>
      <c r="L270" s="4" t="s">
        <v>742</v>
      </c>
      <c r="M270" s="4" t="s">
        <v>742</v>
      </c>
      <c r="N270" s="4" t="s">
        <v>742</v>
      </c>
    </row>
    <row r="271">
      <c r="B271" s="8" t="s">
        <v>742</v>
      </c>
      <c r="C271" s="4" t="s">
        <v>742</v>
      </c>
      <c r="D271" s="4" t="s">
        <v>742</v>
      </c>
      <c r="E271" s="4" t="s">
        <v>742</v>
      </c>
      <c r="F271" s="4" t="s">
        <v>742</v>
      </c>
      <c r="G271" s="4" t="s">
        <v>742</v>
      </c>
      <c r="H271" s="4" t="s">
        <v>742</v>
      </c>
      <c r="I271" s="4" t="s">
        <v>742</v>
      </c>
      <c r="J271" s="4" t="s">
        <v>742</v>
      </c>
      <c r="K271" s="4" t="s">
        <v>742</v>
      </c>
      <c r="L271" s="4" t="s">
        <v>742</v>
      </c>
      <c r="M271" s="4" t="s">
        <v>742</v>
      </c>
      <c r="N271" s="4" t="s">
        <v>742</v>
      </c>
    </row>
    <row r="272">
      <c r="B272" s="8" t="s">
        <v>742</v>
      </c>
      <c r="C272" s="4" t="s">
        <v>742</v>
      </c>
      <c r="D272" s="4" t="s">
        <v>742</v>
      </c>
      <c r="E272" s="4" t="s">
        <v>742</v>
      </c>
      <c r="F272" s="4" t="s">
        <v>742</v>
      </c>
      <c r="G272" s="4" t="s">
        <v>742</v>
      </c>
      <c r="H272" s="4" t="s">
        <v>742</v>
      </c>
      <c r="I272" s="4" t="s">
        <v>742</v>
      </c>
      <c r="J272" s="4" t="s">
        <v>742</v>
      </c>
      <c r="K272" s="4" t="s">
        <v>742</v>
      </c>
      <c r="L272" s="4" t="s">
        <v>742</v>
      </c>
      <c r="M272" s="4" t="s">
        <v>742</v>
      </c>
      <c r="N272" s="4" t="s">
        <v>742</v>
      </c>
    </row>
    <row r="273">
      <c r="B273" s="8" t="s">
        <v>742</v>
      </c>
      <c r="C273" s="4" t="s">
        <v>742</v>
      </c>
      <c r="D273" s="4" t="s">
        <v>742</v>
      </c>
      <c r="E273" s="4" t="s">
        <v>742</v>
      </c>
      <c r="F273" s="4" t="s">
        <v>742</v>
      </c>
      <c r="G273" s="4" t="s">
        <v>742</v>
      </c>
      <c r="H273" s="4" t="s">
        <v>742</v>
      </c>
      <c r="I273" s="4" t="s">
        <v>742</v>
      </c>
      <c r="J273" s="4" t="s">
        <v>742</v>
      </c>
      <c r="K273" s="4" t="s">
        <v>742</v>
      </c>
      <c r="L273" s="4" t="s">
        <v>742</v>
      </c>
      <c r="M273" s="4" t="s">
        <v>742</v>
      </c>
      <c r="N273" s="4" t="s">
        <v>742</v>
      </c>
    </row>
    <row r="274">
      <c r="B274" s="8" t="s">
        <v>742</v>
      </c>
      <c r="C274" s="4" t="s">
        <v>742</v>
      </c>
      <c r="D274" s="4" t="s">
        <v>742</v>
      </c>
      <c r="E274" s="4" t="s">
        <v>742</v>
      </c>
      <c r="F274" s="4" t="s">
        <v>742</v>
      </c>
      <c r="G274" s="4" t="s">
        <v>742</v>
      </c>
      <c r="H274" s="4" t="s">
        <v>742</v>
      </c>
      <c r="I274" s="4" t="s">
        <v>742</v>
      </c>
      <c r="J274" s="4" t="s">
        <v>742</v>
      </c>
      <c r="K274" s="4" t="s">
        <v>742</v>
      </c>
      <c r="L274" s="4" t="s">
        <v>742</v>
      </c>
      <c r="M274" s="4" t="s">
        <v>742</v>
      </c>
      <c r="N274" s="4" t="s">
        <v>742</v>
      </c>
    </row>
    <row r="275">
      <c r="B275" s="8" t="s">
        <v>742</v>
      </c>
      <c r="C275" s="4" t="s">
        <v>742</v>
      </c>
      <c r="D275" s="4" t="s">
        <v>742</v>
      </c>
      <c r="E275" s="4" t="s">
        <v>742</v>
      </c>
      <c r="F275" s="4" t="s">
        <v>742</v>
      </c>
      <c r="G275" s="4" t="s">
        <v>742</v>
      </c>
      <c r="H275" s="4" t="s">
        <v>742</v>
      </c>
      <c r="I275" s="4" t="s">
        <v>742</v>
      </c>
      <c r="J275" s="4" t="s">
        <v>742</v>
      </c>
      <c r="K275" s="4" t="s">
        <v>742</v>
      </c>
      <c r="L275" s="4" t="s">
        <v>742</v>
      </c>
      <c r="M275" s="4" t="s">
        <v>742</v>
      </c>
      <c r="N275" s="4" t="s">
        <v>742</v>
      </c>
    </row>
    <row r="276">
      <c r="B276" s="8" t="s">
        <v>742</v>
      </c>
      <c r="C276" s="4" t="s">
        <v>742</v>
      </c>
      <c r="D276" s="4" t="s">
        <v>742</v>
      </c>
      <c r="E276" s="4" t="s">
        <v>742</v>
      </c>
      <c r="F276" s="4" t="s">
        <v>742</v>
      </c>
      <c r="G276" s="4" t="s">
        <v>742</v>
      </c>
      <c r="H276" s="4" t="s">
        <v>742</v>
      </c>
      <c r="I276" s="4" t="s">
        <v>742</v>
      </c>
      <c r="J276" s="4" t="s">
        <v>742</v>
      </c>
      <c r="K276" s="4" t="s">
        <v>742</v>
      </c>
      <c r="L276" s="4" t="s">
        <v>742</v>
      </c>
      <c r="M276" s="4" t="s">
        <v>742</v>
      </c>
      <c r="N276" s="4" t="s">
        <v>742</v>
      </c>
    </row>
    <row r="277">
      <c r="B277" s="8" t="s">
        <v>742</v>
      </c>
      <c r="C277" s="4" t="s">
        <v>742</v>
      </c>
      <c r="D277" s="4" t="s">
        <v>742</v>
      </c>
      <c r="E277" s="4" t="s">
        <v>742</v>
      </c>
      <c r="F277" s="4" t="s">
        <v>742</v>
      </c>
      <c r="G277" s="4" t="s">
        <v>742</v>
      </c>
      <c r="H277" s="4" t="s">
        <v>742</v>
      </c>
      <c r="I277" s="4" t="s">
        <v>742</v>
      </c>
      <c r="J277" s="4" t="s">
        <v>742</v>
      </c>
      <c r="K277" s="4" t="s">
        <v>742</v>
      </c>
      <c r="L277" s="4" t="s">
        <v>742</v>
      </c>
      <c r="M277" s="4" t="s">
        <v>742</v>
      </c>
      <c r="N277" s="4" t="s">
        <v>742</v>
      </c>
    </row>
    <row r="278">
      <c r="B278" s="8" t="s">
        <v>742</v>
      </c>
      <c r="C278" s="4" t="s">
        <v>742</v>
      </c>
      <c r="D278" s="4" t="s">
        <v>742</v>
      </c>
      <c r="E278" s="4" t="s">
        <v>742</v>
      </c>
      <c r="F278" s="4" t="s">
        <v>742</v>
      </c>
      <c r="G278" s="4" t="s">
        <v>742</v>
      </c>
      <c r="H278" s="4" t="s">
        <v>742</v>
      </c>
      <c r="I278" s="4" t="s">
        <v>742</v>
      </c>
      <c r="J278" s="4" t="s">
        <v>742</v>
      </c>
      <c r="K278" s="4" t="s">
        <v>742</v>
      </c>
      <c r="L278" s="4" t="s">
        <v>742</v>
      </c>
      <c r="M278" s="4" t="s">
        <v>742</v>
      </c>
      <c r="N278" s="4" t="s">
        <v>742</v>
      </c>
    </row>
    <row r="279">
      <c r="B279" s="8" t="s">
        <v>742</v>
      </c>
      <c r="C279" s="4" t="s">
        <v>742</v>
      </c>
      <c r="D279" s="4" t="s">
        <v>742</v>
      </c>
      <c r="E279" s="4" t="s">
        <v>742</v>
      </c>
      <c r="F279" s="4" t="s">
        <v>742</v>
      </c>
      <c r="G279" s="4" t="s">
        <v>742</v>
      </c>
      <c r="H279" s="4" t="s">
        <v>742</v>
      </c>
      <c r="I279" s="4" t="s">
        <v>742</v>
      </c>
      <c r="J279" s="4" t="s">
        <v>742</v>
      </c>
      <c r="K279" s="4" t="s">
        <v>742</v>
      </c>
      <c r="L279" s="4" t="s">
        <v>742</v>
      </c>
      <c r="M279" s="4" t="s">
        <v>742</v>
      </c>
      <c r="N279" s="4" t="s">
        <v>742</v>
      </c>
    </row>
    <row r="280">
      <c r="B280" s="8" t="s">
        <v>742</v>
      </c>
      <c r="C280" s="4" t="s">
        <v>742</v>
      </c>
      <c r="D280" s="4" t="s">
        <v>742</v>
      </c>
      <c r="E280" s="4" t="s">
        <v>742</v>
      </c>
      <c r="F280" s="4" t="s">
        <v>742</v>
      </c>
      <c r="G280" s="4" t="s">
        <v>742</v>
      </c>
      <c r="H280" s="4" t="s">
        <v>742</v>
      </c>
      <c r="I280" s="4" t="s">
        <v>742</v>
      </c>
      <c r="J280" s="4" t="s">
        <v>742</v>
      </c>
      <c r="K280" s="4" t="s">
        <v>742</v>
      </c>
      <c r="L280" s="4" t="s">
        <v>742</v>
      </c>
      <c r="M280" s="4" t="s">
        <v>742</v>
      </c>
      <c r="N280" s="4" t="s">
        <v>742</v>
      </c>
    </row>
    <row r="281">
      <c r="B281" s="8" t="s">
        <v>742</v>
      </c>
      <c r="C281" s="4" t="s">
        <v>742</v>
      </c>
      <c r="D281" s="4" t="s">
        <v>742</v>
      </c>
      <c r="E281" s="4" t="s">
        <v>742</v>
      </c>
      <c r="F281" s="4" t="s">
        <v>742</v>
      </c>
      <c r="G281" s="4" t="s">
        <v>742</v>
      </c>
      <c r="H281" s="4" t="s">
        <v>742</v>
      </c>
      <c r="I281" s="4" t="s">
        <v>742</v>
      </c>
      <c r="J281" s="4" t="s">
        <v>742</v>
      </c>
      <c r="K281" s="4" t="s">
        <v>742</v>
      </c>
      <c r="L281" s="4" t="s">
        <v>742</v>
      </c>
      <c r="M281" s="4" t="s">
        <v>742</v>
      </c>
      <c r="N281" s="4" t="s">
        <v>742</v>
      </c>
    </row>
    <row r="282">
      <c r="B282" s="8" t="s">
        <v>742</v>
      </c>
      <c r="C282" s="4" t="s">
        <v>742</v>
      </c>
      <c r="D282" s="4" t="s">
        <v>742</v>
      </c>
      <c r="E282" s="4" t="s">
        <v>742</v>
      </c>
      <c r="F282" s="4" t="s">
        <v>742</v>
      </c>
      <c r="G282" s="4" t="s">
        <v>742</v>
      </c>
      <c r="H282" s="4" t="s">
        <v>742</v>
      </c>
      <c r="I282" s="4" t="s">
        <v>742</v>
      </c>
      <c r="J282" s="4" t="s">
        <v>742</v>
      </c>
      <c r="K282" s="4" t="s">
        <v>742</v>
      </c>
      <c r="L282" s="4" t="s">
        <v>742</v>
      </c>
      <c r="M282" s="4" t="s">
        <v>742</v>
      </c>
      <c r="N282" s="4" t="s">
        <v>742</v>
      </c>
    </row>
    <row r="283">
      <c r="B283" s="8" t="s">
        <v>742</v>
      </c>
      <c r="C283" s="4" t="s">
        <v>742</v>
      </c>
      <c r="D283" s="4" t="s">
        <v>742</v>
      </c>
      <c r="E283" s="4" t="s">
        <v>742</v>
      </c>
      <c r="F283" s="4" t="s">
        <v>742</v>
      </c>
      <c r="G283" s="4" t="s">
        <v>742</v>
      </c>
      <c r="H283" s="4" t="s">
        <v>742</v>
      </c>
      <c r="I283" s="4" t="s">
        <v>742</v>
      </c>
      <c r="J283" s="4" t="s">
        <v>742</v>
      </c>
      <c r="K283" s="4" t="s">
        <v>742</v>
      </c>
      <c r="L283" s="4" t="s">
        <v>742</v>
      </c>
      <c r="M283" s="4" t="s">
        <v>742</v>
      </c>
      <c r="N283" s="4" t="s">
        <v>742</v>
      </c>
    </row>
    <row r="284">
      <c r="B284" s="8" t="s">
        <v>742</v>
      </c>
      <c r="C284" s="4" t="s">
        <v>742</v>
      </c>
      <c r="D284" s="4" t="s">
        <v>742</v>
      </c>
      <c r="E284" s="4" t="s">
        <v>742</v>
      </c>
      <c r="F284" s="4" t="s">
        <v>742</v>
      </c>
      <c r="G284" s="4" t="s">
        <v>742</v>
      </c>
      <c r="H284" s="4" t="s">
        <v>742</v>
      </c>
      <c r="I284" s="4" t="s">
        <v>742</v>
      </c>
      <c r="J284" s="4" t="s">
        <v>742</v>
      </c>
      <c r="K284" s="4" t="s">
        <v>742</v>
      </c>
      <c r="L284" s="4" t="s">
        <v>742</v>
      </c>
      <c r="M284" s="4" t="s">
        <v>742</v>
      </c>
      <c r="N284" s="4" t="s">
        <v>742</v>
      </c>
    </row>
    <row r="285">
      <c r="B285" s="8" t="s">
        <v>742</v>
      </c>
      <c r="C285" s="4" t="s">
        <v>742</v>
      </c>
      <c r="D285" s="4" t="s">
        <v>742</v>
      </c>
      <c r="E285" s="4" t="s">
        <v>742</v>
      </c>
      <c r="F285" s="4" t="s">
        <v>742</v>
      </c>
      <c r="G285" s="4" t="s">
        <v>742</v>
      </c>
      <c r="H285" s="4" t="s">
        <v>742</v>
      </c>
      <c r="I285" s="4" t="s">
        <v>742</v>
      </c>
      <c r="J285" s="4" t="s">
        <v>742</v>
      </c>
      <c r="K285" s="4" t="s">
        <v>742</v>
      </c>
      <c r="L285" s="4" t="s">
        <v>742</v>
      </c>
      <c r="M285" s="4" t="s">
        <v>742</v>
      </c>
      <c r="N285" s="4" t="s">
        <v>742</v>
      </c>
    </row>
    <row r="286">
      <c r="B286" s="8" t="s">
        <v>742</v>
      </c>
      <c r="C286" s="4" t="s">
        <v>742</v>
      </c>
      <c r="D286" s="4" t="s">
        <v>742</v>
      </c>
      <c r="E286" s="4" t="s">
        <v>742</v>
      </c>
      <c r="F286" s="4" t="s">
        <v>742</v>
      </c>
      <c r="G286" s="4" t="s">
        <v>742</v>
      </c>
      <c r="H286" s="4" t="s">
        <v>742</v>
      </c>
      <c r="I286" s="4" t="s">
        <v>742</v>
      </c>
      <c r="J286" s="4" t="s">
        <v>742</v>
      </c>
      <c r="K286" s="4" t="s">
        <v>742</v>
      </c>
      <c r="L286" s="4" t="s">
        <v>742</v>
      </c>
      <c r="M286" s="4" t="s">
        <v>742</v>
      </c>
      <c r="N286" s="4" t="s">
        <v>742</v>
      </c>
    </row>
    <row r="287">
      <c r="B287" s="8" t="s">
        <v>742</v>
      </c>
      <c r="C287" s="4" t="s">
        <v>742</v>
      </c>
      <c r="D287" s="4" t="s">
        <v>742</v>
      </c>
      <c r="E287" s="4" t="s">
        <v>742</v>
      </c>
      <c r="F287" s="4" t="s">
        <v>742</v>
      </c>
      <c r="G287" s="4" t="s">
        <v>742</v>
      </c>
      <c r="H287" s="4" t="s">
        <v>742</v>
      </c>
      <c r="I287" s="4" t="s">
        <v>742</v>
      </c>
      <c r="J287" s="4" t="s">
        <v>742</v>
      </c>
      <c r="K287" s="4" t="s">
        <v>742</v>
      </c>
      <c r="L287" s="4" t="s">
        <v>742</v>
      </c>
      <c r="M287" s="4" t="s">
        <v>742</v>
      </c>
      <c r="N287" s="4" t="s">
        <v>742</v>
      </c>
    </row>
    <row r="288">
      <c r="B288" s="8" t="s">
        <v>742</v>
      </c>
      <c r="C288" s="4" t="s">
        <v>742</v>
      </c>
      <c r="D288" s="4" t="s">
        <v>742</v>
      </c>
      <c r="E288" s="4" t="s">
        <v>742</v>
      </c>
      <c r="F288" s="4" t="s">
        <v>742</v>
      </c>
      <c r="G288" s="4" t="s">
        <v>742</v>
      </c>
      <c r="H288" s="4" t="s">
        <v>742</v>
      </c>
      <c r="I288" s="4" t="s">
        <v>742</v>
      </c>
      <c r="J288" s="4" t="s">
        <v>742</v>
      </c>
      <c r="K288" s="4" t="s">
        <v>742</v>
      </c>
      <c r="L288" s="4" t="s">
        <v>742</v>
      </c>
      <c r="M288" s="4" t="s">
        <v>742</v>
      </c>
      <c r="N288" s="4" t="s">
        <v>742</v>
      </c>
    </row>
    <row r="289">
      <c r="B289" s="8" t="s">
        <v>742</v>
      </c>
      <c r="C289" s="4" t="s">
        <v>742</v>
      </c>
      <c r="D289" s="4" t="s">
        <v>742</v>
      </c>
      <c r="E289" s="4" t="s">
        <v>742</v>
      </c>
      <c r="F289" s="4" t="s">
        <v>742</v>
      </c>
      <c r="G289" s="4" t="s">
        <v>742</v>
      </c>
      <c r="H289" s="4" t="s">
        <v>742</v>
      </c>
      <c r="I289" s="4" t="s">
        <v>742</v>
      </c>
      <c r="J289" s="4" t="s">
        <v>742</v>
      </c>
      <c r="K289" s="4" t="s">
        <v>742</v>
      </c>
      <c r="L289" s="4" t="s">
        <v>742</v>
      </c>
      <c r="M289" s="4" t="s">
        <v>742</v>
      </c>
      <c r="N289" s="4" t="s">
        <v>742</v>
      </c>
    </row>
    <row r="290">
      <c r="B290" s="8" t="s">
        <v>742</v>
      </c>
      <c r="C290" s="4" t="s">
        <v>742</v>
      </c>
      <c r="D290" s="4" t="s">
        <v>742</v>
      </c>
      <c r="E290" s="4" t="s">
        <v>742</v>
      </c>
      <c r="F290" s="4" t="s">
        <v>742</v>
      </c>
      <c r="G290" s="4" t="s">
        <v>742</v>
      </c>
      <c r="H290" s="4" t="s">
        <v>742</v>
      </c>
      <c r="I290" s="4" t="s">
        <v>742</v>
      </c>
      <c r="J290" s="4" t="s">
        <v>742</v>
      </c>
      <c r="K290" s="4" t="s">
        <v>742</v>
      </c>
      <c r="L290" s="4" t="s">
        <v>742</v>
      </c>
      <c r="M290" s="4" t="s">
        <v>742</v>
      </c>
      <c r="N290" s="4" t="s">
        <v>742</v>
      </c>
    </row>
    <row r="291">
      <c r="B291" s="8" t="s">
        <v>742</v>
      </c>
      <c r="C291" s="4" t="s">
        <v>742</v>
      </c>
      <c r="D291" s="4" t="s">
        <v>742</v>
      </c>
      <c r="E291" s="4" t="s">
        <v>742</v>
      </c>
      <c r="F291" s="4" t="s">
        <v>742</v>
      </c>
      <c r="G291" s="4" t="s">
        <v>742</v>
      </c>
      <c r="H291" s="4" t="s">
        <v>742</v>
      </c>
      <c r="I291" s="4" t="s">
        <v>742</v>
      </c>
      <c r="J291" s="4" t="s">
        <v>742</v>
      </c>
      <c r="K291" s="4" t="s">
        <v>742</v>
      </c>
      <c r="L291" s="4" t="s">
        <v>742</v>
      </c>
      <c r="M291" s="4" t="s">
        <v>742</v>
      </c>
      <c r="N291" s="4" t="s">
        <v>742</v>
      </c>
    </row>
    <row r="292">
      <c r="B292" s="8" t="s">
        <v>742</v>
      </c>
      <c r="C292" s="4" t="s">
        <v>742</v>
      </c>
      <c r="D292" s="4" t="s">
        <v>742</v>
      </c>
      <c r="E292" s="4" t="s">
        <v>742</v>
      </c>
      <c r="F292" s="4" t="s">
        <v>742</v>
      </c>
      <c r="G292" s="4" t="s">
        <v>742</v>
      </c>
      <c r="H292" s="4" t="s">
        <v>742</v>
      </c>
      <c r="I292" s="4" t="s">
        <v>742</v>
      </c>
      <c r="J292" s="4" t="s">
        <v>742</v>
      </c>
      <c r="K292" s="4" t="s">
        <v>742</v>
      </c>
      <c r="L292" s="4" t="s">
        <v>742</v>
      </c>
      <c r="M292" s="4" t="s">
        <v>742</v>
      </c>
      <c r="N292" s="4" t="s">
        <v>742</v>
      </c>
    </row>
    <row r="293">
      <c r="B293" s="8" t="s">
        <v>742</v>
      </c>
      <c r="C293" s="4" t="s">
        <v>742</v>
      </c>
      <c r="D293" s="4" t="s">
        <v>742</v>
      </c>
      <c r="E293" s="4" t="s">
        <v>742</v>
      </c>
      <c r="F293" s="4" t="s">
        <v>742</v>
      </c>
      <c r="G293" s="4" t="s">
        <v>742</v>
      </c>
      <c r="H293" s="4" t="s">
        <v>742</v>
      </c>
      <c r="I293" s="4" t="s">
        <v>742</v>
      </c>
      <c r="J293" s="4" t="s">
        <v>742</v>
      </c>
      <c r="K293" s="4" t="s">
        <v>742</v>
      </c>
      <c r="L293" s="4" t="s">
        <v>742</v>
      </c>
      <c r="M293" s="4" t="s">
        <v>742</v>
      </c>
      <c r="N293" s="4" t="s">
        <v>742</v>
      </c>
    </row>
    <row r="294">
      <c r="B294" s="8" t="s">
        <v>742</v>
      </c>
      <c r="C294" s="4" t="s">
        <v>742</v>
      </c>
      <c r="D294" s="4" t="s">
        <v>742</v>
      </c>
      <c r="E294" s="4" t="s">
        <v>742</v>
      </c>
      <c r="F294" s="4" t="s">
        <v>742</v>
      </c>
      <c r="G294" s="4" t="s">
        <v>742</v>
      </c>
      <c r="H294" s="4" t="s">
        <v>742</v>
      </c>
      <c r="I294" s="4" t="s">
        <v>742</v>
      </c>
      <c r="J294" s="4" t="s">
        <v>742</v>
      </c>
      <c r="K294" s="4" t="s">
        <v>742</v>
      </c>
      <c r="L294" s="4" t="s">
        <v>742</v>
      </c>
      <c r="M294" s="4" t="s">
        <v>742</v>
      </c>
      <c r="N294" s="4" t="s">
        <v>742</v>
      </c>
    </row>
    <row r="295">
      <c r="B295" s="8" t="s">
        <v>742</v>
      </c>
      <c r="C295" s="4" t="s">
        <v>742</v>
      </c>
      <c r="D295" s="4" t="s">
        <v>742</v>
      </c>
      <c r="E295" s="4" t="s">
        <v>742</v>
      </c>
      <c r="F295" s="4" t="s">
        <v>742</v>
      </c>
      <c r="G295" s="4" t="s">
        <v>742</v>
      </c>
      <c r="H295" s="4" t="s">
        <v>742</v>
      </c>
      <c r="I295" s="4" t="s">
        <v>742</v>
      </c>
      <c r="J295" s="4" t="s">
        <v>742</v>
      </c>
      <c r="K295" s="4" t="s">
        <v>742</v>
      </c>
      <c r="L295" s="4" t="s">
        <v>742</v>
      </c>
      <c r="M295" s="4" t="s">
        <v>742</v>
      </c>
      <c r="N295" s="4" t="s">
        <v>742</v>
      </c>
    </row>
    <row r="296">
      <c r="B296" s="8" t="s">
        <v>742</v>
      </c>
      <c r="C296" s="4" t="s">
        <v>742</v>
      </c>
      <c r="D296" s="4" t="s">
        <v>742</v>
      </c>
      <c r="E296" s="4" t="s">
        <v>742</v>
      </c>
      <c r="F296" s="4" t="s">
        <v>742</v>
      </c>
      <c r="G296" s="4" t="s">
        <v>742</v>
      </c>
      <c r="H296" s="4" t="s">
        <v>742</v>
      </c>
      <c r="I296" s="4" t="s">
        <v>742</v>
      </c>
      <c r="J296" s="4" t="s">
        <v>742</v>
      </c>
      <c r="K296" s="4" t="s">
        <v>742</v>
      </c>
      <c r="L296" s="4" t="s">
        <v>742</v>
      </c>
      <c r="M296" s="4" t="s">
        <v>742</v>
      </c>
      <c r="N296" s="4" t="s">
        <v>742</v>
      </c>
    </row>
    <row r="297">
      <c r="B297" s="8" t="s">
        <v>742</v>
      </c>
      <c r="C297" s="4" t="s">
        <v>742</v>
      </c>
      <c r="D297" s="4" t="s">
        <v>742</v>
      </c>
      <c r="E297" s="4" t="s">
        <v>742</v>
      </c>
      <c r="F297" s="4" t="s">
        <v>742</v>
      </c>
      <c r="G297" s="4" t="s">
        <v>742</v>
      </c>
      <c r="H297" s="4" t="s">
        <v>742</v>
      </c>
      <c r="I297" s="4" t="s">
        <v>742</v>
      </c>
      <c r="J297" s="4" t="s">
        <v>742</v>
      </c>
      <c r="K297" s="4" t="s">
        <v>742</v>
      </c>
      <c r="L297" s="4" t="s">
        <v>742</v>
      </c>
      <c r="M297" s="4" t="s">
        <v>742</v>
      </c>
      <c r="N297" s="4" t="s">
        <v>742</v>
      </c>
    </row>
    <row r="298">
      <c r="B298" s="8" t="s">
        <v>742</v>
      </c>
      <c r="C298" s="4" t="s">
        <v>742</v>
      </c>
      <c r="D298" s="4" t="s">
        <v>742</v>
      </c>
      <c r="E298" s="4" t="s">
        <v>742</v>
      </c>
      <c r="F298" s="4" t="s">
        <v>742</v>
      </c>
      <c r="G298" s="4" t="s">
        <v>742</v>
      </c>
      <c r="H298" s="4" t="s">
        <v>742</v>
      </c>
      <c r="I298" s="4" t="s">
        <v>742</v>
      </c>
      <c r="J298" s="4" t="s">
        <v>742</v>
      </c>
      <c r="K298" s="4" t="s">
        <v>742</v>
      </c>
      <c r="L298" s="4" t="s">
        <v>742</v>
      </c>
      <c r="M298" s="4" t="s">
        <v>742</v>
      </c>
      <c r="N298" s="4" t="s">
        <v>742</v>
      </c>
    </row>
    <row r="299">
      <c r="B299" s="8" t="s">
        <v>742</v>
      </c>
      <c r="C299" s="4" t="s">
        <v>742</v>
      </c>
      <c r="D299" s="4" t="s">
        <v>742</v>
      </c>
      <c r="E299" s="4" t="s">
        <v>742</v>
      </c>
      <c r="F299" s="4" t="s">
        <v>742</v>
      </c>
      <c r="G299" s="4" t="s">
        <v>742</v>
      </c>
      <c r="H299" s="4" t="s">
        <v>742</v>
      </c>
      <c r="I299" s="4" t="s">
        <v>742</v>
      </c>
      <c r="J299" s="4" t="s">
        <v>742</v>
      </c>
      <c r="K299" s="4" t="s">
        <v>742</v>
      </c>
      <c r="L299" s="4" t="s">
        <v>742</v>
      </c>
      <c r="M299" s="4" t="s">
        <v>742</v>
      </c>
      <c r="N299" s="4" t="s">
        <v>742</v>
      </c>
    </row>
    <row r="300">
      <c r="B300" s="8" t="s">
        <v>742</v>
      </c>
      <c r="C300" s="4" t="s">
        <v>742</v>
      </c>
      <c r="D300" s="4" t="s">
        <v>742</v>
      </c>
      <c r="E300" s="4" t="s">
        <v>742</v>
      </c>
      <c r="F300" s="4" t="s">
        <v>742</v>
      </c>
      <c r="G300" s="4" t="s">
        <v>742</v>
      </c>
      <c r="H300" s="4" t="s">
        <v>742</v>
      </c>
      <c r="I300" s="4" t="s">
        <v>742</v>
      </c>
      <c r="J300" s="4" t="s">
        <v>742</v>
      </c>
      <c r="K300" s="4" t="s">
        <v>742</v>
      </c>
      <c r="L300" s="4" t="s">
        <v>742</v>
      </c>
      <c r="M300" s="4" t="s">
        <v>742</v>
      </c>
      <c r="N300" s="4" t="s">
        <v>742</v>
      </c>
    </row>
    <row r="301">
      <c r="B301" s="8" t="s">
        <v>742</v>
      </c>
      <c r="C301" s="4" t="s">
        <v>742</v>
      </c>
      <c r="D301" s="4" t="s">
        <v>742</v>
      </c>
      <c r="E301" s="4" t="s">
        <v>742</v>
      </c>
      <c r="F301" s="4" t="s">
        <v>742</v>
      </c>
      <c r="G301" s="4" t="s">
        <v>742</v>
      </c>
      <c r="H301" s="4" t="s">
        <v>742</v>
      </c>
      <c r="I301" s="4" t="s">
        <v>742</v>
      </c>
      <c r="J301" s="4" t="s">
        <v>742</v>
      </c>
      <c r="K301" s="4" t="s">
        <v>742</v>
      </c>
      <c r="L301" s="4" t="s">
        <v>742</v>
      </c>
      <c r="M301" s="4" t="s">
        <v>742</v>
      </c>
      <c r="N301" s="4" t="s">
        <v>742</v>
      </c>
    </row>
    <row r="302">
      <c r="B302" s="8" t="s">
        <v>742</v>
      </c>
      <c r="C302" s="4" t="s">
        <v>742</v>
      </c>
      <c r="D302" s="4" t="s">
        <v>742</v>
      </c>
      <c r="E302" s="4" t="s">
        <v>742</v>
      </c>
      <c r="F302" s="4" t="s">
        <v>742</v>
      </c>
      <c r="G302" s="4" t="s">
        <v>742</v>
      </c>
      <c r="H302" s="4" t="s">
        <v>742</v>
      </c>
      <c r="I302" s="4" t="s">
        <v>742</v>
      </c>
      <c r="J302" s="4" t="s">
        <v>742</v>
      </c>
      <c r="K302" s="4" t="s">
        <v>742</v>
      </c>
      <c r="L302" s="4" t="s">
        <v>742</v>
      </c>
      <c r="M302" s="4" t="s">
        <v>742</v>
      </c>
      <c r="N302" s="4" t="s">
        <v>742</v>
      </c>
    </row>
    <row r="303">
      <c r="B303" s="8" t="s">
        <v>742</v>
      </c>
      <c r="C303" s="4" t="s">
        <v>742</v>
      </c>
      <c r="D303" s="4" t="s">
        <v>742</v>
      </c>
      <c r="E303" s="4" t="s">
        <v>742</v>
      </c>
      <c r="F303" s="4" t="s">
        <v>742</v>
      </c>
      <c r="G303" s="4" t="s">
        <v>742</v>
      </c>
      <c r="H303" s="4" t="s">
        <v>742</v>
      </c>
      <c r="I303" s="4" t="s">
        <v>742</v>
      </c>
      <c r="J303" s="4" t="s">
        <v>742</v>
      </c>
      <c r="K303" s="4" t="s">
        <v>742</v>
      </c>
      <c r="L303" s="4" t="s">
        <v>742</v>
      </c>
      <c r="M303" s="4" t="s">
        <v>742</v>
      </c>
      <c r="N303" s="4" t="s">
        <v>742</v>
      </c>
    </row>
    <row r="304">
      <c r="B304" s="8" t="s">
        <v>742</v>
      </c>
      <c r="C304" s="4" t="s">
        <v>742</v>
      </c>
      <c r="D304" s="4" t="s">
        <v>742</v>
      </c>
      <c r="E304" s="4" t="s">
        <v>742</v>
      </c>
      <c r="F304" s="4" t="s">
        <v>742</v>
      </c>
      <c r="G304" s="4" t="s">
        <v>742</v>
      </c>
      <c r="H304" s="4" t="s">
        <v>742</v>
      </c>
      <c r="I304" s="4" t="s">
        <v>742</v>
      </c>
      <c r="J304" s="4" t="s">
        <v>742</v>
      </c>
      <c r="K304" s="4" t="s">
        <v>742</v>
      </c>
      <c r="L304" s="4" t="s">
        <v>742</v>
      </c>
      <c r="M304" s="4" t="s">
        <v>742</v>
      </c>
      <c r="N304" s="4" t="s">
        <v>742</v>
      </c>
    </row>
    <row r="305">
      <c r="B305" s="8" t="s">
        <v>742</v>
      </c>
      <c r="C305" s="4" t="s">
        <v>742</v>
      </c>
      <c r="D305" s="4" t="s">
        <v>742</v>
      </c>
      <c r="E305" s="4" t="s">
        <v>742</v>
      </c>
      <c r="F305" s="4" t="s">
        <v>742</v>
      </c>
      <c r="G305" s="4" t="s">
        <v>742</v>
      </c>
      <c r="H305" s="4" t="s">
        <v>742</v>
      </c>
      <c r="I305" s="4" t="s">
        <v>742</v>
      </c>
      <c r="J305" s="4" t="s">
        <v>742</v>
      </c>
      <c r="K305" s="4" t="s">
        <v>742</v>
      </c>
      <c r="L305" s="4" t="s">
        <v>742</v>
      </c>
      <c r="M305" s="4" t="s">
        <v>742</v>
      </c>
      <c r="N305" s="4" t="s">
        <v>742</v>
      </c>
    </row>
    <row r="306">
      <c r="B306" s="8" t="s">
        <v>742</v>
      </c>
      <c r="C306" s="4" t="s">
        <v>742</v>
      </c>
      <c r="D306" s="4" t="s">
        <v>742</v>
      </c>
      <c r="E306" s="4" t="s">
        <v>742</v>
      </c>
      <c r="F306" s="4" t="s">
        <v>742</v>
      </c>
      <c r="G306" s="4" t="s">
        <v>742</v>
      </c>
      <c r="H306" s="4" t="s">
        <v>742</v>
      </c>
      <c r="I306" s="4" t="s">
        <v>742</v>
      </c>
      <c r="J306" s="4" t="s">
        <v>742</v>
      </c>
      <c r="K306" s="4" t="s">
        <v>742</v>
      </c>
      <c r="L306" s="4" t="s">
        <v>742</v>
      </c>
      <c r="M306" s="4" t="s">
        <v>742</v>
      </c>
      <c r="N306" s="4" t="s">
        <v>742</v>
      </c>
    </row>
    <row r="307">
      <c r="B307" s="8" t="s">
        <v>742</v>
      </c>
      <c r="C307" s="4" t="s">
        <v>742</v>
      </c>
      <c r="D307" s="4" t="s">
        <v>742</v>
      </c>
      <c r="E307" s="4" t="s">
        <v>742</v>
      </c>
      <c r="F307" s="4" t="s">
        <v>742</v>
      </c>
      <c r="G307" s="4" t="s">
        <v>742</v>
      </c>
      <c r="H307" s="4" t="s">
        <v>742</v>
      </c>
      <c r="I307" s="4" t="s">
        <v>742</v>
      </c>
      <c r="J307" s="4" t="s">
        <v>742</v>
      </c>
      <c r="K307" s="4" t="s">
        <v>742</v>
      </c>
      <c r="L307" s="4" t="s">
        <v>742</v>
      </c>
      <c r="M307" s="4" t="s">
        <v>742</v>
      </c>
      <c r="N307" s="4" t="s">
        <v>742</v>
      </c>
    </row>
    <row r="308">
      <c r="B308" s="8" t="s">
        <v>742</v>
      </c>
      <c r="C308" s="4" t="s">
        <v>742</v>
      </c>
      <c r="D308" s="4" t="s">
        <v>742</v>
      </c>
      <c r="E308" s="4" t="s">
        <v>742</v>
      </c>
      <c r="F308" s="4" t="s">
        <v>742</v>
      </c>
      <c r="G308" s="4" t="s">
        <v>742</v>
      </c>
      <c r="H308" s="4" t="s">
        <v>742</v>
      </c>
      <c r="I308" s="4" t="s">
        <v>742</v>
      </c>
      <c r="J308" s="4" t="s">
        <v>742</v>
      </c>
      <c r="K308" s="4" t="s">
        <v>742</v>
      </c>
      <c r="L308" s="4" t="s">
        <v>742</v>
      </c>
      <c r="M308" s="4" t="s">
        <v>742</v>
      </c>
      <c r="N308" s="4" t="s">
        <v>742</v>
      </c>
    </row>
    <row r="309">
      <c r="B309" s="8" t="s">
        <v>742</v>
      </c>
      <c r="C309" s="4" t="s">
        <v>742</v>
      </c>
      <c r="D309" s="4" t="s">
        <v>742</v>
      </c>
      <c r="E309" s="4" t="s">
        <v>742</v>
      </c>
      <c r="F309" s="4" t="s">
        <v>742</v>
      </c>
      <c r="G309" s="4" t="s">
        <v>742</v>
      </c>
      <c r="H309" s="4" t="s">
        <v>742</v>
      </c>
      <c r="I309" s="4" t="s">
        <v>742</v>
      </c>
      <c r="J309" s="4" t="s">
        <v>742</v>
      </c>
      <c r="K309" s="4" t="s">
        <v>742</v>
      </c>
      <c r="L309" s="4" t="s">
        <v>742</v>
      </c>
      <c r="M309" s="4" t="s">
        <v>742</v>
      </c>
      <c r="N309" s="4" t="s">
        <v>742</v>
      </c>
    </row>
    <row r="310">
      <c r="B310" s="8" t="s">
        <v>742</v>
      </c>
      <c r="C310" s="4" t="s">
        <v>742</v>
      </c>
      <c r="D310" s="4" t="s">
        <v>742</v>
      </c>
      <c r="E310" s="4" t="s">
        <v>742</v>
      </c>
      <c r="F310" s="4" t="s">
        <v>742</v>
      </c>
      <c r="G310" s="4" t="s">
        <v>742</v>
      </c>
      <c r="H310" s="4" t="s">
        <v>742</v>
      </c>
      <c r="I310" s="4" t="s">
        <v>742</v>
      </c>
      <c r="J310" s="4" t="s">
        <v>742</v>
      </c>
      <c r="K310" s="4" t="s">
        <v>742</v>
      </c>
      <c r="L310" s="4" t="s">
        <v>742</v>
      </c>
      <c r="M310" s="4" t="s">
        <v>742</v>
      </c>
      <c r="N310" s="4" t="s">
        <v>742</v>
      </c>
    </row>
    <row r="311">
      <c r="B311" s="8" t="s">
        <v>742</v>
      </c>
      <c r="C311" s="4" t="s">
        <v>742</v>
      </c>
      <c r="D311" s="4" t="s">
        <v>742</v>
      </c>
      <c r="E311" s="4" t="s">
        <v>742</v>
      </c>
      <c r="F311" s="4" t="s">
        <v>742</v>
      </c>
      <c r="G311" s="4" t="s">
        <v>742</v>
      </c>
      <c r="H311" s="4" t="s">
        <v>742</v>
      </c>
      <c r="I311" s="4" t="s">
        <v>742</v>
      </c>
      <c r="J311" s="4" t="s">
        <v>742</v>
      </c>
      <c r="K311" s="4" t="s">
        <v>742</v>
      </c>
      <c r="L311" s="4" t="s">
        <v>742</v>
      </c>
      <c r="M311" s="4" t="s">
        <v>742</v>
      </c>
      <c r="N311" s="4" t="s">
        <v>742</v>
      </c>
    </row>
    <row r="312">
      <c r="B312" s="8" t="s">
        <v>742</v>
      </c>
      <c r="C312" s="4" t="s">
        <v>742</v>
      </c>
      <c r="D312" s="4" t="s">
        <v>742</v>
      </c>
      <c r="E312" s="4" t="s">
        <v>742</v>
      </c>
      <c r="F312" s="4" t="s">
        <v>742</v>
      </c>
      <c r="G312" s="4" t="s">
        <v>742</v>
      </c>
      <c r="H312" s="4" t="s">
        <v>742</v>
      </c>
      <c r="I312" s="4" t="s">
        <v>742</v>
      </c>
      <c r="J312" s="4" t="s">
        <v>742</v>
      </c>
      <c r="K312" s="4" t="s">
        <v>742</v>
      </c>
      <c r="L312" s="4" t="s">
        <v>742</v>
      </c>
      <c r="M312" s="4" t="s">
        <v>742</v>
      </c>
      <c r="N312" s="4" t="s">
        <v>742</v>
      </c>
    </row>
    <row r="313">
      <c r="B313" s="8" t="s">
        <v>742</v>
      </c>
      <c r="C313" s="4" t="s">
        <v>742</v>
      </c>
      <c r="D313" s="4" t="s">
        <v>742</v>
      </c>
      <c r="E313" s="4" t="s">
        <v>742</v>
      </c>
      <c r="F313" s="4" t="s">
        <v>742</v>
      </c>
      <c r="G313" s="4" t="s">
        <v>742</v>
      </c>
      <c r="H313" s="4" t="s">
        <v>742</v>
      </c>
      <c r="I313" s="4" t="s">
        <v>742</v>
      </c>
      <c r="J313" s="4" t="s">
        <v>742</v>
      </c>
      <c r="K313" s="4" t="s">
        <v>742</v>
      </c>
      <c r="L313" s="4" t="s">
        <v>742</v>
      </c>
      <c r="M313" s="4" t="s">
        <v>742</v>
      </c>
      <c r="N313" s="4" t="s">
        <v>742</v>
      </c>
    </row>
    <row r="314">
      <c r="B314" s="8" t="s">
        <v>742</v>
      </c>
      <c r="C314" s="4" t="s">
        <v>742</v>
      </c>
      <c r="D314" s="4" t="s">
        <v>742</v>
      </c>
      <c r="E314" s="4" t="s">
        <v>742</v>
      </c>
      <c r="F314" s="4" t="s">
        <v>742</v>
      </c>
      <c r="G314" s="4" t="s">
        <v>742</v>
      </c>
      <c r="H314" s="4" t="s">
        <v>742</v>
      </c>
      <c r="I314" s="4" t="s">
        <v>742</v>
      </c>
      <c r="J314" s="4" t="s">
        <v>742</v>
      </c>
      <c r="K314" s="4" t="s">
        <v>742</v>
      </c>
      <c r="L314" s="4" t="s">
        <v>742</v>
      </c>
      <c r="M314" s="4" t="s">
        <v>742</v>
      </c>
      <c r="N314" s="4" t="s">
        <v>742</v>
      </c>
    </row>
    <row r="315">
      <c r="B315" s="8" t="s">
        <v>742</v>
      </c>
      <c r="C315" s="4" t="s">
        <v>742</v>
      </c>
      <c r="D315" s="4" t="s">
        <v>742</v>
      </c>
      <c r="E315" s="4" t="s">
        <v>742</v>
      </c>
      <c r="F315" s="4" t="s">
        <v>742</v>
      </c>
      <c r="G315" s="4" t="s">
        <v>742</v>
      </c>
      <c r="H315" s="4" t="s">
        <v>742</v>
      </c>
      <c r="I315" s="4" t="s">
        <v>742</v>
      </c>
      <c r="J315" s="4" t="s">
        <v>742</v>
      </c>
      <c r="K315" s="4" t="s">
        <v>742</v>
      </c>
      <c r="L315" s="4" t="s">
        <v>742</v>
      </c>
      <c r="M315" s="4" t="s">
        <v>742</v>
      </c>
      <c r="N315" s="4" t="s">
        <v>742</v>
      </c>
    </row>
    <row r="316">
      <c r="B316" s="8" t="s">
        <v>742</v>
      </c>
      <c r="C316" s="4" t="s">
        <v>742</v>
      </c>
      <c r="D316" s="4" t="s">
        <v>742</v>
      </c>
      <c r="E316" s="4" t="s">
        <v>742</v>
      </c>
      <c r="F316" s="4" t="s">
        <v>742</v>
      </c>
      <c r="G316" s="4" t="s">
        <v>742</v>
      </c>
      <c r="H316" s="4" t="s">
        <v>742</v>
      </c>
      <c r="I316" s="4" t="s">
        <v>742</v>
      </c>
      <c r="J316" s="4" t="s">
        <v>742</v>
      </c>
      <c r="K316" s="4" t="s">
        <v>742</v>
      </c>
      <c r="L316" s="4" t="s">
        <v>742</v>
      </c>
      <c r="M316" s="4" t="s">
        <v>742</v>
      </c>
      <c r="N316" s="4" t="s">
        <v>742</v>
      </c>
    </row>
    <row r="317">
      <c r="B317" s="8" t="s">
        <v>742</v>
      </c>
      <c r="C317" s="4" t="s">
        <v>742</v>
      </c>
      <c r="D317" s="4" t="s">
        <v>742</v>
      </c>
      <c r="E317" s="4" t="s">
        <v>742</v>
      </c>
      <c r="F317" s="4" t="s">
        <v>742</v>
      </c>
      <c r="G317" s="4" t="s">
        <v>742</v>
      </c>
      <c r="H317" s="4" t="s">
        <v>742</v>
      </c>
      <c r="I317" s="4" t="s">
        <v>742</v>
      </c>
      <c r="J317" s="4" t="s">
        <v>742</v>
      </c>
      <c r="K317" s="4" t="s">
        <v>742</v>
      </c>
      <c r="L317" s="4" t="s">
        <v>742</v>
      </c>
      <c r="M317" s="4" t="s">
        <v>742</v>
      </c>
      <c r="N317" s="4" t="s">
        <v>742</v>
      </c>
    </row>
    <row r="318">
      <c r="B318" s="8" t="s">
        <v>742</v>
      </c>
      <c r="C318" s="4" t="s">
        <v>742</v>
      </c>
      <c r="D318" s="4" t="s">
        <v>742</v>
      </c>
      <c r="E318" s="4" t="s">
        <v>742</v>
      </c>
      <c r="F318" s="4" t="s">
        <v>742</v>
      </c>
      <c r="G318" s="4" t="s">
        <v>742</v>
      </c>
      <c r="H318" s="4" t="s">
        <v>742</v>
      </c>
      <c r="I318" s="4" t="s">
        <v>742</v>
      </c>
      <c r="J318" s="4" t="s">
        <v>742</v>
      </c>
      <c r="K318" s="4" t="s">
        <v>742</v>
      </c>
      <c r="L318" s="4" t="s">
        <v>742</v>
      </c>
      <c r="M318" s="4" t="s">
        <v>742</v>
      </c>
      <c r="N318" s="4" t="s">
        <v>742</v>
      </c>
    </row>
    <row r="319">
      <c r="B319" s="8" t="s">
        <v>742</v>
      </c>
      <c r="C319" s="4" t="s">
        <v>742</v>
      </c>
      <c r="D319" s="4" t="s">
        <v>742</v>
      </c>
      <c r="E319" s="4" t="s">
        <v>742</v>
      </c>
      <c r="F319" s="4" t="s">
        <v>742</v>
      </c>
      <c r="G319" s="4" t="s">
        <v>742</v>
      </c>
      <c r="H319" s="4" t="s">
        <v>742</v>
      </c>
      <c r="I319" s="4" t="s">
        <v>742</v>
      </c>
      <c r="J319" s="4" t="s">
        <v>742</v>
      </c>
      <c r="K319" s="4" t="s">
        <v>742</v>
      </c>
      <c r="L319" s="4" t="s">
        <v>742</v>
      </c>
      <c r="M319" s="4" t="s">
        <v>742</v>
      </c>
      <c r="N319" s="4" t="s">
        <v>742</v>
      </c>
    </row>
    <row r="320">
      <c r="B320" s="8" t="s">
        <v>742</v>
      </c>
      <c r="C320" s="4" t="s">
        <v>742</v>
      </c>
      <c r="D320" s="4" t="s">
        <v>742</v>
      </c>
      <c r="E320" s="4" t="s">
        <v>742</v>
      </c>
      <c r="F320" s="4" t="s">
        <v>742</v>
      </c>
      <c r="G320" s="4" t="s">
        <v>742</v>
      </c>
      <c r="H320" s="4" t="s">
        <v>742</v>
      </c>
      <c r="I320" s="4" t="s">
        <v>742</v>
      </c>
      <c r="J320" s="4" t="s">
        <v>742</v>
      </c>
      <c r="K320" s="4" t="s">
        <v>742</v>
      </c>
      <c r="L320" s="4" t="s">
        <v>742</v>
      </c>
      <c r="M320" s="4" t="s">
        <v>742</v>
      </c>
      <c r="N320" s="4" t="s">
        <v>742</v>
      </c>
    </row>
    <row r="321">
      <c r="B321" s="8" t="s">
        <v>742</v>
      </c>
      <c r="C321" s="4" t="s">
        <v>742</v>
      </c>
      <c r="D321" s="4" t="s">
        <v>742</v>
      </c>
      <c r="E321" s="4" t="s">
        <v>742</v>
      </c>
      <c r="F321" s="4" t="s">
        <v>742</v>
      </c>
      <c r="G321" s="4" t="s">
        <v>742</v>
      </c>
      <c r="H321" s="4" t="s">
        <v>742</v>
      </c>
      <c r="I321" s="4" t="s">
        <v>742</v>
      </c>
      <c r="J321" s="4" t="s">
        <v>742</v>
      </c>
      <c r="K321" s="4" t="s">
        <v>742</v>
      </c>
      <c r="L321" s="4" t="s">
        <v>742</v>
      </c>
      <c r="M321" s="4" t="s">
        <v>742</v>
      </c>
      <c r="N321" s="4" t="s">
        <v>742</v>
      </c>
    </row>
    <row r="322">
      <c r="B322" s="8" t="s">
        <v>742</v>
      </c>
      <c r="C322" s="4" t="s">
        <v>742</v>
      </c>
      <c r="D322" s="4" t="s">
        <v>742</v>
      </c>
      <c r="E322" s="4" t="s">
        <v>742</v>
      </c>
      <c r="F322" s="4" t="s">
        <v>742</v>
      </c>
      <c r="G322" s="4" t="s">
        <v>742</v>
      </c>
      <c r="H322" s="4" t="s">
        <v>742</v>
      </c>
      <c r="I322" s="4" t="s">
        <v>742</v>
      </c>
      <c r="J322" s="4" t="s">
        <v>742</v>
      </c>
      <c r="K322" s="4" t="s">
        <v>742</v>
      </c>
      <c r="L322" s="4" t="s">
        <v>742</v>
      </c>
      <c r="M322" s="4" t="s">
        <v>742</v>
      </c>
      <c r="N322" s="4" t="s">
        <v>742</v>
      </c>
    </row>
    <row r="323">
      <c r="B323" s="8" t="s">
        <v>742</v>
      </c>
      <c r="C323" s="4" t="s">
        <v>742</v>
      </c>
      <c r="D323" s="4" t="s">
        <v>742</v>
      </c>
      <c r="E323" s="4" t="s">
        <v>742</v>
      </c>
      <c r="F323" s="4" t="s">
        <v>742</v>
      </c>
      <c r="G323" s="4" t="s">
        <v>742</v>
      </c>
      <c r="H323" s="4" t="s">
        <v>742</v>
      </c>
      <c r="I323" s="4" t="s">
        <v>742</v>
      </c>
      <c r="J323" s="4" t="s">
        <v>742</v>
      </c>
      <c r="K323" s="4" t="s">
        <v>742</v>
      </c>
      <c r="L323" s="4" t="s">
        <v>742</v>
      </c>
      <c r="M323" s="4" t="s">
        <v>742</v>
      </c>
      <c r="N323" s="4" t="s">
        <v>742</v>
      </c>
    </row>
    <row r="324">
      <c r="B324" s="8" t="s">
        <v>742</v>
      </c>
      <c r="C324" s="4" t="s">
        <v>742</v>
      </c>
      <c r="D324" s="4" t="s">
        <v>742</v>
      </c>
      <c r="E324" s="4" t="s">
        <v>742</v>
      </c>
      <c r="F324" s="4" t="s">
        <v>742</v>
      </c>
      <c r="G324" s="4" t="s">
        <v>742</v>
      </c>
      <c r="H324" s="4" t="s">
        <v>742</v>
      </c>
      <c r="I324" s="4" t="s">
        <v>742</v>
      </c>
      <c r="J324" s="4" t="s">
        <v>742</v>
      </c>
      <c r="K324" s="4" t="s">
        <v>742</v>
      </c>
      <c r="L324" s="4" t="s">
        <v>742</v>
      </c>
      <c r="M324" s="4" t="s">
        <v>742</v>
      </c>
      <c r="N324" s="4" t="s">
        <v>742</v>
      </c>
    </row>
    <row r="325">
      <c r="B325" s="8" t="s">
        <v>742</v>
      </c>
      <c r="C325" s="4" t="s">
        <v>742</v>
      </c>
      <c r="D325" s="4" t="s">
        <v>742</v>
      </c>
      <c r="E325" s="4" t="s">
        <v>742</v>
      </c>
      <c r="F325" s="4" t="s">
        <v>742</v>
      </c>
      <c r="G325" s="4" t="s">
        <v>742</v>
      </c>
      <c r="H325" s="4" t="s">
        <v>742</v>
      </c>
      <c r="I325" s="4" t="s">
        <v>742</v>
      </c>
      <c r="J325" s="4" t="s">
        <v>742</v>
      </c>
      <c r="K325" s="4" t="s">
        <v>742</v>
      </c>
      <c r="L325" s="4" t="s">
        <v>742</v>
      </c>
      <c r="M325" s="4" t="s">
        <v>742</v>
      </c>
      <c r="N325" s="4" t="s">
        <v>742</v>
      </c>
    </row>
    <row r="326">
      <c r="B326" s="8" t="s">
        <v>742</v>
      </c>
      <c r="C326" s="4" t="s">
        <v>742</v>
      </c>
      <c r="D326" s="4" t="s">
        <v>742</v>
      </c>
      <c r="E326" s="4" t="s">
        <v>742</v>
      </c>
      <c r="F326" s="4" t="s">
        <v>742</v>
      </c>
      <c r="G326" s="4" t="s">
        <v>742</v>
      </c>
      <c r="H326" s="4" t="s">
        <v>742</v>
      </c>
      <c r="I326" s="4" t="s">
        <v>742</v>
      </c>
      <c r="J326" s="4" t="s">
        <v>742</v>
      </c>
      <c r="K326" s="4" t="s">
        <v>742</v>
      </c>
      <c r="L326" s="4" t="s">
        <v>742</v>
      </c>
      <c r="M326" s="4" t="s">
        <v>742</v>
      </c>
      <c r="N326" s="4" t="s">
        <v>742</v>
      </c>
    </row>
    <row r="327">
      <c r="B327" s="8" t="s">
        <v>742</v>
      </c>
      <c r="C327" s="4" t="s">
        <v>742</v>
      </c>
      <c r="D327" s="4" t="s">
        <v>742</v>
      </c>
      <c r="E327" s="4" t="s">
        <v>742</v>
      </c>
      <c r="F327" s="4" t="s">
        <v>742</v>
      </c>
      <c r="G327" s="4" t="s">
        <v>742</v>
      </c>
      <c r="H327" s="4" t="s">
        <v>742</v>
      </c>
      <c r="I327" s="4" t="s">
        <v>742</v>
      </c>
      <c r="J327" s="4" t="s">
        <v>742</v>
      </c>
      <c r="K327" s="4" t="s">
        <v>742</v>
      </c>
      <c r="L327" s="4" t="s">
        <v>742</v>
      </c>
      <c r="M327" s="4" t="s">
        <v>742</v>
      </c>
      <c r="N327" s="4" t="s">
        <v>742</v>
      </c>
    </row>
    <row r="328">
      <c r="B328" s="8" t="s">
        <v>742</v>
      </c>
      <c r="C328" s="4" t="s">
        <v>742</v>
      </c>
      <c r="D328" s="4" t="s">
        <v>742</v>
      </c>
      <c r="E328" s="4" t="s">
        <v>742</v>
      </c>
      <c r="F328" s="4" t="s">
        <v>742</v>
      </c>
      <c r="G328" s="4" t="s">
        <v>742</v>
      </c>
      <c r="H328" s="4" t="s">
        <v>742</v>
      </c>
      <c r="I328" s="4" t="s">
        <v>742</v>
      </c>
      <c r="J328" s="4" t="s">
        <v>742</v>
      </c>
      <c r="K328" s="4" t="s">
        <v>742</v>
      </c>
      <c r="L328" s="4" t="s">
        <v>742</v>
      </c>
      <c r="M328" s="4" t="s">
        <v>742</v>
      </c>
      <c r="N328" s="4" t="s">
        <v>742</v>
      </c>
    </row>
    <row r="329">
      <c r="B329" s="8" t="s">
        <v>742</v>
      </c>
      <c r="C329" s="4" t="s">
        <v>742</v>
      </c>
      <c r="D329" s="4" t="s">
        <v>742</v>
      </c>
      <c r="E329" s="4" t="s">
        <v>742</v>
      </c>
      <c r="F329" s="4" t="s">
        <v>742</v>
      </c>
      <c r="G329" s="4" t="s">
        <v>742</v>
      </c>
      <c r="H329" s="4" t="s">
        <v>742</v>
      </c>
      <c r="I329" s="4" t="s">
        <v>742</v>
      </c>
      <c r="J329" s="4" t="s">
        <v>742</v>
      </c>
      <c r="K329" s="4" t="s">
        <v>742</v>
      </c>
      <c r="L329" s="4" t="s">
        <v>742</v>
      </c>
      <c r="M329" s="4" t="s">
        <v>742</v>
      </c>
      <c r="N329" s="4" t="s">
        <v>742</v>
      </c>
    </row>
    <row r="330">
      <c r="B330" s="8" t="s">
        <v>742</v>
      </c>
      <c r="C330" s="4" t="s">
        <v>742</v>
      </c>
      <c r="D330" s="4" t="s">
        <v>742</v>
      </c>
      <c r="E330" s="4" t="s">
        <v>742</v>
      </c>
      <c r="F330" s="4" t="s">
        <v>742</v>
      </c>
      <c r="G330" s="4" t="s">
        <v>742</v>
      </c>
      <c r="H330" s="4" t="s">
        <v>742</v>
      </c>
      <c r="I330" s="4" t="s">
        <v>742</v>
      </c>
      <c r="J330" s="4" t="s">
        <v>742</v>
      </c>
      <c r="K330" s="4" t="s">
        <v>742</v>
      </c>
      <c r="L330" s="4" t="s">
        <v>742</v>
      </c>
      <c r="M330" s="4" t="s">
        <v>742</v>
      </c>
      <c r="N330" s="4" t="s">
        <v>742</v>
      </c>
    </row>
    <row r="331">
      <c r="B331" s="8" t="s">
        <v>742</v>
      </c>
      <c r="C331" s="4" t="s">
        <v>742</v>
      </c>
      <c r="D331" s="4" t="s">
        <v>742</v>
      </c>
      <c r="E331" s="4" t="s">
        <v>742</v>
      </c>
      <c r="F331" s="4" t="s">
        <v>742</v>
      </c>
      <c r="G331" s="4" t="s">
        <v>742</v>
      </c>
      <c r="H331" s="4" t="s">
        <v>742</v>
      </c>
      <c r="I331" s="4" t="s">
        <v>742</v>
      </c>
      <c r="J331" s="4" t="s">
        <v>742</v>
      </c>
      <c r="K331" s="4" t="s">
        <v>742</v>
      </c>
      <c r="L331" s="4" t="s">
        <v>742</v>
      </c>
      <c r="M331" s="4" t="s">
        <v>742</v>
      </c>
      <c r="N331" s="4" t="s">
        <v>742</v>
      </c>
    </row>
    <row r="332">
      <c r="B332" s="8" t="s">
        <v>742</v>
      </c>
      <c r="C332" s="4" t="s">
        <v>742</v>
      </c>
      <c r="D332" s="4" t="s">
        <v>742</v>
      </c>
      <c r="E332" s="4" t="s">
        <v>742</v>
      </c>
      <c r="F332" s="4" t="s">
        <v>742</v>
      </c>
      <c r="G332" s="4" t="s">
        <v>742</v>
      </c>
      <c r="H332" s="4" t="s">
        <v>742</v>
      </c>
      <c r="I332" s="4" t="s">
        <v>742</v>
      </c>
      <c r="J332" s="4" t="s">
        <v>742</v>
      </c>
      <c r="K332" s="4" t="s">
        <v>742</v>
      </c>
      <c r="L332" s="4" t="s">
        <v>742</v>
      </c>
      <c r="M332" s="4" t="s">
        <v>742</v>
      </c>
      <c r="N332" s="4" t="s">
        <v>742</v>
      </c>
    </row>
    <row r="333">
      <c r="B333" s="8" t="s">
        <v>742</v>
      </c>
      <c r="C333" s="4" t="s">
        <v>742</v>
      </c>
      <c r="D333" s="4" t="s">
        <v>742</v>
      </c>
      <c r="E333" s="4" t="s">
        <v>742</v>
      </c>
      <c r="F333" s="4" t="s">
        <v>742</v>
      </c>
      <c r="G333" s="4" t="s">
        <v>742</v>
      </c>
      <c r="H333" s="4" t="s">
        <v>742</v>
      </c>
      <c r="I333" s="4" t="s">
        <v>742</v>
      </c>
      <c r="J333" s="4" t="s">
        <v>742</v>
      </c>
      <c r="K333" s="4" t="s">
        <v>742</v>
      </c>
      <c r="L333" s="4" t="s">
        <v>742</v>
      </c>
      <c r="M333" s="4" t="s">
        <v>742</v>
      </c>
      <c r="N333" s="4" t="s">
        <v>742</v>
      </c>
    </row>
    <row r="334">
      <c r="B334" s="8" t="s">
        <v>742</v>
      </c>
      <c r="C334" s="4" t="s">
        <v>742</v>
      </c>
      <c r="D334" s="4" t="s">
        <v>742</v>
      </c>
      <c r="E334" s="4" t="s">
        <v>742</v>
      </c>
      <c r="F334" s="4" t="s">
        <v>742</v>
      </c>
      <c r="G334" s="4" t="s">
        <v>742</v>
      </c>
      <c r="H334" s="4" t="s">
        <v>742</v>
      </c>
      <c r="I334" s="4" t="s">
        <v>742</v>
      </c>
      <c r="J334" s="4" t="s">
        <v>742</v>
      </c>
      <c r="K334" s="4" t="s">
        <v>742</v>
      </c>
      <c r="L334" s="4" t="s">
        <v>742</v>
      </c>
      <c r="M334" s="4" t="s">
        <v>742</v>
      </c>
      <c r="N334" s="4" t="s">
        <v>742</v>
      </c>
    </row>
    <row r="335">
      <c r="B335" s="8" t="s">
        <v>742</v>
      </c>
      <c r="C335" s="4" t="s">
        <v>742</v>
      </c>
      <c r="D335" s="4" t="s">
        <v>742</v>
      </c>
      <c r="E335" s="4" t="s">
        <v>742</v>
      </c>
      <c r="F335" s="4" t="s">
        <v>742</v>
      </c>
      <c r="G335" s="4" t="s">
        <v>742</v>
      </c>
      <c r="H335" s="4" t="s">
        <v>742</v>
      </c>
      <c r="I335" s="4" t="s">
        <v>742</v>
      </c>
      <c r="J335" s="4" t="s">
        <v>742</v>
      </c>
      <c r="K335" s="4" t="s">
        <v>742</v>
      </c>
      <c r="L335" s="4" t="s">
        <v>742</v>
      </c>
      <c r="M335" s="4" t="s">
        <v>742</v>
      </c>
      <c r="N335" s="4" t="s">
        <v>742</v>
      </c>
    </row>
    <row r="336">
      <c r="B336" s="8" t="s">
        <v>742</v>
      </c>
      <c r="C336" s="4" t="s">
        <v>742</v>
      </c>
      <c r="D336" s="4" t="s">
        <v>742</v>
      </c>
      <c r="E336" s="4" t="s">
        <v>742</v>
      </c>
      <c r="F336" s="4" t="s">
        <v>742</v>
      </c>
      <c r="G336" s="4" t="s">
        <v>742</v>
      </c>
      <c r="H336" s="4" t="s">
        <v>742</v>
      </c>
      <c r="I336" s="4" t="s">
        <v>742</v>
      </c>
      <c r="J336" s="4" t="s">
        <v>742</v>
      </c>
      <c r="K336" s="4" t="s">
        <v>742</v>
      </c>
      <c r="L336" s="4" t="s">
        <v>742</v>
      </c>
      <c r="M336" s="4" t="s">
        <v>742</v>
      </c>
      <c r="N336" s="4" t="s">
        <v>742</v>
      </c>
    </row>
    <row r="337">
      <c r="B337" s="8" t="s">
        <v>742</v>
      </c>
      <c r="C337" s="4" t="s">
        <v>742</v>
      </c>
      <c r="D337" s="4" t="s">
        <v>742</v>
      </c>
      <c r="E337" s="4" t="s">
        <v>742</v>
      </c>
      <c r="F337" s="4" t="s">
        <v>742</v>
      </c>
      <c r="G337" s="4" t="s">
        <v>742</v>
      </c>
      <c r="H337" s="4" t="s">
        <v>742</v>
      </c>
      <c r="I337" s="4" t="s">
        <v>742</v>
      </c>
      <c r="J337" s="4" t="s">
        <v>742</v>
      </c>
      <c r="K337" s="4" t="s">
        <v>742</v>
      </c>
      <c r="L337" s="4" t="s">
        <v>742</v>
      </c>
      <c r="M337" s="4" t="s">
        <v>742</v>
      </c>
      <c r="N337" s="4" t="s">
        <v>742</v>
      </c>
    </row>
    <row r="338">
      <c r="B338" s="8" t="s">
        <v>742</v>
      </c>
      <c r="C338" s="4" t="s">
        <v>742</v>
      </c>
      <c r="D338" s="4" t="s">
        <v>742</v>
      </c>
      <c r="E338" s="4" t="s">
        <v>742</v>
      </c>
      <c r="F338" s="4" t="s">
        <v>742</v>
      </c>
      <c r="G338" s="4" t="s">
        <v>742</v>
      </c>
      <c r="H338" s="4" t="s">
        <v>742</v>
      </c>
      <c r="I338" s="4" t="s">
        <v>742</v>
      </c>
      <c r="J338" s="4" t="s">
        <v>742</v>
      </c>
      <c r="K338" s="4" t="s">
        <v>742</v>
      </c>
      <c r="L338" s="4" t="s">
        <v>742</v>
      </c>
      <c r="M338" s="4" t="s">
        <v>742</v>
      </c>
      <c r="N338" s="4" t="s">
        <v>742</v>
      </c>
    </row>
    <row r="339">
      <c r="B339" s="8" t="s">
        <v>742</v>
      </c>
      <c r="C339" s="4" t="s">
        <v>742</v>
      </c>
      <c r="D339" s="4" t="s">
        <v>742</v>
      </c>
      <c r="E339" s="4" t="s">
        <v>742</v>
      </c>
      <c r="F339" s="4" t="s">
        <v>742</v>
      </c>
      <c r="G339" s="4" t="s">
        <v>742</v>
      </c>
      <c r="H339" s="4" t="s">
        <v>742</v>
      </c>
      <c r="I339" s="4" t="s">
        <v>742</v>
      </c>
      <c r="J339" s="4" t="s">
        <v>742</v>
      </c>
      <c r="K339" s="4" t="s">
        <v>742</v>
      </c>
      <c r="L339" s="4" t="s">
        <v>742</v>
      </c>
      <c r="M339" s="4" t="s">
        <v>742</v>
      </c>
      <c r="N339" s="4" t="s">
        <v>742</v>
      </c>
    </row>
    <row r="340">
      <c r="B340" s="8" t="s">
        <v>742</v>
      </c>
      <c r="C340" s="4" t="s">
        <v>742</v>
      </c>
      <c r="D340" s="4" t="s">
        <v>742</v>
      </c>
      <c r="E340" s="4" t="s">
        <v>742</v>
      </c>
      <c r="F340" s="4" t="s">
        <v>742</v>
      </c>
      <c r="G340" s="4" t="s">
        <v>742</v>
      </c>
      <c r="H340" s="4" t="s">
        <v>742</v>
      </c>
      <c r="I340" s="4" t="s">
        <v>742</v>
      </c>
      <c r="J340" s="4" t="s">
        <v>742</v>
      </c>
      <c r="K340" s="4" t="s">
        <v>742</v>
      </c>
      <c r="L340" s="4" t="s">
        <v>742</v>
      </c>
      <c r="M340" s="4" t="s">
        <v>742</v>
      </c>
      <c r="N340" s="4" t="s">
        <v>742</v>
      </c>
    </row>
    <row r="341">
      <c r="B341" s="8" t="s">
        <v>742</v>
      </c>
      <c r="C341" s="4" t="s">
        <v>742</v>
      </c>
      <c r="D341" s="4" t="s">
        <v>742</v>
      </c>
      <c r="E341" s="4" t="s">
        <v>742</v>
      </c>
      <c r="F341" s="4" t="s">
        <v>742</v>
      </c>
      <c r="G341" s="4" t="s">
        <v>742</v>
      </c>
      <c r="H341" s="4" t="s">
        <v>742</v>
      </c>
      <c r="I341" s="4" t="s">
        <v>742</v>
      </c>
      <c r="J341" s="4" t="s">
        <v>742</v>
      </c>
      <c r="K341" s="4" t="s">
        <v>742</v>
      </c>
      <c r="L341" s="4" t="s">
        <v>742</v>
      </c>
      <c r="M341" s="4" t="s">
        <v>742</v>
      </c>
      <c r="N341" s="4" t="s">
        <v>742</v>
      </c>
    </row>
    <row r="342">
      <c r="B342" s="8" t="s">
        <v>742</v>
      </c>
      <c r="C342" s="4" t="s">
        <v>742</v>
      </c>
      <c r="D342" s="4" t="s">
        <v>742</v>
      </c>
      <c r="E342" s="4" t="s">
        <v>742</v>
      </c>
      <c r="F342" s="4" t="s">
        <v>742</v>
      </c>
      <c r="G342" s="4" t="s">
        <v>742</v>
      </c>
      <c r="H342" s="4" t="s">
        <v>742</v>
      </c>
      <c r="I342" s="4" t="s">
        <v>742</v>
      </c>
      <c r="J342" s="4" t="s">
        <v>742</v>
      </c>
      <c r="K342" s="4" t="s">
        <v>742</v>
      </c>
      <c r="L342" s="4" t="s">
        <v>742</v>
      </c>
      <c r="M342" s="4" t="s">
        <v>742</v>
      </c>
      <c r="N342" s="4" t="s">
        <v>742</v>
      </c>
    </row>
    <row r="343">
      <c r="B343" s="8" t="s">
        <v>742</v>
      </c>
      <c r="C343" s="4" t="s">
        <v>742</v>
      </c>
      <c r="D343" s="4" t="s">
        <v>742</v>
      </c>
      <c r="E343" s="4" t="s">
        <v>742</v>
      </c>
      <c r="F343" s="4" t="s">
        <v>742</v>
      </c>
      <c r="G343" s="4" t="s">
        <v>742</v>
      </c>
      <c r="H343" s="4" t="s">
        <v>742</v>
      </c>
      <c r="I343" s="4" t="s">
        <v>742</v>
      </c>
      <c r="J343" s="4" t="s">
        <v>742</v>
      </c>
      <c r="K343" s="4" t="s">
        <v>742</v>
      </c>
      <c r="L343" s="4" t="s">
        <v>742</v>
      </c>
      <c r="M343" s="4" t="s">
        <v>742</v>
      </c>
      <c r="N343" s="4" t="s">
        <v>742</v>
      </c>
    </row>
    <row r="344">
      <c r="B344" s="8" t="s">
        <v>742</v>
      </c>
      <c r="C344" s="4" t="s">
        <v>742</v>
      </c>
      <c r="D344" s="4" t="s">
        <v>742</v>
      </c>
      <c r="E344" s="4" t="s">
        <v>742</v>
      </c>
      <c r="F344" s="4" t="s">
        <v>742</v>
      </c>
      <c r="G344" s="4" t="s">
        <v>742</v>
      </c>
      <c r="H344" s="4" t="s">
        <v>742</v>
      </c>
      <c r="I344" s="4" t="s">
        <v>742</v>
      </c>
      <c r="J344" s="4" t="s">
        <v>742</v>
      </c>
      <c r="K344" s="4" t="s">
        <v>742</v>
      </c>
      <c r="L344" s="4" t="s">
        <v>742</v>
      </c>
      <c r="M344" s="4" t="s">
        <v>742</v>
      </c>
      <c r="N344" s="4" t="s">
        <v>742</v>
      </c>
    </row>
    <row r="345">
      <c r="B345" s="8" t="s">
        <v>742</v>
      </c>
      <c r="C345" s="4" t="s">
        <v>742</v>
      </c>
      <c r="D345" s="4" t="s">
        <v>742</v>
      </c>
      <c r="E345" s="4" t="s">
        <v>742</v>
      </c>
      <c r="F345" s="4" t="s">
        <v>742</v>
      </c>
      <c r="G345" s="4" t="s">
        <v>742</v>
      </c>
      <c r="H345" s="4" t="s">
        <v>742</v>
      </c>
      <c r="I345" s="4" t="s">
        <v>742</v>
      </c>
      <c r="J345" s="4" t="s">
        <v>742</v>
      </c>
      <c r="K345" s="4" t="s">
        <v>742</v>
      </c>
      <c r="L345" s="4" t="s">
        <v>742</v>
      </c>
      <c r="M345" s="4" t="s">
        <v>742</v>
      </c>
      <c r="N345" s="4" t="s">
        <v>742</v>
      </c>
    </row>
    <row r="346">
      <c r="B346" s="8" t="s">
        <v>742</v>
      </c>
      <c r="C346" s="4" t="s">
        <v>742</v>
      </c>
      <c r="D346" s="4" t="s">
        <v>742</v>
      </c>
      <c r="E346" s="4" t="s">
        <v>742</v>
      </c>
      <c r="F346" s="4" t="s">
        <v>742</v>
      </c>
      <c r="G346" s="4" t="s">
        <v>742</v>
      </c>
      <c r="H346" s="4" t="s">
        <v>742</v>
      </c>
      <c r="I346" s="4" t="s">
        <v>742</v>
      </c>
      <c r="J346" s="4" t="s">
        <v>742</v>
      </c>
      <c r="K346" s="4" t="s">
        <v>742</v>
      </c>
      <c r="L346" s="4" t="s">
        <v>742</v>
      </c>
      <c r="M346" s="4" t="s">
        <v>742</v>
      </c>
      <c r="N346" s="4" t="s">
        <v>742</v>
      </c>
    </row>
    <row r="347">
      <c r="B347" s="8" t="s">
        <v>742</v>
      </c>
      <c r="C347" s="4" t="s">
        <v>742</v>
      </c>
      <c r="D347" s="4" t="s">
        <v>742</v>
      </c>
      <c r="E347" s="4" t="s">
        <v>742</v>
      </c>
      <c r="F347" s="4" t="s">
        <v>742</v>
      </c>
      <c r="G347" s="4" t="s">
        <v>742</v>
      </c>
      <c r="H347" s="4" t="s">
        <v>742</v>
      </c>
      <c r="I347" s="4" t="s">
        <v>742</v>
      </c>
      <c r="J347" s="4" t="s">
        <v>742</v>
      </c>
      <c r="K347" s="4" t="s">
        <v>742</v>
      </c>
      <c r="L347" s="4" t="s">
        <v>742</v>
      </c>
      <c r="M347" s="4" t="s">
        <v>742</v>
      </c>
      <c r="N347" s="4" t="s">
        <v>742</v>
      </c>
    </row>
    <row r="348">
      <c r="B348" s="8" t="s">
        <v>742</v>
      </c>
      <c r="C348" s="4" t="s">
        <v>742</v>
      </c>
      <c r="D348" s="4" t="s">
        <v>742</v>
      </c>
      <c r="E348" s="4" t="s">
        <v>742</v>
      </c>
      <c r="F348" s="4" t="s">
        <v>742</v>
      </c>
      <c r="G348" s="4" t="s">
        <v>742</v>
      </c>
      <c r="H348" s="4" t="s">
        <v>742</v>
      </c>
      <c r="I348" s="4" t="s">
        <v>742</v>
      </c>
      <c r="J348" s="4" t="s">
        <v>742</v>
      </c>
      <c r="K348" s="4" t="s">
        <v>742</v>
      </c>
      <c r="L348" s="4" t="s">
        <v>742</v>
      </c>
      <c r="M348" s="4" t="s">
        <v>742</v>
      </c>
      <c r="N348" s="4" t="s">
        <v>742</v>
      </c>
    </row>
    <row r="349">
      <c r="B349" s="8" t="s">
        <v>742</v>
      </c>
      <c r="C349" s="4" t="s">
        <v>742</v>
      </c>
      <c r="D349" s="4" t="s">
        <v>742</v>
      </c>
      <c r="E349" s="4" t="s">
        <v>742</v>
      </c>
      <c r="F349" s="4" t="s">
        <v>742</v>
      </c>
      <c r="G349" s="4" t="s">
        <v>742</v>
      </c>
      <c r="H349" s="4" t="s">
        <v>742</v>
      </c>
      <c r="I349" s="4" t="s">
        <v>742</v>
      </c>
      <c r="J349" s="4" t="s">
        <v>742</v>
      </c>
      <c r="K349" s="4" t="s">
        <v>742</v>
      </c>
      <c r="L349" s="4" t="s">
        <v>742</v>
      </c>
      <c r="M349" s="4" t="s">
        <v>742</v>
      </c>
      <c r="N349" s="4" t="s">
        <v>742</v>
      </c>
    </row>
    <row r="350">
      <c r="B350" s="8" t="s">
        <v>742</v>
      </c>
      <c r="C350" s="4" t="s">
        <v>742</v>
      </c>
      <c r="D350" s="4" t="s">
        <v>742</v>
      </c>
      <c r="E350" s="4" t="s">
        <v>742</v>
      </c>
      <c r="F350" s="4" t="s">
        <v>742</v>
      </c>
      <c r="G350" s="4" t="s">
        <v>742</v>
      </c>
      <c r="H350" s="4" t="s">
        <v>742</v>
      </c>
      <c r="I350" s="4" t="s">
        <v>742</v>
      </c>
      <c r="J350" s="4" t="s">
        <v>742</v>
      </c>
      <c r="K350" s="4" t="s">
        <v>742</v>
      </c>
      <c r="L350" s="4" t="s">
        <v>742</v>
      </c>
      <c r="M350" s="4" t="s">
        <v>742</v>
      </c>
      <c r="N350" s="4" t="s">
        <v>742</v>
      </c>
    </row>
    <row r="351">
      <c r="B351" s="8" t="s">
        <v>742</v>
      </c>
      <c r="C351" s="4" t="s">
        <v>742</v>
      </c>
      <c r="D351" s="4" t="s">
        <v>742</v>
      </c>
      <c r="E351" s="4" t="s">
        <v>742</v>
      </c>
      <c r="F351" s="4" t="s">
        <v>742</v>
      </c>
      <c r="G351" s="4" t="s">
        <v>742</v>
      </c>
      <c r="H351" s="4" t="s">
        <v>742</v>
      </c>
      <c r="I351" s="4" t="s">
        <v>742</v>
      </c>
      <c r="J351" s="4" t="s">
        <v>742</v>
      </c>
      <c r="K351" s="4" t="s">
        <v>742</v>
      </c>
      <c r="L351" s="4" t="s">
        <v>742</v>
      </c>
      <c r="M351" s="4" t="s">
        <v>742</v>
      </c>
      <c r="N351" s="4" t="s">
        <v>742</v>
      </c>
    </row>
    <row r="352">
      <c r="B352" s="8" t="s">
        <v>742</v>
      </c>
      <c r="C352" s="4" t="s">
        <v>742</v>
      </c>
      <c r="D352" s="4" t="s">
        <v>742</v>
      </c>
      <c r="E352" s="4" t="s">
        <v>742</v>
      </c>
      <c r="F352" s="4" t="s">
        <v>742</v>
      </c>
      <c r="G352" s="4" t="s">
        <v>742</v>
      </c>
      <c r="H352" s="4" t="s">
        <v>742</v>
      </c>
      <c r="I352" s="4" t="s">
        <v>742</v>
      </c>
      <c r="J352" s="4" t="s">
        <v>742</v>
      </c>
      <c r="K352" s="4" t="s">
        <v>742</v>
      </c>
      <c r="L352" s="4" t="s">
        <v>742</v>
      </c>
      <c r="M352" s="4" t="s">
        <v>742</v>
      </c>
      <c r="N352" s="4" t="s">
        <v>742</v>
      </c>
    </row>
    <row r="353">
      <c r="B353" s="8" t="s">
        <v>742</v>
      </c>
      <c r="C353" s="4" t="s">
        <v>742</v>
      </c>
      <c r="D353" s="4" t="s">
        <v>742</v>
      </c>
      <c r="E353" s="4" t="s">
        <v>742</v>
      </c>
      <c r="F353" s="4" t="s">
        <v>742</v>
      </c>
      <c r="G353" s="4" t="s">
        <v>742</v>
      </c>
      <c r="H353" s="4" t="s">
        <v>742</v>
      </c>
      <c r="I353" s="4" t="s">
        <v>742</v>
      </c>
      <c r="J353" s="4" t="s">
        <v>742</v>
      </c>
      <c r="K353" s="4" t="s">
        <v>742</v>
      </c>
      <c r="L353" s="4" t="s">
        <v>742</v>
      </c>
      <c r="M353" s="4" t="s">
        <v>742</v>
      </c>
      <c r="N353" s="4" t="s">
        <v>742</v>
      </c>
    </row>
    <row r="354">
      <c r="B354" s="8" t="s">
        <v>742</v>
      </c>
      <c r="C354" s="4" t="s">
        <v>742</v>
      </c>
      <c r="D354" s="4" t="s">
        <v>742</v>
      </c>
      <c r="E354" s="4" t="s">
        <v>742</v>
      </c>
      <c r="F354" s="4" t="s">
        <v>742</v>
      </c>
      <c r="G354" s="4" t="s">
        <v>742</v>
      </c>
      <c r="H354" s="4" t="s">
        <v>742</v>
      </c>
      <c r="I354" s="4" t="s">
        <v>742</v>
      </c>
      <c r="J354" s="4" t="s">
        <v>742</v>
      </c>
      <c r="K354" s="4" t="s">
        <v>742</v>
      </c>
      <c r="L354" s="4" t="s">
        <v>742</v>
      </c>
      <c r="M354" s="4" t="s">
        <v>742</v>
      </c>
      <c r="N354" s="4" t="s">
        <v>742</v>
      </c>
    </row>
    <row r="355">
      <c r="B355" s="8" t="s">
        <v>742</v>
      </c>
      <c r="C355" s="4" t="s">
        <v>742</v>
      </c>
      <c r="D355" s="4" t="s">
        <v>742</v>
      </c>
      <c r="E355" s="4" t="s">
        <v>742</v>
      </c>
      <c r="F355" s="4" t="s">
        <v>742</v>
      </c>
      <c r="G355" s="4" t="s">
        <v>742</v>
      </c>
      <c r="H355" s="4" t="s">
        <v>742</v>
      </c>
      <c r="I355" s="4" t="s">
        <v>742</v>
      </c>
      <c r="J355" s="4" t="s">
        <v>742</v>
      </c>
      <c r="K355" s="4" t="s">
        <v>742</v>
      </c>
      <c r="L355" s="4" t="s">
        <v>742</v>
      </c>
      <c r="M355" s="4" t="s">
        <v>742</v>
      </c>
      <c r="N355" s="4" t="s">
        <v>742</v>
      </c>
    </row>
    <row r="356">
      <c r="B356" s="8" t="s">
        <v>742</v>
      </c>
      <c r="C356" s="4" t="s">
        <v>742</v>
      </c>
      <c r="D356" s="4" t="s">
        <v>742</v>
      </c>
      <c r="E356" s="4" t="s">
        <v>742</v>
      </c>
      <c r="F356" s="4" t="s">
        <v>742</v>
      </c>
      <c r="G356" s="4" t="s">
        <v>742</v>
      </c>
      <c r="H356" s="4" t="s">
        <v>742</v>
      </c>
      <c r="I356" s="4" t="s">
        <v>742</v>
      </c>
      <c r="J356" s="4" t="s">
        <v>742</v>
      </c>
      <c r="K356" s="4" t="s">
        <v>742</v>
      </c>
      <c r="L356" s="4" t="s">
        <v>742</v>
      </c>
      <c r="M356" s="4" t="s">
        <v>742</v>
      </c>
      <c r="N356" s="4" t="s">
        <v>742</v>
      </c>
    </row>
    <row r="357">
      <c r="B357" s="8" t="s">
        <v>742</v>
      </c>
      <c r="C357" s="4" t="s">
        <v>742</v>
      </c>
      <c r="D357" s="4" t="s">
        <v>742</v>
      </c>
      <c r="E357" s="4" t="s">
        <v>742</v>
      </c>
      <c r="F357" s="4" t="s">
        <v>742</v>
      </c>
      <c r="G357" s="4" t="s">
        <v>742</v>
      </c>
      <c r="H357" s="4" t="s">
        <v>742</v>
      </c>
      <c r="I357" s="4" t="s">
        <v>742</v>
      </c>
      <c r="J357" s="4" t="s">
        <v>742</v>
      </c>
      <c r="K357" s="4" t="s">
        <v>742</v>
      </c>
      <c r="L357" s="4" t="s">
        <v>742</v>
      </c>
      <c r="M357" s="4" t="s">
        <v>742</v>
      </c>
      <c r="N357" s="4" t="s">
        <v>742</v>
      </c>
    </row>
    <row r="358">
      <c r="B358" s="8" t="s">
        <v>742</v>
      </c>
      <c r="C358" s="4" t="s">
        <v>742</v>
      </c>
      <c r="D358" s="4" t="s">
        <v>742</v>
      </c>
      <c r="E358" s="4" t="s">
        <v>742</v>
      </c>
      <c r="F358" s="4" t="s">
        <v>742</v>
      </c>
      <c r="G358" s="4" t="s">
        <v>742</v>
      </c>
      <c r="H358" s="4" t="s">
        <v>742</v>
      </c>
      <c r="I358" s="4" t="s">
        <v>742</v>
      </c>
      <c r="J358" s="4" t="s">
        <v>742</v>
      </c>
      <c r="K358" s="4" t="s">
        <v>742</v>
      </c>
      <c r="L358" s="4" t="s">
        <v>742</v>
      </c>
      <c r="M358" s="4" t="s">
        <v>742</v>
      </c>
      <c r="N358" s="4" t="s">
        <v>742</v>
      </c>
    </row>
    <row r="359">
      <c r="B359" s="8" t="s">
        <v>742</v>
      </c>
      <c r="C359" s="4" t="s">
        <v>742</v>
      </c>
      <c r="D359" s="4" t="s">
        <v>742</v>
      </c>
      <c r="E359" s="4" t="s">
        <v>742</v>
      </c>
      <c r="F359" s="4" t="s">
        <v>742</v>
      </c>
      <c r="G359" s="4" t="s">
        <v>742</v>
      </c>
      <c r="H359" s="4" t="s">
        <v>742</v>
      </c>
      <c r="I359" s="4" t="s">
        <v>742</v>
      </c>
      <c r="J359" s="4" t="s">
        <v>742</v>
      </c>
      <c r="K359" s="4" t="s">
        <v>742</v>
      </c>
      <c r="L359" s="4" t="s">
        <v>742</v>
      </c>
      <c r="M359" s="4" t="s">
        <v>742</v>
      </c>
      <c r="N359" s="4" t="s">
        <v>742</v>
      </c>
    </row>
    <row r="360">
      <c r="B360" s="8" t="s">
        <v>742</v>
      </c>
      <c r="C360" s="4" t="s">
        <v>742</v>
      </c>
      <c r="D360" s="4" t="s">
        <v>742</v>
      </c>
      <c r="E360" s="4" t="s">
        <v>742</v>
      </c>
      <c r="F360" s="4" t="s">
        <v>742</v>
      </c>
      <c r="G360" s="4" t="s">
        <v>742</v>
      </c>
      <c r="H360" s="4" t="s">
        <v>742</v>
      </c>
      <c r="I360" s="4" t="s">
        <v>742</v>
      </c>
      <c r="J360" s="4" t="s">
        <v>742</v>
      </c>
      <c r="K360" s="4" t="s">
        <v>742</v>
      </c>
      <c r="L360" s="4" t="s">
        <v>742</v>
      </c>
      <c r="M360" s="4" t="s">
        <v>742</v>
      </c>
      <c r="N360" s="4" t="s">
        <v>742</v>
      </c>
    </row>
    <row r="361">
      <c r="B361" s="8" t="s">
        <v>742</v>
      </c>
      <c r="C361" s="4" t="s">
        <v>742</v>
      </c>
      <c r="D361" s="4" t="s">
        <v>742</v>
      </c>
      <c r="E361" s="4" t="s">
        <v>742</v>
      </c>
      <c r="F361" s="4" t="s">
        <v>742</v>
      </c>
      <c r="G361" s="4" t="s">
        <v>742</v>
      </c>
      <c r="H361" s="4" t="s">
        <v>742</v>
      </c>
      <c r="I361" s="4" t="s">
        <v>742</v>
      </c>
      <c r="J361" s="4" t="s">
        <v>742</v>
      </c>
      <c r="K361" s="4" t="s">
        <v>742</v>
      </c>
      <c r="L361" s="4" t="s">
        <v>742</v>
      </c>
      <c r="M361" s="4" t="s">
        <v>742</v>
      </c>
      <c r="N361" s="4" t="s">
        <v>742</v>
      </c>
    </row>
    <row r="362">
      <c r="B362" s="8" t="s">
        <v>742</v>
      </c>
      <c r="C362" s="4" t="s">
        <v>742</v>
      </c>
      <c r="D362" s="4" t="s">
        <v>742</v>
      </c>
      <c r="E362" s="4" t="s">
        <v>742</v>
      </c>
      <c r="F362" s="4" t="s">
        <v>742</v>
      </c>
      <c r="G362" s="4" t="s">
        <v>742</v>
      </c>
      <c r="H362" s="4" t="s">
        <v>742</v>
      </c>
      <c r="I362" s="4" t="s">
        <v>742</v>
      </c>
      <c r="J362" s="4" t="s">
        <v>742</v>
      </c>
      <c r="K362" s="4" t="s">
        <v>742</v>
      </c>
      <c r="L362" s="4" t="s">
        <v>742</v>
      </c>
      <c r="M362" s="4" t="s">
        <v>742</v>
      </c>
      <c r="N362" s="4" t="s">
        <v>742</v>
      </c>
    </row>
    <row r="363">
      <c r="B363" s="8" t="s">
        <v>742</v>
      </c>
      <c r="C363" s="4" t="s">
        <v>742</v>
      </c>
      <c r="D363" s="4" t="s">
        <v>742</v>
      </c>
      <c r="E363" s="4" t="s">
        <v>742</v>
      </c>
      <c r="F363" s="4" t="s">
        <v>742</v>
      </c>
      <c r="G363" s="4" t="s">
        <v>742</v>
      </c>
      <c r="H363" s="4" t="s">
        <v>742</v>
      </c>
      <c r="I363" s="4" t="s">
        <v>742</v>
      </c>
      <c r="J363" s="4" t="s">
        <v>742</v>
      </c>
      <c r="K363" s="4" t="s">
        <v>742</v>
      </c>
      <c r="L363" s="4" t="s">
        <v>742</v>
      </c>
      <c r="M363" s="4" t="s">
        <v>742</v>
      </c>
      <c r="N363" s="4" t="s">
        <v>742</v>
      </c>
    </row>
    <row r="364">
      <c r="B364" s="8" t="s">
        <v>742</v>
      </c>
      <c r="C364" s="4" t="s">
        <v>742</v>
      </c>
      <c r="D364" s="4" t="s">
        <v>742</v>
      </c>
      <c r="E364" s="4" t="s">
        <v>742</v>
      </c>
      <c r="F364" s="4" t="s">
        <v>742</v>
      </c>
      <c r="G364" s="4" t="s">
        <v>742</v>
      </c>
      <c r="H364" s="4" t="s">
        <v>742</v>
      </c>
      <c r="I364" s="4" t="s">
        <v>742</v>
      </c>
      <c r="J364" s="4" t="s">
        <v>742</v>
      </c>
      <c r="K364" s="4" t="s">
        <v>742</v>
      </c>
      <c r="L364" s="4" t="s">
        <v>742</v>
      </c>
      <c r="M364" s="4" t="s">
        <v>742</v>
      </c>
      <c r="N364" s="4" t="s">
        <v>742</v>
      </c>
    </row>
    <row r="365">
      <c r="B365" s="8" t="s">
        <v>742</v>
      </c>
      <c r="C365" s="4" t="s">
        <v>742</v>
      </c>
      <c r="D365" s="4" t="s">
        <v>742</v>
      </c>
      <c r="E365" s="4" t="s">
        <v>742</v>
      </c>
      <c r="F365" s="4" t="s">
        <v>742</v>
      </c>
      <c r="G365" s="4" t="s">
        <v>742</v>
      </c>
      <c r="H365" s="4" t="s">
        <v>742</v>
      </c>
      <c r="I365" s="4" t="s">
        <v>742</v>
      </c>
      <c r="J365" s="4" t="s">
        <v>742</v>
      </c>
      <c r="K365" s="4" t="s">
        <v>742</v>
      </c>
      <c r="L365" s="4" t="s">
        <v>742</v>
      </c>
      <c r="M365" s="4" t="s">
        <v>742</v>
      </c>
      <c r="N365" s="4" t="s">
        <v>742</v>
      </c>
    </row>
    <row r="366">
      <c r="B366" s="8" t="s">
        <v>742</v>
      </c>
      <c r="C366" s="4" t="s">
        <v>742</v>
      </c>
      <c r="D366" s="4" t="s">
        <v>742</v>
      </c>
      <c r="E366" s="4" t="s">
        <v>742</v>
      </c>
      <c r="F366" s="4" t="s">
        <v>742</v>
      </c>
      <c r="G366" s="4" t="s">
        <v>742</v>
      </c>
      <c r="H366" s="4" t="s">
        <v>742</v>
      </c>
      <c r="I366" s="4" t="s">
        <v>742</v>
      </c>
      <c r="J366" s="4" t="s">
        <v>742</v>
      </c>
      <c r="K366" s="4" t="s">
        <v>742</v>
      </c>
      <c r="L366" s="4" t="s">
        <v>742</v>
      </c>
      <c r="M366" s="4" t="s">
        <v>742</v>
      </c>
      <c r="N366" s="4" t="s">
        <v>742</v>
      </c>
    </row>
    <row r="367">
      <c r="B367" s="8" t="s">
        <v>742</v>
      </c>
      <c r="C367" s="4" t="s">
        <v>742</v>
      </c>
      <c r="D367" s="4" t="s">
        <v>742</v>
      </c>
      <c r="E367" s="4" t="s">
        <v>742</v>
      </c>
      <c r="F367" s="4" t="s">
        <v>742</v>
      </c>
      <c r="G367" s="4" t="s">
        <v>742</v>
      </c>
      <c r="H367" s="4" t="s">
        <v>742</v>
      </c>
      <c r="I367" s="4" t="s">
        <v>742</v>
      </c>
      <c r="J367" s="4" t="s">
        <v>742</v>
      </c>
      <c r="K367" s="4" t="s">
        <v>742</v>
      </c>
      <c r="L367" s="4" t="s">
        <v>742</v>
      </c>
      <c r="M367" s="4" t="s">
        <v>742</v>
      </c>
      <c r="N367" s="4" t="s">
        <v>742</v>
      </c>
    </row>
    <row r="368">
      <c r="B368" s="8" t="s">
        <v>742</v>
      </c>
      <c r="C368" s="4" t="s">
        <v>742</v>
      </c>
      <c r="D368" s="4" t="s">
        <v>742</v>
      </c>
      <c r="E368" s="4" t="s">
        <v>742</v>
      </c>
      <c r="F368" s="4" t="s">
        <v>742</v>
      </c>
      <c r="G368" s="4" t="s">
        <v>742</v>
      </c>
      <c r="H368" s="4" t="s">
        <v>742</v>
      </c>
      <c r="I368" s="4" t="s">
        <v>742</v>
      </c>
      <c r="J368" s="4" t="s">
        <v>742</v>
      </c>
      <c r="K368" s="4" t="s">
        <v>742</v>
      </c>
      <c r="L368" s="4" t="s">
        <v>742</v>
      </c>
      <c r="M368" s="4" t="s">
        <v>742</v>
      </c>
      <c r="N368" s="4" t="s">
        <v>742</v>
      </c>
    </row>
    <row r="369">
      <c r="B369" s="8" t="s">
        <v>742</v>
      </c>
      <c r="C369" s="4" t="s">
        <v>742</v>
      </c>
      <c r="D369" s="4" t="s">
        <v>742</v>
      </c>
      <c r="E369" s="4" t="s">
        <v>742</v>
      </c>
      <c r="F369" s="4" t="s">
        <v>742</v>
      </c>
      <c r="G369" s="4" t="s">
        <v>742</v>
      </c>
      <c r="H369" s="4" t="s">
        <v>742</v>
      </c>
      <c r="I369" s="4" t="s">
        <v>742</v>
      </c>
      <c r="J369" s="4" t="s">
        <v>742</v>
      </c>
      <c r="K369" s="4" t="s">
        <v>742</v>
      </c>
      <c r="L369" s="4" t="s">
        <v>742</v>
      </c>
      <c r="M369" s="4" t="s">
        <v>742</v>
      </c>
      <c r="N369" s="4" t="s">
        <v>742</v>
      </c>
    </row>
    <row r="370">
      <c r="B370" s="8" t="s">
        <v>742</v>
      </c>
      <c r="C370" s="4" t="s">
        <v>742</v>
      </c>
      <c r="D370" s="4" t="s">
        <v>742</v>
      </c>
      <c r="E370" s="4" t="s">
        <v>742</v>
      </c>
      <c r="F370" s="4" t="s">
        <v>742</v>
      </c>
      <c r="G370" s="4" t="s">
        <v>742</v>
      </c>
      <c r="H370" s="4" t="s">
        <v>742</v>
      </c>
      <c r="I370" s="4" t="s">
        <v>742</v>
      </c>
      <c r="J370" s="4" t="s">
        <v>742</v>
      </c>
      <c r="K370" s="4" t="s">
        <v>742</v>
      </c>
      <c r="L370" s="4" t="s">
        <v>742</v>
      </c>
      <c r="M370" s="4" t="s">
        <v>742</v>
      </c>
      <c r="N370" s="4" t="s">
        <v>742</v>
      </c>
    </row>
    <row r="371">
      <c r="B371" s="8" t="s">
        <v>742</v>
      </c>
      <c r="C371" s="4" t="s">
        <v>742</v>
      </c>
      <c r="D371" s="4" t="s">
        <v>742</v>
      </c>
      <c r="E371" s="4" t="s">
        <v>742</v>
      </c>
      <c r="F371" s="4" t="s">
        <v>742</v>
      </c>
      <c r="G371" s="4" t="s">
        <v>742</v>
      </c>
      <c r="H371" s="4" t="s">
        <v>742</v>
      </c>
      <c r="I371" s="4" t="s">
        <v>742</v>
      </c>
      <c r="J371" s="4" t="s">
        <v>742</v>
      </c>
      <c r="K371" s="4" t="s">
        <v>742</v>
      </c>
      <c r="L371" s="4" t="s">
        <v>742</v>
      </c>
      <c r="M371" s="4" t="s">
        <v>742</v>
      </c>
      <c r="N371" s="4" t="s">
        <v>742</v>
      </c>
    </row>
    <row r="372">
      <c r="B372" s="8" t="s">
        <v>742</v>
      </c>
      <c r="C372" s="4" t="s">
        <v>742</v>
      </c>
      <c r="D372" s="4" t="s">
        <v>742</v>
      </c>
      <c r="E372" s="4" t="s">
        <v>742</v>
      </c>
      <c r="F372" s="4" t="s">
        <v>742</v>
      </c>
      <c r="G372" s="4" t="s">
        <v>742</v>
      </c>
      <c r="H372" s="4" t="s">
        <v>742</v>
      </c>
      <c r="I372" s="4" t="s">
        <v>742</v>
      </c>
      <c r="J372" s="4" t="s">
        <v>742</v>
      </c>
      <c r="K372" s="4" t="s">
        <v>742</v>
      </c>
      <c r="L372" s="4" t="s">
        <v>742</v>
      </c>
      <c r="M372" s="4" t="s">
        <v>742</v>
      </c>
      <c r="N372" s="4" t="s">
        <v>742</v>
      </c>
    </row>
    <row r="373">
      <c r="B373" s="8" t="s">
        <v>742</v>
      </c>
      <c r="C373" s="4" t="s">
        <v>742</v>
      </c>
      <c r="D373" s="4" t="s">
        <v>742</v>
      </c>
      <c r="E373" s="4" t="s">
        <v>742</v>
      </c>
      <c r="F373" s="4" t="s">
        <v>742</v>
      </c>
      <c r="G373" s="4" t="s">
        <v>742</v>
      </c>
      <c r="H373" s="4" t="s">
        <v>742</v>
      </c>
      <c r="I373" s="4" t="s">
        <v>742</v>
      </c>
      <c r="J373" s="4" t="s">
        <v>742</v>
      </c>
      <c r="K373" s="4" t="s">
        <v>742</v>
      </c>
      <c r="L373" s="4" t="s">
        <v>742</v>
      </c>
      <c r="M373" s="4" t="s">
        <v>742</v>
      </c>
      <c r="N373" s="4" t="s">
        <v>742</v>
      </c>
    </row>
    <row r="374">
      <c r="B374" s="8" t="s">
        <v>742</v>
      </c>
      <c r="C374" s="4" t="s">
        <v>742</v>
      </c>
      <c r="D374" s="4" t="s">
        <v>742</v>
      </c>
      <c r="E374" s="4" t="s">
        <v>742</v>
      </c>
      <c r="F374" s="4" t="s">
        <v>742</v>
      </c>
      <c r="G374" s="4" t="s">
        <v>742</v>
      </c>
      <c r="H374" s="4" t="s">
        <v>742</v>
      </c>
      <c r="I374" s="4" t="s">
        <v>742</v>
      </c>
      <c r="J374" s="4" t="s">
        <v>742</v>
      </c>
      <c r="K374" s="4" t="s">
        <v>742</v>
      </c>
      <c r="L374" s="4" t="s">
        <v>742</v>
      </c>
      <c r="M374" s="4" t="s">
        <v>742</v>
      </c>
      <c r="N374" s="4" t="s">
        <v>742</v>
      </c>
    </row>
    <row r="375">
      <c r="B375" s="8" t="s">
        <v>742</v>
      </c>
      <c r="C375" s="4" t="s">
        <v>742</v>
      </c>
      <c r="D375" s="4" t="s">
        <v>742</v>
      </c>
      <c r="E375" s="4" t="s">
        <v>742</v>
      </c>
      <c r="F375" s="4" t="s">
        <v>742</v>
      </c>
      <c r="G375" s="4" t="s">
        <v>742</v>
      </c>
      <c r="H375" s="4" t="s">
        <v>742</v>
      </c>
      <c r="I375" s="4" t="s">
        <v>742</v>
      </c>
      <c r="J375" s="4" t="s">
        <v>742</v>
      </c>
      <c r="K375" s="4" t="s">
        <v>742</v>
      </c>
      <c r="L375" s="4" t="s">
        <v>742</v>
      </c>
      <c r="M375" s="4" t="s">
        <v>742</v>
      </c>
      <c r="N375" s="4" t="s">
        <v>742</v>
      </c>
    </row>
    <row r="376">
      <c r="B376" s="8" t="s">
        <v>742</v>
      </c>
      <c r="C376" s="4" t="s">
        <v>742</v>
      </c>
      <c r="D376" s="4" t="s">
        <v>742</v>
      </c>
      <c r="E376" s="4" t="s">
        <v>742</v>
      </c>
      <c r="F376" s="4" t="s">
        <v>742</v>
      </c>
      <c r="G376" s="4" t="s">
        <v>742</v>
      </c>
      <c r="H376" s="4" t="s">
        <v>742</v>
      </c>
      <c r="I376" s="4" t="s">
        <v>742</v>
      </c>
      <c r="J376" s="4" t="s">
        <v>742</v>
      </c>
      <c r="K376" s="4" t="s">
        <v>742</v>
      </c>
      <c r="L376" s="4" t="s">
        <v>742</v>
      </c>
      <c r="M376" s="4" t="s">
        <v>742</v>
      </c>
      <c r="N376" s="4" t="s">
        <v>742</v>
      </c>
    </row>
    <row r="377">
      <c r="B377" s="8" t="s">
        <v>742</v>
      </c>
      <c r="C377" s="4" t="s">
        <v>742</v>
      </c>
      <c r="D377" s="4" t="s">
        <v>742</v>
      </c>
      <c r="E377" s="4" t="s">
        <v>742</v>
      </c>
      <c r="F377" s="4" t="s">
        <v>742</v>
      </c>
      <c r="G377" s="4" t="s">
        <v>742</v>
      </c>
      <c r="H377" s="4" t="s">
        <v>742</v>
      </c>
      <c r="I377" s="4" t="s">
        <v>742</v>
      </c>
      <c r="J377" s="4" t="s">
        <v>742</v>
      </c>
      <c r="K377" s="4" t="s">
        <v>742</v>
      </c>
      <c r="L377" s="4" t="s">
        <v>742</v>
      </c>
      <c r="M377" s="4" t="s">
        <v>742</v>
      </c>
      <c r="N377" s="4" t="s">
        <v>742</v>
      </c>
    </row>
    <row r="378">
      <c r="B378" s="8" t="s">
        <v>742</v>
      </c>
      <c r="C378" s="4" t="s">
        <v>742</v>
      </c>
      <c r="D378" s="4" t="s">
        <v>742</v>
      </c>
      <c r="E378" s="4" t="s">
        <v>742</v>
      </c>
      <c r="F378" s="4" t="s">
        <v>742</v>
      </c>
      <c r="G378" s="4" t="s">
        <v>742</v>
      </c>
      <c r="H378" s="4" t="s">
        <v>742</v>
      </c>
      <c r="I378" s="4" t="s">
        <v>742</v>
      </c>
      <c r="J378" s="4" t="s">
        <v>742</v>
      </c>
      <c r="K378" s="4" t="s">
        <v>742</v>
      </c>
      <c r="L378" s="4" t="s">
        <v>742</v>
      </c>
      <c r="M378" s="4" t="s">
        <v>742</v>
      </c>
      <c r="N378" s="4" t="s">
        <v>742</v>
      </c>
    </row>
    <row r="379">
      <c r="B379" s="8" t="s">
        <v>742</v>
      </c>
      <c r="C379" s="4" t="s">
        <v>742</v>
      </c>
      <c r="D379" s="4" t="s">
        <v>742</v>
      </c>
      <c r="E379" s="4" t="s">
        <v>742</v>
      </c>
      <c r="F379" s="4" t="s">
        <v>742</v>
      </c>
      <c r="G379" s="4" t="s">
        <v>742</v>
      </c>
      <c r="H379" s="4" t="s">
        <v>742</v>
      </c>
      <c r="I379" s="4" t="s">
        <v>742</v>
      </c>
      <c r="J379" s="4" t="s">
        <v>742</v>
      </c>
      <c r="K379" s="4" t="s">
        <v>742</v>
      </c>
      <c r="L379" s="4" t="s">
        <v>742</v>
      </c>
      <c r="M379" s="4" t="s">
        <v>742</v>
      </c>
      <c r="N379" s="4" t="s">
        <v>742</v>
      </c>
    </row>
    <row r="380">
      <c r="B380" s="8" t="s">
        <v>742</v>
      </c>
      <c r="C380" s="4" t="s">
        <v>742</v>
      </c>
      <c r="D380" s="4" t="s">
        <v>742</v>
      </c>
      <c r="E380" s="4" t="s">
        <v>742</v>
      </c>
      <c r="F380" s="4" t="s">
        <v>742</v>
      </c>
      <c r="G380" s="4" t="s">
        <v>742</v>
      </c>
      <c r="H380" s="4" t="s">
        <v>742</v>
      </c>
      <c r="I380" s="4" t="s">
        <v>742</v>
      </c>
      <c r="J380" s="4" t="s">
        <v>742</v>
      </c>
      <c r="K380" s="4" t="s">
        <v>742</v>
      </c>
      <c r="L380" s="4" t="s">
        <v>742</v>
      </c>
      <c r="M380" s="4" t="s">
        <v>742</v>
      </c>
      <c r="N380" s="4" t="s">
        <v>742</v>
      </c>
    </row>
    <row r="381">
      <c r="B381" s="8" t="s">
        <v>742</v>
      </c>
      <c r="C381" s="4" t="s">
        <v>742</v>
      </c>
      <c r="D381" s="4" t="s">
        <v>742</v>
      </c>
      <c r="E381" s="4" t="s">
        <v>742</v>
      </c>
      <c r="F381" s="4" t="s">
        <v>742</v>
      </c>
      <c r="G381" s="4" t="s">
        <v>742</v>
      </c>
      <c r="H381" s="4" t="s">
        <v>742</v>
      </c>
      <c r="I381" s="4" t="s">
        <v>742</v>
      </c>
      <c r="J381" s="4" t="s">
        <v>742</v>
      </c>
      <c r="K381" s="4" t="s">
        <v>742</v>
      </c>
      <c r="L381" s="4" t="s">
        <v>742</v>
      </c>
      <c r="M381" s="4" t="s">
        <v>742</v>
      </c>
      <c r="N381" s="4" t="s">
        <v>742</v>
      </c>
    </row>
    <row r="382">
      <c r="B382" s="8" t="s">
        <v>742</v>
      </c>
      <c r="C382" s="4" t="s">
        <v>742</v>
      </c>
      <c r="D382" s="4" t="s">
        <v>742</v>
      </c>
      <c r="E382" s="4" t="s">
        <v>742</v>
      </c>
      <c r="F382" s="4" t="s">
        <v>742</v>
      </c>
      <c r="G382" s="4" t="s">
        <v>742</v>
      </c>
      <c r="H382" s="4" t="s">
        <v>742</v>
      </c>
      <c r="I382" s="4" t="s">
        <v>742</v>
      </c>
      <c r="J382" s="4" t="s">
        <v>742</v>
      </c>
      <c r="K382" s="4" t="s">
        <v>742</v>
      </c>
      <c r="L382" s="4" t="s">
        <v>742</v>
      </c>
      <c r="M382" s="4" t="s">
        <v>742</v>
      </c>
      <c r="N382" s="4" t="s">
        <v>742</v>
      </c>
    </row>
    <row r="383">
      <c r="B383" s="8" t="s">
        <v>742</v>
      </c>
      <c r="C383" s="4" t="s">
        <v>742</v>
      </c>
      <c r="D383" s="4" t="s">
        <v>742</v>
      </c>
      <c r="E383" s="4" t="s">
        <v>742</v>
      </c>
      <c r="F383" s="4" t="s">
        <v>742</v>
      </c>
      <c r="G383" s="4" t="s">
        <v>742</v>
      </c>
      <c r="H383" s="4" t="s">
        <v>742</v>
      </c>
      <c r="I383" s="4" t="s">
        <v>742</v>
      </c>
      <c r="J383" s="4" t="s">
        <v>742</v>
      </c>
      <c r="K383" s="4" t="s">
        <v>742</v>
      </c>
      <c r="L383" s="4" t="s">
        <v>742</v>
      </c>
      <c r="M383" s="4" t="s">
        <v>742</v>
      </c>
      <c r="N383" s="4" t="s">
        <v>742</v>
      </c>
    </row>
    <row r="384">
      <c r="B384" s="8" t="s">
        <v>742</v>
      </c>
      <c r="C384" s="4" t="s">
        <v>742</v>
      </c>
      <c r="D384" s="4" t="s">
        <v>742</v>
      </c>
      <c r="E384" s="4" t="s">
        <v>742</v>
      </c>
      <c r="F384" s="4" t="s">
        <v>742</v>
      </c>
      <c r="G384" s="4" t="s">
        <v>742</v>
      </c>
      <c r="H384" s="4" t="s">
        <v>742</v>
      </c>
      <c r="I384" s="4" t="s">
        <v>742</v>
      </c>
      <c r="J384" s="4" t="s">
        <v>742</v>
      </c>
      <c r="K384" s="4" t="s">
        <v>742</v>
      </c>
      <c r="L384" s="4" t="s">
        <v>742</v>
      </c>
      <c r="M384" s="4" t="s">
        <v>742</v>
      </c>
      <c r="N384" s="4" t="s">
        <v>742</v>
      </c>
    </row>
    <row r="385">
      <c r="B385" s="8" t="s">
        <v>742</v>
      </c>
      <c r="C385" s="4" t="s">
        <v>742</v>
      </c>
      <c r="D385" s="4" t="s">
        <v>742</v>
      </c>
      <c r="E385" s="4" t="s">
        <v>742</v>
      </c>
      <c r="F385" s="4" t="s">
        <v>742</v>
      </c>
      <c r="G385" s="4" t="s">
        <v>742</v>
      </c>
      <c r="H385" s="4" t="s">
        <v>742</v>
      </c>
      <c r="I385" s="4" t="s">
        <v>742</v>
      </c>
      <c r="J385" s="4" t="s">
        <v>742</v>
      </c>
      <c r="K385" s="4" t="s">
        <v>742</v>
      </c>
      <c r="L385" s="4" t="s">
        <v>742</v>
      </c>
      <c r="M385" s="4" t="s">
        <v>742</v>
      </c>
      <c r="N385" s="4" t="s">
        <v>742</v>
      </c>
    </row>
    <row r="386">
      <c r="B386" s="8" t="s">
        <v>742</v>
      </c>
      <c r="C386" s="4" t="s">
        <v>742</v>
      </c>
      <c r="D386" s="4" t="s">
        <v>742</v>
      </c>
      <c r="E386" s="4" t="s">
        <v>742</v>
      </c>
      <c r="F386" s="4" t="s">
        <v>742</v>
      </c>
      <c r="G386" s="4" t="s">
        <v>742</v>
      </c>
      <c r="H386" s="4" t="s">
        <v>742</v>
      </c>
      <c r="I386" s="4" t="s">
        <v>742</v>
      </c>
      <c r="J386" s="4" t="s">
        <v>742</v>
      </c>
      <c r="K386" s="4" t="s">
        <v>742</v>
      </c>
      <c r="L386" s="4" t="s">
        <v>742</v>
      </c>
      <c r="M386" s="4" t="s">
        <v>742</v>
      </c>
      <c r="N386" s="4" t="s">
        <v>742</v>
      </c>
    </row>
    <row r="387">
      <c r="B387" s="8" t="s">
        <v>742</v>
      </c>
      <c r="C387" s="4" t="s">
        <v>742</v>
      </c>
      <c r="D387" s="4" t="s">
        <v>742</v>
      </c>
      <c r="E387" s="4" t="s">
        <v>742</v>
      </c>
      <c r="F387" s="4" t="s">
        <v>742</v>
      </c>
      <c r="G387" s="4" t="s">
        <v>742</v>
      </c>
      <c r="H387" s="4" t="s">
        <v>742</v>
      </c>
      <c r="I387" s="4" t="s">
        <v>742</v>
      </c>
      <c r="J387" s="4" t="s">
        <v>742</v>
      </c>
      <c r="K387" s="4" t="s">
        <v>742</v>
      </c>
      <c r="L387" s="4" t="s">
        <v>742</v>
      </c>
      <c r="M387" s="4" t="s">
        <v>742</v>
      </c>
      <c r="N387" s="4" t="s">
        <v>742</v>
      </c>
    </row>
    <row r="388">
      <c r="B388" s="8" t="s">
        <v>742</v>
      </c>
      <c r="C388" s="4" t="s">
        <v>742</v>
      </c>
      <c r="D388" s="4" t="s">
        <v>742</v>
      </c>
      <c r="E388" s="4" t="s">
        <v>742</v>
      </c>
      <c r="F388" s="4" t="s">
        <v>742</v>
      </c>
      <c r="G388" s="4" t="s">
        <v>742</v>
      </c>
      <c r="H388" s="4" t="s">
        <v>742</v>
      </c>
      <c r="I388" s="4" t="s">
        <v>742</v>
      </c>
      <c r="J388" s="4" t="s">
        <v>742</v>
      </c>
      <c r="K388" s="4" t="s">
        <v>742</v>
      </c>
      <c r="L388" s="4" t="s">
        <v>742</v>
      </c>
      <c r="M388" s="4" t="s">
        <v>742</v>
      </c>
      <c r="N388" s="4" t="s">
        <v>742</v>
      </c>
    </row>
    <row r="389">
      <c r="B389" s="8" t="s">
        <v>742</v>
      </c>
      <c r="C389" s="4" t="s">
        <v>742</v>
      </c>
      <c r="D389" s="4" t="s">
        <v>742</v>
      </c>
      <c r="E389" s="4" t="s">
        <v>742</v>
      </c>
      <c r="F389" s="4" t="s">
        <v>742</v>
      </c>
      <c r="G389" s="4" t="s">
        <v>742</v>
      </c>
      <c r="H389" s="4" t="s">
        <v>742</v>
      </c>
      <c r="I389" s="4" t="s">
        <v>742</v>
      </c>
      <c r="J389" s="4" t="s">
        <v>742</v>
      </c>
      <c r="K389" s="4" t="s">
        <v>742</v>
      </c>
      <c r="L389" s="4" t="s">
        <v>742</v>
      </c>
      <c r="M389" s="4" t="s">
        <v>742</v>
      </c>
      <c r="N389" s="4" t="s">
        <v>742</v>
      </c>
    </row>
    <row r="390">
      <c r="B390" s="8" t="s">
        <v>742</v>
      </c>
      <c r="C390" s="4" t="s">
        <v>742</v>
      </c>
      <c r="D390" s="4" t="s">
        <v>742</v>
      </c>
      <c r="E390" s="4" t="s">
        <v>742</v>
      </c>
      <c r="F390" s="4" t="s">
        <v>742</v>
      </c>
      <c r="G390" s="4" t="s">
        <v>742</v>
      </c>
      <c r="H390" s="4" t="s">
        <v>742</v>
      </c>
      <c r="I390" s="4" t="s">
        <v>742</v>
      </c>
      <c r="J390" s="4" t="s">
        <v>742</v>
      </c>
      <c r="K390" s="4" t="s">
        <v>742</v>
      </c>
      <c r="L390" s="4" t="s">
        <v>742</v>
      </c>
      <c r="M390" s="4" t="s">
        <v>742</v>
      </c>
      <c r="N390" s="4" t="s">
        <v>742</v>
      </c>
    </row>
    <row r="391">
      <c r="B391" s="8" t="s">
        <v>742</v>
      </c>
      <c r="C391" s="4" t="s">
        <v>742</v>
      </c>
      <c r="D391" s="4" t="s">
        <v>742</v>
      </c>
      <c r="E391" s="4" t="s">
        <v>742</v>
      </c>
      <c r="F391" s="4" t="s">
        <v>742</v>
      </c>
      <c r="G391" s="4" t="s">
        <v>742</v>
      </c>
      <c r="H391" s="4" t="s">
        <v>742</v>
      </c>
      <c r="I391" s="4" t="s">
        <v>742</v>
      </c>
      <c r="J391" s="4" t="s">
        <v>742</v>
      </c>
      <c r="K391" s="4" t="s">
        <v>742</v>
      </c>
      <c r="L391" s="4" t="s">
        <v>742</v>
      </c>
      <c r="M391" s="4" t="s">
        <v>742</v>
      </c>
      <c r="N391" s="4" t="s">
        <v>742</v>
      </c>
    </row>
    <row r="392">
      <c r="B392" s="8" t="s">
        <v>742</v>
      </c>
      <c r="C392" s="4" t="s">
        <v>742</v>
      </c>
      <c r="D392" s="4" t="s">
        <v>742</v>
      </c>
      <c r="E392" s="4" t="s">
        <v>742</v>
      </c>
      <c r="F392" s="4" t="s">
        <v>742</v>
      </c>
      <c r="G392" s="4" t="s">
        <v>742</v>
      </c>
      <c r="H392" s="4" t="s">
        <v>742</v>
      </c>
      <c r="I392" s="4" t="s">
        <v>742</v>
      </c>
      <c r="J392" s="4" t="s">
        <v>742</v>
      </c>
      <c r="K392" s="4" t="s">
        <v>742</v>
      </c>
      <c r="L392" s="4" t="s">
        <v>742</v>
      </c>
      <c r="M392" s="4" t="s">
        <v>742</v>
      </c>
      <c r="N392" s="4" t="s">
        <v>742</v>
      </c>
    </row>
    <row r="393">
      <c r="B393" s="8" t="s">
        <v>742</v>
      </c>
      <c r="C393" s="4" t="s">
        <v>742</v>
      </c>
      <c r="D393" s="4" t="s">
        <v>742</v>
      </c>
      <c r="E393" s="4" t="s">
        <v>742</v>
      </c>
      <c r="F393" s="4" t="s">
        <v>742</v>
      </c>
      <c r="G393" s="4" t="s">
        <v>742</v>
      </c>
      <c r="H393" s="4" t="s">
        <v>742</v>
      </c>
      <c r="I393" s="4" t="s">
        <v>742</v>
      </c>
      <c r="J393" s="4" t="s">
        <v>742</v>
      </c>
      <c r="K393" s="4" t="s">
        <v>742</v>
      </c>
      <c r="L393" s="4" t="s">
        <v>742</v>
      </c>
      <c r="M393" s="4" t="s">
        <v>742</v>
      </c>
      <c r="N393" s="4" t="s">
        <v>742</v>
      </c>
    </row>
    <row r="394">
      <c r="B394" s="8" t="s">
        <v>742</v>
      </c>
      <c r="C394" s="4" t="s">
        <v>742</v>
      </c>
      <c r="D394" s="4" t="s">
        <v>742</v>
      </c>
      <c r="E394" s="4" t="s">
        <v>742</v>
      </c>
      <c r="F394" s="4" t="s">
        <v>742</v>
      </c>
      <c r="G394" s="4" t="s">
        <v>742</v>
      </c>
      <c r="H394" s="4" t="s">
        <v>742</v>
      </c>
      <c r="I394" s="4" t="s">
        <v>742</v>
      </c>
      <c r="J394" s="4" t="s">
        <v>742</v>
      </c>
      <c r="K394" s="4" t="s">
        <v>742</v>
      </c>
      <c r="L394" s="4" t="s">
        <v>742</v>
      </c>
      <c r="M394" s="4" t="s">
        <v>742</v>
      </c>
      <c r="N394" s="4" t="s">
        <v>742</v>
      </c>
    </row>
    <row r="395">
      <c r="B395" s="8" t="s">
        <v>742</v>
      </c>
      <c r="C395" s="4" t="s">
        <v>742</v>
      </c>
      <c r="D395" s="4" t="s">
        <v>742</v>
      </c>
      <c r="E395" s="4" t="s">
        <v>742</v>
      </c>
      <c r="F395" s="4" t="s">
        <v>742</v>
      </c>
      <c r="G395" s="4" t="s">
        <v>742</v>
      </c>
      <c r="H395" s="4" t="s">
        <v>742</v>
      </c>
      <c r="I395" s="4" t="s">
        <v>742</v>
      </c>
      <c r="J395" s="4" t="s">
        <v>742</v>
      </c>
      <c r="K395" s="4" t="s">
        <v>742</v>
      </c>
      <c r="L395" s="4" t="s">
        <v>742</v>
      </c>
      <c r="M395" s="4" t="s">
        <v>742</v>
      </c>
      <c r="N395" s="4" t="s">
        <v>742</v>
      </c>
    </row>
    <row r="396">
      <c r="B396" s="8" t="s">
        <v>742</v>
      </c>
      <c r="C396" s="4" t="s">
        <v>742</v>
      </c>
      <c r="D396" s="4" t="s">
        <v>742</v>
      </c>
      <c r="E396" s="4" t="s">
        <v>742</v>
      </c>
      <c r="F396" s="4" t="s">
        <v>742</v>
      </c>
      <c r="G396" s="4" t="s">
        <v>742</v>
      </c>
      <c r="H396" s="4" t="s">
        <v>742</v>
      </c>
      <c r="I396" s="4" t="s">
        <v>742</v>
      </c>
      <c r="J396" s="4" t="s">
        <v>742</v>
      </c>
      <c r="K396" s="4" t="s">
        <v>742</v>
      </c>
      <c r="L396" s="4" t="s">
        <v>742</v>
      </c>
      <c r="M396" s="4" t="s">
        <v>742</v>
      </c>
      <c r="N396" s="4" t="s">
        <v>742</v>
      </c>
    </row>
    <row r="397">
      <c r="B397" s="8" t="s">
        <v>742</v>
      </c>
      <c r="C397" s="4" t="s">
        <v>742</v>
      </c>
      <c r="D397" s="4" t="s">
        <v>742</v>
      </c>
      <c r="E397" s="4" t="s">
        <v>742</v>
      </c>
      <c r="F397" s="4" t="s">
        <v>742</v>
      </c>
      <c r="G397" s="4" t="s">
        <v>742</v>
      </c>
      <c r="H397" s="4" t="s">
        <v>742</v>
      </c>
      <c r="I397" s="4" t="s">
        <v>742</v>
      </c>
      <c r="J397" s="4" t="s">
        <v>742</v>
      </c>
      <c r="K397" s="4" t="s">
        <v>742</v>
      </c>
      <c r="L397" s="4" t="s">
        <v>742</v>
      </c>
      <c r="M397" s="4" t="s">
        <v>742</v>
      </c>
      <c r="N397" s="4" t="s">
        <v>742</v>
      </c>
    </row>
    <row r="398">
      <c r="B398" s="8" t="s">
        <v>742</v>
      </c>
      <c r="C398" s="4" t="s">
        <v>742</v>
      </c>
      <c r="D398" s="4" t="s">
        <v>742</v>
      </c>
      <c r="E398" s="4" t="s">
        <v>742</v>
      </c>
      <c r="F398" s="4" t="s">
        <v>742</v>
      </c>
      <c r="G398" s="4" t="s">
        <v>742</v>
      </c>
      <c r="H398" s="4" t="s">
        <v>742</v>
      </c>
      <c r="I398" s="4" t="s">
        <v>742</v>
      </c>
      <c r="J398" s="4" t="s">
        <v>742</v>
      </c>
      <c r="K398" s="4" t="s">
        <v>742</v>
      </c>
      <c r="L398" s="4" t="s">
        <v>742</v>
      </c>
      <c r="M398" s="4" t="s">
        <v>742</v>
      </c>
      <c r="N398" s="4" t="s">
        <v>742</v>
      </c>
    </row>
    <row r="399">
      <c r="B399" s="8" t="s">
        <v>742</v>
      </c>
      <c r="C399" s="4" t="s">
        <v>742</v>
      </c>
      <c r="D399" s="4" t="s">
        <v>742</v>
      </c>
      <c r="E399" s="4" t="s">
        <v>742</v>
      </c>
      <c r="F399" s="4" t="s">
        <v>742</v>
      </c>
      <c r="G399" s="4" t="s">
        <v>742</v>
      </c>
      <c r="H399" s="4" t="s">
        <v>742</v>
      </c>
      <c r="I399" s="4" t="s">
        <v>742</v>
      </c>
      <c r="J399" s="4" t="s">
        <v>742</v>
      </c>
      <c r="K399" s="4" t="s">
        <v>742</v>
      </c>
      <c r="L399" s="4" t="s">
        <v>742</v>
      </c>
      <c r="M399" s="4" t="s">
        <v>742</v>
      </c>
      <c r="N399" s="4" t="s">
        <v>742</v>
      </c>
    </row>
    <row r="400">
      <c r="B400" s="8" t="s">
        <v>742</v>
      </c>
      <c r="C400" s="4" t="s">
        <v>742</v>
      </c>
      <c r="D400" s="4" t="s">
        <v>742</v>
      </c>
      <c r="E400" s="4" t="s">
        <v>742</v>
      </c>
      <c r="F400" s="4" t="s">
        <v>742</v>
      </c>
      <c r="G400" s="4" t="s">
        <v>742</v>
      </c>
      <c r="H400" s="4" t="s">
        <v>742</v>
      </c>
      <c r="I400" s="4" t="s">
        <v>742</v>
      </c>
      <c r="J400" s="4" t="s">
        <v>742</v>
      </c>
      <c r="K400" s="4" t="s">
        <v>742</v>
      </c>
      <c r="L400" s="4" t="s">
        <v>742</v>
      </c>
      <c r="M400" s="4" t="s">
        <v>742</v>
      </c>
      <c r="N400" s="4" t="s">
        <v>742</v>
      </c>
    </row>
    <row r="401">
      <c r="B401" s="8" t="s">
        <v>742</v>
      </c>
      <c r="C401" s="4" t="s">
        <v>742</v>
      </c>
      <c r="D401" s="4" t="s">
        <v>742</v>
      </c>
      <c r="E401" s="4" t="s">
        <v>742</v>
      </c>
      <c r="F401" s="4" t="s">
        <v>742</v>
      </c>
      <c r="G401" s="4" t="s">
        <v>742</v>
      </c>
      <c r="H401" s="4" t="s">
        <v>742</v>
      </c>
      <c r="I401" s="4" t="s">
        <v>742</v>
      </c>
      <c r="J401" s="4" t="s">
        <v>742</v>
      </c>
      <c r="K401" s="4" t="s">
        <v>742</v>
      </c>
      <c r="L401" s="4" t="s">
        <v>742</v>
      </c>
      <c r="M401" s="4" t="s">
        <v>742</v>
      </c>
      <c r="N401" s="4" t="s">
        <v>742</v>
      </c>
    </row>
    <row r="402">
      <c r="B402" s="8" t="s">
        <v>742</v>
      </c>
      <c r="C402" s="4" t="s">
        <v>742</v>
      </c>
      <c r="D402" s="4" t="s">
        <v>742</v>
      </c>
      <c r="E402" s="4" t="s">
        <v>742</v>
      </c>
      <c r="F402" s="4" t="s">
        <v>742</v>
      </c>
      <c r="G402" s="4" t="s">
        <v>742</v>
      </c>
      <c r="H402" s="4" t="s">
        <v>742</v>
      </c>
      <c r="I402" s="4" t="s">
        <v>742</v>
      </c>
      <c r="J402" s="4" t="s">
        <v>742</v>
      </c>
      <c r="K402" s="4" t="s">
        <v>742</v>
      </c>
      <c r="L402" s="4" t="s">
        <v>742</v>
      </c>
      <c r="M402" s="4" t="s">
        <v>742</v>
      </c>
      <c r="N402" s="4" t="s">
        <v>742</v>
      </c>
    </row>
    <row r="403">
      <c r="B403" s="8" t="s">
        <v>742</v>
      </c>
      <c r="C403" s="4" t="s">
        <v>742</v>
      </c>
      <c r="D403" s="4" t="s">
        <v>742</v>
      </c>
      <c r="E403" s="4" t="s">
        <v>742</v>
      </c>
      <c r="F403" s="4" t="s">
        <v>742</v>
      </c>
      <c r="G403" s="4" t="s">
        <v>742</v>
      </c>
      <c r="H403" s="4" t="s">
        <v>742</v>
      </c>
      <c r="I403" s="4" t="s">
        <v>742</v>
      </c>
      <c r="J403" s="4" t="s">
        <v>742</v>
      </c>
      <c r="K403" s="4" t="s">
        <v>742</v>
      </c>
      <c r="L403" s="4" t="s">
        <v>742</v>
      </c>
      <c r="M403" s="4" t="s">
        <v>742</v>
      </c>
      <c r="N403" s="4" t="s">
        <v>742</v>
      </c>
    </row>
    <row r="404">
      <c r="B404" s="8" t="s">
        <v>742</v>
      </c>
      <c r="C404" s="4" t="s">
        <v>742</v>
      </c>
      <c r="D404" s="4" t="s">
        <v>742</v>
      </c>
      <c r="E404" s="4" t="s">
        <v>742</v>
      </c>
      <c r="F404" s="4" t="s">
        <v>742</v>
      </c>
      <c r="G404" s="4" t="s">
        <v>742</v>
      </c>
      <c r="H404" s="4" t="s">
        <v>742</v>
      </c>
      <c r="I404" s="4" t="s">
        <v>742</v>
      </c>
      <c r="J404" s="4" t="s">
        <v>742</v>
      </c>
      <c r="K404" s="4" t="s">
        <v>742</v>
      </c>
      <c r="L404" s="4" t="s">
        <v>742</v>
      </c>
      <c r="M404" s="4" t="s">
        <v>742</v>
      </c>
      <c r="N404" s="4" t="s">
        <v>742</v>
      </c>
    </row>
    <row r="405">
      <c r="B405" s="8" t="s">
        <v>742</v>
      </c>
      <c r="C405" s="4" t="s">
        <v>742</v>
      </c>
      <c r="D405" s="4" t="s">
        <v>742</v>
      </c>
      <c r="E405" s="4" t="s">
        <v>742</v>
      </c>
      <c r="F405" s="4" t="s">
        <v>742</v>
      </c>
      <c r="G405" s="4" t="s">
        <v>742</v>
      </c>
      <c r="H405" s="4" t="s">
        <v>742</v>
      </c>
      <c r="I405" s="4" t="s">
        <v>742</v>
      </c>
      <c r="J405" s="4" t="s">
        <v>742</v>
      </c>
      <c r="K405" s="4" t="s">
        <v>742</v>
      </c>
      <c r="L405" s="4" t="s">
        <v>742</v>
      </c>
      <c r="M405" s="4" t="s">
        <v>742</v>
      </c>
      <c r="N405" s="4" t="s">
        <v>742</v>
      </c>
    </row>
    <row r="406">
      <c r="B406" s="8" t="s">
        <v>742</v>
      </c>
      <c r="C406" s="4" t="s">
        <v>742</v>
      </c>
      <c r="D406" s="4" t="s">
        <v>742</v>
      </c>
      <c r="E406" s="4" t="s">
        <v>742</v>
      </c>
      <c r="F406" s="4" t="s">
        <v>742</v>
      </c>
      <c r="G406" s="4" t="s">
        <v>742</v>
      </c>
      <c r="H406" s="4" t="s">
        <v>742</v>
      </c>
      <c r="I406" s="4" t="s">
        <v>742</v>
      </c>
      <c r="J406" s="4" t="s">
        <v>742</v>
      </c>
      <c r="K406" s="4" t="s">
        <v>742</v>
      </c>
      <c r="L406" s="4" t="s">
        <v>742</v>
      </c>
      <c r="M406" s="4" t="s">
        <v>742</v>
      </c>
      <c r="N406" s="4" t="s">
        <v>742</v>
      </c>
    </row>
    <row r="407">
      <c r="B407" s="8" t="s">
        <v>742</v>
      </c>
      <c r="C407" s="4" t="s">
        <v>742</v>
      </c>
      <c r="D407" s="4" t="s">
        <v>742</v>
      </c>
      <c r="E407" s="4" t="s">
        <v>742</v>
      </c>
      <c r="F407" s="4" t="s">
        <v>742</v>
      </c>
      <c r="G407" s="4" t="s">
        <v>742</v>
      </c>
      <c r="H407" s="4" t="s">
        <v>742</v>
      </c>
      <c r="I407" s="4" t="s">
        <v>742</v>
      </c>
      <c r="J407" s="4" t="s">
        <v>742</v>
      </c>
      <c r="K407" s="4" t="s">
        <v>742</v>
      </c>
      <c r="L407" s="4" t="s">
        <v>742</v>
      </c>
      <c r="M407" s="4" t="s">
        <v>742</v>
      </c>
      <c r="N407" s="4" t="s">
        <v>742</v>
      </c>
    </row>
    <row r="408">
      <c r="B408" s="8" t="s">
        <v>742</v>
      </c>
      <c r="C408" s="4" t="s">
        <v>742</v>
      </c>
      <c r="D408" s="4" t="s">
        <v>742</v>
      </c>
      <c r="E408" s="4" t="s">
        <v>742</v>
      </c>
      <c r="F408" s="4" t="s">
        <v>742</v>
      </c>
      <c r="G408" s="4" t="s">
        <v>742</v>
      </c>
      <c r="H408" s="4" t="s">
        <v>742</v>
      </c>
      <c r="I408" s="4" t="s">
        <v>742</v>
      </c>
      <c r="J408" s="4" t="s">
        <v>742</v>
      </c>
      <c r="K408" s="4" t="s">
        <v>742</v>
      </c>
      <c r="L408" s="4" t="s">
        <v>742</v>
      </c>
      <c r="M408" s="4" t="s">
        <v>742</v>
      </c>
      <c r="N408" s="4" t="s">
        <v>742</v>
      </c>
    </row>
    <row r="409">
      <c r="B409" s="8" t="s">
        <v>742</v>
      </c>
      <c r="C409" s="4" t="s">
        <v>742</v>
      </c>
      <c r="D409" s="4" t="s">
        <v>742</v>
      </c>
      <c r="E409" s="4" t="s">
        <v>742</v>
      </c>
      <c r="F409" s="4" t="s">
        <v>742</v>
      </c>
      <c r="G409" s="4" t="s">
        <v>742</v>
      </c>
      <c r="H409" s="4" t="s">
        <v>742</v>
      </c>
      <c r="I409" s="4" t="s">
        <v>742</v>
      </c>
      <c r="J409" s="4" t="s">
        <v>742</v>
      </c>
      <c r="K409" s="4" t="s">
        <v>742</v>
      </c>
      <c r="L409" s="4" t="s">
        <v>742</v>
      </c>
      <c r="M409" s="4" t="s">
        <v>742</v>
      </c>
      <c r="N409" s="4" t="s">
        <v>742</v>
      </c>
    </row>
    <row r="410">
      <c r="B410" s="8" t="s">
        <v>742</v>
      </c>
      <c r="C410" s="4" t="s">
        <v>742</v>
      </c>
      <c r="D410" s="4" t="s">
        <v>742</v>
      </c>
      <c r="E410" s="4" t="s">
        <v>742</v>
      </c>
      <c r="F410" s="4" t="s">
        <v>742</v>
      </c>
      <c r="G410" s="4" t="s">
        <v>742</v>
      </c>
      <c r="H410" s="4" t="s">
        <v>742</v>
      </c>
      <c r="I410" s="4" t="s">
        <v>742</v>
      </c>
      <c r="J410" s="4" t="s">
        <v>742</v>
      </c>
      <c r="K410" s="4" t="s">
        <v>742</v>
      </c>
      <c r="L410" s="4" t="s">
        <v>742</v>
      </c>
      <c r="M410" s="4" t="s">
        <v>742</v>
      </c>
      <c r="N410" s="4" t="s">
        <v>742</v>
      </c>
    </row>
    <row r="411">
      <c r="B411" s="8" t="s">
        <v>742</v>
      </c>
      <c r="C411" s="4" t="s">
        <v>742</v>
      </c>
      <c r="D411" s="4" t="s">
        <v>742</v>
      </c>
      <c r="E411" s="4" t="s">
        <v>742</v>
      </c>
      <c r="F411" s="4" t="s">
        <v>742</v>
      </c>
      <c r="G411" s="4" t="s">
        <v>742</v>
      </c>
      <c r="H411" s="4" t="s">
        <v>742</v>
      </c>
      <c r="I411" s="4" t="s">
        <v>742</v>
      </c>
      <c r="J411" s="4" t="s">
        <v>742</v>
      </c>
      <c r="K411" s="4" t="s">
        <v>742</v>
      </c>
      <c r="L411" s="4" t="s">
        <v>742</v>
      </c>
      <c r="M411" s="4" t="s">
        <v>742</v>
      </c>
      <c r="N411" s="4" t="s">
        <v>742</v>
      </c>
    </row>
    <row r="412">
      <c r="B412" s="8" t="s">
        <v>742</v>
      </c>
      <c r="C412" s="4" t="s">
        <v>742</v>
      </c>
      <c r="D412" s="4" t="s">
        <v>742</v>
      </c>
      <c r="E412" s="4" t="s">
        <v>742</v>
      </c>
      <c r="F412" s="4" t="s">
        <v>742</v>
      </c>
      <c r="G412" s="4" t="s">
        <v>742</v>
      </c>
      <c r="H412" s="4" t="s">
        <v>742</v>
      </c>
      <c r="I412" s="4" t="s">
        <v>742</v>
      </c>
      <c r="J412" s="4" t="s">
        <v>742</v>
      </c>
      <c r="K412" s="4" t="s">
        <v>742</v>
      </c>
      <c r="L412" s="4" t="s">
        <v>742</v>
      </c>
      <c r="M412" s="4" t="s">
        <v>742</v>
      </c>
      <c r="N412" s="4" t="s">
        <v>742</v>
      </c>
    </row>
    <row r="413">
      <c r="B413" s="8" t="s">
        <v>742</v>
      </c>
      <c r="C413" s="4" t="s">
        <v>742</v>
      </c>
      <c r="D413" s="4" t="s">
        <v>742</v>
      </c>
      <c r="E413" s="4" t="s">
        <v>742</v>
      </c>
      <c r="F413" s="4" t="s">
        <v>742</v>
      </c>
      <c r="G413" s="4" t="s">
        <v>742</v>
      </c>
      <c r="H413" s="4" t="s">
        <v>742</v>
      </c>
      <c r="I413" s="4" t="s">
        <v>742</v>
      </c>
      <c r="J413" s="4" t="s">
        <v>742</v>
      </c>
      <c r="K413" s="4" t="s">
        <v>742</v>
      </c>
      <c r="L413" s="4" t="s">
        <v>742</v>
      </c>
      <c r="M413" s="4" t="s">
        <v>742</v>
      </c>
      <c r="N413" s="4" t="s">
        <v>742</v>
      </c>
    </row>
    <row r="414">
      <c r="B414" s="8" t="s">
        <v>742</v>
      </c>
      <c r="C414" s="4" t="s">
        <v>742</v>
      </c>
      <c r="D414" s="4" t="s">
        <v>742</v>
      </c>
      <c r="E414" s="4" t="s">
        <v>742</v>
      </c>
      <c r="F414" s="4" t="s">
        <v>742</v>
      </c>
      <c r="G414" s="4" t="s">
        <v>742</v>
      </c>
      <c r="H414" s="4" t="s">
        <v>742</v>
      </c>
      <c r="I414" s="4" t="s">
        <v>742</v>
      </c>
      <c r="J414" s="4" t="s">
        <v>742</v>
      </c>
      <c r="K414" s="4" t="s">
        <v>742</v>
      </c>
      <c r="L414" s="4" t="s">
        <v>742</v>
      </c>
      <c r="M414" s="4" t="s">
        <v>742</v>
      </c>
      <c r="N414" s="4" t="s">
        <v>742</v>
      </c>
    </row>
    <row r="415">
      <c r="B415" s="8" t="s">
        <v>742</v>
      </c>
      <c r="C415" s="4" t="s">
        <v>742</v>
      </c>
      <c r="D415" s="4" t="s">
        <v>742</v>
      </c>
      <c r="E415" s="4" t="s">
        <v>742</v>
      </c>
      <c r="F415" s="4" t="s">
        <v>742</v>
      </c>
      <c r="G415" s="4" t="s">
        <v>742</v>
      </c>
      <c r="H415" s="4" t="s">
        <v>742</v>
      </c>
      <c r="I415" s="4" t="s">
        <v>742</v>
      </c>
      <c r="J415" s="4" t="s">
        <v>742</v>
      </c>
      <c r="K415" s="4" t="s">
        <v>742</v>
      </c>
      <c r="L415" s="4" t="s">
        <v>742</v>
      </c>
      <c r="M415" s="4" t="s">
        <v>742</v>
      </c>
      <c r="N415" s="4" t="s">
        <v>742</v>
      </c>
    </row>
    <row r="416">
      <c r="B416" s="8" t="s">
        <v>742</v>
      </c>
      <c r="C416" s="4" t="s">
        <v>742</v>
      </c>
      <c r="D416" s="4" t="s">
        <v>742</v>
      </c>
      <c r="E416" s="4" t="s">
        <v>742</v>
      </c>
      <c r="F416" s="4" t="s">
        <v>742</v>
      </c>
      <c r="G416" s="4" t="s">
        <v>742</v>
      </c>
      <c r="H416" s="4" t="s">
        <v>742</v>
      </c>
      <c r="I416" s="4" t="s">
        <v>742</v>
      </c>
      <c r="J416" s="4" t="s">
        <v>742</v>
      </c>
      <c r="K416" s="4" t="s">
        <v>742</v>
      </c>
      <c r="L416" s="4" t="s">
        <v>742</v>
      </c>
      <c r="M416" s="4" t="s">
        <v>742</v>
      </c>
      <c r="N416" s="4" t="s">
        <v>742</v>
      </c>
    </row>
    <row r="417">
      <c r="B417" s="8" t="s">
        <v>742</v>
      </c>
      <c r="C417" s="4" t="s">
        <v>742</v>
      </c>
      <c r="D417" s="4" t="s">
        <v>742</v>
      </c>
      <c r="E417" s="4" t="s">
        <v>742</v>
      </c>
      <c r="F417" s="4" t="s">
        <v>742</v>
      </c>
      <c r="G417" s="4" t="s">
        <v>742</v>
      </c>
      <c r="H417" s="4" t="s">
        <v>742</v>
      </c>
      <c r="I417" s="4" t="s">
        <v>742</v>
      </c>
      <c r="J417" s="4" t="s">
        <v>742</v>
      </c>
      <c r="K417" s="4" t="s">
        <v>742</v>
      </c>
      <c r="L417" s="4" t="s">
        <v>742</v>
      </c>
      <c r="M417" s="4" t="s">
        <v>742</v>
      </c>
      <c r="N417" s="4" t="s">
        <v>742</v>
      </c>
    </row>
    <row r="418">
      <c r="B418" s="8" t="s">
        <v>742</v>
      </c>
      <c r="C418" s="4" t="s">
        <v>742</v>
      </c>
      <c r="D418" s="4" t="s">
        <v>742</v>
      </c>
      <c r="E418" s="4" t="s">
        <v>742</v>
      </c>
      <c r="F418" s="4" t="s">
        <v>742</v>
      </c>
      <c r="G418" s="4" t="s">
        <v>742</v>
      </c>
      <c r="H418" s="4" t="s">
        <v>742</v>
      </c>
      <c r="I418" s="4" t="s">
        <v>742</v>
      </c>
      <c r="J418" s="4" t="s">
        <v>742</v>
      </c>
      <c r="K418" s="4" t="s">
        <v>742</v>
      </c>
      <c r="L418" s="4" t="s">
        <v>742</v>
      </c>
      <c r="M418" s="4" t="s">
        <v>742</v>
      </c>
      <c r="N418" s="4" t="s">
        <v>742</v>
      </c>
    </row>
    <row r="419">
      <c r="B419" s="8" t="s">
        <v>742</v>
      </c>
      <c r="C419" s="4" t="s">
        <v>742</v>
      </c>
      <c r="D419" s="4" t="s">
        <v>742</v>
      </c>
      <c r="E419" s="4" t="s">
        <v>742</v>
      </c>
      <c r="F419" s="4" t="s">
        <v>742</v>
      </c>
      <c r="G419" s="4" t="s">
        <v>742</v>
      </c>
      <c r="H419" s="4" t="s">
        <v>742</v>
      </c>
      <c r="I419" s="4" t="s">
        <v>742</v>
      </c>
      <c r="J419" s="4" t="s">
        <v>742</v>
      </c>
      <c r="K419" s="4" t="s">
        <v>742</v>
      </c>
      <c r="L419" s="4" t="s">
        <v>742</v>
      </c>
      <c r="M419" s="4" t="s">
        <v>742</v>
      </c>
      <c r="N419" s="4" t="s">
        <v>742</v>
      </c>
    </row>
    <row r="420">
      <c r="B420" s="8" t="s">
        <v>742</v>
      </c>
      <c r="C420" s="4" t="s">
        <v>742</v>
      </c>
      <c r="D420" s="4" t="s">
        <v>742</v>
      </c>
      <c r="E420" s="4" t="s">
        <v>742</v>
      </c>
      <c r="F420" s="4" t="s">
        <v>742</v>
      </c>
      <c r="G420" s="4" t="s">
        <v>742</v>
      </c>
      <c r="H420" s="4" t="s">
        <v>742</v>
      </c>
      <c r="I420" s="4" t="s">
        <v>742</v>
      </c>
      <c r="J420" s="4" t="s">
        <v>742</v>
      </c>
      <c r="K420" s="4" t="s">
        <v>742</v>
      </c>
      <c r="L420" s="4" t="s">
        <v>742</v>
      </c>
      <c r="M420" s="4" t="s">
        <v>742</v>
      </c>
      <c r="N420" s="4" t="s">
        <v>742</v>
      </c>
    </row>
    <row r="421">
      <c r="B421" s="8" t="s">
        <v>742</v>
      </c>
      <c r="C421" s="4" t="s">
        <v>742</v>
      </c>
      <c r="D421" s="4" t="s">
        <v>742</v>
      </c>
      <c r="E421" s="4" t="s">
        <v>742</v>
      </c>
      <c r="F421" s="4" t="s">
        <v>742</v>
      </c>
      <c r="G421" s="4" t="s">
        <v>742</v>
      </c>
      <c r="H421" s="4" t="s">
        <v>742</v>
      </c>
      <c r="I421" s="4" t="s">
        <v>742</v>
      </c>
      <c r="J421" s="4" t="s">
        <v>742</v>
      </c>
      <c r="K421" s="4" t="s">
        <v>742</v>
      </c>
      <c r="L421" s="4" t="s">
        <v>742</v>
      </c>
      <c r="M421" s="4" t="s">
        <v>742</v>
      </c>
      <c r="N421" s="4" t="s">
        <v>742</v>
      </c>
    </row>
    <row r="422">
      <c r="B422" s="8" t="s">
        <v>742</v>
      </c>
      <c r="C422" s="4" t="s">
        <v>742</v>
      </c>
      <c r="D422" s="4" t="s">
        <v>742</v>
      </c>
      <c r="E422" s="4" t="s">
        <v>742</v>
      </c>
      <c r="F422" s="4" t="s">
        <v>742</v>
      </c>
      <c r="G422" s="4" t="s">
        <v>742</v>
      </c>
      <c r="H422" s="4" t="s">
        <v>742</v>
      </c>
      <c r="I422" s="4" t="s">
        <v>742</v>
      </c>
      <c r="J422" s="4" t="s">
        <v>742</v>
      </c>
      <c r="K422" s="4" t="s">
        <v>742</v>
      </c>
      <c r="L422" s="4" t="s">
        <v>742</v>
      </c>
      <c r="M422" s="4" t="s">
        <v>742</v>
      </c>
      <c r="N422" s="4" t="s">
        <v>742</v>
      </c>
    </row>
    <row r="423">
      <c r="B423" s="8" t="s">
        <v>742</v>
      </c>
      <c r="C423" s="4" t="s">
        <v>742</v>
      </c>
      <c r="D423" s="4" t="s">
        <v>742</v>
      </c>
      <c r="E423" s="4" t="s">
        <v>742</v>
      </c>
      <c r="F423" s="4" t="s">
        <v>742</v>
      </c>
      <c r="G423" s="4" t="s">
        <v>742</v>
      </c>
      <c r="H423" s="4" t="s">
        <v>742</v>
      </c>
      <c r="I423" s="4" t="s">
        <v>742</v>
      </c>
      <c r="J423" s="4" t="s">
        <v>742</v>
      </c>
      <c r="K423" s="4" t="s">
        <v>742</v>
      </c>
      <c r="L423" s="4" t="s">
        <v>742</v>
      </c>
      <c r="M423" s="4" t="s">
        <v>742</v>
      </c>
      <c r="N423" s="4" t="s">
        <v>742</v>
      </c>
    </row>
    <row r="424">
      <c r="B424" s="8" t="s">
        <v>742</v>
      </c>
      <c r="C424" s="4" t="s">
        <v>742</v>
      </c>
      <c r="D424" s="4" t="s">
        <v>742</v>
      </c>
      <c r="E424" s="4" t="s">
        <v>742</v>
      </c>
      <c r="F424" s="4" t="s">
        <v>742</v>
      </c>
      <c r="G424" s="4" t="s">
        <v>742</v>
      </c>
      <c r="H424" s="4" t="s">
        <v>742</v>
      </c>
      <c r="I424" s="4" t="s">
        <v>742</v>
      </c>
      <c r="J424" s="4" t="s">
        <v>742</v>
      </c>
      <c r="K424" s="4" t="s">
        <v>742</v>
      </c>
      <c r="L424" s="4" t="s">
        <v>742</v>
      </c>
      <c r="M424" s="4" t="s">
        <v>742</v>
      </c>
      <c r="N424" s="4" t="s">
        <v>742</v>
      </c>
    </row>
    <row r="425">
      <c r="B425" s="8" t="s">
        <v>742</v>
      </c>
      <c r="C425" s="4" t="s">
        <v>742</v>
      </c>
      <c r="D425" s="4" t="s">
        <v>742</v>
      </c>
      <c r="E425" s="4" t="s">
        <v>742</v>
      </c>
      <c r="F425" s="4" t="s">
        <v>742</v>
      </c>
      <c r="G425" s="4" t="s">
        <v>742</v>
      </c>
      <c r="H425" s="4" t="s">
        <v>742</v>
      </c>
      <c r="I425" s="4" t="s">
        <v>742</v>
      </c>
      <c r="J425" s="4" t="s">
        <v>742</v>
      </c>
      <c r="K425" s="4" t="s">
        <v>742</v>
      </c>
      <c r="L425" s="4" t="s">
        <v>742</v>
      </c>
      <c r="M425" s="4" t="s">
        <v>742</v>
      </c>
      <c r="N425" s="4" t="s">
        <v>742</v>
      </c>
    </row>
    <row r="426">
      <c r="B426" s="8" t="s">
        <v>742</v>
      </c>
      <c r="C426" s="4" t="s">
        <v>742</v>
      </c>
      <c r="D426" s="4" t="s">
        <v>742</v>
      </c>
      <c r="E426" s="4" t="s">
        <v>742</v>
      </c>
      <c r="F426" s="4" t="s">
        <v>742</v>
      </c>
      <c r="G426" s="4" t="s">
        <v>742</v>
      </c>
      <c r="H426" s="4" t="s">
        <v>742</v>
      </c>
      <c r="I426" s="4" t="s">
        <v>742</v>
      </c>
      <c r="J426" s="4" t="s">
        <v>742</v>
      </c>
      <c r="K426" s="4" t="s">
        <v>742</v>
      </c>
      <c r="L426" s="4" t="s">
        <v>742</v>
      </c>
      <c r="M426" s="4" t="s">
        <v>742</v>
      </c>
      <c r="N426" s="4" t="s">
        <v>742</v>
      </c>
    </row>
    <row r="427">
      <c r="B427" s="8" t="s">
        <v>742</v>
      </c>
      <c r="C427" s="4" t="s">
        <v>742</v>
      </c>
      <c r="D427" s="4" t="s">
        <v>742</v>
      </c>
      <c r="E427" s="4" t="s">
        <v>742</v>
      </c>
      <c r="F427" s="4" t="s">
        <v>742</v>
      </c>
      <c r="G427" s="4" t="s">
        <v>742</v>
      </c>
      <c r="H427" s="4" t="s">
        <v>742</v>
      </c>
      <c r="I427" s="4" t="s">
        <v>742</v>
      </c>
      <c r="J427" s="4" t="s">
        <v>742</v>
      </c>
      <c r="K427" s="4" t="s">
        <v>742</v>
      </c>
      <c r="L427" s="4" t="s">
        <v>742</v>
      </c>
      <c r="M427" s="4" t="s">
        <v>742</v>
      </c>
      <c r="N427" s="4" t="s">
        <v>742</v>
      </c>
    </row>
    <row r="428">
      <c r="B428" s="8" t="s">
        <v>742</v>
      </c>
      <c r="C428" s="4" t="s">
        <v>742</v>
      </c>
      <c r="D428" s="4" t="s">
        <v>742</v>
      </c>
      <c r="E428" s="4" t="s">
        <v>742</v>
      </c>
      <c r="F428" s="4" t="s">
        <v>742</v>
      </c>
      <c r="G428" s="4" t="s">
        <v>742</v>
      </c>
      <c r="H428" s="4" t="s">
        <v>742</v>
      </c>
      <c r="I428" s="4" t="s">
        <v>742</v>
      </c>
      <c r="J428" s="4" t="s">
        <v>742</v>
      </c>
      <c r="K428" s="4" t="s">
        <v>742</v>
      </c>
      <c r="L428" s="4" t="s">
        <v>742</v>
      </c>
      <c r="M428" s="4" t="s">
        <v>742</v>
      </c>
      <c r="N428" s="4" t="s">
        <v>742</v>
      </c>
    </row>
    <row r="429">
      <c r="B429" s="8" t="s">
        <v>742</v>
      </c>
      <c r="C429" s="4" t="s">
        <v>742</v>
      </c>
      <c r="D429" s="4" t="s">
        <v>742</v>
      </c>
      <c r="E429" s="4" t="s">
        <v>742</v>
      </c>
      <c r="F429" s="4" t="s">
        <v>742</v>
      </c>
      <c r="G429" s="4" t="s">
        <v>742</v>
      </c>
      <c r="H429" s="4" t="s">
        <v>742</v>
      </c>
      <c r="I429" s="4" t="s">
        <v>742</v>
      </c>
      <c r="J429" s="4" t="s">
        <v>742</v>
      </c>
      <c r="K429" s="4" t="s">
        <v>742</v>
      </c>
      <c r="L429" s="4" t="s">
        <v>742</v>
      </c>
      <c r="M429" s="4" t="s">
        <v>742</v>
      </c>
      <c r="N429" s="4" t="s">
        <v>742</v>
      </c>
    </row>
    <row r="430">
      <c r="B430" s="8" t="s">
        <v>742</v>
      </c>
      <c r="C430" s="4" t="s">
        <v>742</v>
      </c>
      <c r="D430" s="4" t="s">
        <v>742</v>
      </c>
      <c r="E430" s="4" t="s">
        <v>742</v>
      </c>
      <c r="F430" s="4" t="s">
        <v>742</v>
      </c>
      <c r="G430" s="4" t="s">
        <v>742</v>
      </c>
      <c r="H430" s="4" t="s">
        <v>742</v>
      </c>
      <c r="I430" s="4" t="s">
        <v>742</v>
      </c>
      <c r="J430" s="4" t="s">
        <v>742</v>
      </c>
      <c r="K430" s="4" t="s">
        <v>742</v>
      </c>
      <c r="L430" s="4" t="s">
        <v>742</v>
      </c>
      <c r="M430" s="4" t="s">
        <v>742</v>
      </c>
      <c r="N430" s="4" t="s">
        <v>742</v>
      </c>
    </row>
    <row r="431">
      <c r="B431" s="8" t="s">
        <v>742</v>
      </c>
      <c r="C431" s="4" t="s">
        <v>742</v>
      </c>
      <c r="D431" s="4" t="s">
        <v>742</v>
      </c>
      <c r="E431" s="4" t="s">
        <v>742</v>
      </c>
      <c r="F431" s="4" t="s">
        <v>742</v>
      </c>
      <c r="G431" s="4" t="s">
        <v>742</v>
      </c>
      <c r="H431" s="4" t="s">
        <v>742</v>
      </c>
      <c r="I431" s="4" t="s">
        <v>742</v>
      </c>
      <c r="J431" s="4" t="s">
        <v>742</v>
      </c>
      <c r="K431" s="4" t="s">
        <v>742</v>
      </c>
      <c r="L431" s="4" t="s">
        <v>742</v>
      </c>
      <c r="M431" s="4" t="s">
        <v>742</v>
      </c>
      <c r="N431" s="4" t="s">
        <v>742</v>
      </c>
    </row>
    <row r="432">
      <c r="B432" s="8" t="s">
        <v>742</v>
      </c>
      <c r="C432" s="4" t="s">
        <v>742</v>
      </c>
      <c r="D432" s="4" t="s">
        <v>742</v>
      </c>
      <c r="E432" s="4" t="s">
        <v>742</v>
      </c>
      <c r="F432" s="4" t="s">
        <v>742</v>
      </c>
      <c r="G432" s="4" t="s">
        <v>742</v>
      </c>
      <c r="H432" s="4" t="s">
        <v>742</v>
      </c>
      <c r="I432" s="4" t="s">
        <v>742</v>
      </c>
      <c r="J432" s="4" t="s">
        <v>742</v>
      </c>
      <c r="K432" s="4" t="s">
        <v>742</v>
      </c>
      <c r="L432" s="4" t="s">
        <v>742</v>
      </c>
      <c r="M432" s="4" t="s">
        <v>742</v>
      </c>
      <c r="N432" s="4" t="s">
        <v>742</v>
      </c>
    </row>
    <row r="433">
      <c r="B433" s="8" t="s">
        <v>742</v>
      </c>
      <c r="C433" s="4" t="s">
        <v>742</v>
      </c>
      <c r="D433" s="4" t="s">
        <v>742</v>
      </c>
      <c r="E433" s="4" t="s">
        <v>742</v>
      </c>
      <c r="F433" s="4" t="s">
        <v>742</v>
      </c>
      <c r="G433" s="4" t="s">
        <v>742</v>
      </c>
      <c r="H433" s="4" t="s">
        <v>742</v>
      </c>
      <c r="I433" s="4" t="s">
        <v>742</v>
      </c>
      <c r="J433" s="4" t="s">
        <v>742</v>
      </c>
      <c r="K433" s="4" t="s">
        <v>742</v>
      </c>
      <c r="L433" s="4" t="s">
        <v>742</v>
      </c>
      <c r="M433" s="4" t="s">
        <v>742</v>
      </c>
      <c r="N433" s="4" t="s">
        <v>742</v>
      </c>
    </row>
    <row r="434">
      <c r="B434" s="8" t="s">
        <v>742</v>
      </c>
      <c r="C434" s="4" t="s">
        <v>742</v>
      </c>
      <c r="D434" s="4" t="s">
        <v>742</v>
      </c>
      <c r="E434" s="4" t="s">
        <v>742</v>
      </c>
      <c r="F434" s="4" t="s">
        <v>742</v>
      </c>
      <c r="G434" s="4" t="s">
        <v>742</v>
      </c>
      <c r="H434" s="4" t="s">
        <v>742</v>
      </c>
      <c r="I434" s="4" t="s">
        <v>742</v>
      </c>
      <c r="J434" s="4" t="s">
        <v>742</v>
      </c>
      <c r="K434" s="4" t="s">
        <v>742</v>
      </c>
      <c r="L434" s="4" t="s">
        <v>742</v>
      </c>
      <c r="M434" s="4" t="s">
        <v>742</v>
      </c>
      <c r="N434" s="4" t="s">
        <v>742</v>
      </c>
    </row>
    <row r="435">
      <c r="B435" s="8" t="s">
        <v>742</v>
      </c>
      <c r="C435" s="4" t="s">
        <v>742</v>
      </c>
      <c r="D435" s="4" t="s">
        <v>742</v>
      </c>
      <c r="E435" s="4" t="s">
        <v>742</v>
      </c>
      <c r="F435" s="4" t="s">
        <v>742</v>
      </c>
      <c r="G435" s="4" t="s">
        <v>742</v>
      </c>
      <c r="H435" s="4" t="s">
        <v>742</v>
      </c>
      <c r="I435" s="4" t="s">
        <v>742</v>
      </c>
      <c r="J435" s="4" t="s">
        <v>742</v>
      </c>
      <c r="K435" s="4" t="s">
        <v>742</v>
      </c>
      <c r="L435" s="4" t="s">
        <v>742</v>
      </c>
      <c r="M435" s="4" t="s">
        <v>742</v>
      </c>
      <c r="N435" s="4" t="s">
        <v>742</v>
      </c>
    </row>
    <row r="436">
      <c r="B436" s="8" t="s">
        <v>742</v>
      </c>
      <c r="C436" s="4" t="s">
        <v>742</v>
      </c>
      <c r="D436" s="4" t="s">
        <v>742</v>
      </c>
      <c r="E436" s="4" t="s">
        <v>742</v>
      </c>
      <c r="F436" s="4" t="s">
        <v>742</v>
      </c>
      <c r="G436" s="4" t="s">
        <v>742</v>
      </c>
      <c r="H436" s="4" t="s">
        <v>742</v>
      </c>
      <c r="I436" s="4" t="s">
        <v>742</v>
      </c>
      <c r="J436" s="4" t="s">
        <v>742</v>
      </c>
      <c r="K436" s="4" t="s">
        <v>742</v>
      </c>
      <c r="L436" s="4" t="s">
        <v>742</v>
      </c>
      <c r="M436" s="4" t="s">
        <v>742</v>
      </c>
      <c r="N436" s="4" t="s">
        <v>742</v>
      </c>
    </row>
    <row r="437">
      <c r="B437" s="8" t="s">
        <v>742</v>
      </c>
      <c r="C437" s="4" t="s">
        <v>742</v>
      </c>
      <c r="D437" s="4" t="s">
        <v>742</v>
      </c>
      <c r="E437" s="4" t="s">
        <v>742</v>
      </c>
      <c r="F437" s="4" t="s">
        <v>742</v>
      </c>
      <c r="G437" s="4" t="s">
        <v>742</v>
      </c>
      <c r="H437" s="4" t="s">
        <v>742</v>
      </c>
      <c r="I437" s="4" t="s">
        <v>742</v>
      </c>
      <c r="J437" s="4" t="s">
        <v>742</v>
      </c>
      <c r="K437" s="4" t="s">
        <v>742</v>
      </c>
      <c r="L437" s="4" t="s">
        <v>742</v>
      </c>
      <c r="M437" s="4" t="s">
        <v>742</v>
      </c>
      <c r="N437" s="4" t="s">
        <v>742</v>
      </c>
    </row>
    <row r="438">
      <c r="B438" s="8" t="s">
        <v>742</v>
      </c>
      <c r="C438" s="4" t="s">
        <v>742</v>
      </c>
      <c r="D438" s="4" t="s">
        <v>742</v>
      </c>
      <c r="E438" s="4" t="s">
        <v>742</v>
      </c>
      <c r="F438" s="4" t="s">
        <v>742</v>
      </c>
      <c r="G438" s="4" t="s">
        <v>742</v>
      </c>
      <c r="H438" s="4" t="s">
        <v>742</v>
      </c>
      <c r="I438" s="4" t="s">
        <v>742</v>
      </c>
      <c r="J438" s="4" t="s">
        <v>742</v>
      </c>
      <c r="K438" s="4" t="s">
        <v>742</v>
      </c>
      <c r="L438" s="4" t="s">
        <v>742</v>
      </c>
      <c r="M438" s="4" t="s">
        <v>742</v>
      </c>
      <c r="N438" s="4" t="s">
        <v>742</v>
      </c>
    </row>
    <row r="439">
      <c r="B439" s="8" t="s">
        <v>742</v>
      </c>
      <c r="C439" s="4" t="s">
        <v>742</v>
      </c>
      <c r="D439" s="4" t="s">
        <v>742</v>
      </c>
      <c r="E439" s="4" t="s">
        <v>742</v>
      </c>
      <c r="F439" s="4" t="s">
        <v>742</v>
      </c>
      <c r="G439" s="4" t="s">
        <v>742</v>
      </c>
      <c r="H439" s="4" t="s">
        <v>742</v>
      </c>
      <c r="I439" s="4" t="s">
        <v>742</v>
      </c>
      <c r="J439" s="4" t="s">
        <v>742</v>
      </c>
      <c r="K439" s="4" t="s">
        <v>742</v>
      </c>
      <c r="L439" s="4" t="s">
        <v>742</v>
      </c>
      <c r="M439" s="4" t="s">
        <v>742</v>
      </c>
      <c r="N439" s="4" t="s">
        <v>742</v>
      </c>
    </row>
    <row r="440">
      <c r="B440" s="8" t="s">
        <v>742</v>
      </c>
      <c r="C440" s="4" t="s">
        <v>742</v>
      </c>
      <c r="D440" s="4" t="s">
        <v>742</v>
      </c>
      <c r="E440" s="4" t="s">
        <v>742</v>
      </c>
      <c r="F440" s="4" t="s">
        <v>742</v>
      </c>
      <c r="G440" s="4" t="s">
        <v>742</v>
      </c>
      <c r="H440" s="4" t="s">
        <v>742</v>
      </c>
      <c r="I440" s="4" t="s">
        <v>742</v>
      </c>
      <c r="J440" s="4" t="s">
        <v>742</v>
      </c>
      <c r="K440" s="4" t="s">
        <v>742</v>
      </c>
      <c r="L440" s="4" t="s">
        <v>742</v>
      </c>
      <c r="M440" s="4" t="s">
        <v>742</v>
      </c>
      <c r="N440" s="4" t="s">
        <v>742</v>
      </c>
    </row>
    <row r="441">
      <c r="B441" s="8" t="s">
        <v>742</v>
      </c>
      <c r="C441" s="4" t="s">
        <v>742</v>
      </c>
      <c r="D441" s="4" t="s">
        <v>742</v>
      </c>
      <c r="E441" s="4" t="s">
        <v>742</v>
      </c>
      <c r="F441" s="4" t="s">
        <v>742</v>
      </c>
      <c r="G441" s="4" t="s">
        <v>742</v>
      </c>
      <c r="H441" s="4" t="s">
        <v>742</v>
      </c>
      <c r="I441" s="4" t="s">
        <v>742</v>
      </c>
      <c r="J441" s="4" t="s">
        <v>742</v>
      </c>
      <c r="K441" s="4" t="s">
        <v>742</v>
      </c>
      <c r="L441" s="4" t="s">
        <v>742</v>
      </c>
      <c r="M441" s="4" t="s">
        <v>742</v>
      </c>
      <c r="N441" s="4" t="s">
        <v>742</v>
      </c>
    </row>
    <row r="442">
      <c r="B442" s="8" t="s">
        <v>742</v>
      </c>
      <c r="C442" s="4" t="s">
        <v>742</v>
      </c>
      <c r="D442" s="4" t="s">
        <v>742</v>
      </c>
      <c r="E442" s="4" t="s">
        <v>742</v>
      </c>
      <c r="F442" s="4" t="s">
        <v>742</v>
      </c>
      <c r="G442" s="4" t="s">
        <v>742</v>
      </c>
      <c r="H442" s="4" t="s">
        <v>742</v>
      </c>
      <c r="I442" s="4" t="s">
        <v>742</v>
      </c>
      <c r="J442" s="4" t="s">
        <v>742</v>
      </c>
      <c r="K442" s="4" t="s">
        <v>742</v>
      </c>
      <c r="L442" s="4" t="s">
        <v>742</v>
      </c>
      <c r="M442" s="4" t="s">
        <v>742</v>
      </c>
      <c r="N442" s="4" t="s">
        <v>742</v>
      </c>
    </row>
    <row r="443">
      <c r="B443" s="8" t="s">
        <v>742</v>
      </c>
      <c r="C443" s="4" t="s">
        <v>742</v>
      </c>
      <c r="D443" s="4" t="s">
        <v>742</v>
      </c>
      <c r="E443" s="4" t="s">
        <v>742</v>
      </c>
      <c r="F443" s="4" t="s">
        <v>742</v>
      </c>
      <c r="G443" s="4" t="s">
        <v>742</v>
      </c>
      <c r="H443" s="4" t="s">
        <v>742</v>
      </c>
      <c r="I443" s="4" t="s">
        <v>742</v>
      </c>
      <c r="J443" s="4" t="s">
        <v>742</v>
      </c>
      <c r="K443" s="4" t="s">
        <v>742</v>
      </c>
      <c r="L443" s="4" t="s">
        <v>742</v>
      </c>
      <c r="M443" s="4" t="s">
        <v>742</v>
      </c>
      <c r="N443" s="4" t="s">
        <v>742</v>
      </c>
    </row>
    <row r="444">
      <c r="B444" s="8" t="s">
        <v>742</v>
      </c>
      <c r="C444" s="4" t="s">
        <v>742</v>
      </c>
      <c r="D444" s="4" t="s">
        <v>742</v>
      </c>
      <c r="E444" s="4" t="s">
        <v>742</v>
      </c>
      <c r="F444" s="4" t="s">
        <v>742</v>
      </c>
      <c r="G444" s="4" t="s">
        <v>742</v>
      </c>
      <c r="H444" s="4" t="s">
        <v>742</v>
      </c>
      <c r="I444" s="4" t="s">
        <v>742</v>
      </c>
      <c r="J444" s="4" t="s">
        <v>742</v>
      </c>
      <c r="K444" s="4" t="s">
        <v>742</v>
      </c>
      <c r="L444" s="4" t="s">
        <v>742</v>
      </c>
      <c r="M444" s="4" t="s">
        <v>742</v>
      </c>
      <c r="N444" s="4" t="s">
        <v>742</v>
      </c>
    </row>
    <row r="445">
      <c r="B445" s="8" t="s">
        <v>742</v>
      </c>
      <c r="C445" s="4" t="s">
        <v>742</v>
      </c>
      <c r="D445" s="4" t="s">
        <v>742</v>
      </c>
      <c r="E445" s="4" t="s">
        <v>742</v>
      </c>
      <c r="F445" s="4" t="s">
        <v>742</v>
      </c>
      <c r="G445" s="4" t="s">
        <v>742</v>
      </c>
      <c r="H445" s="4" t="s">
        <v>742</v>
      </c>
      <c r="I445" s="4" t="s">
        <v>742</v>
      </c>
      <c r="J445" s="4" t="s">
        <v>742</v>
      </c>
      <c r="K445" s="4" t="s">
        <v>742</v>
      </c>
      <c r="L445" s="4" t="s">
        <v>742</v>
      </c>
      <c r="M445" s="4" t="s">
        <v>742</v>
      </c>
      <c r="N445" s="4" t="s">
        <v>742</v>
      </c>
    </row>
    <row r="446">
      <c r="B446" s="8" t="s">
        <v>742</v>
      </c>
      <c r="C446" s="4" t="s">
        <v>742</v>
      </c>
      <c r="D446" s="4" t="s">
        <v>742</v>
      </c>
      <c r="E446" s="4" t="s">
        <v>742</v>
      </c>
      <c r="F446" s="4" t="s">
        <v>742</v>
      </c>
      <c r="G446" s="4" t="s">
        <v>742</v>
      </c>
      <c r="H446" s="4" t="s">
        <v>742</v>
      </c>
      <c r="I446" s="4" t="s">
        <v>742</v>
      </c>
      <c r="J446" s="4" t="s">
        <v>742</v>
      </c>
      <c r="K446" s="4" t="s">
        <v>742</v>
      </c>
      <c r="L446" s="4" t="s">
        <v>742</v>
      </c>
      <c r="M446" s="4" t="s">
        <v>742</v>
      </c>
      <c r="N446" s="4" t="s">
        <v>742</v>
      </c>
    </row>
    <row r="447">
      <c r="B447" s="8" t="s">
        <v>742</v>
      </c>
      <c r="C447" s="4" t="s">
        <v>742</v>
      </c>
      <c r="D447" s="4" t="s">
        <v>742</v>
      </c>
      <c r="E447" s="4" t="s">
        <v>742</v>
      </c>
      <c r="F447" s="4" t="s">
        <v>742</v>
      </c>
      <c r="G447" s="4" t="s">
        <v>742</v>
      </c>
      <c r="H447" s="4" t="s">
        <v>742</v>
      </c>
      <c r="I447" s="4" t="s">
        <v>742</v>
      </c>
      <c r="J447" s="4" t="s">
        <v>742</v>
      </c>
      <c r="K447" s="4" t="s">
        <v>742</v>
      </c>
      <c r="L447" s="4" t="s">
        <v>742</v>
      </c>
      <c r="M447" s="4" t="s">
        <v>742</v>
      </c>
      <c r="N447" s="4" t="s">
        <v>742</v>
      </c>
    </row>
    <row r="448">
      <c r="B448" s="8" t="s">
        <v>742</v>
      </c>
      <c r="C448" s="4" t="s">
        <v>742</v>
      </c>
      <c r="D448" s="4" t="s">
        <v>742</v>
      </c>
      <c r="E448" s="4" t="s">
        <v>742</v>
      </c>
      <c r="F448" s="4" t="s">
        <v>742</v>
      </c>
      <c r="G448" s="4" t="s">
        <v>742</v>
      </c>
      <c r="H448" s="4" t="s">
        <v>742</v>
      </c>
      <c r="I448" s="4" t="s">
        <v>742</v>
      </c>
      <c r="J448" s="4" t="s">
        <v>742</v>
      </c>
      <c r="K448" s="4" t="s">
        <v>742</v>
      </c>
      <c r="L448" s="4" t="s">
        <v>742</v>
      </c>
      <c r="M448" s="4" t="s">
        <v>742</v>
      </c>
      <c r="N448" s="4" t="s">
        <v>742</v>
      </c>
    </row>
    <row r="449">
      <c r="B449" s="8" t="s">
        <v>742</v>
      </c>
      <c r="C449" s="4" t="s">
        <v>742</v>
      </c>
      <c r="D449" s="4" t="s">
        <v>742</v>
      </c>
      <c r="E449" s="4" t="s">
        <v>742</v>
      </c>
      <c r="F449" s="4" t="s">
        <v>742</v>
      </c>
      <c r="G449" s="4" t="s">
        <v>742</v>
      </c>
      <c r="H449" s="4" t="s">
        <v>742</v>
      </c>
      <c r="I449" s="4" t="s">
        <v>742</v>
      </c>
      <c r="J449" s="4" t="s">
        <v>742</v>
      </c>
      <c r="K449" s="4" t="s">
        <v>742</v>
      </c>
      <c r="L449" s="4" t="s">
        <v>742</v>
      </c>
      <c r="M449" s="4" t="s">
        <v>742</v>
      </c>
      <c r="N449" s="4" t="s">
        <v>742</v>
      </c>
    </row>
    <row r="450">
      <c r="B450" s="8" t="s">
        <v>742</v>
      </c>
      <c r="C450" s="4" t="s">
        <v>742</v>
      </c>
      <c r="D450" s="4" t="s">
        <v>742</v>
      </c>
      <c r="E450" s="4" t="s">
        <v>742</v>
      </c>
      <c r="F450" s="4" t="s">
        <v>742</v>
      </c>
      <c r="G450" s="4" t="s">
        <v>742</v>
      </c>
      <c r="H450" s="4" t="s">
        <v>742</v>
      </c>
      <c r="I450" s="4" t="s">
        <v>742</v>
      </c>
      <c r="J450" s="4" t="s">
        <v>742</v>
      </c>
      <c r="K450" s="4" t="s">
        <v>742</v>
      </c>
      <c r="L450" s="4" t="s">
        <v>742</v>
      </c>
      <c r="M450" s="4" t="s">
        <v>742</v>
      </c>
      <c r="N450" s="4" t="s">
        <v>742</v>
      </c>
    </row>
    <row r="451">
      <c r="B451" s="8" t="s">
        <v>742</v>
      </c>
      <c r="C451" s="4" t="s">
        <v>742</v>
      </c>
      <c r="D451" s="4" t="s">
        <v>742</v>
      </c>
      <c r="E451" s="4" t="s">
        <v>742</v>
      </c>
      <c r="F451" s="4" t="s">
        <v>742</v>
      </c>
      <c r="G451" s="4" t="s">
        <v>742</v>
      </c>
      <c r="H451" s="4" t="s">
        <v>742</v>
      </c>
      <c r="I451" s="4" t="s">
        <v>742</v>
      </c>
      <c r="J451" s="4" t="s">
        <v>742</v>
      </c>
      <c r="K451" s="4" t="s">
        <v>742</v>
      </c>
      <c r="L451" s="4" t="s">
        <v>742</v>
      </c>
      <c r="M451" s="4" t="s">
        <v>742</v>
      </c>
      <c r="N451" s="4" t="s">
        <v>742</v>
      </c>
    </row>
    <row r="452">
      <c r="B452" s="8" t="s">
        <v>742</v>
      </c>
      <c r="C452" s="4" t="s">
        <v>742</v>
      </c>
      <c r="D452" s="4" t="s">
        <v>742</v>
      </c>
      <c r="E452" s="4" t="s">
        <v>742</v>
      </c>
      <c r="F452" s="4" t="s">
        <v>742</v>
      </c>
      <c r="G452" s="4" t="s">
        <v>742</v>
      </c>
      <c r="H452" s="4" t="s">
        <v>742</v>
      </c>
      <c r="I452" s="4" t="s">
        <v>742</v>
      </c>
      <c r="J452" s="4" t="s">
        <v>742</v>
      </c>
      <c r="K452" s="4" t="s">
        <v>742</v>
      </c>
      <c r="L452" s="4" t="s">
        <v>742</v>
      </c>
      <c r="M452" s="4" t="s">
        <v>742</v>
      </c>
      <c r="N452" s="4" t="s">
        <v>742</v>
      </c>
    </row>
    <row r="453">
      <c r="B453" s="8" t="s">
        <v>742</v>
      </c>
      <c r="C453" s="4" t="s">
        <v>742</v>
      </c>
      <c r="D453" s="4" t="s">
        <v>742</v>
      </c>
      <c r="E453" s="4" t="s">
        <v>742</v>
      </c>
      <c r="F453" s="4" t="s">
        <v>742</v>
      </c>
      <c r="G453" s="4" t="s">
        <v>742</v>
      </c>
      <c r="H453" s="4" t="s">
        <v>742</v>
      </c>
      <c r="I453" s="4" t="s">
        <v>742</v>
      </c>
      <c r="J453" s="4" t="s">
        <v>742</v>
      </c>
      <c r="K453" s="4" t="s">
        <v>742</v>
      </c>
      <c r="L453" s="4" t="s">
        <v>742</v>
      </c>
      <c r="M453" s="4" t="s">
        <v>742</v>
      </c>
      <c r="N453" s="4" t="s">
        <v>742</v>
      </c>
    </row>
    <row r="454">
      <c r="B454" s="8" t="s">
        <v>742</v>
      </c>
      <c r="C454" s="4" t="s">
        <v>742</v>
      </c>
      <c r="D454" s="4" t="s">
        <v>742</v>
      </c>
      <c r="E454" s="4" t="s">
        <v>742</v>
      </c>
      <c r="F454" s="4" t="s">
        <v>742</v>
      </c>
      <c r="G454" s="4" t="s">
        <v>742</v>
      </c>
      <c r="H454" s="4" t="s">
        <v>742</v>
      </c>
      <c r="I454" s="4" t="s">
        <v>742</v>
      </c>
      <c r="J454" s="4" t="s">
        <v>742</v>
      </c>
      <c r="K454" s="4" t="s">
        <v>742</v>
      </c>
      <c r="L454" s="4" t="s">
        <v>742</v>
      </c>
      <c r="M454" s="4" t="s">
        <v>742</v>
      </c>
      <c r="N454" s="4" t="s">
        <v>742</v>
      </c>
    </row>
    <row r="455">
      <c r="B455" s="8" t="s">
        <v>742</v>
      </c>
      <c r="C455" s="4" t="s">
        <v>742</v>
      </c>
      <c r="D455" s="4" t="s">
        <v>742</v>
      </c>
      <c r="E455" s="4" t="s">
        <v>742</v>
      </c>
      <c r="F455" s="4" t="s">
        <v>742</v>
      </c>
      <c r="G455" s="4" t="s">
        <v>742</v>
      </c>
      <c r="H455" s="4" t="s">
        <v>742</v>
      </c>
      <c r="I455" s="4" t="s">
        <v>742</v>
      </c>
      <c r="J455" s="4" t="s">
        <v>742</v>
      </c>
      <c r="K455" s="4" t="s">
        <v>742</v>
      </c>
      <c r="L455" s="4" t="s">
        <v>742</v>
      </c>
      <c r="M455" s="4" t="s">
        <v>742</v>
      </c>
      <c r="N455" s="4" t="s">
        <v>742</v>
      </c>
    </row>
    <row r="456">
      <c r="B456" s="8" t="s">
        <v>742</v>
      </c>
      <c r="C456" s="4" t="s">
        <v>742</v>
      </c>
      <c r="D456" s="4" t="s">
        <v>742</v>
      </c>
      <c r="E456" s="4" t="s">
        <v>742</v>
      </c>
      <c r="F456" s="4" t="s">
        <v>742</v>
      </c>
      <c r="G456" s="4" t="s">
        <v>742</v>
      </c>
      <c r="H456" s="4" t="s">
        <v>742</v>
      </c>
      <c r="I456" s="4" t="s">
        <v>742</v>
      </c>
      <c r="J456" s="4" t="s">
        <v>742</v>
      </c>
      <c r="K456" s="4" t="s">
        <v>742</v>
      </c>
      <c r="L456" s="4" t="s">
        <v>742</v>
      </c>
      <c r="M456" s="4" t="s">
        <v>742</v>
      </c>
      <c r="N456" s="4" t="s">
        <v>742</v>
      </c>
    </row>
    <row r="457">
      <c r="B457" s="8" t="s">
        <v>742</v>
      </c>
      <c r="C457" s="4" t="s">
        <v>742</v>
      </c>
      <c r="D457" s="4" t="s">
        <v>742</v>
      </c>
      <c r="E457" s="4" t="s">
        <v>742</v>
      </c>
      <c r="F457" s="4" t="s">
        <v>742</v>
      </c>
      <c r="G457" s="4" t="s">
        <v>742</v>
      </c>
      <c r="H457" s="4" t="s">
        <v>742</v>
      </c>
      <c r="I457" s="4" t="s">
        <v>742</v>
      </c>
      <c r="J457" s="4" t="s">
        <v>742</v>
      </c>
      <c r="K457" s="4" t="s">
        <v>742</v>
      </c>
      <c r="L457" s="4" t="s">
        <v>742</v>
      </c>
      <c r="M457" s="4" t="s">
        <v>742</v>
      </c>
      <c r="N457" s="4" t="s">
        <v>742</v>
      </c>
    </row>
    <row r="458">
      <c r="B458" s="8" t="s">
        <v>742</v>
      </c>
      <c r="C458" s="4" t="s">
        <v>742</v>
      </c>
      <c r="D458" s="4" t="s">
        <v>742</v>
      </c>
      <c r="E458" s="4" t="s">
        <v>742</v>
      </c>
      <c r="F458" s="4" t="s">
        <v>742</v>
      </c>
      <c r="G458" s="4" t="s">
        <v>742</v>
      </c>
      <c r="H458" s="4" t="s">
        <v>742</v>
      </c>
      <c r="I458" s="4" t="s">
        <v>742</v>
      </c>
      <c r="J458" s="4" t="s">
        <v>742</v>
      </c>
      <c r="K458" s="4" t="s">
        <v>742</v>
      </c>
      <c r="L458" s="4" t="s">
        <v>742</v>
      </c>
      <c r="M458" s="4" t="s">
        <v>742</v>
      </c>
      <c r="N458" s="4" t="s">
        <v>742</v>
      </c>
    </row>
    <row r="459">
      <c r="B459" s="8" t="s">
        <v>742</v>
      </c>
      <c r="C459" s="4" t="s">
        <v>742</v>
      </c>
      <c r="D459" s="4" t="s">
        <v>742</v>
      </c>
      <c r="E459" s="4" t="s">
        <v>742</v>
      </c>
      <c r="F459" s="4" t="s">
        <v>742</v>
      </c>
      <c r="G459" s="4" t="s">
        <v>742</v>
      </c>
      <c r="H459" s="4" t="s">
        <v>742</v>
      </c>
      <c r="I459" s="4" t="s">
        <v>742</v>
      </c>
      <c r="J459" s="4" t="s">
        <v>742</v>
      </c>
      <c r="K459" s="4" t="s">
        <v>742</v>
      </c>
      <c r="L459" s="4" t="s">
        <v>742</v>
      </c>
      <c r="M459" s="4" t="s">
        <v>742</v>
      </c>
      <c r="N459" s="4" t="s">
        <v>742</v>
      </c>
    </row>
    <row r="460">
      <c r="B460" s="8" t="s">
        <v>742</v>
      </c>
      <c r="C460" s="4" t="s">
        <v>742</v>
      </c>
      <c r="D460" s="4" t="s">
        <v>742</v>
      </c>
      <c r="E460" s="4" t="s">
        <v>742</v>
      </c>
      <c r="F460" s="4" t="s">
        <v>742</v>
      </c>
      <c r="G460" s="4" t="s">
        <v>742</v>
      </c>
      <c r="H460" s="4" t="s">
        <v>742</v>
      </c>
      <c r="I460" s="4" t="s">
        <v>742</v>
      </c>
      <c r="J460" s="4" t="s">
        <v>742</v>
      </c>
      <c r="K460" s="4" t="s">
        <v>742</v>
      </c>
      <c r="L460" s="4" t="s">
        <v>742</v>
      </c>
      <c r="M460" s="4" t="s">
        <v>742</v>
      </c>
      <c r="N460" s="4" t="s">
        <v>742</v>
      </c>
    </row>
    <row r="461">
      <c r="B461" s="8" t="s">
        <v>742</v>
      </c>
      <c r="C461" s="4" t="s">
        <v>742</v>
      </c>
      <c r="D461" s="4" t="s">
        <v>742</v>
      </c>
      <c r="E461" s="4" t="s">
        <v>742</v>
      </c>
      <c r="F461" s="4" t="s">
        <v>742</v>
      </c>
      <c r="G461" s="4" t="s">
        <v>742</v>
      </c>
      <c r="H461" s="4" t="s">
        <v>742</v>
      </c>
      <c r="I461" s="4" t="s">
        <v>742</v>
      </c>
      <c r="J461" s="4" t="s">
        <v>742</v>
      </c>
      <c r="K461" s="4" t="s">
        <v>742</v>
      </c>
      <c r="L461" s="4" t="s">
        <v>742</v>
      </c>
      <c r="M461" s="4" t="s">
        <v>742</v>
      </c>
      <c r="N461" s="4" t="s">
        <v>742</v>
      </c>
    </row>
    <row r="462">
      <c r="B462" s="8" t="s">
        <v>742</v>
      </c>
      <c r="C462" s="4" t="s">
        <v>742</v>
      </c>
      <c r="D462" s="4" t="s">
        <v>742</v>
      </c>
      <c r="E462" s="4" t="s">
        <v>742</v>
      </c>
      <c r="F462" s="4" t="s">
        <v>742</v>
      </c>
      <c r="G462" s="4" t="s">
        <v>742</v>
      </c>
      <c r="H462" s="4" t="s">
        <v>742</v>
      </c>
      <c r="I462" s="4" t="s">
        <v>742</v>
      </c>
      <c r="J462" s="4" t="s">
        <v>742</v>
      </c>
      <c r="K462" s="4" t="s">
        <v>742</v>
      </c>
      <c r="L462" s="4" t="s">
        <v>742</v>
      </c>
      <c r="M462" s="4" t="s">
        <v>742</v>
      </c>
      <c r="N462" s="4" t="s">
        <v>742</v>
      </c>
    </row>
    <row r="463">
      <c r="B463" s="8" t="s">
        <v>742</v>
      </c>
      <c r="C463" s="4" t="s">
        <v>742</v>
      </c>
      <c r="D463" s="4" t="s">
        <v>742</v>
      </c>
      <c r="E463" s="4" t="s">
        <v>742</v>
      </c>
      <c r="F463" s="4" t="s">
        <v>742</v>
      </c>
      <c r="G463" s="4" t="s">
        <v>742</v>
      </c>
      <c r="H463" s="4" t="s">
        <v>742</v>
      </c>
      <c r="I463" s="4" t="s">
        <v>742</v>
      </c>
      <c r="J463" s="4" t="s">
        <v>742</v>
      </c>
      <c r="K463" s="4" t="s">
        <v>742</v>
      </c>
      <c r="L463" s="4" t="s">
        <v>742</v>
      </c>
      <c r="M463" s="4" t="s">
        <v>742</v>
      </c>
      <c r="N463" s="4" t="s">
        <v>742</v>
      </c>
    </row>
    <row r="464">
      <c r="B464" s="8" t="s">
        <v>742</v>
      </c>
      <c r="C464" s="4" t="s">
        <v>742</v>
      </c>
      <c r="D464" s="4" t="s">
        <v>742</v>
      </c>
      <c r="E464" s="4" t="s">
        <v>742</v>
      </c>
      <c r="F464" s="4" t="s">
        <v>742</v>
      </c>
      <c r="G464" s="4" t="s">
        <v>742</v>
      </c>
      <c r="H464" s="4" t="s">
        <v>742</v>
      </c>
      <c r="I464" s="4" t="s">
        <v>742</v>
      </c>
      <c r="J464" s="4" t="s">
        <v>742</v>
      </c>
      <c r="K464" s="4" t="s">
        <v>742</v>
      </c>
      <c r="L464" s="4" t="s">
        <v>742</v>
      </c>
      <c r="M464" s="4" t="s">
        <v>742</v>
      </c>
      <c r="N464" s="4" t="s">
        <v>742</v>
      </c>
    </row>
    <row r="465">
      <c r="B465" s="8" t="s">
        <v>742</v>
      </c>
      <c r="C465" s="4" t="s">
        <v>742</v>
      </c>
      <c r="D465" s="4" t="s">
        <v>742</v>
      </c>
      <c r="E465" s="4" t="s">
        <v>742</v>
      </c>
      <c r="F465" s="4" t="s">
        <v>742</v>
      </c>
      <c r="G465" s="4" t="s">
        <v>742</v>
      </c>
      <c r="H465" s="4" t="s">
        <v>742</v>
      </c>
      <c r="I465" s="4" t="s">
        <v>742</v>
      </c>
      <c r="J465" s="4" t="s">
        <v>742</v>
      </c>
      <c r="K465" s="4" t="s">
        <v>742</v>
      </c>
      <c r="L465" s="4" t="s">
        <v>742</v>
      </c>
      <c r="M465" s="4" t="s">
        <v>742</v>
      </c>
      <c r="N465" s="4" t="s">
        <v>742</v>
      </c>
    </row>
    <row r="466">
      <c r="B466" s="8" t="s">
        <v>742</v>
      </c>
      <c r="C466" s="4" t="s">
        <v>742</v>
      </c>
      <c r="D466" s="4" t="s">
        <v>742</v>
      </c>
      <c r="E466" s="4" t="s">
        <v>742</v>
      </c>
      <c r="F466" s="4" t="s">
        <v>742</v>
      </c>
      <c r="G466" s="4" t="s">
        <v>742</v>
      </c>
      <c r="H466" s="4" t="s">
        <v>742</v>
      </c>
      <c r="I466" s="4" t="s">
        <v>742</v>
      </c>
      <c r="J466" s="4" t="s">
        <v>742</v>
      </c>
      <c r="K466" s="4" t="s">
        <v>742</v>
      </c>
      <c r="L466" s="4" t="s">
        <v>742</v>
      </c>
      <c r="M466" s="4" t="s">
        <v>742</v>
      </c>
      <c r="N466" s="4" t="s">
        <v>742</v>
      </c>
    </row>
    <row r="467">
      <c r="B467" s="8" t="s">
        <v>742</v>
      </c>
      <c r="C467" s="4" t="s">
        <v>742</v>
      </c>
      <c r="D467" s="4" t="s">
        <v>742</v>
      </c>
      <c r="E467" s="4" t="s">
        <v>742</v>
      </c>
      <c r="F467" s="4" t="s">
        <v>742</v>
      </c>
      <c r="G467" s="4" t="s">
        <v>742</v>
      </c>
      <c r="H467" s="4" t="s">
        <v>742</v>
      </c>
      <c r="I467" s="4" t="s">
        <v>742</v>
      </c>
      <c r="J467" s="4" t="s">
        <v>742</v>
      </c>
      <c r="K467" s="4" t="s">
        <v>742</v>
      </c>
      <c r="L467" s="4" t="s">
        <v>742</v>
      </c>
      <c r="M467" s="4" t="s">
        <v>742</v>
      </c>
      <c r="N467" s="4" t="s">
        <v>742</v>
      </c>
    </row>
    <row r="468">
      <c r="B468" s="8" t="s">
        <v>742</v>
      </c>
      <c r="C468" s="4" t="s">
        <v>742</v>
      </c>
      <c r="D468" s="4" t="s">
        <v>742</v>
      </c>
      <c r="E468" s="4" t="s">
        <v>742</v>
      </c>
      <c r="F468" s="4" t="s">
        <v>742</v>
      </c>
      <c r="G468" s="4" t="s">
        <v>742</v>
      </c>
      <c r="H468" s="4" t="s">
        <v>742</v>
      </c>
      <c r="I468" s="4" t="s">
        <v>742</v>
      </c>
      <c r="J468" s="4" t="s">
        <v>742</v>
      </c>
      <c r="K468" s="4" t="s">
        <v>742</v>
      </c>
      <c r="L468" s="4" t="s">
        <v>742</v>
      </c>
      <c r="M468" s="4" t="s">
        <v>742</v>
      </c>
      <c r="N468" s="4" t="s">
        <v>742</v>
      </c>
    </row>
    <row r="469">
      <c r="B469" s="8" t="s">
        <v>742</v>
      </c>
      <c r="C469" s="4" t="s">
        <v>742</v>
      </c>
      <c r="D469" s="4" t="s">
        <v>742</v>
      </c>
      <c r="E469" s="4" t="s">
        <v>742</v>
      </c>
      <c r="F469" s="4" t="s">
        <v>742</v>
      </c>
      <c r="G469" s="4" t="s">
        <v>742</v>
      </c>
      <c r="H469" s="4" t="s">
        <v>742</v>
      </c>
      <c r="I469" s="4" t="s">
        <v>742</v>
      </c>
      <c r="J469" s="4" t="s">
        <v>742</v>
      </c>
      <c r="K469" s="4" t="s">
        <v>742</v>
      </c>
      <c r="L469" s="4" t="s">
        <v>742</v>
      </c>
      <c r="M469" s="4" t="s">
        <v>742</v>
      </c>
      <c r="N469" s="4" t="s">
        <v>742</v>
      </c>
    </row>
    <row r="470">
      <c r="B470" s="8" t="s">
        <v>742</v>
      </c>
      <c r="C470" s="4" t="s">
        <v>742</v>
      </c>
      <c r="D470" s="4" t="s">
        <v>742</v>
      </c>
      <c r="E470" s="4" t="s">
        <v>742</v>
      </c>
      <c r="F470" s="4" t="s">
        <v>742</v>
      </c>
      <c r="G470" s="4" t="s">
        <v>742</v>
      </c>
      <c r="H470" s="4" t="s">
        <v>742</v>
      </c>
      <c r="I470" s="4" t="s">
        <v>742</v>
      </c>
      <c r="J470" s="4" t="s">
        <v>742</v>
      </c>
      <c r="K470" s="4" t="s">
        <v>742</v>
      </c>
      <c r="L470" s="4" t="s">
        <v>742</v>
      </c>
      <c r="M470" s="4" t="s">
        <v>742</v>
      </c>
      <c r="N470" s="4" t="s">
        <v>742</v>
      </c>
    </row>
    <row r="471">
      <c r="B471" s="8" t="s">
        <v>742</v>
      </c>
      <c r="C471" s="4" t="s">
        <v>742</v>
      </c>
      <c r="D471" s="4" t="s">
        <v>742</v>
      </c>
      <c r="E471" s="4" t="s">
        <v>742</v>
      </c>
      <c r="F471" s="4" t="s">
        <v>742</v>
      </c>
      <c r="G471" s="4" t="s">
        <v>742</v>
      </c>
      <c r="H471" s="4" t="s">
        <v>742</v>
      </c>
      <c r="I471" s="4" t="s">
        <v>742</v>
      </c>
      <c r="J471" s="4" t="s">
        <v>742</v>
      </c>
      <c r="K471" s="4" t="s">
        <v>742</v>
      </c>
      <c r="L471" s="4" t="s">
        <v>742</v>
      </c>
      <c r="M471" s="4" t="s">
        <v>742</v>
      </c>
      <c r="N471" s="4" t="s">
        <v>742</v>
      </c>
    </row>
    <row r="472">
      <c r="B472" s="8" t="s">
        <v>742</v>
      </c>
      <c r="C472" s="4" t="s">
        <v>742</v>
      </c>
      <c r="D472" s="4" t="s">
        <v>742</v>
      </c>
      <c r="E472" s="4" t="s">
        <v>742</v>
      </c>
      <c r="F472" s="4" t="s">
        <v>742</v>
      </c>
      <c r="G472" s="4" t="s">
        <v>742</v>
      </c>
      <c r="H472" s="4" t="s">
        <v>742</v>
      </c>
      <c r="I472" s="4" t="s">
        <v>742</v>
      </c>
      <c r="J472" s="4" t="s">
        <v>742</v>
      </c>
      <c r="K472" s="4" t="s">
        <v>742</v>
      </c>
      <c r="L472" s="4" t="s">
        <v>742</v>
      </c>
      <c r="M472" s="4" t="s">
        <v>742</v>
      </c>
      <c r="N472" s="4" t="s">
        <v>742</v>
      </c>
    </row>
    <row r="473">
      <c r="B473" s="8" t="s">
        <v>742</v>
      </c>
      <c r="C473" s="4" t="s">
        <v>742</v>
      </c>
      <c r="D473" s="4" t="s">
        <v>742</v>
      </c>
      <c r="E473" s="4" t="s">
        <v>742</v>
      </c>
      <c r="F473" s="4" t="s">
        <v>742</v>
      </c>
      <c r="G473" s="4" t="s">
        <v>742</v>
      </c>
      <c r="H473" s="4" t="s">
        <v>742</v>
      </c>
      <c r="I473" s="4" t="s">
        <v>742</v>
      </c>
      <c r="J473" s="4" t="s">
        <v>742</v>
      </c>
      <c r="K473" s="4" t="s">
        <v>742</v>
      </c>
      <c r="L473" s="4" t="s">
        <v>742</v>
      </c>
      <c r="M473" s="4" t="s">
        <v>742</v>
      </c>
      <c r="N473" s="4" t="s">
        <v>742</v>
      </c>
    </row>
    <row r="474">
      <c r="B474" s="8" t="s">
        <v>742</v>
      </c>
      <c r="C474" s="4" t="s">
        <v>742</v>
      </c>
      <c r="D474" s="4" t="s">
        <v>742</v>
      </c>
      <c r="E474" s="4" t="s">
        <v>742</v>
      </c>
      <c r="F474" s="4" t="s">
        <v>742</v>
      </c>
      <c r="G474" s="4" t="s">
        <v>742</v>
      </c>
      <c r="H474" s="4" t="s">
        <v>742</v>
      </c>
      <c r="I474" s="4" t="s">
        <v>742</v>
      </c>
      <c r="J474" s="4" t="s">
        <v>742</v>
      </c>
      <c r="K474" s="4" t="s">
        <v>742</v>
      </c>
      <c r="L474" s="4" t="s">
        <v>742</v>
      </c>
      <c r="M474" s="4" t="s">
        <v>742</v>
      </c>
      <c r="N474" s="4" t="s">
        <v>742</v>
      </c>
    </row>
    <row r="475">
      <c r="B475" s="8" t="s">
        <v>742</v>
      </c>
      <c r="C475" s="4" t="s">
        <v>742</v>
      </c>
      <c r="D475" s="4" t="s">
        <v>742</v>
      </c>
      <c r="E475" s="4" t="s">
        <v>742</v>
      </c>
      <c r="F475" s="4" t="s">
        <v>742</v>
      </c>
      <c r="G475" s="4" t="s">
        <v>742</v>
      </c>
      <c r="H475" s="4" t="s">
        <v>742</v>
      </c>
      <c r="I475" s="4" t="s">
        <v>742</v>
      </c>
      <c r="J475" s="4" t="s">
        <v>742</v>
      </c>
      <c r="K475" s="4" t="s">
        <v>742</v>
      </c>
      <c r="L475" s="4" t="s">
        <v>742</v>
      </c>
      <c r="M475" s="4" t="s">
        <v>742</v>
      </c>
      <c r="N475" s="4" t="s">
        <v>742</v>
      </c>
    </row>
    <row r="476">
      <c r="B476" s="8" t="s">
        <v>742</v>
      </c>
      <c r="C476" s="4" t="s">
        <v>742</v>
      </c>
      <c r="D476" s="4" t="s">
        <v>742</v>
      </c>
      <c r="E476" s="4" t="s">
        <v>742</v>
      </c>
      <c r="F476" s="4" t="s">
        <v>742</v>
      </c>
      <c r="G476" s="4" t="s">
        <v>742</v>
      </c>
      <c r="H476" s="4" t="s">
        <v>742</v>
      </c>
      <c r="I476" s="4" t="s">
        <v>742</v>
      </c>
      <c r="J476" s="4" t="s">
        <v>742</v>
      </c>
      <c r="K476" s="4" t="s">
        <v>742</v>
      </c>
      <c r="L476" s="4" t="s">
        <v>742</v>
      </c>
      <c r="M476" s="4" t="s">
        <v>742</v>
      </c>
      <c r="N476" s="4" t="s">
        <v>742</v>
      </c>
    </row>
    <row r="477">
      <c r="B477" s="8" t="s">
        <v>742</v>
      </c>
      <c r="C477" s="4" t="s">
        <v>742</v>
      </c>
      <c r="D477" s="4" t="s">
        <v>742</v>
      </c>
      <c r="E477" s="4" t="s">
        <v>742</v>
      </c>
      <c r="F477" s="4" t="s">
        <v>742</v>
      </c>
      <c r="G477" s="4" t="s">
        <v>742</v>
      </c>
      <c r="H477" s="4" t="s">
        <v>742</v>
      </c>
      <c r="I477" s="4" t="s">
        <v>742</v>
      </c>
      <c r="J477" s="4" t="s">
        <v>742</v>
      </c>
      <c r="K477" s="4" t="s">
        <v>742</v>
      </c>
      <c r="L477" s="4" t="s">
        <v>742</v>
      </c>
      <c r="M477" s="4" t="s">
        <v>742</v>
      </c>
      <c r="N477" s="4" t="s">
        <v>742</v>
      </c>
    </row>
    <row r="478">
      <c r="B478" s="8" t="s">
        <v>742</v>
      </c>
      <c r="C478" s="4" t="s">
        <v>742</v>
      </c>
      <c r="D478" s="4" t="s">
        <v>742</v>
      </c>
      <c r="E478" s="4" t="s">
        <v>742</v>
      </c>
      <c r="F478" s="4" t="s">
        <v>742</v>
      </c>
      <c r="G478" s="4" t="s">
        <v>742</v>
      </c>
      <c r="H478" s="4" t="s">
        <v>742</v>
      </c>
      <c r="I478" s="4" t="s">
        <v>742</v>
      </c>
      <c r="J478" s="4" t="s">
        <v>742</v>
      </c>
      <c r="K478" s="4" t="s">
        <v>742</v>
      </c>
      <c r="L478" s="4" t="s">
        <v>742</v>
      </c>
      <c r="M478" s="4" t="s">
        <v>742</v>
      </c>
      <c r="N478" s="4" t="s">
        <v>742</v>
      </c>
    </row>
    <row r="479">
      <c r="B479" s="8" t="s">
        <v>742</v>
      </c>
      <c r="C479" s="4" t="s">
        <v>742</v>
      </c>
      <c r="D479" s="4" t="s">
        <v>742</v>
      </c>
      <c r="E479" s="4" t="s">
        <v>742</v>
      </c>
      <c r="F479" s="4" t="s">
        <v>742</v>
      </c>
      <c r="G479" s="4" t="s">
        <v>742</v>
      </c>
      <c r="H479" s="4" t="s">
        <v>742</v>
      </c>
      <c r="I479" s="4" t="s">
        <v>742</v>
      </c>
      <c r="J479" s="4" t="s">
        <v>742</v>
      </c>
      <c r="K479" s="4" t="s">
        <v>742</v>
      </c>
      <c r="L479" s="4" t="s">
        <v>742</v>
      </c>
      <c r="M479" s="4" t="s">
        <v>742</v>
      </c>
      <c r="N479" s="4" t="s">
        <v>742</v>
      </c>
    </row>
    <row r="480">
      <c r="B480" s="8" t="s">
        <v>742</v>
      </c>
      <c r="C480" s="4" t="s">
        <v>742</v>
      </c>
      <c r="D480" s="4" t="s">
        <v>742</v>
      </c>
      <c r="E480" s="4" t="s">
        <v>742</v>
      </c>
      <c r="F480" s="4" t="s">
        <v>742</v>
      </c>
      <c r="G480" s="4" t="s">
        <v>742</v>
      </c>
      <c r="H480" s="4" t="s">
        <v>742</v>
      </c>
      <c r="I480" s="4" t="s">
        <v>742</v>
      </c>
      <c r="J480" s="4" t="s">
        <v>742</v>
      </c>
      <c r="K480" s="4" t="s">
        <v>742</v>
      </c>
      <c r="L480" s="4" t="s">
        <v>742</v>
      </c>
      <c r="M480" s="4" t="s">
        <v>742</v>
      </c>
      <c r="N480" s="4" t="s">
        <v>742</v>
      </c>
    </row>
    <row r="481">
      <c r="B481" s="8" t="s">
        <v>742</v>
      </c>
      <c r="C481" s="4" t="s">
        <v>742</v>
      </c>
      <c r="D481" s="4" t="s">
        <v>742</v>
      </c>
      <c r="E481" s="4" t="s">
        <v>742</v>
      </c>
      <c r="F481" s="4" t="s">
        <v>742</v>
      </c>
      <c r="G481" s="4" t="s">
        <v>742</v>
      </c>
      <c r="H481" s="4" t="s">
        <v>742</v>
      </c>
      <c r="I481" s="4" t="s">
        <v>742</v>
      </c>
      <c r="J481" s="4" t="s">
        <v>742</v>
      </c>
      <c r="K481" s="4" t="s">
        <v>742</v>
      </c>
      <c r="L481" s="4" t="s">
        <v>742</v>
      </c>
      <c r="M481" s="4" t="s">
        <v>742</v>
      </c>
      <c r="N481" s="4" t="s">
        <v>742</v>
      </c>
    </row>
    <row r="482">
      <c r="B482" s="8" t="s">
        <v>742</v>
      </c>
      <c r="C482" s="4" t="s">
        <v>742</v>
      </c>
      <c r="D482" s="4" t="s">
        <v>742</v>
      </c>
      <c r="E482" s="4" t="s">
        <v>742</v>
      </c>
      <c r="F482" s="4" t="s">
        <v>742</v>
      </c>
      <c r="G482" s="4" t="s">
        <v>742</v>
      </c>
      <c r="H482" s="4" t="s">
        <v>742</v>
      </c>
      <c r="I482" s="4" t="s">
        <v>742</v>
      </c>
      <c r="J482" s="4" t="s">
        <v>742</v>
      </c>
      <c r="K482" s="4" t="s">
        <v>742</v>
      </c>
      <c r="L482" s="4" t="s">
        <v>742</v>
      </c>
      <c r="M482" s="4" t="s">
        <v>742</v>
      </c>
      <c r="N482" s="4" t="s">
        <v>742</v>
      </c>
    </row>
    <row r="483">
      <c r="B483" s="8" t="s">
        <v>742</v>
      </c>
      <c r="C483" s="4" t="s">
        <v>742</v>
      </c>
      <c r="D483" s="4" t="s">
        <v>742</v>
      </c>
      <c r="E483" s="4" t="s">
        <v>742</v>
      </c>
      <c r="F483" s="4" t="s">
        <v>742</v>
      </c>
      <c r="G483" s="4" t="s">
        <v>742</v>
      </c>
      <c r="H483" s="4" t="s">
        <v>742</v>
      </c>
      <c r="I483" s="4" t="s">
        <v>742</v>
      </c>
      <c r="J483" s="4" t="s">
        <v>742</v>
      </c>
      <c r="K483" s="4" t="s">
        <v>742</v>
      </c>
      <c r="L483" s="4" t="s">
        <v>742</v>
      </c>
      <c r="M483" s="4" t="s">
        <v>742</v>
      </c>
      <c r="N483" s="4" t="s">
        <v>742</v>
      </c>
    </row>
    <row r="484">
      <c r="B484" s="8" t="s">
        <v>742</v>
      </c>
      <c r="C484" s="4" t="s">
        <v>742</v>
      </c>
      <c r="D484" s="4" t="s">
        <v>742</v>
      </c>
      <c r="E484" s="4" t="s">
        <v>742</v>
      </c>
      <c r="F484" s="4" t="s">
        <v>742</v>
      </c>
      <c r="G484" s="4" t="s">
        <v>742</v>
      </c>
      <c r="H484" s="4" t="s">
        <v>742</v>
      </c>
      <c r="I484" s="4" t="s">
        <v>742</v>
      </c>
      <c r="J484" s="4" t="s">
        <v>742</v>
      </c>
      <c r="K484" s="4" t="s">
        <v>742</v>
      </c>
      <c r="L484" s="4" t="s">
        <v>742</v>
      </c>
      <c r="M484" s="4" t="s">
        <v>742</v>
      </c>
      <c r="N484" s="4" t="s">
        <v>742</v>
      </c>
    </row>
    <row r="485">
      <c r="B485" s="8" t="s">
        <v>742</v>
      </c>
      <c r="C485" s="4" t="s">
        <v>742</v>
      </c>
      <c r="D485" s="4" t="s">
        <v>742</v>
      </c>
      <c r="E485" s="4" t="s">
        <v>742</v>
      </c>
      <c r="F485" s="4" t="s">
        <v>742</v>
      </c>
      <c r="G485" s="4" t="s">
        <v>742</v>
      </c>
      <c r="H485" s="4" t="s">
        <v>742</v>
      </c>
      <c r="I485" s="4" t="s">
        <v>742</v>
      </c>
      <c r="J485" s="4" t="s">
        <v>742</v>
      </c>
      <c r="K485" s="4" t="s">
        <v>742</v>
      </c>
      <c r="L485" s="4" t="s">
        <v>742</v>
      </c>
      <c r="M485" s="4" t="s">
        <v>742</v>
      </c>
      <c r="N485" s="4" t="s">
        <v>742</v>
      </c>
    </row>
    <row r="486">
      <c r="B486" s="8" t="s">
        <v>742</v>
      </c>
      <c r="C486" s="4" t="s">
        <v>742</v>
      </c>
      <c r="D486" s="4" t="s">
        <v>742</v>
      </c>
      <c r="E486" s="4" t="s">
        <v>742</v>
      </c>
      <c r="F486" s="4" t="s">
        <v>742</v>
      </c>
      <c r="G486" s="4" t="s">
        <v>742</v>
      </c>
      <c r="H486" s="4" t="s">
        <v>742</v>
      </c>
      <c r="I486" s="4" t="s">
        <v>742</v>
      </c>
      <c r="J486" s="4" t="s">
        <v>742</v>
      </c>
      <c r="K486" s="4" t="s">
        <v>742</v>
      </c>
      <c r="L486" s="4" t="s">
        <v>742</v>
      </c>
      <c r="M486" s="4" t="s">
        <v>742</v>
      </c>
      <c r="N486" s="4" t="s">
        <v>742</v>
      </c>
    </row>
    <row r="487">
      <c r="B487" s="8" t="s">
        <v>742</v>
      </c>
      <c r="C487" s="4" t="s">
        <v>742</v>
      </c>
      <c r="D487" s="4" t="s">
        <v>742</v>
      </c>
      <c r="E487" s="4" t="s">
        <v>742</v>
      </c>
      <c r="F487" s="4" t="s">
        <v>742</v>
      </c>
      <c r="G487" s="4" t="s">
        <v>742</v>
      </c>
      <c r="H487" s="4" t="s">
        <v>742</v>
      </c>
      <c r="I487" s="4" t="s">
        <v>742</v>
      </c>
      <c r="J487" s="4" t="s">
        <v>742</v>
      </c>
      <c r="K487" s="4" t="s">
        <v>742</v>
      </c>
      <c r="L487" s="4" t="s">
        <v>742</v>
      </c>
      <c r="M487" s="4" t="s">
        <v>742</v>
      </c>
      <c r="N487" s="4" t="s">
        <v>742</v>
      </c>
    </row>
    <row r="488">
      <c r="B488" s="8" t="s">
        <v>742</v>
      </c>
      <c r="C488" s="4" t="s">
        <v>742</v>
      </c>
      <c r="D488" s="4" t="s">
        <v>742</v>
      </c>
      <c r="E488" s="4" t="s">
        <v>742</v>
      </c>
      <c r="F488" s="4" t="s">
        <v>742</v>
      </c>
      <c r="G488" s="4" t="s">
        <v>742</v>
      </c>
      <c r="H488" s="4" t="s">
        <v>742</v>
      </c>
      <c r="I488" s="4" t="s">
        <v>742</v>
      </c>
      <c r="J488" s="4" t="s">
        <v>742</v>
      </c>
      <c r="K488" s="4" t="s">
        <v>742</v>
      </c>
      <c r="L488" s="4" t="s">
        <v>742</v>
      </c>
      <c r="M488" s="4" t="s">
        <v>742</v>
      </c>
      <c r="N488" s="4" t="s">
        <v>742</v>
      </c>
    </row>
    <row r="489">
      <c r="B489" s="8" t="s">
        <v>742</v>
      </c>
      <c r="C489" s="4" t="s">
        <v>742</v>
      </c>
      <c r="D489" s="4" t="s">
        <v>742</v>
      </c>
      <c r="E489" s="4" t="s">
        <v>742</v>
      </c>
      <c r="F489" s="4" t="s">
        <v>742</v>
      </c>
      <c r="G489" s="4" t="s">
        <v>742</v>
      </c>
      <c r="H489" s="4" t="s">
        <v>742</v>
      </c>
      <c r="I489" s="4" t="s">
        <v>742</v>
      </c>
      <c r="J489" s="4" t="s">
        <v>742</v>
      </c>
      <c r="K489" s="4" t="s">
        <v>742</v>
      </c>
      <c r="L489" s="4" t="s">
        <v>742</v>
      </c>
      <c r="M489" s="4" t="s">
        <v>742</v>
      </c>
      <c r="N489" s="4" t="s">
        <v>742</v>
      </c>
    </row>
    <row r="490">
      <c r="B490" s="8" t="s">
        <v>742</v>
      </c>
      <c r="C490" s="4" t="s">
        <v>742</v>
      </c>
      <c r="D490" s="4" t="s">
        <v>742</v>
      </c>
      <c r="E490" s="4" t="s">
        <v>742</v>
      </c>
      <c r="F490" s="4" t="s">
        <v>742</v>
      </c>
      <c r="G490" s="4" t="s">
        <v>742</v>
      </c>
      <c r="H490" s="4" t="s">
        <v>742</v>
      </c>
      <c r="I490" s="4" t="s">
        <v>742</v>
      </c>
      <c r="J490" s="4" t="s">
        <v>742</v>
      </c>
      <c r="K490" s="4" t="s">
        <v>742</v>
      </c>
      <c r="L490" s="4" t="s">
        <v>742</v>
      </c>
      <c r="M490" s="4" t="s">
        <v>742</v>
      </c>
      <c r="N490" s="4" t="s">
        <v>742</v>
      </c>
    </row>
    <row r="491">
      <c r="B491" s="8" t="s">
        <v>742</v>
      </c>
      <c r="C491" s="4" t="s">
        <v>742</v>
      </c>
      <c r="D491" s="4" t="s">
        <v>742</v>
      </c>
      <c r="E491" s="4" t="s">
        <v>742</v>
      </c>
      <c r="F491" s="4" t="s">
        <v>742</v>
      </c>
      <c r="G491" s="4" t="s">
        <v>742</v>
      </c>
      <c r="H491" s="4" t="s">
        <v>742</v>
      </c>
      <c r="I491" s="4" t="s">
        <v>742</v>
      </c>
      <c r="J491" s="4" t="s">
        <v>742</v>
      </c>
      <c r="K491" s="4" t="s">
        <v>742</v>
      </c>
      <c r="L491" s="4" t="s">
        <v>742</v>
      </c>
      <c r="M491" s="4" t="s">
        <v>742</v>
      </c>
      <c r="N491" s="4" t="s">
        <v>742</v>
      </c>
    </row>
    <row r="492">
      <c r="B492" s="8" t="s">
        <v>742</v>
      </c>
      <c r="C492" s="4" t="s">
        <v>742</v>
      </c>
      <c r="D492" s="4" t="s">
        <v>742</v>
      </c>
      <c r="E492" s="4" t="s">
        <v>742</v>
      </c>
      <c r="F492" s="4" t="s">
        <v>742</v>
      </c>
      <c r="G492" s="4" t="s">
        <v>742</v>
      </c>
      <c r="H492" s="4" t="s">
        <v>742</v>
      </c>
      <c r="I492" s="4" t="s">
        <v>742</v>
      </c>
      <c r="J492" s="4" t="s">
        <v>742</v>
      </c>
      <c r="K492" s="4" t="s">
        <v>742</v>
      </c>
      <c r="L492" s="4" t="s">
        <v>742</v>
      </c>
      <c r="M492" s="4" t="s">
        <v>742</v>
      </c>
      <c r="N492" s="4" t="s">
        <v>742</v>
      </c>
    </row>
    <row r="493">
      <c r="B493" s="8" t="s">
        <v>742</v>
      </c>
      <c r="C493" s="4" t="s">
        <v>742</v>
      </c>
      <c r="D493" s="4" t="s">
        <v>742</v>
      </c>
      <c r="E493" s="4" t="s">
        <v>742</v>
      </c>
      <c r="F493" s="4" t="s">
        <v>742</v>
      </c>
      <c r="G493" s="4" t="s">
        <v>742</v>
      </c>
      <c r="H493" s="4" t="s">
        <v>742</v>
      </c>
      <c r="I493" s="4" t="s">
        <v>742</v>
      </c>
      <c r="J493" s="4" t="s">
        <v>742</v>
      </c>
      <c r="K493" s="4" t="s">
        <v>742</v>
      </c>
      <c r="L493" s="4" t="s">
        <v>742</v>
      </c>
      <c r="M493" s="4" t="s">
        <v>742</v>
      </c>
      <c r="N493" s="4" t="s">
        <v>742</v>
      </c>
    </row>
    <row r="494">
      <c r="B494" s="8" t="s">
        <v>742</v>
      </c>
      <c r="C494" s="4" t="s">
        <v>742</v>
      </c>
      <c r="D494" s="4" t="s">
        <v>742</v>
      </c>
      <c r="E494" s="4" t="s">
        <v>742</v>
      </c>
      <c r="F494" s="4" t="s">
        <v>742</v>
      </c>
      <c r="G494" s="4" t="s">
        <v>742</v>
      </c>
      <c r="H494" s="4" t="s">
        <v>742</v>
      </c>
      <c r="I494" s="4" t="s">
        <v>742</v>
      </c>
      <c r="J494" s="4" t="s">
        <v>742</v>
      </c>
      <c r="K494" s="4" t="s">
        <v>742</v>
      </c>
      <c r="L494" s="4" t="s">
        <v>742</v>
      </c>
      <c r="M494" s="4" t="s">
        <v>742</v>
      </c>
      <c r="N494" s="4" t="s">
        <v>742</v>
      </c>
    </row>
    <row r="495">
      <c r="B495" s="8" t="s">
        <v>742</v>
      </c>
      <c r="C495" s="4" t="s">
        <v>742</v>
      </c>
      <c r="D495" s="4" t="s">
        <v>742</v>
      </c>
      <c r="E495" s="4" t="s">
        <v>742</v>
      </c>
      <c r="F495" s="4" t="s">
        <v>742</v>
      </c>
      <c r="G495" s="4" t="s">
        <v>742</v>
      </c>
      <c r="H495" s="4" t="s">
        <v>742</v>
      </c>
      <c r="I495" s="4" t="s">
        <v>742</v>
      </c>
      <c r="J495" s="4" t="s">
        <v>742</v>
      </c>
      <c r="K495" s="4" t="s">
        <v>742</v>
      </c>
      <c r="L495" s="4" t="s">
        <v>742</v>
      </c>
      <c r="M495" s="4" t="s">
        <v>742</v>
      </c>
      <c r="N495" s="4" t="s">
        <v>742</v>
      </c>
    </row>
    <row r="496">
      <c r="B496" s="8" t="s">
        <v>742</v>
      </c>
      <c r="C496" s="4" t="s">
        <v>742</v>
      </c>
      <c r="D496" s="4" t="s">
        <v>742</v>
      </c>
      <c r="E496" s="4" t="s">
        <v>742</v>
      </c>
      <c r="F496" s="4" t="s">
        <v>742</v>
      </c>
      <c r="G496" s="4" t="s">
        <v>742</v>
      </c>
      <c r="H496" s="4" t="s">
        <v>742</v>
      </c>
      <c r="I496" s="4" t="s">
        <v>742</v>
      </c>
      <c r="J496" s="4" t="s">
        <v>742</v>
      </c>
      <c r="K496" s="4" t="s">
        <v>742</v>
      </c>
      <c r="L496" s="4" t="s">
        <v>742</v>
      </c>
      <c r="M496" s="4" t="s">
        <v>742</v>
      </c>
      <c r="N496" s="4" t="s">
        <v>742</v>
      </c>
    </row>
    <row r="497">
      <c r="B497" s="8" t="s">
        <v>742</v>
      </c>
      <c r="C497" s="4" t="s">
        <v>742</v>
      </c>
      <c r="D497" s="4" t="s">
        <v>742</v>
      </c>
      <c r="E497" s="4" t="s">
        <v>742</v>
      </c>
      <c r="F497" s="4" t="s">
        <v>742</v>
      </c>
      <c r="G497" s="4" t="s">
        <v>742</v>
      </c>
      <c r="H497" s="4" t="s">
        <v>742</v>
      </c>
      <c r="I497" s="4" t="s">
        <v>742</v>
      </c>
      <c r="J497" s="4" t="s">
        <v>742</v>
      </c>
      <c r="K497" s="4" t="s">
        <v>742</v>
      </c>
      <c r="L497" s="4" t="s">
        <v>742</v>
      </c>
      <c r="M497" s="4" t="s">
        <v>742</v>
      </c>
      <c r="N497" s="4" t="s">
        <v>742</v>
      </c>
    </row>
    <row r="498">
      <c r="B498" s="8" t="s">
        <v>742</v>
      </c>
      <c r="C498" s="4" t="s">
        <v>742</v>
      </c>
      <c r="D498" s="4" t="s">
        <v>742</v>
      </c>
      <c r="E498" s="4" t="s">
        <v>742</v>
      </c>
      <c r="F498" s="4" t="s">
        <v>742</v>
      </c>
      <c r="G498" s="4" t="s">
        <v>742</v>
      </c>
      <c r="H498" s="4" t="s">
        <v>742</v>
      </c>
      <c r="I498" s="4" t="s">
        <v>742</v>
      </c>
      <c r="J498" s="4" t="s">
        <v>742</v>
      </c>
      <c r="K498" s="4" t="s">
        <v>742</v>
      </c>
      <c r="L498" s="4" t="s">
        <v>742</v>
      </c>
      <c r="M498" s="4" t="s">
        <v>742</v>
      </c>
      <c r="N498" s="4" t="s">
        <v>742</v>
      </c>
    </row>
    <row r="499">
      <c r="B499" s="8" t="s">
        <v>742</v>
      </c>
      <c r="C499" s="4" t="s">
        <v>742</v>
      </c>
      <c r="D499" s="4" t="s">
        <v>742</v>
      </c>
      <c r="E499" s="4" t="s">
        <v>742</v>
      </c>
      <c r="F499" s="4" t="s">
        <v>742</v>
      </c>
      <c r="G499" s="4" t="s">
        <v>742</v>
      </c>
      <c r="H499" s="4" t="s">
        <v>742</v>
      </c>
      <c r="I499" s="4" t="s">
        <v>742</v>
      </c>
      <c r="J499" s="4" t="s">
        <v>742</v>
      </c>
      <c r="K499" s="4" t="s">
        <v>742</v>
      </c>
      <c r="L499" s="4" t="s">
        <v>742</v>
      </c>
      <c r="M499" s="4" t="s">
        <v>742</v>
      </c>
      <c r="N499" s="4" t="s">
        <v>742</v>
      </c>
    </row>
    <row r="500">
      <c r="B500" s="8" t="s">
        <v>742</v>
      </c>
      <c r="C500" s="4" t="s">
        <v>742</v>
      </c>
      <c r="D500" s="4" t="s">
        <v>742</v>
      </c>
      <c r="E500" s="4" t="s">
        <v>742</v>
      </c>
      <c r="F500" s="4" t="s">
        <v>742</v>
      </c>
      <c r="G500" s="4" t="s">
        <v>742</v>
      </c>
      <c r="H500" s="4" t="s">
        <v>742</v>
      </c>
      <c r="I500" s="4" t="s">
        <v>742</v>
      </c>
      <c r="J500" s="4" t="s">
        <v>742</v>
      </c>
      <c r="K500" s="4" t="s">
        <v>742</v>
      </c>
      <c r="L500" s="4" t="s">
        <v>742</v>
      </c>
      <c r="M500" s="4" t="s">
        <v>742</v>
      </c>
      <c r="N500" s="4" t="s">
        <v>742</v>
      </c>
    </row>
    <row r="501">
      <c r="B501" s="8" t="s">
        <v>742</v>
      </c>
      <c r="C501" s="4" t="s">
        <v>742</v>
      </c>
      <c r="D501" s="4" t="s">
        <v>742</v>
      </c>
      <c r="E501" s="4" t="s">
        <v>742</v>
      </c>
      <c r="F501" s="4" t="s">
        <v>742</v>
      </c>
      <c r="G501" s="4" t="s">
        <v>742</v>
      </c>
      <c r="H501" s="4" t="s">
        <v>742</v>
      </c>
      <c r="I501" s="4" t="s">
        <v>742</v>
      </c>
      <c r="J501" s="4" t="s">
        <v>742</v>
      </c>
      <c r="K501" s="4" t="s">
        <v>742</v>
      </c>
      <c r="L501" s="4" t="s">
        <v>742</v>
      </c>
      <c r="M501" s="4" t="s">
        <v>742</v>
      </c>
      <c r="N501" s="4" t="s">
        <v>742</v>
      </c>
    </row>
    <row r="502">
      <c r="B502" s="8" t="s">
        <v>742</v>
      </c>
      <c r="C502" s="4" t="s">
        <v>742</v>
      </c>
      <c r="D502" s="4" t="s">
        <v>742</v>
      </c>
      <c r="E502" s="4" t="s">
        <v>742</v>
      </c>
      <c r="F502" s="4" t="s">
        <v>742</v>
      </c>
      <c r="G502" s="4" t="s">
        <v>742</v>
      </c>
      <c r="H502" s="4" t="s">
        <v>742</v>
      </c>
      <c r="I502" s="4" t="s">
        <v>742</v>
      </c>
      <c r="J502" s="4" t="s">
        <v>742</v>
      </c>
      <c r="K502" s="4" t="s">
        <v>742</v>
      </c>
      <c r="L502" s="4" t="s">
        <v>742</v>
      </c>
      <c r="M502" s="4" t="s">
        <v>742</v>
      </c>
      <c r="N502" s="4" t="s">
        <v>742</v>
      </c>
    </row>
    <row r="503">
      <c r="B503" s="8" t="s">
        <v>742</v>
      </c>
      <c r="C503" s="4" t="s">
        <v>742</v>
      </c>
      <c r="D503" s="4" t="s">
        <v>742</v>
      </c>
      <c r="E503" s="4" t="s">
        <v>742</v>
      </c>
      <c r="F503" s="4" t="s">
        <v>742</v>
      </c>
      <c r="G503" s="4" t="s">
        <v>742</v>
      </c>
      <c r="H503" s="4" t="s">
        <v>742</v>
      </c>
      <c r="I503" s="4" t="s">
        <v>742</v>
      </c>
      <c r="J503" s="4" t="s">
        <v>742</v>
      </c>
      <c r="K503" s="4" t="s">
        <v>742</v>
      </c>
      <c r="L503" s="4" t="s">
        <v>742</v>
      </c>
      <c r="M503" s="4" t="s">
        <v>742</v>
      </c>
      <c r="N503" s="4" t="s">
        <v>742</v>
      </c>
    </row>
    <row r="504">
      <c r="B504" s="8" t="s">
        <v>742</v>
      </c>
      <c r="C504" s="4" t="s">
        <v>742</v>
      </c>
      <c r="D504" s="4" t="s">
        <v>742</v>
      </c>
      <c r="E504" s="4" t="s">
        <v>742</v>
      </c>
      <c r="F504" s="4" t="s">
        <v>742</v>
      </c>
      <c r="G504" s="4" t="s">
        <v>742</v>
      </c>
      <c r="H504" s="4" t="s">
        <v>742</v>
      </c>
      <c r="I504" s="4" t="s">
        <v>742</v>
      </c>
      <c r="J504" s="4" t="s">
        <v>742</v>
      </c>
      <c r="K504" s="4" t="s">
        <v>742</v>
      </c>
      <c r="L504" s="4" t="s">
        <v>742</v>
      </c>
      <c r="M504" s="4" t="s">
        <v>742</v>
      </c>
      <c r="N504" s="4" t="s">
        <v>742</v>
      </c>
    </row>
    <row r="505">
      <c r="B505" s="8" t="s">
        <v>742</v>
      </c>
      <c r="C505" s="4" t="s">
        <v>742</v>
      </c>
      <c r="D505" s="4" t="s">
        <v>742</v>
      </c>
      <c r="E505" s="4" t="s">
        <v>742</v>
      </c>
      <c r="F505" s="4" t="s">
        <v>742</v>
      </c>
      <c r="G505" s="4" t="s">
        <v>742</v>
      </c>
      <c r="H505" s="4" t="s">
        <v>742</v>
      </c>
      <c r="I505" s="4" t="s">
        <v>742</v>
      </c>
      <c r="J505" s="4" t="s">
        <v>742</v>
      </c>
      <c r="K505" s="4" t="s">
        <v>742</v>
      </c>
      <c r="L505" s="4" t="s">
        <v>742</v>
      </c>
      <c r="M505" s="4" t="s">
        <v>742</v>
      </c>
      <c r="N505" s="4" t="s">
        <v>742</v>
      </c>
    </row>
    <row r="506">
      <c r="B506" s="8" t="s">
        <v>742</v>
      </c>
      <c r="C506" s="4" t="s">
        <v>742</v>
      </c>
      <c r="D506" s="4" t="s">
        <v>742</v>
      </c>
      <c r="E506" s="4" t="s">
        <v>742</v>
      </c>
      <c r="F506" s="4" t="s">
        <v>742</v>
      </c>
      <c r="G506" s="4" t="s">
        <v>742</v>
      </c>
      <c r="H506" s="4" t="s">
        <v>742</v>
      </c>
      <c r="I506" s="4" t="s">
        <v>742</v>
      </c>
      <c r="J506" s="4" t="s">
        <v>742</v>
      </c>
      <c r="K506" s="4" t="s">
        <v>742</v>
      </c>
      <c r="L506" s="4" t="s">
        <v>742</v>
      </c>
      <c r="M506" s="4" t="s">
        <v>742</v>
      </c>
      <c r="N506" s="4" t="s">
        <v>742</v>
      </c>
    </row>
    <row r="507">
      <c r="B507" s="8" t="s">
        <v>742</v>
      </c>
      <c r="C507" s="4" t="s">
        <v>742</v>
      </c>
      <c r="D507" s="4" t="s">
        <v>742</v>
      </c>
      <c r="E507" s="4" t="s">
        <v>742</v>
      </c>
      <c r="F507" s="4" t="s">
        <v>742</v>
      </c>
      <c r="G507" s="4" t="s">
        <v>742</v>
      </c>
      <c r="H507" s="4" t="s">
        <v>742</v>
      </c>
      <c r="I507" s="4" t="s">
        <v>742</v>
      </c>
      <c r="J507" s="4" t="s">
        <v>742</v>
      </c>
      <c r="K507" s="4" t="s">
        <v>742</v>
      </c>
      <c r="L507" s="4" t="s">
        <v>742</v>
      </c>
      <c r="M507" s="4" t="s">
        <v>742</v>
      </c>
      <c r="N507" s="4" t="s">
        <v>742</v>
      </c>
    </row>
    <row r="508">
      <c r="B508" s="8" t="s">
        <v>742</v>
      </c>
      <c r="C508" s="4" t="s">
        <v>742</v>
      </c>
      <c r="D508" s="4" t="s">
        <v>742</v>
      </c>
      <c r="E508" s="4" t="s">
        <v>742</v>
      </c>
      <c r="F508" s="4" t="s">
        <v>742</v>
      </c>
      <c r="G508" s="4" t="s">
        <v>742</v>
      </c>
      <c r="H508" s="4" t="s">
        <v>742</v>
      </c>
      <c r="I508" s="4" t="s">
        <v>742</v>
      </c>
      <c r="J508" s="4" t="s">
        <v>742</v>
      </c>
      <c r="K508" s="4" t="s">
        <v>742</v>
      </c>
      <c r="L508" s="4" t="s">
        <v>742</v>
      </c>
      <c r="M508" s="4" t="s">
        <v>742</v>
      </c>
      <c r="N508" s="4" t="s">
        <v>742</v>
      </c>
    </row>
    <row r="509">
      <c r="B509" s="8" t="s">
        <v>742</v>
      </c>
      <c r="C509" s="4" t="s">
        <v>742</v>
      </c>
      <c r="D509" s="4" t="s">
        <v>742</v>
      </c>
      <c r="E509" s="4" t="s">
        <v>742</v>
      </c>
      <c r="F509" s="4" t="s">
        <v>742</v>
      </c>
      <c r="G509" s="4" t="s">
        <v>742</v>
      </c>
      <c r="H509" s="4" t="s">
        <v>742</v>
      </c>
      <c r="I509" s="4" t="s">
        <v>742</v>
      </c>
      <c r="J509" s="4" t="s">
        <v>742</v>
      </c>
      <c r="K509" s="4" t="s">
        <v>742</v>
      </c>
      <c r="L509" s="4" t="s">
        <v>742</v>
      </c>
      <c r="M509" s="4" t="s">
        <v>742</v>
      </c>
      <c r="N509" s="4" t="s">
        <v>742</v>
      </c>
    </row>
    <row r="510">
      <c r="B510" s="8" t="s">
        <v>742</v>
      </c>
      <c r="C510" s="4" t="s">
        <v>742</v>
      </c>
      <c r="D510" s="4" t="s">
        <v>742</v>
      </c>
      <c r="E510" s="4" t="s">
        <v>742</v>
      </c>
      <c r="F510" s="4" t="s">
        <v>742</v>
      </c>
      <c r="G510" s="4" t="s">
        <v>742</v>
      </c>
      <c r="H510" s="4" t="s">
        <v>742</v>
      </c>
      <c r="I510" s="4" t="s">
        <v>742</v>
      </c>
      <c r="J510" s="4" t="s">
        <v>742</v>
      </c>
      <c r="K510" s="4" t="s">
        <v>742</v>
      </c>
      <c r="L510" s="4" t="s">
        <v>742</v>
      </c>
      <c r="M510" s="4" t="s">
        <v>742</v>
      </c>
      <c r="N510" s="4" t="s">
        <v>742</v>
      </c>
    </row>
    <row r="511">
      <c r="B511" s="8" t="s">
        <v>742</v>
      </c>
      <c r="C511" s="4" t="s">
        <v>742</v>
      </c>
      <c r="D511" s="4" t="s">
        <v>742</v>
      </c>
      <c r="E511" s="4" t="s">
        <v>742</v>
      </c>
      <c r="F511" s="4" t="s">
        <v>742</v>
      </c>
      <c r="G511" s="4" t="s">
        <v>742</v>
      </c>
      <c r="H511" s="4" t="s">
        <v>742</v>
      </c>
      <c r="I511" s="4" t="s">
        <v>742</v>
      </c>
      <c r="J511" s="4" t="s">
        <v>742</v>
      </c>
      <c r="K511" s="4" t="s">
        <v>742</v>
      </c>
      <c r="L511" s="4" t="s">
        <v>742</v>
      </c>
      <c r="M511" s="4" t="s">
        <v>742</v>
      </c>
      <c r="N511" s="4" t="s">
        <v>742</v>
      </c>
    </row>
    <row r="512">
      <c r="B512" s="8" t="s">
        <v>742</v>
      </c>
      <c r="C512" s="4" t="s">
        <v>742</v>
      </c>
      <c r="D512" s="4" t="s">
        <v>742</v>
      </c>
      <c r="E512" s="4" t="s">
        <v>742</v>
      </c>
      <c r="F512" s="4" t="s">
        <v>742</v>
      </c>
      <c r="G512" s="4" t="s">
        <v>742</v>
      </c>
      <c r="H512" s="4" t="s">
        <v>742</v>
      </c>
      <c r="I512" s="4" t="s">
        <v>742</v>
      </c>
      <c r="J512" s="4" t="s">
        <v>742</v>
      </c>
      <c r="K512" s="4" t="s">
        <v>742</v>
      </c>
      <c r="L512" s="4" t="s">
        <v>742</v>
      </c>
      <c r="M512" s="4" t="s">
        <v>742</v>
      </c>
      <c r="N512" s="4" t="s">
        <v>742</v>
      </c>
    </row>
    <row r="513">
      <c r="B513" s="8" t="s">
        <v>742</v>
      </c>
      <c r="C513" s="4" t="s">
        <v>742</v>
      </c>
      <c r="D513" s="4" t="s">
        <v>742</v>
      </c>
      <c r="E513" s="4" t="s">
        <v>742</v>
      </c>
      <c r="F513" s="4" t="s">
        <v>742</v>
      </c>
      <c r="G513" s="4" t="s">
        <v>742</v>
      </c>
      <c r="H513" s="4" t="s">
        <v>742</v>
      </c>
      <c r="I513" s="4" t="s">
        <v>742</v>
      </c>
      <c r="J513" s="4" t="s">
        <v>742</v>
      </c>
      <c r="K513" s="4" t="s">
        <v>742</v>
      </c>
      <c r="L513" s="4" t="s">
        <v>742</v>
      </c>
      <c r="M513" s="4" t="s">
        <v>742</v>
      </c>
      <c r="N513" s="4" t="s">
        <v>742</v>
      </c>
    </row>
    <row r="514">
      <c r="B514" s="8" t="s">
        <v>742</v>
      </c>
      <c r="C514" s="4" t="s">
        <v>742</v>
      </c>
      <c r="D514" s="4" t="s">
        <v>742</v>
      </c>
      <c r="E514" s="4" t="s">
        <v>742</v>
      </c>
      <c r="F514" s="4" t="s">
        <v>742</v>
      </c>
      <c r="G514" s="4" t="s">
        <v>742</v>
      </c>
      <c r="H514" s="4" t="s">
        <v>742</v>
      </c>
      <c r="I514" s="4" t="s">
        <v>742</v>
      </c>
      <c r="J514" s="4" t="s">
        <v>742</v>
      </c>
      <c r="K514" s="4" t="s">
        <v>742</v>
      </c>
      <c r="L514" s="4" t="s">
        <v>742</v>
      </c>
      <c r="M514" s="4" t="s">
        <v>742</v>
      </c>
      <c r="N514" s="4" t="s">
        <v>742</v>
      </c>
    </row>
    <row r="515">
      <c r="B515" s="8" t="s">
        <v>742</v>
      </c>
      <c r="C515" s="4" t="s">
        <v>742</v>
      </c>
      <c r="D515" s="4" t="s">
        <v>742</v>
      </c>
      <c r="E515" s="4" t="s">
        <v>742</v>
      </c>
      <c r="F515" s="4" t="s">
        <v>742</v>
      </c>
      <c r="G515" s="4" t="s">
        <v>742</v>
      </c>
      <c r="H515" s="4" t="s">
        <v>742</v>
      </c>
      <c r="I515" s="4" t="s">
        <v>742</v>
      </c>
      <c r="J515" s="4" t="s">
        <v>742</v>
      </c>
      <c r="K515" s="4" t="s">
        <v>742</v>
      </c>
      <c r="L515" s="4" t="s">
        <v>742</v>
      </c>
      <c r="M515" s="4" t="s">
        <v>742</v>
      </c>
      <c r="N515" s="4" t="s">
        <v>742</v>
      </c>
    </row>
    <row r="516">
      <c r="B516" s="8" t="s">
        <v>742</v>
      </c>
      <c r="C516" s="4" t="s">
        <v>742</v>
      </c>
      <c r="D516" s="4" t="s">
        <v>742</v>
      </c>
      <c r="E516" s="4" t="s">
        <v>742</v>
      </c>
      <c r="F516" s="4" t="s">
        <v>742</v>
      </c>
      <c r="G516" s="4" t="s">
        <v>742</v>
      </c>
      <c r="H516" s="4" t="s">
        <v>742</v>
      </c>
      <c r="I516" s="4" t="s">
        <v>742</v>
      </c>
      <c r="J516" s="4" t="s">
        <v>742</v>
      </c>
      <c r="K516" s="4" t="s">
        <v>742</v>
      </c>
      <c r="L516" s="4" t="s">
        <v>742</v>
      </c>
      <c r="M516" s="4" t="s">
        <v>742</v>
      </c>
      <c r="N516" s="4" t="s">
        <v>742</v>
      </c>
    </row>
    <row r="517">
      <c r="B517" s="8" t="s">
        <v>742</v>
      </c>
      <c r="C517" s="4" t="s">
        <v>742</v>
      </c>
      <c r="D517" s="4" t="s">
        <v>742</v>
      </c>
      <c r="E517" s="4" t="s">
        <v>742</v>
      </c>
      <c r="F517" s="4" t="s">
        <v>742</v>
      </c>
      <c r="G517" s="4" t="s">
        <v>742</v>
      </c>
      <c r="H517" s="4" t="s">
        <v>742</v>
      </c>
      <c r="I517" s="4" t="s">
        <v>742</v>
      </c>
      <c r="J517" s="4" t="s">
        <v>742</v>
      </c>
      <c r="K517" s="4" t="s">
        <v>742</v>
      </c>
      <c r="L517" s="4" t="s">
        <v>742</v>
      </c>
      <c r="M517" s="4" t="s">
        <v>742</v>
      </c>
      <c r="N517" s="4" t="s">
        <v>742</v>
      </c>
    </row>
    <row r="518">
      <c r="B518" s="8" t="s">
        <v>742</v>
      </c>
      <c r="C518" s="4" t="s">
        <v>742</v>
      </c>
      <c r="D518" s="4" t="s">
        <v>742</v>
      </c>
      <c r="E518" s="4" t="s">
        <v>742</v>
      </c>
      <c r="F518" s="4" t="s">
        <v>742</v>
      </c>
      <c r="G518" s="4" t="s">
        <v>742</v>
      </c>
      <c r="H518" s="4" t="s">
        <v>742</v>
      </c>
      <c r="I518" s="4" t="s">
        <v>742</v>
      </c>
      <c r="J518" s="4" t="s">
        <v>742</v>
      </c>
      <c r="K518" s="4" t="s">
        <v>742</v>
      </c>
      <c r="L518" s="4" t="s">
        <v>742</v>
      </c>
      <c r="M518" s="4" t="s">
        <v>742</v>
      </c>
      <c r="N518" s="4" t="s">
        <v>742</v>
      </c>
    </row>
    <row r="519">
      <c r="B519" s="8" t="s">
        <v>742</v>
      </c>
      <c r="C519" s="4" t="s">
        <v>742</v>
      </c>
      <c r="D519" s="4" t="s">
        <v>742</v>
      </c>
      <c r="E519" s="4" t="s">
        <v>742</v>
      </c>
      <c r="F519" s="4" t="s">
        <v>742</v>
      </c>
      <c r="G519" s="4" t="s">
        <v>742</v>
      </c>
      <c r="H519" s="4" t="s">
        <v>742</v>
      </c>
      <c r="I519" s="4" t="s">
        <v>742</v>
      </c>
      <c r="J519" s="4" t="s">
        <v>742</v>
      </c>
      <c r="K519" s="4" t="s">
        <v>742</v>
      </c>
      <c r="L519" s="4" t="s">
        <v>742</v>
      </c>
      <c r="M519" s="4" t="s">
        <v>742</v>
      </c>
      <c r="N519" s="4" t="s">
        <v>742</v>
      </c>
    </row>
    <row r="520">
      <c r="B520" s="8" t="s">
        <v>742</v>
      </c>
      <c r="C520" s="4" t="s">
        <v>742</v>
      </c>
      <c r="D520" s="4" t="s">
        <v>742</v>
      </c>
      <c r="E520" s="4" t="s">
        <v>742</v>
      </c>
      <c r="F520" s="4" t="s">
        <v>742</v>
      </c>
      <c r="G520" s="4" t="s">
        <v>742</v>
      </c>
      <c r="H520" s="4" t="s">
        <v>742</v>
      </c>
      <c r="I520" s="4" t="s">
        <v>742</v>
      </c>
      <c r="J520" s="4" t="s">
        <v>742</v>
      </c>
      <c r="K520" s="4" t="s">
        <v>742</v>
      </c>
      <c r="L520" s="4" t="s">
        <v>742</v>
      </c>
      <c r="M520" s="4" t="s">
        <v>742</v>
      </c>
      <c r="N520" s="4" t="s">
        <v>742</v>
      </c>
    </row>
    <row r="521">
      <c r="B521" s="8" t="s">
        <v>742</v>
      </c>
      <c r="C521" s="4" t="s">
        <v>742</v>
      </c>
      <c r="D521" s="4" t="s">
        <v>742</v>
      </c>
      <c r="E521" s="4" t="s">
        <v>742</v>
      </c>
      <c r="F521" s="4" t="s">
        <v>742</v>
      </c>
      <c r="G521" s="4" t="s">
        <v>742</v>
      </c>
      <c r="H521" s="4" t="s">
        <v>742</v>
      </c>
      <c r="I521" s="4" t="s">
        <v>742</v>
      </c>
      <c r="J521" s="4" t="s">
        <v>742</v>
      </c>
      <c r="K521" s="4" t="s">
        <v>742</v>
      </c>
      <c r="L521" s="4" t="s">
        <v>742</v>
      </c>
      <c r="M521" s="4" t="s">
        <v>742</v>
      </c>
      <c r="N521" s="4" t="s">
        <v>742</v>
      </c>
    </row>
    <row r="522">
      <c r="B522" s="8" t="s">
        <v>742</v>
      </c>
      <c r="C522" s="4" t="s">
        <v>742</v>
      </c>
      <c r="D522" s="4" t="s">
        <v>742</v>
      </c>
      <c r="E522" s="4" t="s">
        <v>742</v>
      </c>
      <c r="F522" s="4" t="s">
        <v>742</v>
      </c>
      <c r="G522" s="4" t="s">
        <v>742</v>
      </c>
      <c r="H522" s="4" t="s">
        <v>742</v>
      </c>
      <c r="I522" s="4" t="s">
        <v>742</v>
      </c>
      <c r="J522" s="4" t="s">
        <v>742</v>
      </c>
      <c r="K522" s="4" t="s">
        <v>742</v>
      </c>
      <c r="L522" s="4" t="s">
        <v>742</v>
      </c>
      <c r="M522" s="4" t="s">
        <v>742</v>
      </c>
      <c r="N522" s="4" t="s">
        <v>742</v>
      </c>
    </row>
    <row r="523">
      <c r="B523" s="8" t="s">
        <v>742</v>
      </c>
      <c r="C523" s="4" t="s">
        <v>742</v>
      </c>
      <c r="D523" s="4" t="s">
        <v>742</v>
      </c>
      <c r="E523" s="4" t="s">
        <v>742</v>
      </c>
      <c r="F523" s="4" t="s">
        <v>742</v>
      </c>
      <c r="G523" s="4" t="s">
        <v>742</v>
      </c>
      <c r="H523" s="4" t="s">
        <v>742</v>
      </c>
      <c r="I523" s="4" t="s">
        <v>742</v>
      </c>
      <c r="J523" s="4" t="s">
        <v>742</v>
      </c>
      <c r="K523" s="4" t="s">
        <v>742</v>
      </c>
      <c r="L523" s="4" t="s">
        <v>742</v>
      </c>
      <c r="M523" s="4" t="s">
        <v>742</v>
      </c>
      <c r="N523" s="4" t="s">
        <v>742</v>
      </c>
    </row>
    <row r="524">
      <c r="B524" s="8" t="s">
        <v>742</v>
      </c>
      <c r="C524" s="4" t="s">
        <v>742</v>
      </c>
      <c r="D524" s="4" t="s">
        <v>742</v>
      </c>
      <c r="E524" s="4" t="s">
        <v>742</v>
      </c>
      <c r="F524" s="4" t="s">
        <v>742</v>
      </c>
      <c r="G524" s="4" t="s">
        <v>742</v>
      </c>
      <c r="H524" s="4" t="s">
        <v>742</v>
      </c>
      <c r="I524" s="4" t="s">
        <v>742</v>
      </c>
      <c r="J524" s="4" t="s">
        <v>742</v>
      </c>
      <c r="K524" s="4" t="s">
        <v>742</v>
      </c>
      <c r="L524" s="4" t="s">
        <v>742</v>
      </c>
      <c r="M524" s="4" t="s">
        <v>742</v>
      </c>
      <c r="N524" s="4" t="s">
        <v>742</v>
      </c>
    </row>
    <row r="525">
      <c r="B525" s="8" t="s">
        <v>742</v>
      </c>
      <c r="C525" s="4" t="s">
        <v>742</v>
      </c>
      <c r="D525" s="4" t="s">
        <v>742</v>
      </c>
      <c r="E525" s="4" t="s">
        <v>742</v>
      </c>
      <c r="F525" s="4" t="s">
        <v>742</v>
      </c>
      <c r="G525" s="4" t="s">
        <v>742</v>
      </c>
      <c r="H525" s="4" t="s">
        <v>742</v>
      </c>
      <c r="I525" s="4" t="s">
        <v>742</v>
      </c>
      <c r="J525" s="4" t="s">
        <v>742</v>
      </c>
      <c r="K525" s="4" t="s">
        <v>742</v>
      </c>
      <c r="L525" s="4" t="s">
        <v>742</v>
      </c>
      <c r="M525" s="4" t="s">
        <v>742</v>
      </c>
      <c r="N525" s="4" t="s">
        <v>742</v>
      </c>
    </row>
    <row r="526">
      <c r="B526" s="8" t="s">
        <v>742</v>
      </c>
      <c r="C526" s="4" t="s">
        <v>742</v>
      </c>
      <c r="D526" s="4" t="s">
        <v>742</v>
      </c>
      <c r="E526" s="4" t="s">
        <v>742</v>
      </c>
      <c r="F526" s="4" t="s">
        <v>742</v>
      </c>
      <c r="G526" s="4" t="s">
        <v>742</v>
      </c>
      <c r="H526" s="4" t="s">
        <v>742</v>
      </c>
      <c r="I526" s="4" t="s">
        <v>742</v>
      </c>
      <c r="J526" s="4" t="s">
        <v>742</v>
      </c>
      <c r="K526" s="4" t="s">
        <v>742</v>
      </c>
      <c r="L526" s="4" t="s">
        <v>742</v>
      </c>
      <c r="M526" s="4" t="s">
        <v>742</v>
      </c>
      <c r="N526" s="4" t="s">
        <v>742</v>
      </c>
    </row>
    <row r="527">
      <c r="B527" s="8" t="s">
        <v>742</v>
      </c>
      <c r="C527" s="4" t="s">
        <v>742</v>
      </c>
      <c r="D527" s="4" t="s">
        <v>742</v>
      </c>
      <c r="E527" s="4" t="s">
        <v>742</v>
      </c>
      <c r="F527" s="4" t="s">
        <v>742</v>
      </c>
      <c r="G527" s="4" t="s">
        <v>742</v>
      </c>
      <c r="H527" s="4" t="s">
        <v>742</v>
      </c>
      <c r="I527" s="4" t="s">
        <v>742</v>
      </c>
      <c r="J527" s="4" t="s">
        <v>742</v>
      </c>
      <c r="K527" s="4" t="s">
        <v>742</v>
      </c>
      <c r="L527" s="4" t="s">
        <v>742</v>
      </c>
      <c r="M527" s="4" t="s">
        <v>742</v>
      </c>
      <c r="N527" s="4" t="s">
        <v>742</v>
      </c>
    </row>
    <row r="528">
      <c r="B528" s="8" t="s">
        <v>742</v>
      </c>
      <c r="C528" s="4" t="s">
        <v>742</v>
      </c>
      <c r="D528" s="4" t="s">
        <v>742</v>
      </c>
      <c r="E528" s="4" t="s">
        <v>742</v>
      </c>
      <c r="F528" s="4" t="s">
        <v>742</v>
      </c>
      <c r="G528" s="4" t="s">
        <v>742</v>
      </c>
      <c r="H528" s="4" t="s">
        <v>742</v>
      </c>
      <c r="I528" s="4" t="s">
        <v>742</v>
      </c>
      <c r="J528" s="4" t="s">
        <v>742</v>
      </c>
      <c r="K528" s="4" t="s">
        <v>742</v>
      </c>
      <c r="L528" s="4" t="s">
        <v>742</v>
      </c>
      <c r="M528" s="4" t="s">
        <v>742</v>
      </c>
      <c r="N528" s="4" t="s">
        <v>742</v>
      </c>
    </row>
    <row r="529">
      <c r="B529" s="8" t="s">
        <v>742</v>
      </c>
      <c r="C529" s="4" t="s">
        <v>742</v>
      </c>
      <c r="D529" s="4" t="s">
        <v>742</v>
      </c>
      <c r="E529" s="4" t="s">
        <v>742</v>
      </c>
      <c r="F529" s="4" t="s">
        <v>742</v>
      </c>
      <c r="G529" s="4" t="s">
        <v>742</v>
      </c>
      <c r="H529" s="4" t="s">
        <v>742</v>
      </c>
      <c r="I529" s="4" t="s">
        <v>742</v>
      </c>
      <c r="J529" s="4" t="s">
        <v>742</v>
      </c>
      <c r="K529" s="4" t="s">
        <v>742</v>
      </c>
      <c r="L529" s="4" t="s">
        <v>742</v>
      </c>
      <c r="M529" s="4" t="s">
        <v>742</v>
      </c>
      <c r="N529" s="4" t="s">
        <v>742</v>
      </c>
    </row>
    <row r="530">
      <c r="B530" s="8" t="s">
        <v>742</v>
      </c>
      <c r="C530" s="4" t="s">
        <v>742</v>
      </c>
      <c r="D530" s="4" t="s">
        <v>742</v>
      </c>
      <c r="E530" s="4" t="s">
        <v>742</v>
      </c>
      <c r="F530" s="4" t="s">
        <v>742</v>
      </c>
      <c r="G530" s="4" t="s">
        <v>742</v>
      </c>
      <c r="H530" s="4" t="s">
        <v>742</v>
      </c>
      <c r="I530" s="4" t="s">
        <v>742</v>
      </c>
      <c r="J530" s="4" t="s">
        <v>742</v>
      </c>
      <c r="K530" s="4" t="s">
        <v>742</v>
      </c>
      <c r="L530" s="4" t="s">
        <v>742</v>
      </c>
      <c r="M530" s="4" t="s">
        <v>742</v>
      </c>
      <c r="N530" s="4" t="s">
        <v>742</v>
      </c>
    </row>
    <row r="531">
      <c r="B531" s="8" t="s">
        <v>742</v>
      </c>
      <c r="C531" s="4" t="s">
        <v>742</v>
      </c>
      <c r="D531" s="4" t="s">
        <v>742</v>
      </c>
      <c r="E531" s="4" t="s">
        <v>742</v>
      </c>
      <c r="F531" s="4" t="s">
        <v>742</v>
      </c>
      <c r="G531" s="4" t="s">
        <v>742</v>
      </c>
      <c r="H531" s="4" t="s">
        <v>742</v>
      </c>
      <c r="I531" s="4" t="s">
        <v>742</v>
      </c>
      <c r="J531" s="4" t="s">
        <v>742</v>
      </c>
      <c r="K531" s="4" t="s">
        <v>742</v>
      </c>
      <c r="L531" s="4" t="s">
        <v>742</v>
      </c>
      <c r="M531" s="4" t="s">
        <v>742</v>
      </c>
      <c r="N531" s="4" t="s">
        <v>742</v>
      </c>
    </row>
    <row r="532">
      <c r="B532" s="8" t="s">
        <v>742</v>
      </c>
      <c r="C532" s="4" t="s">
        <v>742</v>
      </c>
      <c r="D532" s="4" t="s">
        <v>742</v>
      </c>
      <c r="E532" s="4" t="s">
        <v>742</v>
      </c>
      <c r="F532" s="4" t="s">
        <v>742</v>
      </c>
      <c r="G532" s="4" t="s">
        <v>742</v>
      </c>
      <c r="H532" s="4" t="s">
        <v>742</v>
      </c>
      <c r="I532" s="4" t="s">
        <v>742</v>
      </c>
      <c r="J532" s="4" t="s">
        <v>742</v>
      </c>
      <c r="K532" s="4" t="s">
        <v>742</v>
      </c>
      <c r="L532" s="4" t="s">
        <v>742</v>
      </c>
      <c r="M532" s="4" t="s">
        <v>742</v>
      </c>
      <c r="N532" s="4" t="s">
        <v>742</v>
      </c>
    </row>
    <row r="533">
      <c r="B533" s="8" t="s">
        <v>742</v>
      </c>
      <c r="C533" s="4" t="s">
        <v>742</v>
      </c>
      <c r="D533" s="4" t="s">
        <v>742</v>
      </c>
      <c r="E533" s="4" t="s">
        <v>742</v>
      </c>
      <c r="F533" s="4" t="s">
        <v>742</v>
      </c>
      <c r="G533" s="4" t="s">
        <v>742</v>
      </c>
      <c r="H533" s="4" t="s">
        <v>742</v>
      </c>
      <c r="I533" s="4" t="s">
        <v>742</v>
      </c>
      <c r="J533" s="4" t="s">
        <v>742</v>
      </c>
      <c r="K533" s="4" t="s">
        <v>742</v>
      </c>
      <c r="L533" s="4" t="s">
        <v>742</v>
      </c>
      <c r="M533" s="4" t="s">
        <v>742</v>
      </c>
      <c r="N533" s="4" t="s">
        <v>742</v>
      </c>
    </row>
    <row r="534">
      <c r="B534" s="8" t="s">
        <v>742</v>
      </c>
      <c r="C534" s="4" t="s">
        <v>742</v>
      </c>
      <c r="D534" s="4" t="s">
        <v>742</v>
      </c>
      <c r="E534" s="4" t="s">
        <v>742</v>
      </c>
      <c r="F534" s="4" t="s">
        <v>742</v>
      </c>
      <c r="G534" s="4" t="s">
        <v>742</v>
      </c>
      <c r="H534" s="4" t="s">
        <v>742</v>
      </c>
      <c r="I534" s="4" t="s">
        <v>742</v>
      </c>
      <c r="J534" s="4" t="s">
        <v>742</v>
      </c>
      <c r="K534" s="4" t="s">
        <v>742</v>
      </c>
      <c r="L534" s="4" t="s">
        <v>742</v>
      </c>
      <c r="M534" s="4" t="s">
        <v>742</v>
      </c>
      <c r="N534" s="4" t="s">
        <v>742</v>
      </c>
    </row>
    <row r="535">
      <c r="B535" s="8" t="s">
        <v>742</v>
      </c>
      <c r="C535" s="4" t="s">
        <v>742</v>
      </c>
      <c r="D535" s="4" t="s">
        <v>742</v>
      </c>
      <c r="E535" s="4" t="s">
        <v>742</v>
      </c>
      <c r="F535" s="4" t="s">
        <v>742</v>
      </c>
      <c r="G535" s="4" t="s">
        <v>742</v>
      </c>
      <c r="H535" s="4" t="s">
        <v>742</v>
      </c>
      <c r="I535" s="4" t="s">
        <v>742</v>
      </c>
      <c r="J535" s="4" t="s">
        <v>742</v>
      </c>
      <c r="K535" s="4" t="s">
        <v>742</v>
      </c>
      <c r="L535" s="4" t="s">
        <v>742</v>
      </c>
      <c r="M535" s="4" t="s">
        <v>742</v>
      </c>
      <c r="N535" s="4" t="s">
        <v>742</v>
      </c>
    </row>
    <row r="536">
      <c r="B536" s="8" t="s">
        <v>742</v>
      </c>
      <c r="C536" s="4" t="s">
        <v>742</v>
      </c>
      <c r="D536" s="4" t="s">
        <v>742</v>
      </c>
      <c r="E536" s="4" t="s">
        <v>742</v>
      </c>
      <c r="F536" s="4" t="s">
        <v>742</v>
      </c>
      <c r="G536" s="4" t="s">
        <v>742</v>
      </c>
      <c r="H536" s="4" t="s">
        <v>742</v>
      </c>
      <c r="I536" s="4" t="s">
        <v>742</v>
      </c>
      <c r="J536" s="4" t="s">
        <v>742</v>
      </c>
      <c r="K536" s="4" t="s">
        <v>742</v>
      </c>
      <c r="L536" s="4" t="s">
        <v>742</v>
      </c>
      <c r="M536" s="4" t="s">
        <v>742</v>
      </c>
      <c r="N536" s="4" t="s">
        <v>742</v>
      </c>
    </row>
    <row r="537">
      <c r="B537" s="8" t="s">
        <v>742</v>
      </c>
      <c r="C537" s="4" t="s">
        <v>742</v>
      </c>
      <c r="D537" s="4" t="s">
        <v>742</v>
      </c>
      <c r="E537" s="4" t="s">
        <v>742</v>
      </c>
      <c r="F537" s="4" t="s">
        <v>742</v>
      </c>
      <c r="G537" s="4" t="s">
        <v>742</v>
      </c>
      <c r="H537" s="4" t="s">
        <v>742</v>
      </c>
      <c r="I537" s="4" t="s">
        <v>742</v>
      </c>
      <c r="J537" s="4" t="s">
        <v>742</v>
      </c>
      <c r="K537" s="4" t="s">
        <v>742</v>
      </c>
      <c r="L537" s="4" t="s">
        <v>742</v>
      </c>
      <c r="M537" s="4" t="s">
        <v>742</v>
      </c>
      <c r="N537" s="4" t="s">
        <v>742</v>
      </c>
    </row>
    <row r="538">
      <c r="B538" s="8" t="s">
        <v>742</v>
      </c>
      <c r="C538" s="4" t="s">
        <v>742</v>
      </c>
      <c r="D538" s="4" t="s">
        <v>742</v>
      </c>
      <c r="E538" s="4" t="s">
        <v>742</v>
      </c>
      <c r="F538" s="4" t="s">
        <v>742</v>
      </c>
      <c r="G538" s="4" t="s">
        <v>742</v>
      </c>
      <c r="H538" s="4" t="s">
        <v>742</v>
      </c>
      <c r="I538" s="4" t="s">
        <v>742</v>
      </c>
      <c r="J538" s="4" t="s">
        <v>742</v>
      </c>
      <c r="K538" s="4" t="s">
        <v>742</v>
      </c>
      <c r="L538" s="4" t="s">
        <v>742</v>
      </c>
      <c r="M538" s="4" t="s">
        <v>742</v>
      </c>
      <c r="N538" s="4" t="s">
        <v>742</v>
      </c>
    </row>
    <row r="539">
      <c r="B539" s="8" t="s">
        <v>742</v>
      </c>
      <c r="C539" s="4" t="s">
        <v>742</v>
      </c>
      <c r="D539" s="4" t="s">
        <v>742</v>
      </c>
      <c r="E539" s="4" t="s">
        <v>742</v>
      </c>
      <c r="F539" s="4" t="s">
        <v>742</v>
      </c>
      <c r="G539" s="4" t="s">
        <v>742</v>
      </c>
      <c r="H539" s="4" t="s">
        <v>742</v>
      </c>
      <c r="I539" s="4" t="s">
        <v>742</v>
      </c>
      <c r="J539" s="4" t="s">
        <v>742</v>
      </c>
      <c r="K539" s="4" t="s">
        <v>742</v>
      </c>
      <c r="L539" s="4" t="s">
        <v>742</v>
      </c>
      <c r="M539" s="4" t="s">
        <v>742</v>
      </c>
      <c r="N539" s="4" t="s">
        <v>742</v>
      </c>
    </row>
    <row r="540">
      <c r="B540" s="8" t="s">
        <v>742</v>
      </c>
      <c r="C540" s="4" t="s">
        <v>742</v>
      </c>
      <c r="D540" s="4" t="s">
        <v>742</v>
      </c>
      <c r="E540" s="4" t="s">
        <v>742</v>
      </c>
      <c r="F540" s="4" t="s">
        <v>742</v>
      </c>
      <c r="G540" s="4" t="s">
        <v>742</v>
      </c>
      <c r="H540" s="4" t="s">
        <v>742</v>
      </c>
      <c r="I540" s="4" t="s">
        <v>742</v>
      </c>
      <c r="J540" s="4" t="s">
        <v>742</v>
      </c>
      <c r="K540" s="4" t="s">
        <v>742</v>
      </c>
      <c r="L540" s="4" t="s">
        <v>742</v>
      </c>
      <c r="M540" s="4" t="s">
        <v>742</v>
      </c>
      <c r="N540" s="4" t="s">
        <v>742</v>
      </c>
    </row>
    <row r="541">
      <c r="B541" s="8" t="s">
        <v>742</v>
      </c>
      <c r="C541" s="4" t="s">
        <v>742</v>
      </c>
      <c r="D541" s="4" t="s">
        <v>742</v>
      </c>
      <c r="E541" s="4" t="s">
        <v>742</v>
      </c>
      <c r="F541" s="4" t="s">
        <v>742</v>
      </c>
      <c r="G541" s="4" t="s">
        <v>742</v>
      </c>
      <c r="H541" s="4" t="s">
        <v>742</v>
      </c>
      <c r="I541" s="4" t="s">
        <v>742</v>
      </c>
      <c r="J541" s="4" t="s">
        <v>742</v>
      </c>
      <c r="K541" s="4" t="s">
        <v>742</v>
      </c>
      <c r="L541" s="4" t="s">
        <v>742</v>
      </c>
      <c r="M541" s="4" t="s">
        <v>742</v>
      </c>
      <c r="N541" s="4" t="s">
        <v>742</v>
      </c>
    </row>
    <row r="542">
      <c r="B542" s="8" t="s">
        <v>742</v>
      </c>
      <c r="C542" s="4" t="s">
        <v>742</v>
      </c>
      <c r="D542" s="4" t="s">
        <v>742</v>
      </c>
      <c r="E542" s="4" t="s">
        <v>742</v>
      </c>
      <c r="F542" s="4" t="s">
        <v>742</v>
      </c>
      <c r="G542" s="4" t="s">
        <v>742</v>
      </c>
      <c r="H542" s="4" t="s">
        <v>742</v>
      </c>
      <c r="I542" s="4" t="s">
        <v>742</v>
      </c>
      <c r="J542" s="4" t="s">
        <v>742</v>
      </c>
      <c r="K542" s="4" t="s">
        <v>742</v>
      </c>
      <c r="L542" s="4" t="s">
        <v>742</v>
      </c>
      <c r="M542" s="4" t="s">
        <v>742</v>
      </c>
      <c r="N542" s="4" t="s">
        <v>742</v>
      </c>
    </row>
    <row r="543">
      <c r="B543" s="8" t="s">
        <v>742</v>
      </c>
      <c r="C543" s="4" t="s">
        <v>742</v>
      </c>
      <c r="D543" s="4" t="s">
        <v>742</v>
      </c>
      <c r="E543" s="4" t="s">
        <v>742</v>
      </c>
      <c r="F543" s="4" t="s">
        <v>742</v>
      </c>
      <c r="G543" s="4" t="s">
        <v>742</v>
      </c>
      <c r="H543" s="4" t="s">
        <v>742</v>
      </c>
      <c r="I543" s="4" t="s">
        <v>742</v>
      </c>
      <c r="J543" s="4" t="s">
        <v>742</v>
      </c>
      <c r="K543" s="4" t="s">
        <v>742</v>
      </c>
      <c r="L543" s="4" t="s">
        <v>742</v>
      </c>
      <c r="M543" s="4" t="s">
        <v>742</v>
      </c>
      <c r="N543" s="4" t="s">
        <v>742</v>
      </c>
    </row>
    <row r="544">
      <c r="B544" s="8" t="s">
        <v>742</v>
      </c>
      <c r="C544" s="4" t="s">
        <v>742</v>
      </c>
      <c r="D544" s="4" t="s">
        <v>742</v>
      </c>
      <c r="E544" s="4" t="s">
        <v>742</v>
      </c>
      <c r="F544" s="4" t="s">
        <v>742</v>
      </c>
      <c r="G544" s="4" t="s">
        <v>742</v>
      </c>
      <c r="H544" s="4" t="s">
        <v>742</v>
      </c>
      <c r="I544" s="4" t="s">
        <v>742</v>
      </c>
      <c r="J544" s="4" t="s">
        <v>742</v>
      </c>
      <c r="K544" s="4" t="s">
        <v>742</v>
      </c>
      <c r="L544" s="4" t="s">
        <v>742</v>
      </c>
      <c r="M544" s="4" t="s">
        <v>742</v>
      </c>
      <c r="N544" s="4" t="s">
        <v>742</v>
      </c>
    </row>
    <row r="545">
      <c r="B545" s="8" t="s">
        <v>742</v>
      </c>
      <c r="C545" s="4" t="s">
        <v>742</v>
      </c>
      <c r="D545" s="4" t="s">
        <v>742</v>
      </c>
      <c r="E545" s="4" t="s">
        <v>742</v>
      </c>
      <c r="F545" s="4" t="s">
        <v>742</v>
      </c>
      <c r="G545" s="4" t="s">
        <v>742</v>
      </c>
      <c r="H545" s="4" t="s">
        <v>742</v>
      </c>
      <c r="I545" s="4" t="s">
        <v>742</v>
      </c>
      <c r="J545" s="4" t="s">
        <v>742</v>
      </c>
      <c r="K545" s="4" t="s">
        <v>742</v>
      </c>
      <c r="L545" s="4" t="s">
        <v>742</v>
      </c>
      <c r="M545" s="4" t="s">
        <v>742</v>
      </c>
      <c r="N545" s="4" t="s">
        <v>742</v>
      </c>
    </row>
    <row r="546">
      <c r="B546" s="8" t="s">
        <v>742</v>
      </c>
      <c r="C546" s="4" t="s">
        <v>742</v>
      </c>
      <c r="D546" s="4" t="s">
        <v>742</v>
      </c>
      <c r="E546" s="4" t="s">
        <v>742</v>
      </c>
      <c r="F546" s="4" t="s">
        <v>742</v>
      </c>
      <c r="G546" s="4" t="s">
        <v>742</v>
      </c>
      <c r="H546" s="4" t="s">
        <v>742</v>
      </c>
      <c r="I546" s="4" t="s">
        <v>742</v>
      </c>
      <c r="J546" s="4" t="s">
        <v>742</v>
      </c>
      <c r="K546" s="4" t="s">
        <v>742</v>
      </c>
      <c r="L546" s="4" t="s">
        <v>742</v>
      </c>
      <c r="M546" s="4" t="s">
        <v>742</v>
      </c>
      <c r="N546" s="4" t="s">
        <v>742</v>
      </c>
    </row>
    <row r="547">
      <c r="B547" s="8" t="s">
        <v>742</v>
      </c>
      <c r="C547" s="4" t="s">
        <v>742</v>
      </c>
      <c r="D547" s="4" t="s">
        <v>742</v>
      </c>
      <c r="E547" s="4" t="s">
        <v>742</v>
      </c>
      <c r="F547" s="4" t="s">
        <v>742</v>
      </c>
      <c r="G547" s="4" t="s">
        <v>742</v>
      </c>
      <c r="H547" s="4" t="s">
        <v>742</v>
      </c>
      <c r="I547" s="4" t="s">
        <v>742</v>
      </c>
      <c r="J547" s="4" t="s">
        <v>742</v>
      </c>
      <c r="K547" s="4" t="s">
        <v>742</v>
      </c>
      <c r="L547" s="4" t="s">
        <v>742</v>
      </c>
      <c r="M547" s="4" t="s">
        <v>742</v>
      </c>
      <c r="N547" s="4" t="s">
        <v>742</v>
      </c>
    </row>
    <row r="548">
      <c r="B548" s="8" t="s">
        <v>742</v>
      </c>
      <c r="C548" s="4" t="s">
        <v>742</v>
      </c>
      <c r="D548" s="4" t="s">
        <v>742</v>
      </c>
      <c r="E548" s="4" t="s">
        <v>742</v>
      </c>
      <c r="F548" s="4" t="s">
        <v>742</v>
      </c>
      <c r="G548" s="4" t="s">
        <v>742</v>
      </c>
      <c r="H548" s="4" t="s">
        <v>742</v>
      </c>
      <c r="I548" s="4" t="s">
        <v>742</v>
      </c>
      <c r="J548" s="4" t="s">
        <v>742</v>
      </c>
      <c r="K548" s="4" t="s">
        <v>742</v>
      </c>
      <c r="L548" s="4" t="s">
        <v>742</v>
      </c>
      <c r="M548" s="4" t="s">
        <v>742</v>
      </c>
      <c r="N548" s="4" t="s">
        <v>742</v>
      </c>
    </row>
    <row r="549">
      <c r="B549" s="8" t="s">
        <v>742</v>
      </c>
      <c r="C549" s="4" t="s">
        <v>742</v>
      </c>
      <c r="D549" s="4" t="s">
        <v>742</v>
      </c>
      <c r="E549" s="4" t="s">
        <v>742</v>
      </c>
      <c r="F549" s="4" t="s">
        <v>742</v>
      </c>
      <c r="G549" s="4" t="s">
        <v>742</v>
      </c>
      <c r="H549" s="4" t="s">
        <v>742</v>
      </c>
      <c r="I549" s="4" t="s">
        <v>742</v>
      </c>
      <c r="J549" s="4" t="s">
        <v>742</v>
      </c>
      <c r="K549" s="4" t="s">
        <v>742</v>
      </c>
      <c r="L549" s="4" t="s">
        <v>742</v>
      </c>
      <c r="M549" s="4" t="s">
        <v>742</v>
      </c>
      <c r="N549" s="4" t="s">
        <v>742</v>
      </c>
    </row>
    <row r="550">
      <c r="B550" s="8" t="s">
        <v>742</v>
      </c>
      <c r="C550" s="4" t="s">
        <v>742</v>
      </c>
      <c r="D550" s="4" t="s">
        <v>742</v>
      </c>
      <c r="E550" s="4" t="s">
        <v>742</v>
      </c>
      <c r="F550" s="4" t="s">
        <v>742</v>
      </c>
      <c r="G550" s="4" t="s">
        <v>742</v>
      </c>
      <c r="H550" s="4" t="s">
        <v>742</v>
      </c>
      <c r="I550" s="4" t="s">
        <v>742</v>
      </c>
      <c r="J550" s="4" t="s">
        <v>742</v>
      </c>
      <c r="K550" s="4" t="s">
        <v>742</v>
      </c>
      <c r="L550" s="4" t="s">
        <v>742</v>
      </c>
      <c r="M550" s="4" t="s">
        <v>742</v>
      </c>
      <c r="N550" s="4" t="s">
        <v>742</v>
      </c>
    </row>
    <row r="551">
      <c r="B551" s="8" t="s">
        <v>742</v>
      </c>
      <c r="C551" s="4" t="s">
        <v>742</v>
      </c>
      <c r="D551" s="4" t="s">
        <v>742</v>
      </c>
      <c r="E551" s="4" t="s">
        <v>742</v>
      </c>
      <c r="F551" s="4" t="s">
        <v>742</v>
      </c>
      <c r="G551" s="4" t="s">
        <v>742</v>
      </c>
      <c r="H551" s="4" t="s">
        <v>742</v>
      </c>
      <c r="I551" s="4" t="s">
        <v>742</v>
      </c>
      <c r="J551" s="4" t="s">
        <v>742</v>
      </c>
      <c r="K551" s="4" t="s">
        <v>742</v>
      </c>
      <c r="L551" s="4" t="s">
        <v>742</v>
      </c>
      <c r="M551" s="4" t="s">
        <v>742</v>
      </c>
      <c r="N551" s="4" t="s">
        <v>742</v>
      </c>
    </row>
    <row r="552">
      <c r="B552" s="8" t="s">
        <v>742</v>
      </c>
      <c r="C552" s="4" t="s">
        <v>742</v>
      </c>
      <c r="D552" s="4" t="s">
        <v>742</v>
      </c>
      <c r="E552" s="4" t="s">
        <v>742</v>
      </c>
      <c r="F552" s="4" t="s">
        <v>742</v>
      </c>
      <c r="G552" s="4" t="s">
        <v>742</v>
      </c>
      <c r="H552" s="4" t="s">
        <v>742</v>
      </c>
      <c r="I552" s="4" t="s">
        <v>742</v>
      </c>
      <c r="J552" s="4" t="s">
        <v>742</v>
      </c>
      <c r="K552" s="4" t="s">
        <v>742</v>
      </c>
      <c r="L552" s="4" t="s">
        <v>742</v>
      </c>
      <c r="M552" s="4" t="s">
        <v>742</v>
      </c>
      <c r="N552" s="4" t="s">
        <v>742</v>
      </c>
    </row>
    <row r="553">
      <c r="B553" s="8" t="s">
        <v>742</v>
      </c>
      <c r="C553" s="4" t="s">
        <v>742</v>
      </c>
      <c r="D553" s="4" t="s">
        <v>742</v>
      </c>
      <c r="E553" s="4" t="s">
        <v>742</v>
      </c>
      <c r="F553" s="4" t="s">
        <v>742</v>
      </c>
      <c r="G553" s="4" t="s">
        <v>742</v>
      </c>
      <c r="H553" s="4" t="s">
        <v>742</v>
      </c>
      <c r="I553" s="4" t="s">
        <v>742</v>
      </c>
      <c r="J553" s="4" t="s">
        <v>742</v>
      </c>
      <c r="K553" s="4" t="s">
        <v>742</v>
      </c>
      <c r="L553" s="4" t="s">
        <v>742</v>
      </c>
      <c r="M553" s="4" t="s">
        <v>742</v>
      </c>
      <c r="N553" s="4" t="s">
        <v>742</v>
      </c>
    </row>
    <row r="554">
      <c r="B554" s="8" t="s">
        <v>742</v>
      </c>
      <c r="C554" s="4" t="s">
        <v>742</v>
      </c>
      <c r="D554" s="4" t="s">
        <v>742</v>
      </c>
      <c r="E554" s="4" t="s">
        <v>742</v>
      </c>
      <c r="F554" s="4" t="s">
        <v>742</v>
      </c>
      <c r="G554" s="4" t="s">
        <v>742</v>
      </c>
      <c r="H554" s="4" t="s">
        <v>742</v>
      </c>
      <c r="I554" s="4" t="s">
        <v>742</v>
      </c>
      <c r="J554" s="4" t="s">
        <v>742</v>
      </c>
      <c r="K554" s="4" t="s">
        <v>742</v>
      </c>
      <c r="L554" s="4" t="s">
        <v>742</v>
      </c>
      <c r="M554" s="4" t="s">
        <v>742</v>
      </c>
      <c r="N554" s="4" t="s">
        <v>742</v>
      </c>
    </row>
    <row r="555">
      <c r="B555" s="8" t="s">
        <v>742</v>
      </c>
      <c r="C555" s="4" t="s">
        <v>742</v>
      </c>
      <c r="D555" s="4" t="s">
        <v>742</v>
      </c>
      <c r="E555" s="4" t="s">
        <v>742</v>
      </c>
      <c r="F555" s="4" t="s">
        <v>742</v>
      </c>
      <c r="G555" s="4" t="s">
        <v>742</v>
      </c>
      <c r="H555" s="4" t="s">
        <v>742</v>
      </c>
      <c r="I555" s="4" t="s">
        <v>742</v>
      </c>
      <c r="J555" s="4" t="s">
        <v>742</v>
      </c>
      <c r="K555" s="4" t="s">
        <v>742</v>
      </c>
      <c r="L555" s="4" t="s">
        <v>742</v>
      </c>
      <c r="M555" s="4" t="s">
        <v>742</v>
      </c>
      <c r="N555" s="4" t="s">
        <v>742</v>
      </c>
    </row>
    <row r="556">
      <c r="B556" s="8" t="s">
        <v>742</v>
      </c>
      <c r="C556" s="4" t="s">
        <v>742</v>
      </c>
      <c r="D556" s="4" t="s">
        <v>742</v>
      </c>
      <c r="E556" s="4" t="s">
        <v>742</v>
      </c>
      <c r="F556" s="4" t="s">
        <v>742</v>
      </c>
      <c r="G556" s="4" t="s">
        <v>742</v>
      </c>
      <c r="H556" s="4" t="s">
        <v>742</v>
      </c>
      <c r="I556" s="4" t="s">
        <v>742</v>
      </c>
      <c r="J556" s="4" t="s">
        <v>742</v>
      </c>
      <c r="K556" s="4" t="s">
        <v>742</v>
      </c>
      <c r="L556" s="4" t="s">
        <v>742</v>
      </c>
      <c r="M556" s="4" t="s">
        <v>742</v>
      </c>
      <c r="N556" s="4" t="s">
        <v>742</v>
      </c>
    </row>
    <row r="557">
      <c r="B557" s="8" t="s">
        <v>742</v>
      </c>
      <c r="C557" s="4" t="s">
        <v>742</v>
      </c>
      <c r="D557" s="4" t="s">
        <v>742</v>
      </c>
      <c r="E557" s="4" t="s">
        <v>742</v>
      </c>
      <c r="F557" s="4" t="s">
        <v>742</v>
      </c>
      <c r="G557" s="4" t="s">
        <v>742</v>
      </c>
      <c r="H557" s="4" t="s">
        <v>742</v>
      </c>
      <c r="I557" s="4" t="s">
        <v>742</v>
      </c>
      <c r="J557" s="4" t="s">
        <v>742</v>
      </c>
      <c r="K557" s="4" t="s">
        <v>742</v>
      </c>
      <c r="L557" s="4" t="s">
        <v>742</v>
      </c>
      <c r="M557" s="4" t="s">
        <v>742</v>
      </c>
      <c r="N557" s="4" t="s">
        <v>742</v>
      </c>
    </row>
    <row r="558">
      <c r="B558" s="8" t="s">
        <v>742</v>
      </c>
      <c r="C558" s="4" t="s">
        <v>742</v>
      </c>
      <c r="D558" s="4" t="s">
        <v>742</v>
      </c>
      <c r="E558" s="4" t="s">
        <v>742</v>
      </c>
      <c r="F558" s="4" t="s">
        <v>742</v>
      </c>
      <c r="G558" s="4" t="s">
        <v>742</v>
      </c>
      <c r="H558" s="4" t="s">
        <v>742</v>
      </c>
      <c r="I558" s="4" t="s">
        <v>742</v>
      </c>
      <c r="J558" s="4" t="s">
        <v>742</v>
      </c>
      <c r="K558" s="4" t="s">
        <v>742</v>
      </c>
      <c r="L558" s="4" t="s">
        <v>742</v>
      </c>
      <c r="M558" s="4" t="s">
        <v>742</v>
      </c>
      <c r="N558" s="4" t="s">
        <v>742</v>
      </c>
    </row>
    <row r="559">
      <c r="B559" s="8" t="s">
        <v>742</v>
      </c>
      <c r="C559" s="4" t="s">
        <v>742</v>
      </c>
      <c r="D559" s="4" t="s">
        <v>742</v>
      </c>
      <c r="E559" s="4" t="s">
        <v>742</v>
      </c>
      <c r="F559" s="4" t="s">
        <v>742</v>
      </c>
      <c r="G559" s="4" t="s">
        <v>742</v>
      </c>
      <c r="H559" s="4" t="s">
        <v>742</v>
      </c>
      <c r="I559" s="4" t="s">
        <v>742</v>
      </c>
      <c r="J559" s="4" t="s">
        <v>742</v>
      </c>
      <c r="K559" s="4" t="s">
        <v>742</v>
      </c>
      <c r="L559" s="4" t="s">
        <v>742</v>
      </c>
      <c r="M559" s="4" t="s">
        <v>742</v>
      </c>
      <c r="N559" s="4" t="s">
        <v>742</v>
      </c>
    </row>
    <row r="560">
      <c r="B560" s="8" t="s">
        <v>742</v>
      </c>
      <c r="C560" s="4" t="s">
        <v>742</v>
      </c>
      <c r="D560" s="4" t="s">
        <v>742</v>
      </c>
      <c r="E560" s="4" t="s">
        <v>742</v>
      </c>
      <c r="F560" s="4" t="s">
        <v>742</v>
      </c>
      <c r="G560" s="4" t="s">
        <v>742</v>
      </c>
      <c r="H560" s="4" t="s">
        <v>742</v>
      </c>
      <c r="I560" s="4" t="s">
        <v>742</v>
      </c>
      <c r="J560" s="4" t="s">
        <v>742</v>
      </c>
      <c r="K560" s="4" t="s">
        <v>742</v>
      </c>
      <c r="L560" s="4" t="s">
        <v>742</v>
      </c>
      <c r="M560" s="4" t="s">
        <v>742</v>
      </c>
      <c r="N560" s="4" t="s">
        <v>742</v>
      </c>
    </row>
    <row r="561">
      <c r="B561" s="8" t="s">
        <v>742</v>
      </c>
      <c r="C561" s="4" t="s">
        <v>742</v>
      </c>
      <c r="D561" s="4" t="s">
        <v>742</v>
      </c>
      <c r="E561" s="4" t="s">
        <v>742</v>
      </c>
      <c r="F561" s="4" t="s">
        <v>742</v>
      </c>
      <c r="G561" s="4" t="s">
        <v>742</v>
      </c>
      <c r="H561" s="4" t="s">
        <v>742</v>
      </c>
      <c r="I561" s="4" t="s">
        <v>742</v>
      </c>
      <c r="J561" s="4" t="s">
        <v>742</v>
      </c>
      <c r="K561" s="4" t="s">
        <v>742</v>
      </c>
      <c r="L561" s="4" t="s">
        <v>742</v>
      </c>
      <c r="M561" s="4" t="s">
        <v>742</v>
      </c>
      <c r="N561" s="4" t="s">
        <v>742</v>
      </c>
    </row>
    <row r="562">
      <c r="B562" s="8" t="s">
        <v>742</v>
      </c>
      <c r="C562" s="4" t="s">
        <v>742</v>
      </c>
      <c r="D562" s="4" t="s">
        <v>742</v>
      </c>
      <c r="E562" s="4" t="s">
        <v>742</v>
      </c>
      <c r="F562" s="4" t="s">
        <v>742</v>
      </c>
      <c r="G562" s="4" t="s">
        <v>742</v>
      </c>
      <c r="H562" s="4" t="s">
        <v>742</v>
      </c>
      <c r="I562" s="4" t="s">
        <v>742</v>
      </c>
      <c r="J562" s="4" t="s">
        <v>742</v>
      </c>
      <c r="K562" s="4" t="s">
        <v>742</v>
      </c>
      <c r="L562" s="4" t="s">
        <v>742</v>
      </c>
      <c r="M562" s="4" t="s">
        <v>742</v>
      </c>
      <c r="N562" s="4" t="s">
        <v>742</v>
      </c>
    </row>
    <row r="563">
      <c r="B563" s="8" t="s">
        <v>742</v>
      </c>
      <c r="C563" s="4" t="s">
        <v>742</v>
      </c>
      <c r="D563" s="4" t="s">
        <v>742</v>
      </c>
      <c r="E563" s="4" t="s">
        <v>742</v>
      </c>
      <c r="F563" s="4" t="s">
        <v>742</v>
      </c>
      <c r="G563" s="4" t="s">
        <v>742</v>
      </c>
      <c r="H563" s="4" t="s">
        <v>742</v>
      </c>
      <c r="I563" s="4" t="s">
        <v>742</v>
      </c>
      <c r="J563" s="4" t="s">
        <v>742</v>
      </c>
      <c r="K563" s="4" t="s">
        <v>742</v>
      </c>
      <c r="L563" s="4" t="s">
        <v>742</v>
      </c>
      <c r="M563" s="4" t="s">
        <v>742</v>
      </c>
      <c r="N563" s="4" t="s">
        <v>742</v>
      </c>
    </row>
    <row r="564">
      <c r="B564" s="8" t="s">
        <v>742</v>
      </c>
      <c r="C564" s="4" t="s">
        <v>742</v>
      </c>
      <c r="D564" s="4" t="s">
        <v>742</v>
      </c>
      <c r="E564" s="4" t="s">
        <v>742</v>
      </c>
      <c r="F564" s="4" t="s">
        <v>742</v>
      </c>
      <c r="G564" s="4" t="s">
        <v>742</v>
      </c>
      <c r="H564" s="4" t="s">
        <v>742</v>
      </c>
      <c r="I564" s="4" t="s">
        <v>742</v>
      </c>
      <c r="J564" s="4" t="s">
        <v>742</v>
      </c>
      <c r="K564" s="4" t="s">
        <v>742</v>
      </c>
      <c r="L564" s="4" t="s">
        <v>742</v>
      </c>
      <c r="M564" s="4" t="s">
        <v>742</v>
      </c>
      <c r="N564" s="4" t="s">
        <v>742</v>
      </c>
    </row>
    <row r="565">
      <c r="B565" s="8" t="s">
        <v>742</v>
      </c>
      <c r="C565" s="4" t="s">
        <v>742</v>
      </c>
      <c r="D565" s="4" t="s">
        <v>742</v>
      </c>
      <c r="E565" s="4" t="s">
        <v>742</v>
      </c>
      <c r="F565" s="4" t="s">
        <v>742</v>
      </c>
      <c r="G565" s="4" t="s">
        <v>742</v>
      </c>
      <c r="H565" s="4" t="s">
        <v>742</v>
      </c>
      <c r="I565" s="4" t="s">
        <v>742</v>
      </c>
      <c r="J565" s="4" t="s">
        <v>742</v>
      </c>
      <c r="K565" s="4" t="s">
        <v>742</v>
      </c>
      <c r="L565" s="4" t="s">
        <v>742</v>
      </c>
      <c r="M565" s="4" t="s">
        <v>742</v>
      </c>
      <c r="N565" s="4" t="s">
        <v>742</v>
      </c>
    </row>
    <row r="566">
      <c r="B566" s="8" t="s">
        <v>742</v>
      </c>
      <c r="C566" s="4" t="s">
        <v>742</v>
      </c>
      <c r="D566" s="4" t="s">
        <v>742</v>
      </c>
      <c r="E566" s="4" t="s">
        <v>742</v>
      </c>
      <c r="F566" s="4" t="s">
        <v>742</v>
      </c>
      <c r="G566" s="4" t="s">
        <v>742</v>
      </c>
      <c r="H566" s="4" t="s">
        <v>742</v>
      </c>
      <c r="I566" s="4" t="s">
        <v>742</v>
      </c>
      <c r="J566" s="4" t="s">
        <v>742</v>
      </c>
      <c r="K566" s="4" t="s">
        <v>742</v>
      </c>
      <c r="L566" s="4" t="s">
        <v>742</v>
      </c>
      <c r="M566" s="4" t="s">
        <v>742</v>
      </c>
      <c r="N566" s="4" t="s">
        <v>742</v>
      </c>
    </row>
    <row r="567">
      <c r="B567" s="8" t="s">
        <v>742</v>
      </c>
      <c r="C567" s="4" t="s">
        <v>742</v>
      </c>
      <c r="D567" s="4" t="s">
        <v>742</v>
      </c>
      <c r="E567" s="4" t="s">
        <v>742</v>
      </c>
      <c r="F567" s="4" t="s">
        <v>742</v>
      </c>
      <c r="G567" s="4" t="s">
        <v>742</v>
      </c>
      <c r="H567" s="4" t="s">
        <v>742</v>
      </c>
      <c r="I567" s="4" t="s">
        <v>742</v>
      </c>
      <c r="J567" s="4" t="s">
        <v>742</v>
      </c>
      <c r="K567" s="4" t="s">
        <v>742</v>
      </c>
      <c r="L567" s="4" t="s">
        <v>742</v>
      </c>
      <c r="M567" s="4" t="s">
        <v>742</v>
      </c>
      <c r="N567" s="4" t="s">
        <v>742</v>
      </c>
    </row>
    <row r="568">
      <c r="B568" s="8" t="s">
        <v>742</v>
      </c>
      <c r="C568" s="4" t="s">
        <v>742</v>
      </c>
      <c r="D568" s="4" t="s">
        <v>742</v>
      </c>
      <c r="E568" s="4" t="s">
        <v>742</v>
      </c>
      <c r="F568" s="4" t="s">
        <v>742</v>
      </c>
      <c r="G568" s="4" t="s">
        <v>742</v>
      </c>
      <c r="H568" s="4" t="s">
        <v>742</v>
      </c>
      <c r="I568" s="4" t="s">
        <v>742</v>
      </c>
      <c r="J568" s="4" t="s">
        <v>742</v>
      </c>
      <c r="K568" s="4" t="s">
        <v>742</v>
      </c>
      <c r="L568" s="4" t="s">
        <v>742</v>
      </c>
      <c r="M568" s="4" t="s">
        <v>742</v>
      </c>
      <c r="N568" s="4" t="s">
        <v>742</v>
      </c>
    </row>
    <row r="569">
      <c r="B569" s="8" t="s">
        <v>742</v>
      </c>
      <c r="C569" s="4" t="s">
        <v>742</v>
      </c>
      <c r="D569" s="4" t="s">
        <v>742</v>
      </c>
      <c r="E569" s="4" t="s">
        <v>742</v>
      </c>
      <c r="F569" s="4" t="s">
        <v>742</v>
      </c>
      <c r="G569" s="4" t="s">
        <v>742</v>
      </c>
      <c r="H569" s="4" t="s">
        <v>742</v>
      </c>
      <c r="I569" s="4" t="s">
        <v>742</v>
      </c>
      <c r="J569" s="4" t="s">
        <v>742</v>
      </c>
      <c r="K569" s="4" t="s">
        <v>742</v>
      </c>
      <c r="L569" s="4" t="s">
        <v>742</v>
      </c>
      <c r="M569" s="4" t="s">
        <v>742</v>
      </c>
      <c r="N569" s="4" t="s">
        <v>742</v>
      </c>
    </row>
    <row r="570">
      <c r="B570" s="8" t="s">
        <v>742</v>
      </c>
      <c r="C570" s="4" t="s">
        <v>742</v>
      </c>
      <c r="D570" s="4" t="s">
        <v>742</v>
      </c>
      <c r="E570" s="4" t="s">
        <v>742</v>
      </c>
      <c r="F570" s="4" t="s">
        <v>742</v>
      </c>
      <c r="G570" s="4" t="s">
        <v>742</v>
      </c>
      <c r="H570" s="4" t="s">
        <v>742</v>
      </c>
      <c r="I570" s="4" t="s">
        <v>742</v>
      </c>
      <c r="J570" s="4" t="s">
        <v>742</v>
      </c>
      <c r="K570" s="4" t="s">
        <v>742</v>
      </c>
      <c r="L570" s="4" t="s">
        <v>742</v>
      </c>
      <c r="M570" s="4" t="s">
        <v>742</v>
      </c>
      <c r="N570" s="4" t="s">
        <v>742</v>
      </c>
    </row>
    <row r="571">
      <c r="B571" s="8" t="s">
        <v>742</v>
      </c>
      <c r="C571" s="4" t="s">
        <v>742</v>
      </c>
      <c r="D571" s="4" t="s">
        <v>742</v>
      </c>
      <c r="E571" s="4" t="s">
        <v>742</v>
      </c>
      <c r="F571" s="4" t="s">
        <v>742</v>
      </c>
      <c r="G571" s="4" t="s">
        <v>742</v>
      </c>
      <c r="H571" s="4" t="s">
        <v>742</v>
      </c>
      <c r="I571" s="4" t="s">
        <v>742</v>
      </c>
      <c r="J571" s="4" t="s">
        <v>742</v>
      </c>
      <c r="K571" s="4" t="s">
        <v>742</v>
      </c>
      <c r="L571" s="4" t="s">
        <v>742</v>
      </c>
      <c r="M571" s="4" t="s">
        <v>742</v>
      </c>
      <c r="N571" s="4" t="s">
        <v>742</v>
      </c>
    </row>
    <row r="572">
      <c r="B572" s="8" t="s">
        <v>742</v>
      </c>
      <c r="C572" s="4" t="s">
        <v>742</v>
      </c>
      <c r="D572" s="4" t="s">
        <v>742</v>
      </c>
      <c r="E572" s="4" t="s">
        <v>742</v>
      </c>
      <c r="F572" s="4" t="s">
        <v>742</v>
      </c>
      <c r="G572" s="4" t="s">
        <v>742</v>
      </c>
      <c r="H572" s="4" t="s">
        <v>742</v>
      </c>
      <c r="I572" s="4" t="s">
        <v>742</v>
      </c>
      <c r="J572" s="4" t="s">
        <v>742</v>
      </c>
      <c r="K572" s="4" t="s">
        <v>742</v>
      </c>
      <c r="L572" s="4" t="s">
        <v>742</v>
      </c>
      <c r="M572" s="4" t="s">
        <v>742</v>
      </c>
      <c r="N572" s="4" t="s">
        <v>742</v>
      </c>
    </row>
    <row r="573">
      <c r="B573" s="8" t="s">
        <v>742</v>
      </c>
      <c r="C573" s="4" t="s">
        <v>742</v>
      </c>
      <c r="D573" s="4" t="s">
        <v>742</v>
      </c>
      <c r="E573" s="4" t="s">
        <v>742</v>
      </c>
      <c r="F573" s="4" t="s">
        <v>742</v>
      </c>
      <c r="G573" s="4" t="s">
        <v>742</v>
      </c>
      <c r="H573" s="4" t="s">
        <v>742</v>
      </c>
      <c r="I573" s="4" t="s">
        <v>742</v>
      </c>
      <c r="J573" s="4" t="s">
        <v>742</v>
      </c>
      <c r="K573" s="4" t="s">
        <v>742</v>
      </c>
      <c r="L573" s="4" t="s">
        <v>742</v>
      </c>
      <c r="M573" s="4" t="s">
        <v>742</v>
      </c>
      <c r="N573" s="4" t="s">
        <v>742</v>
      </c>
    </row>
    <row r="574">
      <c r="B574" s="8" t="s">
        <v>742</v>
      </c>
      <c r="C574" s="4" t="s">
        <v>742</v>
      </c>
      <c r="D574" s="4" t="s">
        <v>742</v>
      </c>
      <c r="E574" s="4" t="s">
        <v>742</v>
      </c>
      <c r="F574" s="4" t="s">
        <v>742</v>
      </c>
      <c r="G574" s="4" t="s">
        <v>742</v>
      </c>
      <c r="H574" s="4" t="s">
        <v>742</v>
      </c>
      <c r="I574" s="4" t="s">
        <v>742</v>
      </c>
      <c r="J574" s="4" t="s">
        <v>742</v>
      </c>
      <c r="K574" s="4" t="s">
        <v>742</v>
      </c>
      <c r="L574" s="4" t="s">
        <v>742</v>
      </c>
      <c r="M574" s="4" t="s">
        <v>742</v>
      </c>
      <c r="N574" s="4" t="s">
        <v>742</v>
      </c>
    </row>
    <row r="575">
      <c r="B575" s="8" t="s">
        <v>742</v>
      </c>
      <c r="C575" s="4" t="s">
        <v>742</v>
      </c>
      <c r="D575" s="4" t="s">
        <v>742</v>
      </c>
      <c r="E575" s="4" t="s">
        <v>742</v>
      </c>
      <c r="F575" s="4" t="s">
        <v>742</v>
      </c>
      <c r="G575" s="4" t="s">
        <v>742</v>
      </c>
      <c r="H575" s="4" t="s">
        <v>742</v>
      </c>
      <c r="I575" s="4" t="s">
        <v>742</v>
      </c>
      <c r="J575" s="4" t="s">
        <v>742</v>
      </c>
      <c r="K575" s="4" t="s">
        <v>742</v>
      </c>
      <c r="L575" s="4" t="s">
        <v>742</v>
      </c>
      <c r="M575" s="4" t="s">
        <v>742</v>
      </c>
      <c r="N575" s="4" t="s">
        <v>742</v>
      </c>
    </row>
    <row r="576">
      <c r="B576" s="8" t="s">
        <v>742</v>
      </c>
      <c r="C576" s="4" t="s">
        <v>742</v>
      </c>
      <c r="D576" s="4" t="s">
        <v>742</v>
      </c>
      <c r="E576" s="4" t="s">
        <v>742</v>
      </c>
      <c r="F576" s="4" t="s">
        <v>742</v>
      </c>
      <c r="G576" s="4" t="s">
        <v>742</v>
      </c>
      <c r="H576" s="4" t="s">
        <v>742</v>
      </c>
      <c r="I576" s="4" t="s">
        <v>742</v>
      </c>
      <c r="J576" s="4" t="s">
        <v>742</v>
      </c>
      <c r="K576" s="4" t="s">
        <v>742</v>
      </c>
      <c r="L576" s="4" t="s">
        <v>742</v>
      </c>
      <c r="M576" s="4" t="s">
        <v>742</v>
      </c>
      <c r="N576" s="4" t="s">
        <v>742</v>
      </c>
    </row>
    <row r="577">
      <c r="B577" s="8" t="s">
        <v>742</v>
      </c>
      <c r="C577" s="4" t="s">
        <v>742</v>
      </c>
      <c r="D577" s="4" t="s">
        <v>742</v>
      </c>
      <c r="E577" s="4" t="s">
        <v>742</v>
      </c>
      <c r="F577" s="4" t="s">
        <v>742</v>
      </c>
      <c r="G577" s="4" t="s">
        <v>742</v>
      </c>
      <c r="H577" s="4" t="s">
        <v>742</v>
      </c>
      <c r="I577" s="4" t="s">
        <v>742</v>
      </c>
      <c r="J577" s="4" t="s">
        <v>742</v>
      </c>
      <c r="K577" s="4" t="s">
        <v>742</v>
      </c>
      <c r="L577" s="4" t="s">
        <v>742</v>
      </c>
      <c r="M577" s="4" t="s">
        <v>742</v>
      </c>
      <c r="N577" s="4" t="s">
        <v>742</v>
      </c>
    </row>
    <row r="578">
      <c r="B578" s="8" t="s">
        <v>742</v>
      </c>
      <c r="C578" s="4" t="s">
        <v>742</v>
      </c>
      <c r="D578" s="4" t="s">
        <v>742</v>
      </c>
      <c r="E578" s="4" t="s">
        <v>742</v>
      </c>
      <c r="F578" s="4" t="s">
        <v>742</v>
      </c>
      <c r="G578" s="4" t="s">
        <v>742</v>
      </c>
      <c r="H578" s="4" t="s">
        <v>742</v>
      </c>
      <c r="I578" s="4" t="s">
        <v>742</v>
      </c>
      <c r="J578" s="4" t="s">
        <v>742</v>
      </c>
      <c r="K578" s="4" t="s">
        <v>742</v>
      </c>
      <c r="L578" s="4" t="s">
        <v>742</v>
      </c>
      <c r="M578" s="4" t="s">
        <v>742</v>
      </c>
      <c r="N578" s="4" t="s">
        <v>742</v>
      </c>
    </row>
    <row r="579">
      <c r="B579" s="8" t="s">
        <v>742</v>
      </c>
      <c r="C579" s="4" t="s">
        <v>742</v>
      </c>
      <c r="D579" s="4" t="s">
        <v>742</v>
      </c>
      <c r="E579" s="4" t="s">
        <v>742</v>
      </c>
      <c r="F579" s="4" t="s">
        <v>742</v>
      </c>
      <c r="G579" s="4" t="s">
        <v>742</v>
      </c>
      <c r="H579" s="4" t="s">
        <v>742</v>
      </c>
      <c r="I579" s="4" t="s">
        <v>742</v>
      </c>
      <c r="J579" s="4" t="s">
        <v>742</v>
      </c>
      <c r="K579" s="4" t="s">
        <v>742</v>
      </c>
      <c r="L579" s="4" t="s">
        <v>742</v>
      </c>
      <c r="M579" s="4" t="s">
        <v>742</v>
      </c>
      <c r="N579" s="4" t="s">
        <v>742</v>
      </c>
    </row>
    <row r="580">
      <c r="B580" s="8" t="s">
        <v>742</v>
      </c>
      <c r="C580" s="4" t="s">
        <v>742</v>
      </c>
      <c r="D580" s="4" t="s">
        <v>742</v>
      </c>
      <c r="E580" s="4" t="s">
        <v>742</v>
      </c>
      <c r="F580" s="4" t="s">
        <v>742</v>
      </c>
      <c r="G580" s="4" t="s">
        <v>742</v>
      </c>
      <c r="H580" s="4" t="s">
        <v>742</v>
      </c>
      <c r="I580" s="4" t="s">
        <v>742</v>
      </c>
      <c r="J580" s="4" t="s">
        <v>742</v>
      </c>
      <c r="K580" s="4" t="s">
        <v>742</v>
      </c>
      <c r="L580" s="4" t="s">
        <v>742</v>
      </c>
      <c r="M580" s="4" t="s">
        <v>742</v>
      </c>
      <c r="N580" s="4" t="s">
        <v>742</v>
      </c>
    </row>
    <row r="581">
      <c r="B581" s="8" t="s">
        <v>742</v>
      </c>
      <c r="C581" s="4" t="s">
        <v>742</v>
      </c>
      <c r="D581" s="4" t="s">
        <v>742</v>
      </c>
      <c r="E581" s="4" t="s">
        <v>742</v>
      </c>
      <c r="F581" s="4" t="s">
        <v>742</v>
      </c>
      <c r="G581" s="4" t="s">
        <v>742</v>
      </c>
      <c r="H581" s="4" t="s">
        <v>742</v>
      </c>
      <c r="I581" s="4" t="s">
        <v>742</v>
      </c>
      <c r="J581" s="4" t="s">
        <v>742</v>
      </c>
      <c r="K581" s="4" t="s">
        <v>742</v>
      </c>
      <c r="L581" s="4" t="s">
        <v>742</v>
      </c>
      <c r="M581" s="4" t="s">
        <v>742</v>
      </c>
      <c r="N581" s="4" t="s">
        <v>742</v>
      </c>
    </row>
    <row r="582">
      <c r="B582" s="8" t="s">
        <v>742</v>
      </c>
      <c r="C582" s="4" t="s">
        <v>742</v>
      </c>
      <c r="D582" s="4" t="s">
        <v>742</v>
      </c>
      <c r="E582" s="4" t="s">
        <v>742</v>
      </c>
      <c r="F582" s="4" t="s">
        <v>742</v>
      </c>
      <c r="G582" s="4" t="s">
        <v>742</v>
      </c>
      <c r="H582" s="4" t="s">
        <v>742</v>
      </c>
      <c r="I582" s="4" t="s">
        <v>742</v>
      </c>
      <c r="J582" s="4" t="s">
        <v>742</v>
      </c>
      <c r="K582" s="4" t="s">
        <v>742</v>
      </c>
      <c r="L582" s="4" t="s">
        <v>742</v>
      </c>
      <c r="M582" s="4" t="s">
        <v>742</v>
      </c>
      <c r="N582" s="4" t="s">
        <v>742</v>
      </c>
    </row>
    <row r="583">
      <c r="B583" s="8" t="s">
        <v>742</v>
      </c>
      <c r="C583" s="4" t="s">
        <v>742</v>
      </c>
      <c r="D583" s="4" t="s">
        <v>742</v>
      </c>
      <c r="E583" s="4" t="s">
        <v>742</v>
      </c>
      <c r="F583" s="4" t="s">
        <v>742</v>
      </c>
      <c r="G583" s="4" t="s">
        <v>742</v>
      </c>
      <c r="H583" s="4" t="s">
        <v>742</v>
      </c>
      <c r="I583" s="4" t="s">
        <v>742</v>
      </c>
      <c r="J583" s="4" t="s">
        <v>742</v>
      </c>
      <c r="K583" s="4" t="s">
        <v>742</v>
      </c>
      <c r="L583" s="4" t="s">
        <v>742</v>
      </c>
      <c r="M583" s="4" t="s">
        <v>742</v>
      </c>
      <c r="N583" s="4" t="s">
        <v>742</v>
      </c>
    </row>
    <row r="584">
      <c r="B584" s="8" t="s">
        <v>742</v>
      </c>
      <c r="C584" s="4" t="s">
        <v>742</v>
      </c>
      <c r="D584" s="4" t="s">
        <v>742</v>
      </c>
      <c r="E584" s="4" t="s">
        <v>742</v>
      </c>
      <c r="F584" s="4" t="s">
        <v>742</v>
      </c>
      <c r="G584" s="4" t="s">
        <v>742</v>
      </c>
      <c r="H584" s="4" t="s">
        <v>742</v>
      </c>
      <c r="I584" s="4" t="s">
        <v>742</v>
      </c>
      <c r="J584" s="4" t="s">
        <v>742</v>
      </c>
      <c r="K584" s="4" t="s">
        <v>742</v>
      </c>
      <c r="L584" s="4" t="s">
        <v>742</v>
      </c>
      <c r="M584" s="4" t="s">
        <v>742</v>
      </c>
      <c r="N584" s="4" t="s">
        <v>742</v>
      </c>
    </row>
    <row r="585">
      <c r="B585" s="8" t="s">
        <v>742</v>
      </c>
      <c r="C585" s="4" t="s">
        <v>742</v>
      </c>
      <c r="D585" s="4" t="s">
        <v>742</v>
      </c>
      <c r="E585" s="4" t="s">
        <v>742</v>
      </c>
      <c r="F585" s="4" t="s">
        <v>742</v>
      </c>
      <c r="G585" s="4" t="s">
        <v>742</v>
      </c>
      <c r="H585" s="4" t="s">
        <v>742</v>
      </c>
      <c r="I585" s="4" t="s">
        <v>742</v>
      </c>
      <c r="J585" s="4" t="s">
        <v>742</v>
      </c>
      <c r="K585" s="4" t="s">
        <v>742</v>
      </c>
      <c r="L585" s="4" t="s">
        <v>742</v>
      </c>
      <c r="M585" s="4" t="s">
        <v>742</v>
      </c>
      <c r="N585" s="4" t="s">
        <v>742</v>
      </c>
    </row>
    <row r="586">
      <c r="B586" s="8" t="s">
        <v>742</v>
      </c>
      <c r="C586" s="4" t="s">
        <v>742</v>
      </c>
      <c r="D586" s="4" t="s">
        <v>742</v>
      </c>
      <c r="E586" s="4" t="s">
        <v>742</v>
      </c>
      <c r="F586" s="4" t="s">
        <v>742</v>
      </c>
      <c r="G586" s="4" t="s">
        <v>742</v>
      </c>
      <c r="H586" s="4" t="s">
        <v>742</v>
      </c>
      <c r="I586" s="4" t="s">
        <v>742</v>
      </c>
      <c r="J586" s="4" t="s">
        <v>742</v>
      </c>
      <c r="K586" s="4" t="s">
        <v>742</v>
      </c>
      <c r="L586" s="4" t="s">
        <v>742</v>
      </c>
      <c r="M586" s="4" t="s">
        <v>742</v>
      </c>
      <c r="N586" s="4" t="s">
        <v>742</v>
      </c>
    </row>
    <row r="587">
      <c r="B587" s="8" t="s">
        <v>742</v>
      </c>
      <c r="C587" s="4" t="s">
        <v>742</v>
      </c>
      <c r="D587" s="4" t="s">
        <v>742</v>
      </c>
      <c r="E587" s="4" t="s">
        <v>742</v>
      </c>
      <c r="F587" s="4" t="s">
        <v>742</v>
      </c>
      <c r="G587" s="4" t="s">
        <v>742</v>
      </c>
      <c r="H587" s="4" t="s">
        <v>742</v>
      </c>
      <c r="I587" s="4" t="s">
        <v>742</v>
      </c>
      <c r="J587" s="4" t="s">
        <v>742</v>
      </c>
      <c r="K587" s="4" t="s">
        <v>742</v>
      </c>
      <c r="L587" s="4" t="s">
        <v>742</v>
      </c>
      <c r="M587" s="4" t="s">
        <v>742</v>
      </c>
      <c r="N587" s="4" t="s">
        <v>742</v>
      </c>
    </row>
    <row r="588">
      <c r="B588" s="8" t="s">
        <v>742</v>
      </c>
      <c r="C588" s="4" t="s">
        <v>742</v>
      </c>
      <c r="D588" s="4" t="s">
        <v>742</v>
      </c>
      <c r="E588" s="4" t="s">
        <v>742</v>
      </c>
      <c r="F588" s="4" t="s">
        <v>742</v>
      </c>
      <c r="G588" s="4" t="s">
        <v>742</v>
      </c>
      <c r="H588" s="4" t="s">
        <v>742</v>
      </c>
      <c r="I588" s="4" t="s">
        <v>742</v>
      </c>
      <c r="J588" s="4" t="s">
        <v>742</v>
      </c>
      <c r="K588" s="4" t="s">
        <v>742</v>
      </c>
      <c r="L588" s="4" t="s">
        <v>742</v>
      </c>
      <c r="M588" s="4" t="s">
        <v>742</v>
      </c>
      <c r="N588" s="4" t="s">
        <v>742</v>
      </c>
    </row>
    <row r="589">
      <c r="B589" s="8" t="s">
        <v>742</v>
      </c>
      <c r="C589" s="4" t="s">
        <v>742</v>
      </c>
      <c r="D589" s="4" t="s">
        <v>742</v>
      </c>
      <c r="E589" s="4" t="s">
        <v>742</v>
      </c>
      <c r="F589" s="4" t="s">
        <v>742</v>
      </c>
      <c r="G589" s="4" t="s">
        <v>742</v>
      </c>
      <c r="H589" s="4" t="s">
        <v>742</v>
      </c>
      <c r="I589" s="4" t="s">
        <v>742</v>
      </c>
      <c r="J589" s="4" t="s">
        <v>742</v>
      </c>
      <c r="K589" s="4" t="s">
        <v>742</v>
      </c>
      <c r="L589" s="4" t="s">
        <v>742</v>
      </c>
      <c r="M589" s="4" t="s">
        <v>742</v>
      </c>
      <c r="N589" s="4" t="s">
        <v>742</v>
      </c>
    </row>
    <row r="590">
      <c r="B590" s="8" t="s">
        <v>742</v>
      </c>
      <c r="C590" s="4" t="s">
        <v>742</v>
      </c>
      <c r="D590" s="4" t="s">
        <v>742</v>
      </c>
      <c r="E590" s="4" t="s">
        <v>742</v>
      </c>
      <c r="F590" s="4" t="s">
        <v>742</v>
      </c>
      <c r="G590" s="4" t="s">
        <v>742</v>
      </c>
      <c r="H590" s="4" t="s">
        <v>742</v>
      </c>
      <c r="I590" s="4" t="s">
        <v>742</v>
      </c>
      <c r="J590" s="4" t="s">
        <v>742</v>
      </c>
      <c r="K590" s="4" t="s">
        <v>742</v>
      </c>
      <c r="L590" s="4" t="s">
        <v>742</v>
      </c>
      <c r="M590" s="4" t="s">
        <v>742</v>
      </c>
      <c r="N590" s="4" t="s">
        <v>742</v>
      </c>
    </row>
    <row r="591">
      <c r="B591" s="8" t="s">
        <v>742</v>
      </c>
      <c r="C591" s="4" t="s">
        <v>742</v>
      </c>
      <c r="D591" s="4" t="s">
        <v>742</v>
      </c>
      <c r="E591" s="4" t="s">
        <v>742</v>
      </c>
      <c r="F591" s="4" t="s">
        <v>742</v>
      </c>
      <c r="G591" s="4" t="s">
        <v>742</v>
      </c>
      <c r="H591" s="4" t="s">
        <v>742</v>
      </c>
      <c r="I591" s="4" t="s">
        <v>742</v>
      </c>
      <c r="J591" s="4" t="s">
        <v>742</v>
      </c>
      <c r="K591" s="4" t="s">
        <v>742</v>
      </c>
      <c r="L591" s="4" t="s">
        <v>742</v>
      </c>
      <c r="M591" s="4" t="s">
        <v>742</v>
      </c>
      <c r="N591" s="4" t="s">
        <v>742</v>
      </c>
    </row>
    <row r="592">
      <c r="B592" s="8" t="s">
        <v>742</v>
      </c>
      <c r="C592" s="4" t="s">
        <v>742</v>
      </c>
      <c r="D592" s="4" t="s">
        <v>742</v>
      </c>
      <c r="E592" s="4" t="s">
        <v>742</v>
      </c>
      <c r="F592" s="4" t="s">
        <v>742</v>
      </c>
      <c r="G592" s="4" t="s">
        <v>742</v>
      </c>
      <c r="H592" s="4" t="s">
        <v>742</v>
      </c>
      <c r="I592" s="4" t="s">
        <v>742</v>
      </c>
      <c r="J592" s="4" t="s">
        <v>742</v>
      </c>
      <c r="K592" s="4" t="s">
        <v>742</v>
      </c>
      <c r="L592" s="4" t="s">
        <v>742</v>
      </c>
      <c r="M592" s="4" t="s">
        <v>742</v>
      </c>
      <c r="N592" s="4" t="s">
        <v>742</v>
      </c>
    </row>
    <row r="593">
      <c r="B593" s="8" t="s">
        <v>742</v>
      </c>
      <c r="C593" s="4" t="s">
        <v>742</v>
      </c>
      <c r="D593" s="4" t="s">
        <v>742</v>
      </c>
      <c r="E593" s="4" t="s">
        <v>742</v>
      </c>
      <c r="F593" s="4" t="s">
        <v>742</v>
      </c>
      <c r="G593" s="4" t="s">
        <v>742</v>
      </c>
      <c r="H593" s="4" t="s">
        <v>742</v>
      </c>
      <c r="I593" s="4" t="s">
        <v>742</v>
      </c>
      <c r="J593" s="4" t="s">
        <v>742</v>
      </c>
      <c r="K593" s="4" t="s">
        <v>742</v>
      </c>
      <c r="L593" s="4" t="s">
        <v>742</v>
      </c>
      <c r="M593" s="4" t="s">
        <v>742</v>
      </c>
      <c r="N593" s="4" t="s">
        <v>742</v>
      </c>
    </row>
    <row r="594">
      <c r="B594" s="8" t="s">
        <v>742</v>
      </c>
      <c r="C594" s="4" t="s">
        <v>742</v>
      </c>
      <c r="D594" s="4" t="s">
        <v>742</v>
      </c>
      <c r="E594" s="4" t="s">
        <v>742</v>
      </c>
      <c r="F594" s="4" t="s">
        <v>742</v>
      </c>
      <c r="G594" s="4" t="s">
        <v>742</v>
      </c>
      <c r="H594" s="4" t="s">
        <v>742</v>
      </c>
      <c r="I594" s="4" t="s">
        <v>742</v>
      </c>
      <c r="J594" s="4" t="s">
        <v>742</v>
      </c>
      <c r="K594" s="4" t="s">
        <v>742</v>
      </c>
      <c r="L594" s="4" t="s">
        <v>742</v>
      </c>
      <c r="M594" s="4" t="s">
        <v>742</v>
      </c>
      <c r="N594" s="4" t="s">
        <v>742</v>
      </c>
    </row>
    <row r="595">
      <c r="B595" s="8" t="s">
        <v>742</v>
      </c>
      <c r="C595" s="4" t="s">
        <v>742</v>
      </c>
      <c r="D595" s="4" t="s">
        <v>742</v>
      </c>
      <c r="E595" s="4" t="s">
        <v>742</v>
      </c>
      <c r="F595" s="4" t="s">
        <v>742</v>
      </c>
      <c r="G595" s="4" t="s">
        <v>742</v>
      </c>
      <c r="H595" s="4" t="s">
        <v>742</v>
      </c>
      <c r="I595" s="4" t="s">
        <v>742</v>
      </c>
      <c r="J595" s="4" t="s">
        <v>742</v>
      </c>
      <c r="K595" s="4" t="s">
        <v>742</v>
      </c>
      <c r="L595" s="4" t="s">
        <v>742</v>
      </c>
      <c r="M595" s="4" t="s">
        <v>742</v>
      </c>
      <c r="N595" s="4" t="s">
        <v>742</v>
      </c>
    </row>
    <row r="596">
      <c r="B596" s="8" t="s">
        <v>742</v>
      </c>
      <c r="C596" s="4" t="s">
        <v>742</v>
      </c>
      <c r="D596" s="4" t="s">
        <v>742</v>
      </c>
      <c r="E596" s="4" t="s">
        <v>742</v>
      </c>
      <c r="F596" s="4" t="s">
        <v>742</v>
      </c>
      <c r="G596" s="4" t="s">
        <v>742</v>
      </c>
      <c r="H596" s="4" t="s">
        <v>742</v>
      </c>
      <c r="I596" s="4" t="s">
        <v>742</v>
      </c>
      <c r="J596" s="4" t="s">
        <v>742</v>
      </c>
      <c r="K596" s="4" t="s">
        <v>742</v>
      </c>
      <c r="L596" s="4" t="s">
        <v>742</v>
      </c>
      <c r="M596" s="4" t="s">
        <v>742</v>
      </c>
      <c r="N596" s="4" t="s">
        <v>742</v>
      </c>
    </row>
    <row r="597">
      <c r="B597" s="8" t="s">
        <v>742</v>
      </c>
      <c r="C597" s="4" t="s">
        <v>742</v>
      </c>
      <c r="D597" s="4" t="s">
        <v>742</v>
      </c>
      <c r="E597" s="4" t="s">
        <v>742</v>
      </c>
      <c r="F597" s="4" t="s">
        <v>742</v>
      </c>
      <c r="G597" s="4" t="s">
        <v>742</v>
      </c>
      <c r="H597" s="4" t="s">
        <v>742</v>
      </c>
      <c r="I597" s="4" t="s">
        <v>742</v>
      </c>
      <c r="J597" s="4" t="s">
        <v>742</v>
      </c>
      <c r="K597" s="4" t="s">
        <v>742</v>
      </c>
      <c r="L597" s="4" t="s">
        <v>742</v>
      </c>
      <c r="M597" s="4" t="s">
        <v>742</v>
      </c>
      <c r="N597" s="4" t="s">
        <v>742</v>
      </c>
    </row>
    <row r="598">
      <c r="B598" s="8" t="s">
        <v>742</v>
      </c>
      <c r="C598" s="4" t="s">
        <v>742</v>
      </c>
      <c r="D598" s="4" t="s">
        <v>742</v>
      </c>
      <c r="E598" s="4" t="s">
        <v>742</v>
      </c>
      <c r="F598" s="4" t="s">
        <v>742</v>
      </c>
      <c r="G598" s="4" t="s">
        <v>742</v>
      </c>
      <c r="H598" s="4" t="s">
        <v>742</v>
      </c>
      <c r="I598" s="4" t="s">
        <v>742</v>
      </c>
      <c r="J598" s="4" t="s">
        <v>742</v>
      </c>
      <c r="K598" s="4" t="s">
        <v>742</v>
      </c>
      <c r="L598" s="4" t="s">
        <v>742</v>
      </c>
      <c r="M598" s="4" t="s">
        <v>742</v>
      </c>
      <c r="N598" s="4" t="s">
        <v>742</v>
      </c>
    </row>
    <row r="599">
      <c r="B599" s="8" t="s">
        <v>742</v>
      </c>
      <c r="C599" s="4" t="s">
        <v>742</v>
      </c>
      <c r="D599" s="4" t="s">
        <v>742</v>
      </c>
      <c r="E599" s="4" t="s">
        <v>742</v>
      </c>
      <c r="F599" s="4" t="s">
        <v>742</v>
      </c>
      <c r="G599" s="4" t="s">
        <v>742</v>
      </c>
      <c r="H599" s="4" t="s">
        <v>742</v>
      </c>
      <c r="I599" s="4" t="s">
        <v>742</v>
      </c>
      <c r="J599" s="4" t="s">
        <v>742</v>
      </c>
      <c r="K599" s="4" t="s">
        <v>742</v>
      </c>
      <c r="L599" s="4" t="s">
        <v>742</v>
      </c>
      <c r="M599" s="4" t="s">
        <v>742</v>
      </c>
      <c r="N599" s="4" t="s">
        <v>742</v>
      </c>
    </row>
    <row r="600">
      <c r="B600" s="8" t="s">
        <v>742</v>
      </c>
      <c r="C600" s="4" t="s">
        <v>742</v>
      </c>
      <c r="D600" s="4" t="s">
        <v>742</v>
      </c>
      <c r="E600" s="4" t="s">
        <v>742</v>
      </c>
      <c r="F600" s="4" t="s">
        <v>742</v>
      </c>
      <c r="G600" s="4" t="s">
        <v>742</v>
      </c>
      <c r="H600" s="4" t="s">
        <v>742</v>
      </c>
      <c r="I600" s="4" t="s">
        <v>742</v>
      </c>
      <c r="J600" s="4" t="s">
        <v>742</v>
      </c>
      <c r="K600" s="4" t="s">
        <v>742</v>
      </c>
      <c r="L600" s="4" t="s">
        <v>742</v>
      </c>
      <c r="M600" s="4" t="s">
        <v>742</v>
      </c>
      <c r="N600" s="4" t="s">
        <v>742</v>
      </c>
    </row>
    <row r="601">
      <c r="B601" s="8" t="s">
        <v>742</v>
      </c>
      <c r="C601" s="4" t="s">
        <v>742</v>
      </c>
      <c r="D601" s="4" t="s">
        <v>742</v>
      </c>
      <c r="E601" s="4" t="s">
        <v>742</v>
      </c>
      <c r="F601" s="4" t="s">
        <v>742</v>
      </c>
      <c r="G601" s="4" t="s">
        <v>742</v>
      </c>
      <c r="H601" s="4" t="s">
        <v>742</v>
      </c>
      <c r="I601" s="4" t="s">
        <v>742</v>
      </c>
      <c r="J601" s="4" t="s">
        <v>742</v>
      </c>
      <c r="K601" s="4" t="s">
        <v>742</v>
      </c>
      <c r="L601" s="4" t="s">
        <v>742</v>
      </c>
      <c r="M601" s="4" t="s">
        <v>742</v>
      </c>
      <c r="N601" s="4" t="s">
        <v>742</v>
      </c>
    </row>
    <row r="602">
      <c r="B602" s="8" t="s">
        <v>742</v>
      </c>
      <c r="C602" s="4" t="s">
        <v>742</v>
      </c>
      <c r="D602" s="4" t="s">
        <v>742</v>
      </c>
      <c r="E602" s="4" t="s">
        <v>742</v>
      </c>
      <c r="F602" s="4" t="s">
        <v>742</v>
      </c>
      <c r="G602" s="4" t="s">
        <v>742</v>
      </c>
      <c r="H602" s="4" t="s">
        <v>742</v>
      </c>
      <c r="I602" s="4" t="s">
        <v>742</v>
      </c>
      <c r="J602" s="4" t="s">
        <v>742</v>
      </c>
      <c r="K602" s="4" t="s">
        <v>742</v>
      </c>
      <c r="L602" s="4" t="s">
        <v>742</v>
      </c>
      <c r="M602" s="4" t="s">
        <v>742</v>
      </c>
      <c r="N602" s="4" t="s">
        <v>742</v>
      </c>
    </row>
    <row r="603">
      <c r="B603" s="8" t="s">
        <v>742</v>
      </c>
      <c r="C603" s="4" t="s">
        <v>742</v>
      </c>
      <c r="D603" s="4" t="s">
        <v>742</v>
      </c>
      <c r="E603" s="4" t="s">
        <v>742</v>
      </c>
      <c r="F603" s="4" t="s">
        <v>742</v>
      </c>
      <c r="G603" s="4" t="s">
        <v>742</v>
      </c>
      <c r="H603" s="4" t="s">
        <v>742</v>
      </c>
      <c r="I603" s="4" t="s">
        <v>742</v>
      </c>
      <c r="J603" s="4" t="s">
        <v>742</v>
      </c>
      <c r="K603" s="4" t="s">
        <v>742</v>
      </c>
      <c r="L603" s="4" t="s">
        <v>742</v>
      </c>
      <c r="M603" s="4" t="s">
        <v>742</v>
      </c>
      <c r="N603" s="4" t="s">
        <v>742</v>
      </c>
    </row>
    <row r="604">
      <c r="B604" s="8" t="s">
        <v>742</v>
      </c>
      <c r="C604" s="4" t="s">
        <v>742</v>
      </c>
      <c r="D604" s="4" t="s">
        <v>742</v>
      </c>
      <c r="E604" s="4" t="s">
        <v>742</v>
      </c>
      <c r="F604" s="4" t="s">
        <v>742</v>
      </c>
      <c r="G604" s="4" t="s">
        <v>742</v>
      </c>
      <c r="H604" s="4" t="s">
        <v>742</v>
      </c>
      <c r="I604" s="4" t="s">
        <v>742</v>
      </c>
      <c r="J604" s="4" t="s">
        <v>742</v>
      </c>
      <c r="K604" s="4" t="s">
        <v>742</v>
      </c>
      <c r="L604" s="4" t="s">
        <v>742</v>
      </c>
      <c r="M604" s="4" t="s">
        <v>742</v>
      </c>
      <c r="N604" s="4" t="s">
        <v>742</v>
      </c>
    </row>
    <row r="605">
      <c r="B605" s="8" t="s">
        <v>742</v>
      </c>
      <c r="C605" s="4" t="s">
        <v>742</v>
      </c>
      <c r="D605" s="4" t="s">
        <v>742</v>
      </c>
      <c r="E605" s="4" t="s">
        <v>742</v>
      </c>
      <c r="F605" s="4" t="s">
        <v>742</v>
      </c>
      <c r="G605" s="4" t="s">
        <v>742</v>
      </c>
      <c r="H605" s="4" t="s">
        <v>742</v>
      </c>
      <c r="I605" s="4" t="s">
        <v>742</v>
      </c>
      <c r="J605" s="4" t="s">
        <v>742</v>
      </c>
      <c r="K605" s="4" t="s">
        <v>742</v>
      </c>
      <c r="L605" s="4" t="s">
        <v>742</v>
      </c>
      <c r="M605" s="4" t="s">
        <v>742</v>
      </c>
      <c r="N605" s="4" t="s">
        <v>742</v>
      </c>
    </row>
    <row r="606">
      <c r="B606" s="8" t="s">
        <v>742</v>
      </c>
      <c r="C606" s="4" t="s">
        <v>742</v>
      </c>
      <c r="D606" s="4" t="s">
        <v>742</v>
      </c>
      <c r="E606" s="4" t="s">
        <v>742</v>
      </c>
      <c r="F606" s="4" t="s">
        <v>742</v>
      </c>
      <c r="G606" s="4" t="s">
        <v>742</v>
      </c>
      <c r="H606" s="4" t="s">
        <v>742</v>
      </c>
      <c r="I606" s="4" t="s">
        <v>742</v>
      </c>
      <c r="J606" s="4" t="s">
        <v>742</v>
      </c>
      <c r="K606" s="4" t="s">
        <v>742</v>
      </c>
      <c r="L606" s="4" t="s">
        <v>742</v>
      </c>
      <c r="M606" s="4" t="s">
        <v>742</v>
      </c>
      <c r="N606" s="4" t="s">
        <v>742</v>
      </c>
    </row>
    <row r="607">
      <c r="B607" s="8" t="s">
        <v>742</v>
      </c>
      <c r="C607" s="4" t="s">
        <v>742</v>
      </c>
      <c r="D607" s="4" t="s">
        <v>742</v>
      </c>
      <c r="E607" s="4" t="s">
        <v>742</v>
      </c>
      <c r="F607" s="4" t="s">
        <v>742</v>
      </c>
      <c r="G607" s="4" t="s">
        <v>742</v>
      </c>
      <c r="H607" s="4" t="s">
        <v>742</v>
      </c>
      <c r="I607" s="4" t="s">
        <v>742</v>
      </c>
      <c r="J607" s="4" t="s">
        <v>742</v>
      </c>
      <c r="K607" s="4" t="s">
        <v>742</v>
      </c>
      <c r="L607" s="4" t="s">
        <v>742</v>
      </c>
      <c r="M607" s="4" t="s">
        <v>742</v>
      </c>
      <c r="N607" s="4" t="s">
        <v>742</v>
      </c>
    </row>
    <row r="608">
      <c r="B608" s="8" t="s">
        <v>742</v>
      </c>
      <c r="C608" s="4" t="s">
        <v>742</v>
      </c>
      <c r="D608" s="4" t="s">
        <v>742</v>
      </c>
      <c r="E608" s="4" t="s">
        <v>742</v>
      </c>
      <c r="F608" s="4" t="s">
        <v>742</v>
      </c>
      <c r="G608" s="4" t="s">
        <v>742</v>
      </c>
      <c r="H608" s="4" t="s">
        <v>742</v>
      </c>
      <c r="I608" s="4" t="s">
        <v>742</v>
      </c>
      <c r="J608" s="4" t="s">
        <v>742</v>
      </c>
      <c r="K608" s="4" t="s">
        <v>742</v>
      </c>
      <c r="L608" s="4" t="s">
        <v>742</v>
      </c>
      <c r="M608" s="4" t="s">
        <v>742</v>
      </c>
      <c r="N608" s="4" t="s">
        <v>742</v>
      </c>
    </row>
    <row r="609">
      <c r="B609" s="8" t="s">
        <v>742</v>
      </c>
      <c r="C609" s="4" t="s">
        <v>742</v>
      </c>
      <c r="D609" s="4" t="s">
        <v>742</v>
      </c>
      <c r="E609" s="4" t="s">
        <v>742</v>
      </c>
      <c r="F609" s="4" t="s">
        <v>742</v>
      </c>
      <c r="G609" s="4" t="s">
        <v>742</v>
      </c>
      <c r="H609" s="4" t="s">
        <v>742</v>
      </c>
      <c r="I609" s="4" t="s">
        <v>742</v>
      </c>
      <c r="J609" s="4" t="s">
        <v>742</v>
      </c>
      <c r="K609" s="4" t="s">
        <v>742</v>
      </c>
      <c r="L609" s="4" t="s">
        <v>742</v>
      </c>
      <c r="M609" s="4" t="s">
        <v>742</v>
      </c>
      <c r="N609" s="4" t="s">
        <v>742</v>
      </c>
    </row>
    <row r="610">
      <c r="B610" s="8" t="s">
        <v>742</v>
      </c>
      <c r="C610" s="4" t="s">
        <v>742</v>
      </c>
      <c r="D610" s="4" t="s">
        <v>742</v>
      </c>
      <c r="E610" s="4" t="s">
        <v>742</v>
      </c>
      <c r="F610" s="4" t="s">
        <v>742</v>
      </c>
      <c r="G610" s="4" t="s">
        <v>742</v>
      </c>
      <c r="H610" s="4" t="s">
        <v>742</v>
      </c>
      <c r="I610" s="4" t="s">
        <v>742</v>
      </c>
      <c r="J610" s="4" t="s">
        <v>742</v>
      </c>
      <c r="K610" s="4" t="s">
        <v>742</v>
      </c>
      <c r="L610" s="4" t="s">
        <v>742</v>
      </c>
      <c r="M610" s="4" t="s">
        <v>742</v>
      </c>
      <c r="N610" s="4" t="s">
        <v>742</v>
      </c>
    </row>
    <row r="611">
      <c r="B611" s="8" t="s">
        <v>742</v>
      </c>
      <c r="C611" s="4" t="s">
        <v>742</v>
      </c>
      <c r="D611" s="4" t="s">
        <v>742</v>
      </c>
      <c r="E611" s="4" t="s">
        <v>742</v>
      </c>
      <c r="F611" s="4" t="s">
        <v>742</v>
      </c>
      <c r="G611" s="4" t="s">
        <v>742</v>
      </c>
      <c r="H611" s="4" t="s">
        <v>742</v>
      </c>
      <c r="I611" s="4" t="s">
        <v>742</v>
      </c>
      <c r="J611" s="4" t="s">
        <v>742</v>
      </c>
      <c r="K611" s="4" t="s">
        <v>742</v>
      </c>
      <c r="L611" s="4" t="s">
        <v>742</v>
      </c>
      <c r="M611" s="4" t="s">
        <v>742</v>
      </c>
      <c r="N611" s="4" t="s">
        <v>742</v>
      </c>
    </row>
    <row r="612">
      <c r="B612" s="8" t="s">
        <v>742</v>
      </c>
      <c r="C612" s="4" t="s">
        <v>742</v>
      </c>
      <c r="D612" s="4" t="s">
        <v>742</v>
      </c>
      <c r="E612" s="4" t="s">
        <v>742</v>
      </c>
      <c r="F612" s="4" t="s">
        <v>742</v>
      </c>
      <c r="G612" s="4" t="s">
        <v>742</v>
      </c>
      <c r="H612" s="4" t="s">
        <v>742</v>
      </c>
      <c r="I612" s="4" t="s">
        <v>742</v>
      </c>
      <c r="J612" s="4" t="s">
        <v>742</v>
      </c>
      <c r="K612" s="4" t="s">
        <v>742</v>
      </c>
      <c r="L612" s="4" t="s">
        <v>742</v>
      </c>
      <c r="M612" s="4" t="s">
        <v>742</v>
      </c>
      <c r="N612" s="4" t="s">
        <v>742</v>
      </c>
    </row>
    <row r="613">
      <c r="B613" s="8" t="s">
        <v>742</v>
      </c>
      <c r="C613" s="4" t="s">
        <v>742</v>
      </c>
      <c r="D613" s="4" t="s">
        <v>742</v>
      </c>
      <c r="E613" s="4" t="s">
        <v>742</v>
      </c>
      <c r="F613" s="4" t="s">
        <v>742</v>
      </c>
      <c r="G613" s="4" t="s">
        <v>742</v>
      </c>
      <c r="H613" s="4" t="s">
        <v>742</v>
      </c>
      <c r="I613" s="4" t="s">
        <v>742</v>
      </c>
      <c r="J613" s="4" t="s">
        <v>742</v>
      </c>
      <c r="K613" s="4" t="s">
        <v>742</v>
      </c>
      <c r="L613" s="4" t="s">
        <v>742</v>
      </c>
      <c r="M613" s="4" t="s">
        <v>742</v>
      </c>
      <c r="N613" s="4" t="s">
        <v>742</v>
      </c>
    </row>
    <row r="614">
      <c r="B614" s="8" t="s">
        <v>742</v>
      </c>
      <c r="C614" s="4" t="s">
        <v>742</v>
      </c>
      <c r="D614" s="4" t="s">
        <v>742</v>
      </c>
      <c r="E614" s="4" t="s">
        <v>742</v>
      </c>
      <c r="F614" s="4" t="s">
        <v>742</v>
      </c>
      <c r="G614" s="4" t="s">
        <v>742</v>
      </c>
      <c r="H614" s="4" t="s">
        <v>742</v>
      </c>
      <c r="I614" s="4" t="s">
        <v>742</v>
      </c>
      <c r="J614" s="4" t="s">
        <v>742</v>
      </c>
      <c r="K614" s="4" t="s">
        <v>742</v>
      </c>
      <c r="L614" s="4" t="s">
        <v>742</v>
      </c>
      <c r="M614" s="4" t="s">
        <v>742</v>
      </c>
      <c r="N614" s="4" t="s">
        <v>742</v>
      </c>
    </row>
    <row r="615">
      <c r="B615" s="8" t="s">
        <v>742</v>
      </c>
      <c r="C615" s="4" t="s">
        <v>742</v>
      </c>
      <c r="D615" s="4" t="s">
        <v>742</v>
      </c>
      <c r="E615" s="4" t="s">
        <v>742</v>
      </c>
      <c r="F615" s="4" t="s">
        <v>742</v>
      </c>
      <c r="G615" s="4" t="s">
        <v>742</v>
      </c>
      <c r="H615" s="4" t="s">
        <v>742</v>
      </c>
      <c r="I615" s="4" t="s">
        <v>742</v>
      </c>
      <c r="J615" s="4" t="s">
        <v>742</v>
      </c>
      <c r="K615" s="4" t="s">
        <v>742</v>
      </c>
      <c r="L615" s="4" t="s">
        <v>742</v>
      </c>
      <c r="M615" s="4" t="s">
        <v>742</v>
      </c>
      <c r="N615" s="4" t="s">
        <v>742</v>
      </c>
    </row>
    <row r="616">
      <c r="B616" s="8" t="s">
        <v>742</v>
      </c>
      <c r="C616" s="4" t="s">
        <v>742</v>
      </c>
      <c r="D616" s="4" t="s">
        <v>742</v>
      </c>
      <c r="E616" s="4" t="s">
        <v>742</v>
      </c>
      <c r="F616" s="4" t="s">
        <v>742</v>
      </c>
      <c r="G616" s="4" t="s">
        <v>742</v>
      </c>
      <c r="H616" s="4" t="s">
        <v>742</v>
      </c>
      <c r="I616" s="4" t="s">
        <v>742</v>
      </c>
      <c r="J616" s="4" t="s">
        <v>742</v>
      </c>
      <c r="K616" s="4" t="s">
        <v>742</v>
      </c>
      <c r="L616" s="4" t="s">
        <v>742</v>
      </c>
      <c r="M616" s="4" t="s">
        <v>742</v>
      </c>
      <c r="N616" s="4" t="s">
        <v>742</v>
      </c>
    </row>
    <row r="617">
      <c r="B617" s="8" t="s">
        <v>742</v>
      </c>
      <c r="C617" s="4" t="s">
        <v>742</v>
      </c>
      <c r="D617" s="4" t="s">
        <v>742</v>
      </c>
      <c r="E617" s="4" t="s">
        <v>742</v>
      </c>
      <c r="F617" s="4" t="s">
        <v>742</v>
      </c>
      <c r="G617" s="4" t="s">
        <v>742</v>
      </c>
      <c r="H617" s="4" t="s">
        <v>742</v>
      </c>
      <c r="I617" s="4" t="s">
        <v>742</v>
      </c>
      <c r="J617" s="4" t="s">
        <v>742</v>
      </c>
      <c r="K617" s="4" t="s">
        <v>742</v>
      </c>
      <c r="L617" s="4" t="s">
        <v>742</v>
      </c>
      <c r="M617" s="4" t="s">
        <v>742</v>
      </c>
      <c r="N617" s="4" t="s">
        <v>742</v>
      </c>
    </row>
    <row r="618">
      <c r="B618" s="8" t="s">
        <v>742</v>
      </c>
      <c r="C618" s="4" t="s">
        <v>742</v>
      </c>
      <c r="D618" s="4" t="s">
        <v>742</v>
      </c>
      <c r="E618" s="4" t="s">
        <v>742</v>
      </c>
      <c r="F618" s="4" t="s">
        <v>742</v>
      </c>
      <c r="G618" s="4" t="s">
        <v>742</v>
      </c>
      <c r="H618" s="4" t="s">
        <v>742</v>
      </c>
      <c r="I618" s="4" t="s">
        <v>742</v>
      </c>
      <c r="J618" s="4" t="s">
        <v>742</v>
      </c>
      <c r="K618" s="4" t="s">
        <v>742</v>
      </c>
      <c r="L618" s="4" t="s">
        <v>742</v>
      </c>
      <c r="M618" s="4" t="s">
        <v>742</v>
      </c>
      <c r="N618" s="4" t="s">
        <v>742</v>
      </c>
    </row>
    <row r="619">
      <c r="B619" s="8" t="s">
        <v>742</v>
      </c>
      <c r="C619" s="4" t="s">
        <v>742</v>
      </c>
      <c r="D619" s="4" t="s">
        <v>742</v>
      </c>
      <c r="E619" s="4" t="s">
        <v>742</v>
      </c>
      <c r="F619" s="4" t="s">
        <v>742</v>
      </c>
      <c r="G619" s="4" t="s">
        <v>742</v>
      </c>
      <c r="H619" s="4" t="s">
        <v>742</v>
      </c>
      <c r="I619" s="4" t="s">
        <v>742</v>
      </c>
      <c r="J619" s="4" t="s">
        <v>742</v>
      </c>
      <c r="K619" s="4" t="s">
        <v>742</v>
      </c>
      <c r="L619" s="4" t="s">
        <v>742</v>
      </c>
      <c r="M619" s="4" t="s">
        <v>742</v>
      </c>
      <c r="N619" s="4" t="s">
        <v>742</v>
      </c>
    </row>
    <row r="620">
      <c r="B620" s="8" t="s">
        <v>742</v>
      </c>
      <c r="C620" s="4" t="s">
        <v>742</v>
      </c>
      <c r="D620" s="4" t="s">
        <v>742</v>
      </c>
      <c r="E620" s="4" t="s">
        <v>742</v>
      </c>
      <c r="F620" s="4" t="s">
        <v>742</v>
      </c>
      <c r="G620" s="4" t="s">
        <v>742</v>
      </c>
      <c r="H620" s="4" t="s">
        <v>742</v>
      </c>
      <c r="I620" s="4" t="s">
        <v>742</v>
      </c>
      <c r="J620" s="4" t="s">
        <v>742</v>
      </c>
      <c r="K620" s="4" t="s">
        <v>742</v>
      </c>
      <c r="L620" s="4" t="s">
        <v>742</v>
      </c>
      <c r="M620" s="4" t="s">
        <v>742</v>
      </c>
      <c r="N620" s="4" t="s">
        <v>742</v>
      </c>
    </row>
    <row r="621">
      <c r="B621" s="8" t="s">
        <v>742</v>
      </c>
      <c r="C621" s="4" t="s">
        <v>742</v>
      </c>
      <c r="D621" s="4" t="s">
        <v>742</v>
      </c>
      <c r="E621" s="4" t="s">
        <v>742</v>
      </c>
      <c r="F621" s="4" t="s">
        <v>742</v>
      </c>
      <c r="G621" s="4" t="s">
        <v>742</v>
      </c>
      <c r="H621" s="4" t="s">
        <v>742</v>
      </c>
      <c r="I621" s="4" t="s">
        <v>742</v>
      </c>
      <c r="J621" s="4" t="s">
        <v>742</v>
      </c>
      <c r="K621" s="4" t="s">
        <v>742</v>
      </c>
      <c r="L621" s="4" t="s">
        <v>742</v>
      </c>
      <c r="M621" s="4" t="s">
        <v>742</v>
      </c>
      <c r="N621" s="4" t="s">
        <v>742</v>
      </c>
    </row>
    <row r="622">
      <c r="B622" s="8" t="s">
        <v>742</v>
      </c>
      <c r="C622" s="4" t="s">
        <v>742</v>
      </c>
      <c r="D622" s="4" t="s">
        <v>742</v>
      </c>
      <c r="E622" s="4" t="s">
        <v>742</v>
      </c>
      <c r="F622" s="4" t="s">
        <v>742</v>
      </c>
      <c r="G622" s="4" t="s">
        <v>742</v>
      </c>
      <c r="H622" s="4" t="s">
        <v>742</v>
      </c>
      <c r="I622" s="4" t="s">
        <v>742</v>
      </c>
      <c r="J622" s="4" t="s">
        <v>742</v>
      </c>
      <c r="K622" s="4" t="s">
        <v>742</v>
      </c>
      <c r="L622" s="4" t="s">
        <v>742</v>
      </c>
      <c r="M622" s="4" t="s">
        <v>742</v>
      </c>
      <c r="N622" s="4" t="s">
        <v>742</v>
      </c>
    </row>
    <row r="623">
      <c r="B623" s="8" t="s">
        <v>742</v>
      </c>
      <c r="C623" s="4" t="s">
        <v>742</v>
      </c>
      <c r="D623" s="4" t="s">
        <v>742</v>
      </c>
      <c r="E623" s="4" t="s">
        <v>742</v>
      </c>
      <c r="F623" s="4" t="s">
        <v>742</v>
      </c>
      <c r="G623" s="4" t="s">
        <v>742</v>
      </c>
      <c r="H623" s="4" t="s">
        <v>742</v>
      </c>
      <c r="I623" s="4" t="s">
        <v>742</v>
      </c>
      <c r="J623" s="4" t="s">
        <v>742</v>
      </c>
      <c r="K623" s="4" t="s">
        <v>742</v>
      </c>
      <c r="L623" s="4" t="s">
        <v>742</v>
      </c>
      <c r="M623" s="4" t="s">
        <v>742</v>
      </c>
      <c r="N623" s="4" t="s">
        <v>742</v>
      </c>
    </row>
    <row r="624">
      <c r="B624" s="8" t="s">
        <v>742</v>
      </c>
      <c r="C624" s="4" t="s">
        <v>742</v>
      </c>
      <c r="D624" s="4" t="s">
        <v>742</v>
      </c>
      <c r="E624" s="4" t="s">
        <v>742</v>
      </c>
      <c r="F624" s="4" t="s">
        <v>742</v>
      </c>
      <c r="G624" s="4" t="s">
        <v>742</v>
      </c>
      <c r="H624" s="4" t="s">
        <v>742</v>
      </c>
      <c r="I624" s="4" t="s">
        <v>742</v>
      </c>
      <c r="J624" s="4" t="s">
        <v>742</v>
      </c>
      <c r="K624" s="4" t="s">
        <v>742</v>
      </c>
      <c r="L624" s="4" t="s">
        <v>742</v>
      </c>
      <c r="M624" s="4" t="s">
        <v>742</v>
      </c>
      <c r="N624" s="4" t="s">
        <v>742</v>
      </c>
    </row>
    <row r="625">
      <c r="B625" s="8" t="s">
        <v>742</v>
      </c>
      <c r="C625" s="4" t="s">
        <v>742</v>
      </c>
      <c r="D625" s="4" t="s">
        <v>742</v>
      </c>
      <c r="E625" s="4" t="s">
        <v>742</v>
      </c>
      <c r="F625" s="4" t="s">
        <v>742</v>
      </c>
      <c r="G625" s="4" t="s">
        <v>742</v>
      </c>
      <c r="H625" s="4" t="s">
        <v>742</v>
      </c>
      <c r="I625" s="4" t="s">
        <v>742</v>
      </c>
      <c r="J625" s="4" t="s">
        <v>742</v>
      </c>
      <c r="K625" s="4" t="s">
        <v>742</v>
      </c>
      <c r="L625" s="4" t="s">
        <v>742</v>
      </c>
      <c r="M625" s="4" t="s">
        <v>742</v>
      </c>
      <c r="N625" s="4" t="s">
        <v>742</v>
      </c>
    </row>
    <row r="626">
      <c r="B626" s="8" t="s">
        <v>742</v>
      </c>
      <c r="C626" s="4" t="s">
        <v>742</v>
      </c>
      <c r="D626" s="4" t="s">
        <v>742</v>
      </c>
      <c r="E626" s="4" t="s">
        <v>742</v>
      </c>
      <c r="F626" s="4" t="s">
        <v>742</v>
      </c>
      <c r="G626" s="4" t="s">
        <v>742</v>
      </c>
      <c r="H626" s="4" t="s">
        <v>742</v>
      </c>
      <c r="I626" s="4" t="s">
        <v>742</v>
      </c>
      <c r="J626" s="4" t="s">
        <v>742</v>
      </c>
      <c r="K626" s="4" t="s">
        <v>742</v>
      </c>
      <c r="L626" s="4" t="s">
        <v>742</v>
      </c>
      <c r="M626" s="4" t="s">
        <v>742</v>
      </c>
      <c r="N626" s="4" t="s">
        <v>742</v>
      </c>
    </row>
    <row r="627">
      <c r="B627" s="8" t="s">
        <v>742</v>
      </c>
      <c r="C627" s="4" t="s">
        <v>742</v>
      </c>
      <c r="D627" s="4" t="s">
        <v>742</v>
      </c>
      <c r="E627" s="4" t="s">
        <v>742</v>
      </c>
      <c r="F627" s="4" t="s">
        <v>742</v>
      </c>
      <c r="G627" s="4" t="s">
        <v>742</v>
      </c>
      <c r="H627" s="4" t="s">
        <v>742</v>
      </c>
      <c r="I627" s="4" t="s">
        <v>742</v>
      </c>
      <c r="J627" s="4" t="s">
        <v>742</v>
      </c>
      <c r="K627" s="4" t="s">
        <v>742</v>
      </c>
      <c r="L627" s="4" t="s">
        <v>742</v>
      </c>
      <c r="M627" s="4" t="s">
        <v>742</v>
      </c>
      <c r="N627" s="4" t="s">
        <v>742</v>
      </c>
    </row>
    <row r="628">
      <c r="B628" s="8" t="s">
        <v>742</v>
      </c>
      <c r="C628" s="4" t="s">
        <v>742</v>
      </c>
      <c r="D628" s="4" t="s">
        <v>742</v>
      </c>
      <c r="E628" s="4" t="s">
        <v>742</v>
      </c>
      <c r="F628" s="4" t="s">
        <v>742</v>
      </c>
      <c r="G628" s="4" t="s">
        <v>742</v>
      </c>
      <c r="H628" s="4" t="s">
        <v>742</v>
      </c>
      <c r="I628" s="4" t="s">
        <v>742</v>
      </c>
      <c r="J628" s="4" t="s">
        <v>742</v>
      </c>
      <c r="K628" s="4" t="s">
        <v>742</v>
      </c>
      <c r="L628" s="4" t="s">
        <v>742</v>
      </c>
      <c r="M628" s="4" t="s">
        <v>742</v>
      </c>
      <c r="N628" s="4" t="s">
        <v>742</v>
      </c>
    </row>
    <row r="629">
      <c r="B629" s="8" t="s">
        <v>742</v>
      </c>
      <c r="C629" s="4" t="s">
        <v>742</v>
      </c>
      <c r="D629" s="4" t="s">
        <v>742</v>
      </c>
      <c r="E629" s="4" t="s">
        <v>742</v>
      </c>
      <c r="F629" s="4" t="s">
        <v>742</v>
      </c>
      <c r="G629" s="4" t="s">
        <v>742</v>
      </c>
      <c r="H629" s="4" t="s">
        <v>742</v>
      </c>
      <c r="I629" s="4" t="s">
        <v>742</v>
      </c>
      <c r="J629" s="4" t="s">
        <v>742</v>
      </c>
      <c r="K629" s="4" t="s">
        <v>742</v>
      </c>
      <c r="L629" s="4" t="s">
        <v>742</v>
      </c>
      <c r="M629" s="4" t="s">
        <v>742</v>
      </c>
      <c r="N629" s="4" t="s">
        <v>742</v>
      </c>
    </row>
    <row r="630">
      <c r="B630" s="8" t="s">
        <v>742</v>
      </c>
      <c r="C630" s="4" t="s">
        <v>742</v>
      </c>
      <c r="D630" s="4" t="s">
        <v>742</v>
      </c>
      <c r="E630" s="4" t="s">
        <v>742</v>
      </c>
      <c r="F630" s="4" t="s">
        <v>742</v>
      </c>
      <c r="G630" s="4" t="s">
        <v>742</v>
      </c>
      <c r="H630" s="4" t="s">
        <v>742</v>
      </c>
      <c r="I630" s="4" t="s">
        <v>742</v>
      </c>
      <c r="J630" s="4" t="s">
        <v>742</v>
      </c>
      <c r="K630" s="4" t="s">
        <v>742</v>
      </c>
      <c r="L630" s="4" t="s">
        <v>742</v>
      </c>
      <c r="M630" s="4" t="s">
        <v>742</v>
      </c>
      <c r="N630" s="4" t="s">
        <v>742</v>
      </c>
    </row>
    <row r="631">
      <c r="B631" s="8" t="s">
        <v>742</v>
      </c>
      <c r="C631" s="4" t="s">
        <v>742</v>
      </c>
      <c r="D631" s="4" t="s">
        <v>742</v>
      </c>
      <c r="E631" s="4" t="s">
        <v>742</v>
      </c>
      <c r="F631" s="4" t="s">
        <v>742</v>
      </c>
      <c r="G631" s="4" t="s">
        <v>742</v>
      </c>
      <c r="H631" s="4" t="s">
        <v>742</v>
      </c>
      <c r="I631" s="4" t="s">
        <v>742</v>
      </c>
      <c r="J631" s="4" t="s">
        <v>742</v>
      </c>
      <c r="K631" s="4" t="s">
        <v>742</v>
      </c>
      <c r="L631" s="4" t="s">
        <v>742</v>
      </c>
      <c r="M631" s="4" t="s">
        <v>742</v>
      </c>
      <c r="N631" s="4" t="s">
        <v>742</v>
      </c>
    </row>
    <row r="632">
      <c r="B632" s="8" t="s">
        <v>742</v>
      </c>
      <c r="C632" s="4" t="s">
        <v>742</v>
      </c>
      <c r="D632" s="4" t="s">
        <v>742</v>
      </c>
      <c r="E632" s="4" t="s">
        <v>742</v>
      </c>
      <c r="F632" s="4" t="s">
        <v>742</v>
      </c>
      <c r="G632" s="4" t="s">
        <v>742</v>
      </c>
      <c r="H632" s="4" t="s">
        <v>742</v>
      </c>
      <c r="I632" s="4" t="s">
        <v>742</v>
      </c>
      <c r="J632" s="4" t="s">
        <v>742</v>
      </c>
      <c r="K632" s="4" t="s">
        <v>742</v>
      </c>
      <c r="L632" s="4" t="s">
        <v>742</v>
      </c>
      <c r="M632" s="4" t="s">
        <v>742</v>
      </c>
      <c r="N632" s="4" t="s">
        <v>742</v>
      </c>
    </row>
    <row r="633">
      <c r="B633" s="8" t="s">
        <v>742</v>
      </c>
      <c r="C633" s="4" t="s">
        <v>742</v>
      </c>
      <c r="D633" s="4" t="s">
        <v>742</v>
      </c>
      <c r="E633" s="4" t="s">
        <v>742</v>
      </c>
      <c r="F633" s="4" t="s">
        <v>742</v>
      </c>
      <c r="G633" s="4" t="s">
        <v>742</v>
      </c>
      <c r="H633" s="4" t="s">
        <v>742</v>
      </c>
      <c r="I633" s="4" t="s">
        <v>742</v>
      </c>
      <c r="J633" s="4" t="s">
        <v>742</v>
      </c>
      <c r="K633" s="4" t="s">
        <v>742</v>
      </c>
      <c r="L633" s="4" t="s">
        <v>742</v>
      </c>
      <c r="M633" s="4" t="s">
        <v>742</v>
      </c>
      <c r="N633" s="4" t="s">
        <v>742</v>
      </c>
    </row>
    <row r="634">
      <c r="B634" s="8" t="s">
        <v>742</v>
      </c>
      <c r="C634" s="4" t="s">
        <v>742</v>
      </c>
      <c r="D634" s="4" t="s">
        <v>742</v>
      </c>
      <c r="E634" s="4" t="s">
        <v>742</v>
      </c>
      <c r="F634" s="4" t="s">
        <v>742</v>
      </c>
      <c r="G634" s="4" t="s">
        <v>742</v>
      </c>
      <c r="H634" s="4" t="s">
        <v>742</v>
      </c>
      <c r="I634" s="4" t="s">
        <v>742</v>
      </c>
      <c r="J634" s="4" t="s">
        <v>742</v>
      </c>
      <c r="K634" s="4" t="s">
        <v>742</v>
      </c>
      <c r="L634" s="4" t="s">
        <v>742</v>
      </c>
      <c r="M634" s="4" t="s">
        <v>742</v>
      </c>
      <c r="N634" s="4" t="s">
        <v>742</v>
      </c>
    </row>
    <row r="635">
      <c r="B635" s="8" t="s">
        <v>742</v>
      </c>
      <c r="C635" s="4" t="s">
        <v>742</v>
      </c>
      <c r="D635" s="4" t="s">
        <v>742</v>
      </c>
      <c r="E635" s="4" t="s">
        <v>742</v>
      </c>
      <c r="F635" s="4" t="s">
        <v>742</v>
      </c>
      <c r="G635" s="4" t="s">
        <v>742</v>
      </c>
      <c r="H635" s="4" t="s">
        <v>742</v>
      </c>
      <c r="I635" s="4" t="s">
        <v>742</v>
      </c>
      <c r="J635" s="4" t="s">
        <v>742</v>
      </c>
      <c r="K635" s="4" t="s">
        <v>742</v>
      </c>
      <c r="L635" s="4" t="s">
        <v>742</v>
      </c>
      <c r="M635" s="4" t="s">
        <v>742</v>
      </c>
      <c r="N635" s="4" t="s">
        <v>742</v>
      </c>
    </row>
    <row r="636">
      <c r="B636" s="8" t="s">
        <v>742</v>
      </c>
      <c r="C636" s="4" t="s">
        <v>742</v>
      </c>
      <c r="D636" s="4" t="s">
        <v>742</v>
      </c>
      <c r="E636" s="4" t="s">
        <v>742</v>
      </c>
      <c r="F636" s="4" t="s">
        <v>742</v>
      </c>
      <c r="G636" s="4" t="s">
        <v>742</v>
      </c>
      <c r="H636" s="4" t="s">
        <v>742</v>
      </c>
      <c r="I636" s="4" t="s">
        <v>742</v>
      </c>
      <c r="J636" s="4" t="s">
        <v>742</v>
      </c>
      <c r="K636" s="4" t="s">
        <v>742</v>
      </c>
      <c r="L636" s="4" t="s">
        <v>742</v>
      </c>
      <c r="M636" s="4" t="s">
        <v>742</v>
      </c>
      <c r="N636" s="4" t="s">
        <v>742</v>
      </c>
    </row>
    <row r="637">
      <c r="B637" s="8" t="s">
        <v>742</v>
      </c>
      <c r="C637" s="4" t="s">
        <v>742</v>
      </c>
      <c r="D637" s="4" t="s">
        <v>742</v>
      </c>
      <c r="E637" s="4" t="s">
        <v>742</v>
      </c>
      <c r="F637" s="4" t="s">
        <v>742</v>
      </c>
      <c r="G637" s="4" t="s">
        <v>742</v>
      </c>
      <c r="H637" s="4" t="s">
        <v>742</v>
      </c>
      <c r="I637" s="4" t="s">
        <v>742</v>
      </c>
      <c r="J637" s="4" t="s">
        <v>742</v>
      </c>
      <c r="K637" s="4" t="s">
        <v>742</v>
      </c>
      <c r="L637" s="4" t="s">
        <v>742</v>
      </c>
      <c r="M637" s="4" t="s">
        <v>742</v>
      </c>
      <c r="N637" s="4" t="s">
        <v>742</v>
      </c>
    </row>
    <row r="638">
      <c r="B638" s="8" t="s">
        <v>742</v>
      </c>
      <c r="C638" s="4" t="s">
        <v>742</v>
      </c>
      <c r="D638" s="4" t="s">
        <v>742</v>
      </c>
      <c r="E638" s="4" t="s">
        <v>742</v>
      </c>
      <c r="F638" s="4" t="s">
        <v>742</v>
      </c>
      <c r="G638" s="4" t="s">
        <v>742</v>
      </c>
      <c r="H638" s="4" t="s">
        <v>742</v>
      </c>
      <c r="I638" s="4" t="s">
        <v>742</v>
      </c>
      <c r="J638" s="4" t="s">
        <v>742</v>
      </c>
      <c r="K638" s="4" t="s">
        <v>742</v>
      </c>
      <c r="L638" s="4" t="s">
        <v>742</v>
      </c>
      <c r="M638" s="4" t="s">
        <v>742</v>
      </c>
      <c r="N638" s="4" t="s">
        <v>742</v>
      </c>
    </row>
    <row r="639">
      <c r="B639" s="8" t="s">
        <v>742</v>
      </c>
      <c r="C639" s="4" t="s">
        <v>742</v>
      </c>
      <c r="D639" s="4" t="s">
        <v>742</v>
      </c>
      <c r="E639" s="4" t="s">
        <v>742</v>
      </c>
      <c r="F639" s="4" t="s">
        <v>742</v>
      </c>
      <c r="G639" s="4" t="s">
        <v>742</v>
      </c>
      <c r="H639" s="4" t="s">
        <v>742</v>
      </c>
      <c r="I639" s="4" t="s">
        <v>742</v>
      </c>
      <c r="J639" s="4" t="s">
        <v>742</v>
      </c>
      <c r="K639" s="4" t="s">
        <v>742</v>
      </c>
      <c r="L639" s="4" t="s">
        <v>742</v>
      </c>
      <c r="M639" s="4" t="s">
        <v>742</v>
      </c>
      <c r="N639" s="4" t="s">
        <v>742</v>
      </c>
    </row>
    <row r="640">
      <c r="B640" s="8" t="s">
        <v>742</v>
      </c>
      <c r="C640" s="4" t="s">
        <v>742</v>
      </c>
      <c r="D640" s="4" t="s">
        <v>742</v>
      </c>
      <c r="E640" s="4" t="s">
        <v>742</v>
      </c>
      <c r="F640" s="4" t="s">
        <v>742</v>
      </c>
      <c r="G640" s="4" t="s">
        <v>742</v>
      </c>
      <c r="H640" s="4" t="s">
        <v>742</v>
      </c>
      <c r="I640" s="4" t="s">
        <v>742</v>
      </c>
      <c r="J640" s="4" t="s">
        <v>742</v>
      </c>
      <c r="K640" s="4" t="s">
        <v>742</v>
      </c>
      <c r="L640" s="4" t="s">
        <v>742</v>
      </c>
      <c r="M640" s="4" t="s">
        <v>742</v>
      </c>
      <c r="N640" s="4" t="s">
        <v>742</v>
      </c>
    </row>
    <row r="641">
      <c r="B641" s="8" t="s">
        <v>742</v>
      </c>
      <c r="C641" s="4" t="s">
        <v>742</v>
      </c>
      <c r="D641" s="4" t="s">
        <v>742</v>
      </c>
      <c r="E641" s="4" t="s">
        <v>742</v>
      </c>
      <c r="F641" s="4" t="s">
        <v>742</v>
      </c>
      <c r="G641" s="4" t="s">
        <v>742</v>
      </c>
      <c r="H641" s="4" t="s">
        <v>742</v>
      </c>
      <c r="I641" s="4" t="s">
        <v>742</v>
      </c>
      <c r="J641" s="4" t="s">
        <v>742</v>
      </c>
      <c r="K641" s="4" t="s">
        <v>742</v>
      </c>
      <c r="L641" s="4" t="s">
        <v>742</v>
      </c>
      <c r="M641" s="4" t="s">
        <v>742</v>
      </c>
      <c r="N641" s="4" t="s">
        <v>742</v>
      </c>
    </row>
    <row r="642">
      <c r="B642" s="8" t="s">
        <v>742</v>
      </c>
      <c r="C642" s="4" t="s">
        <v>742</v>
      </c>
      <c r="D642" s="4" t="s">
        <v>742</v>
      </c>
      <c r="E642" s="4" t="s">
        <v>742</v>
      </c>
      <c r="F642" s="4" t="s">
        <v>742</v>
      </c>
      <c r="G642" s="4" t="s">
        <v>742</v>
      </c>
      <c r="H642" s="4" t="s">
        <v>742</v>
      </c>
      <c r="I642" s="4" t="s">
        <v>742</v>
      </c>
      <c r="J642" s="4" t="s">
        <v>742</v>
      </c>
      <c r="K642" s="4" t="s">
        <v>742</v>
      </c>
      <c r="L642" s="4" t="s">
        <v>742</v>
      </c>
      <c r="M642" s="4" t="s">
        <v>742</v>
      </c>
      <c r="N642" s="4" t="s">
        <v>742</v>
      </c>
    </row>
    <row r="643">
      <c r="B643" s="8" t="s">
        <v>742</v>
      </c>
      <c r="C643" s="4" t="s">
        <v>742</v>
      </c>
      <c r="D643" s="4" t="s">
        <v>742</v>
      </c>
      <c r="E643" s="4" t="s">
        <v>742</v>
      </c>
      <c r="F643" s="4" t="s">
        <v>742</v>
      </c>
      <c r="G643" s="4" t="s">
        <v>742</v>
      </c>
      <c r="H643" s="4" t="s">
        <v>742</v>
      </c>
      <c r="I643" s="4" t="s">
        <v>742</v>
      </c>
      <c r="J643" s="4" t="s">
        <v>742</v>
      </c>
      <c r="K643" s="4" t="s">
        <v>742</v>
      </c>
      <c r="L643" s="4" t="s">
        <v>742</v>
      </c>
      <c r="M643" s="4" t="s">
        <v>742</v>
      </c>
      <c r="N643" s="4" t="s">
        <v>742</v>
      </c>
    </row>
    <row r="644">
      <c r="B644" s="8" t="s">
        <v>742</v>
      </c>
      <c r="C644" s="4" t="s">
        <v>742</v>
      </c>
      <c r="D644" s="4" t="s">
        <v>742</v>
      </c>
      <c r="E644" s="4" t="s">
        <v>742</v>
      </c>
      <c r="F644" s="4" t="s">
        <v>742</v>
      </c>
      <c r="G644" s="4" t="s">
        <v>742</v>
      </c>
      <c r="H644" s="4" t="s">
        <v>742</v>
      </c>
      <c r="I644" s="4" t="s">
        <v>742</v>
      </c>
      <c r="J644" s="4" t="s">
        <v>742</v>
      </c>
      <c r="K644" s="4" t="s">
        <v>742</v>
      </c>
      <c r="L644" s="4" t="s">
        <v>742</v>
      </c>
      <c r="M644" s="4" t="s">
        <v>742</v>
      </c>
      <c r="N644" s="4" t="s">
        <v>742</v>
      </c>
    </row>
    <row r="645">
      <c r="B645" s="8" t="s">
        <v>742</v>
      </c>
      <c r="C645" s="4" t="s">
        <v>742</v>
      </c>
      <c r="D645" s="4" t="s">
        <v>742</v>
      </c>
      <c r="E645" s="4" t="s">
        <v>742</v>
      </c>
      <c r="F645" s="4" t="s">
        <v>742</v>
      </c>
      <c r="G645" s="4" t="s">
        <v>742</v>
      </c>
      <c r="H645" s="4" t="s">
        <v>742</v>
      </c>
      <c r="I645" s="4" t="s">
        <v>742</v>
      </c>
      <c r="J645" s="4" t="s">
        <v>742</v>
      </c>
      <c r="K645" s="4" t="s">
        <v>742</v>
      </c>
      <c r="L645" s="4" t="s">
        <v>742</v>
      </c>
      <c r="M645" s="4" t="s">
        <v>742</v>
      </c>
      <c r="N645" s="4" t="s">
        <v>742</v>
      </c>
    </row>
    <row r="646">
      <c r="B646" s="8" t="s">
        <v>742</v>
      </c>
      <c r="C646" s="4" t="s">
        <v>742</v>
      </c>
      <c r="D646" s="4" t="s">
        <v>742</v>
      </c>
      <c r="E646" s="4" t="s">
        <v>742</v>
      </c>
      <c r="F646" s="4" t="s">
        <v>742</v>
      </c>
      <c r="G646" s="4" t="s">
        <v>742</v>
      </c>
      <c r="H646" s="4" t="s">
        <v>742</v>
      </c>
      <c r="I646" s="4" t="s">
        <v>742</v>
      </c>
      <c r="J646" s="4" t="s">
        <v>742</v>
      </c>
      <c r="K646" s="4" t="s">
        <v>742</v>
      </c>
      <c r="L646" s="4" t="s">
        <v>742</v>
      </c>
      <c r="M646" s="4" t="s">
        <v>742</v>
      </c>
      <c r="N646" s="4" t="s">
        <v>742</v>
      </c>
    </row>
    <row r="647">
      <c r="B647" s="8" t="s">
        <v>742</v>
      </c>
      <c r="C647" s="4" t="s">
        <v>742</v>
      </c>
      <c r="D647" s="4" t="s">
        <v>742</v>
      </c>
      <c r="E647" s="4" t="s">
        <v>742</v>
      </c>
      <c r="F647" s="4" t="s">
        <v>742</v>
      </c>
      <c r="G647" s="4" t="s">
        <v>742</v>
      </c>
      <c r="H647" s="4" t="s">
        <v>742</v>
      </c>
      <c r="I647" s="4" t="s">
        <v>742</v>
      </c>
      <c r="J647" s="4" t="s">
        <v>742</v>
      </c>
      <c r="K647" s="4" t="s">
        <v>742</v>
      </c>
      <c r="L647" s="4" t="s">
        <v>742</v>
      </c>
      <c r="M647" s="4" t="s">
        <v>742</v>
      </c>
      <c r="N647" s="4" t="s">
        <v>742</v>
      </c>
    </row>
    <row r="648">
      <c r="B648" s="8" t="s">
        <v>742</v>
      </c>
      <c r="C648" s="4" t="s">
        <v>742</v>
      </c>
      <c r="D648" s="4" t="s">
        <v>742</v>
      </c>
      <c r="E648" s="4" t="s">
        <v>742</v>
      </c>
      <c r="F648" s="4" t="s">
        <v>742</v>
      </c>
      <c r="G648" s="4" t="s">
        <v>742</v>
      </c>
      <c r="H648" s="4" t="s">
        <v>742</v>
      </c>
      <c r="I648" s="4" t="s">
        <v>742</v>
      </c>
      <c r="J648" s="4" t="s">
        <v>742</v>
      </c>
      <c r="K648" s="4" t="s">
        <v>742</v>
      </c>
      <c r="L648" s="4" t="s">
        <v>742</v>
      </c>
      <c r="M648" s="4" t="s">
        <v>742</v>
      </c>
      <c r="N648" s="4" t="s">
        <v>742</v>
      </c>
    </row>
    <row r="649">
      <c r="B649" s="8" t="s">
        <v>742</v>
      </c>
      <c r="C649" s="4" t="s">
        <v>742</v>
      </c>
      <c r="D649" s="4" t="s">
        <v>742</v>
      </c>
      <c r="E649" s="4" t="s">
        <v>742</v>
      </c>
      <c r="F649" s="4" t="s">
        <v>742</v>
      </c>
      <c r="G649" s="4" t="s">
        <v>742</v>
      </c>
      <c r="H649" s="4" t="s">
        <v>742</v>
      </c>
      <c r="I649" s="4" t="s">
        <v>742</v>
      </c>
      <c r="J649" s="4" t="s">
        <v>742</v>
      </c>
      <c r="K649" s="4" t="s">
        <v>742</v>
      </c>
      <c r="L649" s="4" t="s">
        <v>742</v>
      </c>
      <c r="M649" s="4" t="s">
        <v>742</v>
      </c>
      <c r="N649" s="4" t="s">
        <v>742</v>
      </c>
    </row>
    <row r="650">
      <c r="B650" s="8" t="s">
        <v>742</v>
      </c>
      <c r="C650" s="4" t="s">
        <v>742</v>
      </c>
      <c r="D650" s="4" t="s">
        <v>742</v>
      </c>
      <c r="E650" s="4" t="s">
        <v>742</v>
      </c>
      <c r="F650" s="4" t="s">
        <v>742</v>
      </c>
      <c r="G650" s="4" t="s">
        <v>742</v>
      </c>
      <c r="H650" s="4" t="s">
        <v>742</v>
      </c>
      <c r="I650" s="4" t="s">
        <v>742</v>
      </c>
      <c r="J650" s="4" t="s">
        <v>742</v>
      </c>
      <c r="K650" s="4" t="s">
        <v>742</v>
      </c>
      <c r="L650" s="4" t="s">
        <v>742</v>
      </c>
      <c r="M650" s="4" t="s">
        <v>742</v>
      </c>
      <c r="N650" s="4" t="s">
        <v>742</v>
      </c>
    </row>
    <row r="651">
      <c r="B651" s="8" t="s">
        <v>742</v>
      </c>
      <c r="C651" s="4" t="s">
        <v>742</v>
      </c>
      <c r="D651" s="4" t="s">
        <v>742</v>
      </c>
      <c r="E651" s="4" t="s">
        <v>742</v>
      </c>
      <c r="F651" s="4" t="s">
        <v>742</v>
      </c>
      <c r="G651" s="4" t="s">
        <v>742</v>
      </c>
      <c r="H651" s="4" t="s">
        <v>742</v>
      </c>
      <c r="I651" s="4" t="s">
        <v>742</v>
      </c>
      <c r="J651" s="4" t="s">
        <v>742</v>
      </c>
      <c r="K651" s="4" t="s">
        <v>742</v>
      </c>
      <c r="L651" s="4" t="s">
        <v>742</v>
      </c>
      <c r="M651" s="4" t="s">
        <v>742</v>
      </c>
      <c r="N651" s="4" t="s">
        <v>742</v>
      </c>
    </row>
    <row r="652">
      <c r="B652" s="8" t="s">
        <v>742</v>
      </c>
      <c r="C652" s="4" t="s">
        <v>742</v>
      </c>
      <c r="D652" s="4" t="s">
        <v>742</v>
      </c>
      <c r="E652" s="4" t="s">
        <v>742</v>
      </c>
      <c r="F652" s="4" t="s">
        <v>742</v>
      </c>
      <c r="G652" s="4" t="s">
        <v>742</v>
      </c>
      <c r="H652" s="4" t="s">
        <v>742</v>
      </c>
      <c r="I652" s="4" t="s">
        <v>742</v>
      </c>
      <c r="J652" s="4" t="s">
        <v>742</v>
      </c>
      <c r="K652" s="4" t="s">
        <v>742</v>
      </c>
      <c r="L652" s="4" t="s">
        <v>742</v>
      </c>
      <c r="M652" s="4" t="s">
        <v>742</v>
      </c>
      <c r="N652" s="4" t="s">
        <v>742</v>
      </c>
    </row>
    <row r="653">
      <c r="B653" s="8" t="s">
        <v>742</v>
      </c>
      <c r="C653" s="4" t="s">
        <v>742</v>
      </c>
      <c r="D653" s="4" t="s">
        <v>742</v>
      </c>
      <c r="E653" s="4" t="s">
        <v>742</v>
      </c>
      <c r="F653" s="4" t="s">
        <v>742</v>
      </c>
      <c r="G653" s="4" t="s">
        <v>742</v>
      </c>
      <c r="H653" s="4" t="s">
        <v>742</v>
      </c>
      <c r="I653" s="4" t="s">
        <v>742</v>
      </c>
      <c r="J653" s="4" t="s">
        <v>742</v>
      </c>
      <c r="K653" s="4" t="s">
        <v>742</v>
      </c>
      <c r="L653" s="4" t="s">
        <v>742</v>
      </c>
      <c r="M653" s="4" t="s">
        <v>742</v>
      </c>
      <c r="N653" s="4" t="s">
        <v>742</v>
      </c>
    </row>
    <row r="654">
      <c r="B654" s="8" t="s">
        <v>742</v>
      </c>
      <c r="C654" s="4" t="s">
        <v>742</v>
      </c>
      <c r="D654" s="4" t="s">
        <v>742</v>
      </c>
      <c r="E654" s="4" t="s">
        <v>742</v>
      </c>
      <c r="F654" s="4" t="s">
        <v>742</v>
      </c>
      <c r="G654" s="4" t="s">
        <v>742</v>
      </c>
      <c r="H654" s="4" t="s">
        <v>742</v>
      </c>
      <c r="I654" s="4" t="s">
        <v>742</v>
      </c>
      <c r="J654" s="4" t="s">
        <v>742</v>
      </c>
      <c r="K654" s="4" t="s">
        <v>742</v>
      </c>
      <c r="L654" s="4" t="s">
        <v>742</v>
      </c>
      <c r="M654" s="4" t="s">
        <v>742</v>
      </c>
      <c r="N654" s="4" t="s">
        <v>742</v>
      </c>
    </row>
    <row r="655">
      <c r="B655" s="8" t="s">
        <v>742</v>
      </c>
      <c r="C655" s="4" t="s">
        <v>742</v>
      </c>
      <c r="D655" s="4" t="s">
        <v>742</v>
      </c>
      <c r="E655" s="4" t="s">
        <v>742</v>
      </c>
      <c r="F655" s="4" t="s">
        <v>742</v>
      </c>
      <c r="G655" s="4" t="s">
        <v>742</v>
      </c>
      <c r="H655" s="4" t="s">
        <v>742</v>
      </c>
      <c r="I655" s="4" t="s">
        <v>742</v>
      </c>
      <c r="J655" s="4" t="s">
        <v>742</v>
      </c>
      <c r="K655" s="4" t="s">
        <v>742</v>
      </c>
      <c r="L655" s="4" t="s">
        <v>742</v>
      </c>
      <c r="M655" s="4" t="s">
        <v>742</v>
      </c>
      <c r="N655" s="4" t="s">
        <v>742</v>
      </c>
    </row>
    <row r="656">
      <c r="B656" s="8" t="s">
        <v>742</v>
      </c>
      <c r="C656" s="4" t="s">
        <v>742</v>
      </c>
      <c r="D656" s="4" t="s">
        <v>742</v>
      </c>
      <c r="E656" s="4" t="s">
        <v>742</v>
      </c>
      <c r="F656" s="4" t="s">
        <v>742</v>
      </c>
      <c r="G656" s="4" t="s">
        <v>742</v>
      </c>
      <c r="H656" s="4" t="s">
        <v>742</v>
      </c>
      <c r="I656" s="4" t="s">
        <v>742</v>
      </c>
      <c r="J656" s="4" t="s">
        <v>742</v>
      </c>
      <c r="K656" s="4" t="s">
        <v>742</v>
      </c>
      <c r="L656" s="4" t="s">
        <v>742</v>
      </c>
      <c r="M656" s="4" t="s">
        <v>742</v>
      </c>
      <c r="N656" s="4" t="s">
        <v>742</v>
      </c>
    </row>
    <row r="657">
      <c r="B657" s="8" t="s">
        <v>742</v>
      </c>
      <c r="C657" s="4" t="s">
        <v>742</v>
      </c>
      <c r="D657" s="4" t="s">
        <v>742</v>
      </c>
      <c r="E657" s="4" t="s">
        <v>742</v>
      </c>
      <c r="F657" s="4" t="s">
        <v>742</v>
      </c>
      <c r="G657" s="4" t="s">
        <v>742</v>
      </c>
      <c r="H657" s="4" t="s">
        <v>742</v>
      </c>
      <c r="I657" s="4" t="s">
        <v>742</v>
      </c>
      <c r="J657" s="4" t="s">
        <v>742</v>
      </c>
      <c r="K657" s="4" t="s">
        <v>742</v>
      </c>
      <c r="L657" s="4" t="s">
        <v>742</v>
      </c>
      <c r="M657" s="4" t="s">
        <v>742</v>
      </c>
      <c r="N657" s="4" t="s">
        <v>742</v>
      </c>
    </row>
    <row r="658">
      <c r="B658" s="8" t="s">
        <v>742</v>
      </c>
      <c r="C658" s="4" t="s">
        <v>742</v>
      </c>
      <c r="D658" s="4" t="s">
        <v>742</v>
      </c>
      <c r="E658" s="4" t="s">
        <v>742</v>
      </c>
      <c r="F658" s="4" t="s">
        <v>742</v>
      </c>
      <c r="G658" s="4" t="s">
        <v>742</v>
      </c>
      <c r="H658" s="4" t="s">
        <v>742</v>
      </c>
      <c r="I658" s="4" t="s">
        <v>742</v>
      </c>
      <c r="J658" s="4" t="s">
        <v>742</v>
      </c>
      <c r="K658" s="4" t="s">
        <v>742</v>
      </c>
      <c r="L658" s="4" t="s">
        <v>742</v>
      </c>
      <c r="M658" s="4" t="s">
        <v>742</v>
      </c>
      <c r="N658" s="4" t="s">
        <v>742</v>
      </c>
    </row>
    <row r="659">
      <c r="B659" s="8" t="s">
        <v>742</v>
      </c>
      <c r="C659" s="4" t="s">
        <v>742</v>
      </c>
      <c r="D659" s="4" t="s">
        <v>742</v>
      </c>
      <c r="E659" s="4" t="s">
        <v>742</v>
      </c>
      <c r="F659" s="4" t="s">
        <v>742</v>
      </c>
      <c r="G659" s="4" t="s">
        <v>742</v>
      </c>
      <c r="H659" s="4" t="s">
        <v>742</v>
      </c>
      <c r="I659" s="4" t="s">
        <v>742</v>
      </c>
      <c r="J659" s="4" t="s">
        <v>742</v>
      </c>
      <c r="K659" s="4" t="s">
        <v>742</v>
      </c>
      <c r="L659" s="4" t="s">
        <v>742</v>
      </c>
      <c r="M659" s="4" t="s">
        <v>742</v>
      </c>
      <c r="N659" s="4" t="s">
        <v>742</v>
      </c>
    </row>
    <row r="660">
      <c r="B660" s="8" t="s">
        <v>742</v>
      </c>
      <c r="C660" s="4" t="s">
        <v>742</v>
      </c>
      <c r="D660" s="4" t="s">
        <v>742</v>
      </c>
      <c r="E660" s="4" t="s">
        <v>742</v>
      </c>
      <c r="F660" s="4" t="s">
        <v>742</v>
      </c>
      <c r="G660" s="4" t="s">
        <v>742</v>
      </c>
      <c r="H660" s="4" t="s">
        <v>742</v>
      </c>
      <c r="I660" s="4" t="s">
        <v>742</v>
      </c>
      <c r="J660" s="4" t="s">
        <v>742</v>
      </c>
      <c r="K660" s="4" t="s">
        <v>742</v>
      </c>
      <c r="L660" s="4" t="s">
        <v>742</v>
      </c>
      <c r="M660" s="4" t="s">
        <v>742</v>
      </c>
      <c r="N660" s="4" t="s">
        <v>742</v>
      </c>
    </row>
    <row r="661">
      <c r="B661" s="8" t="s">
        <v>742</v>
      </c>
      <c r="C661" s="4" t="s">
        <v>742</v>
      </c>
      <c r="D661" s="4" t="s">
        <v>742</v>
      </c>
      <c r="E661" s="4" t="s">
        <v>742</v>
      </c>
      <c r="F661" s="4" t="s">
        <v>742</v>
      </c>
      <c r="G661" s="4" t="s">
        <v>742</v>
      </c>
      <c r="H661" s="4" t="s">
        <v>742</v>
      </c>
      <c r="I661" s="4" t="s">
        <v>742</v>
      </c>
      <c r="J661" s="4" t="s">
        <v>742</v>
      </c>
      <c r="K661" s="4" t="s">
        <v>742</v>
      </c>
      <c r="L661" s="4" t="s">
        <v>742</v>
      </c>
      <c r="M661" s="4" t="s">
        <v>742</v>
      </c>
      <c r="N661" s="4" t="s">
        <v>742</v>
      </c>
    </row>
    <row r="662">
      <c r="B662" s="8" t="s">
        <v>742</v>
      </c>
      <c r="C662" s="4" t="s">
        <v>742</v>
      </c>
      <c r="D662" s="4" t="s">
        <v>742</v>
      </c>
      <c r="E662" s="4" t="s">
        <v>742</v>
      </c>
      <c r="F662" s="4" t="s">
        <v>742</v>
      </c>
      <c r="G662" s="4" t="s">
        <v>742</v>
      </c>
      <c r="H662" s="4" t="s">
        <v>742</v>
      </c>
      <c r="I662" s="4" t="s">
        <v>742</v>
      </c>
      <c r="J662" s="4" t="s">
        <v>742</v>
      </c>
      <c r="K662" s="4" t="s">
        <v>742</v>
      </c>
      <c r="L662" s="4" t="s">
        <v>742</v>
      </c>
      <c r="M662" s="4" t="s">
        <v>742</v>
      </c>
      <c r="N662" s="4" t="s">
        <v>742</v>
      </c>
    </row>
    <row r="663">
      <c r="B663" s="8" t="s">
        <v>742</v>
      </c>
      <c r="C663" s="4" t="s">
        <v>742</v>
      </c>
      <c r="D663" s="4" t="s">
        <v>742</v>
      </c>
      <c r="E663" s="4" t="s">
        <v>742</v>
      </c>
      <c r="F663" s="4" t="s">
        <v>742</v>
      </c>
      <c r="G663" s="4" t="s">
        <v>742</v>
      </c>
      <c r="H663" s="4" t="s">
        <v>742</v>
      </c>
      <c r="I663" s="4" t="s">
        <v>742</v>
      </c>
      <c r="J663" s="4" t="s">
        <v>742</v>
      </c>
      <c r="K663" s="4" t="s">
        <v>742</v>
      </c>
      <c r="L663" s="4" t="s">
        <v>742</v>
      </c>
      <c r="M663" s="4" t="s">
        <v>742</v>
      </c>
      <c r="N663" s="4" t="s">
        <v>742</v>
      </c>
    </row>
    <row r="664">
      <c r="B664" s="8" t="s">
        <v>742</v>
      </c>
      <c r="C664" s="4" t="s">
        <v>742</v>
      </c>
      <c r="D664" s="4" t="s">
        <v>742</v>
      </c>
      <c r="E664" s="4" t="s">
        <v>742</v>
      </c>
      <c r="F664" s="4" t="s">
        <v>742</v>
      </c>
      <c r="G664" s="4" t="s">
        <v>742</v>
      </c>
      <c r="H664" s="4" t="s">
        <v>742</v>
      </c>
      <c r="I664" s="4" t="s">
        <v>742</v>
      </c>
      <c r="J664" s="4" t="s">
        <v>742</v>
      </c>
      <c r="K664" s="4" t="s">
        <v>742</v>
      </c>
      <c r="L664" s="4" t="s">
        <v>742</v>
      </c>
      <c r="M664" s="4" t="s">
        <v>742</v>
      </c>
      <c r="N664" s="4" t="s">
        <v>742</v>
      </c>
    </row>
    <row r="665">
      <c r="B665" s="8" t="s">
        <v>742</v>
      </c>
      <c r="C665" s="4" t="s">
        <v>742</v>
      </c>
      <c r="D665" s="4" t="s">
        <v>742</v>
      </c>
      <c r="E665" s="4" t="s">
        <v>742</v>
      </c>
      <c r="F665" s="4" t="s">
        <v>742</v>
      </c>
      <c r="G665" s="4" t="s">
        <v>742</v>
      </c>
      <c r="H665" s="4" t="s">
        <v>742</v>
      </c>
      <c r="I665" s="4" t="s">
        <v>742</v>
      </c>
      <c r="J665" s="4" t="s">
        <v>742</v>
      </c>
      <c r="K665" s="4" t="s">
        <v>742</v>
      </c>
      <c r="L665" s="4" t="s">
        <v>742</v>
      </c>
      <c r="M665" s="4" t="s">
        <v>742</v>
      </c>
      <c r="N665" s="4" t="s">
        <v>742</v>
      </c>
    </row>
    <row r="666">
      <c r="B666" s="8" t="s">
        <v>742</v>
      </c>
      <c r="C666" s="4" t="s">
        <v>742</v>
      </c>
      <c r="D666" s="4" t="s">
        <v>742</v>
      </c>
      <c r="E666" s="4" t="s">
        <v>742</v>
      </c>
      <c r="F666" s="4" t="s">
        <v>742</v>
      </c>
      <c r="G666" s="4" t="s">
        <v>742</v>
      </c>
      <c r="H666" s="4" t="s">
        <v>742</v>
      </c>
      <c r="I666" s="4" t="s">
        <v>742</v>
      </c>
      <c r="J666" s="4" t="s">
        <v>742</v>
      </c>
      <c r="K666" s="4" t="s">
        <v>742</v>
      </c>
      <c r="L666" s="4" t="s">
        <v>742</v>
      </c>
      <c r="M666" s="4" t="s">
        <v>742</v>
      </c>
      <c r="N666" s="4" t="s">
        <v>742</v>
      </c>
    </row>
    <row r="667">
      <c r="B667" s="8" t="s">
        <v>742</v>
      </c>
      <c r="C667" s="4" t="s">
        <v>742</v>
      </c>
      <c r="D667" s="4" t="s">
        <v>742</v>
      </c>
      <c r="E667" s="4" t="s">
        <v>742</v>
      </c>
      <c r="F667" s="4" t="s">
        <v>742</v>
      </c>
      <c r="G667" s="4" t="s">
        <v>742</v>
      </c>
      <c r="H667" s="4" t="s">
        <v>742</v>
      </c>
      <c r="I667" s="4" t="s">
        <v>742</v>
      </c>
      <c r="J667" s="4" t="s">
        <v>742</v>
      </c>
      <c r="K667" s="4" t="s">
        <v>742</v>
      </c>
      <c r="L667" s="4" t="s">
        <v>742</v>
      </c>
      <c r="M667" s="4" t="s">
        <v>742</v>
      </c>
      <c r="N667" s="4" t="s">
        <v>742</v>
      </c>
    </row>
    <row r="668">
      <c r="B668" s="8" t="s">
        <v>742</v>
      </c>
      <c r="C668" s="4" t="s">
        <v>742</v>
      </c>
      <c r="D668" s="4" t="s">
        <v>742</v>
      </c>
      <c r="E668" s="4" t="s">
        <v>742</v>
      </c>
      <c r="F668" s="4" t="s">
        <v>742</v>
      </c>
      <c r="G668" s="4" t="s">
        <v>742</v>
      </c>
      <c r="H668" s="4" t="s">
        <v>742</v>
      </c>
      <c r="I668" s="4" t="s">
        <v>742</v>
      </c>
      <c r="J668" s="4" t="s">
        <v>742</v>
      </c>
      <c r="K668" s="4" t="s">
        <v>742</v>
      </c>
      <c r="L668" s="4" t="s">
        <v>742</v>
      </c>
      <c r="M668" s="4" t="s">
        <v>742</v>
      </c>
      <c r="N668" s="4" t="s">
        <v>742</v>
      </c>
    </row>
    <row r="669">
      <c r="B669" s="8" t="s">
        <v>742</v>
      </c>
      <c r="C669" s="4" t="s">
        <v>742</v>
      </c>
      <c r="D669" s="4" t="s">
        <v>742</v>
      </c>
      <c r="E669" s="4" t="s">
        <v>742</v>
      </c>
      <c r="F669" s="4" t="s">
        <v>742</v>
      </c>
      <c r="G669" s="4" t="s">
        <v>742</v>
      </c>
      <c r="H669" s="4" t="s">
        <v>742</v>
      </c>
      <c r="I669" s="4" t="s">
        <v>742</v>
      </c>
      <c r="J669" s="4" t="s">
        <v>742</v>
      </c>
      <c r="K669" s="4" t="s">
        <v>742</v>
      </c>
      <c r="L669" s="4" t="s">
        <v>742</v>
      </c>
      <c r="M669" s="4" t="s">
        <v>742</v>
      </c>
      <c r="N669" s="4" t="s">
        <v>742</v>
      </c>
    </row>
    <row r="670">
      <c r="B670" s="8" t="s">
        <v>742</v>
      </c>
      <c r="C670" s="4" t="s">
        <v>742</v>
      </c>
      <c r="D670" s="4" t="s">
        <v>742</v>
      </c>
      <c r="E670" s="4" t="s">
        <v>742</v>
      </c>
      <c r="F670" s="4" t="s">
        <v>742</v>
      </c>
      <c r="G670" s="4" t="s">
        <v>742</v>
      </c>
      <c r="H670" s="4" t="s">
        <v>742</v>
      </c>
      <c r="I670" s="4" t="s">
        <v>742</v>
      </c>
      <c r="J670" s="4" t="s">
        <v>742</v>
      </c>
      <c r="K670" s="4" t="s">
        <v>742</v>
      </c>
      <c r="L670" s="4" t="s">
        <v>742</v>
      </c>
      <c r="M670" s="4" t="s">
        <v>742</v>
      </c>
      <c r="N670" s="4" t="s">
        <v>742</v>
      </c>
    </row>
    <row r="671">
      <c r="B671" s="8" t="s">
        <v>742</v>
      </c>
      <c r="C671" s="4" t="s">
        <v>742</v>
      </c>
      <c r="D671" s="4" t="s">
        <v>742</v>
      </c>
      <c r="E671" s="4" t="s">
        <v>742</v>
      </c>
      <c r="F671" s="4" t="s">
        <v>742</v>
      </c>
      <c r="G671" s="4" t="s">
        <v>742</v>
      </c>
      <c r="H671" s="4" t="s">
        <v>742</v>
      </c>
      <c r="I671" s="4" t="s">
        <v>742</v>
      </c>
      <c r="J671" s="4" t="s">
        <v>742</v>
      </c>
      <c r="K671" s="4" t="s">
        <v>742</v>
      </c>
      <c r="L671" s="4" t="s">
        <v>742</v>
      </c>
      <c r="M671" s="4" t="s">
        <v>742</v>
      </c>
      <c r="N671" s="4" t="s">
        <v>742</v>
      </c>
    </row>
    <row r="672">
      <c r="B672" s="8" t="s">
        <v>742</v>
      </c>
      <c r="C672" s="4" t="s">
        <v>742</v>
      </c>
      <c r="D672" s="4" t="s">
        <v>742</v>
      </c>
      <c r="E672" s="4" t="s">
        <v>742</v>
      </c>
      <c r="F672" s="4" t="s">
        <v>742</v>
      </c>
      <c r="G672" s="4" t="s">
        <v>742</v>
      </c>
      <c r="H672" s="4" t="s">
        <v>742</v>
      </c>
      <c r="I672" s="4" t="s">
        <v>742</v>
      </c>
      <c r="J672" s="4" t="s">
        <v>742</v>
      </c>
      <c r="K672" s="4" t="s">
        <v>742</v>
      </c>
      <c r="L672" s="4" t="s">
        <v>742</v>
      </c>
      <c r="M672" s="4" t="s">
        <v>742</v>
      </c>
      <c r="N672" s="4" t="s">
        <v>742</v>
      </c>
    </row>
    <row r="673">
      <c r="B673" s="8" t="s">
        <v>742</v>
      </c>
      <c r="C673" s="4" t="s">
        <v>742</v>
      </c>
      <c r="D673" s="4" t="s">
        <v>742</v>
      </c>
      <c r="E673" s="4" t="s">
        <v>742</v>
      </c>
      <c r="F673" s="4" t="s">
        <v>742</v>
      </c>
      <c r="G673" s="4" t="s">
        <v>742</v>
      </c>
      <c r="H673" s="4" t="s">
        <v>742</v>
      </c>
      <c r="I673" s="4" t="s">
        <v>742</v>
      </c>
      <c r="J673" s="4" t="s">
        <v>742</v>
      </c>
      <c r="K673" s="4" t="s">
        <v>742</v>
      </c>
      <c r="L673" s="4" t="s">
        <v>742</v>
      </c>
      <c r="M673" s="4" t="s">
        <v>742</v>
      </c>
      <c r="N673" s="4" t="s">
        <v>742</v>
      </c>
    </row>
    <row r="674">
      <c r="B674" s="8" t="s">
        <v>742</v>
      </c>
      <c r="C674" s="4" t="s">
        <v>742</v>
      </c>
      <c r="D674" s="4" t="s">
        <v>742</v>
      </c>
      <c r="E674" s="4" t="s">
        <v>742</v>
      </c>
      <c r="F674" s="4" t="s">
        <v>742</v>
      </c>
      <c r="G674" s="4" t="s">
        <v>742</v>
      </c>
      <c r="H674" s="4" t="s">
        <v>742</v>
      </c>
      <c r="I674" s="4" t="s">
        <v>742</v>
      </c>
      <c r="J674" s="4" t="s">
        <v>742</v>
      </c>
      <c r="K674" s="4" t="s">
        <v>742</v>
      </c>
      <c r="L674" s="4" t="s">
        <v>742</v>
      </c>
      <c r="M674" s="4" t="s">
        <v>742</v>
      </c>
      <c r="N674" s="4" t="s">
        <v>742</v>
      </c>
    </row>
    <row r="675">
      <c r="B675" s="8" t="s">
        <v>742</v>
      </c>
      <c r="C675" s="4" t="s">
        <v>742</v>
      </c>
      <c r="D675" s="4" t="s">
        <v>742</v>
      </c>
      <c r="E675" s="4" t="s">
        <v>742</v>
      </c>
      <c r="F675" s="4" t="s">
        <v>742</v>
      </c>
      <c r="G675" s="4" t="s">
        <v>742</v>
      </c>
      <c r="H675" s="4" t="s">
        <v>742</v>
      </c>
      <c r="I675" s="4" t="s">
        <v>742</v>
      </c>
      <c r="J675" s="4" t="s">
        <v>742</v>
      </c>
      <c r="K675" s="4" t="s">
        <v>742</v>
      </c>
      <c r="L675" s="4" t="s">
        <v>742</v>
      </c>
      <c r="M675" s="4" t="s">
        <v>742</v>
      </c>
      <c r="N675" s="4" t="s">
        <v>742</v>
      </c>
    </row>
    <row r="676">
      <c r="B676" s="8" t="s">
        <v>742</v>
      </c>
      <c r="C676" s="4" t="s">
        <v>742</v>
      </c>
      <c r="D676" s="4" t="s">
        <v>742</v>
      </c>
      <c r="E676" s="4" t="s">
        <v>742</v>
      </c>
      <c r="F676" s="4" t="s">
        <v>742</v>
      </c>
      <c r="G676" s="4" t="s">
        <v>742</v>
      </c>
      <c r="H676" s="4" t="s">
        <v>742</v>
      </c>
      <c r="I676" s="4" t="s">
        <v>742</v>
      </c>
      <c r="J676" s="4" t="s">
        <v>742</v>
      </c>
      <c r="K676" s="4" t="s">
        <v>742</v>
      </c>
      <c r="L676" s="4" t="s">
        <v>742</v>
      </c>
      <c r="M676" s="4" t="s">
        <v>742</v>
      </c>
      <c r="N676" s="4" t="s">
        <v>742</v>
      </c>
    </row>
    <row r="677">
      <c r="B677" s="8" t="s">
        <v>742</v>
      </c>
      <c r="C677" s="4" t="s">
        <v>742</v>
      </c>
      <c r="D677" s="4" t="s">
        <v>742</v>
      </c>
      <c r="E677" s="4" t="s">
        <v>742</v>
      </c>
      <c r="F677" s="4" t="s">
        <v>742</v>
      </c>
      <c r="G677" s="4" t="s">
        <v>742</v>
      </c>
      <c r="H677" s="4" t="s">
        <v>742</v>
      </c>
      <c r="I677" s="4" t="s">
        <v>742</v>
      </c>
      <c r="J677" s="4" t="s">
        <v>742</v>
      </c>
      <c r="K677" s="4" t="s">
        <v>742</v>
      </c>
      <c r="L677" s="4" t="s">
        <v>742</v>
      </c>
      <c r="M677" s="4" t="s">
        <v>742</v>
      </c>
      <c r="N677" s="4" t="s">
        <v>742</v>
      </c>
    </row>
    <row r="678">
      <c r="B678" s="8" t="s">
        <v>742</v>
      </c>
      <c r="C678" s="4" t="s">
        <v>742</v>
      </c>
      <c r="D678" s="4" t="s">
        <v>742</v>
      </c>
      <c r="E678" s="4" t="s">
        <v>742</v>
      </c>
      <c r="F678" s="4" t="s">
        <v>742</v>
      </c>
      <c r="G678" s="4" t="s">
        <v>742</v>
      </c>
      <c r="H678" s="4" t="s">
        <v>742</v>
      </c>
      <c r="I678" s="4" t="s">
        <v>742</v>
      </c>
      <c r="J678" s="4" t="s">
        <v>742</v>
      </c>
      <c r="K678" s="4" t="s">
        <v>742</v>
      </c>
      <c r="L678" s="4" t="s">
        <v>742</v>
      </c>
      <c r="M678" s="4" t="s">
        <v>742</v>
      </c>
      <c r="N678" s="4" t="s">
        <v>742</v>
      </c>
    </row>
    <row r="679">
      <c r="B679" s="8" t="s">
        <v>742</v>
      </c>
      <c r="C679" s="4" t="s">
        <v>742</v>
      </c>
      <c r="D679" s="4" t="s">
        <v>742</v>
      </c>
      <c r="E679" s="4" t="s">
        <v>742</v>
      </c>
      <c r="F679" s="4" t="s">
        <v>742</v>
      </c>
      <c r="G679" s="4" t="s">
        <v>742</v>
      </c>
      <c r="H679" s="4" t="s">
        <v>742</v>
      </c>
      <c r="I679" s="4" t="s">
        <v>742</v>
      </c>
      <c r="J679" s="4" t="s">
        <v>742</v>
      </c>
      <c r="K679" s="4" t="s">
        <v>742</v>
      </c>
      <c r="L679" s="4" t="s">
        <v>742</v>
      </c>
      <c r="M679" s="4" t="s">
        <v>742</v>
      </c>
      <c r="N679" s="4" t="s">
        <v>742</v>
      </c>
    </row>
    <row r="680">
      <c r="B680" s="8" t="s">
        <v>742</v>
      </c>
      <c r="C680" s="4" t="s">
        <v>742</v>
      </c>
      <c r="D680" s="4" t="s">
        <v>742</v>
      </c>
      <c r="E680" s="4" t="s">
        <v>742</v>
      </c>
      <c r="F680" s="4" t="s">
        <v>742</v>
      </c>
      <c r="G680" s="4" t="s">
        <v>742</v>
      </c>
      <c r="H680" s="4" t="s">
        <v>742</v>
      </c>
      <c r="I680" s="4" t="s">
        <v>742</v>
      </c>
      <c r="J680" s="4" t="s">
        <v>742</v>
      </c>
      <c r="K680" s="4" t="s">
        <v>742</v>
      </c>
      <c r="L680" s="4" t="s">
        <v>742</v>
      </c>
      <c r="M680" s="4" t="s">
        <v>742</v>
      </c>
      <c r="N680" s="4" t="s">
        <v>742</v>
      </c>
    </row>
    <row r="681">
      <c r="B681" s="8" t="s">
        <v>742</v>
      </c>
      <c r="C681" s="4" t="s">
        <v>742</v>
      </c>
      <c r="D681" s="4" t="s">
        <v>742</v>
      </c>
      <c r="E681" s="4" t="s">
        <v>742</v>
      </c>
      <c r="F681" s="4" t="s">
        <v>742</v>
      </c>
      <c r="G681" s="4" t="s">
        <v>742</v>
      </c>
      <c r="H681" s="4" t="s">
        <v>742</v>
      </c>
      <c r="I681" s="4" t="s">
        <v>742</v>
      </c>
      <c r="J681" s="4" t="s">
        <v>742</v>
      </c>
      <c r="K681" s="4" t="s">
        <v>742</v>
      </c>
      <c r="L681" s="4" t="s">
        <v>742</v>
      </c>
      <c r="M681" s="4" t="s">
        <v>742</v>
      </c>
      <c r="N681" s="4" t="s">
        <v>742</v>
      </c>
    </row>
    <row r="682">
      <c r="B682" s="8" t="s">
        <v>742</v>
      </c>
      <c r="C682" s="4" t="s">
        <v>742</v>
      </c>
      <c r="D682" s="4" t="s">
        <v>742</v>
      </c>
      <c r="E682" s="4" t="s">
        <v>742</v>
      </c>
      <c r="F682" s="4" t="s">
        <v>742</v>
      </c>
      <c r="G682" s="4" t="s">
        <v>742</v>
      </c>
      <c r="H682" s="4" t="s">
        <v>742</v>
      </c>
      <c r="I682" s="4" t="s">
        <v>742</v>
      </c>
      <c r="J682" s="4" t="s">
        <v>742</v>
      </c>
      <c r="K682" s="4" t="s">
        <v>742</v>
      </c>
      <c r="L682" s="4" t="s">
        <v>742</v>
      </c>
      <c r="M682" s="4" t="s">
        <v>742</v>
      </c>
      <c r="N682" s="4" t="s">
        <v>742</v>
      </c>
    </row>
    <row r="683">
      <c r="B683" s="8" t="s">
        <v>742</v>
      </c>
      <c r="C683" s="4" t="s">
        <v>742</v>
      </c>
      <c r="D683" s="4" t="s">
        <v>742</v>
      </c>
      <c r="E683" s="4" t="s">
        <v>742</v>
      </c>
      <c r="F683" s="4" t="s">
        <v>742</v>
      </c>
      <c r="G683" s="4" t="s">
        <v>742</v>
      </c>
      <c r="H683" s="4" t="s">
        <v>742</v>
      </c>
      <c r="I683" s="4" t="s">
        <v>742</v>
      </c>
      <c r="J683" s="4" t="s">
        <v>742</v>
      </c>
      <c r="K683" s="4" t="s">
        <v>742</v>
      </c>
      <c r="L683" s="4" t="s">
        <v>742</v>
      </c>
      <c r="M683" s="4" t="s">
        <v>742</v>
      </c>
      <c r="N683" s="4" t="s">
        <v>742</v>
      </c>
    </row>
    <row r="684">
      <c r="B684" s="8" t="s">
        <v>742</v>
      </c>
      <c r="C684" s="4" t="s">
        <v>742</v>
      </c>
      <c r="D684" s="4" t="s">
        <v>742</v>
      </c>
      <c r="E684" s="4" t="s">
        <v>742</v>
      </c>
      <c r="F684" s="4" t="s">
        <v>742</v>
      </c>
      <c r="G684" s="4" t="s">
        <v>742</v>
      </c>
      <c r="H684" s="4" t="s">
        <v>742</v>
      </c>
      <c r="I684" s="4" t="s">
        <v>742</v>
      </c>
      <c r="J684" s="4" t="s">
        <v>742</v>
      </c>
      <c r="K684" s="4" t="s">
        <v>742</v>
      </c>
      <c r="L684" s="4" t="s">
        <v>742</v>
      </c>
      <c r="M684" s="4" t="s">
        <v>742</v>
      </c>
      <c r="N684" s="4" t="s">
        <v>742</v>
      </c>
    </row>
    <row r="685">
      <c r="B685" s="8" t="s">
        <v>742</v>
      </c>
      <c r="C685" s="4" t="s">
        <v>742</v>
      </c>
      <c r="D685" s="4" t="s">
        <v>742</v>
      </c>
      <c r="E685" s="4" t="s">
        <v>742</v>
      </c>
      <c r="F685" s="4" t="s">
        <v>742</v>
      </c>
      <c r="G685" s="4" t="s">
        <v>742</v>
      </c>
      <c r="H685" s="4" t="s">
        <v>742</v>
      </c>
      <c r="I685" s="4" t="s">
        <v>742</v>
      </c>
      <c r="J685" s="4" t="s">
        <v>742</v>
      </c>
      <c r="K685" s="4" t="s">
        <v>742</v>
      </c>
      <c r="L685" s="4" t="s">
        <v>742</v>
      </c>
      <c r="M685" s="4" t="s">
        <v>742</v>
      </c>
      <c r="N685" s="4" t="s">
        <v>742</v>
      </c>
    </row>
    <row r="686">
      <c r="B686" s="8" t="s">
        <v>742</v>
      </c>
      <c r="C686" s="4" t="s">
        <v>742</v>
      </c>
      <c r="D686" s="4" t="s">
        <v>742</v>
      </c>
      <c r="E686" s="4" t="s">
        <v>742</v>
      </c>
      <c r="F686" s="4" t="s">
        <v>742</v>
      </c>
      <c r="G686" s="4" t="s">
        <v>742</v>
      </c>
      <c r="H686" s="4" t="s">
        <v>742</v>
      </c>
      <c r="I686" s="4" t="s">
        <v>742</v>
      </c>
      <c r="J686" s="4" t="s">
        <v>742</v>
      </c>
      <c r="K686" s="4" t="s">
        <v>742</v>
      </c>
      <c r="L686" s="4" t="s">
        <v>742</v>
      </c>
      <c r="M686" s="4" t="s">
        <v>742</v>
      </c>
      <c r="N686" s="4" t="s">
        <v>742</v>
      </c>
    </row>
    <row r="687">
      <c r="B687" s="8" t="s">
        <v>742</v>
      </c>
      <c r="C687" s="4" t="s">
        <v>742</v>
      </c>
      <c r="D687" s="4" t="s">
        <v>742</v>
      </c>
      <c r="E687" s="4" t="s">
        <v>742</v>
      </c>
      <c r="F687" s="4" t="s">
        <v>742</v>
      </c>
      <c r="G687" s="4" t="s">
        <v>742</v>
      </c>
      <c r="H687" s="4" t="s">
        <v>742</v>
      </c>
      <c r="I687" s="4" t="s">
        <v>742</v>
      </c>
      <c r="J687" s="4" t="s">
        <v>742</v>
      </c>
      <c r="K687" s="4" t="s">
        <v>742</v>
      </c>
      <c r="L687" s="4" t="s">
        <v>742</v>
      </c>
      <c r="M687" s="4" t="s">
        <v>742</v>
      </c>
      <c r="N687" s="4" t="s">
        <v>742</v>
      </c>
    </row>
    <row r="688">
      <c r="B688" s="8" t="s">
        <v>742</v>
      </c>
      <c r="C688" s="4" t="s">
        <v>742</v>
      </c>
      <c r="D688" s="4" t="s">
        <v>742</v>
      </c>
      <c r="E688" s="4" t="s">
        <v>742</v>
      </c>
      <c r="F688" s="4" t="s">
        <v>742</v>
      </c>
      <c r="G688" s="4" t="s">
        <v>742</v>
      </c>
      <c r="H688" s="4" t="s">
        <v>742</v>
      </c>
      <c r="I688" s="4" t="s">
        <v>742</v>
      </c>
      <c r="J688" s="4" t="s">
        <v>742</v>
      </c>
      <c r="K688" s="4" t="s">
        <v>742</v>
      </c>
      <c r="L688" s="4" t="s">
        <v>742</v>
      </c>
      <c r="M688" s="4" t="s">
        <v>742</v>
      </c>
      <c r="N688" s="4" t="s">
        <v>742</v>
      </c>
    </row>
    <row r="689">
      <c r="B689" s="8" t="s">
        <v>742</v>
      </c>
      <c r="C689" s="4" t="s">
        <v>742</v>
      </c>
      <c r="D689" s="4" t="s">
        <v>742</v>
      </c>
      <c r="E689" s="4" t="s">
        <v>742</v>
      </c>
      <c r="F689" s="4" t="s">
        <v>742</v>
      </c>
      <c r="G689" s="4" t="s">
        <v>742</v>
      </c>
      <c r="H689" s="4" t="s">
        <v>742</v>
      </c>
      <c r="I689" s="4" t="s">
        <v>742</v>
      </c>
      <c r="J689" s="4" t="s">
        <v>742</v>
      </c>
      <c r="K689" s="4" t="s">
        <v>742</v>
      </c>
      <c r="L689" s="4" t="s">
        <v>742</v>
      </c>
      <c r="M689" s="4" t="s">
        <v>742</v>
      </c>
      <c r="N689" s="4" t="s">
        <v>742</v>
      </c>
    </row>
    <row r="690">
      <c r="B690" s="8" t="s">
        <v>742</v>
      </c>
      <c r="C690" s="4" t="s">
        <v>742</v>
      </c>
      <c r="D690" s="4" t="s">
        <v>742</v>
      </c>
      <c r="E690" s="4" t="s">
        <v>742</v>
      </c>
      <c r="F690" s="4" t="s">
        <v>742</v>
      </c>
      <c r="G690" s="4" t="s">
        <v>742</v>
      </c>
      <c r="H690" s="4" t="s">
        <v>742</v>
      </c>
      <c r="I690" s="4" t="s">
        <v>742</v>
      </c>
      <c r="J690" s="4" t="s">
        <v>742</v>
      </c>
      <c r="K690" s="4" t="s">
        <v>742</v>
      </c>
      <c r="L690" s="4" t="s">
        <v>742</v>
      </c>
      <c r="M690" s="4" t="s">
        <v>742</v>
      </c>
      <c r="N690" s="4" t="s">
        <v>742</v>
      </c>
    </row>
    <row r="691">
      <c r="B691" s="8" t="s">
        <v>742</v>
      </c>
      <c r="C691" s="4" t="s">
        <v>742</v>
      </c>
      <c r="D691" s="4" t="s">
        <v>742</v>
      </c>
      <c r="E691" s="4" t="s">
        <v>742</v>
      </c>
      <c r="F691" s="4" t="s">
        <v>742</v>
      </c>
      <c r="G691" s="4" t="s">
        <v>742</v>
      </c>
      <c r="H691" s="4" t="s">
        <v>742</v>
      </c>
      <c r="I691" s="4" t="s">
        <v>742</v>
      </c>
      <c r="J691" s="4" t="s">
        <v>742</v>
      </c>
      <c r="K691" s="4" t="s">
        <v>742</v>
      </c>
      <c r="L691" s="4" t="s">
        <v>742</v>
      </c>
      <c r="M691" s="4" t="s">
        <v>742</v>
      </c>
      <c r="N691" s="4" t="s">
        <v>742</v>
      </c>
    </row>
    <row r="692">
      <c r="B692" s="8" t="s">
        <v>742</v>
      </c>
      <c r="C692" s="4" t="s">
        <v>742</v>
      </c>
      <c r="D692" s="4" t="s">
        <v>742</v>
      </c>
      <c r="E692" s="4" t="s">
        <v>742</v>
      </c>
      <c r="F692" s="4" t="s">
        <v>742</v>
      </c>
      <c r="G692" s="4" t="s">
        <v>742</v>
      </c>
      <c r="H692" s="4" t="s">
        <v>742</v>
      </c>
      <c r="I692" s="4" t="s">
        <v>742</v>
      </c>
      <c r="J692" s="4" t="s">
        <v>742</v>
      </c>
      <c r="K692" s="4" t="s">
        <v>742</v>
      </c>
      <c r="L692" s="4" t="s">
        <v>742</v>
      </c>
      <c r="M692" s="4" t="s">
        <v>742</v>
      </c>
      <c r="N692" s="4" t="s">
        <v>742</v>
      </c>
    </row>
    <row r="693">
      <c r="B693" s="8" t="s">
        <v>742</v>
      </c>
      <c r="C693" s="4" t="s">
        <v>742</v>
      </c>
      <c r="D693" s="4" t="s">
        <v>742</v>
      </c>
      <c r="E693" s="4" t="s">
        <v>742</v>
      </c>
      <c r="F693" s="4" t="s">
        <v>742</v>
      </c>
      <c r="G693" s="4" t="s">
        <v>742</v>
      </c>
      <c r="H693" s="4" t="s">
        <v>742</v>
      </c>
      <c r="I693" s="4" t="s">
        <v>742</v>
      </c>
      <c r="J693" s="4" t="s">
        <v>742</v>
      </c>
      <c r="K693" s="4" t="s">
        <v>742</v>
      </c>
      <c r="L693" s="4" t="s">
        <v>742</v>
      </c>
      <c r="M693" s="4" t="s">
        <v>742</v>
      </c>
      <c r="N693" s="4" t="s">
        <v>742</v>
      </c>
    </row>
    <row r="694">
      <c r="B694" s="8" t="s">
        <v>742</v>
      </c>
      <c r="C694" s="4" t="s">
        <v>742</v>
      </c>
      <c r="D694" s="4" t="s">
        <v>742</v>
      </c>
      <c r="E694" s="4" t="s">
        <v>742</v>
      </c>
      <c r="F694" s="4" t="s">
        <v>742</v>
      </c>
      <c r="G694" s="4" t="s">
        <v>742</v>
      </c>
      <c r="H694" s="4" t="s">
        <v>742</v>
      </c>
      <c r="I694" s="4" t="s">
        <v>742</v>
      </c>
      <c r="J694" s="4" t="s">
        <v>742</v>
      </c>
      <c r="K694" s="4" t="s">
        <v>742</v>
      </c>
      <c r="L694" s="4" t="s">
        <v>742</v>
      </c>
      <c r="M694" s="4" t="s">
        <v>742</v>
      </c>
      <c r="N694" s="4" t="s">
        <v>742</v>
      </c>
    </row>
    <row r="695">
      <c r="B695" s="8" t="s">
        <v>742</v>
      </c>
      <c r="C695" s="4" t="s">
        <v>742</v>
      </c>
      <c r="D695" s="4" t="s">
        <v>742</v>
      </c>
      <c r="E695" s="4" t="s">
        <v>742</v>
      </c>
      <c r="F695" s="4" t="s">
        <v>742</v>
      </c>
      <c r="G695" s="4" t="s">
        <v>742</v>
      </c>
      <c r="H695" s="4" t="s">
        <v>742</v>
      </c>
      <c r="I695" s="4" t="s">
        <v>742</v>
      </c>
      <c r="J695" s="4" t="s">
        <v>742</v>
      </c>
      <c r="K695" s="4" t="s">
        <v>742</v>
      </c>
      <c r="L695" s="4" t="s">
        <v>742</v>
      </c>
      <c r="M695" s="4" t="s">
        <v>742</v>
      </c>
      <c r="N695" s="4" t="s">
        <v>742</v>
      </c>
    </row>
    <row r="696">
      <c r="B696" s="8" t="s">
        <v>742</v>
      </c>
      <c r="C696" s="4" t="s">
        <v>742</v>
      </c>
      <c r="D696" s="4" t="s">
        <v>742</v>
      </c>
      <c r="E696" s="4" t="s">
        <v>742</v>
      </c>
      <c r="F696" s="4" t="s">
        <v>742</v>
      </c>
      <c r="G696" s="4" t="s">
        <v>742</v>
      </c>
      <c r="H696" s="4" t="s">
        <v>742</v>
      </c>
      <c r="I696" s="4" t="s">
        <v>742</v>
      </c>
      <c r="J696" s="4" t="s">
        <v>742</v>
      </c>
      <c r="K696" s="4" t="s">
        <v>742</v>
      </c>
      <c r="L696" s="4" t="s">
        <v>742</v>
      </c>
      <c r="M696" s="4" t="s">
        <v>742</v>
      </c>
      <c r="N696" s="4" t="s">
        <v>742</v>
      </c>
    </row>
    <row r="697">
      <c r="B697" s="8" t="s">
        <v>742</v>
      </c>
      <c r="C697" s="4" t="s">
        <v>742</v>
      </c>
      <c r="D697" s="4" t="s">
        <v>742</v>
      </c>
      <c r="E697" s="4" t="s">
        <v>742</v>
      </c>
      <c r="F697" s="4" t="s">
        <v>742</v>
      </c>
      <c r="G697" s="4" t="s">
        <v>742</v>
      </c>
      <c r="H697" s="4" t="s">
        <v>742</v>
      </c>
      <c r="I697" s="4" t="s">
        <v>742</v>
      </c>
      <c r="J697" s="4" t="s">
        <v>742</v>
      </c>
      <c r="K697" s="4" t="s">
        <v>742</v>
      </c>
      <c r="L697" s="4" t="s">
        <v>742</v>
      </c>
      <c r="M697" s="4" t="s">
        <v>742</v>
      </c>
      <c r="N697" s="4" t="s">
        <v>742</v>
      </c>
    </row>
    <row r="698">
      <c r="B698" s="8" t="s">
        <v>742</v>
      </c>
      <c r="C698" s="4" t="s">
        <v>742</v>
      </c>
      <c r="D698" s="4" t="s">
        <v>742</v>
      </c>
      <c r="E698" s="4" t="s">
        <v>742</v>
      </c>
      <c r="F698" s="4" t="s">
        <v>742</v>
      </c>
      <c r="G698" s="4" t="s">
        <v>742</v>
      </c>
      <c r="H698" s="4" t="s">
        <v>742</v>
      </c>
      <c r="I698" s="4" t="s">
        <v>742</v>
      </c>
      <c r="J698" s="4" t="s">
        <v>742</v>
      </c>
      <c r="K698" s="4" t="s">
        <v>742</v>
      </c>
      <c r="L698" s="4" t="s">
        <v>742</v>
      </c>
      <c r="M698" s="4" t="s">
        <v>742</v>
      </c>
      <c r="N698" s="4" t="s">
        <v>742</v>
      </c>
    </row>
    <row r="699">
      <c r="B699" s="8" t="s">
        <v>742</v>
      </c>
      <c r="C699" s="4" t="s">
        <v>742</v>
      </c>
      <c r="D699" s="4" t="s">
        <v>742</v>
      </c>
      <c r="E699" s="4" t="s">
        <v>742</v>
      </c>
      <c r="F699" s="4" t="s">
        <v>742</v>
      </c>
      <c r="G699" s="4" t="s">
        <v>742</v>
      </c>
      <c r="H699" s="4" t="s">
        <v>742</v>
      </c>
      <c r="I699" s="4" t="s">
        <v>742</v>
      </c>
      <c r="J699" s="4" t="s">
        <v>742</v>
      </c>
      <c r="K699" s="4" t="s">
        <v>742</v>
      </c>
      <c r="L699" s="4" t="s">
        <v>742</v>
      </c>
      <c r="M699" s="4" t="s">
        <v>742</v>
      </c>
      <c r="N699" s="4" t="s">
        <v>742</v>
      </c>
    </row>
    <row r="700">
      <c r="B700" s="8" t="s">
        <v>742</v>
      </c>
      <c r="C700" s="4" t="s">
        <v>742</v>
      </c>
      <c r="D700" s="4" t="s">
        <v>742</v>
      </c>
      <c r="E700" s="4" t="s">
        <v>742</v>
      </c>
      <c r="F700" s="4" t="s">
        <v>742</v>
      </c>
      <c r="G700" s="4" t="s">
        <v>742</v>
      </c>
      <c r="H700" s="4" t="s">
        <v>742</v>
      </c>
      <c r="I700" s="4" t="s">
        <v>742</v>
      </c>
      <c r="J700" s="4" t="s">
        <v>742</v>
      </c>
      <c r="K700" s="4" t="s">
        <v>742</v>
      </c>
      <c r="L700" s="4" t="s">
        <v>742</v>
      </c>
      <c r="M700" s="4" t="s">
        <v>742</v>
      </c>
      <c r="N700" s="4" t="s">
        <v>742</v>
      </c>
    </row>
    <row r="701">
      <c r="B701" s="8" t="s">
        <v>742</v>
      </c>
      <c r="C701" s="4" t="s">
        <v>742</v>
      </c>
      <c r="D701" s="4" t="s">
        <v>742</v>
      </c>
      <c r="E701" s="4" t="s">
        <v>742</v>
      </c>
      <c r="F701" s="4" t="s">
        <v>742</v>
      </c>
      <c r="G701" s="4" t="s">
        <v>742</v>
      </c>
      <c r="H701" s="4" t="s">
        <v>742</v>
      </c>
      <c r="I701" s="4" t="s">
        <v>742</v>
      </c>
      <c r="J701" s="4" t="s">
        <v>742</v>
      </c>
      <c r="K701" s="4" t="s">
        <v>742</v>
      </c>
      <c r="L701" s="4" t="s">
        <v>742</v>
      </c>
      <c r="M701" s="4" t="s">
        <v>742</v>
      </c>
      <c r="N701" s="4" t="s">
        <v>742</v>
      </c>
    </row>
    <row r="702">
      <c r="B702" s="8" t="s">
        <v>742</v>
      </c>
      <c r="C702" s="4" t="s">
        <v>742</v>
      </c>
      <c r="D702" s="4" t="s">
        <v>742</v>
      </c>
      <c r="E702" s="4" t="s">
        <v>742</v>
      </c>
      <c r="F702" s="4" t="s">
        <v>742</v>
      </c>
      <c r="G702" s="4" t="s">
        <v>742</v>
      </c>
      <c r="H702" s="4" t="s">
        <v>742</v>
      </c>
      <c r="I702" s="4" t="s">
        <v>742</v>
      </c>
      <c r="J702" s="4" t="s">
        <v>742</v>
      </c>
      <c r="K702" s="4" t="s">
        <v>742</v>
      </c>
      <c r="L702" s="4" t="s">
        <v>742</v>
      </c>
      <c r="M702" s="4" t="s">
        <v>742</v>
      </c>
      <c r="N702" s="4" t="s">
        <v>742</v>
      </c>
    </row>
    <row r="703">
      <c r="B703" s="8" t="s">
        <v>742</v>
      </c>
      <c r="C703" s="4" t="s">
        <v>742</v>
      </c>
      <c r="D703" s="4" t="s">
        <v>742</v>
      </c>
      <c r="E703" s="4" t="s">
        <v>742</v>
      </c>
      <c r="F703" s="4" t="s">
        <v>742</v>
      </c>
      <c r="G703" s="4" t="s">
        <v>742</v>
      </c>
      <c r="H703" s="4" t="s">
        <v>742</v>
      </c>
      <c r="I703" s="4" t="s">
        <v>742</v>
      </c>
      <c r="J703" s="4" t="s">
        <v>742</v>
      </c>
      <c r="K703" s="4" t="s">
        <v>742</v>
      </c>
      <c r="L703" s="4" t="s">
        <v>742</v>
      </c>
      <c r="M703" s="4" t="s">
        <v>742</v>
      </c>
      <c r="N703" s="4" t="s">
        <v>742</v>
      </c>
    </row>
    <row r="704">
      <c r="B704" s="8" t="s">
        <v>742</v>
      </c>
      <c r="C704" s="4" t="s">
        <v>742</v>
      </c>
      <c r="D704" s="4" t="s">
        <v>742</v>
      </c>
      <c r="E704" s="4" t="s">
        <v>742</v>
      </c>
      <c r="F704" s="4" t="s">
        <v>742</v>
      </c>
      <c r="G704" s="4" t="s">
        <v>742</v>
      </c>
      <c r="H704" s="4" t="s">
        <v>742</v>
      </c>
      <c r="I704" s="4" t="s">
        <v>742</v>
      </c>
      <c r="J704" s="4" t="s">
        <v>742</v>
      </c>
      <c r="K704" s="4" t="s">
        <v>742</v>
      </c>
      <c r="L704" s="4" t="s">
        <v>742</v>
      </c>
      <c r="M704" s="4" t="s">
        <v>742</v>
      </c>
      <c r="N704" s="4" t="s">
        <v>742</v>
      </c>
    </row>
    <row r="705">
      <c r="B705" s="8" t="s">
        <v>742</v>
      </c>
      <c r="C705" s="4" t="s">
        <v>742</v>
      </c>
      <c r="D705" s="4" t="s">
        <v>742</v>
      </c>
      <c r="E705" s="4" t="s">
        <v>742</v>
      </c>
      <c r="F705" s="4" t="s">
        <v>742</v>
      </c>
      <c r="G705" s="4" t="s">
        <v>742</v>
      </c>
      <c r="H705" s="4" t="s">
        <v>742</v>
      </c>
      <c r="I705" s="4" t="s">
        <v>742</v>
      </c>
      <c r="J705" s="4" t="s">
        <v>742</v>
      </c>
      <c r="K705" s="4" t="s">
        <v>742</v>
      </c>
      <c r="L705" s="4" t="s">
        <v>742</v>
      </c>
      <c r="M705" s="4" t="s">
        <v>742</v>
      </c>
      <c r="N705" s="4" t="s">
        <v>742</v>
      </c>
    </row>
    <row r="706">
      <c r="B706" s="8" t="s">
        <v>742</v>
      </c>
      <c r="C706" s="4" t="s">
        <v>742</v>
      </c>
      <c r="D706" s="4" t="s">
        <v>742</v>
      </c>
      <c r="E706" s="4" t="s">
        <v>742</v>
      </c>
      <c r="F706" s="4" t="s">
        <v>742</v>
      </c>
      <c r="G706" s="4" t="s">
        <v>742</v>
      </c>
      <c r="H706" s="4" t="s">
        <v>742</v>
      </c>
      <c r="I706" s="4" t="s">
        <v>742</v>
      </c>
      <c r="J706" s="4" t="s">
        <v>742</v>
      </c>
      <c r="K706" s="4" t="s">
        <v>742</v>
      </c>
      <c r="L706" s="4" t="s">
        <v>742</v>
      </c>
      <c r="M706" s="4" t="s">
        <v>742</v>
      </c>
      <c r="N706" s="4" t="s">
        <v>742</v>
      </c>
    </row>
    <row r="707">
      <c r="B707" s="8" t="s">
        <v>742</v>
      </c>
      <c r="C707" s="4" t="s">
        <v>742</v>
      </c>
      <c r="D707" s="4" t="s">
        <v>742</v>
      </c>
      <c r="E707" s="4" t="s">
        <v>742</v>
      </c>
      <c r="F707" s="4" t="s">
        <v>742</v>
      </c>
      <c r="G707" s="4" t="s">
        <v>742</v>
      </c>
      <c r="H707" s="4" t="s">
        <v>742</v>
      </c>
      <c r="I707" s="4" t="s">
        <v>742</v>
      </c>
      <c r="J707" s="4" t="s">
        <v>742</v>
      </c>
      <c r="K707" s="4" t="s">
        <v>742</v>
      </c>
      <c r="L707" s="4" t="s">
        <v>742</v>
      </c>
      <c r="M707" s="4" t="s">
        <v>742</v>
      </c>
      <c r="N707" s="4" t="s">
        <v>742</v>
      </c>
    </row>
    <row r="708">
      <c r="B708" s="8" t="s">
        <v>742</v>
      </c>
      <c r="C708" s="4" t="s">
        <v>742</v>
      </c>
      <c r="D708" s="4" t="s">
        <v>742</v>
      </c>
      <c r="E708" s="4" t="s">
        <v>742</v>
      </c>
      <c r="F708" s="4" t="s">
        <v>742</v>
      </c>
      <c r="G708" s="4" t="s">
        <v>742</v>
      </c>
      <c r="H708" s="4" t="s">
        <v>742</v>
      </c>
      <c r="I708" s="4" t="s">
        <v>742</v>
      </c>
      <c r="J708" s="4" t="s">
        <v>742</v>
      </c>
      <c r="K708" s="4" t="s">
        <v>742</v>
      </c>
      <c r="L708" s="4" t="s">
        <v>742</v>
      </c>
      <c r="M708" s="4" t="s">
        <v>742</v>
      </c>
      <c r="N708" s="4" t="s">
        <v>742</v>
      </c>
    </row>
    <row r="709">
      <c r="B709" s="8" t="s">
        <v>742</v>
      </c>
      <c r="C709" s="4" t="s">
        <v>742</v>
      </c>
      <c r="D709" s="4" t="s">
        <v>742</v>
      </c>
      <c r="E709" s="4" t="s">
        <v>742</v>
      </c>
      <c r="F709" s="4" t="s">
        <v>742</v>
      </c>
      <c r="G709" s="4" t="s">
        <v>742</v>
      </c>
      <c r="H709" s="4" t="s">
        <v>742</v>
      </c>
      <c r="I709" s="4" t="s">
        <v>742</v>
      </c>
      <c r="J709" s="4" t="s">
        <v>742</v>
      </c>
      <c r="K709" s="4" t="s">
        <v>742</v>
      </c>
      <c r="L709" s="4" t="s">
        <v>742</v>
      </c>
      <c r="M709" s="4" t="s">
        <v>742</v>
      </c>
      <c r="N709" s="4" t="s">
        <v>742</v>
      </c>
    </row>
    <row r="710">
      <c r="B710" s="8" t="s">
        <v>742</v>
      </c>
      <c r="C710" s="4" t="s">
        <v>742</v>
      </c>
      <c r="D710" s="4" t="s">
        <v>742</v>
      </c>
      <c r="E710" s="4" t="s">
        <v>742</v>
      </c>
      <c r="F710" s="4" t="s">
        <v>742</v>
      </c>
      <c r="G710" s="4" t="s">
        <v>742</v>
      </c>
      <c r="H710" s="4" t="s">
        <v>742</v>
      </c>
      <c r="I710" s="4" t="s">
        <v>742</v>
      </c>
      <c r="J710" s="4" t="s">
        <v>742</v>
      </c>
      <c r="K710" s="4" t="s">
        <v>742</v>
      </c>
      <c r="L710" s="4" t="s">
        <v>742</v>
      </c>
      <c r="M710" s="4" t="s">
        <v>742</v>
      </c>
      <c r="N710" s="4" t="s">
        <v>742</v>
      </c>
    </row>
    <row r="711">
      <c r="B711" s="8" t="s">
        <v>742</v>
      </c>
      <c r="C711" s="4" t="s">
        <v>742</v>
      </c>
      <c r="D711" s="4" t="s">
        <v>742</v>
      </c>
      <c r="E711" s="4" t="s">
        <v>742</v>
      </c>
      <c r="F711" s="4" t="s">
        <v>742</v>
      </c>
      <c r="G711" s="4" t="s">
        <v>742</v>
      </c>
      <c r="H711" s="4" t="s">
        <v>742</v>
      </c>
      <c r="I711" s="4" t="s">
        <v>742</v>
      </c>
      <c r="J711" s="4" t="s">
        <v>742</v>
      </c>
      <c r="K711" s="4" t="s">
        <v>742</v>
      </c>
      <c r="L711" s="4" t="s">
        <v>742</v>
      </c>
      <c r="M711" s="4" t="s">
        <v>742</v>
      </c>
      <c r="N711" s="4" t="s">
        <v>742</v>
      </c>
    </row>
    <row r="712">
      <c r="B712" s="8" t="s">
        <v>742</v>
      </c>
      <c r="C712" s="4" t="s">
        <v>742</v>
      </c>
      <c r="D712" s="4" t="s">
        <v>742</v>
      </c>
      <c r="E712" s="4" t="s">
        <v>742</v>
      </c>
      <c r="F712" s="4" t="s">
        <v>742</v>
      </c>
      <c r="G712" s="4" t="s">
        <v>742</v>
      </c>
      <c r="H712" s="4" t="s">
        <v>742</v>
      </c>
      <c r="I712" s="4" t="s">
        <v>742</v>
      </c>
      <c r="J712" s="4" t="s">
        <v>742</v>
      </c>
      <c r="K712" s="4" t="s">
        <v>742</v>
      </c>
      <c r="L712" s="4" t="s">
        <v>742</v>
      </c>
      <c r="M712" s="4" t="s">
        <v>742</v>
      </c>
      <c r="N712" s="4" t="s">
        <v>742</v>
      </c>
    </row>
    <row r="713">
      <c r="B713" s="8" t="s">
        <v>742</v>
      </c>
      <c r="C713" s="4" t="s">
        <v>742</v>
      </c>
      <c r="D713" s="4" t="s">
        <v>742</v>
      </c>
      <c r="E713" s="4" t="s">
        <v>742</v>
      </c>
      <c r="F713" s="4" t="s">
        <v>742</v>
      </c>
      <c r="G713" s="4" t="s">
        <v>742</v>
      </c>
      <c r="H713" s="4" t="s">
        <v>742</v>
      </c>
      <c r="I713" s="4" t="s">
        <v>742</v>
      </c>
      <c r="J713" s="4" t="s">
        <v>742</v>
      </c>
      <c r="K713" s="4" t="s">
        <v>742</v>
      </c>
      <c r="L713" s="4" t="s">
        <v>742</v>
      </c>
      <c r="M713" s="4" t="s">
        <v>742</v>
      </c>
      <c r="N713" s="4" t="s">
        <v>742</v>
      </c>
    </row>
    <row r="714">
      <c r="B714" s="8" t="s">
        <v>742</v>
      </c>
      <c r="C714" s="4" t="s">
        <v>742</v>
      </c>
      <c r="D714" s="4" t="s">
        <v>742</v>
      </c>
      <c r="E714" s="4" t="s">
        <v>742</v>
      </c>
      <c r="F714" s="4" t="s">
        <v>742</v>
      </c>
      <c r="G714" s="4" t="s">
        <v>742</v>
      </c>
      <c r="H714" s="4" t="s">
        <v>742</v>
      </c>
      <c r="I714" s="4" t="s">
        <v>742</v>
      </c>
      <c r="J714" s="4" t="s">
        <v>742</v>
      </c>
      <c r="K714" s="4" t="s">
        <v>742</v>
      </c>
      <c r="L714" s="4" t="s">
        <v>742</v>
      </c>
      <c r="M714" s="4" t="s">
        <v>742</v>
      </c>
      <c r="N714" s="4" t="s">
        <v>742</v>
      </c>
    </row>
    <row r="715">
      <c r="B715" s="8" t="s">
        <v>742</v>
      </c>
      <c r="C715" s="4" t="s">
        <v>742</v>
      </c>
      <c r="D715" s="4" t="s">
        <v>742</v>
      </c>
      <c r="E715" s="4" t="s">
        <v>742</v>
      </c>
      <c r="F715" s="4" t="s">
        <v>742</v>
      </c>
      <c r="G715" s="4" t="s">
        <v>742</v>
      </c>
      <c r="H715" s="4" t="s">
        <v>742</v>
      </c>
      <c r="I715" s="4" t="s">
        <v>742</v>
      </c>
      <c r="J715" s="4" t="s">
        <v>742</v>
      </c>
      <c r="K715" s="4" t="s">
        <v>742</v>
      </c>
      <c r="L715" s="4" t="s">
        <v>742</v>
      </c>
      <c r="M715" s="4" t="s">
        <v>742</v>
      </c>
      <c r="N715" s="4" t="s">
        <v>742</v>
      </c>
    </row>
    <row r="716">
      <c r="B716" s="8" t="s">
        <v>742</v>
      </c>
      <c r="C716" s="4" t="s">
        <v>742</v>
      </c>
      <c r="D716" s="4" t="s">
        <v>742</v>
      </c>
      <c r="E716" s="4" t="s">
        <v>742</v>
      </c>
      <c r="F716" s="4" t="s">
        <v>742</v>
      </c>
      <c r="G716" s="4" t="s">
        <v>742</v>
      </c>
      <c r="H716" s="4" t="s">
        <v>742</v>
      </c>
      <c r="I716" s="4" t="s">
        <v>742</v>
      </c>
      <c r="J716" s="4" t="s">
        <v>742</v>
      </c>
      <c r="K716" s="4" t="s">
        <v>742</v>
      </c>
      <c r="L716" s="4" t="s">
        <v>742</v>
      </c>
      <c r="M716" s="4" t="s">
        <v>742</v>
      </c>
      <c r="N716" s="4" t="s">
        <v>742</v>
      </c>
    </row>
    <row r="717">
      <c r="B717" s="8" t="s">
        <v>742</v>
      </c>
      <c r="C717" s="4" t="s">
        <v>742</v>
      </c>
      <c r="D717" s="4" t="s">
        <v>742</v>
      </c>
      <c r="E717" s="4" t="s">
        <v>742</v>
      </c>
      <c r="F717" s="4" t="s">
        <v>742</v>
      </c>
      <c r="G717" s="4" t="s">
        <v>742</v>
      </c>
      <c r="H717" s="4" t="s">
        <v>742</v>
      </c>
      <c r="I717" s="4" t="s">
        <v>742</v>
      </c>
      <c r="J717" s="4" t="s">
        <v>742</v>
      </c>
      <c r="K717" s="4" t="s">
        <v>742</v>
      </c>
      <c r="L717" s="4" t="s">
        <v>742</v>
      </c>
      <c r="M717" s="4" t="s">
        <v>742</v>
      </c>
      <c r="N717" s="4" t="s">
        <v>742</v>
      </c>
    </row>
    <row r="718">
      <c r="B718" s="8" t="s">
        <v>742</v>
      </c>
      <c r="C718" s="4" t="s">
        <v>742</v>
      </c>
      <c r="D718" s="4" t="s">
        <v>742</v>
      </c>
      <c r="E718" s="4" t="s">
        <v>742</v>
      </c>
      <c r="F718" s="4" t="s">
        <v>742</v>
      </c>
      <c r="G718" s="4" t="s">
        <v>742</v>
      </c>
      <c r="H718" s="4" t="s">
        <v>742</v>
      </c>
      <c r="I718" s="4" t="s">
        <v>742</v>
      </c>
      <c r="J718" s="4" t="s">
        <v>742</v>
      </c>
      <c r="K718" s="4" t="s">
        <v>742</v>
      </c>
      <c r="L718" s="4" t="s">
        <v>742</v>
      </c>
      <c r="M718" s="4" t="s">
        <v>742</v>
      </c>
      <c r="N718" s="4" t="s">
        <v>742</v>
      </c>
    </row>
    <row r="719">
      <c r="B719" s="8" t="s">
        <v>742</v>
      </c>
      <c r="C719" s="4" t="s">
        <v>742</v>
      </c>
      <c r="D719" s="4" t="s">
        <v>742</v>
      </c>
      <c r="E719" s="4" t="s">
        <v>742</v>
      </c>
      <c r="F719" s="4" t="s">
        <v>742</v>
      </c>
      <c r="G719" s="4" t="s">
        <v>742</v>
      </c>
      <c r="H719" s="4" t="s">
        <v>742</v>
      </c>
      <c r="I719" s="4" t="s">
        <v>742</v>
      </c>
      <c r="J719" s="4" t="s">
        <v>742</v>
      </c>
      <c r="K719" s="4" t="s">
        <v>742</v>
      </c>
      <c r="L719" s="4" t="s">
        <v>742</v>
      </c>
      <c r="M719" s="4" t="s">
        <v>742</v>
      </c>
      <c r="N719" s="4" t="s">
        <v>742</v>
      </c>
    </row>
    <row r="720">
      <c r="B720" s="8" t="s">
        <v>742</v>
      </c>
      <c r="C720" s="4" t="s">
        <v>742</v>
      </c>
      <c r="D720" s="4" t="s">
        <v>742</v>
      </c>
      <c r="E720" s="4" t="s">
        <v>742</v>
      </c>
      <c r="F720" s="4" t="s">
        <v>742</v>
      </c>
      <c r="G720" s="4" t="s">
        <v>742</v>
      </c>
      <c r="H720" s="4" t="s">
        <v>742</v>
      </c>
      <c r="I720" s="4" t="s">
        <v>742</v>
      </c>
      <c r="J720" s="4" t="s">
        <v>742</v>
      </c>
      <c r="K720" s="4" t="s">
        <v>742</v>
      </c>
      <c r="L720" s="4" t="s">
        <v>742</v>
      </c>
      <c r="M720" s="4" t="s">
        <v>742</v>
      </c>
      <c r="N720" s="4" t="s">
        <v>742</v>
      </c>
    </row>
    <row r="721">
      <c r="B721" s="8" t="s">
        <v>742</v>
      </c>
      <c r="C721" s="4" t="s">
        <v>742</v>
      </c>
      <c r="D721" s="4" t="s">
        <v>742</v>
      </c>
      <c r="E721" s="4" t="s">
        <v>742</v>
      </c>
      <c r="F721" s="4" t="s">
        <v>742</v>
      </c>
      <c r="G721" s="4" t="s">
        <v>742</v>
      </c>
      <c r="H721" s="4" t="s">
        <v>742</v>
      </c>
      <c r="I721" s="4" t="s">
        <v>742</v>
      </c>
      <c r="J721" s="4" t="s">
        <v>742</v>
      </c>
      <c r="K721" s="4" t="s">
        <v>742</v>
      </c>
      <c r="L721" s="4" t="s">
        <v>742</v>
      </c>
      <c r="M721" s="4" t="s">
        <v>742</v>
      </c>
      <c r="N721" s="4" t="s">
        <v>742</v>
      </c>
    </row>
    <row r="722">
      <c r="B722" s="8" t="s">
        <v>742</v>
      </c>
      <c r="C722" s="4" t="s">
        <v>742</v>
      </c>
      <c r="D722" s="4" t="s">
        <v>742</v>
      </c>
      <c r="E722" s="4" t="s">
        <v>742</v>
      </c>
      <c r="F722" s="4" t="s">
        <v>742</v>
      </c>
      <c r="G722" s="4" t="s">
        <v>742</v>
      </c>
      <c r="H722" s="4" t="s">
        <v>742</v>
      </c>
      <c r="I722" s="4" t="s">
        <v>742</v>
      </c>
      <c r="J722" s="4" t="s">
        <v>742</v>
      </c>
      <c r="K722" s="4" t="s">
        <v>742</v>
      </c>
      <c r="L722" s="4" t="s">
        <v>742</v>
      </c>
      <c r="M722" s="4" t="s">
        <v>742</v>
      </c>
      <c r="N722" s="4" t="s">
        <v>742</v>
      </c>
    </row>
    <row r="723">
      <c r="B723" s="8" t="s">
        <v>742</v>
      </c>
      <c r="C723" s="4" t="s">
        <v>742</v>
      </c>
      <c r="D723" s="4" t="s">
        <v>742</v>
      </c>
      <c r="E723" s="4" t="s">
        <v>742</v>
      </c>
      <c r="F723" s="4" t="s">
        <v>742</v>
      </c>
      <c r="G723" s="4" t="s">
        <v>742</v>
      </c>
      <c r="H723" s="4" t="s">
        <v>742</v>
      </c>
      <c r="I723" s="4" t="s">
        <v>742</v>
      </c>
      <c r="J723" s="4" t="s">
        <v>742</v>
      </c>
      <c r="K723" s="4" t="s">
        <v>742</v>
      </c>
      <c r="L723" s="4" t="s">
        <v>742</v>
      </c>
      <c r="M723" s="4" t="s">
        <v>742</v>
      </c>
      <c r="N723" s="4" t="s">
        <v>742</v>
      </c>
    </row>
    <row r="724">
      <c r="B724" s="8" t="s">
        <v>742</v>
      </c>
      <c r="C724" s="4" t="s">
        <v>742</v>
      </c>
      <c r="D724" s="4" t="s">
        <v>742</v>
      </c>
      <c r="E724" s="4" t="s">
        <v>742</v>
      </c>
      <c r="F724" s="4" t="s">
        <v>742</v>
      </c>
      <c r="G724" s="4" t="s">
        <v>742</v>
      </c>
      <c r="H724" s="4" t="s">
        <v>742</v>
      </c>
      <c r="I724" s="4" t="s">
        <v>742</v>
      </c>
      <c r="J724" s="4" t="s">
        <v>742</v>
      </c>
      <c r="K724" s="4" t="s">
        <v>742</v>
      </c>
      <c r="L724" s="4" t="s">
        <v>742</v>
      </c>
      <c r="M724" s="4" t="s">
        <v>742</v>
      </c>
      <c r="N724" s="4" t="s">
        <v>742</v>
      </c>
    </row>
    <row r="725">
      <c r="B725" s="8" t="s">
        <v>742</v>
      </c>
      <c r="C725" s="4" t="s">
        <v>742</v>
      </c>
      <c r="D725" s="4" t="s">
        <v>742</v>
      </c>
      <c r="E725" s="4" t="s">
        <v>742</v>
      </c>
      <c r="F725" s="4" t="s">
        <v>742</v>
      </c>
      <c r="G725" s="4" t="s">
        <v>742</v>
      </c>
      <c r="H725" s="4" t="s">
        <v>742</v>
      </c>
      <c r="I725" s="4" t="s">
        <v>742</v>
      </c>
      <c r="J725" s="4" t="s">
        <v>742</v>
      </c>
      <c r="K725" s="4" t="s">
        <v>742</v>
      </c>
      <c r="L725" s="4" t="s">
        <v>742</v>
      </c>
      <c r="M725" s="4" t="s">
        <v>742</v>
      </c>
      <c r="N725" s="4" t="s">
        <v>742</v>
      </c>
    </row>
    <row r="726">
      <c r="B726" s="8" t="s">
        <v>742</v>
      </c>
      <c r="C726" s="4" t="s">
        <v>742</v>
      </c>
      <c r="D726" s="4" t="s">
        <v>742</v>
      </c>
      <c r="E726" s="4" t="s">
        <v>742</v>
      </c>
      <c r="F726" s="4" t="s">
        <v>742</v>
      </c>
      <c r="G726" s="4" t="s">
        <v>742</v>
      </c>
      <c r="H726" s="4" t="s">
        <v>742</v>
      </c>
      <c r="I726" s="4" t="s">
        <v>742</v>
      </c>
      <c r="J726" s="4" t="s">
        <v>742</v>
      </c>
      <c r="K726" s="4" t="s">
        <v>742</v>
      </c>
      <c r="L726" s="4" t="s">
        <v>742</v>
      </c>
      <c r="M726" s="4" t="s">
        <v>742</v>
      </c>
      <c r="N726" s="4" t="s">
        <v>742</v>
      </c>
    </row>
    <row r="727">
      <c r="B727" s="8" t="s">
        <v>742</v>
      </c>
      <c r="C727" s="4" t="s">
        <v>742</v>
      </c>
      <c r="D727" s="4" t="s">
        <v>742</v>
      </c>
      <c r="E727" s="4" t="s">
        <v>742</v>
      </c>
      <c r="F727" s="4" t="s">
        <v>742</v>
      </c>
      <c r="G727" s="4" t="s">
        <v>742</v>
      </c>
      <c r="H727" s="4" t="s">
        <v>742</v>
      </c>
      <c r="I727" s="4" t="s">
        <v>742</v>
      </c>
      <c r="J727" s="4" t="s">
        <v>742</v>
      </c>
      <c r="K727" s="4" t="s">
        <v>742</v>
      </c>
      <c r="L727" s="4" t="s">
        <v>742</v>
      </c>
      <c r="M727" s="4" t="s">
        <v>742</v>
      </c>
      <c r="N727" s="4" t="s">
        <v>742</v>
      </c>
    </row>
    <row r="728">
      <c r="B728" s="8" t="s">
        <v>742</v>
      </c>
      <c r="C728" s="4" t="s">
        <v>742</v>
      </c>
      <c r="D728" s="4" t="s">
        <v>742</v>
      </c>
      <c r="E728" s="4" t="s">
        <v>742</v>
      </c>
      <c r="F728" s="4" t="s">
        <v>742</v>
      </c>
      <c r="G728" s="4" t="s">
        <v>742</v>
      </c>
      <c r="H728" s="4" t="s">
        <v>742</v>
      </c>
      <c r="I728" s="4" t="s">
        <v>742</v>
      </c>
      <c r="J728" s="4" t="s">
        <v>742</v>
      </c>
      <c r="K728" s="4" t="s">
        <v>742</v>
      </c>
      <c r="L728" s="4" t="s">
        <v>742</v>
      </c>
      <c r="M728" s="4" t="s">
        <v>742</v>
      </c>
      <c r="N728" s="4" t="s">
        <v>742</v>
      </c>
    </row>
    <row r="729">
      <c r="B729" s="8" t="s">
        <v>742</v>
      </c>
      <c r="C729" s="4" t="s">
        <v>742</v>
      </c>
      <c r="D729" s="4" t="s">
        <v>742</v>
      </c>
      <c r="E729" s="4" t="s">
        <v>742</v>
      </c>
      <c r="F729" s="4" t="s">
        <v>742</v>
      </c>
      <c r="G729" s="4" t="s">
        <v>742</v>
      </c>
      <c r="H729" s="4" t="s">
        <v>742</v>
      </c>
      <c r="I729" s="4" t="s">
        <v>742</v>
      </c>
      <c r="J729" s="4" t="s">
        <v>742</v>
      </c>
      <c r="K729" s="4" t="s">
        <v>742</v>
      </c>
      <c r="L729" s="4" t="s">
        <v>742</v>
      </c>
      <c r="M729" s="4" t="s">
        <v>742</v>
      </c>
      <c r="N729" s="4" t="s">
        <v>742</v>
      </c>
    </row>
    <row r="730">
      <c r="B730" s="8" t="s">
        <v>742</v>
      </c>
      <c r="C730" s="4" t="s">
        <v>742</v>
      </c>
      <c r="D730" s="4" t="s">
        <v>742</v>
      </c>
      <c r="E730" s="4" t="s">
        <v>742</v>
      </c>
      <c r="F730" s="4" t="s">
        <v>742</v>
      </c>
      <c r="G730" s="4" t="s">
        <v>742</v>
      </c>
      <c r="H730" s="4" t="s">
        <v>742</v>
      </c>
      <c r="I730" s="4" t="s">
        <v>742</v>
      </c>
      <c r="J730" s="4" t="s">
        <v>742</v>
      </c>
      <c r="K730" s="4" t="s">
        <v>742</v>
      </c>
      <c r="L730" s="4" t="s">
        <v>742</v>
      </c>
      <c r="M730" s="4" t="s">
        <v>742</v>
      </c>
      <c r="N730" s="4" t="s">
        <v>742</v>
      </c>
    </row>
    <row r="731">
      <c r="B731" s="8" t="s">
        <v>742</v>
      </c>
      <c r="C731" s="4" t="s">
        <v>742</v>
      </c>
      <c r="D731" s="4" t="s">
        <v>742</v>
      </c>
      <c r="E731" s="4" t="s">
        <v>742</v>
      </c>
      <c r="F731" s="4" t="s">
        <v>742</v>
      </c>
      <c r="G731" s="4" t="s">
        <v>742</v>
      </c>
      <c r="H731" s="4" t="s">
        <v>742</v>
      </c>
      <c r="I731" s="4" t="s">
        <v>742</v>
      </c>
      <c r="J731" s="4" t="s">
        <v>742</v>
      </c>
      <c r="K731" s="4" t="s">
        <v>742</v>
      </c>
      <c r="L731" s="4" t="s">
        <v>742</v>
      </c>
      <c r="M731" s="4" t="s">
        <v>742</v>
      </c>
      <c r="N731" s="4" t="s">
        <v>742</v>
      </c>
    </row>
    <row r="732">
      <c r="B732" s="8" t="s">
        <v>742</v>
      </c>
      <c r="C732" s="4" t="s">
        <v>742</v>
      </c>
      <c r="D732" s="4" t="s">
        <v>742</v>
      </c>
      <c r="E732" s="4" t="s">
        <v>742</v>
      </c>
      <c r="F732" s="4" t="s">
        <v>742</v>
      </c>
      <c r="G732" s="4" t="s">
        <v>742</v>
      </c>
      <c r="H732" s="4" t="s">
        <v>742</v>
      </c>
      <c r="I732" s="4" t="s">
        <v>742</v>
      </c>
      <c r="J732" s="4" t="s">
        <v>742</v>
      </c>
      <c r="K732" s="4" t="s">
        <v>742</v>
      </c>
      <c r="L732" s="4" t="s">
        <v>742</v>
      </c>
      <c r="M732" s="4" t="s">
        <v>742</v>
      </c>
      <c r="N732" s="4" t="s">
        <v>742</v>
      </c>
    </row>
    <row r="733">
      <c r="B733" s="8" t="s">
        <v>742</v>
      </c>
      <c r="C733" s="4" t="s">
        <v>742</v>
      </c>
      <c r="D733" s="4" t="s">
        <v>742</v>
      </c>
      <c r="E733" s="4" t="s">
        <v>742</v>
      </c>
      <c r="F733" s="4" t="s">
        <v>742</v>
      </c>
      <c r="G733" s="4" t="s">
        <v>742</v>
      </c>
      <c r="H733" s="4" t="s">
        <v>742</v>
      </c>
      <c r="I733" s="4" t="s">
        <v>742</v>
      </c>
      <c r="J733" s="4" t="s">
        <v>742</v>
      </c>
      <c r="K733" s="4" t="s">
        <v>742</v>
      </c>
      <c r="L733" s="4" t="s">
        <v>742</v>
      </c>
      <c r="M733" s="4" t="s">
        <v>742</v>
      </c>
      <c r="N733" s="4" t="s">
        <v>742</v>
      </c>
    </row>
    <row r="734">
      <c r="B734" s="8" t="s">
        <v>742</v>
      </c>
      <c r="C734" s="4" t="s">
        <v>742</v>
      </c>
      <c r="D734" s="4" t="s">
        <v>742</v>
      </c>
      <c r="E734" s="4" t="s">
        <v>742</v>
      </c>
      <c r="F734" s="4" t="s">
        <v>742</v>
      </c>
      <c r="G734" s="4" t="s">
        <v>742</v>
      </c>
      <c r="H734" s="4" t="s">
        <v>742</v>
      </c>
      <c r="I734" s="4" t="s">
        <v>742</v>
      </c>
      <c r="J734" s="4" t="s">
        <v>742</v>
      </c>
      <c r="K734" s="4" t="s">
        <v>742</v>
      </c>
      <c r="L734" s="4" t="s">
        <v>742</v>
      </c>
      <c r="M734" s="4" t="s">
        <v>742</v>
      </c>
      <c r="N734" s="4" t="s">
        <v>742</v>
      </c>
    </row>
    <row r="735">
      <c r="B735" s="8" t="s">
        <v>742</v>
      </c>
      <c r="C735" s="4" t="s">
        <v>742</v>
      </c>
      <c r="D735" s="4" t="s">
        <v>742</v>
      </c>
      <c r="E735" s="4" t="s">
        <v>742</v>
      </c>
      <c r="F735" s="4" t="s">
        <v>742</v>
      </c>
      <c r="G735" s="4" t="s">
        <v>742</v>
      </c>
      <c r="H735" s="4" t="s">
        <v>742</v>
      </c>
      <c r="I735" s="4" t="s">
        <v>742</v>
      </c>
      <c r="J735" s="4" t="s">
        <v>742</v>
      </c>
      <c r="K735" s="4" t="s">
        <v>742</v>
      </c>
      <c r="L735" s="4" t="s">
        <v>742</v>
      </c>
      <c r="M735" s="4" t="s">
        <v>742</v>
      </c>
      <c r="N735" s="4" t="s">
        <v>742</v>
      </c>
    </row>
    <row r="736">
      <c r="B736" s="8" t="s">
        <v>742</v>
      </c>
      <c r="C736" s="4" t="s">
        <v>742</v>
      </c>
      <c r="D736" s="4" t="s">
        <v>742</v>
      </c>
      <c r="E736" s="4" t="s">
        <v>742</v>
      </c>
      <c r="F736" s="4" t="s">
        <v>742</v>
      </c>
      <c r="G736" s="4" t="s">
        <v>742</v>
      </c>
      <c r="H736" s="4" t="s">
        <v>742</v>
      </c>
      <c r="I736" s="4" t="s">
        <v>742</v>
      </c>
      <c r="J736" s="4" t="s">
        <v>742</v>
      </c>
      <c r="K736" s="4" t="s">
        <v>742</v>
      </c>
      <c r="L736" s="4" t="s">
        <v>742</v>
      </c>
      <c r="M736" s="4" t="s">
        <v>742</v>
      </c>
      <c r="N736" s="4" t="s">
        <v>742</v>
      </c>
    </row>
    <row r="737">
      <c r="B737" s="8" t="s">
        <v>742</v>
      </c>
      <c r="C737" s="4" t="s">
        <v>742</v>
      </c>
      <c r="D737" s="4" t="s">
        <v>742</v>
      </c>
      <c r="E737" s="4" t="s">
        <v>742</v>
      </c>
      <c r="F737" s="4" t="s">
        <v>742</v>
      </c>
      <c r="G737" s="4" t="s">
        <v>742</v>
      </c>
      <c r="H737" s="4" t="s">
        <v>742</v>
      </c>
      <c r="I737" s="4" t="s">
        <v>742</v>
      </c>
      <c r="J737" s="4" t="s">
        <v>742</v>
      </c>
      <c r="K737" s="4" t="s">
        <v>742</v>
      </c>
      <c r="L737" s="4" t="s">
        <v>742</v>
      </c>
      <c r="M737" s="4" t="s">
        <v>742</v>
      </c>
      <c r="N737" s="4" t="s">
        <v>742</v>
      </c>
    </row>
    <row r="738">
      <c r="B738" s="8" t="s">
        <v>742</v>
      </c>
      <c r="C738" s="4" t="s">
        <v>742</v>
      </c>
      <c r="D738" s="4" t="s">
        <v>742</v>
      </c>
      <c r="E738" s="4" t="s">
        <v>742</v>
      </c>
      <c r="F738" s="4" t="s">
        <v>742</v>
      </c>
      <c r="G738" s="4" t="s">
        <v>742</v>
      </c>
      <c r="H738" s="4" t="s">
        <v>742</v>
      </c>
      <c r="I738" s="4" t="s">
        <v>742</v>
      </c>
      <c r="J738" s="4" t="s">
        <v>742</v>
      </c>
      <c r="K738" s="4" t="s">
        <v>742</v>
      </c>
      <c r="L738" s="4" t="s">
        <v>742</v>
      </c>
      <c r="M738" s="4" t="s">
        <v>742</v>
      </c>
      <c r="N738" s="4" t="s">
        <v>742</v>
      </c>
    </row>
    <row r="739">
      <c r="B739" s="8" t="s">
        <v>742</v>
      </c>
      <c r="C739" s="4" t="s">
        <v>742</v>
      </c>
      <c r="D739" s="4" t="s">
        <v>742</v>
      </c>
      <c r="E739" s="4" t="s">
        <v>742</v>
      </c>
      <c r="F739" s="4" t="s">
        <v>742</v>
      </c>
      <c r="G739" s="4" t="s">
        <v>742</v>
      </c>
      <c r="H739" s="4" t="s">
        <v>742</v>
      </c>
      <c r="I739" s="4" t="s">
        <v>742</v>
      </c>
      <c r="J739" s="4" t="s">
        <v>742</v>
      </c>
      <c r="K739" s="4" t="s">
        <v>742</v>
      </c>
      <c r="L739" s="4" t="s">
        <v>742</v>
      </c>
      <c r="M739" s="4" t="s">
        <v>742</v>
      </c>
      <c r="N739" s="4" t="s">
        <v>742</v>
      </c>
    </row>
  </sheetData>
  <conditionalFormatting sqref="C2:N739">
    <cfRule type="cellIs" dxfId="7" priority="1" operator="equal">
      <formula>0</formula>
    </cfRule>
  </conditionalFormatting>
  <conditionalFormatting sqref="C1:N739">
    <cfRule type="cellIs" dxfId="5" priority="2" operator="greaterThan">
      <formula>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2.71"/>
    <col customWidth="1" min="2" max="2" width="54.86"/>
  </cols>
  <sheetData>
    <row r="1">
      <c r="A1" s="230" t="s">
        <v>49</v>
      </c>
      <c r="B1" s="230" t="s">
        <v>743</v>
      </c>
    </row>
    <row r="2">
      <c r="A2" s="231" t="s">
        <v>556</v>
      </c>
      <c r="B2" s="232" t="s">
        <v>744</v>
      </c>
    </row>
    <row r="3">
      <c r="A3" s="231" t="s">
        <v>562</v>
      </c>
      <c r="B3" s="232" t="s">
        <v>745</v>
      </c>
    </row>
    <row r="4">
      <c r="A4" s="233" t="s">
        <v>559</v>
      </c>
      <c r="B4" s="232" t="s">
        <v>746</v>
      </c>
    </row>
    <row r="5">
      <c r="A5" s="231" t="s">
        <v>561</v>
      </c>
      <c r="B5" s="232" t="s">
        <v>747</v>
      </c>
    </row>
    <row r="6">
      <c r="A6" s="234" t="s">
        <v>569</v>
      </c>
      <c r="B6" s="232" t="s">
        <v>748</v>
      </c>
    </row>
    <row r="7">
      <c r="A7" s="234" t="s">
        <v>571</v>
      </c>
      <c r="B7" s="232" t="s">
        <v>749</v>
      </c>
    </row>
    <row r="8">
      <c r="A8" s="233" t="s">
        <v>566</v>
      </c>
      <c r="B8" s="232" t="s">
        <v>746</v>
      </c>
    </row>
    <row r="9">
      <c r="A9" s="231" t="s">
        <v>567</v>
      </c>
      <c r="B9" s="232" t="s">
        <v>746</v>
      </c>
    </row>
    <row r="10">
      <c r="A10" s="233" t="s">
        <v>583</v>
      </c>
      <c r="B10" s="232" t="s">
        <v>746</v>
      </c>
    </row>
    <row r="11">
      <c r="A11" s="231" t="s">
        <v>574</v>
      </c>
      <c r="B11" s="232" t="s">
        <v>750</v>
      </c>
    </row>
    <row r="12">
      <c r="A12" s="231" t="s">
        <v>577</v>
      </c>
      <c r="B12" s="232" t="s">
        <v>746</v>
      </c>
    </row>
    <row r="13">
      <c r="A13" s="231" t="s">
        <v>576</v>
      </c>
      <c r="B13" s="232" t="s">
        <v>746</v>
      </c>
    </row>
    <row r="14">
      <c r="A14" s="231" t="s">
        <v>578</v>
      </c>
      <c r="B14" s="232" t="s">
        <v>751</v>
      </c>
    </row>
    <row r="15">
      <c r="A15" s="231" t="s">
        <v>586</v>
      </c>
      <c r="B15" s="232" t="s">
        <v>752</v>
      </c>
    </row>
    <row r="16">
      <c r="A16" s="231" t="s">
        <v>585</v>
      </c>
      <c r="B16" s="232" t="s">
        <v>753</v>
      </c>
    </row>
    <row r="17">
      <c r="A17" s="234" t="s">
        <v>587</v>
      </c>
      <c r="B17" s="232" t="s">
        <v>754</v>
      </c>
    </row>
    <row r="18">
      <c r="A18" s="231" t="s">
        <v>589</v>
      </c>
      <c r="B18" s="232" t="s">
        <v>755</v>
      </c>
    </row>
    <row r="19">
      <c r="A19" s="234" t="s">
        <v>593</v>
      </c>
      <c r="B19" s="232" t="s">
        <v>756</v>
      </c>
    </row>
    <row r="20">
      <c r="A20" s="234" t="s">
        <v>594</v>
      </c>
      <c r="B20" s="232" t="s">
        <v>757</v>
      </c>
    </row>
    <row r="21">
      <c r="A21" s="234" t="s">
        <v>595</v>
      </c>
      <c r="B21" s="232" t="s">
        <v>757</v>
      </c>
    </row>
    <row r="22">
      <c r="A22" s="234" t="s">
        <v>599</v>
      </c>
      <c r="B22" s="232" t="s">
        <v>758</v>
      </c>
    </row>
    <row r="23">
      <c r="A23" s="233" t="s">
        <v>600</v>
      </c>
      <c r="B23" s="232" t="s">
        <v>759</v>
      </c>
    </row>
    <row r="24">
      <c r="A24" s="234" t="s">
        <v>602</v>
      </c>
      <c r="B24" s="232" t="s">
        <v>760</v>
      </c>
    </row>
    <row r="25">
      <c r="A25" s="234" t="s">
        <v>603</v>
      </c>
      <c r="B25" s="232" t="s">
        <v>760</v>
      </c>
    </row>
    <row r="26">
      <c r="A26" s="234" t="s">
        <v>604</v>
      </c>
      <c r="B26" s="232" t="s">
        <v>761</v>
      </c>
    </row>
    <row r="27">
      <c r="A27" s="234" t="s">
        <v>605</v>
      </c>
      <c r="B27" s="232" t="s">
        <v>762</v>
      </c>
    </row>
    <row r="28">
      <c r="A28" s="234" t="s">
        <v>606</v>
      </c>
      <c r="B28" s="232" t="s">
        <v>763</v>
      </c>
    </row>
    <row r="29">
      <c r="A29" s="234" t="s">
        <v>764</v>
      </c>
      <c r="B29" s="232" t="s">
        <v>765</v>
      </c>
    </row>
    <row r="30">
      <c r="A30" s="234" t="s">
        <v>597</v>
      </c>
      <c r="B30" s="232" t="s">
        <v>766</v>
      </c>
    </row>
    <row r="31">
      <c r="A31" s="234" t="s">
        <v>618</v>
      </c>
      <c r="B31" s="232" t="s">
        <v>767</v>
      </c>
    </row>
    <row r="32">
      <c r="A32" s="234" t="s">
        <v>619</v>
      </c>
      <c r="B32" s="232" t="s">
        <v>768</v>
      </c>
    </row>
    <row r="33">
      <c r="A33" s="233" t="s">
        <v>554</v>
      </c>
      <c r="B33" s="232" t="s">
        <v>769</v>
      </c>
    </row>
    <row r="34">
      <c r="A34" s="231" t="s">
        <v>588</v>
      </c>
      <c r="B34" s="232" t="s">
        <v>746</v>
      </c>
    </row>
    <row r="35">
      <c r="A35" s="234" t="s">
        <v>596</v>
      </c>
      <c r="B35" s="232" t="s">
        <v>770</v>
      </c>
    </row>
    <row r="36">
      <c r="A36" s="234" t="s">
        <v>609</v>
      </c>
      <c r="B36" s="232" t="s">
        <v>763</v>
      </c>
    </row>
    <row r="37">
      <c r="A37" s="234" t="s">
        <v>617</v>
      </c>
      <c r="B37" s="232" t="s">
        <v>768</v>
      </c>
    </row>
    <row r="38">
      <c r="A38" s="235" t="s">
        <v>38</v>
      </c>
      <c r="B38" s="232" t="s">
        <v>748</v>
      </c>
    </row>
    <row r="39">
      <c r="A39" s="235" t="s">
        <v>34</v>
      </c>
      <c r="B39" s="232" t="s">
        <v>771</v>
      </c>
    </row>
    <row r="40">
      <c r="A40" s="235" t="s">
        <v>40</v>
      </c>
      <c r="B40" s="232" t="s">
        <v>772</v>
      </c>
    </row>
    <row r="41">
      <c r="A41" s="236" t="s">
        <v>42</v>
      </c>
      <c r="B41" s="232" t="s">
        <v>773</v>
      </c>
    </row>
    <row r="42">
      <c r="A42" s="232" t="s">
        <v>36</v>
      </c>
      <c r="B42" s="232" t="s">
        <v>774</v>
      </c>
    </row>
    <row r="43">
      <c r="A43" s="235" t="s">
        <v>35</v>
      </c>
      <c r="B43" s="232" t="s">
        <v>746</v>
      </c>
    </row>
    <row r="44">
      <c r="A44" s="237" t="s">
        <v>37</v>
      </c>
      <c r="B44" s="232" t="s">
        <v>775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4.43" defaultRowHeight="15.75"/>
  <cols>
    <col customWidth="1" min="1" max="1" width="30.29"/>
    <col customWidth="1" min="2" max="2" width="12.14"/>
    <col customWidth="1" min="3" max="14" width="19.29"/>
    <col customWidth="1" min="15" max="17" width="20.57"/>
    <col customWidth="1" min="18" max="18" width="23.43"/>
    <col customWidth="1" hidden="1" min="19" max="19" width="23.43"/>
  </cols>
  <sheetData>
    <row r="1" ht="18.75" customHeight="1">
      <c r="T1" s="238" t="s">
        <v>794</v>
      </c>
      <c r="U1" s="238" t="s">
        <v>55</v>
      </c>
      <c r="V1" s="239" t="s">
        <v>795</v>
      </c>
      <c r="W1" s="238" t="s">
        <v>796</v>
      </c>
      <c r="X1" s="238" t="s">
        <v>797</v>
      </c>
      <c r="Y1" s="129" t="s">
        <v>798</v>
      </c>
      <c r="Z1" s="129" t="s">
        <v>62</v>
      </c>
      <c r="AA1" s="129" t="s">
        <v>63</v>
      </c>
      <c r="AB1" s="129" t="s">
        <v>64</v>
      </c>
      <c r="AC1" s="129"/>
    </row>
    <row r="2" ht="18.75" customHeight="1">
      <c r="T2" s="240" t="str">
        <f>IFERROR(__xludf.DUMMYFUNCTION("IFERROR(
  FILTER('CBK Students'!F:F, TRIM('CBK Students'!B:B) = TRIM(A2)),
  """"
)"),"#REF!")</f>
        <v>#REF!</v>
      </c>
      <c r="U2" s="240" t="str">
        <f>IFERROR(__xludf.DUMMYFUNCTION("IFERROR(
  FILTER('CBK Students'!H:H, TRIM('CBK Students'!B:B) = TRIM(A2)),
  """"
)"),"#REF!")</f>
        <v>#REF!</v>
      </c>
      <c r="V2" s="240" t="str">
        <f>IFERROR(__xludf.DUMMYFUNCTION("IFERROR(
  FILTER('CBK Students'!M:M, TRIM('CBK Students'!B:B) = TRIM(A2)),
  """"
)"),"#REF!")</f>
        <v>#REF!</v>
      </c>
      <c r="W2" s="240" t="str">
        <f>IF(
  OR(B2="L250A Physical Computing", B2="L232A Game Development", B2="L330A Mobile Apps Development", B2="L370A HCI and Machine Learning", B2="L350A Embedded System"),
    IFERROR(
      IF(AND(F2&lt;&gt;"", G2&lt;&gt;"", H2&lt;&gt;"", I2&lt;&gt;"", J2&lt;&gt;"", K2&lt;&gt;""), "Start with Final Project", "Learning"),
    ""),
IF(
  OR(B2="L230B Coding and Algorithm ", B2="L220B Digital Animation", B2="L221B Creative Computing", B2="L321B 3D Design for AR and VR"),
    IFERROR(
      IF(AND(C2&lt;&gt;"", D2&lt;&gt;"", E2&lt;&gt;""), "Start with Final Project", "Learning"),
    ""),
IF(
  OR(B2="E371C AI with Python I"),
    IFERROR(
      IF(AND(O2&lt;&gt;"", P2&lt;&gt;"", Q2&lt;&gt;""), "Start with Final Project", "Learning"),
    ""),
"")))</f>
        <v/>
      </c>
      <c r="X2" s="240" t="str">
        <f>IFERROR(__xludf.DUMMYFUNCTION("IFERROR(
  FILTER('CBK Students'!R:R, TRIM('CBK Students'!B:B) = TRIM(A2)),
  """"
)"),"#REF!")</f>
        <v>#REF!</v>
      </c>
      <c r="Y2" s="4" t="str">
        <f>IFS(
  OR(B2="L250A Physical Computing",B2="L232A Game Development",B2="L330A Mobile Apps Development",B2="L370A HCI and Machine Learning",B2="L350A Embedded System"),
    IFS(
      V2&gt;50, IF(AND(F2&lt;&gt;"",G2&lt;&gt;"",H2&lt;&gt;"",I2&lt;&gt;"",J2&lt;&gt;"",K2&lt;&gt;"",N2&lt;&gt;""),"On Track","Showcase Delay"),
      V2&gt;40, IF(AND(F2&lt;&gt;"",G2&lt;&gt;"",H2&lt;&gt;"",I2&lt;&gt;"",J2&lt;&gt;"",K2&lt;&gt;""),"On Track","Final Project Delay"),
      V2&gt;35, IF(AND(F2&lt;&gt;"",G2&lt;&gt;"",H2&lt;&gt;""),"On Track","Stage Delay"),
      V2&gt;30, IF(K2&lt;&gt;"","On Track","Stage Delay"),
      V2&gt;25, IF(J2&lt;&gt;"","On Track","Stage Delay"),
      V2&gt;20, IF(I2&lt;&gt;"","On Track","Stage Delay"),
      V2&gt;15, IF(H2&lt;&gt;"","On Track","Stage Delay"),
      V2&gt;10, IF(G2&lt;&gt;"","On Track","Stage Delay"),
      V2&gt;5,  IF(F2&lt;&gt;"","On Track","Stage Delay"),
      TRUE,  "On Track"
    ),
  OR(B2="L230B Coding and Algorithm ",B2="L220B Digital Animation",B2="L221B Creative Computing",B2="L321B 3D Design for AR and VR"),
    IFS(
      V2&gt;40, IF(AND(C2&lt;&gt;"",D2&lt;&gt;"",E2&lt;&gt;"",N2&lt;&gt;""),"On Track","Showcase Delay"),
      V2&gt;35, IF(AND(C2&lt;&gt;"",D2&lt;&gt;""),"On Track","Stage Delay"),
      V2&gt;30, IF(E2&lt;&gt;"","On Track","Stage Delay"),
      V2&gt;20, IF(D2&lt;&gt;"","On Track","Stage Delay"),
      V2&gt;10, IF(C2&lt;&gt;"","On Track","Stage Delay"),
      TRUE,  "On Track"
    ),
  B2="E371C AI with Python I",
    IFS(
      V2&gt;40, IF(AND(O2&lt;&gt;"",P2&lt;&gt;"",Q2&lt;&gt;"",N2&lt;&gt;""),"On Track","Showcase Delay"),
      V2&gt;35, IF(AND(O2&lt;&gt;"",P2&lt;&gt;""),"On Track","Stage Delay"),
      V2&gt;30, IF(Q2&lt;&gt;"","On Track","Stage Delay"),
      V2&gt;20, IF(P2&lt;&gt;"","On Track","Stage Delay"),
      V2&gt;10, IF(O2&lt;&gt;"","On Track","Stage Delay"),
      TRUE,  "On Track"
    ),
  TRUE, ""
)</f>
        <v/>
      </c>
      <c r="Z2" s="4" t="str">
        <f>IFERROR(__xludf.DUMMYFUNCTION("IFERROR(
  FILTER('CBK Students'!O:O, TRIM('CBK Students'!B:B) = TRIM(A2)),
  """"
)"),"#REF!")</f>
        <v>#REF!</v>
      </c>
      <c r="AA2" s="4" t="str">
        <f>IFERROR(__xludf.DUMMYFUNCTION("IFERROR(
  FILTER('CBK Students'!P:P, TRIM('CBK Students'!B:B) = TRIM(A2)),
  """"
)"),"#REF!")</f>
        <v>#REF!</v>
      </c>
      <c r="AB2" s="4" t="str">
        <f>IFERROR(__xludf.DUMMYFUNCTION("IFERROR(
  FILTER('CBK Students'!Q:Q, TRIM('CBK Students'!B:B) = TRIM(A2)),
  """"
)"),"#REF!")</f>
        <v>#REF!</v>
      </c>
    </row>
    <row r="3" ht="18.75" customHeight="1">
      <c r="T3" s="240" t="str">
        <f>IFERROR(__xludf.DUMMYFUNCTION("IFERROR(
  FILTER('CBK Students'!F:F, TRIM('CBK Students'!B:B) = TRIM(A3)),
  """"
)"),"2 Wed 7:30-8:30pm")</f>
        <v>2 Wed 7:30-8:30pm</v>
      </c>
      <c r="U3" s="240" t="str">
        <f>IFERROR(__xludf.DUMMYFUNCTION("IFERROR(
  FILTER('CBK Students'!H:H, TRIM('CBK Students'!B:B) = TRIM(A3)),
  """"
)"),"Damian")</f>
        <v>Damian</v>
      </c>
      <c r="V3" s="240">
        <f>IFERROR(__xludf.DUMMYFUNCTION("IFERROR(
  FILTER('CBK Students'!M:M, TRIM('CBK Students'!B:B) = TRIM(A3)),
  """"
)"),69.0)</f>
        <v>69</v>
      </c>
      <c r="W3" s="240" t="str">
        <f t="shared" ref="W3:W2266" si="1">IF(
  OR(B3="L250A Physical Computing", B3="L232A Game Development", B3="L330A Mobile Apps Development", B3="L370A HCI and Machine Learning", B3="L350A Embedded System"),
    IFERROR(
      IF(AND(F3&lt;&gt;"", G3&lt;&gt;"", H3&lt;&gt;"", I3&lt;&gt;"", J3&lt;&gt;"", K3&lt;&gt;""), "Start with Final Project", "Learning"),
    ""),
IF(
  OR(B3="L230B Coding and Algorithm ", B3="L220B Digital Animation", B3="L221B Creative Computing", B3="L321B 3D Design for AR and VR"),
    IFERROR(
      IF(AND(C3&lt;&gt;"", D3&lt;&gt;"", E3&lt;&gt;""), "Start with Final Project", "Learning"),
    ""),
IF(
  OR(B3="E371C AI with Python I", B3="E221C Creative Computing I", B3="E251C Physical Computing I", B3="E231C Coding and Algorithm I", B3="E331C Game Development I", B3="E351C HCI and Machine Learning I", B3="E431C Mobile Apps Development I", B3=" E451C Embedded System with IoT I"),
    IFERROR(
      IF(AND(O3&lt;&gt;"", P3&lt;&gt;"", Q3&lt;&gt;""), "Start with Final Project", "Learning"),
    ""),
IF(
  OR(B3="E222C Creative Computing II", B3="E252C Physical Computing II", B3="E232C Coding and Algorithm II", B3="E332C Game Development II", B3="E352C HCI and Machine Learning II", B3="E432C Mobile Apps Development II", B3="E452C Embedded System with IoT II"),
    IFERROR(
      IF(AND(R3&lt;&gt;"", T3&lt;&gt;"", U3&lt;&gt;""), "Start with Final Project", "Learning"),
    ""),
""))))</f>
        <v>Learning</v>
      </c>
      <c r="X3" s="240" t="str">
        <f>IFERROR(__xludf.DUMMYFUNCTION("IFERROR(
  FILTER('CBK Students'!R:R, TRIM('CBK Students'!B:B) = TRIM(A3)),
  """"
)"),"Prepare for Showcase")</f>
        <v>Prepare for Showcase</v>
      </c>
      <c r="Y3" s="4" t="str">
        <f t="shared" ref="Y3:Y2268" si="2">IFS(
  OR(B3="L250A Physical Computing",B3="L232A Game Development",B3="L330A Mobile Apps Development",B3="L370A HCI and Machine Learning",B3="L350A Embedded System"),
    IFS(
      V3&gt;50, IF(AND(F3&lt;&gt;"",G3&lt;&gt;"",H3&lt;&gt;"",I3&lt;&gt;"",J3&lt;&gt;"",K3&lt;&gt;"",N3&lt;&gt;""),"On Track","Showcase Delay"),
      V3&gt;40, IF(AND(F3&lt;&gt;"",G3&lt;&gt;"",H3&lt;&gt;"",I3&lt;&gt;"",J3&lt;&gt;"",K3&lt;&gt;""),"On Track","Final Project Delay"),
      V3&gt;35, IF(AND(F3&lt;&gt;"",G3&lt;&gt;"",H3&lt;&gt;""),"On Track","Stage Delay"),
      V3&gt;30, IF(K3&lt;&gt;"","On Track","Stage Delay"),
      V3&gt;25, IF(J3&lt;&gt;"","On Track","Stage Delay"),
      V3&gt;20, IF(I3&lt;&gt;"","On Track","Stage Delay"),
      V3&gt;15, IF(H3&lt;&gt;"","On Track","Stage Delay"),
      V3&gt;10, IF(G3&lt;&gt;"","On Track","Stage Delay"),
      V3&gt;5,  IF(F3&lt;&gt;"","On Track","Stage Delay"),
      TRUE,  "On Track"
    ),
  OR(B3="L230B Coding and Algorithm ",B3="L220B Digital Animation",B3="L221B Creative Computing",B3="L321B 3D Design for AR and VR"),
    IFS(
      V3&gt;40, IF(AND(C3&lt;&gt;"",D3&lt;&gt;"",E3&lt;&gt;"",N3&lt;&gt;""),"On Track","Showcase Delay"),
      V3&gt;35, IF(AND(C3&lt;&gt;"",D3&lt;&gt;""),"On Track","Stage Delay"),
      V3&gt;30, IF(E3&lt;&gt;"","On Track","Stage Delay"),
      V3&gt;20, IF(D3&lt;&gt;"","On Track","Stage Delay"),
      V3&gt;10, IF(C3&lt;&gt;"","On Track","Stage Delay"),
      TRUE,  "On Track"
    ),
  OR(B3="E371C AI with Python I", B3="E221C Creative Computing I", B3="E251C Physical Computing I", B3="E231C Coding and Algorithm I", B3="E331C Game Development I", B3="E351C HCI and Machine Learning I", B3="E431C Mobile Apps Development I", B3=" E451C Embedded System with IoT I"),
    IFS(
      V3&gt;40, IF(AND(O3&lt;&gt;"",P3&lt;&gt;"",Q3&lt;&gt;"",R3&lt;&gt;""),"On Track","Showcase Delay"),
      V3&gt;35, IF(AND(O3&lt;&gt;"",P3&lt;&gt;""),"On Track","Stage Delay"),
      V3&gt;30, IF(Q3&lt;&gt;"","On Track","Stage Delay"),
      V3&gt;20, IF(P3&lt;&gt;"","On Track","Stage Delay"),
      V3&gt;10, IF(O3&lt;&gt;"","On Track","Stage Delay"),
      TRUE,  "On Track"
    ),
 OR(B3="E222C Creative Computing II", B3="E252C Physical Computing II", B3="E232C Coding and Algorithm II", B3="E332C Game Development II", B3="E352C HCI and Machine Learning II", B3="E432C Mobile Apps Development II", B3="E452C Embedded System with IoT II"),
    IFS(
      V3&gt;40, IF(AND(O3&lt;&gt;"",P3&lt;&gt;"",Q3&lt;&gt;"",R3&lt;&gt;""),"On Track","Showcase Delay"),
      V3&gt;35, IF(AND(O3&lt;&gt;"",P3&lt;&gt;""),"On Track","Stage Delay"),
      V3&gt;30, IF(Q3&lt;&gt;"","On Track","Stage Delay"),
      V3&gt;20, IF(P3&lt;&gt;"","On Track","Stage Delay"),
      V3&gt;10, IF(O3&lt;&gt;"","On Track","Stage Delay"),
      TRUE,  "On Track"
    ),
  TRUE, ""
)</f>
        <v>Showcase Delay</v>
      </c>
      <c r="Z3" s="4" t="str">
        <f>IFERROR(__xludf.DUMMYFUNCTION("IFERROR(
  FILTER('CBK Students'!O:O, TRIM('CBK Students'!B:B) = TRIM(A3)),
  """"
)"),"No")</f>
        <v>No</v>
      </c>
      <c r="AA3" s="4" t="str">
        <f>IFERROR(__xludf.DUMMYFUNCTION("IFERROR(
  FILTER('CBK Students'!P:P, TRIM('CBK Students'!B:B) = TRIM(A3)),
  """"
)"),"03/10/2025 - [Caleb]
Slow learner, often needs to watch twice.
Tends to help friends after learning something.
Mentor is advised to update the parents and explain the milestones and how we plan to support the student.
06/11/2025 - [Caleb]
The mentor has "&amp;"already updated the parents.
10/02/2026 - Aaron is creating a Pong game 🎮. His progress is slow because he likes to teach his friend Benjamin 🌟, and he sometimes needs to watch the tutorial video twice to understand it 💻🚀.
12/02/2026 -  Aaron is creat"&amp;"ing a Pong game 🎮. His progress is slow because he likes to teach his friend Benjamin 🌟, and he sometimes needs to watch the tutorial video twice to understand it 💻🚀
06/04/2026 - Aaron is a careful learner 📚 who often benefits from reviewing instruct"&amp;"ional materials more than once to ensure a thorough understanding of the concepts. 💡 He demonstrates a helpful nature by assisting his peers after he has mastered a new topic. 🤝 💻 We will provide regular updates regarding his milestones 🌟 and our plan"&amp;" to support his continued growth. 🚀")</f>
        <v>03/10/2025 - [Caleb]
Slow learner, often needs to watch twice.
Tends to help friends after learning something.
Mentor is advised to update the parents and explain the milestones and how we plan to support the student.
06/11/2025 - [Caleb]
The mentor has already updated the parents.
10/02/2026 - Aaron is creating a Pong game 🎮. His progress is slow because he likes to teach his friend Benjamin 🌟, and he sometimes needs to watch the tutorial video twice to understand it 💻🚀.
12/02/2026 -  Aaron is creating a Pong game 🎮. His progress is slow because he likes to teach his friend Benjamin 🌟, and he sometimes needs to watch the tutorial video twice to understand it 💻🚀
06/04/2026 - Aaron is a careful learner 📚 who often benefits from reviewing instructional materials more than once to ensure a thorough understanding of the concepts. 💡 He demonstrates a helpful nature by assisting his peers after he has mastered a new topic. 🤝 💻 We will provide regular updates regarding his milestones 🌟 and our plan to support his continued growth. 🚀</v>
      </c>
      <c r="AB3" s="4" t="str">
        <f>IFERROR(__xludf.DUMMYFUNCTION("IFERROR(
  FILTER('CBK Students'!Q:Q, TRIM('CBK Students'!B:B) = TRIM(A3)),
  """"
)"),"Yes")</f>
        <v>Yes</v>
      </c>
    </row>
    <row r="4" ht="18.75" customHeight="1">
      <c r="T4" s="240" t="str">
        <f>IFERROR(__xludf.DUMMYFUNCTION("IFERROR(
  FILTER('CBK Students'!F:F, TRIM('CBK Students'!B:B) = TRIM(A4)),
  """"
)"),"2 Wed 7:30-8:30pm")</f>
        <v>2 Wed 7:30-8:30pm</v>
      </c>
      <c r="U4" s="240" t="str">
        <f>IFERROR(__xludf.DUMMYFUNCTION("IFERROR(
  FILTER('CBK Students'!H:H, TRIM('CBK Students'!B:B) = TRIM(A4)),
  """"
)"),"Mandy")</f>
        <v>Mandy</v>
      </c>
      <c r="V4" s="240">
        <f>IFERROR(__xludf.DUMMYFUNCTION("IFERROR(
  FILTER('CBK Students'!M:M, TRIM('CBK Students'!B:B) = TRIM(A4)),
  """"
)"),6.0)</f>
        <v>6</v>
      </c>
      <c r="W4" s="240" t="str">
        <f t="shared" si="1"/>
        <v/>
      </c>
      <c r="X4" s="240" t="str">
        <f>IFERROR(__xludf.DUMMYFUNCTION("IFERROR(
  FILTER('CBK Students'!R:R, TRIM('CBK Students'!B:B) = TRIM(A4)),
  """"
)"),"Learning")</f>
        <v>Learning</v>
      </c>
      <c r="Y4" s="4" t="str">
        <f t="shared" si="2"/>
        <v/>
      </c>
      <c r="Z4" s="4" t="str">
        <f>IFERROR(__xludf.DUMMYFUNCTION("IFERROR(
  FILTER('CBK Students'!O:O, TRIM('CBK Students'!B:B) = TRIM(A4)),
  """"
)"),"")</f>
        <v/>
      </c>
      <c r="AA4" s="4" t="str">
        <f>IFERROR(__xludf.DUMMYFUNCTION("IFERROR(
  FILTER('CBK Students'!P:P, TRIM('CBK Students'!B:B) = TRIM(A4)),
  """"
)"),"")</f>
        <v/>
      </c>
      <c r="AB4" s="4" t="str">
        <f>IFERROR(__xludf.DUMMYFUNCTION("IFERROR(
  FILTER('CBK Students'!Q:Q, TRIM('CBK Students'!B:B) = TRIM(A4)),
  """"
)"),"")</f>
        <v/>
      </c>
    </row>
    <row r="5" ht="18.75" customHeight="1">
      <c r="T5" s="240" t="str">
        <f>IFERROR(__xludf.DUMMYFUNCTION("IFERROR(
  FILTER('CBK Students'!F:F, TRIM('CBK Students'!B:B) = TRIM(A5)),
  """"
)"),"5 Sat 10:00-11:00am")</f>
        <v>5 Sat 10:00-11:00am</v>
      </c>
      <c r="U5" s="240" t="str">
        <f>IFERROR(__xludf.DUMMYFUNCTION("IFERROR(
  FILTER('CBK Students'!H:H, TRIM('CBK Students'!B:B) = TRIM(A5)),
  """"
)"),"Damian")</f>
        <v>Damian</v>
      </c>
      <c r="V5" s="240">
        <f>IFERROR(__xludf.DUMMYFUNCTION("IFERROR(
  FILTER('CBK Students'!M:M, TRIM('CBK Students'!B:B) = TRIM(A5)),
  """"
)"),13.0)</f>
        <v>13</v>
      </c>
      <c r="W5" s="240" t="str">
        <f t="shared" si="1"/>
        <v>Learning</v>
      </c>
      <c r="X5" s="240" t="str">
        <f>IFERROR(__xludf.DUMMYFUNCTION("IFERROR(
  FILTER('CBK Students'!R:R, TRIM('CBK Students'!B:B) = TRIM(A5)),
  """"
)"),"Learning")</f>
        <v>Learning</v>
      </c>
      <c r="Y5" s="4" t="str">
        <f t="shared" si="2"/>
        <v>Stage Delay</v>
      </c>
      <c r="Z5" s="4" t="str">
        <f>IFERROR(__xludf.DUMMYFUNCTION("IFERROR(
  FILTER('CBK Students'!O:O, TRIM('CBK Students'!B:B) = TRIM(A5)),
  """"
)"),"08/10/2025 - [Caleb]
Right now he is doing the final project dy and almost finish.")</f>
        <v>08/10/2025 - [Caleb]
Right now he is doing the final project dy and almost finish.</v>
      </c>
      <c r="AA5" s="4" t="str">
        <f>IFERROR(__xludf.DUMMYFUNCTION("IFERROR(
  FILTER('CBK Students'!P:P, TRIM('CBK Students'!B:B) = TRIM(A5)),
  """"
)"),"01/10/2025 - [Caleb]
Absent for too often, need follow up with Lam what is happening here
08/10/2025 - [Caleb]
Right now he is doing the final project dy and almost finish.")</f>
        <v>01/10/2025 - [Caleb]
Absent for too often, need follow up with Lam what is happening here
08/10/2025 - [Caleb]
Right now he is doing the final project dy and almost finish.</v>
      </c>
      <c r="AB5" s="4" t="str">
        <f>IFERROR(__xludf.DUMMYFUNCTION("IFERROR(
  FILTER('CBK Students'!Q:Q, TRIM('CBK Students'!B:B) = TRIM(A5)),
  """"
)"),"Yes")</f>
        <v>Yes</v>
      </c>
    </row>
    <row r="6" ht="18.75" customHeight="1">
      <c r="T6" s="240" t="str">
        <f>IFERROR(__xludf.DUMMYFUNCTION("IFERROR(
  FILTER('CBK Students'!F:F, TRIM('CBK Students'!B:B) = TRIM(A6)),
  """"
)"),"5 Sat 10:00-11:00am")</f>
        <v>5 Sat 10:00-11:00am</v>
      </c>
      <c r="U6" s="240" t="str">
        <f>IFERROR(__xludf.DUMMYFUNCTION("IFERROR(
  FILTER('CBK Students'!H:H, TRIM('CBK Students'!B:B) = TRIM(A6)),
  """"
)"),"Enouch")</f>
        <v>Enouch</v>
      </c>
      <c r="V6" s="240">
        <f>IFERROR(__xludf.DUMMYFUNCTION("IFERROR(
  FILTER('CBK Students'!M:M, TRIM('CBK Students'!B:B) = TRIM(A6)),
  """"
)"),18.0)</f>
        <v>18</v>
      </c>
      <c r="W6" s="240" t="str">
        <f t="shared" si="1"/>
        <v/>
      </c>
      <c r="X6" s="240" t="str">
        <f>IFERROR(__xludf.DUMMYFUNCTION("IFERROR(
  FILTER('CBK Students'!R:R, TRIM('CBK Students'!B:B) = TRIM(A6)),
  """"
)"),"Learning")</f>
        <v>Learning</v>
      </c>
      <c r="Y6" s="4" t="str">
        <f t="shared" si="2"/>
        <v/>
      </c>
      <c r="Z6" s="4" t="str">
        <f>IFERROR(__xludf.DUMMYFUNCTION("IFERROR(
  FILTER('CBK Students'!O:O, TRIM('CBK Students'!B:B) = TRIM(A6)),
  """"
)"),"")</f>
        <v/>
      </c>
      <c r="AA6" s="4" t="str">
        <f>IFERROR(__xludf.DUMMYFUNCTION("IFERROR(
  FILTER('CBK Students'!P:P, TRIM('CBK Students'!B:B) = TRIM(A6)),
  """"
)"),"")</f>
        <v/>
      </c>
      <c r="AB6" s="4" t="str">
        <f>IFERROR(__xludf.DUMMYFUNCTION("IFERROR(
  FILTER('CBK Students'!Q:Q, TRIM('CBK Students'!B:B) = TRIM(A6)),
  """"
)"),"")</f>
        <v/>
      </c>
    </row>
    <row r="7" ht="18.75" customHeight="1">
      <c r="T7" s="240" t="str">
        <f>IFERROR(__xludf.DUMMYFUNCTION("IFERROR(
  FILTER('CBK Students'!F:F, TRIM('CBK Students'!B:B) = TRIM(A7)),
  """"
)"),"6 Sat 2.00-3.00pm")</f>
        <v>6 Sat 2.00-3.00pm</v>
      </c>
      <c r="U7" s="240" t="str">
        <f>IFERROR(__xludf.DUMMYFUNCTION("IFERROR(
  FILTER('CBK Students'!H:H, TRIM('CBK Students'!B:B) = TRIM(A7)),
  """"
)"),"Tony")</f>
        <v>Tony</v>
      </c>
      <c r="V7" s="240">
        <f>IFERROR(__xludf.DUMMYFUNCTION("IFERROR(
  FILTER('CBK Students'!M:M, TRIM('CBK Students'!B:B) = TRIM(A7)),
  """"
)"),53.0)</f>
        <v>53</v>
      </c>
      <c r="W7" s="240" t="str">
        <f t="shared" si="1"/>
        <v>Learning</v>
      </c>
      <c r="X7" s="240" t="str">
        <f>IFERROR(__xludf.DUMMYFUNCTION("IFERROR(
  FILTER('CBK Students'!R:R, TRIM('CBK Students'!B:B) = TRIM(A7)),
  """"
)"),"Prepare for Showcase")</f>
        <v>Prepare for Showcase</v>
      </c>
      <c r="Y7" s="4" t="str">
        <f t="shared" si="2"/>
        <v>Showcase Delay</v>
      </c>
      <c r="Z7" s="4" t="str">
        <f>IFERROR(__xludf.DUMMYFUNCTION("IFERROR(
  FILTER('CBK Students'!O:O, TRIM('CBK Students'!B:B) = TRIM(A7)),
  """"
)"),"01/10/2025 - [Caleb]
Progress has already reached Level D, but the student has not submitted the previous project, so the system has no record.
The student often pursues personal interests instead of following the syllabus.
Frequently absent, and tends to"&amp;" replace multiple classes in one go.
Mentor is advised to set a timeline together with the student.
Ask the student to submit all the projects that had been done and receive comments for improvement from mentor.
While students are allowed to explore their"&amp;" own interests, we sometimes need to set limits to bring their focus back.")</f>
        <v>01/10/2025 - [Caleb]
Progress has already reached Level D, but the student has not submitted the previous project, so the system has no record.
The student often pursues personal interests instead of following the syllabus.
Frequently absent, and tends to replace multiple classes in one go.
Mentor is advised to set a timeline together with the student.
Ask the student to submit all the projects that had been done and receive comments for improvement from mentor.
While students are allowed to explore their own interests, we sometimes need to set limits to bring their focus back.</v>
      </c>
      <c r="AA7" s="4" t="str">
        <f>IFERROR(__xludf.DUMMYFUNCTION("IFERROR(
  FILTER('CBK Students'!P:P, TRIM('CBK Students'!B:B) = TRIM(A7)),
  """"
)"),"01/10/2025 - [Caleb]
Progress has already reached Level D, but the student has not submitted the previous project, so the system has no record.
The student often pursues personal interests instead of following the syllabus.
Frequently absent, and tends to"&amp;" replace multiple classes in one go.
Mentor is advised to set a timeline together with the student.
Ask the student to submit all the projects that had been done and receive comments for improvement from mentor.
While students are allowed to explore their"&amp;" own interests, we sometimes need to set limits to bring their focus back.")</f>
        <v>01/10/2025 - [Caleb]
Progress has already reached Level D, but the student has not submitted the previous project, so the system has no record.
The student often pursues personal interests instead of following the syllabus.
Frequently absent, and tends to replace multiple classes in one go.
Mentor is advised to set a timeline together with the student.
Ask the student to submit all the projects that had been done and receive comments for improvement from mentor.
While students are allowed to explore their own interests, we sometimes need to set limits to bring their focus back.</v>
      </c>
      <c r="AB7" s="4" t="str">
        <f>IFERROR(__xludf.DUMMYFUNCTION("IFERROR(
  FILTER('CBK Students'!Q:Q, TRIM('CBK Students'!B:B) = TRIM(A7)),
  """"
)"),"No")</f>
        <v>No</v>
      </c>
    </row>
    <row r="8" ht="18.75" customHeight="1">
      <c r="T8" s="240" t="str">
        <f>IFERROR(__xludf.DUMMYFUNCTION("IFERROR(
  FILTER('CBK Students'!F:F, TRIM('CBK Students'!B:B) = TRIM(A8)),
  """"
)"),"5 Sat 11.00-12.00pm")</f>
        <v>5 Sat 11.00-12.00pm</v>
      </c>
      <c r="U8" s="240" t="str">
        <f>IFERROR(__xludf.DUMMYFUNCTION("IFERROR(
  FILTER('CBK Students'!H:H, TRIM('CBK Students'!B:B) = TRIM(A8)),
  """"
)"),"Enouch")</f>
        <v>Enouch</v>
      </c>
      <c r="V8" s="240">
        <f>IFERROR(__xludf.DUMMYFUNCTION("IFERROR(
  FILTER('CBK Students'!M:M, TRIM('CBK Students'!B:B) = TRIM(A8)),
  """"
)"),41.0)</f>
        <v>41</v>
      </c>
      <c r="W8" s="240" t="str">
        <f t="shared" si="1"/>
        <v>Learning</v>
      </c>
      <c r="X8" s="240" t="str">
        <f>IFERROR(__xludf.DUMMYFUNCTION("IFERROR(
  FILTER('CBK Students'!R:R, TRIM('CBK Students'!B:B) = TRIM(A8)),
  """"
)"),"Prepare for Showcase")</f>
        <v>Prepare for Showcase</v>
      </c>
      <c r="Y8" s="4" t="str">
        <f t="shared" si="2"/>
        <v>Final Project Delay</v>
      </c>
      <c r="Z8" s="4" t="str">
        <f>IFERROR(__xludf.DUMMYFUNCTION("IFERROR(
  FILTER('CBK Students'!O:O, TRIM('CBK Students'!B:B) = TRIM(A8)),
  """"
)"),"06/11/2025 - [Caleb]
The student has progressed up to Stage D with no issues in progress.
The mentor is reminded to evaluate the student’s project before allowing them to move on to the next stage.")</f>
        <v>06/11/2025 - [Caleb]
The student has progressed up to Stage D with no issues in progress.
The mentor is reminded to evaluate the student’s project before allowing them to move on to the next stage.</v>
      </c>
      <c r="AA8" s="4" t="str">
        <f>IFERROR(__xludf.DUMMYFUNCTION("IFERROR(
  FILTER('CBK Students'!P:P, TRIM('CBK Students'!B:B) = TRIM(A8)),
  """"
)"),"06/11/2025 - [Caleb]
The student has progressed up to Stage D with no issues in progress.
The mentor is reminded to evaluate the student’s project before allowing them to move on to the next stage.")</f>
        <v>06/11/2025 - [Caleb]
The student has progressed up to Stage D with no issues in progress.
The mentor is reminded to evaluate the student’s project before allowing them to move on to the next stage.</v>
      </c>
      <c r="AB8" s="4" t="str">
        <f>IFERROR(__xludf.DUMMYFUNCTION("IFERROR(
  FILTER('CBK Students'!Q:Q, TRIM('CBK Students'!B:B) = TRIM(A8)),
  """"
)"),"Yes")</f>
        <v>Yes</v>
      </c>
    </row>
    <row r="9" ht="18.75" customHeight="1">
      <c r="T9" s="240" t="str">
        <f>IFERROR(__xludf.DUMMYFUNCTION("IFERROR(
  FILTER('CBK Students'!F:F, TRIM('CBK Students'!B:B) = TRIM(A9)),
  """"
)"),"SL 1:00-2:00pm")</f>
        <v>SL 1:00-2:00pm</v>
      </c>
      <c r="U9" s="240" t="str">
        <f>IFERROR(__xludf.DUMMYFUNCTION("IFERROR(
  FILTER('CBK Students'!H:H, TRIM('CBK Students'!B:B) = TRIM(A9)),
  """"
)"),"Chuan")</f>
        <v>Chuan</v>
      </c>
      <c r="V9" s="240">
        <f>IFERROR(__xludf.DUMMYFUNCTION("IFERROR(
  FILTER('CBK Students'!M:M, TRIM('CBK Students'!B:B) = TRIM(A9)),
  """"
)"),6.0)</f>
        <v>6</v>
      </c>
      <c r="W9" s="240" t="str">
        <f t="shared" si="1"/>
        <v/>
      </c>
      <c r="X9" s="240" t="str">
        <f>IFERROR(__xludf.DUMMYFUNCTION("IFERROR(
  FILTER('CBK Students'!R:R, TRIM('CBK Students'!B:B) = TRIM(A9)),
  """"
)"),"Learning")</f>
        <v>Learning</v>
      </c>
      <c r="Y9" s="4" t="str">
        <f t="shared" si="2"/>
        <v/>
      </c>
      <c r="Z9" s="4" t="str">
        <f>IFERROR(__xludf.DUMMYFUNCTION("IFERROR(
  FILTER('CBK Students'!O:O, TRIM('CBK Students'!B:B) = TRIM(A9)),
  """"
)"),"")</f>
        <v/>
      </c>
      <c r="AA9" s="4" t="str">
        <f>IFERROR(__xludf.DUMMYFUNCTION("IFERROR(
  FILTER('CBK Students'!P:P, TRIM('CBK Students'!B:B) = TRIM(A9)),
  """"
)"),"")</f>
        <v/>
      </c>
      <c r="AB9" s="4" t="str">
        <f>IFERROR(__xludf.DUMMYFUNCTION("IFERROR(
  FILTER('CBK Students'!Q:Q, TRIM('CBK Students'!B:B) = TRIM(A9)),
  """"
)"),"")</f>
        <v/>
      </c>
    </row>
    <row r="10" ht="18.75" customHeight="1">
      <c r="T10" s="240" t="str">
        <f>IFERROR(__xludf.DUMMYFUNCTION("IFERROR(
  FILTER('CBK Students'!F:F, TRIM('CBK Students'!B:B) = TRIM(A10)),
  """"
)"),"1 Mon 7:30-8:30pm")</f>
        <v>1 Mon 7:30-8:30pm</v>
      </c>
      <c r="U10" s="240" t="str">
        <f>IFERROR(__xludf.DUMMYFUNCTION("IFERROR(
  FILTER('CBK Students'!H:H, TRIM('CBK Students'!B:B) = TRIM(A10)),
  """"
)"),"Damian")</f>
        <v>Damian</v>
      </c>
      <c r="V10" s="240">
        <f>IFERROR(__xludf.DUMMYFUNCTION("IFERROR(
  FILTER('CBK Students'!M:M, TRIM('CBK Students'!B:B) = TRIM(A10)),
  """"
)"),59.0)</f>
        <v>59</v>
      </c>
      <c r="W10" s="240" t="str">
        <f t="shared" si="1"/>
        <v>Learning</v>
      </c>
      <c r="X10" s="240" t="str">
        <f>IFERROR(__xludf.DUMMYFUNCTION("IFERROR(
  FILTER('CBK Students'!R:R, TRIM('CBK Students'!B:B) = TRIM(A10)),
  """"
)"),"Prepare for Showcase")</f>
        <v>Prepare for Showcase</v>
      </c>
      <c r="Y10" s="4" t="str">
        <f t="shared" si="2"/>
        <v>Showcase Delay</v>
      </c>
      <c r="Z10" s="4" t="str">
        <f>IFERROR(__xludf.DUMMYFUNCTION("IFERROR(
  FILTER('CBK Students'!O:O, TRIM('CBK Students'!B:B) = TRIM(A10)),
  """"
)"),"24/09/2025 - [Caleb]
It was a bit dragging because the method inside the LMS no longer works and now requires a subscription fee.
Aidan is having issues with using his phone in class. In my view, the mentor should have informed the parents earlier, even t"&amp;"hough we are already working on helping him improve this.")</f>
        <v>24/09/2025 - [Caleb]
It was a bit dragging because the method inside the LMS no longer works and now requires a subscription fee.
Aidan is having issues with using his phone in class. In my view, the mentor should have informed the parents earlier, even though we are already working on helping him improve this.</v>
      </c>
      <c r="AA10" s="4" t="str">
        <f>IFERROR(__xludf.DUMMYFUNCTION("IFERROR(
  FILTER('CBK Students'!P:P, TRIM('CBK Students'!B:B) = TRIM(A10)),
  """"
)"),"24/09/2025 - [Caleb]
It was a bit dragging because the method inside the LMS no longer works and now requires a subscription fee.
Aidan is having issues with using his phone in class. In my view, the mentor should have informed the parents earlier, even t"&amp;"hough we are already working on helping him improve this.")</f>
        <v>24/09/2025 - [Caleb]
It was a bit dragging because the method inside the LMS no longer works and now requires a subscription fee.
Aidan is having issues with using his phone in class. In my view, the mentor should have informed the parents earlier, even though we are already working on helping him improve this.</v>
      </c>
      <c r="AB10" s="4" t="str">
        <f>IFERROR(__xludf.DUMMYFUNCTION("IFERROR(
  FILTER('CBK Students'!Q:Q, TRIM('CBK Students'!B:B) = TRIM(A10)),
  """"
)"),"No")</f>
        <v>No</v>
      </c>
    </row>
    <row r="11" ht="18.75" customHeight="1">
      <c r="T11" s="240" t="str">
        <f>IFERROR(__xludf.DUMMYFUNCTION("IFERROR(
  FILTER('CBK Students'!F:F, TRIM('CBK Students'!B:B) = TRIM(A11)),
  """"
)"),"7 Sat 2:00-3:00pm")</f>
        <v>7 Sat 2:00-3:00pm</v>
      </c>
      <c r="U11" s="240" t="str">
        <f>IFERROR(__xludf.DUMMYFUNCTION("IFERROR(
  FILTER('CBK Students'!H:H, TRIM('CBK Students'!B:B) = TRIM(A11)),
  """"
)"),"Evelyn")</f>
        <v>Evelyn</v>
      </c>
      <c r="V11" s="240">
        <f>IFERROR(__xludf.DUMMYFUNCTION("IFERROR(
  FILTER('CBK Students'!M:M, TRIM('CBK Students'!B:B) = TRIM(A11)),
  """"
)"),76.0)</f>
        <v>76</v>
      </c>
      <c r="W11" s="240" t="str">
        <f t="shared" si="1"/>
        <v>Learning</v>
      </c>
      <c r="X11" s="240" t="str">
        <f>IFERROR(__xludf.DUMMYFUNCTION("IFERROR(
  FILTER('CBK Students'!R:R, TRIM('CBK Students'!B:B) = TRIM(A11)),
  """"
)"),"Prepare for Showcase")</f>
        <v>Prepare for Showcase</v>
      </c>
      <c r="Y11" s="4" t="str">
        <f t="shared" si="2"/>
        <v>Showcase Delay</v>
      </c>
      <c r="Z11" s="4" t="str">
        <f>IFERROR(__xludf.DUMMYFUNCTION("IFERROR(
  FILTER('CBK Students'!O:O, TRIM('CBK Students'!B:B) = TRIM(A11)),
  """"
)"),"03/10/2025 - [Caleb]
Absent for the last class, 27th Sep 2025")</f>
        <v>03/10/2025 - [Caleb]
Absent for the last class, 27th Sep 2025</v>
      </c>
      <c r="AA11" s="4" t="str">
        <f>IFERROR(__xludf.DUMMYFUNCTION("IFERROR(
  FILTER('CBK Students'!P:P, TRIM('CBK Students'!B:B) = TRIM(A11)),
  """"
)"),"29/09/2025 - [Caleb]
Few projects are done but havent been submit yet
Being absence for too many times, mentor are suggested to report to the parents to make sure parents are aware of this risks.
03/10/2025 - [Caleb]
Absent for the last class, 27th Sep 2"&amp;"025")</f>
        <v>29/09/2025 - [Caleb]
Few projects are done but havent been submit yet
Being absence for too many times, mentor are suggested to report to the parents to make sure parents are aware of this risks.
03/10/2025 - [Caleb]
Absent for the last class, 27th Sep 2025</v>
      </c>
      <c r="AB11" s="4" t="str">
        <f>IFERROR(__xludf.DUMMYFUNCTION("IFERROR(
  FILTER('CBK Students'!Q:Q, TRIM('CBK Students'!B:B) = TRIM(A11)),
  """"
)"),"No")</f>
        <v>No</v>
      </c>
    </row>
    <row r="12" ht="18.75" customHeight="1">
      <c r="T12" s="240" t="str">
        <f>IFERROR(__xludf.DUMMYFUNCTION("IFERROR(
  FILTER('CBK Students'!F:F, TRIM('CBK Students'!B:B) = TRIM(A12)),
  """"
)"),"6 Sat 11:00-12:00pm")</f>
        <v>6 Sat 11:00-12:00pm</v>
      </c>
      <c r="U12" s="240" t="str">
        <f>IFERROR(__xludf.DUMMYFUNCTION("IFERROR(
  FILTER('CBK Students'!H:H, TRIM('CBK Students'!B:B) = TRIM(A12)),
  """"
)"),"Mandy")</f>
        <v>Mandy</v>
      </c>
      <c r="V12" s="240">
        <f>IFERROR(__xludf.DUMMYFUNCTION("IFERROR(
  FILTER('CBK Students'!M:M, TRIM('CBK Students'!B:B) = TRIM(A12)),
  """"
)"),37.0)</f>
        <v>37</v>
      </c>
      <c r="W12" s="240" t="str">
        <f t="shared" si="1"/>
        <v/>
      </c>
      <c r="X12" s="240" t="str">
        <f>IFERROR(__xludf.DUMMYFUNCTION("IFERROR(
  FILTER('CBK Students'!R:R, TRIM('CBK Students'!B:B) = TRIM(A12)),
  """"
)"),"Starting Final Project")</f>
        <v>Starting Final Project</v>
      </c>
      <c r="Y12" s="4" t="str">
        <f t="shared" si="2"/>
        <v/>
      </c>
      <c r="Z12" s="4" t="str">
        <f>IFERROR(__xludf.DUMMYFUNCTION("IFERROR(
  FILTER('CBK Students'!O:O, TRIM('CBK Students'!B:B) = TRIM(A12)),
  """"
)"),"")</f>
        <v/>
      </c>
      <c r="AA12" s="4" t="str">
        <f>IFERROR(__xludf.DUMMYFUNCTION("IFERROR(
  FILTER('CBK Students'!P:P, TRIM('CBK Students'!B:B) = TRIM(A12)),
  """"
)"),"")</f>
        <v/>
      </c>
      <c r="AB12" s="4" t="str">
        <f>IFERROR(__xludf.DUMMYFUNCTION("IFERROR(
  FILTER('CBK Students'!Q:Q, TRIM('CBK Students'!B:B) = TRIM(A12)),
  """"
)"),"")</f>
        <v/>
      </c>
    </row>
    <row r="13" ht="18.75" customHeight="1">
      <c r="T13" s="240" t="str">
        <f>IFERROR(__xludf.DUMMYFUNCTION("IFERROR(
  FILTER('CBK Students'!F:F, TRIM('CBK Students'!B:B) = TRIM(A13)),
  """"
)"),"7 Sat 2:00-3:00pm")</f>
        <v>7 Sat 2:00-3:00pm</v>
      </c>
      <c r="U13" s="240" t="str">
        <f>IFERROR(__xludf.DUMMYFUNCTION("IFERROR(
  FILTER('CBK Students'!H:H, TRIM('CBK Students'!B:B) = TRIM(A13)),
  """"
)"),"Mandy")</f>
        <v>Mandy</v>
      </c>
      <c r="V13" s="240">
        <f>IFERROR(__xludf.DUMMYFUNCTION("IFERROR(
  FILTER('CBK Students'!M:M, TRIM('CBK Students'!B:B) = TRIM(A13)),
  """"
)"),24.0)</f>
        <v>24</v>
      </c>
      <c r="W13" s="240" t="str">
        <f t="shared" si="1"/>
        <v/>
      </c>
      <c r="X13" s="240" t="str">
        <f>IFERROR(__xludf.DUMMYFUNCTION("IFERROR(
  FILTER('CBK Students'!R:R, TRIM('CBK Students'!B:B) = TRIM(A13)),
  """"
)"),"Learning")</f>
        <v>Learning</v>
      </c>
      <c r="Y13" s="4" t="str">
        <f t="shared" si="2"/>
        <v/>
      </c>
      <c r="Z13" s="4" t="str">
        <f>IFERROR(__xludf.DUMMYFUNCTION("IFERROR(
  FILTER('CBK Students'!O:O, TRIM('CBK Students'!B:B) = TRIM(A13)),
  """"
)"),"")</f>
        <v/>
      </c>
      <c r="AA13" s="4" t="str">
        <f>IFERROR(__xludf.DUMMYFUNCTION("IFERROR(
  FILTER('CBK Students'!P:P, TRIM('CBK Students'!B:B) = TRIM(A13)),
  """"
)"),"")</f>
        <v/>
      </c>
      <c r="AB13" s="4" t="str">
        <f>IFERROR(__xludf.DUMMYFUNCTION("IFERROR(
  FILTER('CBK Students'!Q:Q, TRIM('CBK Students'!B:B) = TRIM(A13)),
  """"
)"),"")</f>
        <v/>
      </c>
    </row>
    <row r="14" ht="18.75" customHeight="1">
      <c r="T14" s="240" t="str">
        <f>IFERROR(__xludf.DUMMYFUNCTION("IFERROR(
  FILTER('CBK Students'!F:F, TRIM('CBK Students'!B:B) = TRIM(A14)),
  """"
)"),"6 Sat 11:00-12:00pm")</f>
        <v>6 Sat 11:00-12:00pm</v>
      </c>
      <c r="U14" s="240" t="str">
        <f>IFERROR(__xludf.DUMMYFUNCTION("IFERROR(
  FILTER('CBK Students'!H:H, TRIM('CBK Students'!B:B) = TRIM(A14)),
  """"
)"),"Damian")</f>
        <v>Damian</v>
      </c>
      <c r="V14" s="240">
        <f>IFERROR(__xludf.DUMMYFUNCTION("IFERROR(
  FILTER('CBK Students'!M:M, TRIM('CBK Students'!B:B) = TRIM(A14)),
  """"
)"),13.0)</f>
        <v>13</v>
      </c>
      <c r="W14" s="240" t="str">
        <f t="shared" si="1"/>
        <v>Learning</v>
      </c>
      <c r="X14" s="240" t="str">
        <f>IFERROR(__xludf.DUMMYFUNCTION("IFERROR(
  FILTER('CBK Students'!R:R, TRIM('CBK Students'!B:B) = TRIM(A14)),
  """"
)"),"Learning")</f>
        <v>Learning</v>
      </c>
      <c r="Y14" s="4" t="str">
        <f t="shared" si="2"/>
        <v>On Track</v>
      </c>
      <c r="Z14" s="4" t="str">
        <f>IFERROR(__xludf.DUMMYFUNCTION("IFERROR(
  FILTER('CBK Students'!O:O, TRIM('CBK Students'!B:B) = TRIM(A14)),
  """"
)"),"")</f>
        <v/>
      </c>
      <c r="AA14" s="4" t="str">
        <f>IFERROR(__xludf.DUMMYFUNCTION("IFERROR(
  FILTER('CBK Students'!P:P, TRIM('CBK Students'!B:B) = TRIM(A14)),
  """"
)"),"")</f>
        <v/>
      </c>
      <c r="AB14" s="4" t="str">
        <f>IFERROR(__xludf.DUMMYFUNCTION("IFERROR(
  FILTER('CBK Students'!Q:Q, TRIM('CBK Students'!B:B) = TRIM(A14)),
  """"
)"),"")</f>
        <v/>
      </c>
    </row>
    <row r="15" ht="18.75" customHeight="1">
      <c r="T15" s="240" t="str">
        <f>IFERROR(__xludf.DUMMYFUNCTION("IFERROR(
  FILTER('CBK Students'!F:F, TRIM('CBK Students'!B:B) = TRIM(A15)),
  """"
)"),"5 Sat 11.00-12.00pm")</f>
        <v>5 Sat 11.00-12.00pm</v>
      </c>
      <c r="U15" s="240" t="str">
        <f>IFERROR(__xludf.DUMMYFUNCTION("IFERROR(
  FILTER('CBK Students'!H:H, TRIM('CBK Students'!B:B) = TRIM(A15)),
  """"
)"),"Kerry")</f>
        <v>Kerry</v>
      </c>
      <c r="V15" s="240">
        <f>IFERROR(__xludf.DUMMYFUNCTION("IFERROR(
  FILTER('CBK Students'!M:M, TRIM('CBK Students'!B:B) = TRIM(A15)),
  """"
)"),39.0)</f>
        <v>39</v>
      </c>
      <c r="W15" s="240" t="str">
        <f t="shared" si="1"/>
        <v>Learning</v>
      </c>
      <c r="X15" s="240" t="str">
        <f>IFERROR(__xludf.DUMMYFUNCTION("IFERROR(
  FILTER('CBK Students'!R:R, TRIM('CBK Students'!B:B) = TRIM(A15)),
  """"
)"),"Starting Final Project")</f>
        <v>Starting Final Project</v>
      </c>
      <c r="Y15" s="4" t="str">
        <f t="shared" si="2"/>
        <v>Stage Delay</v>
      </c>
      <c r="Z15" s="4" t="str">
        <f>IFERROR(__xludf.DUMMYFUNCTION("IFERROR(
  FILTER('CBK Students'!O:O, TRIM('CBK Students'!B:B) = TRIM(A15)),
  """"
)"),"23/10/2025 - [Caleb]
The student is now more well-behaved and serious in class.
Previously, he used to watch unrelated content instead of following the learning materials.
Improvement has been observed as before class begins, the mentor now asks him a few"&amp;" questions to help him stay focused and prepared.")</f>
        <v>23/10/2025 - [Caleb]
The student is now more well-behaved and serious in class.
Previously, he used to watch unrelated content instead of following the learning materials.
Improvement has been observed as before class begins, the mentor now asks him a few questions to help him stay focused and prepared.</v>
      </c>
      <c r="AA15" s="4" t="str">
        <f>IFERROR(__xludf.DUMMYFUNCTION("IFERROR(
  FILTER('CBK Students'!P:P, TRIM('CBK Students'!B:B) = TRIM(A15)),
  """"
)"),"23/10/2025 - [Caleb]
The student is now more well-behaved and serious in class.
Previously, he used to watch unrelated content instead of following the learning materials.
Improvement has been observed as before class begins, the mentor now asks him a few"&amp;" questions to help him stay focused and prepared.")</f>
        <v>23/10/2025 - [Caleb]
The student is now more well-behaved and serious in class.
Previously, he used to watch unrelated content instead of following the learning materials.
Improvement has been observed as before class begins, the mentor now asks him a few questions to help him stay focused and prepared.</v>
      </c>
      <c r="AB15" s="4" t="str">
        <f>IFERROR(__xludf.DUMMYFUNCTION("IFERROR(
  FILTER('CBK Students'!Q:Q, TRIM('CBK Students'!B:B) = TRIM(A15)),
  """"
)"),"Yes")</f>
        <v>Yes</v>
      </c>
    </row>
    <row r="16" ht="18.75" customHeight="1">
      <c r="T16" s="240" t="str">
        <f>IFERROR(__xludf.DUMMYFUNCTION("IFERROR(
  FILTER('CBK Students'!F:F, TRIM('CBK Students'!B:B) = TRIM(A16)),
  """"
)"),"2 Wed 7:30-8:30pm")</f>
        <v>2 Wed 7:30-8:30pm</v>
      </c>
      <c r="U16" s="240" t="str">
        <f>IFERROR(__xludf.DUMMYFUNCTION("IFERROR(
  FILTER('CBK Students'!H:H, TRIM('CBK Students'!B:B) = TRIM(A16)),
  """"
)"),"Damian")</f>
        <v>Damian</v>
      </c>
      <c r="V16" s="240">
        <f>IFERROR(__xludf.DUMMYFUNCTION("IFERROR(
  FILTER('CBK Students'!M:M, TRIM('CBK Students'!B:B) = TRIM(A16)),
  """"
)"),14.0)</f>
        <v>14</v>
      </c>
      <c r="W16" s="240" t="str">
        <f t="shared" si="1"/>
        <v>Learning</v>
      </c>
      <c r="X16" s="240" t="str">
        <f>IFERROR(__xludf.DUMMYFUNCTION("IFERROR(
  FILTER('CBK Students'!R:R, TRIM('CBK Students'!B:B) = TRIM(A16)),
  """"
)"),"Learning")</f>
        <v>Learning</v>
      </c>
      <c r="Y16" s="4" t="str">
        <f t="shared" si="2"/>
        <v>Stage Delay</v>
      </c>
      <c r="Z16" s="4" t="str">
        <f>IFERROR(__xludf.DUMMYFUNCTION("IFERROR(
  FILTER('CBK Students'!O:O, TRIM('CBK Students'!B:B) = TRIM(A16)),
  """"
)"),"02/10/2025 - [Caleb]
Improved after the mentor spoke to the student personally; the next challenge is to maintain consistent performance.")</f>
        <v>02/10/2025 - [Caleb]
Improved after the mentor spoke to the student personally; the next challenge is to maintain consistent performance.</v>
      </c>
      <c r="AA16" s="4" t="str">
        <f>IFERROR(__xludf.DUMMYFUNCTION("IFERROR(
  FILTER('CBK Students'!P:P, TRIM('CBK Students'!B:B) = TRIM(A16)),
  """"
)"),"25/09/2025 - [Caleb]
Initially, due to a change of mentor, he tended to remain silent for a period of time.
He is easily distracted by friends, especially when Benaiah joins the class.
The mentor did not provide a specific timeline.""
02/10/2025 - [Caleb]"&amp;"
Improved after the mentor spoke to the student personally; the next challenge is to maintain consistent performance.")</f>
        <v>25/09/2025 - [Caleb]
Initially, due to a change of mentor, he tended to remain silent for a period of time.
He is easily distracted by friends, especially when Benaiah joins the class.
The mentor did not provide a specific timeline."
02/10/2025 - [Caleb]
Improved after the mentor spoke to the student personally; the next challenge is to maintain consistent performance.</v>
      </c>
      <c r="AB16" s="4" t="str">
        <f>IFERROR(__xludf.DUMMYFUNCTION("IFERROR(
  FILTER('CBK Students'!Q:Q, TRIM('CBK Students'!B:B) = TRIM(A16)),
  """"
)"),"Yes")</f>
        <v>Yes</v>
      </c>
    </row>
    <row r="17" ht="18.75" customHeight="1">
      <c r="T17" s="240" t="str">
        <f>IFERROR(__xludf.DUMMYFUNCTION("IFERROR(
  FILTER('CBK Students'!F:F, TRIM('CBK Students'!B:B) = TRIM(A17)),
  """"
)"),"5 Sat 10:00-11:00am")</f>
        <v>5 Sat 10:00-11:00am</v>
      </c>
      <c r="U17" s="240" t="str">
        <f>IFERROR(__xludf.DUMMYFUNCTION("IFERROR(
  FILTER('CBK Students'!H:H, TRIM('CBK Students'!B:B) = TRIM(A17)),
  """"
)"),"Mandy")</f>
        <v>Mandy</v>
      </c>
      <c r="V17" s="240">
        <f>IFERROR(__xludf.DUMMYFUNCTION("IFERROR(
  FILTER('CBK Students'!M:M, TRIM('CBK Students'!B:B) = TRIM(A17)),
  """"
)"),13.0)</f>
        <v>13</v>
      </c>
      <c r="W17" s="240" t="str">
        <f t="shared" si="1"/>
        <v>Learning</v>
      </c>
      <c r="X17" s="240" t="str">
        <f>IFERROR(__xludf.DUMMYFUNCTION("IFERROR(
  FILTER('CBK Students'!R:R, TRIM('CBK Students'!B:B) = TRIM(A17)),
  """"
)"),"Learning")</f>
        <v>Learning</v>
      </c>
      <c r="Y17" s="4" t="str">
        <f t="shared" si="2"/>
        <v>Stage Delay</v>
      </c>
      <c r="Z17" s="4" t="str">
        <f>IFERROR(__xludf.DUMMYFUNCTION("IFERROR(
  FILTER('CBK Students'!O:O, TRIM('CBK Students'!B:B) = TRIM(A17)),
  """"
)"),"02/10/2025 - [Caleb]
Student is working on the final project.
Inconsistent attendance makes it difficult to recap progress.
Friends quitting has caused a loss of motivation.
Mentor is advised to understand why the student is demotivated.")</f>
        <v>02/10/2025 - [Caleb]
Student is working on the final project.
Inconsistent attendance makes it difficult to recap progress.
Friends quitting has caused a loss of motivation.
Mentor is advised to understand why the student is demotivated.</v>
      </c>
      <c r="AA17" s="4" t="str">
        <f>IFERROR(__xludf.DUMMYFUNCTION("IFERROR(
  FILTER('CBK Students'!P:P, TRIM('CBK Students'!B:B) = TRIM(A17)),
  """"
)"),"02/10/2025 - [Caleb]
Student is working on the final project.
Inconsistent attendance makes it difficult to recap progress.
Friends quitting has caused a loss of motivation.
Mentor is advised to understand why the student is demotivated.")</f>
        <v>02/10/2025 - [Caleb]
Student is working on the final project.
Inconsistent attendance makes it difficult to recap progress.
Friends quitting has caused a loss of motivation.
Mentor is advised to understand why the student is demotivated.</v>
      </c>
      <c r="AB17" s="4" t="str">
        <f>IFERROR(__xludf.DUMMYFUNCTION("IFERROR(
  FILTER('CBK Students'!Q:Q, TRIM('CBK Students'!B:B) = TRIM(A17)),
  """"
)"),"No")</f>
        <v>No</v>
      </c>
    </row>
    <row r="18" ht="18.75" customHeight="1">
      <c r="T18" s="240" t="str">
        <f>IFERROR(__xludf.DUMMYFUNCTION("IFERROR(
  FILTER('CBK Students'!F:F, TRIM('CBK Students'!B:B) = TRIM(A18)),
  """"
)"),"2 Wed 7:30-8:30pm")</f>
        <v>2 Wed 7:30-8:30pm</v>
      </c>
      <c r="U18" s="240" t="str">
        <f>IFERROR(__xludf.DUMMYFUNCTION("IFERROR(
  FILTER('CBK Students'!H:H, TRIM('CBK Students'!B:B) = TRIM(A18)),
  """"
)"),"Enouch")</f>
        <v>Enouch</v>
      </c>
      <c r="V18" s="240">
        <f>IFERROR(__xludf.DUMMYFUNCTION("IFERROR(
  FILTER('CBK Students'!M:M, TRIM('CBK Students'!B:B) = TRIM(A18)),
  """"
)"),49.0)</f>
        <v>49</v>
      </c>
      <c r="W18" s="240" t="str">
        <f t="shared" si="1"/>
        <v>Start with Final Project</v>
      </c>
      <c r="X18" s="240" t="str">
        <f>IFERROR(__xludf.DUMMYFUNCTION("IFERROR(
  FILTER('CBK Students'!R:R, TRIM('CBK Students'!B:B) = TRIM(A18)),
  """"
)"),"Prepare for Showcase")</f>
        <v>Prepare for Showcase</v>
      </c>
      <c r="Y18" s="4" t="str">
        <f t="shared" si="2"/>
        <v>Showcase Delay</v>
      </c>
      <c r="Z18" s="4" t="str">
        <f>IFERROR(__xludf.DUMMYFUNCTION("IFERROR(
  FILTER('CBK Students'!O:O, TRIM('CBK Students'!B:B) = TRIM(A18)),
  """"
)"),"14/10/2025 - [Caleb]
Device (tablet) issue — for example, difficulty with copy and paste.
No major issues observed; maintains a positive attitude")</f>
        <v>14/10/2025 - [Caleb]
Device (tablet) issue — for example, difficulty with copy and paste.
No major issues observed; maintains a positive attitude</v>
      </c>
      <c r="AA18" s="4" t="str">
        <f>IFERROR(__xludf.DUMMYFUNCTION("IFERROR(
  FILTER('CBK Students'!P:P, TRIM('CBK Students'!B:B) = TRIM(A18)),
  """"
)"),"14/10/2025 - [Caleb]
Device (tablet) issue — for example, difficulty with copy and paste.
No major issues observed; maintains a positive attitude")</f>
        <v>14/10/2025 - [Caleb]
Device (tablet) issue — for example, difficulty with copy and paste.
No major issues observed; maintains a positive attitude</v>
      </c>
      <c r="AB18" s="4" t="str">
        <f>IFERROR(__xludf.DUMMYFUNCTION("IFERROR(
  FILTER('CBK Students'!Q:Q, TRIM('CBK Students'!B:B) = TRIM(A18)),
  """"
)"),"Yes")</f>
        <v>Yes</v>
      </c>
    </row>
    <row r="19" ht="18.75" customHeight="1">
      <c r="T19" s="240" t="str">
        <f>IFERROR(__xludf.DUMMYFUNCTION("IFERROR(
  FILTER('CBK Students'!F:F, TRIM('CBK Students'!B:B) = TRIM(A19)),
  """"
)"),"9 Sat 4:00-5:00pm")</f>
        <v>9 Sat 4:00-5:00pm</v>
      </c>
      <c r="U19" s="240" t="str">
        <f>IFERROR(__xludf.DUMMYFUNCTION("IFERROR(
  FILTER('CBK Students'!H:H, TRIM('CBK Students'!B:B) = TRIM(A19)),
  """"
)"),"Evelyn")</f>
        <v>Evelyn</v>
      </c>
      <c r="V19" s="240">
        <f>IFERROR(__xludf.DUMMYFUNCTION("IFERROR(
  FILTER('CBK Students'!M:M, TRIM('CBK Students'!B:B) = TRIM(A19)),
  """"
)"),12.0)</f>
        <v>12</v>
      </c>
      <c r="W19" s="240" t="str">
        <f t="shared" si="1"/>
        <v>Learning</v>
      </c>
      <c r="X19" s="240" t="str">
        <f>IFERROR(__xludf.DUMMYFUNCTION("IFERROR(
  FILTER('CBK Students'!R:R, TRIM('CBK Students'!B:B) = TRIM(A19)),
  """"
)"),"Learning")</f>
        <v>Learning</v>
      </c>
      <c r="Y19" s="4" t="str">
        <f t="shared" si="2"/>
        <v>Stage Delay</v>
      </c>
      <c r="Z19" s="4" t="str">
        <f>IFERROR(__xludf.DUMMYFUNCTION("IFERROR(
  FILTER('CBK Students'!O:O, TRIM('CBK Students'!B:B) = TRIM(A19)),
  """"
)"),"14/10/2025 - [Caleb]
(42th week) The student is currently working on his final project with no progress issues. The course consists of three parts, each lasting six months, with additional time allocated for six project submissions. He is now aiming to jo"&amp;"in the year-end showcase.")</f>
        <v>14/10/2025 - [Caleb]
(42th week) The student is currently working on his final project with no progress issues. The course consists of three parts, each lasting six months, with additional time allocated for six project submissions. He is now aiming to join the year-end showcase.</v>
      </c>
      <c r="AA19" s="4" t="str">
        <f>IFERROR(__xludf.DUMMYFUNCTION("IFERROR(
  FILTER('CBK Students'!P:P, TRIM('CBK Students'!B:B) = TRIM(A19)),
  """"
)"),"14/10/2025 - [Caleb]
(42th week) The student is currently working on his final project with no progress issues. The course consists of three parts, each lasting six months, with additional time allocated for six project submissions. He is now aiming to jo"&amp;"in the year-end showcase.")</f>
        <v>14/10/2025 - [Caleb]
(42th week) The student is currently working on his final project with no progress issues. The course consists of three parts, each lasting six months, with additional time allocated for six project submissions. He is now aiming to join the year-end showcase.</v>
      </c>
      <c r="AB19" s="4" t="str">
        <f>IFERROR(__xludf.DUMMYFUNCTION("IFERROR(
  FILTER('CBK Students'!Q:Q, TRIM('CBK Students'!B:B) = TRIM(A19)),
  """"
)"),"Yes")</f>
        <v>Yes</v>
      </c>
    </row>
    <row r="20" ht="18.75" customHeight="1">
      <c r="T20" s="240" t="str">
        <f>IFERROR(__xludf.DUMMYFUNCTION("IFERROR(
  FILTER('CBK Students'!F:F, TRIM('CBK Students'!B:B) = TRIM(A20)),
  """"
)"),"8 Sat 3:00-4:00pm")</f>
        <v>8 Sat 3:00-4:00pm</v>
      </c>
      <c r="U20" s="240" t="str">
        <f>IFERROR(__xludf.DUMMYFUNCTION("IFERROR(
  FILTER('CBK Students'!H:H, TRIM('CBK Students'!B:B) = TRIM(A20)),
  """"
)"),"Damian")</f>
        <v>Damian</v>
      </c>
      <c r="V20" s="240">
        <f>IFERROR(__xludf.DUMMYFUNCTION("IFERROR(
  FILTER('CBK Students'!M:M, TRIM('CBK Students'!B:B) = TRIM(A20)),
  """"
)"),37.0)</f>
        <v>37</v>
      </c>
      <c r="W20" s="240" t="str">
        <f t="shared" si="1"/>
        <v>Start with Final Project</v>
      </c>
      <c r="X20" s="240" t="str">
        <f>IFERROR(__xludf.DUMMYFUNCTION("IFERROR(
  FILTER('CBK Students'!R:R, TRIM('CBK Students'!B:B) = TRIM(A20)),
  """"
)"),"Starting Final Project")</f>
        <v>Starting Final Project</v>
      </c>
      <c r="Y20" s="4" t="str">
        <f t="shared" si="2"/>
        <v>On Track</v>
      </c>
      <c r="Z20" s="4" t="str">
        <f>IFERROR(__xludf.DUMMYFUNCTION("IFERROR(
  FILTER('CBK Students'!O:O, TRIM('CBK Students'!B:B) = TRIM(A20)),
  """"
)"),"")</f>
        <v/>
      </c>
      <c r="AA20" s="4" t="str">
        <f>IFERROR(__xludf.DUMMYFUNCTION("IFERROR(
  FILTER('CBK Students'!P:P, TRIM('CBK Students'!B:B) = TRIM(A20)),
  """"
)"),"")</f>
        <v/>
      </c>
      <c r="AB20" s="4" t="str">
        <f>IFERROR(__xludf.DUMMYFUNCTION("IFERROR(
  FILTER('CBK Students'!Q:Q, TRIM('CBK Students'!B:B) = TRIM(A20)),
  """"
)"),"")</f>
        <v/>
      </c>
    </row>
    <row r="21" ht="18.75" customHeight="1">
      <c r="T21" s="240" t="str">
        <f>IFERROR(__xludf.DUMMYFUNCTION("IFERROR(
  FILTER('CBK Students'!F:F, TRIM('CBK Students'!B:B) = TRIM(A21)),
  """"
)"),"PTK 9:00-10:00am")</f>
        <v>PTK 9:00-10:00am</v>
      </c>
      <c r="U21" s="240" t="str">
        <f>IFERROR(__xludf.DUMMYFUNCTION("IFERROR(
  FILTER('CBK Students'!H:H, TRIM('CBK Students'!B:B) = TRIM(A21)),
  """"
)"),"Chuan")</f>
        <v>Chuan</v>
      </c>
      <c r="V21" s="240">
        <f>IFERROR(__xludf.DUMMYFUNCTION("IFERROR(
  FILTER('CBK Students'!M:M, TRIM('CBK Students'!B:B) = TRIM(A21)),
  """"
)"),10.0)</f>
        <v>10</v>
      </c>
      <c r="W21" s="240" t="str">
        <f t="shared" si="1"/>
        <v>Learning</v>
      </c>
      <c r="X21" s="240" t="str">
        <f>IFERROR(__xludf.DUMMYFUNCTION("IFERROR(
  FILTER('CBK Students'!R:R, TRIM('CBK Students'!B:B) = TRIM(A21)),
  """"
)"),"Learning")</f>
        <v>Learning</v>
      </c>
      <c r="Y21" s="4" t="str">
        <f t="shared" si="2"/>
        <v>On Track</v>
      </c>
      <c r="Z21" s="4" t="str">
        <f>IFERROR(__xludf.DUMMYFUNCTION("IFERROR(
  FILTER('CBK Students'!O:O, TRIM('CBK Students'!B:B) = TRIM(A21)),
  """"
)"),"")</f>
        <v/>
      </c>
      <c r="AA21" s="4" t="str">
        <f>IFERROR(__xludf.DUMMYFUNCTION("IFERROR(
  FILTER('CBK Students'!P:P, TRIM('CBK Students'!B:B) = TRIM(A21)),
  """"
)"),"")</f>
        <v/>
      </c>
      <c r="AB21" s="4" t="str">
        <f>IFERROR(__xludf.DUMMYFUNCTION("IFERROR(
  FILTER('CBK Students'!Q:Q, TRIM('CBK Students'!B:B) = TRIM(A21)),
  """"
)"),"")</f>
        <v/>
      </c>
    </row>
    <row r="22" ht="18.75" customHeight="1">
      <c r="T22" s="240" t="str">
        <f>IFERROR(__xludf.DUMMYFUNCTION("IFERROR(
  FILTER('CBK Students'!F:F, TRIM('CBK Students'!B:B) = TRIM(A22)),
  """"
)"),"6 Sat 11:00-12:00pm")</f>
        <v>6 Sat 11:00-12:00pm</v>
      </c>
      <c r="U22" s="240" t="str">
        <f>IFERROR(__xludf.DUMMYFUNCTION("IFERROR(
  FILTER('CBK Students'!H:H, TRIM('CBK Students'!B:B) = TRIM(A22)),
  """"
)"),"Kerry")</f>
        <v>Kerry</v>
      </c>
      <c r="V22" s="240">
        <f>IFERROR(__xludf.DUMMYFUNCTION("IFERROR(
  FILTER('CBK Students'!M:M, TRIM('CBK Students'!B:B) = TRIM(A22)),
  """"
)"),13.0)</f>
        <v>13</v>
      </c>
      <c r="W22" s="240" t="str">
        <f t="shared" si="1"/>
        <v>Learning</v>
      </c>
      <c r="X22" s="240" t="str">
        <f>IFERROR(__xludf.DUMMYFUNCTION("IFERROR(
  FILTER('CBK Students'!R:R, TRIM('CBK Students'!B:B) = TRIM(A22)),
  """"
)"),"Learning")</f>
        <v>Learning</v>
      </c>
      <c r="Y22" s="4" t="str">
        <f t="shared" si="2"/>
        <v>Stage Delay</v>
      </c>
      <c r="Z22" s="4" t="str">
        <f>IFERROR(__xludf.DUMMYFUNCTION("IFERROR(
  FILTER('CBK Students'!O:O, TRIM('CBK Students'!B:B) = TRIM(A22)),
  """"
)"),"")</f>
        <v/>
      </c>
      <c r="AA22" s="4" t="str">
        <f>IFERROR(__xludf.DUMMYFUNCTION("IFERROR(
  FILTER('CBK Students'!P:P, TRIM('CBK Students'!B:B) = TRIM(A22)),
  """"
)"),"")</f>
        <v/>
      </c>
      <c r="AB22" s="4" t="str">
        <f>IFERROR(__xludf.DUMMYFUNCTION("IFERROR(
  FILTER('CBK Students'!Q:Q, TRIM('CBK Students'!B:B) = TRIM(A22)),
  """"
)"),"")</f>
        <v/>
      </c>
    </row>
    <row r="23" ht="18.75" customHeight="1">
      <c r="T23" s="240" t="str">
        <f>IFERROR(__xludf.DUMMYFUNCTION("IFERROR(
  FILTER('CBK Students'!F:F, TRIM('CBK Students'!B:B) = TRIM(A23)),
  """"
)"),"9 Sat 4:00-5:00pm")</f>
        <v>9 Sat 4:00-5:00pm</v>
      </c>
      <c r="U23" s="240" t="str">
        <f>IFERROR(__xludf.DUMMYFUNCTION("IFERROR(
  FILTER('CBK Students'!H:H, TRIM('CBK Students'!B:B) = TRIM(A23)),
  """"
)"),"Damian")</f>
        <v>Damian</v>
      </c>
      <c r="V23" s="240">
        <f>IFERROR(__xludf.DUMMYFUNCTION("IFERROR(
  FILTER('CBK Students'!M:M, TRIM('CBK Students'!B:B) = TRIM(A23)),
  """"
)"),47.0)</f>
        <v>47</v>
      </c>
      <c r="W23" s="240" t="str">
        <f t="shared" si="1"/>
        <v>Start with Final Project</v>
      </c>
      <c r="X23" s="240" t="str">
        <f>IFERROR(__xludf.DUMMYFUNCTION("IFERROR(
  FILTER('CBK Students'!R:R, TRIM('CBK Students'!B:B) = TRIM(A23)),
  """"
)"),"Prepare for Showcase")</f>
        <v>Prepare for Showcase</v>
      </c>
      <c r="Y23" s="4" t="str">
        <f t="shared" si="2"/>
        <v>On Track</v>
      </c>
      <c r="Z23" s="4" t="str">
        <f>IFERROR(__xludf.DUMMYFUNCTION("IFERROR(
  FILTER('CBK Students'!O:O, TRIM('CBK Students'!B:B) = TRIM(A23)),
  """"
)"),"")</f>
        <v/>
      </c>
      <c r="AA23" s="4" t="str">
        <f>IFERROR(__xludf.DUMMYFUNCTION("IFERROR(
  FILTER('CBK Students'!P:P, TRIM('CBK Students'!B:B) = TRIM(A23)),
  """"
)"),"")</f>
        <v/>
      </c>
      <c r="AB23" s="4" t="str">
        <f>IFERROR(__xludf.DUMMYFUNCTION("IFERROR(
  FILTER('CBK Students'!Q:Q, TRIM('CBK Students'!B:B) = TRIM(A23)),
  """"
)"),"")</f>
        <v/>
      </c>
    </row>
    <row r="24" ht="18.75" customHeight="1">
      <c r="T24" s="240" t="str">
        <f>IFERROR(__xludf.DUMMYFUNCTION("IFERROR(
  FILTER('CBK Students'!F:F, TRIM('CBK Students'!B:B) = TRIM(A24)),
  """"
)"),"7 Sat 2:00-3:00pm")</f>
        <v>7 Sat 2:00-3:00pm</v>
      </c>
      <c r="U24" s="240" t="str">
        <f>IFERROR(__xludf.DUMMYFUNCTION("IFERROR(
  FILTER('CBK Students'!H:H, TRIM('CBK Students'!B:B) = TRIM(A24)),
  """"
)"),"Evelyn")</f>
        <v>Evelyn</v>
      </c>
      <c r="V24" s="240">
        <f>IFERROR(__xludf.DUMMYFUNCTION("IFERROR(
  FILTER('CBK Students'!M:M, TRIM('CBK Students'!B:B) = TRIM(A24)),
  """"
)"),9.0)</f>
        <v>9</v>
      </c>
      <c r="W24" s="240" t="str">
        <f t="shared" si="1"/>
        <v>Learning</v>
      </c>
      <c r="X24" s="240" t="str">
        <f>IFERROR(__xludf.DUMMYFUNCTION("IFERROR(
  FILTER('CBK Students'!R:R, TRIM('CBK Students'!B:B) = TRIM(A24)),
  """"
)"),"Learning")</f>
        <v>Learning</v>
      </c>
      <c r="Y24" s="4" t="str">
        <f t="shared" si="2"/>
        <v>On Track</v>
      </c>
      <c r="Z24" s="4" t="str">
        <f>IFERROR(__xludf.DUMMYFUNCTION("IFERROR(
  FILTER('CBK Students'!O:O, TRIM('CBK Students'!B:B) = TRIM(A24)),
  """"
)"),"")</f>
        <v/>
      </c>
      <c r="AA24" s="4" t="str">
        <f>IFERROR(__xludf.DUMMYFUNCTION("IFERROR(
  FILTER('CBK Students'!P:P, TRIM('CBK Students'!B:B) = TRIM(A24)),
  """"
)"),"")</f>
        <v/>
      </c>
      <c r="AB24" s="4" t="str">
        <f>IFERROR(__xludf.DUMMYFUNCTION("IFERROR(
  FILTER('CBK Students'!Q:Q, TRIM('CBK Students'!B:B) = TRIM(A24)),
  """"
)"),"")</f>
        <v/>
      </c>
    </row>
    <row r="25" ht="18.75" customHeight="1">
      <c r="T25" s="240" t="str">
        <f>IFERROR(__xludf.DUMMYFUNCTION("IFERROR(
  FILTER('CBK Students'!F:F, TRIM('CBK Students'!B:B) = TRIM(A25)),
  """"
)"),"4 Sat 9:00-10:00am")</f>
        <v>4 Sat 9:00-10:00am</v>
      </c>
      <c r="U25" s="240" t="str">
        <f>IFERROR(__xludf.DUMMYFUNCTION("IFERROR(
  FILTER('CBK Students'!H:H, TRIM('CBK Students'!B:B) = TRIM(A25)),
  """"
)"),"Enouch")</f>
        <v>Enouch</v>
      </c>
      <c r="V25" s="240">
        <f>IFERROR(__xludf.DUMMYFUNCTION("IFERROR(
  FILTER('CBK Students'!M:M, TRIM('CBK Students'!B:B) = TRIM(A25)),
  """"
)"),53.0)</f>
        <v>53</v>
      </c>
      <c r="W25" s="240" t="str">
        <f t="shared" si="1"/>
        <v>Learning</v>
      </c>
      <c r="X25" s="240" t="str">
        <f>IFERROR(__xludf.DUMMYFUNCTION("IFERROR(
  FILTER('CBK Students'!R:R, TRIM('CBK Students'!B:B) = TRIM(A25)),
  """"
)"),"Prepare for Showcase")</f>
        <v>Prepare for Showcase</v>
      </c>
      <c r="Y25" s="4" t="str">
        <f t="shared" si="2"/>
        <v>Showcase Delay</v>
      </c>
      <c r="Z25" s="4" t="str">
        <f>IFERROR(__xludf.DUMMYFUNCTION("IFERROR(
  FILTER('CBK Students'!O:O, TRIM('CBK Students'!B:B) = TRIM(A25)),
  """"
)"),"16/10/2025 - [Caleb]
The student has a missing project from B2 and is currently working on the C2 project.
The mentor is advised to follow up on the missing project to ensure completion.
Additionally, the student is a bit shy to communicate.")</f>
        <v>16/10/2025 - [Caleb]
The student has a missing project from B2 and is currently working on the C2 project.
The mentor is advised to follow up on the missing project to ensure completion.
Additionally, the student is a bit shy to communicate.</v>
      </c>
      <c r="AA25" s="4" t="str">
        <f>IFERROR(__xludf.DUMMYFUNCTION("IFERROR(
  FILTER('CBK Students'!P:P, TRIM('CBK Students'!B:B) = TRIM(A25)),
  """"
)"),"16/10/2025 - [Caleb]
The student has a missing project from B2 and is currently working on the C2 project.
The mentor is advised to follow up on the missing project to ensure completion.
Additionally, the student is a bit shy to communicate.")</f>
        <v>16/10/2025 - [Caleb]
The student has a missing project from B2 and is currently working on the C2 project.
The mentor is advised to follow up on the missing project to ensure completion.
Additionally, the student is a bit shy to communicate.</v>
      </c>
      <c r="AB25" s="4" t="str">
        <f>IFERROR(__xludf.DUMMYFUNCTION("IFERROR(
  FILTER('CBK Students'!Q:Q, TRIM('CBK Students'!B:B) = TRIM(A25)),
  """"
)"),"Yes")</f>
        <v>Yes</v>
      </c>
    </row>
    <row r="26" ht="18.75" customHeight="1">
      <c r="T26" s="240" t="str">
        <f>IFERROR(__xludf.DUMMYFUNCTION("IFERROR(
  FILTER('CBK Students'!F:F, TRIM('CBK Students'!B:B) = TRIM(A26)),
  """"
)"),"7 Sat 2:00-3:00pm")</f>
        <v>7 Sat 2:00-3:00pm</v>
      </c>
      <c r="U26" s="240" t="str">
        <f>IFERROR(__xludf.DUMMYFUNCTION("IFERROR(
  FILTER('CBK Students'!H:H, TRIM('CBK Students'!B:B) = TRIM(A26)),
  """"
)"),"Damian")</f>
        <v>Damian</v>
      </c>
      <c r="V26" s="240">
        <f>IFERROR(__xludf.DUMMYFUNCTION("IFERROR(
  FILTER('CBK Students'!M:M, TRIM('CBK Students'!B:B) = TRIM(A26)),
  """"
)"),24.0)</f>
        <v>24</v>
      </c>
      <c r="W26" s="240" t="str">
        <f t="shared" si="1"/>
        <v>Learning</v>
      </c>
      <c r="X26" s="240" t="str">
        <f>IFERROR(__xludf.DUMMYFUNCTION("IFERROR(
  FILTER('CBK Students'!R:R, TRIM('CBK Students'!B:B) = TRIM(A26)),
  """"
)"),"Learning")</f>
        <v>Learning</v>
      </c>
      <c r="Y26" s="4" t="str">
        <f t="shared" si="2"/>
        <v>Stage Delay</v>
      </c>
      <c r="Z26" s="4" t="str">
        <f>IFERROR(__xludf.DUMMYFUNCTION("IFERROR(
  FILTER('CBK Students'!O:O, TRIM('CBK Students'!B:B) = TRIM(A26)),
  """"
)"),"")</f>
        <v/>
      </c>
      <c r="AA26" s="4" t="str">
        <f>IFERROR(__xludf.DUMMYFUNCTION("IFERROR(
  FILTER('CBK Students'!P:P, TRIM('CBK Students'!B:B) = TRIM(A26)),
  """"
)"),"")</f>
        <v/>
      </c>
      <c r="AB26" s="4" t="str">
        <f>IFERROR(__xludf.DUMMYFUNCTION("IFERROR(
  FILTER('CBK Students'!Q:Q, TRIM('CBK Students'!B:B) = TRIM(A26)),
  """"
)"),"")</f>
        <v/>
      </c>
    </row>
    <row r="27" ht="18.75" customHeight="1">
      <c r="T27" s="240" t="str">
        <f>IFERROR(__xludf.DUMMYFUNCTION("IFERROR(
  FILTER('CBK Students'!F:F, TRIM('CBK Students'!B:B) = TRIM(A27)),
  """"
)"),"5 Sat 10:00-11:00am")</f>
        <v>5 Sat 10:00-11:00am</v>
      </c>
      <c r="U27" s="240" t="str">
        <f>IFERROR(__xludf.DUMMYFUNCTION("IFERROR(
  FILTER('CBK Students'!H:H, TRIM('CBK Students'!B:B) = TRIM(A27)),
  """"
)"),"Damian")</f>
        <v>Damian</v>
      </c>
      <c r="V27" s="240">
        <f>IFERROR(__xludf.DUMMYFUNCTION("IFERROR(
  FILTER('CBK Students'!M:M, TRIM('CBK Students'!B:B) = TRIM(A27)),
  """"
)"),7.0)</f>
        <v>7</v>
      </c>
      <c r="W27" s="240" t="str">
        <f t="shared" si="1"/>
        <v>Start with Final Project</v>
      </c>
      <c r="X27" s="240" t="str">
        <f>IFERROR(__xludf.DUMMYFUNCTION("IFERROR(
  FILTER('CBK Students'!R:R, TRIM('CBK Students'!B:B) = TRIM(A27)),
  """"
)"),"Learning")</f>
        <v>Learning</v>
      </c>
      <c r="Y27" s="4" t="str">
        <f t="shared" si="2"/>
        <v>On Track</v>
      </c>
      <c r="Z27" s="4" t="str">
        <f>IFERROR(__xludf.DUMMYFUNCTION("IFERROR(
  FILTER('CBK Students'!O:O, TRIM('CBK Students'!B:B) = TRIM(A27)),
  """"
)"),"")</f>
        <v/>
      </c>
      <c r="AA27" s="4" t="str">
        <f>IFERROR(__xludf.DUMMYFUNCTION("IFERROR(
  FILTER('CBK Students'!P:P, TRIM('CBK Students'!B:B) = TRIM(A27)),
  """"
)"),"")</f>
        <v/>
      </c>
      <c r="AB27" s="4" t="str">
        <f>IFERROR(__xludf.DUMMYFUNCTION("IFERROR(
  FILTER('CBK Students'!Q:Q, TRIM('CBK Students'!B:B) = TRIM(A27)),
  """"
)"),"")</f>
        <v/>
      </c>
    </row>
    <row r="28" ht="18.75" customHeight="1">
      <c r="T28" s="240" t="str">
        <f>IFERROR(__xludf.DUMMYFUNCTION("IFERROR(
  FILTER('CBK Students'!F:F, TRIM('CBK Students'!B:B) = TRIM(A28)),
  """"
)"),"SL 1:00-2:00pm")</f>
        <v>SL 1:00-2:00pm</v>
      </c>
      <c r="U28" s="240" t="str">
        <f>IFERROR(__xludf.DUMMYFUNCTION("IFERROR(
  FILTER('CBK Students'!H:H, TRIM('CBK Students'!B:B) = TRIM(A28)),
  """"
)"),"Chuan")</f>
        <v>Chuan</v>
      </c>
      <c r="V28" s="240">
        <f>IFERROR(__xludf.DUMMYFUNCTION("IFERROR(
  FILTER('CBK Students'!M:M, TRIM('CBK Students'!B:B) = TRIM(A28)),
  """"
)"),6.0)</f>
        <v>6</v>
      </c>
      <c r="W28" s="240" t="str">
        <f t="shared" si="1"/>
        <v/>
      </c>
      <c r="X28" s="240" t="str">
        <f>IFERROR(__xludf.DUMMYFUNCTION("IFERROR(
  FILTER('CBK Students'!R:R, TRIM('CBK Students'!B:B) = TRIM(A28)),
  """"
)"),"Learning")</f>
        <v>Learning</v>
      </c>
      <c r="Y28" s="4" t="str">
        <f t="shared" si="2"/>
        <v/>
      </c>
      <c r="Z28" s="4" t="str">
        <f>IFERROR(__xludf.DUMMYFUNCTION("IFERROR(
  FILTER('CBK Students'!O:O, TRIM('CBK Students'!B:B) = TRIM(A28)),
  """"
)"),"")</f>
        <v/>
      </c>
      <c r="AA28" s="4" t="str">
        <f>IFERROR(__xludf.DUMMYFUNCTION("IFERROR(
  FILTER('CBK Students'!P:P, TRIM('CBK Students'!B:B) = TRIM(A28)),
  """"
)"),"")</f>
        <v/>
      </c>
      <c r="AB28" s="4" t="str">
        <f>IFERROR(__xludf.DUMMYFUNCTION("IFERROR(
  FILTER('CBK Students'!Q:Q, TRIM('CBK Students'!B:B) = TRIM(A28)),
  """"
)"),"")</f>
        <v/>
      </c>
    </row>
    <row r="29" ht="18.75" customHeight="1">
      <c r="T29" s="240" t="str">
        <f>IFERROR(__xludf.DUMMYFUNCTION("IFERROR(
  FILTER('CBK Students'!F:F, TRIM('CBK Students'!B:B) = TRIM(A29)),
  """"
)"),"SL 1:00-2:00pm")</f>
        <v>SL 1:00-2:00pm</v>
      </c>
      <c r="U29" s="240" t="str">
        <f>IFERROR(__xludf.DUMMYFUNCTION("IFERROR(
  FILTER('CBK Students'!H:H, TRIM('CBK Students'!B:B) = TRIM(A29)),
  """"
)"),"Chuan")</f>
        <v>Chuan</v>
      </c>
      <c r="V29" s="240">
        <f>IFERROR(__xludf.DUMMYFUNCTION("IFERROR(
  FILTER('CBK Students'!M:M, TRIM('CBK Students'!B:B) = TRIM(A29)),
  """"
)"),6.0)</f>
        <v>6</v>
      </c>
      <c r="W29" s="240" t="str">
        <f t="shared" si="1"/>
        <v/>
      </c>
      <c r="X29" s="240" t="str">
        <f>IFERROR(__xludf.DUMMYFUNCTION("IFERROR(
  FILTER('CBK Students'!R:R, TRIM('CBK Students'!B:B) = TRIM(A29)),
  """"
)"),"Learning")</f>
        <v>Learning</v>
      </c>
      <c r="Y29" s="4" t="str">
        <f t="shared" si="2"/>
        <v/>
      </c>
      <c r="Z29" s="4" t="str">
        <f>IFERROR(__xludf.DUMMYFUNCTION("IFERROR(
  FILTER('CBK Students'!O:O, TRIM('CBK Students'!B:B) = TRIM(A29)),
  """"
)"),"")</f>
        <v/>
      </c>
      <c r="AA29" s="4" t="str">
        <f>IFERROR(__xludf.DUMMYFUNCTION("IFERROR(
  FILTER('CBK Students'!P:P, TRIM('CBK Students'!B:B) = TRIM(A29)),
  """"
)"),"")</f>
        <v/>
      </c>
      <c r="AB29" s="4" t="str">
        <f>IFERROR(__xludf.DUMMYFUNCTION("IFERROR(
  FILTER('CBK Students'!Q:Q, TRIM('CBK Students'!B:B) = TRIM(A29)),
  """"
)"),"")</f>
        <v/>
      </c>
    </row>
    <row r="30" ht="18.75" customHeight="1">
      <c r="T30" s="240" t="str">
        <f>IFERROR(__xludf.DUMMYFUNCTION("IFERROR(
  FILTER('CBK Students'!F:F, TRIM('CBK Students'!B:B) = TRIM(A30)),
  """"
)"),"7 Sat 2:00-3:00pm")</f>
        <v>7 Sat 2:00-3:00pm</v>
      </c>
      <c r="U30" s="240" t="str">
        <f>IFERROR(__xludf.DUMMYFUNCTION("IFERROR(
  FILTER('CBK Students'!H:H, TRIM('CBK Students'!B:B) = TRIM(A30)),
  """"
)"),"Damian")</f>
        <v>Damian</v>
      </c>
      <c r="V30" s="240">
        <f>IFERROR(__xludf.DUMMYFUNCTION("IFERROR(
  FILTER('CBK Students'!M:M, TRIM('CBK Students'!B:B) = TRIM(A30)),
  """"
)"),62.0)</f>
        <v>62</v>
      </c>
      <c r="W30" s="240" t="str">
        <f t="shared" si="1"/>
        <v>Start with Final Project</v>
      </c>
      <c r="X30" s="240" t="str">
        <f>IFERROR(__xludf.DUMMYFUNCTION("IFERROR(
  FILTER('CBK Students'!R:R, TRIM('CBK Students'!B:B) = TRIM(A30)),
  """"
)"),"Prepare for Showcase")</f>
        <v>Prepare for Showcase</v>
      </c>
      <c r="Y30" s="4" t="str">
        <f t="shared" si="2"/>
        <v>Showcase Delay</v>
      </c>
      <c r="Z30" s="4" t="str">
        <f>IFERROR(__xludf.DUMMYFUNCTION("IFERROR(
  FILTER('CBK Students'!O:O, TRIM('CBK Students'!B:B) = TRIM(A30)),
  """"
)"),"")</f>
        <v/>
      </c>
      <c r="AA30" s="4" t="str">
        <f>IFERROR(__xludf.DUMMYFUNCTION("IFERROR(
  FILTER('CBK Students'!P:P, TRIM('CBK Students'!B:B) = TRIM(A30)),
  """"
)"),"")</f>
        <v/>
      </c>
      <c r="AB30" s="4" t="str">
        <f>IFERROR(__xludf.DUMMYFUNCTION("IFERROR(
  FILTER('CBK Students'!Q:Q, TRIM('CBK Students'!B:B) = TRIM(A30)),
  """"
)"),"")</f>
        <v/>
      </c>
    </row>
    <row r="31" ht="18.75" customHeight="1">
      <c r="T31" s="240" t="str">
        <f>IFERROR(__xludf.DUMMYFUNCTION("IFERROR(
  FILTER('CBK Students'!F:F, TRIM('CBK Students'!B:B) = TRIM(A31)),
  """"
)"),"6 Sat 11:00-12:00pm")</f>
        <v>6 Sat 11:00-12:00pm</v>
      </c>
      <c r="U31" s="240" t="str">
        <f>IFERROR(__xludf.DUMMYFUNCTION("IFERROR(
  FILTER('CBK Students'!H:H, TRIM('CBK Students'!B:B) = TRIM(A31)),
  """"
)"),"Enouch")</f>
        <v>Enouch</v>
      </c>
      <c r="V31" s="240">
        <f>IFERROR(__xludf.DUMMYFUNCTION("IFERROR(
  FILTER('CBK Students'!M:M, TRIM('CBK Students'!B:B) = TRIM(A31)),
  """"
)"),21.0)</f>
        <v>21</v>
      </c>
      <c r="W31" s="240" t="str">
        <f t="shared" si="1"/>
        <v>Learning</v>
      </c>
      <c r="X31" s="240" t="str">
        <f>IFERROR(__xludf.DUMMYFUNCTION("IFERROR(
  FILTER('CBK Students'!R:R, TRIM('CBK Students'!B:B) = TRIM(A31)),
  """"
)"),"Learning")</f>
        <v>Learning</v>
      </c>
      <c r="Y31" s="4" t="str">
        <f t="shared" si="2"/>
        <v>On Track</v>
      </c>
      <c r="Z31" s="4" t="str">
        <f>IFERROR(__xludf.DUMMYFUNCTION("IFERROR(
  FILTER('CBK Students'!O:O, TRIM('CBK Students'!B:B) = TRIM(A31)),
  """"
)"),"08/10/2025 - [Caleb]
The student has completed the final project for the current course, L232A Game Development, but still has missing submissions — fewer than the required six projects. These need to be completed before progressing to the next course.
Te"&amp;"chnical skills and project quality are good; the student is capable of producing quality work.
However, there are attitude issues that need attention. Mentor is advised to discuss the student’s attitude concerns with the parents.")</f>
        <v>08/10/2025 - [Caleb]
The student has completed the final project for the current course, L232A Game Development, but still has missing submissions — fewer than the required six projects. These need to be completed before progressing to the next course.
Technical skills and project quality are good; the student is capable of producing quality work.
However, there are attitude issues that need attention. Mentor is advised to discuss the student’s attitude concerns with the parents.</v>
      </c>
      <c r="AA31" s="4" t="str">
        <f>IFERROR(__xludf.DUMMYFUNCTION("IFERROR(
  FILTER('CBK Students'!P:P, TRIM('CBK Students'!B:B) = TRIM(A31)),
  """"
)"),"08/10/2025 - [Caleb]
The student has completed the final project for the current course, L232A Game Development, but still has missing submissions — fewer than the required six projects. These need to be completed before progressing to the next course.
Te"&amp;"chnical skills and project quality are good; the student is capable of producing quality work.
However, there are attitude issues that need attention. Mentor is advised to discuss the student’s attitude concerns with the parents.")</f>
        <v>08/10/2025 - [Caleb]
The student has completed the final project for the current course, L232A Game Development, but still has missing submissions — fewer than the required six projects. These need to be completed before progressing to the next course.
Technical skills and project quality are good; the student is capable of producing quality work.
However, there are attitude issues that need attention. Mentor is advised to discuss the student’s attitude concerns with the parents.</v>
      </c>
      <c r="AB31" s="4" t="str">
        <f>IFERROR(__xludf.DUMMYFUNCTION("IFERROR(
  FILTER('CBK Students'!Q:Q, TRIM('CBK Students'!B:B) = TRIM(A31)),
  """"
)"),"Yes")</f>
        <v>Yes</v>
      </c>
    </row>
    <row r="32" ht="18.75" customHeight="1">
      <c r="T32" s="240" t="str">
        <f>IFERROR(__xludf.DUMMYFUNCTION("IFERROR(
  FILTER('CBK Students'!F:F, TRIM('CBK Students'!B:B) = TRIM(A32)),
  """"
)"),"SL 1:00-2:00pm")</f>
        <v>SL 1:00-2:00pm</v>
      </c>
      <c r="U32" s="240" t="str">
        <f>IFERROR(__xludf.DUMMYFUNCTION("IFERROR(
  FILTER('CBK Students'!H:H, TRIM('CBK Students'!B:B) = TRIM(A32)),
  """"
)"),"Chuan")</f>
        <v>Chuan</v>
      </c>
      <c r="V32" s="240">
        <f>IFERROR(__xludf.DUMMYFUNCTION("IFERROR(
  FILTER('CBK Students'!M:M, TRIM('CBK Students'!B:B) = TRIM(A32)),
  """"
)"),58.0)</f>
        <v>58</v>
      </c>
      <c r="W32" s="240" t="str">
        <f t="shared" si="1"/>
        <v>Learning</v>
      </c>
      <c r="X32" s="240" t="str">
        <f>IFERROR(__xludf.DUMMYFUNCTION("IFERROR(
  FILTER('CBK Students'!R:R, TRIM('CBK Students'!B:B) = TRIM(A32)),
  """"
)"),"Prepare for Showcase")</f>
        <v>Prepare for Showcase</v>
      </c>
      <c r="Y32" s="4" t="str">
        <f t="shared" si="2"/>
        <v>Showcase Delay</v>
      </c>
      <c r="Z32" s="4" t="str">
        <f>IFERROR(__xludf.DUMMYFUNCTION("IFERROR(
  FILTER('CBK Students'!O:O, TRIM('CBK Students'!B:B) = TRIM(A32)),
  """"
)"),"")</f>
        <v/>
      </c>
      <c r="AA32" s="4" t="str">
        <f>IFERROR(__xludf.DUMMYFUNCTION("IFERROR(
  FILTER('CBK Students'!P:P, TRIM('CBK Students'!B:B) = TRIM(A32)),
  """"
)"),"")</f>
        <v/>
      </c>
      <c r="AB32" s="4" t="str">
        <f>IFERROR(__xludf.DUMMYFUNCTION("IFERROR(
  FILTER('CBK Students'!Q:Q, TRIM('CBK Students'!B:B) = TRIM(A32)),
  """"
)"),"")</f>
        <v/>
      </c>
    </row>
    <row r="33" ht="18.75" customHeight="1">
      <c r="T33" s="240" t="str">
        <f>IFERROR(__xludf.DUMMYFUNCTION("IFERROR(
  FILTER('CBK Students'!F:F, TRIM('CBK Students'!B:B) = TRIM(A33)),
  """"
)"),"2 Wed 7:30-8:30pm")</f>
        <v>2 Wed 7:30-8:30pm</v>
      </c>
      <c r="U33" s="240" t="str">
        <f>IFERROR(__xludf.DUMMYFUNCTION("IFERROR(
  FILTER('CBK Students'!H:H, TRIM('CBK Students'!B:B) = TRIM(A33)),
  """"
)"),"Damian")</f>
        <v>Damian</v>
      </c>
      <c r="V33" s="240">
        <f>IFERROR(__xludf.DUMMYFUNCTION("IFERROR(
  FILTER('CBK Students'!M:M, TRIM('CBK Students'!B:B) = TRIM(A33)),
  """"
)"),54.0)</f>
        <v>54</v>
      </c>
      <c r="W33" s="240" t="str">
        <f t="shared" si="1"/>
        <v>Learning</v>
      </c>
      <c r="X33" s="240" t="str">
        <f>IFERROR(__xludf.DUMMYFUNCTION("IFERROR(
  FILTER('CBK Students'!R:R, TRIM('CBK Students'!B:B) = TRIM(A33)),
  """"
)"),"Prepare for Showcase")</f>
        <v>Prepare for Showcase</v>
      </c>
      <c r="Y33" s="4" t="str">
        <f t="shared" si="2"/>
        <v>Showcase Delay</v>
      </c>
      <c r="Z33" s="4" t="str">
        <f>IFERROR(__xludf.DUMMYFUNCTION("IFERROR(
  FILTER('CBK Students'!O:O, TRIM('CBK Students'!B:B) = TRIM(A33)),
  """"
)"),"06/11/2025 - [Caleb]
Some projects were skipped; mentor is advised to update the parents regarding this matter.
Student is a slow learner, has progressed up to Project D2.")</f>
        <v>06/11/2025 - [Caleb]
Some projects were skipped; mentor is advised to update the parents regarding this matter.
Student is a slow learner, has progressed up to Project D2.</v>
      </c>
      <c r="AA33" s="4" t="str">
        <f>IFERROR(__xludf.DUMMYFUNCTION("IFERROR(
  FILTER('CBK Students'!P:P, TRIM('CBK Students'!B:B) = TRIM(A33)),
  """"
)"),"06/11/2025 - [Caleb]
Some projects were skipped; mentor is advised to update the parents regarding this matter.
Student is a slow learner, has progressed up to Project D2.")</f>
        <v>06/11/2025 - [Caleb]
Some projects were skipped; mentor is advised to update the parents regarding this matter.
Student is a slow learner, has progressed up to Project D2.</v>
      </c>
      <c r="AB33" s="4" t="str">
        <f>IFERROR(__xludf.DUMMYFUNCTION("IFERROR(
  FILTER('CBK Students'!Q:Q, TRIM('CBK Students'!B:B) = TRIM(A33)),
  """"
)"),"No")</f>
        <v>No</v>
      </c>
    </row>
    <row r="34" ht="18.75" customHeight="1">
      <c r="T34" s="240" t="str">
        <f>IFERROR(__xludf.DUMMYFUNCTION("IFERROR(
  FILTER('CBK Students'!F:F, TRIM('CBK Students'!B:B) = TRIM(A34)),
  """"
)"),"9 Sat 4:00-5:00pm")</f>
        <v>9 Sat 4:00-5:00pm</v>
      </c>
      <c r="U34" s="240" t="str">
        <f>IFERROR(__xludf.DUMMYFUNCTION("IFERROR(
  FILTER('CBK Students'!H:H, TRIM('CBK Students'!B:B) = TRIM(A34)),
  """"
)"),"Damian")</f>
        <v>Damian</v>
      </c>
      <c r="V34" s="240">
        <f>IFERROR(__xludf.DUMMYFUNCTION("IFERROR(
  FILTER('CBK Students'!M:M, TRIM('CBK Students'!B:B) = TRIM(A34)),
  """"
)"),3.0)</f>
        <v>3</v>
      </c>
      <c r="W34" s="240" t="str">
        <f t="shared" si="1"/>
        <v>Learning</v>
      </c>
      <c r="X34" s="240" t="str">
        <f>IFERROR(__xludf.DUMMYFUNCTION("IFERROR(
  FILTER('CBK Students'!R:R, TRIM('CBK Students'!B:B) = TRIM(A34)),
  """"
)"),"Learning")</f>
        <v>Learning</v>
      </c>
      <c r="Y34" s="4" t="str">
        <f t="shared" si="2"/>
        <v>On Track</v>
      </c>
      <c r="Z34" s="4" t="str">
        <f>IFERROR(__xludf.DUMMYFUNCTION("IFERROR(
  FILTER('CBK Students'!O:O, TRIM('CBK Students'!B:B) = TRIM(A34)),
  """"
)"),"")</f>
        <v/>
      </c>
      <c r="AA34" s="4" t="str">
        <f>IFERROR(__xludf.DUMMYFUNCTION("IFERROR(
  FILTER('CBK Students'!P:P, TRIM('CBK Students'!B:B) = TRIM(A34)),
  """"
)"),"")</f>
        <v/>
      </c>
      <c r="AB34" s="4" t="str">
        <f>IFERROR(__xludf.DUMMYFUNCTION("IFERROR(
  FILTER('CBK Students'!Q:Q, TRIM('CBK Students'!B:B) = TRIM(A34)),
  """"
)"),"")</f>
        <v/>
      </c>
    </row>
    <row r="35" ht="18.75" customHeight="1">
      <c r="T35" s="240" t="str">
        <f>IFERROR(__xludf.DUMMYFUNCTION("IFERROR(
  FILTER('CBK Students'!F:F, TRIM('CBK Students'!B:B) = TRIM(A35)),
  """"
)"),"2 Wed 7:30-8:30pm")</f>
        <v>2 Wed 7:30-8:30pm</v>
      </c>
      <c r="U35" s="240" t="str">
        <f>IFERROR(__xludf.DUMMYFUNCTION("IFERROR(
  FILTER('CBK Students'!H:H, TRIM('CBK Students'!B:B) = TRIM(A35)),
  """"
)"),"Enouch")</f>
        <v>Enouch</v>
      </c>
      <c r="V35" s="240">
        <f>IFERROR(__xludf.DUMMYFUNCTION("IFERROR(
  FILTER('CBK Students'!M:M, TRIM('CBK Students'!B:B) = TRIM(A35)),
  """"
)"),41.0)</f>
        <v>41</v>
      </c>
      <c r="W35" s="240" t="str">
        <f t="shared" si="1"/>
        <v>Learning</v>
      </c>
      <c r="X35" s="240" t="str">
        <f>IFERROR(__xludf.DUMMYFUNCTION("IFERROR(
  FILTER('CBK Students'!R:R, TRIM('CBK Students'!B:B) = TRIM(A35)),
  """"
)"),"Prepare for Showcase")</f>
        <v>Prepare for Showcase</v>
      </c>
      <c r="Y35" s="4" t="str">
        <f t="shared" si="2"/>
        <v>Showcase Delay</v>
      </c>
      <c r="Z35" s="4" t="str">
        <f>IFERROR(__xludf.DUMMYFUNCTION("IFERROR(
  FILTER('CBK Students'!O:O, TRIM('CBK Students'!B:B) = TRIM(A35)),
  """"
)"),"16/10/2025 - [Caleb]
The student previously used the mentor’s laptop during class and was unable to continue progress at home.
There were also issues with the student’s MacBook, but the student has recently switched to a Windows laptop last week, which sh"&amp;"ould help improve learning continuity and project progress.")</f>
        <v>16/10/2025 - [Caleb]
The student previously used the mentor’s laptop during class and was unable to continue progress at home.
There were also issues with the student’s MacBook, but the student has recently switched to a Windows laptop last week, which should help improve learning continuity and project progress.</v>
      </c>
      <c r="AA35" s="4" t="str">
        <f>IFERROR(__xludf.DUMMYFUNCTION("IFERROR(
  FILTER('CBK Students'!P:P, TRIM('CBK Students'!B:B) = TRIM(A35)),
  """"
)"),"16/10/2025 - [Caleb]
The student previously used the mentor’s laptop during class and was unable to continue progress at home.
There were also issues with the student’s MacBook, but the student has recently switched to a Windows laptop last week, which sh"&amp;"ould help improve learning continuity and project progress.")</f>
        <v>16/10/2025 - [Caleb]
The student previously used the mentor’s laptop during class and was unable to continue progress at home.
There were also issues with the student’s MacBook, but the student has recently switched to a Windows laptop last week, which should help improve learning continuity and project progress.</v>
      </c>
      <c r="AB35" s="4" t="str">
        <f>IFERROR(__xludf.DUMMYFUNCTION("IFERROR(
  FILTER('CBK Students'!Q:Q, TRIM('CBK Students'!B:B) = TRIM(A35)),
  """"
)"),"Yes")</f>
        <v>Yes</v>
      </c>
    </row>
    <row r="36" ht="18.75" customHeight="1">
      <c r="T36" s="240" t="str">
        <f>IFERROR(__xludf.DUMMYFUNCTION("IFERROR(
  FILTER('CBK Students'!F:F, TRIM('CBK Students'!B:B) = TRIM(A36)),
  """"
)"),"PTK 9:00-10:00am")</f>
        <v>PTK 9:00-10:00am</v>
      </c>
      <c r="U36" s="240" t="str">
        <f>IFERROR(__xludf.DUMMYFUNCTION("IFERROR(
  FILTER('CBK Students'!H:H, TRIM('CBK Students'!B:B) = TRIM(A36)),
  """"
)"),"Chuan")</f>
        <v>Chuan</v>
      </c>
      <c r="V36" s="240">
        <f>IFERROR(__xludf.DUMMYFUNCTION("IFERROR(
  FILTER('CBK Students'!M:M, TRIM('CBK Students'!B:B) = TRIM(A36)),
  """"
)"),41.0)</f>
        <v>41</v>
      </c>
      <c r="W36" s="240" t="str">
        <f t="shared" si="1"/>
        <v>Learning</v>
      </c>
      <c r="X36" s="240" t="str">
        <f>IFERROR(__xludf.DUMMYFUNCTION("IFERROR(
  FILTER('CBK Students'!R:R, TRIM('CBK Students'!B:B) = TRIM(A36)),
  """"
)"),"Prepare for Showcase")</f>
        <v>Prepare for Showcase</v>
      </c>
      <c r="Y36" s="4" t="str">
        <f t="shared" si="2"/>
        <v>Showcase Delay</v>
      </c>
      <c r="Z36" s="4" t="str">
        <f>IFERROR(__xludf.DUMMYFUNCTION("IFERROR(
  FILTER('CBK Students'!O:O, TRIM('CBK Students'!B:B) = TRIM(A36)),
  """"
)"),"")</f>
        <v/>
      </c>
      <c r="AA36" s="4" t="str">
        <f>IFERROR(__xludf.DUMMYFUNCTION("IFERROR(
  FILTER('CBK Students'!P:P, TRIM('CBK Students'!B:B) = TRIM(A36)),
  """"
)"),"")</f>
        <v/>
      </c>
      <c r="AB36" s="4" t="str">
        <f>IFERROR(__xludf.DUMMYFUNCTION("IFERROR(
  FILTER('CBK Students'!Q:Q, TRIM('CBK Students'!B:B) = TRIM(A36)),
  """"
)"),"")</f>
        <v/>
      </c>
    </row>
    <row r="37" ht="18.75" customHeight="1">
      <c r="T37" s="240" t="str">
        <f>IFERROR(__xludf.DUMMYFUNCTION("IFERROR(
  FILTER('CBK Students'!F:F, TRIM('CBK Students'!B:B) = TRIM(A37)),
  """"
)"),"7 Sat 2:00-3:00pm")</f>
        <v>7 Sat 2:00-3:00pm</v>
      </c>
      <c r="U37" s="240" t="str">
        <f>IFERROR(__xludf.DUMMYFUNCTION("IFERROR(
  FILTER('CBK Students'!H:H, TRIM('CBK Students'!B:B) = TRIM(A37)),
  """"
)"),"Mandy")</f>
        <v>Mandy</v>
      </c>
      <c r="V37" s="240">
        <f>IFERROR(__xludf.DUMMYFUNCTION("IFERROR(
  FILTER('CBK Students'!M:M, TRIM('CBK Students'!B:B) = TRIM(A37)),
  """"
)"),24.0)</f>
        <v>24</v>
      </c>
      <c r="W37" s="240" t="str">
        <f t="shared" si="1"/>
        <v/>
      </c>
      <c r="X37" s="240" t="str">
        <f>IFERROR(__xludf.DUMMYFUNCTION("IFERROR(
  FILTER('CBK Students'!R:R, TRIM('CBK Students'!B:B) = TRIM(A37)),
  """"
)"),"Learning")</f>
        <v>Learning</v>
      </c>
      <c r="Y37" s="4" t="str">
        <f t="shared" si="2"/>
        <v/>
      </c>
      <c r="Z37" s="4" t="str">
        <f>IFERROR(__xludf.DUMMYFUNCTION("IFERROR(
  FILTER('CBK Students'!O:O, TRIM('CBK Students'!B:B) = TRIM(A37)),
  """"
)"),"")</f>
        <v/>
      </c>
      <c r="AA37" s="4" t="str">
        <f>IFERROR(__xludf.DUMMYFUNCTION("IFERROR(
  FILTER('CBK Students'!P:P, TRIM('CBK Students'!B:B) = TRIM(A37)),
  """"
)"),"")</f>
        <v/>
      </c>
      <c r="AB37" s="4" t="str">
        <f>IFERROR(__xludf.DUMMYFUNCTION("IFERROR(
  FILTER('CBK Students'!Q:Q, TRIM('CBK Students'!B:B) = TRIM(A37)),
  """"
)"),"")</f>
        <v/>
      </c>
    </row>
    <row r="38" ht="18.75" customHeight="1">
      <c r="T38" s="240" t="str">
        <f>IFERROR(__xludf.DUMMYFUNCTION("IFERROR(
  FILTER('CBK Students'!F:F, TRIM('CBK Students'!B:B) = TRIM(A38)),
  """"
)"),"SL 1:00-2:00pm")</f>
        <v>SL 1:00-2:00pm</v>
      </c>
      <c r="U38" s="240" t="str">
        <f>IFERROR(__xludf.DUMMYFUNCTION("IFERROR(
  FILTER('CBK Students'!H:H, TRIM('CBK Students'!B:B) = TRIM(A38)),
  """"
)"),"Chuan")</f>
        <v>Chuan</v>
      </c>
      <c r="V38" s="240">
        <f>IFERROR(__xludf.DUMMYFUNCTION("IFERROR(
  FILTER('CBK Students'!M:M, TRIM('CBK Students'!B:B) = TRIM(A38)),
  """"
)"),6.0)</f>
        <v>6</v>
      </c>
      <c r="W38" s="240" t="str">
        <f t="shared" si="1"/>
        <v/>
      </c>
      <c r="X38" s="240" t="str">
        <f>IFERROR(__xludf.DUMMYFUNCTION("IFERROR(
  FILTER('CBK Students'!R:R, TRIM('CBK Students'!B:B) = TRIM(A38)),
  """"
)"),"Learning")</f>
        <v>Learning</v>
      </c>
      <c r="Y38" s="4" t="str">
        <f t="shared" si="2"/>
        <v/>
      </c>
      <c r="Z38" s="4" t="str">
        <f>IFERROR(__xludf.DUMMYFUNCTION("IFERROR(
  FILTER('CBK Students'!O:O, TRIM('CBK Students'!B:B) = TRIM(A38)),
  """"
)"),"")</f>
        <v/>
      </c>
      <c r="AA38" s="4" t="str">
        <f>IFERROR(__xludf.DUMMYFUNCTION("IFERROR(
  FILTER('CBK Students'!P:P, TRIM('CBK Students'!B:B) = TRIM(A38)),
  """"
)"),"")</f>
        <v/>
      </c>
      <c r="AB38" s="4" t="str">
        <f>IFERROR(__xludf.DUMMYFUNCTION("IFERROR(
  FILTER('CBK Students'!Q:Q, TRIM('CBK Students'!B:B) = TRIM(A38)),
  """"
)"),"")</f>
        <v/>
      </c>
    </row>
    <row r="39" ht="18.75" customHeight="1">
      <c r="T39" s="240" t="str">
        <f>IFERROR(__xludf.DUMMYFUNCTION("IFERROR(
  FILTER('CBK Students'!F:F, TRIM('CBK Students'!B:B) = TRIM(A39)),
  """"
)"),"TH 12:45-1:45pm")</f>
        <v>TH 12:45-1:45pm</v>
      </c>
      <c r="U39" s="240" t="str">
        <f>IFERROR(__xludf.DUMMYFUNCTION("IFERROR(
  FILTER('CBK Students'!H:H, TRIM('CBK Students'!B:B) = TRIM(A39)),
  """"
)"),"Mandy")</f>
        <v>Mandy</v>
      </c>
      <c r="V39" s="240">
        <f>IFERROR(__xludf.DUMMYFUNCTION("IFERROR(
  FILTER('CBK Students'!M:M, TRIM('CBK Students'!B:B) = TRIM(A39)),
  """"
)"),24.0)</f>
        <v>24</v>
      </c>
      <c r="W39" s="240" t="str">
        <f t="shared" si="1"/>
        <v>Learning</v>
      </c>
      <c r="X39" s="240" t="str">
        <f>IFERROR(__xludf.DUMMYFUNCTION("IFERROR(
  FILTER('CBK Students'!R:R, TRIM('CBK Students'!B:B) = TRIM(A39)),
  """"
)"),"Learning")</f>
        <v>Learning</v>
      </c>
      <c r="Y39" s="4" t="str">
        <f t="shared" si="2"/>
        <v>Stage Delay</v>
      </c>
      <c r="Z39" s="4" t="str">
        <f>IFERROR(__xludf.DUMMYFUNCTION("IFERROR(
  FILTER('CBK Students'!O:O, TRIM('CBK Students'!B:B) = TRIM(A39)),
  """"
)"),"")</f>
        <v/>
      </c>
      <c r="AA39" s="4" t="str">
        <f>IFERROR(__xludf.DUMMYFUNCTION("IFERROR(
  FILTER('CBK Students'!P:P, TRIM('CBK Students'!B:B) = TRIM(A39)),
  """"
)"),"")</f>
        <v/>
      </c>
      <c r="AB39" s="4" t="str">
        <f>IFERROR(__xludf.DUMMYFUNCTION("IFERROR(
  FILTER('CBK Students'!Q:Q, TRIM('CBK Students'!B:B) = TRIM(A39)),
  """"
)"),"")</f>
        <v/>
      </c>
    </row>
    <row r="40" ht="18.75" customHeight="1">
      <c r="T40" s="240" t="str">
        <f>IFERROR(__xludf.DUMMYFUNCTION("IFERROR(
  FILTER('CBK Students'!F:F, TRIM('CBK Students'!B:B) = TRIM(A40)),
  """"
)"),"TH 12:45-1:45pm")</f>
        <v>TH 12:45-1:45pm</v>
      </c>
      <c r="U40" s="240" t="str">
        <f>IFERROR(__xludf.DUMMYFUNCTION("IFERROR(
  FILTER('CBK Students'!H:H, TRIM('CBK Students'!B:B) = TRIM(A40)),
  """"
)"),"Enouch")</f>
        <v>Enouch</v>
      </c>
      <c r="V40" s="240">
        <f>IFERROR(__xludf.DUMMYFUNCTION("IFERROR(
  FILTER('CBK Students'!M:M, TRIM('CBK Students'!B:B) = TRIM(A40)),
  """"
)"),24.0)</f>
        <v>24</v>
      </c>
      <c r="W40" s="240" t="str">
        <f t="shared" si="1"/>
        <v>Learning</v>
      </c>
      <c r="X40" s="240" t="str">
        <f>IFERROR(__xludf.DUMMYFUNCTION("IFERROR(
  FILTER('CBK Students'!R:R, TRIM('CBK Students'!B:B) = TRIM(A40)),
  """"
)"),"Learning")</f>
        <v>Learning</v>
      </c>
      <c r="Y40" s="4" t="str">
        <f t="shared" si="2"/>
        <v>Stage Delay</v>
      </c>
      <c r="Z40" s="4" t="str">
        <f>IFERROR(__xludf.DUMMYFUNCTION("IFERROR(
  FILTER('CBK Students'!O:O, TRIM('CBK Students'!B:B) = TRIM(A40)),
  """"
)"),"")</f>
        <v/>
      </c>
      <c r="AA40" s="4" t="str">
        <f>IFERROR(__xludf.DUMMYFUNCTION("IFERROR(
  FILTER('CBK Students'!P:P, TRIM('CBK Students'!B:B) = TRIM(A40)),
  """"
)"),"")</f>
        <v/>
      </c>
      <c r="AB40" s="4" t="str">
        <f>IFERROR(__xludf.DUMMYFUNCTION("IFERROR(
  FILTER('CBK Students'!Q:Q, TRIM('CBK Students'!B:B) = TRIM(A40)),
  """"
)"),"")</f>
        <v/>
      </c>
    </row>
    <row r="41" ht="18.75" customHeight="1">
      <c r="T41" s="240" t="str">
        <f>IFERROR(__xludf.DUMMYFUNCTION("IFERROR(
  FILTER('CBK Students'!F:F, TRIM('CBK Students'!B:B) = TRIM(A41)),
  """"
)"),"4 Sat 9:00-10:00am")</f>
        <v>4 Sat 9:00-10:00am</v>
      </c>
      <c r="U41" s="240" t="str">
        <f>IFERROR(__xludf.DUMMYFUNCTION("IFERROR(
  FILTER('CBK Students'!H:H, TRIM('CBK Students'!B:B) = TRIM(A41)),
  """"
)"),"Enouch")</f>
        <v>Enouch</v>
      </c>
      <c r="V41" s="240">
        <f>IFERROR(__xludf.DUMMYFUNCTION("IFERROR(
  FILTER('CBK Students'!M:M, TRIM('CBK Students'!B:B) = TRIM(A41)),
  """"
)"),14.0)</f>
        <v>14</v>
      </c>
      <c r="W41" s="240" t="str">
        <f t="shared" si="1"/>
        <v>Learning</v>
      </c>
      <c r="X41" s="240" t="str">
        <f>IFERROR(__xludf.DUMMYFUNCTION("IFERROR(
  FILTER('CBK Students'!R:R, TRIM('CBK Students'!B:B) = TRIM(A41)),
  """"
)"),"Learning")</f>
        <v>Learning</v>
      </c>
      <c r="Y41" s="4" t="str">
        <f t="shared" si="2"/>
        <v>On Track</v>
      </c>
      <c r="Z41" s="4" t="str">
        <f>IFERROR(__xludf.DUMMYFUNCTION("IFERROR(
  FILTER('CBK Students'!O:O, TRIM('CBK Students'!B:B) = TRIM(A41)),
  """"
)"),"16/10/2025 - [Caleb]
The student has already started preparing for the final project.
Reminder for mentor: Once the student completes the project, provide feedback for improvement and enhancement to help the student refine the final outcome.")</f>
        <v>16/10/2025 - [Caleb]
The student has already started preparing for the final project.
Reminder for mentor: Once the student completes the project, provide feedback for improvement and enhancement to help the student refine the final outcome.</v>
      </c>
      <c r="AA41" s="4" t="str">
        <f>IFERROR(__xludf.DUMMYFUNCTION("IFERROR(
  FILTER('CBK Students'!P:P, TRIM('CBK Students'!B:B) = TRIM(A41)),
  """"
)"),"16/10/2025 - [Caleb]
The student has already started preparing for the final project.
Reminder for mentor: Once the student completes the project, provide feedback for improvement and enhancement to help the student refine the final outcome.")</f>
        <v>16/10/2025 - [Caleb]
The student has already started preparing for the final project.
Reminder for mentor: Once the student completes the project, provide feedback for improvement and enhancement to help the student refine the final outcome.</v>
      </c>
      <c r="AB41" s="4" t="str">
        <f>IFERROR(__xludf.DUMMYFUNCTION("IFERROR(
  FILTER('CBK Students'!Q:Q, TRIM('CBK Students'!B:B) = TRIM(A41)),
  """"
)"),"Yes")</f>
        <v>Yes</v>
      </c>
    </row>
    <row r="42" ht="18.75" customHeight="1">
      <c r="T42" s="240" t="str">
        <f>IFERROR(__xludf.DUMMYFUNCTION("IFERROR(
  FILTER('CBK Students'!F:F, TRIM('CBK Students'!B:B) = TRIM(A42)),
  """"
)"),"SHS 2:00-3:00pm")</f>
        <v>SHS 2:00-3:00pm</v>
      </c>
      <c r="U42" s="240" t="str">
        <f>IFERROR(__xludf.DUMMYFUNCTION("IFERROR(
  FILTER('CBK Students'!H:H, TRIM('CBK Students'!B:B) = TRIM(A42)),
  """"
)"),"Lam")</f>
        <v>Lam</v>
      </c>
      <c r="V42" s="240">
        <f>IFERROR(__xludf.DUMMYFUNCTION("IFERROR(
  FILTER('CBK Students'!M:M, TRIM('CBK Students'!B:B) = TRIM(A42)),
  """"
)"),1.0)</f>
        <v>1</v>
      </c>
      <c r="W42" s="240" t="str">
        <f t="shared" si="1"/>
        <v>Learning</v>
      </c>
      <c r="X42" s="240" t="str">
        <f>IFERROR(__xludf.DUMMYFUNCTION("IFERROR(
  FILTER('CBK Students'!R:R, TRIM('CBK Students'!B:B) = TRIM(A42)),
  """"
)"),"Learning")</f>
        <v>Learning</v>
      </c>
      <c r="Y42" s="4" t="str">
        <f t="shared" si="2"/>
        <v>On Track</v>
      </c>
      <c r="Z42" s="4" t="str">
        <f>IFERROR(__xludf.DUMMYFUNCTION("IFERROR(
  FILTER('CBK Students'!O:O, TRIM('CBK Students'!B:B) = TRIM(A42)),
  """"
)"),"")</f>
        <v/>
      </c>
      <c r="AA42" s="4" t="str">
        <f>IFERROR(__xludf.DUMMYFUNCTION("IFERROR(
  FILTER('CBK Students'!P:P, TRIM('CBK Students'!B:B) = TRIM(A42)),
  """"
)"),"")</f>
        <v/>
      </c>
      <c r="AB42" s="4" t="str">
        <f>IFERROR(__xludf.DUMMYFUNCTION("IFERROR(
  FILTER('CBK Students'!Q:Q, TRIM('CBK Students'!B:B) = TRIM(A42)),
  """"
)"),"")</f>
        <v/>
      </c>
    </row>
    <row r="43" ht="18.75" customHeight="1">
      <c r="T43" s="240" t="str">
        <f>IFERROR(__xludf.DUMMYFUNCTION("IFERROR(
  FILTER('CBK Students'!F:F, TRIM('CBK Students'!B:B) = TRIM(A43)),
  """"
)"),"4 Sat 9:00-10:00am")</f>
        <v>4 Sat 9:00-10:00am</v>
      </c>
      <c r="U43" s="240" t="str">
        <f>IFERROR(__xludf.DUMMYFUNCTION("IFERROR(
  FILTER('CBK Students'!H:H, TRIM('CBK Students'!B:B) = TRIM(A43)),
  """"
)"),"Kerry")</f>
        <v>Kerry</v>
      </c>
      <c r="V43" s="240">
        <f>IFERROR(__xludf.DUMMYFUNCTION("IFERROR(
  FILTER('CBK Students'!M:M, TRIM('CBK Students'!B:B) = TRIM(A43)),
  """"
)"),14.0)</f>
        <v>14</v>
      </c>
      <c r="W43" s="240" t="str">
        <f t="shared" si="1"/>
        <v>Learning</v>
      </c>
      <c r="X43" s="240" t="str">
        <f>IFERROR(__xludf.DUMMYFUNCTION("IFERROR(
  FILTER('CBK Students'!R:R, TRIM('CBK Students'!B:B) = TRIM(A43)),
  """"
)"),"Learning")</f>
        <v>Learning</v>
      </c>
      <c r="Y43" s="4" t="str">
        <f t="shared" si="2"/>
        <v>Stage Delay</v>
      </c>
      <c r="Z43" s="4" t="str">
        <f>IFERROR(__xludf.DUMMYFUNCTION("IFERROR(
  FILTER('CBK Students'!O:O, TRIM('CBK Students'!B:B) = TRIM(A43)),
  """"
)"),"")</f>
        <v/>
      </c>
      <c r="AA43" s="4" t="str">
        <f>IFERROR(__xludf.DUMMYFUNCTION("IFERROR(
  FILTER('CBK Students'!P:P, TRIM('CBK Students'!B:B) = TRIM(A43)),
  """"
)"),"")</f>
        <v/>
      </c>
      <c r="AB43" s="4" t="str">
        <f>IFERROR(__xludf.DUMMYFUNCTION("IFERROR(
  FILTER('CBK Students'!Q:Q, TRIM('CBK Students'!B:B) = TRIM(A43)),
  """"
)"),"")</f>
        <v/>
      </c>
    </row>
    <row r="44" ht="18.75" customHeight="1">
      <c r="T44" s="240" t="str">
        <f>IFERROR(__xludf.DUMMYFUNCTION("IFERROR(
  FILTER('CBK Students'!F:F, TRIM('CBK Students'!B:B) = TRIM(A44)),
  """"
)"),"1 Mon 7:30-8:30pm")</f>
        <v>1 Mon 7:30-8:30pm</v>
      </c>
      <c r="U44" s="240" t="str">
        <f>IFERROR(__xludf.DUMMYFUNCTION("IFERROR(
  FILTER('CBK Students'!H:H, TRIM('CBK Students'!B:B) = TRIM(A44)),
  """"
)"),"Enouch")</f>
        <v>Enouch</v>
      </c>
      <c r="V44" s="240">
        <f>IFERROR(__xludf.DUMMYFUNCTION("IFERROR(
  FILTER('CBK Students'!M:M, TRIM('CBK Students'!B:B) = TRIM(A44)),
  """"
)"),69.0)</f>
        <v>69</v>
      </c>
      <c r="W44" s="240" t="str">
        <f t="shared" si="1"/>
        <v>Start with Final Project</v>
      </c>
      <c r="X44" s="240" t="str">
        <f>IFERROR(__xludf.DUMMYFUNCTION("IFERROR(
  FILTER('CBK Students'!R:R, TRIM('CBK Students'!B:B) = TRIM(A44)),
  """"
)"),"Prepare for Showcase")</f>
        <v>Prepare for Showcase</v>
      </c>
      <c r="Y44" s="4" t="str">
        <f t="shared" si="2"/>
        <v>Showcase Delay</v>
      </c>
      <c r="Z44" s="4" t="str">
        <f>IFERROR(__xludf.DUMMYFUNCTION("IFERROR(
  FILTER('CBK Students'!O:O, TRIM('CBK Students'!B:B) = TRIM(A44)),
  """"
)"),"")</f>
        <v/>
      </c>
      <c r="AA44" s="4" t="str">
        <f>IFERROR(__xludf.DUMMYFUNCTION("IFERROR(
  FILTER('CBK Students'!P:P, TRIM('CBK Students'!B:B) = TRIM(A44)),
  """"
)"),"")</f>
        <v/>
      </c>
      <c r="AB44" s="4" t="str">
        <f>IFERROR(__xludf.DUMMYFUNCTION("IFERROR(
  FILTER('CBK Students'!Q:Q, TRIM('CBK Students'!B:B) = TRIM(A44)),
  """"
)"),"")</f>
        <v/>
      </c>
    </row>
    <row r="45" ht="18.75" customHeight="1">
      <c r="T45" s="240" t="str">
        <f>IFERROR(__xludf.DUMMYFUNCTION("IFERROR(
  FILTER('CBK Students'!F:F, TRIM('CBK Students'!B:B) = TRIM(A45)),
  """"
)"),"7 Sat 2:00-3:00pm")</f>
        <v>7 Sat 2:00-3:00pm</v>
      </c>
      <c r="U45" s="240" t="str">
        <f>IFERROR(__xludf.DUMMYFUNCTION("IFERROR(
  FILTER('CBK Students'!H:H, TRIM('CBK Students'!B:B) = TRIM(A45)),
  """"
)"),"Mandy")</f>
        <v>Mandy</v>
      </c>
      <c r="V45" s="240">
        <f>IFERROR(__xludf.DUMMYFUNCTION("IFERROR(
  FILTER('CBK Students'!M:M, TRIM('CBK Students'!B:B) = TRIM(A45)),
  """"
)"),22.0)</f>
        <v>22</v>
      </c>
      <c r="W45" s="240" t="str">
        <f t="shared" si="1"/>
        <v/>
      </c>
      <c r="X45" s="240" t="str">
        <f>IFERROR(__xludf.DUMMYFUNCTION("IFERROR(
  FILTER('CBK Students'!R:R, TRIM('CBK Students'!B:B) = TRIM(A45)),
  """"
)"),"Learning")</f>
        <v>Learning</v>
      </c>
      <c r="Y45" s="4" t="str">
        <f t="shared" si="2"/>
        <v/>
      </c>
      <c r="Z45" s="4" t="str">
        <f>IFERROR(__xludf.DUMMYFUNCTION("IFERROR(
  FILTER('CBK Students'!O:O, TRIM('CBK Students'!B:B) = TRIM(A45)),
  """"
)"),"")</f>
        <v/>
      </c>
      <c r="AA45" s="4" t="str">
        <f>IFERROR(__xludf.DUMMYFUNCTION("IFERROR(
  FILTER('CBK Students'!P:P, TRIM('CBK Students'!B:B) = TRIM(A45)),
  """"
)"),"")</f>
        <v/>
      </c>
      <c r="AB45" s="4" t="str">
        <f>IFERROR(__xludf.DUMMYFUNCTION("IFERROR(
  FILTER('CBK Students'!Q:Q, TRIM('CBK Students'!B:B) = TRIM(A45)),
  """"
)"),"")</f>
        <v/>
      </c>
    </row>
    <row r="46" ht="18.75" customHeight="1">
      <c r="T46" s="240" t="str">
        <f>IFERROR(__xludf.DUMMYFUNCTION("IFERROR(
  FILTER('CBK Students'!F:F, TRIM('CBK Students'!B:B) = TRIM(A46)),
  """"
)"),"6 Sat 11:00-12:00pm")</f>
        <v>6 Sat 11:00-12:00pm</v>
      </c>
      <c r="U46" s="240" t="str">
        <f>IFERROR(__xludf.DUMMYFUNCTION("IFERROR(
  FILTER('CBK Students'!H:H, TRIM('CBK Students'!B:B) = TRIM(A46)),
  """"
)"),"Enouch")</f>
        <v>Enouch</v>
      </c>
      <c r="V46" s="240">
        <f>IFERROR(__xludf.DUMMYFUNCTION("IFERROR(
  FILTER('CBK Students'!M:M, TRIM('CBK Students'!B:B) = TRIM(A46)),
  """"
)"),13.0)</f>
        <v>13</v>
      </c>
      <c r="W46" s="240" t="str">
        <f t="shared" si="1"/>
        <v/>
      </c>
      <c r="X46" s="240" t="str">
        <f>IFERROR(__xludf.DUMMYFUNCTION("IFERROR(
  FILTER('CBK Students'!R:R, TRIM('CBK Students'!B:B) = TRIM(A46)),
  """"
)"),"Learning")</f>
        <v>Learning</v>
      </c>
      <c r="Y46" s="4" t="str">
        <f t="shared" si="2"/>
        <v/>
      </c>
      <c r="Z46" s="4" t="str">
        <f>IFERROR(__xludf.DUMMYFUNCTION("IFERROR(
  FILTER('CBK Students'!O:O, TRIM('CBK Students'!B:B) = TRIM(A46)),
  """"
)"),"")</f>
        <v/>
      </c>
      <c r="AA46" s="4" t="str">
        <f>IFERROR(__xludf.DUMMYFUNCTION("IFERROR(
  FILTER('CBK Students'!P:P, TRIM('CBK Students'!B:B) = TRIM(A46)),
  """"
)"),"")</f>
        <v/>
      </c>
      <c r="AB46" s="4" t="str">
        <f>IFERROR(__xludf.DUMMYFUNCTION("IFERROR(
  FILTER('CBK Students'!Q:Q, TRIM('CBK Students'!B:B) = TRIM(A46)),
  """"
)"),"")</f>
        <v/>
      </c>
    </row>
    <row r="47" ht="18.75" customHeight="1">
      <c r="T47" s="240" t="str">
        <f>IFERROR(__xludf.DUMMYFUNCTION("IFERROR(
  FILTER('CBK Students'!F:F, TRIM('CBK Students'!B:B) = TRIM(A47)),
  """"
)"),"4 Sat 9:00-10:00am")</f>
        <v>4 Sat 9:00-10:00am</v>
      </c>
      <c r="U47" s="240" t="str">
        <f>IFERROR(__xludf.DUMMYFUNCTION("IFERROR(
  FILTER('CBK Students'!H:H, TRIM('CBK Students'!B:B) = TRIM(A47)),
  """"
)"),"Kerry")</f>
        <v>Kerry</v>
      </c>
      <c r="V47" s="240">
        <f>IFERROR(__xludf.DUMMYFUNCTION("IFERROR(
  FILTER('CBK Students'!M:M, TRIM('CBK Students'!B:B) = TRIM(A47)),
  """"
)"),21.0)</f>
        <v>21</v>
      </c>
      <c r="W47" s="240" t="str">
        <f t="shared" si="1"/>
        <v>Learning</v>
      </c>
      <c r="X47" s="240" t="str">
        <f>IFERROR(__xludf.DUMMYFUNCTION("IFERROR(
  FILTER('CBK Students'!R:R, TRIM('CBK Students'!B:B) = TRIM(A47)),
  """"
)"),"Learning")</f>
        <v>Learning</v>
      </c>
      <c r="Y47" s="4" t="str">
        <f t="shared" si="2"/>
        <v>On Track</v>
      </c>
      <c r="Z47" s="4" t="str">
        <f>IFERROR(__xludf.DUMMYFUNCTION("IFERROR(
  FILTER('CBK Students'!O:O, TRIM('CBK Students'!B:B) = TRIM(A47)),
  """"
)"),"")</f>
        <v/>
      </c>
      <c r="AA47" s="4" t="str">
        <f>IFERROR(__xludf.DUMMYFUNCTION("IFERROR(
  FILTER('CBK Students'!P:P, TRIM('CBK Students'!B:B) = TRIM(A47)),
  """"
)"),"")</f>
        <v/>
      </c>
      <c r="AB47" s="4" t="str">
        <f>IFERROR(__xludf.DUMMYFUNCTION("IFERROR(
  FILTER('CBK Students'!Q:Q, TRIM('CBK Students'!B:B) = TRIM(A47)),
  """"
)"),"")</f>
        <v/>
      </c>
    </row>
    <row r="48" ht="18.75" customHeight="1">
      <c r="T48" s="240" t="str">
        <f>IFERROR(__xludf.DUMMYFUNCTION("IFERROR(
  FILTER('CBK Students'!F:F, TRIM('CBK Students'!B:B) = TRIM(A48)),
  """"
)"),"7 Sat 2:00-3:00pm")</f>
        <v>7 Sat 2:00-3:00pm</v>
      </c>
      <c r="U48" s="240" t="str">
        <f>IFERROR(__xludf.DUMMYFUNCTION("IFERROR(
  FILTER('CBK Students'!H:H, TRIM('CBK Students'!B:B) = TRIM(A48)),
  """"
)"),"Enouch")</f>
        <v>Enouch</v>
      </c>
      <c r="V48" s="240">
        <f>IFERROR(__xludf.DUMMYFUNCTION("IFERROR(
  FILTER('CBK Students'!M:M, TRIM('CBK Students'!B:B) = TRIM(A48)),
  """"
)"),97.0)</f>
        <v>97</v>
      </c>
      <c r="W48" s="240" t="str">
        <f t="shared" si="1"/>
        <v>Learning</v>
      </c>
      <c r="X48" s="240" t="str">
        <f>IFERROR(__xludf.DUMMYFUNCTION("IFERROR(
  FILTER('CBK Students'!R:R, TRIM('CBK Students'!B:B) = TRIM(A48)),
  """"
)"),"Prepare for Showcase")</f>
        <v>Prepare for Showcase</v>
      </c>
      <c r="Y48" s="4" t="str">
        <f t="shared" si="2"/>
        <v>Showcase Delay</v>
      </c>
      <c r="Z48" s="4" t="str">
        <f>IFERROR(__xludf.DUMMYFUNCTION("IFERROR(
  FILTER('CBK Students'!O:O, TRIM('CBK Students'!B:B) = TRIM(A48)),
  """"
)"),"25/09/2025 - [Caleb]
due to a change of mentor, difficult to trace back.
The mentor did not provide a specific timeline.")</f>
        <v>25/09/2025 - [Caleb]
due to a change of mentor, difficult to trace back.
The mentor did not provide a specific timeline.</v>
      </c>
      <c r="AA48" s="4" t="str">
        <f>IFERROR(__xludf.DUMMYFUNCTION("IFERROR(
  FILTER('CBK Students'!P:P, TRIM('CBK Students'!B:B) = TRIM(A48)),
  """"
)"),"25/09/2025 - [Caleb]
due to a change of mentor, difficult to trace back.
The mentor did not provide a specific timeline.")</f>
        <v>25/09/2025 - [Caleb]
due to a change of mentor, difficult to trace back.
The mentor did not provide a specific timeline.</v>
      </c>
      <c r="AB48" s="4" t="str">
        <f>IFERROR(__xludf.DUMMYFUNCTION("IFERROR(
  FILTER('CBK Students'!Q:Q, TRIM('CBK Students'!B:B) = TRIM(A48)),
  """"
)"),"No")</f>
        <v>No</v>
      </c>
    </row>
    <row r="49" ht="18.75" customHeight="1">
      <c r="T49" s="240" t="str">
        <f>IFERROR(__xludf.DUMMYFUNCTION("IFERROR(
  FILTER('CBK Students'!F:F, TRIM('CBK Students'!B:B) = TRIM(A49)),
  """"
)"),"8 Sat 3:00-4:00pm")</f>
        <v>8 Sat 3:00-4:00pm</v>
      </c>
      <c r="U49" s="240" t="str">
        <f>IFERROR(__xludf.DUMMYFUNCTION("IFERROR(
  FILTER('CBK Students'!H:H, TRIM('CBK Students'!B:B) = TRIM(A49)),
  """"
)"),"Evelyn")</f>
        <v>Evelyn</v>
      </c>
      <c r="V49" s="240">
        <f>IFERROR(__xludf.DUMMYFUNCTION("IFERROR(
  FILTER('CBK Students'!M:M, TRIM('CBK Students'!B:B) = TRIM(A49)),
  """"
)"),34.0)</f>
        <v>34</v>
      </c>
      <c r="W49" s="240" t="str">
        <f t="shared" si="1"/>
        <v>Learning</v>
      </c>
      <c r="X49" s="240" t="str">
        <f>IFERROR(__xludf.DUMMYFUNCTION("IFERROR(
  FILTER('CBK Students'!R:R, TRIM('CBK Students'!B:B) = TRIM(A49)),
  """"
)"),"Starting Final Project")</f>
        <v>Starting Final Project</v>
      </c>
      <c r="Y49" s="4" t="str">
        <f t="shared" si="2"/>
        <v>Stage Delay</v>
      </c>
      <c r="Z49" s="4" t="str">
        <f>IFERROR(__xludf.DUMMYFUNCTION("IFERROR(
  FILTER('CBK Students'!O:O, TRIM('CBK Students'!B:B) = TRIM(A49)),
  """"
)"),"")</f>
        <v/>
      </c>
      <c r="AA49" s="4" t="str">
        <f>IFERROR(__xludf.DUMMYFUNCTION("IFERROR(
  FILTER('CBK Students'!P:P, TRIM('CBK Students'!B:B) = TRIM(A49)),
  """"
)"),"")</f>
        <v/>
      </c>
      <c r="AB49" s="4" t="str">
        <f>IFERROR(__xludf.DUMMYFUNCTION("IFERROR(
  FILTER('CBK Students'!Q:Q, TRIM('CBK Students'!B:B) = TRIM(A49)),
  """"
)"),"")</f>
        <v/>
      </c>
    </row>
    <row r="50" ht="18.75" customHeight="1">
      <c r="T50" s="240" t="str">
        <f>IFERROR(__xludf.DUMMYFUNCTION("IFERROR(
  FILTER('CBK Students'!F:F, TRIM('CBK Students'!B:B) = TRIM(A50)),
  """"
)"),"SL 1:00-2:00pm")</f>
        <v>SL 1:00-2:00pm</v>
      </c>
      <c r="U50" s="240" t="str">
        <f>IFERROR(__xludf.DUMMYFUNCTION("IFERROR(
  FILTER('CBK Students'!H:H, TRIM('CBK Students'!B:B) = TRIM(A50)),
  """"
)"),"Chuan")</f>
        <v>Chuan</v>
      </c>
      <c r="V50" s="240">
        <f>IFERROR(__xludf.DUMMYFUNCTION("IFERROR(
  FILTER('CBK Students'!M:M, TRIM('CBK Students'!B:B) = TRIM(A50)),
  """"
)"),10.0)</f>
        <v>10</v>
      </c>
      <c r="W50" s="240" t="str">
        <f t="shared" si="1"/>
        <v/>
      </c>
      <c r="X50" s="240" t="str">
        <f>IFERROR(__xludf.DUMMYFUNCTION("IFERROR(
  FILTER('CBK Students'!R:R, TRIM('CBK Students'!B:B) = TRIM(A50)),
  """"
)"),"Learning")</f>
        <v>Learning</v>
      </c>
      <c r="Y50" s="4" t="str">
        <f t="shared" si="2"/>
        <v/>
      </c>
      <c r="Z50" s="4" t="str">
        <f>IFERROR(__xludf.DUMMYFUNCTION("IFERROR(
  FILTER('CBK Students'!O:O, TRIM('CBK Students'!B:B) = TRIM(A50)),
  """"
)"),"")</f>
        <v/>
      </c>
      <c r="AA50" s="4" t="str">
        <f>IFERROR(__xludf.DUMMYFUNCTION("IFERROR(
  FILTER('CBK Students'!P:P, TRIM('CBK Students'!B:B) = TRIM(A50)),
  """"
)"),"")</f>
        <v/>
      </c>
      <c r="AB50" s="4" t="str">
        <f>IFERROR(__xludf.DUMMYFUNCTION("IFERROR(
  FILTER('CBK Students'!Q:Q, TRIM('CBK Students'!B:B) = TRIM(A50)),
  """"
)"),"")</f>
        <v/>
      </c>
    </row>
    <row r="51" ht="18.75" customHeight="1">
      <c r="T51" s="240" t="str">
        <f>IFERROR(__xludf.DUMMYFUNCTION("IFERROR(
  FILTER('CBK Students'!F:F, TRIM('CBK Students'!B:B) = TRIM(A51)),
  """"
)"),"TH 12:45-1:45pm")</f>
        <v>TH 12:45-1:45pm</v>
      </c>
      <c r="U51" s="240" t="str">
        <f>IFERROR(__xludf.DUMMYFUNCTION("IFERROR(
  FILTER('CBK Students'!H:H, TRIM('CBK Students'!B:B) = TRIM(A51)),
  """"
)"),"Kerry")</f>
        <v>Kerry</v>
      </c>
      <c r="V51" s="240">
        <f>IFERROR(__xludf.DUMMYFUNCTION("IFERROR(
  FILTER('CBK Students'!M:M, TRIM('CBK Students'!B:B) = TRIM(A51)),
  """"
)"),37.0)</f>
        <v>37</v>
      </c>
      <c r="W51" s="240" t="str">
        <f t="shared" si="1"/>
        <v>Learning</v>
      </c>
      <c r="X51" s="240" t="str">
        <f>IFERROR(__xludf.DUMMYFUNCTION("IFERROR(
  FILTER('CBK Students'!R:R, TRIM('CBK Students'!B:B) = TRIM(A51)),
  """"
)"),"Starting Final Project")</f>
        <v>Starting Final Project</v>
      </c>
      <c r="Y51" s="4" t="str">
        <f t="shared" si="2"/>
        <v>Stage Delay</v>
      </c>
      <c r="Z51" s="4" t="str">
        <f>IFERROR(__xludf.DUMMYFUNCTION("IFERROR(
  FILTER('CBK Students'!O:O, TRIM('CBK Students'!B:B) = TRIM(A51)),
  """"
)"),"06/11/2025 - [Caleb]
Distracts other students by chatting and playing games during class.")</f>
        <v>06/11/2025 - [Caleb]
Distracts other students by chatting and playing games during class.</v>
      </c>
      <c r="AA51" s="4" t="str">
        <f>IFERROR(__xludf.DUMMYFUNCTION("IFERROR(
  FILTER('CBK Students'!P:P, TRIM('CBK Students'!B:B) = TRIM(A51)),
  """"
)"),"06/11/2025 - [Caleb]
Distracts other students by chatting and playing games during class.")</f>
        <v>06/11/2025 - [Caleb]
Distracts other students by chatting and playing games during class.</v>
      </c>
      <c r="AB51" s="4" t="str">
        <f>IFERROR(__xludf.DUMMYFUNCTION("IFERROR(
  FILTER('CBK Students'!Q:Q, TRIM('CBK Students'!B:B) = TRIM(A51)),
  """"
)"),"No")</f>
        <v>No</v>
      </c>
    </row>
    <row r="52" ht="18.75" customHeight="1">
      <c r="T52" s="240" t="str">
        <f>IFERROR(__xludf.DUMMYFUNCTION("IFERROR(
  FILTER('CBK Students'!F:F, TRIM('CBK Students'!B:B) = TRIM(A52)),
  """"
)"),"6 Sat 11:00-12:00pm")</f>
        <v>6 Sat 11:00-12:00pm</v>
      </c>
      <c r="U52" s="240" t="str">
        <f>IFERROR(__xludf.DUMMYFUNCTION("IFERROR(
  FILTER('CBK Students'!H:H, TRIM('CBK Students'!B:B) = TRIM(A52)),
  """"
)"),"Kerry")</f>
        <v>Kerry</v>
      </c>
      <c r="V52" s="240">
        <f>IFERROR(__xludf.DUMMYFUNCTION("IFERROR(
  FILTER('CBK Students'!M:M, TRIM('CBK Students'!B:B) = TRIM(A52)),
  """"
)"),62.0)</f>
        <v>62</v>
      </c>
      <c r="W52" s="240" t="str">
        <f t="shared" si="1"/>
        <v>Start with Final Project</v>
      </c>
      <c r="X52" s="240" t="str">
        <f>IFERROR(__xludf.DUMMYFUNCTION("IFERROR(
  FILTER('CBK Students'!R:R, TRIM('CBK Students'!B:B) = TRIM(A52)),
  """"
)"),"Prepare for Showcase")</f>
        <v>Prepare for Showcase</v>
      </c>
      <c r="Y52" s="4" t="str">
        <f t="shared" si="2"/>
        <v>Showcase Delay</v>
      </c>
      <c r="Z52" s="4" t="str">
        <f>IFERROR(__xludf.DUMMYFUNCTION("IFERROR(
  FILTER('CBK Students'!O:O, TRIM('CBK Students'!B:B) = TRIM(A52)),
  """"
)"),"")</f>
        <v/>
      </c>
      <c r="AA52" s="4" t="str">
        <f>IFERROR(__xludf.DUMMYFUNCTION("IFERROR(
  FILTER('CBK Students'!P:P, TRIM('CBK Students'!B:B) = TRIM(A52)),
  """"
)"),"")</f>
        <v/>
      </c>
      <c r="AB52" s="4" t="str">
        <f>IFERROR(__xludf.DUMMYFUNCTION("IFERROR(
  FILTER('CBK Students'!Q:Q, TRIM('CBK Students'!B:B) = TRIM(A52)),
  """"
)"),"")</f>
        <v/>
      </c>
    </row>
    <row r="53" ht="18.75" customHeight="1">
      <c r="T53" s="240" t="str">
        <f>IFERROR(__xludf.DUMMYFUNCTION("IFERROR(
  FILTER('CBK Students'!F:F, TRIM('CBK Students'!B:B) = TRIM(A53)),
  """"
)"),"5 Sat 10:00-11:00am")</f>
        <v>5 Sat 10:00-11:00am</v>
      </c>
      <c r="U53" s="240" t="str">
        <f>IFERROR(__xludf.DUMMYFUNCTION("IFERROR(
  FILTER('CBK Students'!H:H, TRIM('CBK Students'!B:B) = TRIM(A53)),
  """"
)"),"Kerry")</f>
        <v>Kerry</v>
      </c>
      <c r="V53" s="240">
        <f>IFERROR(__xludf.DUMMYFUNCTION("IFERROR(
  FILTER('CBK Students'!M:M, TRIM('CBK Students'!B:B) = TRIM(A53)),
  """"
)"),14.0)</f>
        <v>14</v>
      </c>
      <c r="W53" s="240" t="str">
        <f t="shared" si="1"/>
        <v/>
      </c>
      <c r="X53" s="240" t="str">
        <f>IFERROR(__xludf.DUMMYFUNCTION("IFERROR(
  FILTER('CBK Students'!R:R, TRIM('CBK Students'!B:B) = TRIM(A53)),
  """"
)"),"Learning")</f>
        <v>Learning</v>
      </c>
      <c r="Y53" s="4" t="str">
        <f t="shared" si="2"/>
        <v/>
      </c>
      <c r="Z53" s="4" t="str">
        <f>IFERROR(__xludf.DUMMYFUNCTION("IFERROR(
  FILTER('CBK Students'!O:O, TRIM('CBK Students'!B:B) = TRIM(A53)),
  """"
)"),"")</f>
        <v/>
      </c>
      <c r="AA53" s="4" t="str">
        <f>IFERROR(__xludf.DUMMYFUNCTION("IFERROR(
  FILTER('CBK Students'!P:P, TRIM('CBK Students'!B:B) = TRIM(A53)),
  """"
)"),"")</f>
        <v/>
      </c>
      <c r="AB53" s="4" t="str">
        <f>IFERROR(__xludf.DUMMYFUNCTION("IFERROR(
  FILTER('CBK Students'!Q:Q, TRIM('CBK Students'!B:B) = TRIM(A53)),
  """"
)"),"")</f>
        <v/>
      </c>
    </row>
    <row r="54" ht="18.75" customHeight="1">
      <c r="T54" s="240" t="str">
        <f>IFERROR(__xludf.DUMMYFUNCTION("IFERROR(
  FILTER('CBK Students'!F:F, TRIM('CBK Students'!B:B) = TRIM(A54)),
  """"
)"),"CH 12:00-1:00pm")</f>
        <v>CH 12:00-1:00pm</v>
      </c>
      <c r="U54" s="240" t="str">
        <f>IFERROR(__xludf.DUMMYFUNCTION("IFERROR(
  FILTER('CBK Students'!H:H, TRIM('CBK Students'!B:B) = TRIM(A54)),
  """"
)"),"Mandy")</f>
        <v>Mandy</v>
      </c>
      <c r="V54" s="240">
        <f>IFERROR(__xludf.DUMMYFUNCTION("IFERROR(
  FILTER('CBK Students'!M:M, TRIM('CBK Students'!B:B) = TRIM(A54)),
  """"
)"),23.0)</f>
        <v>23</v>
      </c>
      <c r="W54" s="240" t="str">
        <f t="shared" si="1"/>
        <v/>
      </c>
      <c r="X54" s="240" t="str">
        <f>IFERROR(__xludf.DUMMYFUNCTION("IFERROR(
  FILTER('CBK Students'!R:R, TRIM('CBK Students'!B:B) = TRIM(A54)),
  """"
)"),"Learning")</f>
        <v>Learning</v>
      </c>
      <c r="Y54" s="4" t="str">
        <f t="shared" si="2"/>
        <v/>
      </c>
      <c r="Z54" s="4" t="str">
        <f>IFERROR(__xludf.DUMMYFUNCTION("IFERROR(
  FILTER('CBK Students'!O:O, TRIM('CBK Students'!B:B) = TRIM(A54)),
  """"
)"),"")</f>
        <v/>
      </c>
      <c r="AA54" s="4" t="str">
        <f>IFERROR(__xludf.DUMMYFUNCTION("IFERROR(
  FILTER('CBK Students'!P:P, TRIM('CBK Students'!B:B) = TRIM(A54)),
  """"
)"),"")</f>
        <v/>
      </c>
      <c r="AB54" s="4" t="str">
        <f>IFERROR(__xludf.DUMMYFUNCTION("IFERROR(
  FILTER('CBK Students'!Q:Q, TRIM('CBK Students'!B:B) = TRIM(A54)),
  """"
)"),"")</f>
        <v/>
      </c>
    </row>
    <row r="55" ht="18.75" customHeight="1">
      <c r="T55" s="240" t="str">
        <f>IFERROR(__xludf.DUMMYFUNCTION("IFERROR(
  FILTER('CBK Students'!F:F, TRIM('CBK Students'!B:B) = TRIM(A55)),
  """"
)"),"6 Sat 11:00-12:00pm")</f>
        <v>6 Sat 11:00-12:00pm</v>
      </c>
      <c r="U55" s="240" t="str">
        <f>IFERROR(__xludf.DUMMYFUNCTION("IFERROR(
  FILTER('CBK Students'!H:H, TRIM('CBK Students'!B:B) = TRIM(A55)),
  """"
)"),"Damian")</f>
        <v>Damian</v>
      </c>
      <c r="V55" s="240">
        <f>IFERROR(__xludf.DUMMYFUNCTION("IFERROR(
  FILTER('CBK Students'!M:M, TRIM('CBK Students'!B:B) = TRIM(A55)),
  """"
)"),67.0)</f>
        <v>67</v>
      </c>
      <c r="W55" s="240" t="str">
        <f t="shared" si="1"/>
        <v>Start with Final Project</v>
      </c>
      <c r="X55" s="240" t="str">
        <f>IFERROR(__xludf.DUMMYFUNCTION("IFERROR(
  FILTER('CBK Students'!R:R, TRIM('CBK Students'!B:B) = TRIM(A55)),
  """"
)"),"Prepare for Showcase")</f>
        <v>Prepare for Showcase</v>
      </c>
      <c r="Y55" s="4" t="str">
        <f t="shared" si="2"/>
        <v>Showcase Delay</v>
      </c>
      <c r="Z55" s="4" t="str">
        <f>IFERROR(__xludf.DUMMYFUNCTION("IFERROR(
  FILTER('CBK Students'!O:O, TRIM('CBK Students'!B:B) = TRIM(A55)),
  """"
)"),"")</f>
        <v/>
      </c>
      <c r="AA55" s="4" t="str">
        <f>IFERROR(__xludf.DUMMYFUNCTION("IFERROR(
  FILTER('CBK Students'!P:P, TRIM('CBK Students'!B:B) = TRIM(A55)),
  """"
)"),"")</f>
        <v/>
      </c>
      <c r="AB55" s="4" t="str">
        <f>IFERROR(__xludf.DUMMYFUNCTION("IFERROR(
  FILTER('CBK Students'!Q:Q, TRIM('CBK Students'!B:B) = TRIM(A55)),
  """"
)"),"")</f>
        <v/>
      </c>
    </row>
    <row r="56" ht="18.75" customHeight="1">
      <c r="T56" s="240" t="str">
        <f>IFERROR(__xludf.DUMMYFUNCTION("IFERROR(
  FILTER('CBK Students'!F:F, TRIM('CBK Students'!B:B) = TRIM(A56)),
  """"
)"),"SL 1:00-2:00pm")</f>
        <v>SL 1:00-2:00pm</v>
      </c>
      <c r="U56" s="240" t="str">
        <f>IFERROR(__xludf.DUMMYFUNCTION("IFERROR(
  FILTER('CBK Students'!H:H, TRIM('CBK Students'!B:B) = TRIM(A56)),
  """"
)"),"Chuan")</f>
        <v>Chuan</v>
      </c>
      <c r="V56" s="240">
        <f>IFERROR(__xludf.DUMMYFUNCTION("IFERROR(
  FILTER('CBK Students'!M:M, TRIM('CBK Students'!B:B) = TRIM(A56)),
  """"
)"),6.0)</f>
        <v>6</v>
      </c>
      <c r="W56" s="240" t="str">
        <f t="shared" si="1"/>
        <v/>
      </c>
      <c r="X56" s="240" t="str">
        <f>IFERROR(__xludf.DUMMYFUNCTION("IFERROR(
  FILTER('CBK Students'!R:R, TRIM('CBK Students'!B:B) = TRIM(A56)),
  """"
)"),"Learning")</f>
        <v>Learning</v>
      </c>
      <c r="Y56" s="4" t="str">
        <f t="shared" si="2"/>
        <v/>
      </c>
      <c r="Z56" s="4" t="str">
        <f>IFERROR(__xludf.DUMMYFUNCTION("IFERROR(
  FILTER('CBK Students'!O:O, TRIM('CBK Students'!B:B) = TRIM(A56)),
  """"
)"),"")</f>
        <v/>
      </c>
      <c r="AA56" s="4" t="str">
        <f>IFERROR(__xludf.DUMMYFUNCTION("IFERROR(
  FILTER('CBK Students'!P:P, TRIM('CBK Students'!B:B) = TRIM(A56)),
  """"
)"),"")</f>
        <v/>
      </c>
      <c r="AB56" s="4" t="str">
        <f>IFERROR(__xludf.DUMMYFUNCTION("IFERROR(
  FILTER('CBK Students'!Q:Q, TRIM('CBK Students'!B:B) = TRIM(A56)),
  """"
)"),"")</f>
        <v/>
      </c>
    </row>
    <row r="57" ht="18.75" customHeight="1">
      <c r="T57" s="240" t="str">
        <f>IFERROR(__xludf.DUMMYFUNCTION("IFERROR(
  FILTER('CBK Students'!F:F, TRIM('CBK Students'!B:B) = TRIM(A57)),
  """"
)"),"5 Sat 10:00-11:00am")</f>
        <v>5 Sat 10:00-11:00am</v>
      </c>
      <c r="U57" s="240" t="str">
        <f>IFERROR(__xludf.DUMMYFUNCTION("IFERROR(
  FILTER('CBK Students'!H:H, TRIM('CBK Students'!B:B) = TRIM(A57)),
  """"
)"),"Mandy")</f>
        <v>Mandy</v>
      </c>
      <c r="V57" s="240">
        <f>IFERROR(__xludf.DUMMYFUNCTION("IFERROR(
  FILTER('CBK Students'!M:M, TRIM('CBK Students'!B:B) = TRIM(A57)),
  """"
)"),28.0)</f>
        <v>28</v>
      </c>
      <c r="W57" s="240" t="str">
        <f t="shared" si="1"/>
        <v>Start with Final Project</v>
      </c>
      <c r="X57" s="240" t="str">
        <f>IFERROR(__xludf.DUMMYFUNCTION("IFERROR(
  FILTER('CBK Students'!R:R, TRIM('CBK Students'!B:B) = TRIM(A57)),
  """"
)"),"Learning")</f>
        <v>Learning</v>
      </c>
      <c r="Y57" s="4" t="str">
        <f t="shared" si="2"/>
        <v>On Track</v>
      </c>
      <c r="Z57" s="4" t="str">
        <f>IFERROR(__xludf.DUMMYFUNCTION("IFERROR(
  FILTER('CBK Students'!O:O, TRIM('CBK Students'!B:B) = TRIM(A57)),
  """"
)"),"")</f>
        <v/>
      </c>
      <c r="AA57" s="4" t="str">
        <f>IFERROR(__xludf.DUMMYFUNCTION("IFERROR(
  FILTER('CBK Students'!P:P, TRIM('CBK Students'!B:B) = TRIM(A57)),
  """"
)"),"")</f>
        <v/>
      </c>
      <c r="AB57" s="4" t="str">
        <f>IFERROR(__xludf.DUMMYFUNCTION("IFERROR(
  FILTER('CBK Students'!Q:Q, TRIM('CBK Students'!B:B) = TRIM(A57)),
  """"
)"),"")</f>
        <v/>
      </c>
    </row>
    <row r="58" ht="18.75" customHeight="1">
      <c r="T58" s="240" t="str">
        <f>IFERROR(__xludf.DUMMYFUNCTION("IFERROR(
  FILTER('CBK Students'!F:F, TRIM('CBK Students'!B:B) = TRIM(A58)),
  """"
)"),"1 Mon 7:30-8:30pm")</f>
        <v>1 Mon 7:30-8:30pm</v>
      </c>
      <c r="U58" s="240" t="str">
        <f>IFERROR(__xludf.DUMMYFUNCTION("IFERROR(
  FILTER('CBK Students'!H:H, TRIM('CBK Students'!B:B) = TRIM(A58)),
  """"
)"),"Kerry")</f>
        <v>Kerry</v>
      </c>
      <c r="V58" s="240">
        <f>IFERROR(__xludf.DUMMYFUNCTION("IFERROR(
  FILTER('CBK Students'!M:M, TRIM('CBK Students'!B:B) = TRIM(A58)),
  """"
)"),13.0)</f>
        <v>13</v>
      </c>
      <c r="W58" s="240" t="str">
        <f t="shared" si="1"/>
        <v/>
      </c>
      <c r="X58" s="240" t="str">
        <f>IFERROR(__xludf.DUMMYFUNCTION("IFERROR(
  FILTER('CBK Students'!R:R, TRIM('CBK Students'!B:B) = TRIM(A58)),
  """"
)"),"Learning")</f>
        <v>Learning</v>
      </c>
      <c r="Y58" s="4" t="str">
        <f t="shared" si="2"/>
        <v/>
      </c>
      <c r="Z58" s="4" t="str">
        <f>IFERROR(__xludf.DUMMYFUNCTION("IFERROR(
  FILTER('CBK Students'!O:O, TRIM('CBK Students'!B:B) = TRIM(A58)),
  """"
)"),"")</f>
        <v/>
      </c>
      <c r="AA58" s="4" t="str">
        <f>IFERROR(__xludf.DUMMYFUNCTION("IFERROR(
  FILTER('CBK Students'!P:P, TRIM('CBK Students'!B:B) = TRIM(A58)),
  """"
)"),"")</f>
        <v/>
      </c>
      <c r="AB58" s="4" t="str">
        <f>IFERROR(__xludf.DUMMYFUNCTION("IFERROR(
  FILTER('CBK Students'!Q:Q, TRIM('CBK Students'!B:B) = TRIM(A58)),
  """"
)"),"")</f>
        <v/>
      </c>
    </row>
    <row r="59" ht="18.75" customHeight="1">
      <c r="T59" s="240" t="str">
        <f>IFERROR(__xludf.DUMMYFUNCTION("IFERROR(
  FILTER('CBK Students'!F:F, TRIM('CBK Students'!B:B) = TRIM(A59)),
  """"
)"),"1 Mon 7:30-8:30pm")</f>
        <v>1 Mon 7:30-8:30pm</v>
      </c>
      <c r="U59" s="240" t="str">
        <f>IFERROR(__xludf.DUMMYFUNCTION("IFERROR(
  FILTER('CBK Students'!H:H, TRIM('CBK Students'!B:B) = TRIM(A59)),
  """"
)"),"Damian")</f>
        <v>Damian</v>
      </c>
      <c r="V59" s="240">
        <f>IFERROR(__xludf.DUMMYFUNCTION("IFERROR(
  FILTER('CBK Students'!M:M, TRIM('CBK Students'!B:B) = TRIM(A59)),
  """"
)"),23.0)</f>
        <v>23</v>
      </c>
      <c r="W59" s="240" t="str">
        <f t="shared" si="1"/>
        <v>Learning</v>
      </c>
      <c r="X59" s="240" t="str">
        <f>IFERROR(__xludf.DUMMYFUNCTION("IFERROR(
  FILTER('CBK Students'!R:R, TRIM('CBK Students'!B:B) = TRIM(A59)),
  """"
)"),"Learning")</f>
        <v>Learning</v>
      </c>
      <c r="Y59" s="4" t="str">
        <f t="shared" si="2"/>
        <v>Stage Delay</v>
      </c>
      <c r="Z59" s="4" t="str">
        <f>IFERROR(__xludf.DUMMYFUNCTION("IFERROR(
  FILTER('CBK Students'!O:O, TRIM('CBK Students'!B:B) = TRIM(A59)),
  """"
)"),"")</f>
        <v/>
      </c>
      <c r="AA59" s="4" t="str">
        <f>IFERROR(__xludf.DUMMYFUNCTION("IFERROR(
  FILTER('CBK Students'!P:P, TRIM('CBK Students'!B:B) = TRIM(A59)),
  """"
)"),"")</f>
        <v/>
      </c>
      <c r="AB59" s="4" t="str">
        <f>IFERROR(__xludf.DUMMYFUNCTION("IFERROR(
  FILTER('CBK Students'!Q:Q, TRIM('CBK Students'!B:B) = TRIM(A59)),
  """"
)"),"")</f>
        <v/>
      </c>
    </row>
    <row r="60" ht="18.75" customHeight="1">
      <c r="T60" s="240" t="str">
        <f>IFERROR(__xludf.DUMMYFUNCTION("IFERROR(
  FILTER('CBK Students'!F:F, TRIM('CBK Students'!B:B) = TRIM(A60)),
  """"
)"),"1 Mon 7:30-8:30pm")</f>
        <v>1 Mon 7:30-8:30pm</v>
      </c>
      <c r="U60" s="240" t="str">
        <f>IFERROR(__xludf.DUMMYFUNCTION("IFERROR(
  FILTER('CBK Students'!H:H, TRIM('CBK Students'!B:B) = TRIM(A60)),
  """"
)"),"Damian")</f>
        <v>Damian</v>
      </c>
      <c r="V60" s="240">
        <f>IFERROR(__xludf.DUMMYFUNCTION("IFERROR(
  FILTER('CBK Students'!M:M, TRIM('CBK Students'!B:B) = TRIM(A60)),
  """"
)"),24.0)</f>
        <v>24</v>
      </c>
      <c r="W60" s="240" t="str">
        <f t="shared" si="1"/>
        <v>Learning</v>
      </c>
      <c r="X60" s="240" t="str">
        <f>IFERROR(__xludf.DUMMYFUNCTION("IFERROR(
  FILTER('CBK Students'!R:R, TRIM('CBK Students'!B:B) = TRIM(A60)),
  """"
)"),"Learning")</f>
        <v>Learning</v>
      </c>
      <c r="Y60" s="4" t="str">
        <f t="shared" si="2"/>
        <v>Stage Delay</v>
      </c>
      <c r="Z60" s="4" t="str">
        <f>IFERROR(__xludf.DUMMYFUNCTION("IFERROR(
  FILTER('CBK Students'!O:O, TRIM('CBK Students'!B:B) = TRIM(A60)),
  """"
)"),"")</f>
        <v/>
      </c>
      <c r="AA60" s="4" t="str">
        <f>IFERROR(__xludf.DUMMYFUNCTION("IFERROR(
  FILTER('CBK Students'!P:P, TRIM('CBK Students'!B:B) = TRIM(A60)),
  """"
)"),"")</f>
        <v/>
      </c>
      <c r="AB60" s="4" t="str">
        <f>IFERROR(__xludf.DUMMYFUNCTION("IFERROR(
  FILTER('CBK Students'!Q:Q, TRIM('CBK Students'!B:B) = TRIM(A60)),
  """"
)"),"")</f>
        <v/>
      </c>
    </row>
    <row r="61" ht="18.75" customHeight="1">
      <c r="T61" s="240" t="str">
        <f>IFERROR(__xludf.DUMMYFUNCTION("IFERROR(
  FILTER('CBK Students'!F:F, TRIM('CBK Students'!B:B) = TRIM(A61)),
  """"
)"),"SHS 2:00-3:00pm")</f>
        <v>SHS 2:00-3:00pm</v>
      </c>
      <c r="U61" s="240" t="str">
        <f>IFERROR(__xludf.DUMMYFUNCTION("IFERROR(
  FILTER('CBK Students'!H:H, TRIM('CBK Students'!B:B) = TRIM(A61)),
  """"
)"),"Kerry")</f>
        <v>Kerry</v>
      </c>
      <c r="V61" s="240">
        <f>IFERROR(__xludf.DUMMYFUNCTION("IFERROR(
  FILTER('CBK Students'!M:M, TRIM('CBK Students'!B:B) = TRIM(A61)),
  """"
)"),88.0)</f>
        <v>88</v>
      </c>
      <c r="W61" s="240" t="str">
        <f t="shared" si="1"/>
        <v>Start with Final Project</v>
      </c>
      <c r="X61" s="240" t="str">
        <f>IFERROR(__xludf.DUMMYFUNCTION("IFERROR(
  FILTER('CBK Students'!R:R, TRIM('CBK Students'!B:B) = TRIM(A61)),
  """"
)"),"Prepare for Showcase")</f>
        <v>Prepare for Showcase</v>
      </c>
      <c r="Y61" s="4" t="str">
        <f t="shared" si="2"/>
        <v>Showcase Delay</v>
      </c>
      <c r="Z61" s="4" t="str">
        <f>IFERROR(__xludf.DUMMYFUNCTION("IFERROR(
  FILTER('CBK Students'!O:O, TRIM('CBK Students'!B:B) = TRIM(A61)),
  """"
)"),"")</f>
        <v/>
      </c>
      <c r="AA61" s="4" t="str">
        <f>IFERROR(__xludf.DUMMYFUNCTION("IFERROR(
  FILTER('CBK Students'!P:P, TRIM('CBK Students'!B:B) = TRIM(A61)),
  """"
)"),"")</f>
        <v/>
      </c>
      <c r="AB61" s="4" t="str">
        <f>IFERROR(__xludf.DUMMYFUNCTION("IFERROR(
  FILTER('CBK Students'!Q:Q, TRIM('CBK Students'!B:B) = TRIM(A61)),
  """"
)"),"")</f>
        <v/>
      </c>
    </row>
    <row r="62" ht="18.75" customHeight="1">
      <c r="T62" s="240" t="str">
        <f>IFERROR(__xludf.DUMMYFUNCTION("IFERROR(
  FILTER('CBK Students'!F:F, TRIM('CBK Students'!B:B) = TRIM(A62)),
  """"
)"),"TH 12:45-1:45pm")</f>
        <v>TH 12:45-1:45pm</v>
      </c>
      <c r="U62" s="240" t="str">
        <f>IFERROR(__xludf.DUMMYFUNCTION("IFERROR(
  FILTER('CBK Students'!H:H, TRIM('CBK Students'!B:B) = TRIM(A62)),
  """"
)"),"Enouch")</f>
        <v>Enouch</v>
      </c>
      <c r="V62" s="240">
        <f>IFERROR(__xludf.DUMMYFUNCTION("IFERROR(
  FILTER('CBK Students'!M:M, TRIM('CBK Students'!B:B) = TRIM(A62)),
  """"
)"),13.0)</f>
        <v>13</v>
      </c>
      <c r="W62" s="240" t="str">
        <f t="shared" si="1"/>
        <v/>
      </c>
      <c r="X62" s="240" t="str">
        <f>IFERROR(__xludf.DUMMYFUNCTION("IFERROR(
  FILTER('CBK Students'!R:R, TRIM('CBK Students'!B:B) = TRIM(A62)),
  """"
)"),"Learning")</f>
        <v>Learning</v>
      </c>
      <c r="Y62" s="4" t="str">
        <f t="shared" si="2"/>
        <v/>
      </c>
      <c r="Z62" s="4" t="str">
        <f>IFERROR(__xludf.DUMMYFUNCTION("IFERROR(
  FILTER('CBK Students'!O:O, TRIM('CBK Students'!B:B) = TRIM(A62)),
  """"
)"),"")</f>
        <v/>
      </c>
      <c r="AA62" s="4" t="str">
        <f>IFERROR(__xludf.DUMMYFUNCTION("IFERROR(
  FILTER('CBK Students'!P:P, TRIM('CBK Students'!B:B) = TRIM(A62)),
  """"
)"),"")</f>
        <v/>
      </c>
      <c r="AB62" s="4" t="str">
        <f>IFERROR(__xludf.DUMMYFUNCTION("IFERROR(
  FILTER('CBK Students'!Q:Q, TRIM('CBK Students'!B:B) = TRIM(A62)),
  """"
)"),"")</f>
        <v/>
      </c>
    </row>
    <row r="63" ht="18.75" customHeight="1">
      <c r="T63" s="240" t="str">
        <f>IFERROR(__xludf.DUMMYFUNCTION("IFERROR(
  FILTER('CBK Students'!F:F, TRIM('CBK Students'!B:B) = TRIM(A63)),
  """"
)"),"PTK 9:00-10:00am")</f>
        <v>PTK 9:00-10:00am</v>
      </c>
      <c r="U63" s="240" t="str">
        <f>IFERROR(__xludf.DUMMYFUNCTION("IFERROR(
  FILTER('CBK Students'!H:H, TRIM('CBK Students'!B:B) = TRIM(A63)),
  """"
)"),"Chuan")</f>
        <v>Chuan</v>
      </c>
      <c r="V63" s="240">
        <f>IFERROR(__xludf.DUMMYFUNCTION("IFERROR(
  FILTER('CBK Students'!M:M, TRIM('CBK Students'!B:B) = TRIM(A63)),
  """"
)"),41.0)</f>
        <v>41</v>
      </c>
      <c r="W63" s="240" t="str">
        <f t="shared" si="1"/>
        <v>Learning</v>
      </c>
      <c r="X63" s="240" t="str">
        <f>IFERROR(__xludf.DUMMYFUNCTION("IFERROR(
  FILTER('CBK Students'!R:R, TRIM('CBK Students'!B:B) = TRIM(A63)),
  """"
)"),"Prepare for Showcase")</f>
        <v>Prepare for Showcase</v>
      </c>
      <c r="Y63" s="4" t="str">
        <f t="shared" si="2"/>
        <v>Showcase Delay</v>
      </c>
      <c r="Z63" s="4" t="str">
        <f>IFERROR(__xludf.DUMMYFUNCTION("IFERROR(
  FILTER('CBK Students'!O:O, TRIM('CBK Students'!B:B) = TRIM(A63)),
  """"
)"),"")</f>
        <v/>
      </c>
      <c r="AA63" s="4" t="str">
        <f>IFERROR(__xludf.DUMMYFUNCTION("IFERROR(
  FILTER('CBK Students'!P:P, TRIM('CBK Students'!B:B) = TRIM(A63)),
  """"
)"),"")</f>
        <v/>
      </c>
      <c r="AB63" s="4" t="str">
        <f>IFERROR(__xludf.DUMMYFUNCTION("IFERROR(
  FILTER('CBK Students'!Q:Q, TRIM('CBK Students'!B:B) = TRIM(A63)),
  """"
)"),"")</f>
        <v/>
      </c>
    </row>
    <row r="64" ht="18.75" customHeight="1">
      <c r="T64" s="240" t="str">
        <f>IFERROR(__xludf.DUMMYFUNCTION("IFERROR(
  FILTER('CBK Students'!F:F, TRIM('CBK Students'!B:B) = TRIM(A64)),
  """"
)"),"CS 1:20-3:30pm")</f>
        <v>CS 1:20-3:30pm</v>
      </c>
      <c r="U64" s="240" t="str">
        <f>IFERROR(__xludf.DUMMYFUNCTION("IFERROR(
  FILTER('CBK Students'!H:H, TRIM('CBK Students'!B:B) = TRIM(A64)),
  """"
)"),"Kerry")</f>
        <v>Kerry</v>
      </c>
      <c r="V64" s="240">
        <f>IFERROR(__xludf.DUMMYFUNCTION("IFERROR(
  FILTER('CBK Students'!M:M, TRIM('CBK Students'!B:B) = TRIM(A64)),
  """"
)"),6.0)</f>
        <v>6</v>
      </c>
      <c r="W64" s="240" t="str">
        <f t="shared" si="1"/>
        <v>Learning</v>
      </c>
      <c r="X64" s="240" t="str">
        <f>IFERROR(__xludf.DUMMYFUNCTION("IFERROR(
  FILTER('CBK Students'!R:R, TRIM('CBK Students'!B:B) = TRIM(A64)),
  """"
)"),"Learning")</f>
        <v>Learning</v>
      </c>
      <c r="Y64" s="4" t="str">
        <f t="shared" si="2"/>
        <v>On Track</v>
      </c>
      <c r="Z64" s="4" t="str">
        <f>IFERROR(__xludf.DUMMYFUNCTION("IFERROR(
  FILTER('CBK Students'!O:O, TRIM('CBK Students'!B:B) = TRIM(A64)),
  """"
)"),"")</f>
        <v/>
      </c>
      <c r="AA64" s="4" t="str">
        <f>IFERROR(__xludf.DUMMYFUNCTION("IFERROR(
  FILTER('CBK Students'!P:P, TRIM('CBK Students'!B:B) = TRIM(A64)),
  """"
)"),"")</f>
        <v/>
      </c>
      <c r="AB64" s="4" t="str">
        <f>IFERROR(__xludf.DUMMYFUNCTION("IFERROR(
  FILTER('CBK Students'!Q:Q, TRIM('CBK Students'!B:B) = TRIM(A64)),
  """"
)"),"")</f>
        <v/>
      </c>
    </row>
    <row r="65" ht="18.75" customHeight="1">
      <c r="T65" s="240" t="str">
        <f>IFERROR(__xludf.DUMMYFUNCTION("IFERROR(
  FILTER('CBK Students'!F:F, TRIM('CBK Students'!B:B) = TRIM(A65)),
  """"
)"),"6 Sat 11:00-12:00pm")</f>
        <v>6 Sat 11:00-12:00pm</v>
      </c>
      <c r="U65" s="240" t="str">
        <f>IFERROR(__xludf.DUMMYFUNCTION("IFERROR(
  FILTER('CBK Students'!H:H, TRIM('CBK Students'!B:B) = TRIM(A65)),
  """"
)"),"Enouch")</f>
        <v>Enouch</v>
      </c>
      <c r="V65" s="240">
        <f>IFERROR(__xludf.DUMMYFUNCTION("IFERROR(
  FILTER('CBK Students'!M:M, TRIM('CBK Students'!B:B) = TRIM(A65)),
  """"
)"),13.0)</f>
        <v>13</v>
      </c>
      <c r="W65" s="240" t="str">
        <f t="shared" si="1"/>
        <v>Learning</v>
      </c>
      <c r="X65" s="240" t="str">
        <f>IFERROR(__xludf.DUMMYFUNCTION("IFERROR(
  FILTER('CBK Students'!R:R, TRIM('CBK Students'!B:B) = TRIM(A65)),
  """"
)"),"Learning")</f>
        <v>Learning</v>
      </c>
      <c r="Y65" s="4" t="str">
        <f t="shared" si="2"/>
        <v>Stage Delay</v>
      </c>
      <c r="Z65" s="4" t="str">
        <f>IFERROR(__xludf.DUMMYFUNCTION("IFERROR(
  FILTER('CBK Students'!O:O, TRIM('CBK Students'!B:B) = TRIM(A65)),
  """"
)"),"")</f>
        <v/>
      </c>
      <c r="AA65" s="4" t="str">
        <f>IFERROR(__xludf.DUMMYFUNCTION("IFERROR(
  FILTER('CBK Students'!P:P, TRIM('CBK Students'!B:B) = TRIM(A65)),
  """"
)"),"")</f>
        <v/>
      </c>
      <c r="AB65" s="4" t="str">
        <f>IFERROR(__xludf.DUMMYFUNCTION("IFERROR(
  FILTER('CBK Students'!Q:Q, TRIM('CBK Students'!B:B) = TRIM(A65)),
  """"
)"),"")</f>
        <v/>
      </c>
    </row>
    <row r="66" ht="18.75" customHeight="1">
      <c r="T66" s="240" t="str">
        <f>IFERROR(__xludf.DUMMYFUNCTION("IFERROR(
  FILTER('CBK Students'!F:F, TRIM('CBK Students'!B:B) = TRIM(A66)),
  """"
)"),"")</f>
        <v/>
      </c>
      <c r="U66" s="240" t="str">
        <f>IFERROR(__xludf.DUMMYFUNCTION("IFERROR(
  FILTER('CBK Students'!H:H, TRIM('CBK Students'!B:B) = TRIM(A66)),
  """"
)"),"")</f>
        <v/>
      </c>
      <c r="V66" s="240" t="str">
        <f>IFERROR(__xludf.DUMMYFUNCTION("IFERROR(
  FILTER('CBK Students'!M:M, TRIM('CBK Students'!B:B) = TRIM(A66)),
  """"
)"),"")</f>
        <v/>
      </c>
      <c r="W66" s="240" t="str">
        <f t="shared" si="1"/>
        <v>Learning</v>
      </c>
      <c r="X66" s="240" t="str">
        <f>IFERROR(__xludf.DUMMYFUNCTION("IFERROR(
  FILTER('CBK Students'!R:R, TRIM('CBK Students'!B:B) = TRIM(A66)),
  """"
)"),"")</f>
        <v/>
      </c>
      <c r="Y66" s="4" t="str">
        <f t="shared" si="2"/>
        <v>Showcase Delay</v>
      </c>
      <c r="Z66" s="4" t="str">
        <f>IFERROR(__xludf.DUMMYFUNCTION("IFERROR(
  FILTER('CBK Students'!O:O, TRIM('CBK Students'!B:B) = TRIM(A66)),
  """"
)"),"")</f>
        <v/>
      </c>
      <c r="AA66" s="4" t="str">
        <f>IFERROR(__xludf.DUMMYFUNCTION("IFERROR(
  FILTER('CBK Students'!P:P, TRIM('CBK Students'!B:B) = TRIM(A66)),
  """"
)"),"")</f>
        <v/>
      </c>
      <c r="AB66" s="4" t="str">
        <f>IFERROR(__xludf.DUMMYFUNCTION("IFERROR(
  FILTER('CBK Students'!Q:Q, TRIM('CBK Students'!B:B) = TRIM(A66)),
  """"
)"),"")</f>
        <v/>
      </c>
    </row>
    <row r="67" ht="18.75" customHeight="1">
      <c r="T67" s="240" t="str">
        <f>IFERROR(__xludf.DUMMYFUNCTION("IFERROR(
  FILTER('CBK Students'!F:F, TRIM('CBK Students'!B:B) = TRIM(A67)),
  """"
)"),"9 Sat 4:00-5:00pm")</f>
        <v>9 Sat 4:00-5:00pm</v>
      </c>
      <c r="U67" s="240" t="str">
        <f>IFERROR(__xludf.DUMMYFUNCTION("IFERROR(
  FILTER('CBK Students'!H:H, TRIM('CBK Students'!B:B) = TRIM(A67)),
  """"
)"),"Damian")</f>
        <v>Damian</v>
      </c>
      <c r="V67" s="240">
        <f>IFERROR(__xludf.DUMMYFUNCTION("IFERROR(
  FILTER('CBK Students'!M:M, TRIM('CBK Students'!B:B) = TRIM(A67)),
  """"
)"),6.0)</f>
        <v>6</v>
      </c>
      <c r="W67" s="240" t="str">
        <f t="shared" si="1"/>
        <v/>
      </c>
      <c r="X67" s="240" t="str">
        <f>IFERROR(__xludf.DUMMYFUNCTION("IFERROR(
  FILTER('CBK Students'!R:R, TRIM('CBK Students'!B:B) = TRIM(A67)),
  """"
)"),"Learning")</f>
        <v>Learning</v>
      </c>
      <c r="Y67" s="4" t="str">
        <f t="shared" si="2"/>
        <v/>
      </c>
      <c r="Z67" s="4" t="str">
        <f>IFERROR(__xludf.DUMMYFUNCTION("IFERROR(
  FILTER('CBK Students'!O:O, TRIM('CBK Students'!B:B) = TRIM(A67)),
  """"
)"),"")</f>
        <v/>
      </c>
      <c r="AA67" s="4" t="str">
        <f>IFERROR(__xludf.DUMMYFUNCTION("IFERROR(
  FILTER('CBK Students'!P:P, TRIM('CBK Students'!B:B) = TRIM(A67)),
  """"
)"),"")</f>
        <v/>
      </c>
      <c r="AB67" s="4" t="str">
        <f>IFERROR(__xludf.DUMMYFUNCTION("IFERROR(
  FILTER('CBK Students'!Q:Q, TRIM('CBK Students'!B:B) = TRIM(A67)),
  """"
)"),"")</f>
        <v/>
      </c>
    </row>
    <row r="68" ht="18.75" customHeight="1">
      <c r="T68" s="240" t="str">
        <f>IFERROR(__xludf.DUMMYFUNCTION("IFERROR(
  FILTER('CBK Students'!F:F, TRIM('CBK Students'!B:B) = TRIM(A68)),
  """"
)"),"2 Wed 7:30-8:30pm")</f>
        <v>2 Wed 7:30-8:30pm</v>
      </c>
      <c r="U68" s="240" t="str">
        <f>IFERROR(__xludf.DUMMYFUNCTION("IFERROR(
  FILTER('CBK Students'!H:H, TRIM('CBK Students'!B:B) = TRIM(A68)),
  """"
)"),"Max")</f>
        <v>Max</v>
      </c>
      <c r="V68" s="240">
        <f>IFERROR(__xludf.DUMMYFUNCTION("IFERROR(
  FILTER('CBK Students'!M:M, TRIM('CBK Students'!B:B) = TRIM(A68)),
  """"
)"),41.0)</f>
        <v>41</v>
      </c>
      <c r="W68" s="240" t="str">
        <f t="shared" si="1"/>
        <v>Learning</v>
      </c>
      <c r="X68" s="240" t="str">
        <f>IFERROR(__xludf.DUMMYFUNCTION("IFERROR(
  FILTER('CBK Students'!R:R, TRIM('CBK Students'!B:B) = TRIM(A68)),
  """"
)"),"Prepare for Showcase")</f>
        <v>Prepare for Showcase</v>
      </c>
      <c r="Y68" s="4" t="str">
        <f t="shared" si="2"/>
        <v>Showcase Delay</v>
      </c>
      <c r="Z68" s="4" t="str">
        <f>IFERROR(__xludf.DUMMYFUNCTION("IFERROR(
  FILTER('CBK Students'!O:O, TRIM('CBK Students'!B:B) = TRIM(A68)),
  """"
)"),"15/10/2025 - [Caleb]
Mentor’s Comment: Esme has many ideas to work on during the learning process.
My Comment: This is great, as it shows that the student has a positive learning attitude. However, the mentor is advised to help Esme stay focused on her pr"&amp;"ogress while still allowing her creativity to shine during each project submission.")</f>
        <v>15/10/2025 - [Caleb]
Mentor’s Comment: Esme has many ideas to work on during the learning process.
My Comment: This is great, as it shows that the student has a positive learning attitude. However, the mentor is advised to help Esme stay focused on her progress while still allowing her creativity to shine during each project submission.</v>
      </c>
      <c r="AA68" s="4" t="str">
        <f>IFERROR(__xludf.DUMMYFUNCTION("IFERROR(
  FILTER('CBK Students'!P:P, TRIM('CBK Students'!B:B) = TRIM(A68)),
  """"
)"),"15/10/2025 - [Caleb]
Mentor’s Comment: Esme has many ideas to work on during the learning process.
My Comment: This is great, as it shows that the student has a positive learning attitude. However, the mentor is advised to help Esme stay focused on her pr"&amp;"ogress while still allowing her creativity to shine during each project submission.")</f>
        <v>15/10/2025 - [Caleb]
Mentor’s Comment: Esme has many ideas to work on during the learning process.
My Comment: This is great, as it shows that the student has a positive learning attitude. However, the mentor is advised to help Esme stay focused on her progress while still allowing her creativity to shine during each project submission.</v>
      </c>
      <c r="AB68" s="4" t="str">
        <f>IFERROR(__xludf.DUMMYFUNCTION("IFERROR(
  FILTER('CBK Students'!Q:Q, TRIM('CBK Students'!B:B) = TRIM(A68)),
  """"
)"),"No")</f>
        <v>No</v>
      </c>
    </row>
    <row r="69" ht="18.75" customHeight="1">
      <c r="T69" s="240" t="str">
        <f>IFERROR(__xludf.DUMMYFUNCTION("IFERROR(
  FILTER('CBK Students'!F:F, TRIM('CBK Students'!B:B) = TRIM(A69)),
  """"
)"),"9 Sat 4:00-5:00pm")</f>
        <v>9 Sat 4:00-5:00pm</v>
      </c>
      <c r="U69" s="240" t="str">
        <f>IFERROR(__xludf.DUMMYFUNCTION("IFERROR(
  FILTER('CBK Students'!H:H, TRIM('CBK Students'!B:B) = TRIM(A69)),
  """"
)"),"Damian")</f>
        <v>Damian</v>
      </c>
      <c r="V69" s="240">
        <f>IFERROR(__xludf.DUMMYFUNCTION("IFERROR(
  FILTER('CBK Students'!M:M, TRIM('CBK Students'!B:B) = TRIM(A69)),
  """"
)"),91.0)</f>
        <v>91</v>
      </c>
      <c r="W69" s="240" t="str">
        <f t="shared" si="1"/>
        <v>Start with Final Project</v>
      </c>
      <c r="X69" s="240" t="str">
        <f>IFERROR(__xludf.DUMMYFUNCTION("IFERROR(
  FILTER('CBK Students'!R:R, TRIM('CBK Students'!B:B) = TRIM(A69)),
  """"
)"),"Prepare for Showcase")</f>
        <v>Prepare for Showcase</v>
      </c>
      <c r="Y69" s="4" t="str">
        <f t="shared" si="2"/>
        <v>Showcase Delay</v>
      </c>
      <c r="Z69" s="4" t="str">
        <f>IFERROR(__xludf.DUMMYFUNCTION("IFERROR(
  FILTER('CBK Students'!O:O, TRIM('CBK Students'!B:B) = TRIM(A69)),
  """"
)"),"17/10/2025 - [Caleb]
The student is easily distracted.
Mentor is advised to guide the student with clear, direct instructions and help build small, consistent habits first.
The student has already started preparing for the final project.")</f>
        <v>17/10/2025 - [Caleb]
The student is easily distracted.
Mentor is advised to guide the student with clear, direct instructions and help build small, consistent habits first.
The student has already started preparing for the final project.</v>
      </c>
      <c r="AA69" s="4" t="str">
        <f>IFERROR(__xludf.DUMMYFUNCTION("IFERROR(
  FILTER('CBK Students'!P:P, TRIM('CBK Students'!B:B) = TRIM(A69)),
  """"
)"),"17/10/2025 - [Caleb]
The student is easily distracted.
Mentor is advised to guide the student with clear, direct instructions and help build small, consistent habits first.
The student has already started preparing for the final project.")</f>
        <v>17/10/2025 - [Caleb]
The student is easily distracted.
Mentor is advised to guide the student with clear, direct instructions and help build small, consistent habits first.
The student has already started preparing for the final project.</v>
      </c>
      <c r="AB69" s="4" t="str">
        <f>IFERROR(__xludf.DUMMYFUNCTION("IFERROR(
  FILTER('CBK Students'!Q:Q, TRIM('CBK Students'!B:B) = TRIM(A69)),
  """"
)"),"No")</f>
        <v>No</v>
      </c>
    </row>
    <row r="70" ht="18.75" customHeight="1">
      <c r="T70" s="240" t="str">
        <f>IFERROR(__xludf.DUMMYFUNCTION("IFERROR(
  FILTER('CBK Students'!F:F, TRIM('CBK Students'!B:B) = TRIM(A70)),
  """"
)"),"4 Sat 9:00-10:00am")</f>
        <v>4 Sat 9:00-10:00am</v>
      </c>
      <c r="U70" s="240" t="str">
        <f>IFERROR(__xludf.DUMMYFUNCTION("IFERROR(
  FILTER('CBK Students'!H:H, TRIM('CBK Students'!B:B) = TRIM(A70)),
  """"
)"),"Damian")</f>
        <v>Damian</v>
      </c>
      <c r="V70" s="240">
        <f>IFERROR(__xludf.DUMMYFUNCTION("IFERROR(
  FILTER('CBK Students'!M:M, TRIM('CBK Students'!B:B) = TRIM(A70)),
  """"
)"),13.0)</f>
        <v>13</v>
      </c>
      <c r="W70" s="240" t="str">
        <f t="shared" si="1"/>
        <v>Learning</v>
      </c>
      <c r="X70" s="240" t="str">
        <f>IFERROR(__xludf.DUMMYFUNCTION("IFERROR(
  FILTER('CBK Students'!R:R, TRIM('CBK Students'!B:B) = TRIM(A70)),
  """"
)"),"Learning")</f>
        <v>Learning</v>
      </c>
      <c r="Y70" s="4" t="str">
        <f t="shared" si="2"/>
        <v>On Track</v>
      </c>
      <c r="Z70" s="4" t="str">
        <f>IFERROR(__xludf.DUMMYFUNCTION("IFERROR(
  FILTER('CBK Students'!O:O, TRIM('CBK Students'!B:B) = TRIM(A70)),
  """"
)"),"")</f>
        <v/>
      </c>
      <c r="AA70" s="4" t="str">
        <f>IFERROR(__xludf.DUMMYFUNCTION("IFERROR(
  FILTER('CBK Students'!P:P, TRIM('CBK Students'!B:B) = TRIM(A70)),
  """"
)"),"")</f>
        <v/>
      </c>
      <c r="AB70" s="4" t="str">
        <f>IFERROR(__xludf.DUMMYFUNCTION("IFERROR(
  FILTER('CBK Students'!Q:Q, TRIM('CBK Students'!B:B) = TRIM(A70)),
  """"
)"),"")</f>
        <v/>
      </c>
    </row>
    <row r="71" ht="18.75" customHeight="1">
      <c r="T71" s="240" t="str">
        <f>IFERROR(__xludf.DUMMYFUNCTION("IFERROR(
  FILTER('CBK Students'!F:F, TRIM('CBK Students'!B:B) = TRIM(A71)),
  """"
)"),"7 Sat 2:00-3:00pm")</f>
        <v>7 Sat 2:00-3:00pm</v>
      </c>
      <c r="U71" s="240" t="str">
        <f>IFERROR(__xludf.DUMMYFUNCTION("IFERROR(
  FILTER('CBK Students'!H:H, TRIM('CBK Students'!B:B) = TRIM(A71)),
  """"
)"),"Enouch")</f>
        <v>Enouch</v>
      </c>
      <c r="V71" s="240">
        <f>IFERROR(__xludf.DUMMYFUNCTION("IFERROR(
  FILTER('CBK Students'!M:M, TRIM('CBK Students'!B:B) = TRIM(A71)),
  """"
)"),66.0)</f>
        <v>66</v>
      </c>
      <c r="W71" s="240" t="str">
        <f t="shared" si="1"/>
        <v>Learning</v>
      </c>
      <c r="X71" s="240" t="str">
        <f>IFERROR(__xludf.DUMMYFUNCTION("IFERROR(
  FILTER('CBK Students'!R:R, TRIM('CBK Students'!B:B) = TRIM(A71)),
  """"
)"),"Prepare for Showcase")</f>
        <v>Prepare for Showcase</v>
      </c>
      <c r="Y71" s="4" t="str">
        <f t="shared" si="2"/>
        <v>Showcase Delay</v>
      </c>
      <c r="Z71" s="4" t="str">
        <f>IFERROR(__xludf.DUMMYFUNCTION("IFERROR(
  FILTER('CBK Students'!O:O, TRIM('CBK Students'!B:B) = TRIM(A71)),
  """"
)"),"")</f>
        <v/>
      </c>
      <c r="AA71" s="4" t="str">
        <f>IFERROR(__xludf.DUMMYFUNCTION("IFERROR(
  FILTER('CBK Students'!P:P, TRIM('CBK Students'!B:B) = TRIM(A71)),
  """"
)"),"")</f>
        <v/>
      </c>
      <c r="AB71" s="4" t="str">
        <f>IFERROR(__xludf.DUMMYFUNCTION("IFERROR(
  FILTER('CBK Students'!Q:Q, TRIM('CBK Students'!B:B) = TRIM(A71)),
  """"
)"),"")</f>
        <v/>
      </c>
    </row>
    <row r="72" ht="18.75" customHeight="1">
      <c r="T72" s="240" t="str">
        <f>IFERROR(__xludf.DUMMYFUNCTION("IFERROR(
  FILTER('CBK Students'!F:F, TRIM('CBK Students'!B:B) = TRIM(A72)),
  """"
)"),"2 Wed 7:30-8:30pm")</f>
        <v>2 Wed 7:30-8:30pm</v>
      </c>
      <c r="U72" s="240" t="str">
        <f>IFERROR(__xludf.DUMMYFUNCTION("IFERROR(
  FILTER('CBK Students'!H:H, TRIM('CBK Students'!B:B) = TRIM(A72)),
  """"
)"),"Mandy")</f>
        <v>Mandy</v>
      </c>
      <c r="V72" s="240">
        <f>IFERROR(__xludf.DUMMYFUNCTION("IFERROR(
  FILTER('CBK Students'!M:M, TRIM('CBK Students'!B:B) = TRIM(A72)),
  """"
)"),13.0)</f>
        <v>13</v>
      </c>
      <c r="W72" s="240" t="str">
        <f t="shared" si="1"/>
        <v/>
      </c>
      <c r="X72" s="240" t="str">
        <f>IFERROR(__xludf.DUMMYFUNCTION("IFERROR(
  FILTER('CBK Students'!R:R, TRIM('CBK Students'!B:B) = TRIM(A72)),
  """"
)"),"Learning")</f>
        <v>Learning</v>
      </c>
      <c r="Y72" s="4" t="str">
        <f t="shared" si="2"/>
        <v/>
      </c>
      <c r="Z72" s="4" t="str">
        <f>IFERROR(__xludf.DUMMYFUNCTION("IFERROR(
  FILTER('CBK Students'!O:O, TRIM('CBK Students'!B:B) = TRIM(A72)),
  """"
)"),"")</f>
        <v/>
      </c>
      <c r="AA72" s="4" t="str">
        <f>IFERROR(__xludf.DUMMYFUNCTION("IFERROR(
  FILTER('CBK Students'!P:P, TRIM('CBK Students'!B:B) = TRIM(A72)),
  """"
)"),"")</f>
        <v/>
      </c>
      <c r="AB72" s="4" t="str">
        <f>IFERROR(__xludf.DUMMYFUNCTION("IFERROR(
  FILTER('CBK Students'!Q:Q, TRIM('CBK Students'!B:B) = TRIM(A72)),
  """"
)"),"")</f>
        <v/>
      </c>
    </row>
    <row r="73" ht="18.75" customHeight="1">
      <c r="T73" s="240" t="str">
        <f>IFERROR(__xludf.DUMMYFUNCTION("IFERROR(
  FILTER('CBK Students'!F:F, TRIM('CBK Students'!B:B) = TRIM(A73)),
  """"
)"),"4 Sat 9:00-10:00am")</f>
        <v>4 Sat 9:00-10:00am</v>
      </c>
      <c r="U73" s="240" t="str">
        <f>IFERROR(__xludf.DUMMYFUNCTION("IFERROR(
  FILTER('CBK Students'!H:H, TRIM('CBK Students'!B:B) = TRIM(A73)),
  """"
)"),"Kerry")</f>
        <v>Kerry</v>
      </c>
      <c r="V73" s="240">
        <f>IFERROR(__xludf.DUMMYFUNCTION("IFERROR(
  FILTER('CBK Students'!M:M, TRIM('CBK Students'!B:B) = TRIM(A73)),
  """"
)"),23.0)</f>
        <v>23</v>
      </c>
      <c r="W73" s="240" t="str">
        <f t="shared" si="1"/>
        <v>Learning</v>
      </c>
      <c r="X73" s="240" t="str">
        <f>IFERROR(__xludf.DUMMYFUNCTION("IFERROR(
  FILTER('CBK Students'!R:R, TRIM('CBK Students'!B:B) = TRIM(A73)),
  """"
)"),"Learning")</f>
        <v>Learning</v>
      </c>
      <c r="Y73" s="4" t="str">
        <f t="shared" si="2"/>
        <v>On Track</v>
      </c>
      <c r="Z73" s="4" t="str">
        <f>IFERROR(__xludf.DUMMYFUNCTION("IFERROR(
  FILTER('CBK Students'!O:O, TRIM('CBK Students'!B:B) = TRIM(A73)),
  """"
)"),"")</f>
        <v/>
      </c>
      <c r="AA73" s="4" t="str">
        <f>IFERROR(__xludf.DUMMYFUNCTION("IFERROR(
  FILTER('CBK Students'!P:P, TRIM('CBK Students'!B:B) = TRIM(A73)),
  """"
)"),"")</f>
        <v/>
      </c>
      <c r="AB73" s="4" t="str">
        <f>IFERROR(__xludf.DUMMYFUNCTION("IFERROR(
  FILTER('CBK Students'!Q:Q, TRIM('CBK Students'!B:B) = TRIM(A73)),
  """"
)"),"")</f>
        <v/>
      </c>
    </row>
    <row r="74" ht="18.75" customHeight="1">
      <c r="T74" s="240" t="str">
        <f>IFERROR(__xludf.DUMMYFUNCTION("IFERROR(
  FILTER('CBK Students'!F:F, TRIM('CBK Students'!B:B) = TRIM(A74)),
  """"
)"),"2 Wed 7:30-8:30pm")</f>
        <v>2 Wed 7:30-8:30pm</v>
      </c>
      <c r="U74" s="240" t="str">
        <f>IFERROR(__xludf.DUMMYFUNCTION("IFERROR(
  FILTER('CBK Students'!H:H, TRIM('CBK Students'!B:B) = TRIM(A74)),
  """"
)"),"Chuan")</f>
        <v>Chuan</v>
      </c>
      <c r="V74" s="240">
        <f>IFERROR(__xludf.DUMMYFUNCTION("IFERROR(
  FILTER('CBK Students'!M:M, TRIM('CBK Students'!B:B) = TRIM(A74)),
  """"
)"),14.0)</f>
        <v>14</v>
      </c>
      <c r="W74" s="240" t="str">
        <f t="shared" si="1"/>
        <v>Start with Final Project</v>
      </c>
      <c r="X74" s="240" t="str">
        <f>IFERROR(__xludf.DUMMYFUNCTION("IFERROR(
  FILTER('CBK Students'!R:R, TRIM('CBK Students'!B:B) = TRIM(A74)),
  """"
)"),"Learning")</f>
        <v>Learning</v>
      </c>
      <c r="Y74" s="4" t="str">
        <f t="shared" si="2"/>
        <v>On Track</v>
      </c>
      <c r="Z74" s="4" t="str">
        <f>IFERROR(__xludf.DUMMYFUNCTION("IFERROR(
  FILTER('CBK Students'!O:O, TRIM('CBK Students'!B:B) = TRIM(A74)),
  """"
)"),"11/11/2025 - [Caleb]
The student is currently preparing for the showcase.
Demonstrates great initiative and a positive learning attitude, though self-learning skills still need improvement.
The mentor team has discussed strategies to support his growth"&amp;". We will begin by asking guiding questions to stimulate critical thinking and help him build problem-solving skills both in Chumbaka and beyond.")</f>
        <v>11/11/2025 - [Caleb]
The student is currently preparing for the showcase.
Demonstrates great initiative and a positive learning attitude, though self-learning skills still need improvement.
The mentor team has discussed strategies to support his growth. We will begin by asking guiding questions to stimulate critical thinking and help him build problem-solving skills both in Chumbaka and beyond.</v>
      </c>
      <c r="AA74" s="4" t="str">
        <f>IFERROR(__xludf.DUMMYFUNCTION("IFERROR(
  FILTER('CBK Students'!P:P, TRIM('CBK Students'!B:B) = TRIM(A74)),
  """"
)"),"11/11/2025 - [Caleb]
The student is currently preparing for the showcase.
Demonstrates great initiative and a positive learning attitude, though self-learning skills still need improvement.
The mentor team has discussed strategies to support his growth"&amp;". We will begin by asking guiding questions to stimulate critical thinking and help him build problem-solving skills both in Chumbaka and beyond.")</f>
        <v>11/11/2025 - [Caleb]
The student is currently preparing for the showcase.
Demonstrates great initiative and a positive learning attitude, though self-learning skills still need improvement.
The mentor team has discussed strategies to support his growth. We will begin by asking guiding questions to stimulate critical thinking and help him build problem-solving skills both in Chumbaka and beyond.</v>
      </c>
      <c r="AB74" s="4" t="str">
        <f>IFERROR(__xludf.DUMMYFUNCTION("IFERROR(
  FILTER('CBK Students'!Q:Q, TRIM('CBK Students'!B:B) = TRIM(A74)),
  """"
)"),"Yes")</f>
        <v>Yes</v>
      </c>
    </row>
    <row r="75" ht="18.75" customHeight="1">
      <c r="T75" s="240" t="str">
        <f>IFERROR(__xludf.DUMMYFUNCTION("IFERROR(
  FILTER('CBK Students'!F:F, TRIM('CBK Students'!B:B) = TRIM(A75)),
  """"
)"),"9 Sat 4:00-5:00pm")</f>
        <v>9 Sat 4:00-5:00pm</v>
      </c>
      <c r="U75" s="240" t="str">
        <f>IFERROR(__xludf.DUMMYFUNCTION("IFERROR(
  FILTER('CBK Students'!H:H, TRIM('CBK Students'!B:B) = TRIM(A75)),
  """"
)"),"Evelyn")</f>
        <v>Evelyn</v>
      </c>
      <c r="V75" s="240">
        <f>IFERROR(__xludf.DUMMYFUNCTION("IFERROR(
  FILTER('CBK Students'!M:M, TRIM('CBK Students'!B:B) = TRIM(A75)),
  """"
)"),6.0)</f>
        <v>6</v>
      </c>
      <c r="W75" s="240" t="str">
        <f t="shared" si="1"/>
        <v/>
      </c>
      <c r="X75" s="240" t="str">
        <f>IFERROR(__xludf.DUMMYFUNCTION("IFERROR(
  FILTER('CBK Students'!R:R, TRIM('CBK Students'!B:B) = TRIM(A75)),
  """"
)"),"Learning")</f>
        <v>Learning</v>
      </c>
      <c r="Y75" s="4" t="str">
        <f t="shared" si="2"/>
        <v/>
      </c>
      <c r="Z75" s="4" t="str">
        <f>IFERROR(__xludf.DUMMYFUNCTION("IFERROR(
  FILTER('CBK Students'!O:O, TRIM('CBK Students'!B:B) = TRIM(A75)),
  """"
)"),"")</f>
        <v/>
      </c>
      <c r="AA75" s="4" t="str">
        <f>IFERROR(__xludf.DUMMYFUNCTION("IFERROR(
  FILTER('CBK Students'!P:P, TRIM('CBK Students'!B:B) = TRIM(A75)),
  """"
)"),"")</f>
        <v/>
      </c>
      <c r="AB75" s="4" t="str">
        <f>IFERROR(__xludf.DUMMYFUNCTION("IFERROR(
  FILTER('CBK Students'!Q:Q, TRIM('CBK Students'!B:B) = TRIM(A75)),
  """"
)"),"")</f>
        <v/>
      </c>
    </row>
    <row r="76" ht="18.75" customHeight="1">
      <c r="T76" s="240" t="str">
        <f>IFERROR(__xludf.DUMMYFUNCTION("IFERROR(
  FILTER('CBK Students'!F:F, TRIM('CBK Students'!B:B) = TRIM(A76)),
  """"
)"),"2 Wed 7:30-8:30pm")</f>
        <v>2 Wed 7:30-8:30pm</v>
      </c>
      <c r="U76" s="240" t="str">
        <f>IFERROR(__xludf.DUMMYFUNCTION("IFERROR(
  FILTER('CBK Students'!H:H, TRIM('CBK Students'!B:B) = TRIM(A76)),
  """"
)"),"Max")</f>
        <v>Max</v>
      </c>
      <c r="V76" s="240">
        <f>IFERROR(__xludf.DUMMYFUNCTION("IFERROR(
  FILTER('CBK Students'!M:M, TRIM('CBK Students'!B:B) = TRIM(A76)),
  """"
)"),36.0)</f>
        <v>36</v>
      </c>
      <c r="W76" s="240" t="str">
        <f t="shared" si="1"/>
        <v>Start with Final Project</v>
      </c>
      <c r="X76" s="240" t="str">
        <f>IFERROR(__xludf.DUMMYFUNCTION("IFERROR(
  FILTER('CBK Students'!R:R, TRIM('CBK Students'!B:B) = TRIM(A76)),
  """"
)"),"Starting Final Project")</f>
        <v>Starting Final Project</v>
      </c>
      <c r="Y76" s="4" t="str">
        <f t="shared" si="2"/>
        <v>On Track</v>
      </c>
      <c r="Z76" s="4" t="str">
        <f>IFERROR(__xludf.DUMMYFUNCTION("IFERROR(
  FILTER('CBK Students'!O:O, TRIM('CBK Students'!B:B) = TRIM(A76)),
  """"
)"),"")</f>
        <v/>
      </c>
      <c r="AA76" s="4" t="str">
        <f>IFERROR(__xludf.DUMMYFUNCTION("IFERROR(
  FILTER('CBK Students'!P:P, TRIM('CBK Students'!B:B) = TRIM(A76)),
  """"
)"),"")</f>
        <v/>
      </c>
      <c r="AB76" s="4" t="str">
        <f>IFERROR(__xludf.DUMMYFUNCTION("IFERROR(
  FILTER('CBK Students'!Q:Q, TRIM('CBK Students'!B:B) = TRIM(A76)),
  """"
)"),"")</f>
        <v/>
      </c>
    </row>
    <row r="77" ht="18.75" customHeight="1">
      <c r="T77" s="240" t="str">
        <f>IFERROR(__xludf.DUMMYFUNCTION("IFERROR(
  FILTER('CBK Students'!F:F, TRIM('CBK Students'!B:B) = TRIM(A77)),
  """"
)"),"TH 12:45-1:45pm")</f>
        <v>TH 12:45-1:45pm</v>
      </c>
      <c r="U77" s="240" t="str">
        <f>IFERROR(__xludf.DUMMYFUNCTION("IFERROR(
  FILTER('CBK Students'!H:H, TRIM('CBK Students'!B:B) = TRIM(A77)),
  """"
)"),"Mandy")</f>
        <v>Mandy</v>
      </c>
      <c r="V77" s="240">
        <f>IFERROR(__xludf.DUMMYFUNCTION("IFERROR(
  FILTER('CBK Students'!M:M, TRIM('CBK Students'!B:B) = TRIM(A77)),
  """"
)"),58.0)</f>
        <v>58</v>
      </c>
      <c r="W77" s="240" t="str">
        <f t="shared" si="1"/>
        <v>Start with Final Project</v>
      </c>
      <c r="X77" s="240" t="str">
        <f>IFERROR(__xludf.DUMMYFUNCTION("IFERROR(
  FILTER('CBK Students'!R:R, TRIM('CBK Students'!B:B) = TRIM(A77)),
  """"
)"),"Prepare for Showcase")</f>
        <v>Prepare for Showcase</v>
      </c>
      <c r="Y77" s="4" t="str">
        <f t="shared" si="2"/>
        <v>Showcase Delay</v>
      </c>
      <c r="Z77" s="4" t="str">
        <f>IFERROR(__xludf.DUMMYFUNCTION("IFERROR(
  FILTER('CBK Students'!O:O, TRIM('CBK Students'!B:B) = TRIM(A77)),
  """"
)"),"")</f>
        <v/>
      </c>
      <c r="AA77" s="4" t="str">
        <f>IFERROR(__xludf.DUMMYFUNCTION("IFERROR(
  FILTER('CBK Students'!P:P, TRIM('CBK Students'!B:B) = TRIM(A77)),
  """"
)"),"")</f>
        <v/>
      </c>
      <c r="AB77" s="4" t="str">
        <f>IFERROR(__xludf.DUMMYFUNCTION("IFERROR(
  FILTER('CBK Students'!Q:Q, TRIM('CBK Students'!B:B) = TRIM(A77)),
  """"
)"),"")</f>
        <v/>
      </c>
    </row>
    <row r="78" ht="18.75" customHeight="1">
      <c r="T78" s="240" t="str">
        <f>IFERROR(__xludf.DUMMYFUNCTION("IFERROR(
  FILTER('CBK Students'!F:F, TRIM('CBK Students'!B:B) = TRIM(A78)),
  """"
)"),"2 Wed 7:30-8:30pm")</f>
        <v>2 Wed 7:30-8:30pm</v>
      </c>
      <c r="U78" s="240" t="str">
        <f>IFERROR(__xludf.DUMMYFUNCTION("IFERROR(
  FILTER('CBK Students'!H:H, TRIM('CBK Students'!B:B) = TRIM(A78)),
  """"
)"),"Enouch")</f>
        <v>Enouch</v>
      </c>
      <c r="V78" s="240">
        <f>IFERROR(__xludf.DUMMYFUNCTION("IFERROR(
  FILTER('CBK Students'!M:M, TRIM('CBK Students'!B:B) = TRIM(A78)),
  """"
)"),9.0)</f>
        <v>9</v>
      </c>
      <c r="W78" s="240" t="str">
        <f t="shared" si="1"/>
        <v>Start with Final Project</v>
      </c>
      <c r="X78" s="240" t="str">
        <f>IFERROR(__xludf.DUMMYFUNCTION("IFERROR(
  FILTER('CBK Students'!R:R, TRIM('CBK Students'!B:B) = TRIM(A78)),
  """"
)"),"Learning")</f>
        <v>Learning</v>
      </c>
      <c r="Y78" s="4" t="str">
        <f t="shared" si="2"/>
        <v>On Track</v>
      </c>
      <c r="Z78" s="4" t="str">
        <f>IFERROR(__xludf.DUMMYFUNCTION("IFERROR(
  FILTER('CBK Students'!O:O, TRIM('CBK Students'!B:B) = TRIM(A78)),
  """"
)"),"")</f>
        <v/>
      </c>
      <c r="AA78" s="4" t="str">
        <f>IFERROR(__xludf.DUMMYFUNCTION("IFERROR(
  FILTER('CBK Students'!P:P, TRIM('CBK Students'!B:B) = TRIM(A78)),
  """"
)"),"")</f>
        <v/>
      </c>
      <c r="AB78" s="4" t="str">
        <f>IFERROR(__xludf.DUMMYFUNCTION("IFERROR(
  FILTER('CBK Students'!Q:Q, TRIM('CBK Students'!B:B) = TRIM(A78)),
  """"
)"),"")</f>
        <v/>
      </c>
    </row>
    <row r="79" ht="18.75" customHeight="1">
      <c r="T79" s="240" t="str">
        <f>IFERROR(__xludf.DUMMYFUNCTION("IFERROR(
  FILTER('CBK Students'!F:F, TRIM('CBK Students'!B:B) = TRIM(A79)),
  """"
)"),"8 Sat 3:00-4:00pm")</f>
        <v>8 Sat 3:00-4:00pm</v>
      </c>
      <c r="U79" s="240" t="str">
        <f>IFERROR(__xludf.DUMMYFUNCTION("IFERROR(
  FILTER('CBK Students'!H:H, TRIM('CBK Students'!B:B) = TRIM(A79)),
  """"
)"),"Damian")</f>
        <v>Damian</v>
      </c>
      <c r="V79" s="240">
        <f>IFERROR(__xludf.DUMMYFUNCTION("IFERROR(
  FILTER('CBK Students'!M:M, TRIM('CBK Students'!B:B) = TRIM(A79)),
  """"
)"),73.0)</f>
        <v>73</v>
      </c>
      <c r="W79" s="240" t="str">
        <f t="shared" si="1"/>
        <v>Learning</v>
      </c>
      <c r="X79" s="240" t="str">
        <f>IFERROR(__xludf.DUMMYFUNCTION("IFERROR(
  FILTER('CBK Students'!R:R, TRIM('CBK Students'!B:B) = TRIM(A79)),
  """"
)"),"Prepare for Showcase")</f>
        <v>Prepare for Showcase</v>
      </c>
      <c r="Y79" s="4" t="str">
        <f t="shared" si="2"/>
        <v>Showcase Delay</v>
      </c>
      <c r="Z79" s="4" t="str">
        <f>IFERROR(__xludf.DUMMYFUNCTION("IFERROR(
  FILTER('CBK Students'!O:O, TRIM('CBK Students'!B:B) = TRIM(A79)),
  """"
)"),"")</f>
        <v/>
      </c>
      <c r="AA79" s="4" t="str">
        <f>IFERROR(__xludf.DUMMYFUNCTION("IFERROR(
  FILTER('CBK Students'!P:P, TRIM('CBK Students'!B:B) = TRIM(A79)),
  """"
)"),"")</f>
        <v/>
      </c>
      <c r="AB79" s="4" t="str">
        <f>IFERROR(__xludf.DUMMYFUNCTION("IFERROR(
  FILTER('CBK Students'!Q:Q, TRIM('CBK Students'!B:B) = TRIM(A79)),
  """"
)"),"")</f>
        <v/>
      </c>
    </row>
    <row r="80" ht="18.75" customHeight="1">
      <c r="T80" s="240" t="str">
        <f>IFERROR(__xludf.DUMMYFUNCTION("IFERROR(
  FILTER('CBK Students'!F:F, TRIM('CBK Students'!B:B) = TRIM(A80)),
  """"
)"),"1 Mon 7:30-8:30pm")</f>
        <v>1 Mon 7:30-8:30pm</v>
      </c>
      <c r="U80" s="240" t="str">
        <f>IFERROR(__xludf.DUMMYFUNCTION("IFERROR(
  FILTER('CBK Students'!H:H, TRIM('CBK Students'!B:B) = TRIM(A80)),
  """"
)"),"Lam")</f>
        <v>Lam</v>
      </c>
      <c r="V80" s="240">
        <f>IFERROR(__xludf.DUMMYFUNCTION("IFERROR(
  FILTER('CBK Students'!M:M, TRIM('CBK Students'!B:B) = TRIM(A80)),
  """"
)"),14.0)</f>
        <v>14</v>
      </c>
      <c r="W80" s="240" t="str">
        <f t="shared" si="1"/>
        <v>Start with Final Project</v>
      </c>
      <c r="X80" s="240" t="str">
        <f>IFERROR(__xludf.DUMMYFUNCTION("IFERROR(
  FILTER('CBK Students'!R:R, TRIM('CBK Students'!B:B) = TRIM(A80)),
  """"
)"),"Learning")</f>
        <v>Learning</v>
      </c>
      <c r="Y80" s="4" t="str">
        <f t="shared" si="2"/>
        <v>On Track</v>
      </c>
      <c r="Z80" s="4" t="str">
        <f>IFERROR(__xludf.DUMMYFUNCTION("IFERROR(
  FILTER('CBK Students'!O:O, TRIM('CBK Students'!B:B) = TRIM(A80)),
  """"
)"),"")</f>
        <v/>
      </c>
      <c r="AA80" s="4" t="str">
        <f>IFERROR(__xludf.DUMMYFUNCTION("IFERROR(
  FILTER('CBK Students'!P:P, TRIM('CBK Students'!B:B) = TRIM(A80)),
  """"
)"),"")</f>
        <v/>
      </c>
      <c r="AB80" s="4" t="str">
        <f>IFERROR(__xludf.DUMMYFUNCTION("IFERROR(
  FILTER('CBK Students'!Q:Q, TRIM('CBK Students'!B:B) = TRIM(A80)),
  """"
)"),"")</f>
        <v/>
      </c>
    </row>
    <row r="81" ht="18.75" customHeight="1">
      <c r="T81" s="240" t="str">
        <f>IFERROR(__xludf.DUMMYFUNCTION("IFERROR(
  FILTER('CBK Students'!F:F, TRIM('CBK Students'!B:B) = TRIM(A81)),
  """"
)"),"2 Wed 7:30-8:30pm")</f>
        <v>2 Wed 7:30-8:30pm</v>
      </c>
      <c r="U81" s="240" t="str">
        <f>IFERROR(__xludf.DUMMYFUNCTION("IFERROR(
  FILTER('CBK Students'!H:H, TRIM('CBK Students'!B:B) = TRIM(A81)),
  """"
)"),"Mandy")</f>
        <v>Mandy</v>
      </c>
      <c r="V81" s="240">
        <f>IFERROR(__xludf.DUMMYFUNCTION("IFERROR(
  FILTER('CBK Students'!M:M, TRIM('CBK Students'!B:B) = TRIM(A81)),
  """"
)"),49.0)</f>
        <v>49</v>
      </c>
      <c r="W81" s="240" t="str">
        <f t="shared" si="1"/>
        <v/>
      </c>
      <c r="X81" s="240" t="str">
        <f>IFERROR(__xludf.DUMMYFUNCTION("IFERROR(
  FILTER('CBK Students'!R:R, TRIM('CBK Students'!B:B) = TRIM(A81)),
  """"
)"),"Prepare for Showcase")</f>
        <v>Prepare for Showcase</v>
      </c>
      <c r="Y81" s="4" t="str">
        <f t="shared" si="2"/>
        <v/>
      </c>
      <c r="Z81" s="4" t="str">
        <f>IFERROR(__xludf.DUMMYFUNCTION("IFERROR(
  FILTER('CBK Students'!O:O, TRIM('CBK Students'!B:B) = TRIM(A81)),
  """"
)"),"")</f>
        <v/>
      </c>
      <c r="AA81" s="4" t="str">
        <f>IFERROR(__xludf.DUMMYFUNCTION("IFERROR(
  FILTER('CBK Students'!P:P, TRIM('CBK Students'!B:B) = TRIM(A81)),
  """"
)"),"")</f>
        <v/>
      </c>
      <c r="AB81" s="4" t="str">
        <f>IFERROR(__xludf.DUMMYFUNCTION("IFERROR(
  FILTER('CBK Students'!Q:Q, TRIM('CBK Students'!B:B) = TRIM(A81)),
  """"
)"),"")</f>
        <v/>
      </c>
    </row>
    <row r="82" ht="18.75" customHeight="1">
      <c r="T82" s="240" t="str">
        <f>IFERROR(__xludf.DUMMYFUNCTION("IFERROR(
  FILTER('CBK Students'!F:F, TRIM('CBK Students'!B:B) = TRIM(A82)),
  """"
)"),"7 Sat 2:00-3:00pm")</f>
        <v>7 Sat 2:00-3:00pm</v>
      </c>
      <c r="U82" s="240" t="str">
        <f>IFERROR(__xludf.DUMMYFUNCTION("IFERROR(
  FILTER('CBK Students'!H:H, TRIM('CBK Students'!B:B) = TRIM(A82)),
  """"
)"),"Damian")</f>
        <v>Damian</v>
      </c>
      <c r="V82" s="240">
        <f>IFERROR(__xludf.DUMMYFUNCTION("IFERROR(
  FILTER('CBK Students'!M:M, TRIM('CBK Students'!B:B) = TRIM(A82)),
  """"
)"),14.0)</f>
        <v>14</v>
      </c>
      <c r="W82" s="240" t="str">
        <f t="shared" si="1"/>
        <v>Learning</v>
      </c>
      <c r="X82" s="240" t="str">
        <f>IFERROR(__xludf.DUMMYFUNCTION("IFERROR(
  FILTER('CBK Students'!R:R, TRIM('CBK Students'!B:B) = TRIM(A82)),
  """"
)"),"Learning")</f>
        <v>Learning</v>
      </c>
      <c r="Y82" s="4" t="str">
        <f t="shared" si="2"/>
        <v>Stage Delay</v>
      </c>
      <c r="Z82" s="4" t="str">
        <f>IFERROR(__xludf.DUMMYFUNCTION("IFERROR(
  FILTER('CBK Students'!O:O, TRIM('CBK Students'!B:B) = TRIM(A82)),
  """"
)"),"")</f>
        <v/>
      </c>
      <c r="AA82" s="4" t="str">
        <f>IFERROR(__xludf.DUMMYFUNCTION("IFERROR(
  FILTER('CBK Students'!P:P, TRIM('CBK Students'!B:B) = TRIM(A82)),
  """"
)"),"")</f>
        <v/>
      </c>
      <c r="AB82" s="4" t="str">
        <f>IFERROR(__xludf.DUMMYFUNCTION("IFERROR(
  FILTER('CBK Students'!Q:Q, TRIM('CBK Students'!B:B) = TRIM(A82)),
  """"
)"),"")</f>
        <v/>
      </c>
    </row>
    <row r="83" ht="18.75" customHeight="1">
      <c r="T83" s="240" t="str">
        <f>IFERROR(__xludf.DUMMYFUNCTION("IFERROR(
  FILTER('CBK Students'!F:F, TRIM('CBK Students'!B:B) = TRIM(A83)),
  """"
)"),"7 Sat 2:00-3:00pm")</f>
        <v>7 Sat 2:00-3:00pm</v>
      </c>
      <c r="U83" s="240" t="str">
        <f>IFERROR(__xludf.DUMMYFUNCTION("IFERROR(
  FILTER('CBK Students'!H:H, TRIM('CBK Students'!B:B) = TRIM(A83)),
  """"
)"),"Enouch")</f>
        <v>Enouch</v>
      </c>
      <c r="V83" s="240">
        <f>IFERROR(__xludf.DUMMYFUNCTION("IFERROR(
  FILTER('CBK Students'!M:M, TRIM('CBK Students'!B:B) = TRIM(A83)),
  """"
)"),97.0)</f>
        <v>97</v>
      </c>
      <c r="W83" s="240" t="str">
        <f t="shared" si="1"/>
        <v>Learning</v>
      </c>
      <c r="X83" s="240" t="str">
        <f>IFERROR(__xludf.DUMMYFUNCTION("IFERROR(
  FILTER('CBK Students'!R:R, TRIM('CBK Students'!B:B) = TRIM(A83)),
  """"
)"),"Prepare for Showcase")</f>
        <v>Prepare for Showcase</v>
      </c>
      <c r="Y83" s="4" t="str">
        <f t="shared" si="2"/>
        <v>Showcase Delay</v>
      </c>
      <c r="Z83" s="4" t="str">
        <f>IFERROR(__xludf.DUMMYFUNCTION("IFERROR(
  FILTER('CBK Students'!O:O, TRIM('CBK Students'!B:B) = TRIM(A83)),
  """"
)"),"12/11/2025 - [Caleb]
The project is progressing slowly due to a lack of proper timeline planning.
The mentor is advised to guide the student by asking questions that help them visualize the completed project and plan it in smaller parts, such as weekly or"&amp;" per-class milestones.")</f>
        <v>12/11/2025 - [Caleb]
The project is progressing slowly due to a lack of proper timeline planning.
The mentor is advised to guide the student by asking questions that help them visualize the completed project and plan it in smaller parts, such as weekly or per-class milestones.</v>
      </c>
      <c r="AA83" s="4" t="str">
        <f>IFERROR(__xludf.DUMMYFUNCTION("IFERROR(
  FILTER('CBK Students'!P:P, TRIM('CBK Students'!B:B) = TRIM(A83)),
  """"
)"),"12/11/2025 - [Caleb]
The project is progressing slowly due to a lack of proper timeline planning.
The mentor is advised to guide the student by asking questions that help them visualize the completed project and plan it in smaller parts, such as weekly or"&amp;" per-class milestones.")</f>
        <v>12/11/2025 - [Caleb]
The project is progressing slowly due to a lack of proper timeline planning.
The mentor is advised to guide the student by asking questions that help them visualize the completed project and plan it in smaller parts, such as weekly or per-class milestones.</v>
      </c>
      <c r="AB83" s="4" t="str">
        <f>IFERROR(__xludf.DUMMYFUNCTION("IFERROR(
  FILTER('CBK Students'!Q:Q, TRIM('CBK Students'!B:B) = TRIM(A83)),
  """"
)"),"No")</f>
        <v>No</v>
      </c>
    </row>
    <row r="84" ht="18.75" customHeight="1">
      <c r="T84" s="240" t="str">
        <f>IFERROR(__xludf.DUMMYFUNCTION("IFERROR(
  FILTER('CBK Students'!F:F, TRIM('CBK Students'!B:B) = TRIM(A84)),
  """"
)"),"6 Sat 11:00-12:00pm")</f>
        <v>6 Sat 11:00-12:00pm</v>
      </c>
      <c r="U84" s="240" t="str">
        <f>IFERROR(__xludf.DUMMYFUNCTION("IFERROR(
  FILTER('CBK Students'!H:H, TRIM('CBK Students'!B:B) = TRIM(A84)),
  """"
)"),"Mandy")</f>
        <v>Mandy</v>
      </c>
      <c r="V84" s="240">
        <f>IFERROR(__xludf.DUMMYFUNCTION("IFERROR(
  FILTER('CBK Students'!M:M, TRIM('CBK Students'!B:B) = TRIM(A84)),
  """"
)"),10.0)</f>
        <v>10</v>
      </c>
      <c r="W84" s="240" t="str">
        <f t="shared" si="1"/>
        <v/>
      </c>
      <c r="X84" s="240" t="str">
        <f>IFERROR(__xludf.DUMMYFUNCTION("IFERROR(
  FILTER('CBK Students'!R:R, TRIM('CBK Students'!B:B) = TRIM(A84)),
  """"
)"),"Learning")</f>
        <v>Learning</v>
      </c>
      <c r="Y84" s="4" t="str">
        <f t="shared" si="2"/>
        <v/>
      </c>
      <c r="Z84" s="4" t="str">
        <f>IFERROR(__xludf.DUMMYFUNCTION("IFERROR(
  FILTER('CBK Students'!O:O, TRIM('CBK Students'!B:B) = TRIM(A84)),
  """"
)"),"")</f>
        <v/>
      </c>
      <c r="AA84" s="4" t="str">
        <f>IFERROR(__xludf.DUMMYFUNCTION("IFERROR(
  FILTER('CBK Students'!P:P, TRIM('CBK Students'!B:B) = TRIM(A84)),
  """"
)"),"")</f>
        <v/>
      </c>
      <c r="AB84" s="4" t="str">
        <f>IFERROR(__xludf.DUMMYFUNCTION("IFERROR(
  FILTER('CBK Students'!Q:Q, TRIM('CBK Students'!B:B) = TRIM(A84)),
  """"
)"),"")</f>
        <v/>
      </c>
    </row>
    <row r="85" ht="18.75" customHeight="1">
      <c r="T85" s="240" t="str">
        <f>IFERROR(__xludf.DUMMYFUNCTION("IFERROR(
  FILTER('CBK Students'!F:F, TRIM('CBK Students'!B:B) = TRIM(A85)),
  """"
)"),"1 Mon 7:30-8:30pm")</f>
        <v>1 Mon 7:30-8:30pm</v>
      </c>
      <c r="U85" s="240" t="str">
        <f>IFERROR(__xludf.DUMMYFUNCTION("IFERROR(
  FILTER('CBK Students'!H:H, TRIM('CBK Students'!B:B) = TRIM(A85)),
  """"
)"),"Evelyn")</f>
        <v>Evelyn</v>
      </c>
      <c r="V85" s="240">
        <f>IFERROR(__xludf.DUMMYFUNCTION("IFERROR(
  FILTER('CBK Students'!M:M, TRIM('CBK Students'!B:B) = TRIM(A85)),
  """"
)"),5.0)</f>
        <v>5</v>
      </c>
      <c r="W85" s="240" t="str">
        <f t="shared" si="1"/>
        <v>Learning</v>
      </c>
      <c r="X85" s="240" t="str">
        <f>IFERROR(__xludf.DUMMYFUNCTION("IFERROR(
  FILTER('CBK Students'!R:R, TRIM('CBK Students'!B:B) = TRIM(A85)),
  """"
)"),"Learning")</f>
        <v>Learning</v>
      </c>
      <c r="Y85" s="4" t="str">
        <f t="shared" si="2"/>
        <v>On Track</v>
      </c>
      <c r="Z85" s="4" t="str">
        <f>IFERROR(__xludf.DUMMYFUNCTION("IFERROR(
  FILTER('CBK Students'!O:O, TRIM('CBK Students'!B:B) = TRIM(A85)),
  """"
)"),"")</f>
        <v/>
      </c>
      <c r="AA85" s="4" t="str">
        <f>IFERROR(__xludf.DUMMYFUNCTION("IFERROR(
  FILTER('CBK Students'!P:P, TRIM('CBK Students'!B:B) = TRIM(A85)),
  """"
)"),"")</f>
        <v/>
      </c>
      <c r="AB85" s="4" t="str">
        <f>IFERROR(__xludf.DUMMYFUNCTION("IFERROR(
  FILTER('CBK Students'!Q:Q, TRIM('CBK Students'!B:B) = TRIM(A85)),
  """"
)"),"")</f>
        <v/>
      </c>
    </row>
    <row r="86" ht="18.75" customHeight="1">
      <c r="T86" s="240" t="str">
        <f>IFERROR(__xludf.DUMMYFUNCTION("IFERROR(
  FILTER('CBK Students'!F:F, TRIM('CBK Students'!B:B) = TRIM(A86)),
  """"
)"),"1 Mon 7.30-8.30pm")</f>
        <v>1 Mon 7.30-8.30pm</v>
      </c>
      <c r="U86" s="240" t="str">
        <f>IFERROR(__xludf.DUMMYFUNCTION("IFERROR(
  FILTER('CBK Students'!H:H, TRIM('CBK Students'!B:B) = TRIM(A86)),
  """"
)"),"Lam")</f>
        <v>Lam</v>
      </c>
      <c r="V86" s="240">
        <f>IFERROR(__xludf.DUMMYFUNCTION("IFERROR(
  FILTER('CBK Students'!M:M, TRIM('CBK Students'!B:B) = TRIM(A86)),
  """"
)"),66.0)</f>
        <v>66</v>
      </c>
      <c r="W86" s="240" t="str">
        <f t="shared" si="1"/>
        <v>Start with Final Project</v>
      </c>
      <c r="X86" s="240" t="str">
        <f>IFERROR(__xludf.DUMMYFUNCTION("IFERROR(
  FILTER('CBK Students'!R:R, TRIM('CBK Students'!B:B) = TRIM(A86)),
  """"
)"),"Prepare for Showcase")</f>
        <v>Prepare for Showcase</v>
      </c>
      <c r="Y86" s="4" t="str">
        <f t="shared" si="2"/>
        <v>Showcase Delay</v>
      </c>
      <c r="Z86" s="4" t="str">
        <f>IFERROR(__xludf.DUMMYFUNCTION("IFERROR(
  FILTER('CBK Students'!O:O, TRIM('CBK Students'!B:B) = TRIM(A86)),
  """"
)"),"")</f>
        <v/>
      </c>
      <c r="AA86" s="4" t="str">
        <f>IFERROR(__xludf.DUMMYFUNCTION("IFERROR(
  FILTER('CBK Students'!P:P, TRIM('CBK Students'!B:B) = TRIM(A86)),
  """"
)"),"")</f>
        <v/>
      </c>
      <c r="AB86" s="4" t="str">
        <f>IFERROR(__xludf.DUMMYFUNCTION("IFERROR(
  FILTER('CBK Students'!Q:Q, TRIM('CBK Students'!B:B) = TRIM(A86)),
  """"
)"),"")</f>
        <v/>
      </c>
    </row>
    <row r="87" ht="18.75" customHeight="1">
      <c r="T87" s="240" t="str">
        <f>IFERROR(__xludf.DUMMYFUNCTION("IFERROR(
  FILTER('CBK Students'!F:F, TRIM('CBK Students'!B:B) = TRIM(A87)),
  """"
)"),"4 Sat 9:00-10:00am")</f>
        <v>4 Sat 9:00-10:00am</v>
      </c>
      <c r="U87" s="240" t="str">
        <f>IFERROR(__xludf.DUMMYFUNCTION("IFERROR(
  FILTER('CBK Students'!H:H, TRIM('CBK Students'!B:B) = TRIM(A87)),
  """"
)"),"Kerry")</f>
        <v>Kerry</v>
      </c>
      <c r="V87" s="240">
        <f>IFERROR(__xludf.DUMMYFUNCTION("IFERROR(
  FILTER('CBK Students'!M:M, TRIM('CBK Students'!B:B) = TRIM(A87)),
  """"
)"),20.0)</f>
        <v>20</v>
      </c>
      <c r="W87" s="240" t="str">
        <f t="shared" si="1"/>
        <v>Start with Final Project</v>
      </c>
      <c r="X87" s="240" t="str">
        <f>IFERROR(__xludf.DUMMYFUNCTION("IFERROR(
  FILTER('CBK Students'!R:R, TRIM('CBK Students'!B:B) = TRIM(A87)),
  """"
)"),"Learning")</f>
        <v>Learning</v>
      </c>
      <c r="Y87" s="4" t="str">
        <f t="shared" si="2"/>
        <v>On Track</v>
      </c>
      <c r="Z87" s="4" t="str">
        <f>IFERROR(__xludf.DUMMYFUNCTION("IFERROR(
  FILTER('CBK Students'!O:O, TRIM('CBK Students'!B:B) = TRIM(A87)),
  """"
)"),"")</f>
        <v/>
      </c>
      <c r="AA87" s="4" t="str">
        <f>IFERROR(__xludf.DUMMYFUNCTION("IFERROR(
  FILTER('CBK Students'!P:P, TRIM('CBK Students'!B:B) = TRIM(A87)),
  """"
)"),"")</f>
        <v/>
      </c>
      <c r="AB87" s="4" t="str">
        <f>IFERROR(__xludf.DUMMYFUNCTION("IFERROR(
  FILTER('CBK Students'!Q:Q, TRIM('CBK Students'!B:B) = TRIM(A87)),
  """"
)"),"")</f>
        <v/>
      </c>
    </row>
    <row r="88" ht="18.75" customHeight="1">
      <c r="T88" s="240" t="str">
        <f>IFERROR(__xludf.DUMMYFUNCTION("IFERROR(
  FILTER('CBK Students'!F:F, TRIM('CBK Students'!B:B) = TRIM(A88)),
  """"
)"),"TH 12:45-1:45pm")</f>
        <v>TH 12:45-1:45pm</v>
      </c>
      <c r="U88" s="240" t="str">
        <f>IFERROR(__xludf.DUMMYFUNCTION("IFERROR(
  FILTER('CBK Students'!H:H, TRIM('CBK Students'!B:B) = TRIM(A88)),
  """"
)"),"Mandy")</f>
        <v>Mandy</v>
      </c>
      <c r="V88" s="240">
        <f>IFERROR(__xludf.DUMMYFUNCTION("IFERROR(
  FILTER('CBK Students'!M:M, TRIM('CBK Students'!B:B) = TRIM(A88)),
  """"
)"),58.0)</f>
        <v>58</v>
      </c>
      <c r="W88" s="240" t="str">
        <f t="shared" si="1"/>
        <v>Learning</v>
      </c>
      <c r="X88" s="240" t="str">
        <f>IFERROR(__xludf.DUMMYFUNCTION("IFERROR(
  FILTER('CBK Students'!R:R, TRIM('CBK Students'!B:B) = TRIM(A88)),
  """"
)"),"Prepare for Showcase")</f>
        <v>Prepare for Showcase</v>
      </c>
      <c r="Y88" s="4" t="str">
        <f t="shared" si="2"/>
        <v>Showcase Delay</v>
      </c>
      <c r="Z88" s="4" t="str">
        <f>IFERROR(__xludf.DUMMYFUNCTION("IFERROR(
  FILTER('CBK Students'!O:O, TRIM('CBK Students'!B:B) = TRIM(A88)),
  """"
)"),"")</f>
        <v/>
      </c>
      <c r="AA88" s="4" t="str">
        <f>IFERROR(__xludf.DUMMYFUNCTION("IFERROR(
  FILTER('CBK Students'!P:P, TRIM('CBK Students'!B:B) = TRIM(A88)),
  """"
)"),"")</f>
        <v/>
      </c>
      <c r="AB88" s="4" t="str">
        <f>IFERROR(__xludf.DUMMYFUNCTION("IFERROR(
  FILTER('CBK Students'!Q:Q, TRIM('CBK Students'!B:B) = TRIM(A88)),
  """"
)"),"")</f>
        <v/>
      </c>
    </row>
    <row r="89" ht="18.75" customHeight="1">
      <c r="T89" s="240" t="str">
        <f>IFERROR(__xludf.DUMMYFUNCTION("IFERROR(
  FILTER('CBK Students'!F:F, TRIM('CBK Students'!B:B) = TRIM(A89)),
  """"
)"),"TH 12:45-1:45pm")</f>
        <v>TH 12:45-1:45pm</v>
      </c>
      <c r="U89" s="240" t="str">
        <f>IFERROR(__xludf.DUMMYFUNCTION("IFERROR(
  FILTER('CBK Students'!H:H, TRIM('CBK Students'!B:B) = TRIM(A89)),
  """"
)"),"Mandy")</f>
        <v>Mandy</v>
      </c>
      <c r="V89" s="240">
        <f>IFERROR(__xludf.DUMMYFUNCTION("IFERROR(
  FILTER('CBK Students'!M:M, TRIM('CBK Students'!B:B) = TRIM(A89)),
  """"
)"),49.0)</f>
        <v>49</v>
      </c>
      <c r="W89" s="240" t="str">
        <f t="shared" si="1"/>
        <v>Learning</v>
      </c>
      <c r="X89" s="240" t="str">
        <f>IFERROR(__xludf.DUMMYFUNCTION("IFERROR(
  FILTER('CBK Students'!R:R, TRIM('CBK Students'!B:B) = TRIM(A89)),
  """"
)"),"Prepare for Showcase")</f>
        <v>Prepare for Showcase</v>
      </c>
      <c r="Y89" s="4" t="str">
        <f t="shared" si="2"/>
        <v>Showcase Delay</v>
      </c>
      <c r="Z89" s="4" t="str">
        <f>IFERROR(__xludf.DUMMYFUNCTION("IFERROR(
  FILTER('CBK Students'!O:O, TRIM('CBK Students'!B:B) = TRIM(A89)),
  """"
)"),"")</f>
        <v/>
      </c>
      <c r="AA89" s="4" t="str">
        <f>IFERROR(__xludf.DUMMYFUNCTION("IFERROR(
  FILTER('CBK Students'!P:P, TRIM('CBK Students'!B:B) = TRIM(A89)),
  """"
)"),"")</f>
        <v/>
      </c>
      <c r="AB89" s="4" t="str">
        <f>IFERROR(__xludf.DUMMYFUNCTION("IFERROR(
  FILTER('CBK Students'!Q:Q, TRIM('CBK Students'!B:B) = TRIM(A89)),
  """"
)"),"")</f>
        <v/>
      </c>
    </row>
    <row r="90" ht="18.75" customHeight="1">
      <c r="T90" s="240" t="str">
        <f>IFERROR(__xludf.DUMMYFUNCTION("IFERROR(
  FILTER('CBK Students'!F:F, TRIM('CBK Students'!B:B) = TRIM(A90)),
  """"
)"),"TH 12:45-1:45pm")</f>
        <v>TH 12:45-1:45pm</v>
      </c>
      <c r="U90" s="240" t="str">
        <f>IFERROR(__xludf.DUMMYFUNCTION("IFERROR(
  FILTER('CBK Students'!H:H, TRIM('CBK Students'!B:B) = TRIM(A90)),
  """"
)"),"Enouch")</f>
        <v>Enouch</v>
      </c>
      <c r="V90" s="240">
        <f>IFERROR(__xludf.DUMMYFUNCTION("IFERROR(
  FILTER('CBK Students'!M:M, TRIM('CBK Students'!B:B) = TRIM(A90)),
  """"
)"),14.0)</f>
        <v>14</v>
      </c>
      <c r="W90" s="240" t="str">
        <f t="shared" si="1"/>
        <v>Learning</v>
      </c>
      <c r="X90" s="240" t="str">
        <f>IFERROR(__xludf.DUMMYFUNCTION("IFERROR(
  FILTER('CBK Students'!R:R, TRIM('CBK Students'!B:B) = TRIM(A90)),
  """"
)"),"Learning")</f>
        <v>Learning</v>
      </c>
      <c r="Y90" s="4" t="str">
        <f t="shared" si="2"/>
        <v>Stage Delay</v>
      </c>
      <c r="Z90" s="4" t="str">
        <f>IFERROR(__xludf.DUMMYFUNCTION("IFERROR(
  FILTER('CBK Students'!O:O, TRIM('CBK Students'!B:B) = TRIM(A90)),
  """"
)"),"")</f>
        <v/>
      </c>
      <c r="AA90" s="4" t="str">
        <f>IFERROR(__xludf.DUMMYFUNCTION("IFERROR(
  FILTER('CBK Students'!P:P, TRIM('CBK Students'!B:B) = TRIM(A90)),
  """"
)"),"")</f>
        <v/>
      </c>
      <c r="AB90" s="4" t="str">
        <f>IFERROR(__xludf.DUMMYFUNCTION("IFERROR(
  FILTER('CBK Students'!Q:Q, TRIM('CBK Students'!B:B) = TRIM(A90)),
  """"
)"),"")</f>
        <v/>
      </c>
    </row>
    <row r="91" ht="18.75" customHeight="1">
      <c r="T91" s="240" t="str">
        <f>IFERROR(__xludf.DUMMYFUNCTION("IFERROR(
  FILTER('CBK Students'!F:F, TRIM('CBK Students'!B:B) = TRIM(A91)),
  """"
)"),"6 Sat 11:00-12:00pm")</f>
        <v>6 Sat 11:00-12:00pm</v>
      </c>
      <c r="U91" s="240" t="str">
        <f>IFERROR(__xludf.DUMMYFUNCTION("IFERROR(
  FILTER('CBK Students'!H:H, TRIM('CBK Students'!B:B) = TRIM(A91)),
  """"
)"),"Damian")</f>
        <v>Damian</v>
      </c>
      <c r="V91" s="240">
        <f>IFERROR(__xludf.DUMMYFUNCTION("IFERROR(
  FILTER('CBK Students'!M:M, TRIM('CBK Students'!B:B) = TRIM(A91)),
  """"
)"),13.0)</f>
        <v>13</v>
      </c>
      <c r="W91" s="240" t="str">
        <f t="shared" si="1"/>
        <v>Start with Final Project</v>
      </c>
      <c r="X91" s="240" t="str">
        <f>IFERROR(__xludf.DUMMYFUNCTION("IFERROR(
  FILTER('CBK Students'!R:R, TRIM('CBK Students'!B:B) = TRIM(A91)),
  """"
)"),"Learning")</f>
        <v>Learning</v>
      </c>
      <c r="Y91" s="4" t="str">
        <f t="shared" si="2"/>
        <v>On Track</v>
      </c>
      <c r="Z91" s="4" t="str">
        <f>IFERROR(__xludf.DUMMYFUNCTION("IFERROR(
  FILTER('CBK Students'!O:O, TRIM('CBK Students'!B:B) = TRIM(A91)),
  """"
)"),"")</f>
        <v/>
      </c>
      <c r="AA91" s="4" t="str">
        <f>IFERROR(__xludf.DUMMYFUNCTION("IFERROR(
  FILTER('CBK Students'!P:P, TRIM('CBK Students'!B:B) = TRIM(A91)),
  """"
)"),"")</f>
        <v/>
      </c>
      <c r="AB91" s="4" t="str">
        <f>IFERROR(__xludf.DUMMYFUNCTION("IFERROR(
  FILTER('CBK Students'!Q:Q, TRIM('CBK Students'!B:B) = TRIM(A91)),
  """"
)"),"")</f>
        <v/>
      </c>
    </row>
    <row r="92" ht="18.75" customHeight="1">
      <c r="T92" s="240" t="str">
        <f>IFERROR(__xludf.DUMMYFUNCTION("IFERROR(
  FILTER('CBK Students'!F:F, TRIM('CBK Students'!B:B) = TRIM(A92)),
  """"
)"),"6 Sat 11:00-12:00pm")</f>
        <v>6 Sat 11:00-12:00pm</v>
      </c>
      <c r="U92" s="240" t="str">
        <f>IFERROR(__xludf.DUMMYFUNCTION("IFERROR(
  FILTER('CBK Students'!H:H, TRIM('CBK Students'!B:B) = TRIM(A92)),
  """"
)"),"Damian")</f>
        <v>Damian</v>
      </c>
      <c r="V92" s="240">
        <f>IFERROR(__xludf.DUMMYFUNCTION("IFERROR(
  FILTER('CBK Students'!M:M, TRIM('CBK Students'!B:B) = TRIM(A92)),
  """"
)"),97.0)</f>
        <v>97</v>
      </c>
      <c r="W92" s="240" t="str">
        <f t="shared" si="1"/>
        <v>Start with Final Project</v>
      </c>
      <c r="X92" s="240" t="str">
        <f>IFERROR(__xludf.DUMMYFUNCTION("IFERROR(
  FILTER('CBK Students'!R:R, TRIM('CBK Students'!B:B) = TRIM(A92)),
  """"
)"),"Prepare for Showcase")</f>
        <v>Prepare for Showcase</v>
      </c>
      <c r="Y92" s="4" t="str">
        <f t="shared" si="2"/>
        <v>Showcase Delay</v>
      </c>
      <c r="Z92" s="4" t="str">
        <f>IFERROR(__xludf.DUMMYFUNCTION("IFERROR(
  FILTER('CBK Students'!O:O, TRIM('CBK Students'!B:B) = TRIM(A92)),
  """"
)"),"")</f>
        <v/>
      </c>
      <c r="AA92" s="4" t="str">
        <f>IFERROR(__xludf.DUMMYFUNCTION("IFERROR(
  FILTER('CBK Students'!P:P, TRIM('CBK Students'!B:B) = TRIM(A92)),
  """"
)"),"")</f>
        <v/>
      </c>
      <c r="AB92" s="4" t="str">
        <f>IFERROR(__xludf.DUMMYFUNCTION("IFERROR(
  FILTER('CBK Students'!Q:Q, TRIM('CBK Students'!B:B) = TRIM(A92)),
  """"
)"),"")</f>
        <v/>
      </c>
    </row>
    <row r="93" ht="18.75" customHeight="1">
      <c r="T93" s="240" t="str">
        <f>IFERROR(__xludf.DUMMYFUNCTION("IFERROR(
  FILTER('CBK Students'!F:F, TRIM('CBK Students'!B:B) = TRIM(A93)),
  """"
)"),"1 Mon 7:30-8:30pm")</f>
        <v>1 Mon 7:30-8:30pm</v>
      </c>
      <c r="U93" s="240" t="str">
        <f>IFERROR(__xludf.DUMMYFUNCTION("IFERROR(
  FILTER('CBK Students'!H:H, TRIM('CBK Students'!B:B) = TRIM(A93)),
  """"
)"),"Enouch")</f>
        <v>Enouch</v>
      </c>
      <c r="V93" s="240">
        <f>IFERROR(__xludf.DUMMYFUNCTION("IFERROR(
  FILTER('CBK Students'!M:M, TRIM('CBK Students'!B:B) = TRIM(A93)),
  """"
)"),65.0)</f>
        <v>65</v>
      </c>
      <c r="W93" s="240" t="str">
        <f t="shared" si="1"/>
        <v>Start with Final Project</v>
      </c>
      <c r="X93" s="240" t="str">
        <f>IFERROR(__xludf.DUMMYFUNCTION("IFERROR(
  FILTER('CBK Students'!R:R, TRIM('CBK Students'!B:B) = TRIM(A93)),
  """"
)"),"Prepare for Showcase")</f>
        <v>Prepare for Showcase</v>
      </c>
      <c r="Y93" s="4" t="str">
        <f t="shared" si="2"/>
        <v>Showcase Delay</v>
      </c>
      <c r="Z93" s="4" t="str">
        <f>IFERROR(__xludf.DUMMYFUNCTION("IFERROR(
  FILTER('CBK Students'!O:O, TRIM('CBK Students'!B:B) = TRIM(A93)),
  """"
)"),"")</f>
        <v/>
      </c>
      <c r="AA93" s="4" t="str">
        <f>IFERROR(__xludf.DUMMYFUNCTION("IFERROR(
  FILTER('CBK Students'!P:P, TRIM('CBK Students'!B:B) = TRIM(A93)),
  """"
)"),"")</f>
        <v/>
      </c>
      <c r="AB93" s="4" t="str">
        <f>IFERROR(__xludf.DUMMYFUNCTION("IFERROR(
  FILTER('CBK Students'!Q:Q, TRIM('CBK Students'!B:B) = TRIM(A93)),
  """"
)"),"")</f>
        <v/>
      </c>
    </row>
    <row r="94" ht="18.75" customHeight="1">
      <c r="T94" s="240" t="str">
        <f>IFERROR(__xludf.DUMMYFUNCTION("IFERROR(
  FILTER('CBK Students'!F:F, TRIM('CBK Students'!B:B) = TRIM(A94)),
  """"
)"),"8 Sat 3:00-4:00pm")</f>
        <v>8 Sat 3:00-4:00pm</v>
      </c>
      <c r="U94" s="240" t="str">
        <f>IFERROR(__xludf.DUMMYFUNCTION("IFERROR(
  FILTER('CBK Students'!H:H, TRIM('CBK Students'!B:B) = TRIM(A94)),
  """"
)"),"Evelyn")</f>
        <v>Evelyn</v>
      </c>
      <c r="V94" s="240">
        <f>IFERROR(__xludf.DUMMYFUNCTION("IFERROR(
  FILTER('CBK Students'!M:M, TRIM('CBK Students'!B:B) = TRIM(A94)),
  """"
)"),13.0)</f>
        <v>13</v>
      </c>
      <c r="W94" s="240" t="str">
        <f t="shared" si="1"/>
        <v/>
      </c>
      <c r="X94" s="240" t="str">
        <f>IFERROR(__xludf.DUMMYFUNCTION("IFERROR(
  FILTER('CBK Students'!R:R, TRIM('CBK Students'!B:B) = TRIM(A94)),
  """"
)"),"Learning")</f>
        <v>Learning</v>
      </c>
      <c r="Y94" s="4" t="str">
        <f t="shared" si="2"/>
        <v/>
      </c>
      <c r="Z94" s="4" t="str">
        <f>IFERROR(__xludf.DUMMYFUNCTION("IFERROR(
  FILTER('CBK Students'!O:O, TRIM('CBK Students'!B:B) = TRIM(A94)),
  """"
)"),"")</f>
        <v/>
      </c>
      <c r="AA94" s="4" t="str">
        <f>IFERROR(__xludf.DUMMYFUNCTION("IFERROR(
  FILTER('CBK Students'!P:P, TRIM('CBK Students'!B:B) = TRIM(A94)),
  """"
)"),"")</f>
        <v/>
      </c>
      <c r="AB94" s="4" t="str">
        <f>IFERROR(__xludf.DUMMYFUNCTION("IFERROR(
  FILTER('CBK Students'!Q:Q, TRIM('CBK Students'!B:B) = TRIM(A94)),
  """"
)"),"")</f>
        <v/>
      </c>
    </row>
    <row r="95" ht="18.75" customHeight="1">
      <c r="T95" s="240" t="str">
        <f>IFERROR(__xludf.DUMMYFUNCTION("IFERROR(
  FILTER('CBK Students'!F:F, TRIM('CBK Students'!B:B) = TRIM(A95)),
  """"
)"),"6 Sat 11:00-12:00pm")</f>
        <v>6 Sat 11:00-12:00pm</v>
      </c>
      <c r="U95" s="240" t="str">
        <f>IFERROR(__xludf.DUMMYFUNCTION("IFERROR(
  FILTER('CBK Students'!H:H, TRIM('CBK Students'!B:B) = TRIM(A95)),
  """"
)"),"Kerry")</f>
        <v>Kerry</v>
      </c>
      <c r="V95" s="240">
        <f>IFERROR(__xludf.DUMMYFUNCTION("IFERROR(
  FILTER('CBK Students'!M:M, TRIM('CBK Students'!B:B) = TRIM(A95)),
  """"
)"),33.0)</f>
        <v>33</v>
      </c>
      <c r="W95" s="240" t="str">
        <f t="shared" si="1"/>
        <v>Learning</v>
      </c>
      <c r="X95" s="240" t="str">
        <f>IFERROR(__xludf.DUMMYFUNCTION("IFERROR(
  FILTER('CBK Students'!R:R, TRIM('CBK Students'!B:B) = TRIM(A95)),
  """"
)"),"Starting Final Project")</f>
        <v>Starting Final Project</v>
      </c>
      <c r="Y95" s="4" t="str">
        <f t="shared" si="2"/>
        <v>Stage Delay</v>
      </c>
      <c r="Z95" s="4" t="str">
        <f>IFERROR(__xludf.DUMMYFUNCTION("IFERROR(
  FILTER('CBK Students'!O:O, TRIM('CBK Students'!B:B) = TRIM(A95)),
  """"
)"),"")</f>
        <v/>
      </c>
      <c r="AA95" s="4" t="str">
        <f>IFERROR(__xludf.DUMMYFUNCTION("IFERROR(
  FILTER('CBK Students'!P:P, TRIM('CBK Students'!B:B) = TRIM(A95)),
  """"
)"),"")</f>
        <v/>
      </c>
      <c r="AB95" s="4" t="str">
        <f>IFERROR(__xludf.DUMMYFUNCTION("IFERROR(
  FILTER('CBK Students'!Q:Q, TRIM('CBK Students'!B:B) = TRIM(A95)),
  """"
)"),"")</f>
        <v/>
      </c>
    </row>
    <row r="96" ht="18.75" customHeight="1">
      <c r="T96" s="240" t="str">
        <f>IFERROR(__xludf.DUMMYFUNCTION("IFERROR(
  FILTER('CBK Students'!F:F, TRIM('CBK Students'!B:B) = TRIM(A96)),
  """"
)"),"2 Wed 7:30-8:30pm")</f>
        <v>2 Wed 7:30-8:30pm</v>
      </c>
      <c r="U96" s="240" t="str">
        <f>IFERROR(__xludf.DUMMYFUNCTION("IFERROR(
  FILTER('CBK Students'!H:H, TRIM('CBK Students'!B:B) = TRIM(A96)),
  """"
)"),"Max")</f>
        <v>Max</v>
      </c>
      <c r="V96" s="240">
        <f>IFERROR(__xludf.DUMMYFUNCTION("IFERROR(
  FILTER('CBK Students'!M:M, TRIM('CBK Students'!B:B) = TRIM(A96)),
  """"
)"),10.0)</f>
        <v>10</v>
      </c>
      <c r="W96" s="240" t="str">
        <f t="shared" si="1"/>
        <v>Learning</v>
      </c>
      <c r="X96" s="240" t="str">
        <f>IFERROR(__xludf.DUMMYFUNCTION("IFERROR(
  FILTER('CBK Students'!R:R, TRIM('CBK Students'!B:B) = TRIM(A96)),
  """"
)"),"Learning")</f>
        <v>Learning</v>
      </c>
      <c r="Y96" s="4" t="str">
        <f t="shared" si="2"/>
        <v>On Track</v>
      </c>
      <c r="Z96" s="4" t="str">
        <f>IFERROR(__xludf.DUMMYFUNCTION("IFERROR(
  FILTER('CBK Students'!O:O, TRIM('CBK Students'!B:B) = TRIM(A96)),
  """"
)"),"")</f>
        <v/>
      </c>
      <c r="AA96" s="4" t="str">
        <f>IFERROR(__xludf.DUMMYFUNCTION("IFERROR(
  FILTER('CBK Students'!P:P, TRIM('CBK Students'!B:B) = TRIM(A96)),
  """"
)"),"")</f>
        <v/>
      </c>
      <c r="AB96" s="4" t="str">
        <f>IFERROR(__xludf.DUMMYFUNCTION("IFERROR(
  FILTER('CBK Students'!Q:Q, TRIM('CBK Students'!B:B) = TRIM(A96)),
  """"
)"),"")</f>
        <v/>
      </c>
    </row>
    <row r="97" ht="18.75" customHeight="1">
      <c r="T97" s="240" t="str">
        <f>IFERROR(__xludf.DUMMYFUNCTION("IFERROR(
  FILTER('CBK Students'!F:F, TRIM('CBK Students'!B:B) = TRIM(A97)),
  """"
)"),"2 Wed 7:30-8:30pm")</f>
        <v>2 Wed 7:30-8:30pm</v>
      </c>
      <c r="U97" s="240" t="str">
        <f>IFERROR(__xludf.DUMMYFUNCTION("IFERROR(
  FILTER('CBK Students'!H:H, TRIM('CBK Students'!B:B) = TRIM(A97)),
  """"
)"),"Mandy")</f>
        <v>Mandy</v>
      </c>
      <c r="V97" s="240">
        <f>IFERROR(__xludf.DUMMYFUNCTION("IFERROR(
  FILTER('CBK Students'!M:M, TRIM('CBK Students'!B:B) = TRIM(A97)),
  """"
)"),6.0)</f>
        <v>6</v>
      </c>
      <c r="W97" s="240" t="str">
        <f t="shared" si="1"/>
        <v/>
      </c>
      <c r="X97" s="240" t="str">
        <f>IFERROR(__xludf.DUMMYFUNCTION("IFERROR(
  FILTER('CBK Students'!R:R, TRIM('CBK Students'!B:B) = TRIM(A97)),
  """"
)"),"Learning")</f>
        <v>Learning</v>
      </c>
      <c r="Y97" s="4" t="str">
        <f t="shared" si="2"/>
        <v/>
      </c>
      <c r="Z97" s="4" t="str">
        <f>IFERROR(__xludf.DUMMYFUNCTION("IFERROR(
  FILTER('CBK Students'!O:O, TRIM('CBK Students'!B:B) = TRIM(A97)),
  """"
)"),"")</f>
        <v/>
      </c>
      <c r="AA97" s="4" t="str">
        <f>IFERROR(__xludf.DUMMYFUNCTION("IFERROR(
  FILTER('CBK Students'!P:P, TRIM('CBK Students'!B:B) = TRIM(A97)),
  """"
)"),"")</f>
        <v/>
      </c>
      <c r="AB97" s="4" t="str">
        <f>IFERROR(__xludf.DUMMYFUNCTION("IFERROR(
  FILTER('CBK Students'!Q:Q, TRIM('CBK Students'!B:B) = TRIM(A97)),
  """"
)"),"")</f>
        <v/>
      </c>
    </row>
    <row r="98" ht="18.75" customHeight="1">
      <c r="T98" s="240" t="str">
        <f>IFERROR(__xludf.DUMMYFUNCTION("IFERROR(
  FILTER('CBK Students'!F:F, TRIM('CBK Students'!B:B) = TRIM(A98)),
  """"
)"),"9 Sat 4:00-5:00pm")</f>
        <v>9 Sat 4:00-5:00pm</v>
      </c>
      <c r="U98" s="240" t="str">
        <f>IFERROR(__xludf.DUMMYFUNCTION("IFERROR(
  FILTER('CBK Students'!H:H, TRIM('CBK Students'!B:B) = TRIM(A98)),
  """"
)"),"Enouch")</f>
        <v>Enouch</v>
      </c>
      <c r="V98" s="240">
        <f>IFERROR(__xludf.DUMMYFUNCTION("IFERROR(
  FILTER('CBK Students'!M:M, TRIM('CBK Students'!B:B) = TRIM(A98)),
  """"
)"),57.0)</f>
        <v>57</v>
      </c>
      <c r="W98" s="240" t="str">
        <f t="shared" si="1"/>
        <v>Learning</v>
      </c>
      <c r="X98" s="240" t="str">
        <f>IFERROR(__xludf.DUMMYFUNCTION("IFERROR(
  FILTER('CBK Students'!R:R, TRIM('CBK Students'!B:B) = TRIM(A98)),
  """"
)"),"Prepare for Showcase")</f>
        <v>Prepare for Showcase</v>
      </c>
      <c r="Y98" s="4" t="str">
        <f t="shared" si="2"/>
        <v>Showcase Delay</v>
      </c>
      <c r="Z98" s="4" t="str">
        <f>IFERROR(__xludf.DUMMYFUNCTION("IFERROR(
  FILTER('CBK Students'!O:O, TRIM('CBK Students'!B:B) = TRIM(A98)),
  """"
)"),"25/11/2025 - -building monoploy game (since learning dice)")</f>
        <v>25/11/2025 - -building monoploy game (since learning dice)</v>
      </c>
      <c r="AA98" s="4" t="str">
        <f>IFERROR(__xludf.DUMMYFUNCTION("IFERROR(
  FILTER('CBK Students'!P:P, TRIM('CBK Students'!B:B) = TRIM(A98)),
  """"
)"),"25/11/2025 - -building monoploy game (since learning dice)")</f>
        <v>25/11/2025 - -building monoploy game (since learning dice)</v>
      </c>
      <c r="AB98" s="4" t="str">
        <f>IFERROR(__xludf.DUMMYFUNCTION("IFERROR(
  FILTER('CBK Students'!Q:Q, TRIM('CBK Students'!B:B) = TRIM(A98)),
  """"
)"),"Yes")</f>
        <v>Yes</v>
      </c>
    </row>
    <row r="99" ht="18.75" customHeight="1">
      <c r="T99" s="240" t="str">
        <f>IFERROR(__xludf.DUMMYFUNCTION("IFERROR(
  FILTER('CBK Students'!F:F, TRIM('CBK Students'!B:B) = TRIM(A99)),
  """"
)"),"SHS 2:00-3:00pm")</f>
        <v>SHS 2:00-3:00pm</v>
      </c>
      <c r="U99" s="240" t="str">
        <f>IFERROR(__xludf.DUMMYFUNCTION("IFERROR(
  FILTER('CBK Students'!H:H, TRIM('CBK Students'!B:B) = TRIM(A99)),
  """"
)"),"Kerry")</f>
        <v>Kerry</v>
      </c>
      <c r="V99" s="240">
        <f>IFERROR(__xludf.DUMMYFUNCTION("IFERROR(
  FILTER('CBK Students'!M:M, TRIM('CBK Students'!B:B) = TRIM(A99)),
  """"
)"),88.0)</f>
        <v>88</v>
      </c>
      <c r="W99" s="240" t="str">
        <f t="shared" si="1"/>
        <v>Learning</v>
      </c>
      <c r="X99" s="240" t="str">
        <f>IFERROR(__xludf.DUMMYFUNCTION("IFERROR(
  FILTER('CBK Students'!R:R, TRIM('CBK Students'!B:B) = TRIM(A99)),
  """"
)"),"Prepare for Showcase")</f>
        <v>Prepare for Showcase</v>
      </c>
      <c r="Y99" s="4" t="str">
        <f t="shared" si="2"/>
        <v>Showcase Delay</v>
      </c>
      <c r="Z99" s="4" t="str">
        <f>IFERROR(__xludf.DUMMYFUNCTION("IFERROR(
  FILTER('CBK Students'!O:O, TRIM('CBK Students'!B:B) = TRIM(A99)),
  """"
)"),"")</f>
        <v/>
      </c>
      <c r="AA99" s="4" t="str">
        <f>IFERROR(__xludf.DUMMYFUNCTION("IFERROR(
  FILTER('CBK Students'!P:P, TRIM('CBK Students'!B:B) = TRIM(A99)),
  """"
)"),"")</f>
        <v/>
      </c>
      <c r="AB99" s="4" t="str">
        <f>IFERROR(__xludf.DUMMYFUNCTION("IFERROR(
  FILTER('CBK Students'!Q:Q, TRIM('CBK Students'!B:B) = TRIM(A99)),
  """"
)"),"")</f>
        <v/>
      </c>
    </row>
    <row r="100" ht="18.75" customHeight="1">
      <c r="T100" s="240" t="str">
        <f>IFERROR(__xludf.DUMMYFUNCTION("IFERROR(
  FILTER('CBK Students'!F:F, TRIM('CBK Students'!B:B) = TRIM(A100)),
  """"
)"),"1 Mon 7:30-8:30pm")</f>
        <v>1 Mon 7:30-8:30pm</v>
      </c>
      <c r="U100" s="240" t="str">
        <f>IFERROR(__xludf.DUMMYFUNCTION("IFERROR(
  FILTER('CBK Students'!H:H, TRIM('CBK Students'!B:B) = TRIM(A100)),
  """"
)"),"Kerry")</f>
        <v>Kerry</v>
      </c>
      <c r="V100" s="240">
        <f>IFERROR(__xludf.DUMMYFUNCTION("IFERROR(
  FILTER('CBK Students'!M:M, TRIM('CBK Students'!B:B) = TRIM(A100)),
  """"
)"),10.0)</f>
        <v>10</v>
      </c>
      <c r="W100" s="240" t="str">
        <f t="shared" si="1"/>
        <v/>
      </c>
      <c r="X100" s="240" t="str">
        <f>IFERROR(__xludf.DUMMYFUNCTION("IFERROR(
  FILTER('CBK Students'!R:R, TRIM('CBK Students'!B:B) = TRIM(A100)),
  """"
)"),"Learning")</f>
        <v>Learning</v>
      </c>
      <c r="Y100" s="4" t="str">
        <f t="shared" si="2"/>
        <v/>
      </c>
      <c r="Z100" s="4" t="str">
        <f>IFERROR(__xludf.DUMMYFUNCTION("IFERROR(
  FILTER('CBK Students'!O:O, TRIM('CBK Students'!B:B) = TRIM(A100)),
  """"
)"),"")</f>
        <v/>
      </c>
      <c r="AA100" s="4" t="str">
        <f>IFERROR(__xludf.DUMMYFUNCTION("IFERROR(
  FILTER('CBK Students'!P:P, TRIM('CBK Students'!B:B) = TRIM(A100)),
  """"
)"),"")</f>
        <v/>
      </c>
      <c r="AB100" s="4" t="str">
        <f>IFERROR(__xludf.DUMMYFUNCTION("IFERROR(
  FILTER('CBK Students'!Q:Q, TRIM('CBK Students'!B:B) = TRIM(A100)),
  """"
)"),"")</f>
        <v/>
      </c>
    </row>
    <row r="101" ht="18.75" customHeight="1">
      <c r="T101" s="240" t="str">
        <f>IFERROR(__xludf.DUMMYFUNCTION("IFERROR(
  FILTER('CBK Students'!F:F, TRIM('CBK Students'!B:B) = TRIM(A101)),
  """"
)"),"")</f>
        <v/>
      </c>
      <c r="U101" s="240" t="str">
        <f>IFERROR(__xludf.DUMMYFUNCTION("IFERROR(
  FILTER('CBK Students'!H:H, TRIM('CBK Students'!B:B) = TRIM(A101)),
  """"
)"),"")</f>
        <v/>
      </c>
      <c r="V101" s="240" t="str">
        <f>IFERROR(__xludf.DUMMYFUNCTION("IFERROR(
  FILTER('CBK Students'!M:M, TRIM('CBK Students'!B:B) = TRIM(A101)),
  """"
)"),"")</f>
        <v/>
      </c>
      <c r="W101" s="240" t="str">
        <f t="shared" si="1"/>
        <v>Learning</v>
      </c>
      <c r="X101" s="240" t="str">
        <f>IFERROR(__xludf.DUMMYFUNCTION("IFERROR(
  FILTER('CBK Students'!R:R, TRIM('CBK Students'!B:B) = TRIM(A101)),
  """"
)"),"")</f>
        <v/>
      </c>
      <c r="Y101" s="4" t="str">
        <f t="shared" si="2"/>
        <v>Showcase Delay</v>
      </c>
      <c r="Z101" s="4" t="str">
        <f>IFERROR(__xludf.DUMMYFUNCTION("IFERROR(
  FILTER('CBK Students'!O:O, TRIM('CBK Students'!B:B) = TRIM(A101)),
  """"
)"),"")</f>
        <v/>
      </c>
      <c r="AA101" s="4" t="str">
        <f>IFERROR(__xludf.DUMMYFUNCTION("IFERROR(
  FILTER('CBK Students'!P:P, TRIM('CBK Students'!B:B) = TRIM(A101)),
  """"
)"),"")</f>
        <v/>
      </c>
      <c r="AB101" s="4" t="str">
        <f>IFERROR(__xludf.DUMMYFUNCTION("IFERROR(
  FILTER('CBK Students'!Q:Q, TRIM('CBK Students'!B:B) = TRIM(A101)),
  """"
)"),"")</f>
        <v/>
      </c>
    </row>
    <row r="102" ht="18.75" customHeight="1">
      <c r="T102" s="240" t="str">
        <f>IFERROR(__xludf.DUMMYFUNCTION("IFERROR(
  FILTER('CBK Students'!F:F, TRIM('CBK Students'!B:B) = TRIM(A102)),
  """"
)"),"4 Sat 9:00-10:00am")</f>
        <v>4 Sat 9:00-10:00am</v>
      </c>
      <c r="U102" s="240" t="str">
        <f>IFERROR(__xludf.DUMMYFUNCTION("IFERROR(
  FILTER('CBK Students'!H:H, TRIM('CBK Students'!B:B) = TRIM(A102)),
  """"
)"),"Enouch")</f>
        <v>Enouch</v>
      </c>
      <c r="V102" s="240">
        <f>IFERROR(__xludf.DUMMYFUNCTION("IFERROR(
  FILTER('CBK Students'!M:M, TRIM('CBK Students'!B:B) = TRIM(A102)),
  """"
)"),23.0)</f>
        <v>23</v>
      </c>
      <c r="W102" s="240" t="str">
        <f t="shared" si="1"/>
        <v>Learning</v>
      </c>
      <c r="X102" s="240" t="str">
        <f>IFERROR(__xludf.DUMMYFUNCTION("IFERROR(
  FILTER('CBK Students'!R:R, TRIM('CBK Students'!B:B) = TRIM(A102)),
  """"
)"),"Learning")</f>
        <v>Learning</v>
      </c>
      <c r="Y102" s="4" t="str">
        <f t="shared" si="2"/>
        <v>Stage Delay</v>
      </c>
      <c r="Z102" s="4" t="str">
        <f>IFERROR(__xludf.DUMMYFUNCTION("IFERROR(
  FILTER('CBK Students'!O:O, TRIM('CBK Students'!B:B) = TRIM(A102)),
  """"
)"),"")</f>
        <v/>
      </c>
      <c r="AA102" s="4" t="str">
        <f>IFERROR(__xludf.DUMMYFUNCTION("IFERROR(
  FILTER('CBK Students'!P:P, TRIM('CBK Students'!B:B) = TRIM(A102)),
  """"
)"),"")</f>
        <v/>
      </c>
      <c r="AB102" s="4" t="str">
        <f>IFERROR(__xludf.DUMMYFUNCTION("IFERROR(
  FILTER('CBK Students'!Q:Q, TRIM('CBK Students'!B:B) = TRIM(A102)),
  """"
)"),"")</f>
        <v/>
      </c>
    </row>
    <row r="103" ht="18.75" customHeight="1">
      <c r="T103" s="240" t="str">
        <f>IFERROR(__xludf.DUMMYFUNCTION("IFERROR(
  FILTER('CBK Students'!F:F, TRIM('CBK Students'!B:B) = TRIM(A103)),
  """"
)"),"8 Sat 3:00-4:00pm")</f>
        <v>8 Sat 3:00-4:00pm</v>
      </c>
      <c r="U103" s="240" t="str">
        <f>IFERROR(__xludf.DUMMYFUNCTION("IFERROR(
  FILTER('CBK Students'!H:H, TRIM('CBK Students'!B:B) = TRIM(A103)),
  """"
)"),"Damian")</f>
        <v>Damian</v>
      </c>
      <c r="V103" s="240">
        <f>IFERROR(__xludf.DUMMYFUNCTION("IFERROR(
  FILTER('CBK Students'!M:M, TRIM('CBK Students'!B:B) = TRIM(A103)),
  """"
)"),49.0)</f>
        <v>49</v>
      </c>
      <c r="W103" s="240" t="str">
        <f t="shared" si="1"/>
        <v>Learning</v>
      </c>
      <c r="X103" s="240" t="str">
        <f>IFERROR(__xludf.DUMMYFUNCTION("IFERROR(
  FILTER('CBK Students'!R:R, TRIM('CBK Students'!B:B) = TRIM(A103)),
  """"
)"),"Prepare for Showcase")</f>
        <v>Prepare for Showcase</v>
      </c>
      <c r="Y103" s="4" t="str">
        <f t="shared" si="2"/>
        <v>Final Project Delay</v>
      </c>
      <c r="Z103" s="4" t="str">
        <f>IFERROR(__xludf.DUMMYFUNCTION("IFERROR(
  FILTER('CBK Students'!O:O, TRIM('CBK Students'!B:B) = TRIM(A103)),
  """"
)"),"")</f>
        <v/>
      </c>
      <c r="AA103" s="4" t="str">
        <f>IFERROR(__xludf.DUMMYFUNCTION("IFERROR(
  FILTER('CBK Students'!P:P, TRIM('CBK Students'!B:B) = TRIM(A103)),
  """"
)"),"")</f>
        <v/>
      </c>
      <c r="AB103" s="4" t="str">
        <f>IFERROR(__xludf.DUMMYFUNCTION("IFERROR(
  FILTER('CBK Students'!Q:Q, TRIM('CBK Students'!B:B) = TRIM(A103)),
  """"
)"),"")</f>
        <v/>
      </c>
    </row>
    <row r="104" ht="18.75" customHeight="1">
      <c r="T104" s="240" t="str">
        <f>IFERROR(__xludf.DUMMYFUNCTION("IFERROR(
  FILTER('CBK Students'!F:F, TRIM('CBK Students'!B:B) = TRIM(A104)),
  """"
)"),"6 Sat 2.00-3.00pm")</f>
        <v>6 Sat 2.00-3.00pm</v>
      </c>
      <c r="U104" s="240" t="str">
        <f>IFERROR(__xludf.DUMMYFUNCTION("IFERROR(
  FILTER('CBK Students'!H:H, TRIM('CBK Students'!B:B) = TRIM(A104)),
  """"
)"),"Evelyn")</f>
        <v>Evelyn</v>
      </c>
      <c r="V104" s="240">
        <f>IFERROR(__xludf.DUMMYFUNCTION("IFERROR(
  FILTER('CBK Students'!M:M, TRIM('CBK Students'!B:B) = TRIM(A104)),
  """"
)"),32.0)</f>
        <v>32</v>
      </c>
      <c r="W104" s="240" t="str">
        <f t="shared" si="1"/>
        <v/>
      </c>
      <c r="X104" s="240" t="str">
        <f>IFERROR(__xludf.DUMMYFUNCTION("IFERROR(
  FILTER('CBK Students'!R:R, TRIM('CBK Students'!B:B) = TRIM(A104)),
  """"
)"),"Starting Final Project")</f>
        <v>Starting Final Project</v>
      </c>
      <c r="Y104" s="4" t="str">
        <f t="shared" si="2"/>
        <v/>
      </c>
      <c r="Z104" s="4" t="str">
        <f>IFERROR(__xludf.DUMMYFUNCTION("IFERROR(
  FILTER('CBK Students'!O:O, TRIM('CBK Students'!B:B) = TRIM(A104)),
  """"
)"),"")</f>
        <v/>
      </c>
      <c r="AA104" s="4" t="str">
        <f>IFERROR(__xludf.DUMMYFUNCTION("IFERROR(
  FILTER('CBK Students'!P:P, TRIM('CBK Students'!B:B) = TRIM(A104)),
  """"
)"),"")</f>
        <v/>
      </c>
      <c r="AB104" s="4" t="str">
        <f>IFERROR(__xludf.DUMMYFUNCTION("IFERROR(
  FILTER('CBK Students'!Q:Q, TRIM('CBK Students'!B:B) = TRIM(A104)),
  """"
)"),"")</f>
        <v/>
      </c>
    </row>
    <row r="105" ht="18.75" customHeight="1">
      <c r="T105" s="240" t="str">
        <f>IFERROR(__xludf.DUMMYFUNCTION("IFERROR(
  FILTER('CBK Students'!F:F, TRIM('CBK Students'!B:B) = TRIM(A105)),
  """"
)"),"2 Wed 7:30-8:30pm")</f>
        <v>2 Wed 7:30-8:30pm</v>
      </c>
      <c r="U105" s="240" t="str">
        <f>IFERROR(__xludf.DUMMYFUNCTION("IFERROR(
  FILTER('CBK Students'!H:H, TRIM('CBK Students'!B:B) = TRIM(A105)),
  """"
)"),"Lam")</f>
        <v>Lam</v>
      </c>
      <c r="V105" s="240">
        <f>IFERROR(__xludf.DUMMYFUNCTION("IFERROR(
  FILTER('CBK Students'!M:M, TRIM('CBK Students'!B:B) = TRIM(A105)),
  """"
)"),58.0)</f>
        <v>58</v>
      </c>
      <c r="W105" s="240" t="str">
        <f t="shared" si="1"/>
        <v>Start with Final Project</v>
      </c>
      <c r="X105" s="240" t="str">
        <f>IFERROR(__xludf.DUMMYFUNCTION("IFERROR(
  FILTER('CBK Students'!R:R, TRIM('CBK Students'!B:B) = TRIM(A105)),
  """"
)"),"Prepare for Showcase")</f>
        <v>Prepare for Showcase</v>
      </c>
      <c r="Y105" s="4" t="str">
        <f t="shared" si="2"/>
        <v>Showcase Delay</v>
      </c>
      <c r="Z105" s="4" t="str">
        <f>IFERROR(__xludf.DUMMYFUNCTION("IFERROR(
  FILTER('CBK Students'!O:O, TRIM('CBK Students'!B:B) = TRIM(A105)),
  """"
)"),"")</f>
        <v/>
      </c>
      <c r="AA105" s="4" t="str">
        <f>IFERROR(__xludf.DUMMYFUNCTION("IFERROR(
  FILTER('CBK Students'!P:P, TRIM('CBK Students'!B:B) = TRIM(A105)),
  """"
)"),"")</f>
        <v/>
      </c>
      <c r="AB105" s="4" t="str">
        <f>IFERROR(__xludf.DUMMYFUNCTION("IFERROR(
  FILTER('CBK Students'!Q:Q, TRIM('CBK Students'!B:B) = TRIM(A105)),
  """"
)"),"")</f>
        <v/>
      </c>
    </row>
    <row r="106" ht="18.75" customHeight="1">
      <c r="T106" s="240" t="str">
        <f>IFERROR(__xludf.DUMMYFUNCTION("IFERROR(
  FILTER('CBK Students'!F:F, TRIM('CBK Students'!B:B) = TRIM(A106)),
  """"
)"),"9 Sat 4:00-5:00pm")</f>
        <v>9 Sat 4:00-5:00pm</v>
      </c>
      <c r="U106" s="240" t="str">
        <f>IFERROR(__xludf.DUMMYFUNCTION("IFERROR(
  FILTER('CBK Students'!H:H, TRIM('CBK Students'!B:B) = TRIM(A106)),
  """"
)"),"Evelyn")</f>
        <v>Evelyn</v>
      </c>
      <c r="V106" s="240">
        <f>IFERROR(__xludf.DUMMYFUNCTION("IFERROR(
  FILTER('CBK Students'!M:M, TRIM('CBK Students'!B:B) = TRIM(A106)),
  """"
)"),20.0)</f>
        <v>20</v>
      </c>
      <c r="W106" s="240" t="str">
        <f t="shared" si="1"/>
        <v>Learning</v>
      </c>
      <c r="X106" s="240" t="str">
        <f>IFERROR(__xludf.DUMMYFUNCTION("IFERROR(
  FILTER('CBK Students'!R:R, TRIM('CBK Students'!B:B) = TRIM(A106)),
  """"
)"),"Learning")</f>
        <v>Learning</v>
      </c>
      <c r="Y106" s="4" t="str">
        <f t="shared" si="2"/>
        <v>Stage Delay</v>
      </c>
      <c r="Z106" s="4" t="str">
        <f>IFERROR(__xludf.DUMMYFUNCTION("IFERROR(
  FILTER('CBK Students'!O:O, TRIM('CBK Students'!B:B) = TRIM(A106)),
  """"
)"),"")</f>
        <v/>
      </c>
      <c r="AA106" s="4" t="str">
        <f>IFERROR(__xludf.DUMMYFUNCTION("IFERROR(
  FILTER('CBK Students'!P:P, TRIM('CBK Students'!B:B) = TRIM(A106)),
  """"
)"),"")</f>
        <v/>
      </c>
      <c r="AB106" s="4" t="str">
        <f>IFERROR(__xludf.DUMMYFUNCTION("IFERROR(
  FILTER('CBK Students'!Q:Q, TRIM('CBK Students'!B:B) = TRIM(A106)),
  """"
)"),"")</f>
        <v/>
      </c>
    </row>
    <row r="107" ht="18.75" customHeight="1">
      <c r="T107" s="240" t="str">
        <f>IFERROR(__xludf.DUMMYFUNCTION("IFERROR(
  FILTER('CBK Students'!F:F, TRIM('CBK Students'!B:B) = TRIM(A107)),
  """"
)"),"1 Mon 7:30-8:30pm")</f>
        <v>1 Mon 7:30-8:30pm</v>
      </c>
      <c r="U107" s="240" t="str">
        <f>IFERROR(__xludf.DUMMYFUNCTION("IFERROR(
  FILTER('CBK Students'!H:H, TRIM('CBK Students'!B:B) = TRIM(A107)),
  """"
)"),"Enouch")</f>
        <v>Enouch</v>
      </c>
      <c r="V107" s="240">
        <f>IFERROR(__xludf.DUMMYFUNCTION("IFERROR(
  FILTER('CBK Students'!M:M, TRIM('CBK Students'!B:B) = TRIM(A107)),
  """"
)"),51.0)</f>
        <v>51</v>
      </c>
      <c r="W107" s="240" t="str">
        <f t="shared" si="1"/>
        <v>Learning</v>
      </c>
      <c r="X107" s="240" t="str">
        <f>IFERROR(__xludf.DUMMYFUNCTION("IFERROR(
  FILTER('CBK Students'!R:R, TRIM('CBK Students'!B:B) = TRIM(A107)),
  """"
)"),"Prepare for Showcase")</f>
        <v>Prepare for Showcase</v>
      </c>
      <c r="Y107" s="4" t="str">
        <f t="shared" si="2"/>
        <v>Showcase Delay</v>
      </c>
      <c r="Z107" s="4" t="str">
        <f>IFERROR(__xludf.DUMMYFUNCTION("IFERROR(
  FILTER('CBK Students'!O:O, TRIM('CBK Students'!B:B) = TRIM(A107)),
  """"
)"),"08/10/2025 - [Caleb]
The student has a special condition, which causes a slower learning pace compared to other students.
However, there has been significant improvement — previously, it was difficult for him to express his needs, but now he is able to co"&amp;"mmunicate more clearly.
Mentor is advised to continue challenging him to maintain consistent progress and to set a clear timeline each time he moves on to a new page.")</f>
        <v>08/10/2025 - [Caleb]
The student has a special condition, which causes a slower learning pace compared to other students.
However, there has been significant improvement — previously, it was difficult for him to express his needs, but now he is able to communicate more clearly.
Mentor is advised to continue challenging him to maintain consistent progress and to set a clear timeline each time he moves on to a new page.</v>
      </c>
      <c r="AA107" s="4" t="str">
        <f>IFERROR(__xludf.DUMMYFUNCTION("IFERROR(
  FILTER('CBK Students'!P:P, TRIM('CBK Students'!B:B) = TRIM(A107)),
  """"
)"),"08/10/2025 - [Caleb]
The student has a special condition, which causes a slower learning pace compared to other students.
However, there has been significant improvement — previously, it was difficult for him to express his needs, but now he is able to co"&amp;"mmunicate more clearly.
Mentor is advised to continue challenging him to maintain consistent progress and to set a clear timeline each time he moves on to a new page.")</f>
        <v>08/10/2025 - [Caleb]
The student has a special condition, which causes a slower learning pace compared to other students.
However, there has been significant improvement — previously, it was difficult for him to express his needs, but now he is able to communicate more clearly.
Mentor is advised to continue challenging him to maintain consistent progress and to set a clear timeline each time he moves on to a new page.</v>
      </c>
      <c r="AB107" s="4" t="str">
        <f>IFERROR(__xludf.DUMMYFUNCTION("IFERROR(
  FILTER('CBK Students'!Q:Q, TRIM('CBK Students'!B:B) = TRIM(A107)),
  """"
)"),"Yes")</f>
        <v>Yes</v>
      </c>
    </row>
    <row r="108" ht="18.75" customHeight="1">
      <c r="T108" s="240" t="str">
        <f>IFERROR(__xludf.DUMMYFUNCTION("IFERROR(
  FILTER('CBK Students'!F:F, TRIM('CBK Students'!B:B) = TRIM(A108)),
  """"
)"),"1 Mon 7:30-8:30pm")</f>
        <v>1 Mon 7:30-8:30pm</v>
      </c>
      <c r="U108" s="240" t="str">
        <f>IFERROR(__xludf.DUMMYFUNCTION("IFERROR(
  FILTER('CBK Students'!H:H, TRIM('CBK Students'!B:B) = TRIM(A108)),
  """"
)"),"Damian")</f>
        <v>Damian</v>
      </c>
      <c r="V108" s="240">
        <f>IFERROR(__xludf.DUMMYFUNCTION("IFERROR(
  FILTER('CBK Students'!M:M, TRIM('CBK Students'!B:B) = TRIM(A108)),
  """"
)"),38.0)</f>
        <v>38</v>
      </c>
      <c r="W108" s="240" t="str">
        <f t="shared" si="1"/>
        <v>Learning</v>
      </c>
      <c r="X108" s="240" t="str">
        <f>IFERROR(__xludf.DUMMYFUNCTION("IFERROR(
  FILTER('CBK Students'!R:R, TRIM('CBK Students'!B:B) = TRIM(A108)),
  """"
)"),"Starting Final Project")</f>
        <v>Starting Final Project</v>
      </c>
      <c r="Y108" s="4" t="str">
        <f t="shared" si="2"/>
        <v>Stage Delay</v>
      </c>
      <c r="Z108" s="4" t="str">
        <f>IFERROR(__xludf.DUMMYFUNCTION("IFERROR(
  FILTER('CBK Students'!O:O, TRIM('CBK Students'!B:B) = TRIM(A108)),
  """"
)"),"")</f>
        <v/>
      </c>
      <c r="AA108" s="4" t="str">
        <f>IFERROR(__xludf.DUMMYFUNCTION("IFERROR(
  FILTER('CBK Students'!P:P, TRIM('CBK Students'!B:B) = TRIM(A108)),
  """"
)"),"")</f>
        <v/>
      </c>
      <c r="AB108" s="4" t="str">
        <f>IFERROR(__xludf.DUMMYFUNCTION("IFERROR(
  FILTER('CBK Students'!Q:Q, TRIM('CBK Students'!B:B) = TRIM(A108)),
  """"
)"),"")</f>
        <v/>
      </c>
    </row>
    <row r="109" ht="18.75" customHeight="1">
      <c r="T109" s="240" t="str">
        <f>IFERROR(__xludf.DUMMYFUNCTION("IFERROR(
  FILTER('CBK Students'!F:F, TRIM('CBK Students'!B:B) = TRIM(A109)),
  """"
)"),"1 Mon 7:30-8:30pm")</f>
        <v>1 Mon 7:30-8:30pm</v>
      </c>
      <c r="U109" s="240" t="str">
        <f>IFERROR(__xludf.DUMMYFUNCTION("IFERROR(
  FILTER('CBK Students'!H:H, TRIM('CBK Students'!B:B) = TRIM(A109)),
  """"
)"),"Evelyn")</f>
        <v>Evelyn</v>
      </c>
      <c r="V109" s="240">
        <f>IFERROR(__xludf.DUMMYFUNCTION("IFERROR(
  FILTER('CBK Students'!M:M, TRIM('CBK Students'!B:B) = TRIM(A109)),
  """"
)"),0.0)</f>
        <v>0</v>
      </c>
      <c r="W109" s="240" t="str">
        <f t="shared" si="1"/>
        <v>Start with Final Project</v>
      </c>
      <c r="X109" s="240" t="str">
        <f>IFERROR(__xludf.DUMMYFUNCTION("IFERROR(
  FILTER('CBK Students'!R:R, TRIM('CBK Students'!B:B) = TRIM(A109)),
  """"
)"),"Learning")</f>
        <v>Learning</v>
      </c>
      <c r="Y109" s="4" t="str">
        <f t="shared" si="2"/>
        <v>On Track</v>
      </c>
      <c r="Z109" s="4" t="str">
        <f>IFERROR(__xludf.DUMMYFUNCTION("IFERROR(
  FILTER('CBK Students'!O:O, TRIM('CBK Students'!B:B) = TRIM(A109)),
  """"
)"),"")</f>
        <v/>
      </c>
      <c r="AA109" s="4" t="str">
        <f>IFERROR(__xludf.DUMMYFUNCTION("IFERROR(
  FILTER('CBK Students'!P:P, TRIM('CBK Students'!B:B) = TRIM(A109)),
  """"
)"),"")</f>
        <v/>
      </c>
      <c r="AB109" s="4" t="str">
        <f>IFERROR(__xludf.DUMMYFUNCTION("IFERROR(
  FILTER('CBK Students'!Q:Q, TRIM('CBK Students'!B:B) = TRIM(A109)),
  """"
)"),"")</f>
        <v/>
      </c>
    </row>
    <row r="110" ht="18.75" customHeight="1">
      <c r="T110" s="240" t="str">
        <f>IFERROR(__xludf.DUMMYFUNCTION("IFERROR(
  FILTER('CBK Students'!F:F, TRIM('CBK Students'!B:B) = TRIM(A110)),
  """"
)"),"6 Sat 11:00-12:00pm")</f>
        <v>6 Sat 11:00-12:00pm</v>
      </c>
      <c r="U110" s="240" t="str">
        <f>IFERROR(__xludf.DUMMYFUNCTION("IFERROR(
  FILTER('CBK Students'!H:H, TRIM('CBK Students'!B:B) = TRIM(A110)),
  """"
)"),"Mandy")</f>
        <v>Mandy</v>
      </c>
      <c r="V110" s="240">
        <f>IFERROR(__xludf.DUMMYFUNCTION("IFERROR(
  FILTER('CBK Students'!M:M, TRIM('CBK Students'!B:B) = TRIM(A110)),
  """"
)"),36.0)</f>
        <v>36</v>
      </c>
      <c r="W110" s="240" t="str">
        <f t="shared" si="1"/>
        <v/>
      </c>
      <c r="X110" s="240" t="str">
        <f>IFERROR(__xludf.DUMMYFUNCTION("IFERROR(
  FILTER('CBK Students'!R:R, TRIM('CBK Students'!B:B) = TRIM(A110)),
  """"
)"),"Starting Final Project")</f>
        <v>Starting Final Project</v>
      </c>
      <c r="Y110" s="4" t="str">
        <f t="shared" si="2"/>
        <v/>
      </c>
      <c r="Z110" s="4" t="str">
        <f>IFERROR(__xludf.DUMMYFUNCTION("IFERROR(
  FILTER('CBK Students'!O:O, TRIM('CBK Students'!B:B) = TRIM(A110)),
  """"
)"),"")</f>
        <v/>
      </c>
      <c r="AA110" s="4" t="str">
        <f>IFERROR(__xludf.DUMMYFUNCTION("IFERROR(
  FILTER('CBK Students'!P:P, TRIM('CBK Students'!B:B) = TRIM(A110)),
  """"
)"),"")</f>
        <v/>
      </c>
      <c r="AB110" s="4" t="str">
        <f>IFERROR(__xludf.DUMMYFUNCTION("IFERROR(
  FILTER('CBK Students'!Q:Q, TRIM('CBK Students'!B:B) = TRIM(A110)),
  """"
)"),"")</f>
        <v/>
      </c>
    </row>
    <row r="111" ht="18.75" customHeight="1">
      <c r="T111" s="240" t="str">
        <f>IFERROR(__xludf.DUMMYFUNCTION("IFERROR(
  FILTER('CBK Students'!F:F, TRIM('CBK Students'!B:B) = TRIM(A111)),
  """"
)"),"2 Wed 7:30-8:30pm")</f>
        <v>2 Wed 7:30-8:30pm</v>
      </c>
      <c r="U111" s="240" t="str">
        <f>IFERROR(__xludf.DUMMYFUNCTION("IFERROR(
  FILTER('CBK Students'!H:H, TRIM('CBK Students'!B:B) = TRIM(A111)),
  """"
)"),"Enouch")</f>
        <v>Enouch</v>
      </c>
      <c r="V111" s="240">
        <f>IFERROR(__xludf.DUMMYFUNCTION("IFERROR(
  FILTER('CBK Students'!M:M, TRIM('CBK Students'!B:B) = TRIM(A111)),
  """"
)"),50.0)</f>
        <v>50</v>
      </c>
      <c r="W111" s="240" t="str">
        <f t="shared" si="1"/>
        <v>Learning</v>
      </c>
      <c r="X111" s="240" t="str">
        <f>IFERROR(__xludf.DUMMYFUNCTION("IFERROR(
  FILTER('CBK Students'!R:R, TRIM('CBK Students'!B:B) = TRIM(A111)),
  """"
)"),"Prepare for Showcase")</f>
        <v>Prepare for Showcase</v>
      </c>
      <c r="Y111" s="4" t="str">
        <f t="shared" si="2"/>
        <v>Showcase Delay</v>
      </c>
      <c r="Z111" s="4" t="str">
        <f>IFERROR(__xludf.DUMMYFUNCTION("IFERROR(
  FILTER('CBK Students'!O:O, TRIM('CBK Students'!B:B) = TRIM(A111)),
  """"
)"),"")</f>
        <v/>
      </c>
      <c r="AA111" s="4" t="str">
        <f>IFERROR(__xludf.DUMMYFUNCTION("IFERROR(
  FILTER('CBK Students'!P:P, TRIM('CBK Students'!B:B) = TRIM(A111)),
  """"
)"),"")</f>
        <v/>
      </c>
      <c r="AB111" s="4" t="str">
        <f>IFERROR(__xludf.DUMMYFUNCTION("IFERROR(
  FILTER('CBK Students'!Q:Q, TRIM('CBK Students'!B:B) = TRIM(A111)),
  """"
)"),"")</f>
        <v/>
      </c>
    </row>
    <row r="112" ht="18.75" customHeight="1">
      <c r="T112" s="240" t="str">
        <f>IFERROR(__xludf.DUMMYFUNCTION("IFERROR(
  FILTER('CBK Students'!F:F, TRIM('CBK Students'!B:B) = TRIM(A112)),
  """"
)"),"CS 1:20-3:30pm")</f>
        <v>CS 1:20-3:30pm</v>
      </c>
      <c r="U112" s="240" t="str">
        <f>IFERROR(__xludf.DUMMYFUNCTION("IFERROR(
  FILTER('CBK Students'!H:H, TRIM('CBK Students'!B:B) = TRIM(A112)),
  """"
)"),"Kerry")</f>
        <v>Kerry</v>
      </c>
      <c r="V112" s="240">
        <f>IFERROR(__xludf.DUMMYFUNCTION("IFERROR(
  FILTER('CBK Students'!M:M, TRIM('CBK Students'!B:B) = TRIM(A112)),
  """"
)"),13.0)</f>
        <v>13</v>
      </c>
      <c r="W112" s="240" t="str">
        <f t="shared" si="1"/>
        <v/>
      </c>
      <c r="X112" s="240" t="str">
        <f>IFERROR(__xludf.DUMMYFUNCTION("IFERROR(
  FILTER('CBK Students'!R:R, TRIM('CBK Students'!B:B) = TRIM(A112)),
  """"
)"),"Learning")</f>
        <v>Learning</v>
      </c>
      <c r="Y112" s="4" t="str">
        <f t="shared" si="2"/>
        <v/>
      </c>
      <c r="Z112" s="4" t="str">
        <f>IFERROR(__xludf.DUMMYFUNCTION("IFERROR(
  FILTER('CBK Students'!O:O, TRIM('CBK Students'!B:B) = TRIM(A112)),
  """"
)"),"")</f>
        <v/>
      </c>
      <c r="AA112" s="4" t="str">
        <f>IFERROR(__xludf.DUMMYFUNCTION("IFERROR(
  FILTER('CBK Students'!P:P, TRIM('CBK Students'!B:B) = TRIM(A112)),
  """"
)"),"")</f>
        <v/>
      </c>
      <c r="AB112" s="4" t="str">
        <f>IFERROR(__xludf.DUMMYFUNCTION("IFERROR(
  FILTER('CBK Students'!Q:Q, TRIM('CBK Students'!B:B) = TRIM(A112)),
  """"
)"),"")</f>
        <v/>
      </c>
    </row>
    <row r="113" ht="18.75" customHeight="1">
      <c r="T113" s="240" t="str">
        <f>IFERROR(__xludf.DUMMYFUNCTION("IFERROR(
  FILTER('CBK Students'!F:F, TRIM('CBK Students'!B:B) = TRIM(A113)),
  """"
)"),"4 Sat 9:00-10:00am")</f>
        <v>4 Sat 9:00-10:00am</v>
      </c>
      <c r="U113" s="240" t="str">
        <f>IFERROR(__xludf.DUMMYFUNCTION("IFERROR(
  FILTER('CBK Students'!H:H, TRIM('CBK Students'!B:B) = TRIM(A113)),
  """"
)"),"Damian")</f>
        <v>Damian</v>
      </c>
      <c r="V113" s="240">
        <f>IFERROR(__xludf.DUMMYFUNCTION("IFERROR(
  FILTER('CBK Students'!M:M, TRIM('CBK Students'!B:B) = TRIM(A113)),
  """"
)"),13.0)</f>
        <v>13</v>
      </c>
      <c r="W113" s="240" t="str">
        <f t="shared" si="1"/>
        <v>Learning</v>
      </c>
      <c r="X113" s="240" t="str">
        <f>IFERROR(__xludf.DUMMYFUNCTION("IFERROR(
  FILTER('CBK Students'!R:R, TRIM('CBK Students'!B:B) = TRIM(A113)),
  """"
)"),"Learning")</f>
        <v>Learning</v>
      </c>
      <c r="Y113" s="4" t="str">
        <f t="shared" si="2"/>
        <v>Stage Delay</v>
      </c>
      <c r="Z113" s="4" t="str">
        <f>IFERROR(__xludf.DUMMYFUNCTION("IFERROR(
  FILTER('CBK Students'!O:O, TRIM('CBK Students'!B:B) = TRIM(A113)),
  """"
)"),"09/10/2025 - [Caleb]
Has begun his final project.
Mentor was advised to set a timeline together with student to ensure there is sufficient time for preparation before the year-end showcase.")</f>
        <v>09/10/2025 - [Caleb]
Has begun his final project.
Mentor was advised to set a timeline together with student to ensure there is sufficient time for preparation before the year-end showcase.</v>
      </c>
      <c r="AA113" s="4" t="str">
        <f>IFERROR(__xludf.DUMMYFUNCTION("IFERROR(
  FILTER('CBK Students'!P:P, TRIM('CBK Students'!B:B) = TRIM(A113)),
  """"
)"),"04/10/2025 - [Vincent] lack of arduino knowledge, it may delay project showcase. 
09/10/2025 - [Caleb]
Has begun his final project.
Mentor was advised to set a timeline together with student to ensure there is sufficient time for preparation before the ye"&amp;"ar-end showcase.")</f>
        <v>04/10/2025 - [Vincent] lack of arduino knowledge, it may delay project showcase. 
09/10/2025 - [Caleb]
Has begun his final project.
Mentor was advised to set a timeline together with student to ensure there is sufficient time for preparation before the year-end showcase.</v>
      </c>
      <c r="AB113" s="4" t="str">
        <f>IFERROR(__xludf.DUMMYFUNCTION("IFERROR(
  FILTER('CBK Students'!Q:Q, TRIM('CBK Students'!B:B) = TRIM(A113)),
  """"
)"),"Yes")</f>
        <v>Yes</v>
      </c>
    </row>
    <row r="114" ht="18.75" customHeight="1">
      <c r="T114" s="240" t="str">
        <f>IFERROR(__xludf.DUMMYFUNCTION("IFERROR(
  FILTER('CBK Students'!F:F, TRIM('CBK Students'!B:B) = TRIM(A114)),
  """"
)"),"WIN 2:30-3:30pm")</f>
        <v>WIN 2:30-3:30pm</v>
      </c>
      <c r="U114" s="240" t="str">
        <f>IFERROR(__xludf.DUMMYFUNCTION("IFERROR(
  FILTER('CBK Students'!H:H, TRIM('CBK Students'!B:B) = TRIM(A114)),
  """"
)"),"Kerry")</f>
        <v>Kerry</v>
      </c>
      <c r="V114" s="240">
        <f>IFERROR(__xludf.DUMMYFUNCTION("IFERROR(
  FILTER('CBK Students'!M:M, TRIM('CBK Students'!B:B) = TRIM(A114)),
  """"
)"),13.0)</f>
        <v>13</v>
      </c>
      <c r="W114" s="240" t="str">
        <f t="shared" si="1"/>
        <v>Start with Final Project</v>
      </c>
      <c r="X114" s="240" t="str">
        <f>IFERROR(__xludf.DUMMYFUNCTION("IFERROR(
  FILTER('CBK Students'!R:R, TRIM('CBK Students'!B:B) = TRIM(A114)),
  """"
)"),"Learning")</f>
        <v>Learning</v>
      </c>
      <c r="Y114" s="4" t="str">
        <f t="shared" si="2"/>
        <v>On Track</v>
      </c>
      <c r="Z114" s="4" t="str">
        <f>IFERROR(__xludf.DUMMYFUNCTION("IFERROR(
  FILTER('CBK Students'!O:O, TRIM('CBK Students'!B:B) = TRIM(A114)),
  """"
)"),"")</f>
        <v/>
      </c>
      <c r="AA114" s="4" t="str">
        <f>IFERROR(__xludf.DUMMYFUNCTION("IFERROR(
  FILTER('CBK Students'!P:P, TRIM('CBK Students'!B:B) = TRIM(A114)),
  """"
)"),"")</f>
        <v/>
      </c>
      <c r="AB114" s="4" t="str">
        <f>IFERROR(__xludf.DUMMYFUNCTION("IFERROR(
  FILTER('CBK Students'!Q:Q, TRIM('CBK Students'!B:B) = TRIM(A114)),
  """"
)"),"")</f>
        <v/>
      </c>
    </row>
    <row r="115" ht="18.75" customHeight="1">
      <c r="T115" s="240" t="str">
        <f>IFERROR(__xludf.DUMMYFUNCTION("IFERROR(
  FILTER('CBK Students'!F:F, TRIM('CBK Students'!B:B) = TRIM(A115)),
  """"
)"),"8 Sat 3:00-4:00pm")</f>
        <v>8 Sat 3:00-4:00pm</v>
      </c>
      <c r="U115" s="240" t="str">
        <f>IFERROR(__xludf.DUMMYFUNCTION("IFERROR(
  FILTER('CBK Students'!H:H, TRIM('CBK Students'!B:B) = TRIM(A115)),
  """"
)"),"Evelyn")</f>
        <v>Evelyn</v>
      </c>
      <c r="V115" s="240">
        <f>IFERROR(__xludf.DUMMYFUNCTION("IFERROR(
  FILTER('CBK Students'!M:M, TRIM('CBK Students'!B:B) = TRIM(A115)),
  """"
)"),10.0)</f>
        <v>10</v>
      </c>
      <c r="W115" s="240" t="str">
        <f t="shared" si="1"/>
        <v>Learning</v>
      </c>
      <c r="X115" s="240" t="str">
        <f>IFERROR(__xludf.DUMMYFUNCTION("IFERROR(
  FILTER('CBK Students'!R:R, TRIM('CBK Students'!B:B) = TRIM(A115)),
  """"
)"),"Learning")</f>
        <v>Learning</v>
      </c>
      <c r="Y115" s="4" t="str">
        <f t="shared" si="2"/>
        <v>On Track</v>
      </c>
      <c r="Z115" s="4" t="str">
        <f>IFERROR(__xludf.DUMMYFUNCTION("IFERROR(
  FILTER('CBK Students'!O:O, TRIM('CBK Students'!B:B) = TRIM(A115)),
  """"
)"),"")</f>
        <v/>
      </c>
      <c r="AA115" s="4" t="str">
        <f>IFERROR(__xludf.DUMMYFUNCTION("IFERROR(
  FILTER('CBK Students'!P:P, TRIM('CBK Students'!B:B) = TRIM(A115)),
  """"
)"),"")</f>
        <v/>
      </c>
      <c r="AB115" s="4" t="str">
        <f>IFERROR(__xludf.DUMMYFUNCTION("IFERROR(
  FILTER('CBK Students'!Q:Q, TRIM('CBK Students'!B:B) = TRIM(A115)),
  """"
)"),"")</f>
        <v/>
      </c>
    </row>
    <row r="116" ht="18.75" customHeight="1">
      <c r="T116" s="240" t="str">
        <f>IFERROR(__xludf.DUMMYFUNCTION("IFERROR(
  FILTER('CBK Students'!F:F, TRIM('CBK Students'!B:B) = TRIM(A116)),
  """"
)"),"5 Sat 10:00-11:00am")</f>
        <v>5 Sat 10:00-11:00am</v>
      </c>
      <c r="U116" s="240" t="str">
        <f>IFERROR(__xludf.DUMMYFUNCTION("IFERROR(
  FILTER('CBK Students'!H:H, TRIM('CBK Students'!B:B) = TRIM(A116)),
  """"
)"),"Kerry")</f>
        <v>Kerry</v>
      </c>
      <c r="V116" s="240">
        <f>IFERROR(__xludf.DUMMYFUNCTION("IFERROR(
  FILTER('CBK Students'!M:M, TRIM('CBK Students'!B:B) = TRIM(A116)),
  """"
)"),14.0)</f>
        <v>14</v>
      </c>
      <c r="W116" s="240" t="str">
        <f t="shared" si="1"/>
        <v/>
      </c>
      <c r="X116" s="240" t="str">
        <f>IFERROR(__xludf.DUMMYFUNCTION("IFERROR(
  FILTER('CBK Students'!R:R, TRIM('CBK Students'!B:B) = TRIM(A116)),
  """"
)"),"Learning")</f>
        <v>Learning</v>
      </c>
      <c r="Y116" s="4" t="str">
        <f t="shared" si="2"/>
        <v/>
      </c>
      <c r="Z116" s="4" t="str">
        <f>IFERROR(__xludf.DUMMYFUNCTION("IFERROR(
  FILTER('CBK Students'!O:O, TRIM('CBK Students'!B:B) = TRIM(A116)),
  """"
)"),"")</f>
        <v/>
      </c>
      <c r="AA116" s="4" t="str">
        <f>IFERROR(__xludf.DUMMYFUNCTION("IFERROR(
  FILTER('CBK Students'!P:P, TRIM('CBK Students'!B:B) = TRIM(A116)),
  """"
)"),"")</f>
        <v/>
      </c>
      <c r="AB116" s="4" t="str">
        <f>IFERROR(__xludf.DUMMYFUNCTION("IFERROR(
  FILTER('CBK Students'!Q:Q, TRIM('CBK Students'!B:B) = TRIM(A116)),
  """"
)"),"")</f>
        <v/>
      </c>
    </row>
    <row r="117" ht="18.75" customHeight="1">
      <c r="T117" s="240" t="str">
        <f>IFERROR(__xludf.DUMMYFUNCTION("IFERROR(
  FILTER('CBK Students'!F:F, TRIM('CBK Students'!B:B) = TRIM(A117)),
  """"
)"),"WIN 2:30-3:30pm")</f>
        <v>WIN 2:30-3:30pm</v>
      </c>
      <c r="U117" s="240" t="str">
        <f>IFERROR(__xludf.DUMMYFUNCTION("IFERROR(
  FILTER('CBK Students'!H:H, TRIM('CBK Students'!B:B) = TRIM(A117)),
  """"
)"),"Kerry")</f>
        <v>Kerry</v>
      </c>
      <c r="V117" s="240">
        <f>IFERROR(__xludf.DUMMYFUNCTION("IFERROR(
  FILTER('CBK Students'!M:M, TRIM('CBK Students'!B:B) = TRIM(A117)),
  """"
)"),13.0)</f>
        <v>13</v>
      </c>
      <c r="W117" s="240" t="str">
        <f t="shared" si="1"/>
        <v>Learning</v>
      </c>
      <c r="X117" s="240" t="str">
        <f>IFERROR(__xludf.DUMMYFUNCTION("IFERROR(
  FILTER('CBK Students'!R:R, TRIM('CBK Students'!B:B) = TRIM(A117)),
  """"
)"),"Learning")</f>
        <v>Learning</v>
      </c>
      <c r="Y117" s="4" t="str">
        <f t="shared" si="2"/>
        <v>Stage Delay</v>
      </c>
      <c r="Z117" s="4" t="str">
        <f>IFERROR(__xludf.DUMMYFUNCTION("IFERROR(
  FILTER('CBK Students'!O:O, TRIM('CBK Students'!B:B) = TRIM(A117)),
  """"
)"),"")</f>
        <v/>
      </c>
      <c r="AA117" s="4" t="str">
        <f>IFERROR(__xludf.DUMMYFUNCTION("IFERROR(
  FILTER('CBK Students'!P:P, TRIM('CBK Students'!B:B) = TRIM(A117)),
  """"
)"),"")</f>
        <v/>
      </c>
      <c r="AB117" s="4" t="str">
        <f>IFERROR(__xludf.DUMMYFUNCTION("IFERROR(
  FILTER('CBK Students'!Q:Q, TRIM('CBK Students'!B:B) = TRIM(A117)),
  """"
)"),"")</f>
        <v/>
      </c>
    </row>
    <row r="118" ht="18.75" customHeight="1">
      <c r="T118" s="240" t="str">
        <f>IFERROR(__xludf.DUMMYFUNCTION("IFERROR(
  FILTER('CBK Students'!F:F, TRIM('CBK Students'!B:B) = TRIM(A118)),
  """"
)"),"TH 12:45-1:45pm")</f>
        <v>TH 12:45-1:45pm</v>
      </c>
      <c r="U118" s="240" t="str">
        <f>IFERROR(__xludf.DUMMYFUNCTION("IFERROR(
  FILTER('CBK Students'!H:H, TRIM('CBK Students'!B:B) = TRIM(A118)),
  """"
)"),"Kerry")</f>
        <v>Kerry</v>
      </c>
      <c r="V118" s="240">
        <f>IFERROR(__xludf.DUMMYFUNCTION("IFERROR(
  FILTER('CBK Students'!M:M, TRIM('CBK Students'!B:B) = TRIM(A118)),
  """"
)"),22.0)</f>
        <v>22</v>
      </c>
      <c r="W118" s="240" t="str">
        <f t="shared" si="1"/>
        <v/>
      </c>
      <c r="X118" s="240" t="str">
        <f>IFERROR(__xludf.DUMMYFUNCTION("IFERROR(
  FILTER('CBK Students'!R:R, TRIM('CBK Students'!B:B) = TRIM(A118)),
  """"
)"),"Learning")</f>
        <v>Learning</v>
      </c>
      <c r="Y118" s="4" t="str">
        <f t="shared" si="2"/>
        <v/>
      </c>
      <c r="Z118" s="4" t="str">
        <f>IFERROR(__xludf.DUMMYFUNCTION("IFERROR(
  FILTER('CBK Students'!O:O, TRIM('CBK Students'!B:B) = TRIM(A118)),
  """"
)"),"")</f>
        <v/>
      </c>
      <c r="AA118" s="4" t="str">
        <f>IFERROR(__xludf.DUMMYFUNCTION("IFERROR(
  FILTER('CBK Students'!P:P, TRIM('CBK Students'!B:B) = TRIM(A118)),
  """"
)"),"")</f>
        <v/>
      </c>
      <c r="AB118" s="4" t="str">
        <f>IFERROR(__xludf.DUMMYFUNCTION("IFERROR(
  FILTER('CBK Students'!Q:Q, TRIM('CBK Students'!B:B) = TRIM(A118)),
  """"
)"),"")</f>
        <v/>
      </c>
    </row>
    <row r="119" ht="18.75" customHeight="1">
      <c r="T119" s="240" t="str">
        <f>IFERROR(__xludf.DUMMYFUNCTION("IFERROR(
  FILTER('CBK Students'!F:F, TRIM('CBK Students'!B:B) = TRIM(A119)),
  """"
)"),"1 Mon 7:30-8:30pm")</f>
        <v>1 Mon 7:30-8:30pm</v>
      </c>
      <c r="U119" s="240" t="str">
        <f>IFERROR(__xludf.DUMMYFUNCTION("IFERROR(
  FILTER('CBK Students'!H:H, TRIM('CBK Students'!B:B) = TRIM(A119)),
  """"
)"),"Mandy")</f>
        <v>Mandy</v>
      </c>
      <c r="V119" s="240">
        <f>IFERROR(__xludf.DUMMYFUNCTION("IFERROR(
  FILTER('CBK Students'!M:M, TRIM('CBK Students'!B:B) = TRIM(A119)),
  """"
)"),53.0)</f>
        <v>53</v>
      </c>
      <c r="W119" s="240" t="str">
        <f t="shared" si="1"/>
        <v>Start with Final Project</v>
      </c>
      <c r="X119" s="240" t="str">
        <f>IFERROR(__xludf.DUMMYFUNCTION("IFERROR(
  FILTER('CBK Students'!R:R, TRIM('CBK Students'!B:B) = TRIM(A119)),
  """"
)"),"Prepare for Showcase")</f>
        <v>Prepare for Showcase</v>
      </c>
      <c r="Y119" s="4" t="str">
        <f t="shared" si="2"/>
        <v>Showcase Delay</v>
      </c>
      <c r="Z119" s="4" t="str">
        <f>IFERROR(__xludf.DUMMYFUNCTION("IFERROR(
  FILTER('CBK Students'!O:O, TRIM('CBK Students'!B:B) = TRIM(A119)),
  """"
)"),"")</f>
        <v/>
      </c>
      <c r="AA119" s="4" t="str">
        <f>IFERROR(__xludf.DUMMYFUNCTION("IFERROR(
  FILTER('CBK Students'!P:P, TRIM('CBK Students'!B:B) = TRIM(A119)),
  """"
)"),"")</f>
        <v/>
      </c>
      <c r="AB119" s="4" t="str">
        <f>IFERROR(__xludf.DUMMYFUNCTION("IFERROR(
  FILTER('CBK Students'!Q:Q, TRIM('CBK Students'!B:B) = TRIM(A119)),
  """"
)"),"")</f>
        <v/>
      </c>
    </row>
    <row r="120" ht="18.75" customHeight="1">
      <c r="T120" s="240" t="str">
        <f>IFERROR(__xludf.DUMMYFUNCTION("IFERROR(
  FILTER('CBK Students'!F:F, TRIM('CBK Students'!B:B) = TRIM(A120)),
  """"
)"),"2 Wed 7:30-8:30pm")</f>
        <v>2 Wed 7:30-8:30pm</v>
      </c>
      <c r="U120" s="240" t="str">
        <f>IFERROR(__xludf.DUMMYFUNCTION("IFERROR(
  FILTER('CBK Students'!H:H, TRIM('CBK Students'!B:B) = TRIM(A120)),
  """"
)"),"Mandy")</f>
        <v>Mandy</v>
      </c>
      <c r="V120" s="240">
        <f>IFERROR(__xludf.DUMMYFUNCTION("IFERROR(
  FILTER('CBK Students'!M:M, TRIM('CBK Students'!B:B) = TRIM(A120)),
  """"
)"),6.0)</f>
        <v>6</v>
      </c>
      <c r="W120" s="240" t="str">
        <f t="shared" si="1"/>
        <v/>
      </c>
      <c r="X120" s="240" t="str">
        <f>IFERROR(__xludf.DUMMYFUNCTION("IFERROR(
  FILTER('CBK Students'!R:R, TRIM('CBK Students'!B:B) = TRIM(A120)),
  """"
)"),"Learning")</f>
        <v>Learning</v>
      </c>
      <c r="Y120" s="4" t="str">
        <f t="shared" si="2"/>
        <v/>
      </c>
      <c r="Z120" s="4" t="str">
        <f>IFERROR(__xludf.DUMMYFUNCTION("IFERROR(
  FILTER('CBK Students'!O:O, TRIM('CBK Students'!B:B) = TRIM(A120)),
  """"
)"),"")</f>
        <v/>
      </c>
      <c r="AA120" s="4" t="str">
        <f>IFERROR(__xludf.DUMMYFUNCTION("IFERROR(
  FILTER('CBK Students'!P:P, TRIM('CBK Students'!B:B) = TRIM(A120)),
  """"
)"),"")</f>
        <v/>
      </c>
      <c r="AB120" s="4" t="str">
        <f>IFERROR(__xludf.DUMMYFUNCTION("IFERROR(
  FILTER('CBK Students'!Q:Q, TRIM('CBK Students'!B:B) = TRIM(A120)),
  """"
)"),"")</f>
        <v/>
      </c>
    </row>
    <row r="121" ht="18.75" customHeight="1">
      <c r="T121" s="240" t="str">
        <f>IFERROR(__xludf.DUMMYFUNCTION("IFERROR(
  FILTER('CBK Students'!F:F, TRIM('CBK Students'!B:B) = TRIM(A121)),
  """"
)"),"2 Wed 7:30-8:30pm")</f>
        <v>2 Wed 7:30-8:30pm</v>
      </c>
      <c r="U121" s="240" t="str">
        <f>IFERROR(__xludf.DUMMYFUNCTION("IFERROR(
  FILTER('CBK Students'!H:H, TRIM('CBK Students'!B:B) = TRIM(A121)),
  """"
)"),"Chuan")</f>
        <v>Chuan</v>
      </c>
      <c r="V121" s="240">
        <f>IFERROR(__xludf.DUMMYFUNCTION("IFERROR(
  FILTER('CBK Students'!M:M, TRIM('CBK Students'!B:B) = TRIM(A121)),
  """"
)"),62.0)</f>
        <v>62</v>
      </c>
      <c r="W121" s="240" t="str">
        <f t="shared" si="1"/>
        <v>Learning</v>
      </c>
      <c r="X121" s="240" t="str">
        <f>IFERROR(__xludf.DUMMYFUNCTION("IFERROR(
  FILTER('CBK Students'!R:R, TRIM('CBK Students'!B:B) = TRIM(A121)),
  """"
)"),"Prepare for Showcase")</f>
        <v>Prepare for Showcase</v>
      </c>
      <c r="Y121" s="4" t="str">
        <f t="shared" si="2"/>
        <v>Showcase Delay</v>
      </c>
      <c r="Z121" s="4" t="str">
        <f>IFERROR(__xludf.DUMMYFUNCTION("IFERROR(
  FILTER('CBK Students'!O:O, TRIM('CBK Students'!B:B) = TRIM(A121)),
  """"
)"),"14/10/2025 - [Caleb]
Previously, the student spent some time working on competition projects, but the focus is now back on regular learning.
Some of her projects have been completed but not yet submitted.
The mentor is advised to remind the student to sub"&amp;"mit all completed projects and to update the parents on her progress.")</f>
        <v>14/10/2025 - [Caleb]
Previously, the student spent some time working on competition projects, but the focus is now back on regular learning.
Some of her projects have been completed but not yet submitted.
The mentor is advised to remind the student to submit all completed projects and to update the parents on her progress.</v>
      </c>
      <c r="AA121" s="4" t="str">
        <f>IFERROR(__xludf.DUMMYFUNCTION("IFERROR(
  FILTER('CBK Students'!P:P, TRIM('CBK Students'!B:B) = TRIM(A121)),
  """"
)"),"14/10/2025 - [Caleb]
Previously, the student spent some time working on competition projects, but the focus is now back on regular learning.
Some of her projects have been completed but not yet submitted.
The mentor is advised to remind the student to sub"&amp;"mit all completed projects and to update the parents on her progress.")</f>
        <v>14/10/2025 - [Caleb]
Previously, the student spent some time working on competition projects, but the focus is now back on regular learning.
Some of her projects have been completed but not yet submitted.
The mentor is advised to remind the student to submit all completed projects and to update the parents on her progress.</v>
      </c>
      <c r="AB121" s="4" t="str">
        <f>IFERROR(__xludf.DUMMYFUNCTION("IFERROR(
  FILTER('CBK Students'!Q:Q, TRIM('CBK Students'!B:B) = TRIM(A121)),
  """"
)"),"Yes")</f>
        <v>Yes</v>
      </c>
    </row>
    <row r="122" ht="18.75" customHeight="1">
      <c r="T122" s="240" t="str">
        <f>IFERROR(__xludf.DUMMYFUNCTION("IFERROR(
  FILTER('CBK Students'!F:F, TRIM('CBK Students'!B:B) = TRIM(A122)),
  """"
)"),"5 Sat 10:00-11:00am")</f>
        <v>5 Sat 10:00-11:00am</v>
      </c>
      <c r="U122" s="240" t="str">
        <f>IFERROR(__xludf.DUMMYFUNCTION("IFERROR(
  FILTER('CBK Students'!H:H, TRIM('CBK Students'!B:B) = TRIM(A122)),
  """"
)"),"Damian")</f>
        <v>Damian</v>
      </c>
      <c r="V122" s="240">
        <f>IFERROR(__xludf.DUMMYFUNCTION("IFERROR(
  FILTER('CBK Students'!M:M, TRIM('CBK Students'!B:B) = TRIM(A122)),
  """"
)"),13.0)</f>
        <v>13</v>
      </c>
      <c r="W122" s="240" t="str">
        <f t="shared" si="1"/>
        <v>Learning</v>
      </c>
      <c r="X122" s="240" t="str">
        <f>IFERROR(__xludf.DUMMYFUNCTION("IFERROR(
  FILTER('CBK Students'!R:R, TRIM('CBK Students'!B:B) = TRIM(A122)),
  """"
)"),"Learning")</f>
        <v>Learning</v>
      </c>
      <c r="Y122" s="4" t="str">
        <f t="shared" si="2"/>
        <v>Stage Delay</v>
      </c>
      <c r="Z122" s="4" t="str">
        <f>IFERROR(__xludf.DUMMYFUNCTION("IFERROR(
  FILTER('CBK Students'!O:O, TRIM('CBK Students'!B:B) = TRIM(A122)),
  """"
)"),"06/11/2025 - [Caleb]
Having attitude issue and frequently leaves the class with various reasons (e.g., finding food, taking items) and often returns late.
Focus issue: Easily distracted and often chats with friends during class.")</f>
        <v>06/11/2025 - [Caleb]
Having attitude issue and frequently leaves the class with various reasons (e.g., finding food, taking items) and often returns late.
Focus issue: Easily distracted and often chats with friends during class.</v>
      </c>
      <c r="AA122" s="4" t="str">
        <f>IFERROR(__xludf.DUMMYFUNCTION("IFERROR(
  FILTER('CBK Students'!P:P, TRIM('CBK Students'!B:B) = TRIM(A122)),
  """"
)"),"06/11/2025 - [Caleb]
Having attitude issue and frequently leaves the class with various reasons (e.g., finding food, taking items) and often returns late.
Focus issue: Easily distracted and often chats with friends during class.")</f>
        <v>06/11/2025 - [Caleb]
Having attitude issue and frequently leaves the class with various reasons (e.g., finding food, taking items) and often returns late.
Focus issue: Easily distracted and often chats with friends during class.</v>
      </c>
      <c r="AB122" s="4" t="str">
        <f>IFERROR(__xludf.DUMMYFUNCTION("IFERROR(
  FILTER('CBK Students'!Q:Q, TRIM('CBK Students'!B:B) = TRIM(A122)),
  """"
)"),"No")</f>
        <v>No</v>
      </c>
    </row>
    <row r="123" ht="18.75" customHeight="1">
      <c r="T123" s="240" t="str">
        <f>IFERROR(__xludf.DUMMYFUNCTION("IFERROR(
  FILTER('CBK Students'!F:F, TRIM('CBK Students'!B:B) = TRIM(A123)),
  """"
)"),"6 Sat 11:00-12:00pm")</f>
        <v>6 Sat 11:00-12:00pm</v>
      </c>
      <c r="U123" s="240" t="str">
        <f>IFERROR(__xludf.DUMMYFUNCTION("IFERROR(
  FILTER('CBK Students'!H:H, TRIM('CBK Students'!B:B) = TRIM(A123)),
  """"
)"),"Mandy")</f>
        <v>Mandy</v>
      </c>
      <c r="V123" s="240">
        <f>IFERROR(__xludf.DUMMYFUNCTION("IFERROR(
  FILTER('CBK Students'!M:M, TRIM('CBK Students'!B:B) = TRIM(A123)),
  """"
)"),53.0)</f>
        <v>53</v>
      </c>
      <c r="W123" s="240" t="str">
        <f t="shared" si="1"/>
        <v>Learning</v>
      </c>
      <c r="X123" s="240" t="str">
        <f>IFERROR(__xludf.DUMMYFUNCTION("IFERROR(
  FILTER('CBK Students'!R:R, TRIM('CBK Students'!B:B) = TRIM(A123)),
  """"
)"),"Prepare for Showcase")</f>
        <v>Prepare for Showcase</v>
      </c>
      <c r="Y123" s="4" t="str">
        <f t="shared" si="2"/>
        <v>Showcase Delay</v>
      </c>
      <c r="Z123" s="4" t="str">
        <f>IFERROR(__xludf.DUMMYFUNCTION("IFERROR(
  FILTER('CBK Students'!O:O, TRIM('CBK Students'!B:B) = TRIM(A123)),
  """"
)"),"")</f>
        <v/>
      </c>
      <c r="AA123" s="4" t="str">
        <f>IFERROR(__xludf.DUMMYFUNCTION("IFERROR(
  FILTER('CBK Students'!P:P, TRIM('CBK Students'!B:B) = TRIM(A123)),
  """"
)"),"")</f>
        <v/>
      </c>
      <c r="AB123" s="4" t="str">
        <f>IFERROR(__xludf.DUMMYFUNCTION("IFERROR(
  FILTER('CBK Students'!Q:Q, TRIM('CBK Students'!B:B) = TRIM(A123)),
  """"
)"),"")</f>
        <v/>
      </c>
    </row>
    <row r="124" ht="18.75" customHeight="1">
      <c r="T124" s="240" t="str">
        <f>IFERROR(__xludf.DUMMYFUNCTION("IFERROR(
  FILTER('CBK Students'!F:F, TRIM('CBK Students'!B:B) = TRIM(A124)),
  """"
)"),"1 Mon 7:30-8:30pm")</f>
        <v>1 Mon 7:30-8:30pm</v>
      </c>
      <c r="U124" s="240" t="str">
        <f>IFERROR(__xludf.DUMMYFUNCTION("IFERROR(
  FILTER('CBK Students'!H:H, TRIM('CBK Students'!B:B) = TRIM(A124)),
  """"
)"),"Kerry")</f>
        <v>Kerry</v>
      </c>
      <c r="V124" s="240">
        <f>IFERROR(__xludf.DUMMYFUNCTION("IFERROR(
  FILTER('CBK Students'!M:M, TRIM('CBK Students'!B:B) = TRIM(A124)),
  """"
)"),40.0)</f>
        <v>40</v>
      </c>
      <c r="W124" s="240" t="str">
        <f t="shared" si="1"/>
        <v/>
      </c>
      <c r="X124" s="240" t="str">
        <f>IFERROR(__xludf.DUMMYFUNCTION("IFERROR(
  FILTER('CBK Students'!R:R, TRIM('CBK Students'!B:B) = TRIM(A124)),
  """"
)"),"Starting Final Project")</f>
        <v>Starting Final Project</v>
      </c>
      <c r="Y124" s="4" t="str">
        <f t="shared" si="2"/>
        <v/>
      </c>
      <c r="Z124" s="4" t="str">
        <f>IFERROR(__xludf.DUMMYFUNCTION("IFERROR(
  FILTER('CBK Students'!O:O, TRIM('CBK Students'!B:B) = TRIM(A124)),
  """"
)"),"")</f>
        <v/>
      </c>
      <c r="AA124" s="4" t="str">
        <f>IFERROR(__xludf.DUMMYFUNCTION("IFERROR(
  FILTER('CBK Students'!P:P, TRIM('CBK Students'!B:B) = TRIM(A124)),
  """"
)"),"")</f>
        <v/>
      </c>
      <c r="AB124" s="4" t="str">
        <f>IFERROR(__xludf.DUMMYFUNCTION("IFERROR(
  FILTER('CBK Students'!Q:Q, TRIM('CBK Students'!B:B) = TRIM(A124)),
  """"
)"),"")</f>
        <v/>
      </c>
    </row>
    <row r="125" ht="18.75" customHeight="1">
      <c r="T125" s="240" t="str">
        <f>IFERROR(__xludf.DUMMYFUNCTION("IFERROR(
  FILTER('CBK Students'!F:F, TRIM('CBK Students'!B:B) = TRIM(A125)),
  """"
)"),"1 Mon 7.30-8.30pm")</f>
        <v>1 Mon 7.30-8.30pm</v>
      </c>
      <c r="U125" s="240" t="str">
        <f>IFERROR(__xludf.DUMMYFUNCTION("IFERROR(
  FILTER('CBK Students'!H:H, TRIM('CBK Students'!B:B) = TRIM(A125)),
  """"
)"),"David")</f>
        <v>David</v>
      </c>
      <c r="V125" s="240">
        <f>IFERROR(__xludf.DUMMYFUNCTION("IFERROR(
  FILTER('CBK Students'!M:M, TRIM('CBK Students'!B:B) = TRIM(A125)),
  """"
)"),70.0)</f>
        <v>70</v>
      </c>
      <c r="W125" s="240" t="str">
        <f t="shared" si="1"/>
        <v>Learning</v>
      </c>
      <c r="X125" s="240" t="str">
        <f>IFERROR(__xludf.DUMMYFUNCTION("IFERROR(
  FILTER('CBK Students'!R:R, TRIM('CBK Students'!B:B) = TRIM(A125)),
  """"
)"),"Prepare for Showcase")</f>
        <v>Prepare for Showcase</v>
      </c>
      <c r="Y125" s="4" t="str">
        <f t="shared" si="2"/>
        <v>Showcase Delay</v>
      </c>
      <c r="Z125" s="4" t="str">
        <f>IFERROR(__xludf.DUMMYFUNCTION("IFERROR(
  FILTER('CBK Students'!O:O, TRIM('CBK Students'!B:B) = TRIM(A125)),
  """"
)"),"")</f>
        <v/>
      </c>
      <c r="AA125" s="4" t="str">
        <f>IFERROR(__xludf.DUMMYFUNCTION("IFERROR(
  FILTER('CBK Students'!P:P, TRIM('CBK Students'!B:B) = TRIM(A125)),
  """"
)"),"")</f>
        <v/>
      </c>
      <c r="AB125" s="4" t="str">
        <f>IFERROR(__xludf.DUMMYFUNCTION("IFERROR(
  FILTER('CBK Students'!Q:Q, TRIM('CBK Students'!B:B) = TRIM(A125)),
  """"
)"),"")</f>
        <v/>
      </c>
    </row>
    <row r="126" ht="18.75" customHeight="1">
      <c r="T126" s="240" t="str">
        <f>IFERROR(__xludf.DUMMYFUNCTION("IFERROR(
  FILTER('CBK Students'!F:F, TRIM('CBK Students'!B:B) = TRIM(A126)),
  """"
)"),"6 Sat 11:00-12:00pm")</f>
        <v>6 Sat 11:00-12:00pm</v>
      </c>
      <c r="U126" s="240" t="str">
        <f>IFERROR(__xludf.DUMMYFUNCTION("IFERROR(
  FILTER('CBK Students'!H:H, TRIM('CBK Students'!B:B) = TRIM(A126)),
  """"
)"),"Enouch")</f>
        <v>Enouch</v>
      </c>
      <c r="V126" s="240">
        <f>IFERROR(__xludf.DUMMYFUNCTION("IFERROR(
  FILTER('CBK Students'!M:M, TRIM('CBK Students'!B:B) = TRIM(A126)),
  """"
)"),62.0)</f>
        <v>62</v>
      </c>
      <c r="W126" s="240" t="str">
        <f t="shared" si="1"/>
        <v>Learning</v>
      </c>
      <c r="X126" s="240" t="str">
        <f>IFERROR(__xludf.DUMMYFUNCTION("IFERROR(
  FILTER('CBK Students'!R:R, TRIM('CBK Students'!B:B) = TRIM(A126)),
  """"
)"),"Prepare for Showcase")</f>
        <v>Prepare for Showcase</v>
      </c>
      <c r="Y126" s="4" t="str">
        <f t="shared" si="2"/>
        <v>Showcase Delay</v>
      </c>
      <c r="Z126" s="4" t="str">
        <f>IFERROR(__xludf.DUMMYFUNCTION("IFERROR(
  FILTER('CBK Students'!O:O, TRIM('CBK Students'!B:B) = TRIM(A126)),
  """"
)"),"")</f>
        <v/>
      </c>
      <c r="AA126" s="4" t="str">
        <f>IFERROR(__xludf.DUMMYFUNCTION("IFERROR(
  FILTER('CBK Students'!P:P, TRIM('CBK Students'!B:B) = TRIM(A126)),
  """"
)"),"")</f>
        <v/>
      </c>
      <c r="AB126" s="4" t="str">
        <f>IFERROR(__xludf.DUMMYFUNCTION("IFERROR(
  FILTER('CBK Students'!Q:Q, TRIM('CBK Students'!B:B) = TRIM(A126)),
  """"
)"),"")</f>
        <v/>
      </c>
    </row>
    <row r="127" ht="18.75" customHeight="1">
      <c r="T127" s="240" t="str">
        <f>IFERROR(__xludf.DUMMYFUNCTION("IFERROR(
  FILTER('CBK Students'!F:F, TRIM('CBK Students'!B:B) = TRIM(A127)),
  """"
)"),"TH 12:45-1:45pm")</f>
        <v>TH 12:45-1:45pm</v>
      </c>
      <c r="U127" s="240" t="str">
        <f>IFERROR(__xludf.DUMMYFUNCTION("IFERROR(
  FILTER('CBK Students'!H:H, TRIM('CBK Students'!B:B) = TRIM(A127)),
  """"
)"),"Lam")</f>
        <v>Lam</v>
      </c>
      <c r="V127" s="240">
        <f>IFERROR(__xludf.DUMMYFUNCTION("IFERROR(
  FILTER('CBK Students'!M:M, TRIM('CBK Students'!B:B) = TRIM(A127)),
  """"
)"),13.0)</f>
        <v>13</v>
      </c>
      <c r="W127" s="240" t="str">
        <f t="shared" si="1"/>
        <v>Learning</v>
      </c>
      <c r="X127" s="240" t="str">
        <f>IFERROR(__xludf.DUMMYFUNCTION("IFERROR(
  FILTER('CBK Students'!R:R, TRIM('CBK Students'!B:B) = TRIM(A127)),
  """"
)"),"Learning")</f>
        <v>Learning</v>
      </c>
      <c r="Y127" s="4" t="str">
        <f t="shared" si="2"/>
        <v>Stage Delay</v>
      </c>
      <c r="Z127" s="4" t="str">
        <f>IFERROR(__xludf.DUMMYFUNCTION("IFERROR(
  FILTER('CBK Students'!O:O, TRIM('CBK Students'!B:B) = TRIM(A127)),
  """"
)"),"06/11/2025 - [Caleb]
Having attitude issue, and frequently leaves the class with various reasons (e.g., finding food, taking items) and often returns late.")</f>
        <v>06/11/2025 - [Caleb]
Having attitude issue, and frequently leaves the class with various reasons (e.g., finding food, taking items) and often returns late.</v>
      </c>
      <c r="AA127" s="4" t="str">
        <f>IFERROR(__xludf.DUMMYFUNCTION("IFERROR(
  FILTER('CBK Students'!P:P, TRIM('CBK Students'!B:B) = TRIM(A127)),
  """"
)"),"06/11/2025 - [Caleb]
Having attitude issue, and frequently leaves the class with various reasons (e.g., finding food, taking items) and often returns late.")</f>
        <v>06/11/2025 - [Caleb]
Having attitude issue, and frequently leaves the class with various reasons (e.g., finding food, taking items) and often returns late.</v>
      </c>
      <c r="AB127" s="4" t="str">
        <f>IFERROR(__xludf.DUMMYFUNCTION("IFERROR(
  FILTER('CBK Students'!Q:Q, TRIM('CBK Students'!B:B) = TRIM(A127)),
  """"
)"),"No")</f>
        <v>No</v>
      </c>
    </row>
    <row r="128" ht="18.75" customHeight="1">
      <c r="T128" s="240" t="str">
        <f>IFERROR(__xludf.DUMMYFUNCTION("IFERROR(
  FILTER('CBK Students'!F:F, TRIM('CBK Students'!B:B) = TRIM(A128)),
  """"
)"),"6 Sat 11:00-12:00pm")</f>
        <v>6 Sat 11:00-12:00pm</v>
      </c>
      <c r="U128" s="240" t="str">
        <f>IFERROR(__xludf.DUMMYFUNCTION("IFERROR(
  FILTER('CBK Students'!H:H, TRIM('CBK Students'!B:B) = TRIM(A128)),
  """"
)"),"Enouch")</f>
        <v>Enouch</v>
      </c>
      <c r="V128" s="240">
        <f>IFERROR(__xludf.DUMMYFUNCTION("IFERROR(
  FILTER('CBK Students'!M:M, TRIM('CBK Students'!B:B) = TRIM(A128)),
  """"
)"),13.0)</f>
        <v>13</v>
      </c>
      <c r="W128" s="240" t="str">
        <f t="shared" si="1"/>
        <v>Learning</v>
      </c>
      <c r="X128" s="240" t="str">
        <f>IFERROR(__xludf.DUMMYFUNCTION("IFERROR(
  FILTER('CBK Students'!R:R, TRIM('CBK Students'!B:B) = TRIM(A128)),
  """"
)"),"Learning")</f>
        <v>Learning</v>
      </c>
      <c r="Y128" s="4" t="str">
        <f t="shared" si="2"/>
        <v>On Track</v>
      </c>
      <c r="Z128" s="4" t="str">
        <f>IFERROR(__xludf.DUMMYFUNCTION("IFERROR(
  FILTER('CBK Students'!O:O, TRIM('CBK Students'!B:B) = TRIM(A128)),
  """"
)"),"")</f>
        <v/>
      </c>
      <c r="AA128" s="4" t="str">
        <f>IFERROR(__xludf.DUMMYFUNCTION("IFERROR(
  FILTER('CBK Students'!P:P, TRIM('CBK Students'!B:B) = TRIM(A128)),
  """"
)"),"")</f>
        <v/>
      </c>
      <c r="AB128" s="4" t="str">
        <f>IFERROR(__xludf.DUMMYFUNCTION("IFERROR(
  FILTER('CBK Students'!Q:Q, TRIM('CBK Students'!B:B) = TRIM(A128)),
  """"
)"),"")</f>
        <v/>
      </c>
    </row>
    <row r="129" ht="18.75" customHeight="1">
      <c r="T129" s="240" t="str">
        <f>IFERROR(__xludf.DUMMYFUNCTION("IFERROR(
  FILTER('CBK Students'!F:F, TRIM('CBK Students'!B:B) = TRIM(A129)),
  """"
)"),"8 Sat 3:00-4:00pm")</f>
        <v>8 Sat 3:00-4:00pm</v>
      </c>
      <c r="U129" s="240" t="str">
        <f>IFERROR(__xludf.DUMMYFUNCTION("IFERROR(
  FILTER('CBK Students'!H:H, TRIM('CBK Students'!B:B) = TRIM(A129)),
  """"
)"),"Damian")</f>
        <v>Damian</v>
      </c>
      <c r="V129" s="240">
        <f>IFERROR(__xludf.DUMMYFUNCTION("IFERROR(
  FILTER('CBK Students'!M:M, TRIM('CBK Students'!B:B) = TRIM(A129)),
  """"
)"),36.0)</f>
        <v>36</v>
      </c>
      <c r="W129" s="240" t="str">
        <f t="shared" si="1"/>
        <v>Learning</v>
      </c>
      <c r="X129" s="240" t="str">
        <f>IFERROR(__xludf.DUMMYFUNCTION("IFERROR(
  FILTER('CBK Students'!R:R, TRIM('CBK Students'!B:B) = TRIM(A129)),
  """"
)"),"Starting Final Project")</f>
        <v>Starting Final Project</v>
      </c>
      <c r="Y129" s="4" t="str">
        <f t="shared" si="2"/>
        <v>Stage Delay</v>
      </c>
      <c r="Z129" s="4" t="str">
        <f>IFERROR(__xludf.DUMMYFUNCTION("IFERROR(
  FILTER('CBK Students'!O:O, TRIM('CBK Students'!B:B) = TRIM(A129)),
  """"
)"),"")</f>
        <v/>
      </c>
      <c r="AA129" s="4" t="str">
        <f>IFERROR(__xludf.DUMMYFUNCTION("IFERROR(
  FILTER('CBK Students'!P:P, TRIM('CBK Students'!B:B) = TRIM(A129)),
  """"
)"),"")</f>
        <v/>
      </c>
      <c r="AB129" s="4" t="str">
        <f>IFERROR(__xludf.DUMMYFUNCTION("IFERROR(
  FILTER('CBK Students'!Q:Q, TRIM('CBK Students'!B:B) = TRIM(A129)),
  """"
)"),"")</f>
        <v/>
      </c>
    </row>
    <row r="130" ht="18.75" customHeight="1">
      <c r="T130" s="240" t="str">
        <f>IFERROR(__xludf.DUMMYFUNCTION("IFERROR(
  FILTER('CBK Students'!F:F, TRIM('CBK Students'!B:B) = TRIM(A130)),
  """"
)"),"4 Sat 9:00-10:00am")</f>
        <v>4 Sat 9:00-10:00am</v>
      </c>
      <c r="U130" s="240" t="str">
        <f>IFERROR(__xludf.DUMMYFUNCTION("IFERROR(
  FILTER('CBK Students'!H:H, TRIM('CBK Students'!B:B) = TRIM(A130)),
  """"
)"),"Damian")</f>
        <v>Damian</v>
      </c>
      <c r="V130" s="240">
        <f>IFERROR(__xludf.DUMMYFUNCTION("IFERROR(
  FILTER('CBK Students'!M:M, TRIM('CBK Students'!B:B) = TRIM(A130)),
  """"
)"),14.0)</f>
        <v>14</v>
      </c>
      <c r="W130" s="240" t="str">
        <f t="shared" si="1"/>
        <v>Learning</v>
      </c>
      <c r="X130" s="240" t="str">
        <f>IFERROR(__xludf.DUMMYFUNCTION("IFERROR(
  FILTER('CBK Students'!R:R, TRIM('CBK Students'!B:B) = TRIM(A130)),
  """"
)"),"Learning")</f>
        <v>Learning</v>
      </c>
      <c r="Y130" s="4" t="str">
        <f t="shared" si="2"/>
        <v>Stage Delay</v>
      </c>
      <c r="Z130" s="4" t="str">
        <f>IFERROR(__xludf.DUMMYFUNCTION("IFERROR(
  FILTER('CBK Students'!O:O, TRIM('CBK Students'!B:B) = TRIM(A130)),
  """"
)"),"")</f>
        <v/>
      </c>
      <c r="AA130" s="4" t="str">
        <f>IFERROR(__xludf.DUMMYFUNCTION("IFERROR(
  FILTER('CBK Students'!P:P, TRIM('CBK Students'!B:B) = TRIM(A130)),
  """"
)"),"")</f>
        <v/>
      </c>
      <c r="AB130" s="4" t="str">
        <f>IFERROR(__xludf.DUMMYFUNCTION("IFERROR(
  FILTER('CBK Students'!Q:Q, TRIM('CBK Students'!B:B) = TRIM(A130)),
  """"
)"),"")</f>
        <v/>
      </c>
    </row>
    <row r="131" ht="18.75" customHeight="1">
      <c r="T131" s="240" t="str">
        <f>IFERROR(__xludf.DUMMYFUNCTION("IFERROR(
  FILTER('CBK Students'!F:F, TRIM('CBK Students'!B:B) = TRIM(A131)),
  """"
)"),"5 Sat 10:00-11:00am")</f>
        <v>5 Sat 10:00-11:00am</v>
      </c>
      <c r="U131" s="240" t="str">
        <f>IFERROR(__xludf.DUMMYFUNCTION("IFERROR(
  FILTER('CBK Students'!H:H, TRIM('CBK Students'!B:B) = TRIM(A131)),
  """"
)"),"Enouch")</f>
        <v>Enouch</v>
      </c>
      <c r="V131" s="240">
        <f>IFERROR(__xludf.DUMMYFUNCTION("IFERROR(
  FILTER('CBK Students'!M:M, TRIM('CBK Students'!B:B) = TRIM(A131)),
  """"
)"),131.0)</f>
        <v>131</v>
      </c>
      <c r="W131" s="240" t="str">
        <f t="shared" si="1"/>
        <v>Learning</v>
      </c>
      <c r="X131" s="240" t="str">
        <f>IFERROR(__xludf.DUMMYFUNCTION("IFERROR(
  FILTER('CBK Students'!R:R, TRIM('CBK Students'!B:B) = TRIM(A131)),
  """"
)"),"Prepare for Showcase")</f>
        <v>Prepare for Showcase</v>
      </c>
      <c r="Y131" s="4" t="str">
        <f t="shared" si="2"/>
        <v>Showcase Delay</v>
      </c>
      <c r="Z131" s="4" t="str">
        <f>IFERROR(__xludf.DUMMYFUNCTION("IFERROR(
  FILTER('CBK Students'!O:O, TRIM('CBK Students'!B:B) = TRIM(A131)),
  """"
)"),"")</f>
        <v/>
      </c>
      <c r="AA131" s="4" t="str">
        <f>IFERROR(__xludf.DUMMYFUNCTION("IFERROR(
  FILTER('CBK Students'!P:P, TRIM('CBK Students'!B:B) = TRIM(A131)),
  """"
)"),"")</f>
        <v/>
      </c>
      <c r="AB131" s="4" t="str">
        <f>IFERROR(__xludf.DUMMYFUNCTION("IFERROR(
  FILTER('CBK Students'!Q:Q, TRIM('CBK Students'!B:B) = TRIM(A131)),
  """"
)"),"")</f>
        <v/>
      </c>
    </row>
    <row r="132" ht="18.75" customHeight="1">
      <c r="T132" s="240" t="str">
        <f>IFERROR(__xludf.DUMMYFUNCTION("IFERROR(
  FILTER('CBK Students'!F:F, TRIM('CBK Students'!B:B) = TRIM(A132)),
  """"
)"),"5 Sat 10:00-11:00am")</f>
        <v>5 Sat 10:00-11:00am</v>
      </c>
      <c r="U132" s="240" t="str">
        <f>IFERROR(__xludf.DUMMYFUNCTION("IFERROR(
  FILTER('CBK Students'!H:H, TRIM('CBK Students'!B:B) = TRIM(A132)),
  """"
)"),"Enouch")</f>
        <v>Enouch</v>
      </c>
      <c r="V132" s="240">
        <f>IFERROR(__xludf.DUMMYFUNCTION("IFERROR(
  FILTER('CBK Students'!M:M, TRIM('CBK Students'!B:B) = TRIM(A132)),
  """"
)"),131.0)</f>
        <v>131</v>
      </c>
      <c r="W132" s="240" t="str">
        <f t="shared" si="1"/>
        <v>Start with Final Project</v>
      </c>
      <c r="X132" s="240" t="str">
        <f>IFERROR(__xludf.DUMMYFUNCTION("IFERROR(
  FILTER('CBK Students'!R:R, TRIM('CBK Students'!B:B) = TRIM(A132)),
  """"
)"),"Prepare for Showcase")</f>
        <v>Prepare for Showcase</v>
      </c>
      <c r="Y132" s="4" t="str">
        <f t="shared" si="2"/>
        <v>Showcase Delay</v>
      </c>
      <c r="Z132" s="4" t="str">
        <f>IFERROR(__xludf.DUMMYFUNCTION("IFERROR(
  FILTER('CBK Students'!O:O, TRIM('CBK Students'!B:B) = TRIM(A132)),
  """"
)"),"")</f>
        <v/>
      </c>
      <c r="AA132" s="4" t="str">
        <f>IFERROR(__xludf.DUMMYFUNCTION("IFERROR(
  FILTER('CBK Students'!P:P, TRIM('CBK Students'!B:B) = TRIM(A132)),
  """"
)"),"")</f>
        <v/>
      </c>
      <c r="AB132" s="4" t="str">
        <f>IFERROR(__xludf.DUMMYFUNCTION("IFERROR(
  FILTER('CBK Students'!Q:Q, TRIM('CBK Students'!B:B) = TRIM(A132)),
  """"
)"),"")</f>
        <v/>
      </c>
    </row>
    <row r="133" ht="18.75" customHeight="1">
      <c r="T133" s="240" t="str">
        <f>IFERROR(__xludf.DUMMYFUNCTION("IFERROR(
  FILTER('CBK Students'!F:F, TRIM('CBK Students'!B:B) = TRIM(A133)),
  """"
)"),"6 Sat 11:00-12:00pm")</f>
        <v>6 Sat 11:00-12:00pm</v>
      </c>
      <c r="U133" s="240" t="str">
        <f>IFERROR(__xludf.DUMMYFUNCTION("IFERROR(
  FILTER('CBK Students'!H:H, TRIM('CBK Students'!B:B) = TRIM(A133)),
  """"
)"),"Kerry")</f>
        <v>Kerry</v>
      </c>
      <c r="V133" s="240">
        <f>IFERROR(__xludf.DUMMYFUNCTION("IFERROR(
  FILTER('CBK Students'!M:M, TRIM('CBK Students'!B:B) = TRIM(A133)),
  """"
)"),50.0)</f>
        <v>50</v>
      </c>
      <c r="W133" s="240" t="str">
        <f t="shared" si="1"/>
        <v>Start with Final Project</v>
      </c>
      <c r="X133" s="240" t="str">
        <f>IFERROR(__xludf.DUMMYFUNCTION("IFERROR(
  FILTER('CBK Students'!R:R, TRIM('CBK Students'!B:B) = TRIM(A133)),
  """"
)"),"Prepare for Showcase")</f>
        <v>Prepare for Showcase</v>
      </c>
      <c r="Y133" s="4" t="str">
        <f t="shared" si="2"/>
        <v>Showcase Delay</v>
      </c>
      <c r="Z133" s="4" t="str">
        <f>IFERROR(__xludf.DUMMYFUNCTION("IFERROR(
  FILTER('CBK Students'!O:O, TRIM('CBK Students'!B:B) = TRIM(A133)),
  """"
)"),"")</f>
        <v/>
      </c>
      <c r="AA133" s="4" t="str">
        <f>IFERROR(__xludf.DUMMYFUNCTION("IFERROR(
  FILTER('CBK Students'!P:P, TRIM('CBK Students'!B:B) = TRIM(A133)),
  """"
)"),"")</f>
        <v/>
      </c>
      <c r="AB133" s="4" t="str">
        <f>IFERROR(__xludf.DUMMYFUNCTION("IFERROR(
  FILTER('CBK Students'!Q:Q, TRIM('CBK Students'!B:B) = TRIM(A133)),
  """"
)"),"")</f>
        <v/>
      </c>
    </row>
    <row r="134" ht="18.75" customHeight="1">
      <c r="T134" s="240" t="str">
        <f>IFERROR(__xludf.DUMMYFUNCTION("IFERROR(
  FILTER('CBK Students'!F:F, TRIM('CBK Students'!B:B) = TRIM(A134)),
  """"
)"),"PTK 9:00-10:00am")</f>
        <v>PTK 9:00-10:00am</v>
      </c>
      <c r="U134" s="240" t="str">
        <f>IFERROR(__xludf.DUMMYFUNCTION("IFERROR(
  FILTER('CBK Students'!H:H, TRIM('CBK Students'!B:B) = TRIM(A134)),
  """"
)"),"Chuan")</f>
        <v>Chuan</v>
      </c>
      <c r="V134" s="240">
        <f>IFERROR(__xludf.DUMMYFUNCTION("IFERROR(
  FILTER('CBK Students'!M:M, TRIM('CBK Students'!B:B) = TRIM(A134)),
  """"
)"),6.0)</f>
        <v>6</v>
      </c>
      <c r="W134" s="240" t="str">
        <f t="shared" si="1"/>
        <v/>
      </c>
      <c r="X134" s="240" t="str">
        <f>IFERROR(__xludf.DUMMYFUNCTION("IFERROR(
  FILTER('CBK Students'!R:R, TRIM('CBK Students'!B:B) = TRIM(A134)),
  """"
)"),"Learning")</f>
        <v>Learning</v>
      </c>
      <c r="Y134" s="4" t="str">
        <f t="shared" si="2"/>
        <v/>
      </c>
      <c r="Z134" s="4" t="str">
        <f>IFERROR(__xludf.DUMMYFUNCTION("IFERROR(
  FILTER('CBK Students'!O:O, TRIM('CBK Students'!B:B) = TRIM(A134)),
  """"
)"),"")</f>
        <v/>
      </c>
      <c r="AA134" s="4" t="str">
        <f>IFERROR(__xludf.DUMMYFUNCTION("IFERROR(
  FILTER('CBK Students'!P:P, TRIM('CBK Students'!B:B) = TRIM(A134)),
  """"
)"),"")</f>
        <v/>
      </c>
      <c r="AB134" s="4" t="str">
        <f>IFERROR(__xludf.DUMMYFUNCTION("IFERROR(
  FILTER('CBK Students'!Q:Q, TRIM('CBK Students'!B:B) = TRIM(A134)),
  """"
)"),"")</f>
        <v/>
      </c>
    </row>
    <row r="135" ht="18.75" customHeight="1">
      <c r="T135" s="240" t="str">
        <f>IFERROR(__xludf.DUMMYFUNCTION("IFERROR(
  FILTER('CBK Students'!F:F, TRIM('CBK Students'!B:B) = TRIM(A135)),
  """"
)"),"1 Mon 7:30-8:30pm")</f>
        <v>1 Mon 7:30-8:30pm</v>
      </c>
      <c r="U135" s="240" t="str">
        <f>IFERROR(__xludf.DUMMYFUNCTION("IFERROR(
  FILTER('CBK Students'!H:H, TRIM('CBK Students'!B:B) = TRIM(A135)),
  """"
)"),"Evelyn")</f>
        <v>Evelyn</v>
      </c>
      <c r="V135" s="240">
        <f>IFERROR(__xludf.DUMMYFUNCTION("IFERROR(
  FILTER('CBK Students'!M:M, TRIM('CBK Students'!B:B) = TRIM(A135)),
  """"
)"),10.0)</f>
        <v>10</v>
      </c>
      <c r="W135" s="240" t="str">
        <f t="shared" si="1"/>
        <v/>
      </c>
      <c r="X135" s="240" t="str">
        <f>IFERROR(__xludf.DUMMYFUNCTION("IFERROR(
  FILTER('CBK Students'!R:R, TRIM('CBK Students'!B:B) = TRIM(A135)),
  """"
)"),"Learning")</f>
        <v>Learning</v>
      </c>
      <c r="Y135" s="4" t="str">
        <f t="shared" si="2"/>
        <v/>
      </c>
      <c r="Z135" s="4" t="str">
        <f>IFERROR(__xludf.DUMMYFUNCTION("IFERROR(
  FILTER('CBK Students'!O:O, TRIM('CBK Students'!B:B) = TRIM(A135)),
  """"
)"),"")</f>
        <v/>
      </c>
      <c r="AA135" s="4" t="str">
        <f>IFERROR(__xludf.DUMMYFUNCTION("IFERROR(
  FILTER('CBK Students'!P:P, TRIM('CBK Students'!B:B) = TRIM(A135)),
  """"
)"),"")</f>
        <v/>
      </c>
      <c r="AB135" s="4" t="str">
        <f>IFERROR(__xludf.DUMMYFUNCTION("IFERROR(
  FILTER('CBK Students'!Q:Q, TRIM('CBK Students'!B:B) = TRIM(A135)),
  """"
)"),"")</f>
        <v/>
      </c>
    </row>
    <row r="136" ht="18.75" customHeight="1">
      <c r="T136" s="240" t="str">
        <f>IFERROR(__xludf.DUMMYFUNCTION("IFERROR(
  FILTER('CBK Students'!F:F, TRIM('CBK Students'!B:B) = TRIM(A136)),
  """"
)"),"2 Wed 7:30-8:30pm")</f>
        <v>2 Wed 7:30-8:30pm</v>
      </c>
      <c r="U136" s="240" t="str">
        <f>IFERROR(__xludf.DUMMYFUNCTION("IFERROR(
  FILTER('CBK Students'!H:H, TRIM('CBK Students'!B:B) = TRIM(A136)),
  """"
)"),"Damian")</f>
        <v>Damian</v>
      </c>
      <c r="V136" s="240">
        <f>IFERROR(__xludf.DUMMYFUNCTION("IFERROR(
  FILTER('CBK Students'!M:M, TRIM('CBK Students'!B:B) = TRIM(A136)),
  """"
)"),83.0)</f>
        <v>83</v>
      </c>
      <c r="W136" s="240" t="str">
        <f t="shared" si="1"/>
        <v>Start with Final Project</v>
      </c>
      <c r="X136" s="240" t="str">
        <f>IFERROR(__xludf.DUMMYFUNCTION("IFERROR(
  FILTER('CBK Students'!R:R, TRIM('CBK Students'!B:B) = TRIM(A136)),
  """"
)"),"Prepare for Showcase")</f>
        <v>Prepare for Showcase</v>
      </c>
      <c r="Y136" s="4" t="str">
        <f t="shared" si="2"/>
        <v>Showcase Delay</v>
      </c>
      <c r="Z136" s="4" t="str">
        <f>IFERROR(__xludf.DUMMYFUNCTION("IFERROR(
  FILTER('CBK Students'!O:O, TRIM('CBK Students'!B:B) = TRIM(A136)),
  """"
)"),"")</f>
        <v/>
      </c>
      <c r="AA136" s="4" t="str">
        <f>IFERROR(__xludf.DUMMYFUNCTION("IFERROR(
  FILTER('CBK Students'!P:P, TRIM('CBK Students'!B:B) = TRIM(A136)),
  """"
)"),"")</f>
        <v/>
      </c>
      <c r="AB136" s="4" t="str">
        <f>IFERROR(__xludf.DUMMYFUNCTION("IFERROR(
  FILTER('CBK Students'!Q:Q, TRIM('CBK Students'!B:B) = TRIM(A136)),
  """"
)"),"")</f>
        <v/>
      </c>
    </row>
    <row r="137" ht="18.75" customHeight="1">
      <c r="T137" s="240" t="str">
        <f>IFERROR(__xludf.DUMMYFUNCTION("IFERROR(
  FILTER('CBK Students'!F:F, TRIM('CBK Students'!B:B) = TRIM(A137)),
  """"
)"),"5 Sat 10:00-11:00am")</f>
        <v>5 Sat 10:00-11:00am</v>
      </c>
      <c r="U137" s="240" t="str">
        <f>IFERROR(__xludf.DUMMYFUNCTION("IFERROR(
  FILTER('CBK Students'!H:H, TRIM('CBK Students'!B:B) = TRIM(A137)),
  """"
)"),"Damian")</f>
        <v>Damian</v>
      </c>
      <c r="V137" s="240">
        <f>IFERROR(__xludf.DUMMYFUNCTION("IFERROR(
  FILTER('CBK Students'!M:M, TRIM('CBK Students'!B:B) = TRIM(A137)),
  """"
)"),54.0)</f>
        <v>54</v>
      </c>
      <c r="W137" s="240" t="str">
        <f t="shared" si="1"/>
        <v>Start with Final Project</v>
      </c>
      <c r="X137" s="240" t="str">
        <f>IFERROR(__xludf.DUMMYFUNCTION("IFERROR(
  FILTER('CBK Students'!R:R, TRIM('CBK Students'!B:B) = TRIM(A137)),
  """"
)"),"Prepare for Showcase")</f>
        <v>Prepare for Showcase</v>
      </c>
      <c r="Y137" s="4" t="str">
        <f t="shared" si="2"/>
        <v>Showcase Delay</v>
      </c>
      <c r="Z137" s="4" t="str">
        <f>IFERROR(__xludf.DUMMYFUNCTION("IFERROR(
  FILTER('CBK Students'!O:O, TRIM('CBK Students'!B:B) = TRIM(A137)),
  """"
)"),"")</f>
        <v/>
      </c>
      <c r="AA137" s="4" t="str">
        <f>IFERROR(__xludf.DUMMYFUNCTION("IFERROR(
  FILTER('CBK Students'!P:P, TRIM('CBK Students'!B:B) = TRIM(A137)),
  """"
)"),"")</f>
        <v/>
      </c>
      <c r="AB137" s="4" t="str">
        <f>IFERROR(__xludf.DUMMYFUNCTION("IFERROR(
  FILTER('CBK Students'!Q:Q, TRIM('CBK Students'!B:B) = TRIM(A137)),
  """"
)"),"")</f>
        <v/>
      </c>
    </row>
    <row r="138" ht="18.75" customHeight="1">
      <c r="T138" s="240" t="str">
        <f>IFERROR(__xludf.DUMMYFUNCTION("IFERROR(
  FILTER('CBK Students'!F:F, TRIM('CBK Students'!B:B) = TRIM(A138)),
  """"
)"),"5 Sat 10:00-11:00am")</f>
        <v>5 Sat 10:00-11:00am</v>
      </c>
      <c r="U138" s="240" t="str">
        <f>IFERROR(__xludf.DUMMYFUNCTION("IFERROR(
  FILTER('CBK Students'!H:H, TRIM('CBK Students'!B:B) = TRIM(A138)),
  """"
)"),"Damian")</f>
        <v>Damian</v>
      </c>
      <c r="V138" s="240">
        <f>IFERROR(__xludf.DUMMYFUNCTION("IFERROR(
  FILTER('CBK Students'!M:M, TRIM('CBK Students'!B:B) = TRIM(A138)),
  """"
)"),38.0)</f>
        <v>38</v>
      </c>
      <c r="W138" s="240" t="str">
        <f t="shared" si="1"/>
        <v>Start with Final Project</v>
      </c>
      <c r="X138" s="240" t="str">
        <f>IFERROR(__xludf.DUMMYFUNCTION("IFERROR(
  FILTER('CBK Students'!R:R, TRIM('CBK Students'!B:B) = TRIM(A138)),
  """"
)"),"Starting Final Project")</f>
        <v>Starting Final Project</v>
      </c>
      <c r="Y138" s="4" t="str">
        <f t="shared" si="2"/>
        <v>On Track</v>
      </c>
      <c r="Z138" s="4" t="str">
        <f>IFERROR(__xludf.DUMMYFUNCTION("IFERROR(
  FILTER('CBK Students'!O:O, TRIM('CBK Students'!B:B) = TRIM(A138)),
  """"
)"),"")</f>
        <v/>
      </c>
      <c r="AA138" s="4" t="str">
        <f>IFERROR(__xludf.DUMMYFUNCTION("IFERROR(
  FILTER('CBK Students'!P:P, TRIM('CBK Students'!B:B) = TRIM(A138)),
  """"
)"),"")</f>
        <v/>
      </c>
      <c r="AB138" s="4" t="str">
        <f>IFERROR(__xludf.DUMMYFUNCTION("IFERROR(
  FILTER('CBK Students'!Q:Q, TRIM('CBK Students'!B:B) = TRIM(A138)),
  """"
)"),"")</f>
        <v/>
      </c>
    </row>
    <row r="139" ht="18.75" customHeight="1">
      <c r="T139" s="240" t="str">
        <f>IFERROR(__xludf.DUMMYFUNCTION("IFERROR(
  FILTER('CBK Students'!F:F, TRIM('CBK Students'!B:B) = TRIM(A139)),
  """"
)"),"PTK 9:00-10:00am")</f>
        <v>PTK 9:00-10:00am</v>
      </c>
      <c r="U139" s="240" t="str">
        <f>IFERROR(__xludf.DUMMYFUNCTION("IFERROR(
  FILTER('CBK Students'!H:H, TRIM('CBK Students'!B:B) = TRIM(A139)),
  """"
)"),"Chuan")</f>
        <v>Chuan</v>
      </c>
      <c r="V139" s="240">
        <f>IFERROR(__xludf.DUMMYFUNCTION("IFERROR(
  FILTER('CBK Students'!M:M, TRIM('CBK Students'!B:B) = TRIM(A139)),
  """"
)"),10.0)</f>
        <v>10</v>
      </c>
      <c r="W139" s="240" t="str">
        <f t="shared" si="1"/>
        <v>Learning</v>
      </c>
      <c r="X139" s="240" t="str">
        <f>IFERROR(__xludf.DUMMYFUNCTION("IFERROR(
  FILTER('CBK Students'!R:R, TRIM('CBK Students'!B:B) = TRIM(A139)),
  """"
)"),"Learning")</f>
        <v>Learning</v>
      </c>
      <c r="Y139" s="4" t="str">
        <f t="shared" si="2"/>
        <v>On Track</v>
      </c>
      <c r="Z139" s="4" t="str">
        <f>IFERROR(__xludf.DUMMYFUNCTION("IFERROR(
  FILTER('CBK Students'!O:O, TRIM('CBK Students'!B:B) = TRIM(A139)),
  """"
)"),"")</f>
        <v/>
      </c>
      <c r="AA139" s="4" t="str">
        <f>IFERROR(__xludf.DUMMYFUNCTION("IFERROR(
  FILTER('CBK Students'!P:P, TRIM('CBK Students'!B:B) = TRIM(A139)),
  """"
)"),"")</f>
        <v/>
      </c>
      <c r="AB139" s="4" t="str">
        <f>IFERROR(__xludf.DUMMYFUNCTION("IFERROR(
  FILTER('CBK Students'!Q:Q, TRIM('CBK Students'!B:B) = TRIM(A139)),
  """"
)"),"")</f>
        <v/>
      </c>
    </row>
    <row r="140" ht="18.75" customHeight="1">
      <c r="T140" s="240" t="str">
        <f>IFERROR(__xludf.DUMMYFUNCTION("IFERROR(
  FILTER('CBK Students'!F:F, TRIM('CBK Students'!B:B) = TRIM(A140)),
  """"
)"),"7 Sat 2:00-3:00pm")</f>
        <v>7 Sat 2:00-3:00pm</v>
      </c>
      <c r="U140" s="240" t="str">
        <f>IFERROR(__xludf.DUMMYFUNCTION("IFERROR(
  FILTER('CBK Students'!H:H, TRIM('CBK Students'!B:B) = TRIM(A140)),
  """"
)"),"Mandy")</f>
        <v>Mandy</v>
      </c>
      <c r="V140" s="240">
        <f>IFERROR(__xludf.DUMMYFUNCTION("IFERROR(
  FILTER('CBK Students'!M:M, TRIM('CBK Students'!B:B) = TRIM(A140)),
  """"
)"),73.0)</f>
        <v>73</v>
      </c>
      <c r="W140" s="240" t="str">
        <f t="shared" si="1"/>
        <v>Start with Final Project</v>
      </c>
      <c r="X140" s="240" t="str">
        <f>IFERROR(__xludf.DUMMYFUNCTION("IFERROR(
  FILTER('CBK Students'!R:R, TRIM('CBK Students'!B:B) = TRIM(A140)),
  """"
)"),"Prepare for Showcase")</f>
        <v>Prepare for Showcase</v>
      </c>
      <c r="Y140" s="4" t="str">
        <f t="shared" si="2"/>
        <v>Showcase Delay</v>
      </c>
      <c r="Z140" s="4" t="str">
        <f>IFERROR(__xludf.DUMMYFUNCTION("IFERROR(
  FILTER('CBK Students'!O:O, TRIM('CBK Students'!B:B) = TRIM(A140)),
  """"
)"),"25/11/2025 - Speak softly")</f>
        <v>25/11/2025 - Speak softly</v>
      </c>
      <c r="AA140" s="4" t="str">
        <f>IFERROR(__xludf.DUMMYFUNCTION("IFERROR(
  FILTER('CBK Students'!P:P, TRIM('CBK Students'!B:B) = TRIM(A140)),
  """"
)"),"25/11/2025 - Speak softly")</f>
        <v>25/11/2025 - Speak softly</v>
      </c>
      <c r="AB140" s="4" t="str">
        <f>IFERROR(__xludf.DUMMYFUNCTION("IFERROR(
  FILTER('CBK Students'!Q:Q, TRIM('CBK Students'!B:B) = TRIM(A140)),
  """"
)"),"Yes")</f>
        <v>Yes</v>
      </c>
    </row>
    <row r="141" ht="18.75" customHeight="1">
      <c r="T141" s="240" t="str">
        <f>IFERROR(__xludf.DUMMYFUNCTION("IFERROR(
  FILTER('CBK Students'!F:F, TRIM('CBK Students'!B:B) = TRIM(A141)),
  """"
)"),"SL 1:00-2:00pm")</f>
        <v>SL 1:00-2:00pm</v>
      </c>
      <c r="U141" s="240" t="str">
        <f>IFERROR(__xludf.DUMMYFUNCTION("IFERROR(
  FILTER('CBK Students'!H:H, TRIM('CBK Students'!B:B) = TRIM(A141)),
  """"
)"),"Chuan")</f>
        <v>Chuan</v>
      </c>
      <c r="V141" s="240">
        <f>IFERROR(__xludf.DUMMYFUNCTION("IFERROR(
  FILTER('CBK Students'!M:M, TRIM('CBK Students'!B:B) = TRIM(A141)),
  """"
)"),6.0)</f>
        <v>6</v>
      </c>
      <c r="W141" s="240" t="str">
        <f t="shared" si="1"/>
        <v/>
      </c>
      <c r="X141" s="240" t="str">
        <f>IFERROR(__xludf.DUMMYFUNCTION("IFERROR(
  FILTER('CBK Students'!R:R, TRIM('CBK Students'!B:B) = TRIM(A141)),
  """"
)"),"Learning")</f>
        <v>Learning</v>
      </c>
      <c r="Y141" s="4" t="str">
        <f t="shared" si="2"/>
        <v/>
      </c>
      <c r="Z141" s="4" t="str">
        <f>IFERROR(__xludf.DUMMYFUNCTION("IFERROR(
  FILTER('CBK Students'!O:O, TRIM('CBK Students'!B:B) = TRIM(A141)),
  """"
)"),"")</f>
        <v/>
      </c>
      <c r="AA141" s="4" t="str">
        <f>IFERROR(__xludf.DUMMYFUNCTION("IFERROR(
  FILTER('CBK Students'!P:P, TRIM('CBK Students'!B:B) = TRIM(A141)),
  """"
)"),"")</f>
        <v/>
      </c>
      <c r="AB141" s="4" t="str">
        <f>IFERROR(__xludf.DUMMYFUNCTION("IFERROR(
  FILTER('CBK Students'!Q:Q, TRIM('CBK Students'!B:B) = TRIM(A141)),
  """"
)"),"")</f>
        <v/>
      </c>
    </row>
    <row r="142" ht="18.75" customHeight="1">
      <c r="T142" s="240" t="str">
        <f>IFERROR(__xludf.DUMMYFUNCTION("IFERROR(
  FILTER('CBK Students'!F:F, TRIM('CBK Students'!B:B) = TRIM(A142)),
  """"
)"),"CS 1:20-3:30pm")</f>
        <v>CS 1:20-3:30pm</v>
      </c>
      <c r="U142" s="240" t="str">
        <f>IFERROR(__xludf.DUMMYFUNCTION("IFERROR(
  FILTER('CBK Students'!H:H, TRIM('CBK Students'!B:B) = TRIM(A142)),
  """"
)"),"Kerry")</f>
        <v>Kerry</v>
      </c>
      <c r="V142" s="240">
        <f>IFERROR(__xludf.DUMMYFUNCTION("IFERROR(
  FILTER('CBK Students'!M:M, TRIM('CBK Students'!B:B) = TRIM(A142)),
  """"
)"),10.0)</f>
        <v>10</v>
      </c>
      <c r="W142" s="240" t="str">
        <f t="shared" si="1"/>
        <v>Learning</v>
      </c>
      <c r="X142" s="240" t="str">
        <f>IFERROR(__xludf.DUMMYFUNCTION("IFERROR(
  FILTER('CBK Students'!R:R, TRIM('CBK Students'!B:B) = TRIM(A142)),
  """"
)"),"Learning")</f>
        <v>Learning</v>
      </c>
      <c r="Y142" s="4" t="str">
        <f t="shared" si="2"/>
        <v>On Track</v>
      </c>
      <c r="Z142" s="4" t="str">
        <f>IFERROR(__xludf.DUMMYFUNCTION("IFERROR(
  FILTER('CBK Students'!O:O, TRIM('CBK Students'!B:B) = TRIM(A142)),
  """"
)"),"")</f>
        <v/>
      </c>
      <c r="AA142" s="4" t="str">
        <f>IFERROR(__xludf.DUMMYFUNCTION("IFERROR(
  FILTER('CBK Students'!P:P, TRIM('CBK Students'!B:B) = TRIM(A142)),
  """"
)"),"")</f>
        <v/>
      </c>
      <c r="AB142" s="4" t="str">
        <f>IFERROR(__xludf.DUMMYFUNCTION("IFERROR(
  FILTER('CBK Students'!Q:Q, TRIM('CBK Students'!B:B) = TRIM(A142)),
  """"
)"),"")</f>
        <v/>
      </c>
    </row>
    <row r="143" ht="18.75" customHeight="1">
      <c r="T143" s="240" t="str">
        <f>IFERROR(__xludf.DUMMYFUNCTION("IFERROR(
  FILTER('CBK Students'!F:F, TRIM('CBK Students'!B:B) = TRIM(A143)),
  """"
)"),"PTK 9:00-10:00am")</f>
        <v>PTK 9:00-10:00am</v>
      </c>
      <c r="U143" s="240" t="str">
        <f>IFERROR(__xludf.DUMMYFUNCTION("IFERROR(
  FILTER('CBK Students'!H:H, TRIM('CBK Students'!B:B) = TRIM(A143)),
  """"
)"),"Chuan")</f>
        <v>Chuan</v>
      </c>
      <c r="V143" s="240">
        <f>IFERROR(__xludf.DUMMYFUNCTION("IFERROR(
  FILTER('CBK Students'!M:M, TRIM('CBK Students'!B:B) = TRIM(A143)),
  """"
)"),10.0)</f>
        <v>10</v>
      </c>
      <c r="W143" s="240" t="str">
        <f t="shared" si="1"/>
        <v>Learning</v>
      </c>
      <c r="X143" s="240" t="str">
        <f>IFERROR(__xludf.DUMMYFUNCTION("IFERROR(
  FILTER('CBK Students'!R:R, TRIM('CBK Students'!B:B) = TRIM(A143)),
  """"
)"),"Learning")</f>
        <v>Learning</v>
      </c>
      <c r="Y143" s="4" t="str">
        <f t="shared" si="2"/>
        <v>On Track</v>
      </c>
      <c r="Z143" s="4" t="str">
        <f>IFERROR(__xludf.DUMMYFUNCTION("IFERROR(
  FILTER('CBK Students'!O:O, TRIM('CBK Students'!B:B) = TRIM(A143)),
  """"
)"),"")</f>
        <v/>
      </c>
      <c r="AA143" s="4" t="str">
        <f>IFERROR(__xludf.DUMMYFUNCTION("IFERROR(
  FILTER('CBK Students'!P:P, TRIM('CBK Students'!B:B) = TRIM(A143)),
  """"
)"),"")</f>
        <v/>
      </c>
      <c r="AB143" s="4" t="str">
        <f>IFERROR(__xludf.DUMMYFUNCTION("IFERROR(
  FILTER('CBK Students'!Q:Q, TRIM('CBK Students'!B:B) = TRIM(A143)),
  """"
)"),"")</f>
        <v/>
      </c>
    </row>
    <row r="144" ht="18.75" customHeight="1">
      <c r="T144" s="240" t="str">
        <f>IFERROR(__xludf.DUMMYFUNCTION("IFERROR(
  FILTER('CBK Students'!F:F, TRIM('CBK Students'!B:B) = TRIM(A144)),
  """"
)"),"CS 1:20-3:30pm")</f>
        <v>CS 1:20-3:30pm</v>
      </c>
      <c r="U144" s="240" t="str">
        <f>IFERROR(__xludf.DUMMYFUNCTION("IFERROR(
  FILTER('CBK Students'!H:H, TRIM('CBK Students'!B:B) = TRIM(A144)),
  """"
)"),"Kerry")</f>
        <v>Kerry</v>
      </c>
      <c r="V144" s="240">
        <f>IFERROR(__xludf.DUMMYFUNCTION("IFERROR(
  FILTER('CBK Students'!M:M, TRIM('CBK Students'!B:B) = TRIM(A144)),
  """"
)"),10.0)</f>
        <v>10</v>
      </c>
      <c r="W144" s="240" t="str">
        <f t="shared" si="1"/>
        <v>Learning</v>
      </c>
      <c r="X144" s="240" t="str">
        <f>IFERROR(__xludf.DUMMYFUNCTION("IFERROR(
  FILTER('CBK Students'!R:R, TRIM('CBK Students'!B:B) = TRIM(A144)),
  """"
)"),"Learning")</f>
        <v>Learning</v>
      </c>
      <c r="Y144" s="4" t="str">
        <f t="shared" si="2"/>
        <v>On Track</v>
      </c>
      <c r="Z144" s="4" t="str">
        <f>IFERROR(__xludf.DUMMYFUNCTION("IFERROR(
  FILTER('CBK Students'!O:O, TRIM('CBK Students'!B:B) = TRIM(A144)),
  """"
)"),"")</f>
        <v/>
      </c>
      <c r="AA144" s="4" t="str">
        <f>IFERROR(__xludf.DUMMYFUNCTION("IFERROR(
  FILTER('CBK Students'!P:P, TRIM('CBK Students'!B:B) = TRIM(A144)),
  """"
)"),"")</f>
        <v/>
      </c>
      <c r="AB144" s="4" t="str">
        <f>IFERROR(__xludf.DUMMYFUNCTION("IFERROR(
  FILTER('CBK Students'!Q:Q, TRIM('CBK Students'!B:B) = TRIM(A144)),
  """"
)"),"")</f>
        <v/>
      </c>
    </row>
    <row r="145" ht="18.75" customHeight="1">
      <c r="T145" s="240" t="str">
        <f>IFERROR(__xludf.DUMMYFUNCTION("IFERROR(
  FILTER('CBK Students'!F:F, TRIM('CBK Students'!B:B) = TRIM(A145)),
  """"
)"),"SL 1:00-2:00pm")</f>
        <v>SL 1:00-2:00pm</v>
      </c>
      <c r="U145" s="240" t="str">
        <f>IFERROR(__xludf.DUMMYFUNCTION("IFERROR(
  FILTER('CBK Students'!H:H, TRIM('CBK Students'!B:B) = TRIM(A145)),
  """"
)"),"Chuan")</f>
        <v>Chuan</v>
      </c>
      <c r="V145" s="240">
        <f>IFERROR(__xludf.DUMMYFUNCTION("IFERROR(
  FILTER('CBK Students'!M:M, TRIM('CBK Students'!B:B) = TRIM(A145)),
  """"
)"),6.0)</f>
        <v>6</v>
      </c>
      <c r="W145" s="240" t="str">
        <f t="shared" si="1"/>
        <v/>
      </c>
      <c r="X145" s="240" t="str">
        <f>IFERROR(__xludf.DUMMYFUNCTION("IFERROR(
  FILTER('CBK Students'!R:R, TRIM('CBK Students'!B:B) = TRIM(A145)),
  """"
)"),"Learning")</f>
        <v>Learning</v>
      </c>
      <c r="Y145" s="4" t="str">
        <f t="shared" si="2"/>
        <v/>
      </c>
      <c r="Z145" s="4" t="str">
        <f>IFERROR(__xludf.DUMMYFUNCTION("IFERROR(
  FILTER('CBK Students'!O:O, TRIM('CBK Students'!B:B) = TRIM(A145)),
  """"
)"),"")</f>
        <v/>
      </c>
      <c r="AA145" s="4" t="str">
        <f>IFERROR(__xludf.DUMMYFUNCTION("IFERROR(
  FILTER('CBK Students'!P:P, TRIM('CBK Students'!B:B) = TRIM(A145)),
  """"
)"),"")</f>
        <v/>
      </c>
      <c r="AB145" s="4" t="str">
        <f>IFERROR(__xludf.DUMMYFUNCTION("IFERROR(
  FILTER('CBK Students'!Q:Q, TRIM('CBK Students'!B:B) = TRIM(A145)),
  """"
)"),"")</f>
        <v/>
      </c>
    </row>
    <row r="146" ht="18.75" customHeight="1">
      <c r="T146" s="240" t="str">
        <f>IFERROR(__xludf.DUMMYFUNCTION("IFERROR(
  FILTER('CBK Students'!F:F, TRIM('CBK Students'!B:B) = TRIM(A146)),
  """"
)"),"TH 12:45-1:45pm")</f>
        <v>TH 12:45-1:45pm</v>
      </c>
      <c r="U146" s="240" t="str">
        <f>IFERROR(__xludf.DUMMYFUNCTION("IFERROR(
  FILTER('CBK Students'!H:H, TRIM('CBK Students'!B:B) = TRIM(A146)),
  """"
)"),"Mandy")</f>
        <v>Mandy</v>
      </c>
      <c r="V146" s="240">
        <f>IFERROR(__xludf.DUMMYFUNCTION("IFERROR(
  FILTER('CBK Students'!M:M, TRIM('CBK Students'!B:B) = TRIM(A146)),
  """"
)"),24.0)</f>
        <v>24</v>
      </c>
      <c r="W146" s="240" t="str">
        <f t="shared" si="1"/>
        <v>Learning</v>
      </c>
      <c r="X146" s="240" t="str">
        <f>IFERROR(__xludf.DUMMYFUNCTION("IFERROR(
  FILTER('CBK Students'!R:R, TRIM('CBK Students'!B:B) = TRIM(A146)),
  """"
)"),"Learning")</f>
        <v>Learning</v>
      </c>
      <c r="Y146" s="4" t="str">
        <f t="shared" si="2"/>
        <v>Stage Delay</v>
      </c>
      <c r="Z146" s="4" t="str">
        <f>IFERROR(__xludf.DUMMYFUNCTION("IFERROR(
  FILTER('CBK Students'!O:O, TRIM('CBK Students'!B:B) = TRIM(A146)),
  """"
)"),"")</f>
        <v/>
      </c>
      <c r="AA146" s="4" t="str">
        <f>IFERROR(__xludf.DUMMYFUNCTION("IFERROR(
  FILTER('CBK Students'!P:P, TRIM('CBK Students'!B:B) = TRIM(A146)),
  """"
)"),"")</f>
        <v/>
      </c>
      <c r="AB146" s="4" t="str">
        <f>IFERROR(__xludf.DUMMYFUNCTION("IFERROR(
  FILTER('CBK Students'!Q:Q, TRIM('CBK Students'!B:B) = TRIM(A146)),
  """"
)"),"")</f>
        <v/>
      </c>
    </row>
    <row r="147" ht="18.75" customHeight="1">
      <c r="T147" s="240" t="str">
        <f>IFERROR(__xludf.DUMMYFUNCTION("IFERROR(
  FILTER('CBK Students'!F:F, TRIM('CBK Students'!B:B) = TRIM(A147)),
  """"
)"),"1 Mon 7:30-8:30pm")</f>
        <v>1 Mon 7:30-8:30pm</v>
      </c>
      <c r="U147" s="240" t="str">
        <f>IFERROR(__xludf.DUMMYFUNCTION("IFERROR(
  FILTER('CBK Students'!H:H, TRIM('CBK Students'!B:B) = TRIM(A147)),
  """"
)"),"Enouch")</f>
        <v>Enouch</v>
      </c>
      <c r="V147" s="240">
        <f>IFERROR(__xludf.DUMMYFUNCTION("IFERROR(
  FILTER('CBK Students'!M:M, TRIM('CBK Students'!B:B) = TRIM(A147)),
  """"
)"),84.0)</f>
        <v>84</v>
      </c>
      <c r="W147" s="240" t="str">
        <f t="shared" si="1"/>
        <v>Start with Final Project</v>
      </c>
      <c r="X147" s="240" t="str">
        <f>IFERROR(__xludf.DUMMYFUNCTION("IFERROR(
  FILTER('CBK Students'!R:R, TRIM('CBK Students'!B:B) = TRIM(A147)),
  """"
)"),"Prepare for Showcase")</f>
        <v>Prepare for Showcase</v>
      </c>
      <c r="Y147" s="4" t="str">
        <f t="shared" si="2"/>
        <v>Showcase Delay</v>
      </c>
      <c r="Z147" s="4" t="str">
        <f>IFERROR(__xludf.DUMMYFUNCTION("IFERROR(
  FILTER('CBK Students'!O:O, TRIM('CBK Students'!B:B) = TRIM(A147)),
  """"
)"),"")</f>
        <v/>
      </c>
      <c r="AA147" s="4" t="str">
        <f>IFERROR(__xludf.DUMMYFUNCTION("IFERROR(
  FILTER('CBK Students'!P:P, TRIM('CBK Students'!B:B) = TRIM(A147)),
  """"
)"),"")</f>
        <v/>
      </c>
      <c r="AB147" s="4" t="str">
        <f>IFERROR(__xludf.DUMMYFUNCTION("IFERROR(
  FILTER('CBK Students'!Q:Q, TRIM('CBK Students'!B:B) = TRIM(A147)),
  """"
)"),"")</f>
        <v/>
      </c>
    </row>
    <row r="148" ht="18.75" customHeight="1">
      <c r="T148" s="240" t="str">
        <f>IFERROR(__xludf.DUMMYFUNCTION("IFERROR(
  FILTER('CBK Students'!F:F, TRIM('CBK Students'!B:B) = TRIM(A148)),
  """"
)"),"TK Fri 11:30-12:30pm")</f>
        <v>TK Fri 11:30-12:30pm</v>
      </c>
      <c r="U148" s="240" t="str">
        <f>IFERROR(__xludf.DUMMYFUNCTION("IFERROR(
  FILTER('CBK Students'!H:H, TRIM('CBK Students'!B:B) = TRIM(A148)),
  """"
)"),"Caleb")</f>
        <v>Caleb</v>
      </c>
      <c r="V148" s="240">
        <f>IFERROR(__xludf.DUMMYFUNCTION("IFERROR(
  FILTER('CBK Students'!M:M, TRIM('CBK Students'!B:B) = TRIM(A148)),
  """"
)"),10.0)</f>
        <v>10</v>
      </c>
      <c r="W148" s="240" t="str">
        <f t="shared" si="1"/>
        <v/>
      </c>
      <c r="X148" s="240" t="str">
        <f>IFERROR(__xludf.DUMMYFUNCTION("IFERROR(
  FILTER('CBK Students'!R:R, TRIM('CBK Students'!B:B) = TRIM(A148)),
  """"
)"),"Learning")</f>
        <v>Learning</v>
      </c>
      <c r="Y148" s="4" t="str">
        <f t="shared" si="2"/>
        <v/>
      </c>
      <c r="Z148" s="4" t="str">
        <f>IFERROR(__xludf.DUMMYFUNCTION("IFERROR(
  FILTER('CBK Students'!O:O, TRIM('CBK Students'!B:B) = TRIM(A148)),
  """"
)"),"")</f>
        <v/>
      </c>
      <c r="AA148" s="4" t="str">
        <f>IFERROR(__xludf.DUMMYFUNCTION("IFERROR(
  FILTER('CBK Students'!P:P, TRIM('CBK Students'!B:B) = TRIM(A148)),
  """"
)"),"")</f>
        <v/>
      </c>
      <c r="AB148" s="4" t="str">
        <f>IFERROR(__xludf.DUMMYFUNCTION("IFERROR(
  FILTER('CBK Students'!Q:Q, TRIM('CBK Students'!B:B) = TRIM(A148)),
  """"
)"),"")</f>
        <v/>
      </c>
    </row>
    <row r="149" ht="18.75" customHeight="1">
      <c r="T149" s="240" t="str">
        <f>IFERROR(__xludf.DUMMYFUNCTION("IFERROR(
  FILTER('CBK Students'!F:F, TRIM('CBK Students'!B:B) = TRIM(A149)),
  """"
)"),"7 Sat 2:00-3:00pm")</f>
        <v>7 Sat 2:00-3:00pm</v>
      </c>
      <c r="U149" s="240" t="str">
        <f>IFERROR(__xludf.DUMMYFUNCTION("IFERROR(
  FILTER('CBK Students'!H:H, TRIM('CBK Students'!B:B) = TRIM(A149)),
  """"
)"),"Enouch")</f>
        <v>Enouch</v>
      </c>
      <c r="V149" s="240">
        <f>IFERROR(__xludf.DUMMYFUNCTION("IFERROR(
  FILTER('CBK Students'!M:M, TRIM('CBK Students'!B:B) = TRIM(A149)),
  """"
)"),74.0)</f>
        <v>74</v>
      </c>
      <c r="W149" s="240" t="str">
        <f t="shared" si="1"/>
        <v>Learning</v>
      </c>
      <c r="X149" s="240" t="str">
        <f>IFERROR(__xludf.DUMMYFUNCTION("IFERROR(
  FILTER('CBK Students'!R:R, TRIM('CBK Students'!B:B) = TRIM(A149)),
  """"
)"),"Prepare for Showcase")</f>
        <v>Prepare for Showcase</v>
      </c>
      <c r="Y149" s="4" t="str">
        <f t="shared" si="2"/>
        <v>Showcase Delay</v>
      </c>
      <c r="Z149" s="4" t="str">
        <f>IFERROR(__xludf.DUMMYFUNCTION("IFERROR(
  FILTER('CBK Students'!O:O, TRIM('CBK Students'!B:B) = TRIM(A149)),
  """"
)"),"")</f>
        <v/>
      </c>
      <c r="AA149" s="4" t="str">
        <f>IFERROR(__xludf.DUMMYFUNCTION("IFERROR(
  FILTER('CBK Students'!P:P, TRIM('CBK Students'!B:B) = TRIM(A149)),
  """"
)"),"")</f>
        <v/>
      </c>
      <c r="AB149" s="4" t="str">
        <f>IFERROR(__xludf.DUMMYFUNCTION("IFERROR(
  FILTER('CBK Students'!Q:Q, TRIM('CBK Students'!B:B) = TRIM(A149)),
  """"
)"),"")</f>
        <v/>
      </c>
    </row>
    <row r="150" ht="18.75" customHeight="1">
      <c r="T150" s="240" t="str">
        <f>IFERROR(__xludf.DUMMYFUNCTION("IFERROR(
  FILTER('CBK Students'!F:F, TRIM('CBK Students'!B:B) = TRIM(A150)),
  """"
)"),"1 Mon 7:30-8:30pm")</f>
        <v>1 Mon 7:30-8:30pm</v>
      </c>
      <c r="U150" s="240" t="str">
        <f>IFERROR(__xludf.DUMMYFUNCTION("IFERROR(
  FILTER('CBK Students'!H:H, TRIM('CBK Students'!B:B) = TRIM(A150)),
  """"
)"),"Mandy")</f>
        <v>Mandy</v>
      </c>
      <c r="V150" s="240">
        <f>IFERROR(__xludf.DUMMYFUNCTION("IFERROR(
  FILTER('CBK Students'!M:M, TRIM('CBK Students'!B:B) = TRIM(A150)),
  """"
)"),14.0)</f>
        <v>14</v>
      </c>
      <c r="W150" s="240" t="str">
        <f t="shared" si="1"/>
        <v>Learning</v>
      </c>
      <c r="X150" s="240" t="str">
        <f>IFERROR(__xludf.DUMMYFUNCTION("IFERROR(
  FILTER('CBK Students'!R:R, TRIM('CBK Students'!B:B) = TRIM(A150)),
  """"
)"),"Learning")</f>
        <v>Learning</v>
      </c>
      <c r="Y150" s="4" t="str">
        <f t="shared" si="2"/>
        <v>On Track</v>
      </c>
      <c r="Z150" s="4" t="str">
        <f>IFERROR(__xludf.DUMMYFUNCTION("IFERROR(
  FILTER('CBK Students'!O:O, TRIM('CBK Students'!B:B) = TRIM(A150)),
  """"
)"),"")</f>
        <v/>
      </c>
      <c r="AA150" s="4" t="str">
        <f>IFERROR(__xludf.DUMMYFUNCTION("IFERROR(
  FILTER('CBK Students'!P:P, TRIM('CBK Students'!B:B) = TRIM(A150)),
  """"
)"),"")</f>
        <v/>
      </c>
      <c r="AB150" s="4" t="str">
        <f>IFERROR(__xludf.DUMMYFUNCTION("IFERROR(
  FILTER('CBK Students'!Q:Q, TRIM('CBK Students'!B:B) = TRIM(A150)),
  """"
)"),"")</f>
        <v/>
      </c>
    </row>
    <row r="151" ht="18.75" customHeight="1">
      <c r="T151" s="240" t="str">
        <f>IFERROR(__xludf.DUMMYFUNCTION("IFERROR(
  FILTER('CBK Students'!F:F, TRIM('CBK Students'!B:B) = TRIM(A151)),
  """"
)"),"CH 12:00-1:00pm")</f>
        <v>CH 12:00-1:00pm</v>
      </c>
      <c r="U151" s="240" t="str">
        <f>IFERROR(__xludf.DUMMYFUNCTION("IFERROR(
  FILTER('CBK Students'!H:H, TRIM('CBK Students'!B:B) = TRIM(A151)),
  """"
)"),"Mandy")</f>
        <v>Mandy</v>
      </c>
      <c r="V151" s="240">
        <f>IFERROR(__xludf.DUMMYFUNCTION("IFERROR(
  FILTER('CBK Students'!M:M, TRIM('CBK Students'!B:B) = TRIM(A151)),
  """"
)"),19.0)</f>
        <v>19</v>
      </c>
      <c r="W151" s="240" t="str">
        <f t="shared" si="1"/>
        <v/>
      </c>
      <c r="X151" s="240" t="str">
        <f>IFERROR(__xludf.DUMMYFUNCTION("IFERROR(
  FILTER('CBK Students'!R:R, TRIM('CBK Students'!B:B) = TRIM(A151)),
  """"
)"),"Learning")</f>
        <v>Learning</v>
      </c>
      <c r="Y151" s="4" t="str">
        <f t="shared" si="2"/>
        <v/>
      </c>
      <c r="Z151" s="4" t="str">
        <f>IFERROR(__xludf.DUMMYFUNCTION("IFERROR(
  FILTER('CBK Students'!O:O, TRIM('CBK Students'!B:B) = TRIM(A151)),
  """"
)"),"")</f>
        <v/>
      </c>
      <c r="AA151" s="4" t="str">
        <f>IFERROR(__xludf.DUMMYFUNCTION("IFERROR(
  FILTER('CBK Students'!P:P, TRIM('CBK Students'!B:B) = TRIM(A151)),
  """"
)"),"")</f>
        <v/>
      </c>
      <c r="AB151" s="4" t="str">
        <f>IFERROR(__xludf.DUMMYFUNCTION("IFERROR(
  FILTER('CBK Students'!Q:Q, TRIM('CBK Students'!B:B) = TRIM(A151)),
  """"
)"),"")</f>
        <v/>
      </c>
    </row>
    <row r="152" ht="18.75" customHeight="1">
      <c r="T152" s="240" t="str">
        <f>IFERROR(__xludf.DUMMYFUNCTION("IFERROR(
  FILTER('CBK Students'!F:F, TRIM('CBK Students'!B:B) = TRIM(A152)),
  """"
)"),"5 Sat 11.00-12.00pm")</f>
        <v>5 Sat 11.00-12.00pm</v>
      </c>
      <c r="U152" s="240" t="str">
        <f>IFERROR(__xludf.DUMMYFUNCTION("IFERROR(
  FILTER('CBK Students'!H:H, TRIM('CBK Students'!B:B) = TRIM(A152)),
  """"
)"),"Lam")</f>
        <v>Lam</v>
      </c>
      <c r="V152" s="240">
        <f>IFERROR(__xludf.DUMMYFUNCTION("IFERROR(
  FILTER('CBK Students'!M:M, TRIM('CBK Students'!B:B) = TRIM(A152)),
  """"
)"),74.0)</f>
        <v>74</v>
      </c>
      <c r="W152" s="240" t="str">
        <f t="shared" si="1"/>
        <v>Learning</v>
      </c>
      <c r="X152" s="240" t="str">
        <f>IFERROR(__xludf.DUMMYFUNCTION("IFERROR(
  FILTER('CBK Students'!R:R, TRIM('CBK Students'!B:B) = TRIM(A152)),
  """"
)"),"Prepare for Showcase")</f>
        <v>Prepare for Showcase</v>
      </c>
      <c r="Y152" s="4" t="str">
        <f t="shared" si="2"/>
        <v>Showcase Delay</v>
      </c>
      <c r="Z152" s="4" t="str">
        <f>IFERROR(__xludf.DUMMYFUNCTION("IFERROR(
  FILTER('CBK Students'!O:O, TRIM('CBK Students'!B:B) = TRIM(A152)),
  """"
)"),"")</f>
        <v/>
      </c>
      <c r="AA152" s="4" t="str">
        <f>IFERROR(__xludf.DUMMYFUNCTION("IFERROR(
  FILTER('CBK Students'!P:P, TRIM('CBK Students'!B:B) = TRIM(A152)),
  """"
)"),"")</f>
        <v/>
      </c>
      <c r="AB152" s="4" t="str">
        <f>IFERROR(__xludf.DUMMYFUNCTION("IFERROR(
  FILTER('CBK Students'!Q:Q, TRIM('CBK Students'!B:B) = TRIM(A152)),
  """"
)"),"")</f>
        <v/>
      </c>
    </row>
    <row r="153" ht="18.75" customHeight="1">
      <c r="T153" s="240" t="str">
        <f>IFERROR(__xludf.DUMMYFUNCTION("IFERROR(
  FILTER('CBK Students'!F:F, TRIM('CBK Students'!B:B) = TRIM(A153)),
  """"
)"),"2 Wed 7:30-8:30pm")</f>
        <v>2 Wed 7:30-8:30pm</v>
      </c>
      <c r="U153" s="240" t="str">
        <f>IFERROR(__xludf.DUMMYFUNCTION("IFERROR(
  FILTER('CBK Students'!H:H, TRIM('CBK Students'!B:B) = TRIM(A153)),
  """"
)"),"Chuan")</f>
        <v>Chuan</v>
      </c>
      <c r="V153" s="240">
        <f>IFERROR(__xludf.DUMMYFUNCTION("IFERROR(
  FILTER('CBK Students'!M:M, TRIM('CBK Students'!B:B) = TRIM(A153)),
  """"
)"),33.0)</f>
        <v>33</v>
      </c>
      <c r="W153" s="240" t="str">
        <f t="shared" si="1"/>
        <v>Learning</v>
      </c>
      <c r="X153" s="240" t="str">
        <f>IFERROR(__xludf.DUMMYFUNCTION("IFERROR(
  FILTER('CBK Students'!R:R, TRIM('CBK Students'!B:B) = TRIM(A153)),
  """"
)"),"Starting Final Project")</f>
        <v>Starting Final Project</v>
      </c>
      <c r="Y153" s="4" t="str">
        <f t="shared" si="2"/>
        <v>Stage Delay</v>
      </c>
      <c r="Z153" s="4" t="str">
        <f>IFERROR(__xludf.DUMMYFUNCTION("IFERROR(
  FILTER('CBK Students'!O:O, TRIM('CBK Students'!B:B) = TRIM(A153)),
  """"
)"),"")</f>
        <v/>
      </c>
      <c r="AA153" s="4" t="str">
        <f>IFERROR(__xludf.DUMMYFUNCTION("IFERROR(
  FILTER('CBK Students'!P:P, TRIM('CBK Students'!B:B) = TRIM(A153)),
  """"
)"),"")</f>
        <v/>
      </c>
      <c r="AB153" s="4" t="str">
        <f>IFERROR(__xludf.DUMMYFUNCTION("IFERROR(
  FILTER('CBK Students'!Q:Q, TRIM('CBK Students'!B:B) = TRIM(A153)),
  """"
)"),"")</f>
        <v/>
      </c>
    </row>
    <row r="154" ht="18.75" customHeight="1">
      <c r="T154" s="240" t="str">
        <f>IFERROR(__xludf.DUMMYFUNCTION("IFERROR(
  FILTER('CBK Students'!F:F, TRIM('CBK Students'!B:B) = TRIM(A154)),
  """"
)"),"4 Sat 9:00-10:00am")</f>
        <v>4 Sat 9:00-10:00am</v>
      </c>
      <c r="U154" s="240" t="str">
        <f>IFERROR(__xludf.DUMMYFUNCTION("IFERROR(
  FILTER('CBK Students'!H:H, TRIM('CBK Students'!B:B) = TRIM(A154)),
  """"
)"),"Damian")</f>
        <v>Damian</v>
      </c>
      <c r="V154" s="240">
        <f>IFERROR(__xludf.DUMMYFUNCTION("IFERROR(
  FILTER('CBK Students'!M:M, TRIM('CBK Students'!B:B) = TRIM(A154)),
  """"
)"),13.0)</f>
        <v>13</v>
      </c>
      <c r="W154" s="240" t="str">
        <f t="shared" si="1"/>
        <v>Learning</v>
      </c>
      <c r="X154" s="240" t="str">
        <f>IFERROR(__xludf.DUMMYFUNCTION("IFERROR(
  FILTER('CBK Students'!R:R, TRIM('CBK Students'!B:B) = TRIM(A154)),
  """"
)"),"Learning")</f>
        <v>Learning</v>
      </c>
      <c r="Y154" s="4" t="str">
        <f t="shared" si="2"/>
        <v>On Track</v>
      </c>
      <c r="Z154" s="4" t="str">
        <f>IFERROR(__xludf.DUMMYFUNCTION("IFERROR(
  FILTER('CBK Students'!O:O, TRIM('CBK Students'!B:B) = TRIM(A154)),
  """"
)"),"")</f>
        <v/>
      </c>
      <c r="AA154" s="4" t="str">
        <f>IFERROR(__xludf.DUMMYFUNCTION("IFERROR(
  FILTER('CBK Students'!P:P, TRIM('CBK Students'!B:B) = TRIM(A154)),
  """"
)"),"")</f>
        <v/>
      </c>
      <c r="AB154" s="4" t="str">
        <f>IFERROR(__xludf.DUMMYFUNCTION("IFERROR(
  FILTER('CBK Students'!Q:Q, TRIM('CBK Students'!B:B) = TRIM(A154)),
  """"
)"),"")</f>
        <v/>
      </c>
    </row>
    <row r="155" ht="18.75" customHeight="1">
      <c r="T155" s="240" t="str">
        <f>IFERROR(__xludf.DUMMYFUNCTION("IFERROR(
  FILTER('CBK Students'!F:F, TRIM('CBK Students'!B:B) = TRIM(A155)),
  """"
)"),"5 Sat 11.00-12.00pm")</f>
        <v>5 Sat 11.00-12.00pm</v>
      </c>
      <c r="U155" s="240" t="str">
        <f>IFERROR(__xludf.DUMMYFUNCTION("IFERROR(
  FILTER('CBK Students'!H:H, TRIM('CBK Students'!B:B) = TRIM(A155)),
  """"
)"),"Chuan")</f>
        <v>Chuan</v>
      </c>
      <c r="V155" s="240">
        <f>IFERROR(__xludf.DUMMYFUNCTION("IFERROR(
  FILTER('CBK Students'!M:M, TRIM('CBK Students'!B:B) = TRIM(A155)),
  """"
)"),68.0)</f>
        <v>68</v>
      </c>
      <c r="W155" s="240" t="str">
        <f t="shared" si="1"/>
        <v>Start with Final Project</v>
      </c>
      <c r="X155" s="240" t="str">
        <f>IFERROR(__xludf.DUMMYFUNCTION("IFERROR(
  FILTER('CBK Students'!R:R, TRIM('CBK Students'!B:B) = TRIM(A155)),
  """"
)"),"Prepare for Showcase")</f>
        <v>Prepare for Showcase</v>
      </c>
      <c r="Y155" s="4" t="str">
        <f t="shared" si="2"/>
        <v>Showcase Delay</v>
      </c>
      <c r="Z155" s="4" t="str">
        <f>IFERROR(__xludf.DUMMYFUNCTION("IFERROR(
  FILTER('CBK Students'!O:O, TRIM('CBK Students'!B:B) = TRIM(A155)),
  """"
)"),"21/10/2025 - [Caleb]
Inconsistent attendance.
Facing challenges with student learning behaviour.
Currently working on his S-Journey slide.
Will be challenged to complete his final project before the year-end showcase.")</f>
        <v>21/10/2025 - [Caleb]
Inconsistent attendance.
Facing challenges with student learning behaviour.
Currently working on his S-Journey slide.
Will be challenged to complete his final project before the year-end showcase.</v>
      </c>
      <c r="AA155" s="4" t="str">
        <f>IFERROR(__xludf.DUMMYFUNCTION("IFERROR(
  FILTER('CBK Students'!P:P, TRIM('CBK Students'!B:B) = TRIM(A155)),
  """"
)"),"21/10/2025 - [Caleb]
Inconsistent attendance.
Facing challenges with student learning behaviour.
Currently working on his S-Journey slide.
Will be challenged to complete his final project before the year-end showcase.")</f>
        <v>21/10/2025 - [Caleb]
Inconsistent attendance.
Facing challenges with student learning behaviour.
Currently working on his S-Journey slide.
Will be challenged to complete his final project before the year-end showcase.</v>
      </c>
      <c r="AB155" s="4" t="str">
        <f>IFERROR(__xludf.DUMMYFUNCTION("IFERROR(
  FILTER('CBK Students'!Q:Q, TRIM('CBK Students'!B:B) = TRIM(A155)),
  """"
)"),"No")</f>
        <v>No</v>
      </c>
    </row>
    <row r="156" ht="18.75" customHeight="1">
      <c r="T156" s="240" t="str">
        <f>IFERROR(__xludf.DUMMYFUNCTION("IFERROR(
  FILTER('CBK Students'!F:F, TRIM('CBK Students'!B:B) = TRIM(A156)),
  """"
)"),"TH 12:45-1:45pm")</f>
        <v>TH 12:45-1:45pm</v>
      </c>
      <c r="U156" s="240" t="str">
        <f>IFERROR(__xludf.DUMMYFUNCTION("IFERROR(
  FILTER('CBK Students'!H:H, TRIM('CBK Students'!B:B) = TRIM(A156)),
  """"
)"),"Kerry")</f>
        <v>Kerry</v>
      </c>
      <c r="V156" s="240">
        <f>IFERROR(__xludf.DUMMYFUNCTION("IFERROR(
  FILTER('CBK Students'!M:M, TRIM('CBK Students'!B:B) = TRIM(A156)),
  """"
)"),10.0)</f>
        <v>10</v>
      </c>
      <c r="W156" s="240" t="str">
        <f t="shared" si="1"/>
        <v>Learning</v>
      </c>
      <c r="X156" s="240" t="str">
        <f>IFERROR(__xludf.DUMMYFUNCTION("IFERROR(
  FILTER('CBK Students'!R:R, TRIM('CBK Students'!B:B) = TRIM(A156)),
  """"
)"),"Learning")</f>
        <v>Learning</v>
      </c>
      <c r="Y156" s="4" t="str">
        <f t="shared" si="2"/>
        <v>On Track</v>
      </c>
      <c r="Z156" s="4" t="str">
        <f>IFERROR(__xludf.DUMMYFUNCTION("IFERROR(
  FILTER('CBK Students'!O:O, TRIM('CBK Students'!B:B) = TRIM(A156)),
  """"
)"),"")</f>
        <v/>
      </c>
      <c r="AA156" s="4" t="str">
        <f>IFERROR(__xludf.DUMMYFUNCTION("IFERROR(
  FILTER('CBK Students'!P:P, TRIM('CBK Students'!B:B) = TRIM(A156)),
  """"
)"),"")</f>
        <v/>
      </c>
      <c r="AB156" s="4" t="str">
        <f>IFERROR(__xludf.DUMMYFUNCTION("IFERROR(
  FILTER('CBK Students'!Q:Q, TRIM('CBK Students'!B:B) = TRIM(A156)),
  """"
)"),"")</f>
        <v/>
      </c>
    </row>
    <row r="157" ht="18.75" customHeight="1">
      <c r="T157" s="240" t="str">
        <f>IFERROR(__xludf.DUMMYFUNCTION("IFERROR(
  FILTER('CBK Students'!F:F, TRIM('CBK Students'!B:B) = TRIM(A157)),
  """"
)"),"7 Sat 2:00-3:00pm")</f>
        <v>7 Sat 2:00-3:00pm</v>
      </c>
      <c r="U157" s="240" t="str">
        <f>IFERROR(__xludf.DUMMYFUNCTION("IFERROR(
  FILTER('CBK Students'!H:H, TRIM('CBK Students'!B:B) = TRIM(A157)),
  """"
)"),"Damian")</f>
        <v>Damian</v>
      </c>
      <c r="V157" s="240">
        <f>IFERROR(__xludf.DUMMYFUNCTION("IFERROR(
  FILTER('CBK Students'!M:M, TRIM('CBK Students'!B:B) = TRIM(A157)),
  """"
)"),24.0)</f>
        <v>24</v>
      </c>
      <c r="W157" s="240" t="str">
        <f t="shared" si="1"/>
        <v/>
      </c>
      <c r="X157" s="240" t="str">
        <f>IFERROR(__xludf.DUMMYFUNCTION("IFERROR(
  FILTER('CBK Students'!R:R, TRIM('CBK Students'!B:B) = TRIM(A157)),
  """"
)"),"Learning")</f>
        <v>Learning</v>
      </c>
      <c r="Y157" s="4" t="str">
        <f t="shared" si="2"/>
        <v/>
      </c>
      <c r="Z157" s="4" t="str">
        <f>IFERROR(__xludf.DUMMYFUNCTION("IFERROR(
  FILTER('CBK Students'!O:O, TRIM('CBK Students'!B:B) = TRIM(A157)),
  """"
)"),"")</f>
        <v/>
      </c>
      <c r="AA157" s="4" t="str">
        <f>IFERROR(__xludf.DUMMYFUNCTION("IFERROR(
  FILTER('CBK Students'!P:P, TRIM('CBK Students'!B:B) = TRIM(A157)),
  """"
)"),"")</f>
        <v/>
      </c>
      <c r="AB157" s="4" t="str">
        <f>IFERROR(__xludf.DUMMYFUNCTION("IFERROR(
  FILTER('CBK Students'!Q:Q, TRIM('CBK Students'!B:B) = TRIM(A157)),
  """"
)"),"")</f>
        <v/>
      </c>
    </row>
    <row r="158" ht="18.75" customHeight="1">
      <c r="T158" s="240" t="str">
        <f>IFERROR(__xludf.DUMMYFUNCTION("IFERROR(
  FILTER('CBK Students'!F:F, TRIM('CBK Students'!B:B) = TRIM(A158)),
  """"
)"),"7 Sat 2:00-3:00pm")</f>
        <v>7 Sat 2:00-3:00pm</v>
      </c>
      <c r="U158" s="240" t="str">
        <f>IFERROR(__xludf.DUMMYFUNCTION("IFERROR(
  FILTER('CBK Students'!H:H, TRIM('CBK Students'!B:B) = TRIM(A158)),
  """"
)"),"Damian")</f>
        <v>Damian</v>
      </c>
      <c r="V158" s="240">
        <f>IFERROR(__xludf.DUMMYFUNCTION("IFERROR(
  FILTER('CBK Students'!M:M, TRIM('CBK Students'!B:B) = TRIM(A158)),
  """"
)"),24.0)</f>
        <v>24</v>
      </c>
      <c r="W158" s="240" t="str">
        <f t="shared" si="1"/>
        <v/>
      </c>
      <c r="X158" s="240" t="str">
        <f>IFERROR(__xludf.DUMMYFUNCTION("IFERROR(
  FILTER('CBK Students'!R:R, TRIM('CBK Students'!B:B) = TRIM(A158)),
  """"
)"),"Learning")</f>
        <v>Learning</v>
      </c>
      <c r="Y158" s="4" t="str">
        <f t="shared" si="2"/>
        <v/>
      </c>
      <c r="Z158" s="4" t="str">
        <f>IFERROR(__xludf.DUMMYFUNCTION("IFERROR(
  FILTER('CBK Students'!O:O, TRIM('CBK Students'!B:B) = TRIM(A158)),
  """"
)"),"")</f>
        <v/>
      </c>
      <c r="AA158" s="4" t="str">
        <f>IFERROR(__xludf.DUMMYFUNCTION("IFERROR(
  FILTER('CBK Students'!P:P, TRIM('CBK Students'!B:B) = TRIM(A158)),
  """"
)"),"")</f>
        <v/>
      </c>
      <c r="AB158" s="4" t="str">
        <f>IFERROR(__xludf.DUMMYFUNCTION("IFERROR(
  FILTER('CBK Students'!Q:Q, TRIM('CBK Students'!B:B) = TRIM(A158)),
  """"
)"),"")</f>
        <v/>
      </c>
    </row>
    <row r="159" ht="18.75" customHeight="1">
      <c r="T159" s="240" t="str">
        <f>IFERROR(__xludf.DUMMYFUNCTION("IFERROR(
  FILTER('CBK Students'!F:F, TRIM('CBK Students'!B:B) = TRIM(A159)),
  """"
)"),"CH 12:00-1:00pm")</f>
        <v>CH 12:00-1:00pm</v>
      </c>
      <c r="U159" s="240" t="str">
        <f>IFERROR(__xludf.DUMMYFUNCTION("IFERROR(
  FILTER('CBK Students'!H:H, TRIM('CBK Students'!B:B) = TRIM(A159)),
  """"
)"),"Enouch")</f>
        <v>Enouch</v>
      </c>
      <c r="V159" s="240">
        <f>IFERROR(__xludf.DUMMYFUNCTION("IFERROR(
  FILTER('CBK Students'!M:M, TRIM('CBK Students'!B:B) = TRIM(A159)),
  """"
)"),37.0)</f>
        <v>37</v>
      </c>
      <c r="W159" s="240" t="str">
        <f t="shared" si="1"/>
        <v>Learning</v>
      </c>
      <c r="X159" s="240" t="str">
        <f>IFERROR(__xludf.DUMMYFUNCTION("IFERROR(
  FILTER('CBK Students'!R:R, TRIM('CBK Students'!B:B) = TRIM(A159)),
  """"
)"),"Starting Final Project")</f>
        <v>Starting Final Project</v>
      </c>
      <c r="Y159" s="4" t="str">
        <f t="shared" si="2"/>
        <v>Stage Delay</v>
      </c>
      <c r="Z159" s="4" t="str">
        <f>IFERROR(__xludf.DUMMYFUNCTION("IFERROR(
  FILTER('CBK Students'!O:O, TRIM('CBK Students'!B:B) = TRIM(A159)),
  """"
)"),"")</f>
        <v/>
      </c>
      <c r="AA159" s="4" t="str">
        <f>IFERROR(__xludf.DUMMYFUNCTION("IFERROR(
  FILTER('CBK Students'!P:P, TRIM('CBK Students'!B:B) = TRIM(A159)),
  """"
)"),"")</f>
        <v/>
      </c>
      <c r="AB159" s="4" t="str">
        <f>IFERROR(__xludf.DUMMYFUNCTION("IFERROR(
  FILTER('CBK Students'!Q:Q, TRIM('CBK Students'!B:B) = TRIM(A159)),
  """"
)"),"")</f>
        <v/>
      </c>
    </row>
    <row r="160" ht="18.75" customHeight="1">
      <c r="T160" s="240" t="str">
        <f>IFERROR(__xludf.DUMMYFUNCTION("IFERROR(
  FILTER('CBK Students'!F:F, TRIM('CBK Students'!B:B) = TRIM(A160)),
  """"
)"),"5 Sat 11.00-12.00pm")</f>
        <v>5 Sat 11.00-12.00pm</v>
      </c>
      <c r="U160" s="240" t="str">
        <f>IFERROR(__xludf.DUMMYFUNCTION("IFERROR(
  FILTER('CBK Students'!H:H, TRIM('CBK Students'!B:B) = TRIM(A160)),
  """"
)"),"Kerry")</f>
        <v>Kerry</v>
      </c>
      <c r="V160" s="240">
        <f>IFERROR(__xludf.DUMMYFUNCTION("IFERROR(
  FILTER('CBK Students'!M:M, TRIM('CBK Students'!B:B) = TRIM(A160)),
  """"
)"),109.0)</f>
        <v>109</v>
      </c>
      <c r="W160" s="240" t="str">
        <f t="shared" si="1"/>
        <v>Start with Final Project</v>
      </c>
      <c r="X160" s="240" t="str">
        <f>IFERROR(__xludf.DUMMYFUNCTION("IFERROR(
  FILTER('CBK Students'!R:R, TRIM('CBK Students'!B:B) = TRIM(A160)),
  """"
)"),"Prepare for Showcase")</f>
        <v>Prepare for Showcase</v>
      </c>
      <c r="Y160" s="4" t="str">
        <f t="shared" si="2"/>
        <v>On Track</v>
      </c>
      <c r="Z160" s="4" t="str">
        <f>IFERROR(__xludf.DUMMYFUNCTION("IFERROR(
  FILTER('CBK Students'!O:O, TRIM('CBK Students'!B:B) = TRIM(A160)),
  """"
)"),"15/10/2025 - [Caleb]
The student has already begun preparations for the 2025 Year-End Showcase.
A high-quality project has been created based on a self-designed story, with only the subtitles remaining to be completed.
A timeline has been provided, includ"&amp;"ing rehearsal sessions for the year-end showcase.")</f>
        <v>15/10/2025 - [Caleb]
The student has already begun preparations for the 2025 Year-End Showcase.
A high-quality project has been created based on a self-designed story, with only the subtitles remaining to be completed.
A timeline has been provided, including rehearsal sessions for the year-end showcase.</v>
      </c>
      <c r="AA160" s="4" t="str">
        <f>IFERROR(__xludf.DUMMYFUNCTION("IFERROR(
  FILTER('CBK Students'!P:P, TRIM('CBK Students'!B:B) = TRIM(A160)),
  """"
)"),"15/10/2025 - [Caleb]
The student has already begun preparations for the 2025 Year-End Showcase.
A high-quality project has been created based on a self-designed story, with only the subtitles remaining to be completed.
A timeline has been provided, includ"&amp;"ing rehearsal sessions for the year-end showcase.")</f>
        <v>15/10/2025 - [Caleb]
The student has already begun preparations for the 2025 Year-End Showcase.
A high-quality project has been created based on a self-designed story, with only the subtitles remaining to be completed.
A timeline has been provided, including rehearsal sessions for the year-end showcase.</v>
      </c>
      <c r="AB160" s="4" t="str">
        <f>IFERROR(__xludf.DUMMYFUNCTION("IFERROR(
  FILTER('CBK Students'!Q:Q, TRIM('CBK Students'!B:B) = TRIM(A160)),
  """"
)"),"Yes")</f>
        <v>Yes</v>
      </c>
    </row>
    <row r="161" ht="18.75" customHeight="1">
      <c r="T161" s="240" t="str">
        <f>IFERROR(__xludf.DUMMYFUNCTION("IFERROR(
  FILTER('CBK Students'!F:F, TRIM('CBK Students'!B:B) = TRIM(A161)),
  """"
)"),"2 Wed 7:30-8:30pm")</f>
        <v>2 Wed 7:30-8:30pm</v>
      </c>
      <c r="U161" s="240" t="str">
        <f>IFERROR(__xludf.DUMMYFUNCTION("IFERROR(
  FILTER('CBK Students'!H:H, TRIM('CBK Students'!B:B) = TRIM(A161)),
  """"
)"),"Enouch")</f>
        <v>Enouch</v>
      </c>
      <c r="V161" s="240">
        <f>IFERROR(__xludf.DUMMYFUNCTION("IFERROR(
  FILTER('CBK Students'!M:M, TRIM('CBK Students'!B:B) = TRIM(A161)),
  """"
)"),36.0)</f>
        <v>36</v>
      </c>
      <c r="W161" s="240" t="str">
        <f t="shared" si="1"/>
        <v>Learning</v>
      </c>
      <c r="X161" s="240" t="str">
        <f>IFERROR(__xludf.DUMMYFUNCTION("IFERROR(
  FILTER('CBK Students'!R:R, TRIM('CBK Students'!B:B) = TRIM(A161)),
  """"
)"),"Starting Final Project")</f>
        <v>Starting Final Project</v>
      </c>
      <c r="Y161" s="4" t="str">
        <f t="shared" si="2"/>
        <v>Stage Delay</v>
      </c>
      <c r="Z161" s="4" t="str">
        <f>IFERROR(__xludf.DUMMYFUNCTION("IFERROR(
  FILTER('CBK Students'!O:O, TRIM('CBK Students'!B:B) = TRIM(A161)),
  """"
)"),"")</f>
        <v/>
      </c>
      <c r="AA161" s="4" t="str">
        <f>IFERROR(__xludf.DUMMYFUNCTION("IFERROR(
  FILTER('CBK Students'!P:P, TRIM('CBK Students'!B:B) = TRIM(A161)),
  """"
)"),"")</f>
        <v/>
      </c>
      <c r="AB161" s="4" t="str">
        <f>IFERROR(__xludf.DUMMYFUNCTION("IFERROR(
  FILTER('CBK Students'!Q:Q, TRIM('CBK Students'!B:B) = TRIM(A161)),
  """"
)"),"")</f>
        <v/>
      </c>
    </row>
    <row r="162" ht="18.75" customHeight="1">
      <c r="T162" s="240" t="str">
        <f>IFERROR(__xludf.DUMMYFUNCTION("IFERROR(
  FILTER('CBK Students'!F:F, TRIM('CBK Students'!B:B) = TRIM(A162)),
  """"
)"),"6 Sat 2.00-3.00pm")</f>
        <v>6 Sat 2.00-3.00pm</v>
      </c>
      <c r="U162" s="240" t="str">
        <f>IFERROR(__xludf.DUMMYFUNCTION("IFERROR(
  FILTER('CBK Students'!H:H, TRIM('CBK Students'!B:B) = TRIM(A162)),
  """"
)"),"Lam")</f>
        <v>Lam</v>
      </c>
      <c r="V162" s="240">
        <f>IFERROR(__xludf.DUMMYFUNCTION("IFERROR(
  FILTER('CBK Students'!M:M, TRIM('CBK Students'!B:B) = TRIM(A162)),
  """"
)"),154.0)</f>
        <v>154</v>
      </c>
      <c r="W162" s="240" t="str">
        <f t="shared" si="1"/>
        <v>Learning</v>
      </c>
      <c r="X162" s="240" t="str">
        <f>IFERROR(__xludf.DUMMYFUNCTION("IFERROR(
  FILTER('CBK Students'!R:R, TRIM('CBK Students'!B:B) = TRIM(A162)),
  """"
)"),"Prepare for Showcase")</f>
        <v>Prepare for Showcase</v>
      </c>
      <c r="Y162" s="4" t="str">
        <f t="shared" si="2"/>
        <v>Showcase Delay</v>
      </c>
      <c r="Z162" s="4" t="str">
        <f>IFERROR(__xludf.DUMMYFUNCTION("IFERROR(
  FILTER('CBK Students'!O:O, TRIM('CBK Students'!B:B) = TRIM(A162)),
  """"
)"),"")</f>
        <v/>
      </c>
      <c r="AA162" s="4" t="str">
        <f>IFERROR(__xludf.DUMMYFUNCTION("IFERROR(
  FILTER('CBK Students'!P:P, TRIM('CBK Students'!B:B) = TRIM(A162)),
  """"
)"),"")</f>
        <v/>
      </c>
      <c r="AB162" s="4" t="str">
        <f>IFERROR(__xludf.DUMMYFUNCTION("IFERROR(
  FILTER('CBK Students'!Q:Q, TRIM('CBK Students'!B:B) = TRIM(A162)),
  """"
)"),"")</f>
        <v/>
      </c>
    </row>
    <row r="163" ht="18.75" customHeight="1">
      <c r="T163" s="240" t="str">
        <f>IFERROR(__xludf.DUMMYFUNCTION("IFERROR(
  FILTER('CBK Students'!F:F, TRIM('CBK Students'!B:B) = TRIM(A163)),
  """"
)"),"7 Sat 2:00-3:00pm")</f>
        <v>7 Sat 2:00-3:00pm</v>
      </c>
      <c r="U163" s="240" t="str">
        <f>IFERROR(__xludf.DUMMYFUNCTION("IFERROR(
  FILTER('CBK Students'!H:H, TRIM('CBK Students'!B:B) = TRIM(A163)),
  """"
)"),"Enouch")</f>
        <v>Enouch</v>
      </c>
      <c r="V163" s="240">
        <f>IFERROR(__xludf.DUMMYFUNCTION("IFERROR(
  FILTER('CBK Students'!M:M, TRIM('CBK Students'!B:B) = TRIM(A163)),
  """"
)"),14.0)</f>
        <v>14</v>
      </c>
      <c r="W163" s="240" t="str">
        <f t="shared" si="1"/>
        <v>Start with Final Project</v>
      </c>
      <c r="X163" s="240" t="str">
        <f>IFERROR(__xludf.DUMMYFUNCTION("IFERROR(
  FILTER('CBK Students'!R:R, TRIM('CBK Students'!B:B) = TRIM(A163)),
  """"
)"),"Learning")</f>
        <v>Learning</v>
      </c>
      <c r="Y163" s="4" t="str">
        <f t="shared" si="2"/>
        <v>On Track</v>
      </c>
      <c r="Z163" s="4" t="str">
        <f>IFERROR(__xludf.DUMMYFUNCTION("IFERROR(
  FILTER('CBK Students'!O:O, TRIM('CBK Students'!B:B) = TRIM(A163)),
  """"
)"),"")</f>
        <v/>
      </c>
      <c r="AA163" s="4" t="str">
        <f>IFERROR(__xludf.DUMMYFUNCTION("IFERROR(
  FILTER('CBK Students'!P:P, TRIM('CBK Students'!B:B) = TRIM(A163)),
  """"
)"),"")</f>
        <v/>
      </c>
      <c r="AB163" s="4" t="str">
        <f>IFERROR(__xludf.DUMMYFUNCTION("IFERROR(
  FILTER('CBK Students'!Q:Q, TRIM('CBK Students'!B:B) = TRIM(A163)),
  """"
)"),"")</f>
        <v/>
      </c>
    </row>
    <row r="164" ht="18.75" customHeight="1">
      <c r="T164" s="240" t="str">
        <f>IFERROR(__xludf.DUMMYFUNCTION("IFERROR(
  FILTER('CBK Students'!F:F, TRIM('CBK Students'!B:B) = TRIM(A164)),
  """"
)"),"4 Sat 9:00-10:00am")</f>
        <v>4 Sat 9:00-10:00am</v>
      </c>
      <c r="U164" s="240" t="str">
        <f>IFERROR(__xludf.DUMMYFUNCTION("IFERROR(
  FILTER('CBK Students'!H:H, TRIM('CBK Students'!B:B) = TRIM(A164)),
  """"
)"),"Enouch")</f>
        <v>Enouch</v>
      </c>
      <c r="V164" s="240">
        <f>IFERROR(__xludf.DUMMYFUNCTION("IFERROR(
  FILTER('CBK Students'!M:M, TRIM('CBK Students'!B:B) = TRIM(A164)),
  """"
)"),9.0)</f>
        <v>9</v>
      </c>
      <c r="W164" s="240" t="str">
        <f t="shared" si="1"/>
        <v/>
      </c>
      <c r="X164" s="240" t="str">
        <f>IFERROR(__xludf.DUMMYFUNCTION("IFERROR(
  FILTER('CBK Students'!R:R, TRIM('CBK Students'!B:B) = TRIM(A164)),
  """"
)"),"Learning")</f>
        <v>Learning</v>
      </c>
      <c r="Y164" s="4" t="str">
        <f t="shared" si="2"/>
        <v/>
      </c>
      <c r="Z164" s="4" t="str">
        <f>IFERROR(__xludf.DUMMYFUNCTION("IFERROR(
  FILTER('CBK Students'!O:O, TRIM('CBK Students'!B:B) = TRIM(A164)),
  """"
)"),"")</f>
        <v/>
      </c>
      <c r="AA164" s="4" t="str">
        <f>IFERROR(__xludf.DUMMYFUNCTION("IFERROR(
  FILTER('CBK Students'!P:P, TRIM('CBK Students'!B:B) = TRIM(A164)),
  """"
)"),"")</f>
        <v/>
      </c>
      <c r="AB164" s="4" t="str">
        <f>IFERROR(__xludf.DUMMYFUNCTION("IFERROR(
  FILTER('CBK Students'!Q:Q, TRIM('CBK Students'!B:B) = TRIM(A164)),
  """"
)"),"")</f>
        <v/>
      </c>
    </row>
    <row r="165" ht="18.75" customHeight="1">
      <c r="T165" s="240" t="str">
        <f>IFERROR(__xludf.DUMMYFUNCTION("IFERROR(
  FILTER('CBK Students'!F:F, TRIM('CBK Students'!B:B) = TRIM(A165)),
  """"
)"),"2 Wed 7:30-8:30pm")</f>
        <v>2 Wed 7:30-8:30pm</v>
      </c>
      <c r="U165" s="240" t="str">
        <f>IFERROR(__xludf.DUMMYFUNCTION("IFERROR(
  FILTER('CBK Students'!H:H, TRIM('CBK Students'!B:B) = TRIM(A165)),
  """"
)"),"Damian")</f>
        <v>Damian</v>
      </c>
      <c r="V165" s="240">
        <f>IFERROR(__xludf.DUMMYFUNCTION("IFERROR(
  FILTER('CBK Students'!M:M, TRIM('CBK Students'!B:B) = TRIM(A165)),
  """"
)"),49.0)</f>
        <v>49</v>
      </c>
      <c r="W165" s="240" t="str">
        <f t="shared" si="1"/>
        <v>Start with Final Project</v>
      </c>
      <c r="X165" s="240" t="str">
        <f>IFERROR(__xludf.DUMMYFUNCTION("IFERROR(
  FILTER('CBK Students'!R:R, TRIM('CBK Students'!B:B) = TRIM(A165)),
  """"
)"),"Prepare for Showcase")</f>
        <v>Prepare for Showcase</v>
      </c>
      <c r="Y165" s="4" t="str">
        <f t="shared" si="2"/>
        <v>Showcase Delay</v>
      </c>
      <c r="Z165" s="4" t="str">
        <f>IFERROR(__xludf.DUMMYFUNCTION("IFERROR(
  FILTER('CBK Students'!O:O, TRIM('CBK Students'!B:B) = TRIM(A165)),
  """"
)"),"")</f>
        <v/>
      </c>
      <c r="AA165" s="4" t="str">
        <f>IFERROR(__xludf.DUMMYFUNCTION("IFERROR(
  FILTER('CBK Students'!P:P, TRIM('CBK Students'!B:B) = TRIM(A165)),
  """"
)"),"")</f>
        <v/>
      </c>
      <c r="AB165" s="4" t="str">
        <f>IFERROR(__xludf.DUMMYFUNCTION("IFERROR(
  FILTER('CBK Students'!Q:Q, TRIM('CBK Students'!B:B) = TRIM(A165)),
  """"
)"),"")</f>
        <v/>
      </c>
    </row>
    <row r="166" ht="18.75" customHeight="1">
      <c r="T166" s="240" t="str">
        <f>IFERROR(__xludf.DUMMYFUNCTION("IFERROR(
  FILTER('CBK Students'!F:F, TRIM('CBK Students'!B:B) = TRIM(A166)),
  """"
)"),"7 Sat 2:00-3:00pm")</f>
        <v>7 Sat 2:00-3:00pm</v>
      </c>
      <c r="U166" s="240" t="str">
        <f>IFERROR(__xludf.DUMMYFUNCTION("IFERROR(
  FILTER('CBK Students'!H:H, TRIM('CBK Students'!B:B) = TRIM(A166)),
  """"
)"),"Mandy")</f>
        <v>Mandy</v>
      </c>
      <c r="V166" s="240">
        <f>IFERROR(__xludf.DUMMYFUNCTION("IFERROR(
  FILTER('CBK Students'!M:M, TRIM('CBK Students'!B:B) = TRIM(A166)),
  """"
)"),14.0)</f>
        <v>14</v>
      </c>
      <c r="W166" s="240" t="str">
        <f t="shared" si="1"/>
        <v>Learning</v>
      </c>
      <c r="X166" s="240" t="str">
        <f>IFERROR(__xludf.DUMMYFUNCTION("IFERROR(
  FILTER('CBK Students'!R:R, TRIM('CBK Students'!B:B) = TRIM(A166)),
  """"
)"),"Learning")</f>
        <v>Learning</v>
      </c>
      <c r="Y166" s="4" t="str">
        <f t="shared" si="2"/>
        <v>Stage Delay</v>
      </c>
      <c r="Z166" s="4" t="str">
        <f>IFERROR(__xludf.DUMMYFUNCTION("IFERROR(
  FILTER('CBK Students'!O:O, TRIM('CBK Students'!B:B) = TRIM(A166)),
  """"
)"),"")</f>
        <v/>
      </c>
      <c r="AA166" s="4" t="str">
        <f>IFERROR(__xludf.DUMMYFUNCTION("IFERROR(
  FILTER('CBK Students'!P:P, TRIM('CBK Students'!B:B) = TRIM(A166)),
  """"
)"),"")</f>
        <v/>
      </c>
      <c r="AB166" s="4" t="str">
        <f>IFERROR(__xludf.DUMMYFUNCTION("IFERROR(
  FILTER('CBK Students'!Q:Q, TRIM('CBK Students'!B:B) = TRIM(A166)),
  """"
)"),"")</f>
        <v/>
      </c>
    </row>
    <row r="167" ht="18.75" customHeight="1">
      <c r="T167" s="240" t="str">
        <f>IFERROR(__xludf.DUMMYFUNCTION("IFERROR(
  FILTER('CBK Students'!F:F, TRIM('CBK Students'!B:B) = TRIM(A167)),
  """"
)"),"1 Mon 7:30-8:30pm")</f>
        <v>1 Mon 7:30-8:30pm</v>
      </c>
      <c r="U167" s="240" t="str">
        <f>IFERROR(__xludf.DUMMYFUNCTION("IFERROR(
  FILTER('CBK Students'!H:H, TRIM('CBK Students'!B:B) = TRIM(A167)),
  """"
)"),"Mandy")</f>
        <v>Mandy</v>
      </c>
      <c r="V167" s="240">
        <f>IFERROR(__xludf.DUMMYFUNCTION("IFERROR(
  FILTER('CBK Students'!M:M, TRIM('CBK Students'!B:B) = TRIM(A167)),
  """"
)"),24.0)</f>
        <v>24</v>
      </c>
      <c r="W167" s="240" t="str">
        <f t="shared" si="1"/>
        <v>Learning</v>
      </c>
      <c r="X167" s="240" t="str">
        <f>IFERROR(__xludf.DUMMYFUNCTION("IFERROR(
  FILTER('CBK Students'!R:R, TRIM('CBK Students'!B:B) = TRIM(A167)),
  """"
)"),"Learning")</f>
        <v>Learning</v>
      </c>
      <c r="Y167" s="4" t="str">
        <f t="shared" si="2"/>
        <v>Stage Delay</v>
      </c>
      <c r="Z167" s="4" t="str">
        <f>IFERROR(__xludf.DUMMYFUNCTION("IFERROR(
  FILTER('CBK Students'!O:O, TRIM('CBK Students'!B:B) = TRIM(A167)),
  """"
)"),"")</f>
        <v/>
      </c>
      <c r="AA167" s="4" t="str">
        <f>IFERROR(__xludf.DUMMYFUNCTION("IFERROR(
  FILTER('CBK Students'!P:P, TRIM('CBK Students'!B:B) = TRIM(A167)),
  """"
)"),"")</f>
        <v/>
      </c>
      <c r="AB167" s="4" t="str">
        <f>IFERROR(__xludf.DUMMYFUNCTION("IFERROR(
  FILTER('CBK Students'!Q:Q, TRIM('CBK Students'!B:B) = TRIM(A167)),
  """"
)"),"")</f>
        <v/>
      </c>
    </row>
    <row r="168" ht="18.75" customHeight="1">
      <c r="T168" s="240" t="str">
        <f>IFERROR(__xludf.DUMMYFUNCTION("IFERROR(
  FILTER('CBK Students'!F:F, TRIM('CBK Students'!B:B) = TRIM(A168)),
  """"
)"),"7 Sat 2:00-3:00pm")</f>
        <v>7 Sat 2:00-3:00pm</v>
      </c>
      <c r="U168" s="240" t="str">
        <f>IFERROR(__xludf.DUMMYFUNCTION("IFERROR(
  FILTER('CBK Students'!H:H, TRIM('CBK Students'!B:B) = TRIM(A168)),
  """"
)"),"Evelyn")</f>
        <v>Evelyn</v>
      </c>
      <c r="V168" s="240">
        <f>IFERROR(__xludf.DUMMYFUNCTION("IFERROR(
  FILTER('CBK Students'!M:M, TRIM('CBK Students'!B:B) = TRIM(A168)),
  """"
)"),54.0)</f>
        <v>54</v>
      </c>
      <c r="W168" s="240" t="str">
        <f t="shared" si="1"/>
        <v>Learning</v>
      </c>
      <c r="X168" s="240" t="str">
        <f>IFERROR(__xludf.DUMMYFUNCTION("IFERROR(
  FILTER('CBK Students'!R:R, TRIM('CBK Students'!B:B) = TRIM(A168)),
  """"
)"),"Prepare for Showcase")</f>
        <v>Prepare for Showcase</v>
      </c>
      <c r="Y168" s="4" t="str">
        <f t="shared" si="2"/>
        <v>Showcase Delay</v>
      </c>
      <c r="Z168" s="4" t="str">
        <f>IFERROR(__xludf.DUMMYFUNCTION("IFERROR(
  FILTER('CBK Students'!O:O, TRIM('CBK Students'!B:B) = TRIM(A168)),
  """"
)"),"")</f>
        <v/>
      </c>
      <c r="AA168" s="4" t="str">
        <f>IFERROR(__xludf.DUMMYFUNCTION("IFERROR(
  FILTER('CBK Students'!P:P, TRIM('CBK Students'!B:B) = TRIM(A168)),
  """"
)"),"")</f>
        <v/>
      </c>
      <c r="AB168" s="4" t="str">
        <f>IFERROR(__xludf.DUMMYFUNCTION("IFERROR(
  FILTER('CBK Students'!Q:Q, TRIM('CBK Students'!B:B) = TRIM(A168)),
  """"
)"),"")</f>
        <v/>
      </c>
    </row>
    <row r="169" ht="18.75" customHeight="1">
      <c r="T169" s="240" t="str">
        <f>IFERROR(__xludf.DUMMYFUNCTION("IFERROR(
  FILTER('CBK Students'!F:F, TRIM('CBK Students'!B:B) = TRIM(A169)),
  """"
)"),"5 Sat 10:00-11:00am")</f>
        <v>5 Sat 10:00-11:00am</v>
      </c>
      <c r="U169" s="240" t="str">
        <f>IFERROR(__xludf.DUMMYFUNCTION("IFERROR(
  FILTER('CBK Students'!H:H, TRIM('CBK Students'!B:B) = TRIM(A169)),
  """"
)"),"Kerry")</f>
        <v>Kerry</v>
      </c>
      <c r="V169" s="240">
        <f>IFERROR(__xludf.DUMMYFUNCTION("IFERROR(
  FILTER('CBK Students'!M:M, TRIM('CBK Students'!B:B) = TRIM(A169)),
  """"
)"),60.0)</f>
        <v>60</v>
      </c>
      <c r="W169" s="240" t="str">
        <f t="shared" si="1"/>
        <v>Learning</v>
      </c>
      <c r="X169" s="240" t="str">
        <f>IFERROR(__xludf.DUMMYFUNCTION("IFERROR(
  FILTER('CBK Students'!R:R, TRIM('CBK Students'!B:B) = TRIM(A169)),
  """"
)"),"Prepare for Showcase")</f>
        <v>Prepare for Showcase</v>
      </c>
      <c r="Y169" s="4" t="str">
        <f t="shared" si="2"/>
        <v>Showcase Delay</v>
      </c>
      <c r="Z169" s="4" t="str">
        <f>IFERROR(__xludf.DUMMYFUNCTION("IFERROR(
  FILTER('CBK Students'!O:O, TRIM('CBK Students'!B:B) = TRIM(A169)),
  """"
)"),"")</f>
        <v/>
      </c>
      <c r="AA169" s="4" t="str">
        <f>IFERROR(__xludf.DUMMYFUNCTION("IFERROR(
  FILTER('CBK Students'!P:P, TRIM('CBK Students'!B:B) = TRIM(A169)),
  """"
)"),"")</f>
        <v/>
      </c>
      <c r="AB169" s="4" t="str">
        <f>IFERROR(__xludf.DUMMYFUNCTION("IFERROR(
  FILTER('CBK Students'!Q:Q, TRIM('CBK Students'!B:B) = TRIM(A169)),
  """"
)"),"")</f>
        <v/>
      </c>
    </row>
    <row r="170" ht="18.75" customHeight="1">
      <c r="T170" s="240" t="str">
        <f>IFERROR(__xludf.DUMMYFUNCTION("IFERROR(
  FILTER('CBK Students'!F:F, TRIM('CBK Students'!B:B) = TRIM(A170)),
  """"
)"),"TH 12:45-1:45pm")</f>
        <v>TH 12:45-1:45pm</v>
      </c>
      <c r="U170" s="240" t="str">
        <f>IFERROR(__xludf.DUMMYFUNCTION("IFERROR(
  FILTER('CBK Students'!H:H, TRIM('CBK Students'!B:B) = TRIM(A170)),
  """"
)"),"Lam")</f>
        <v>Lam</v>
      </c>
      <c r="V170" s="240">
        <f>IFERROR(__xludf.DUMMYFUNCTION("IFERROR(
  FILTER('CBK Students'!M:M, TRIM('CBK Students'!B:B) = TRIM(A170)),
  """"
)"),54.0)</f>
        <v>54</v>
      </c>
      <c r="W170" s="240" t="str">
        <f t="shared" si="1"/>
        <v>Start with Final Project</v>
      </c>
      <c r="X170" s="240" t="str">
        <f>IFERROR(__xludf.DUMMYFUNCTION("IFERROR(
  FILTER('CBK Students'!R:R, TRIM('CBK Students'!B:B) = TRIM(A170)),
  """"
)"),"Prepare for Showcase")</f>
        <v>Prepare for Showcase</v>
      </c>
      <c r="Y170" s="4" t="str">
        <f t="shared" si="2"/>
        <v>Showcase Delay</v>
      </c>
      <c r="Z170" s="4" t="str">
        <f>IFERROR(__xludf.DUMMYFUNCTION("IFERROR(
  FILTER('CBK Students'!O:O, TRIM('CBK Students'!B:B) = TRIM(A170)),
  """"
)"),"")</f>
        <v/>
      </c>
      <c r="AA170" s="4" t="str">
        <f>IFERROR(__xludf.DUMMYFUNCTION("IFERROR(
  FILTER('CBK Students'!P:P, TRIM('CBK Students'!B:B) = TRIM(A170)),
  """"
)"),"")</f>
        <v/>
      </c>
      <c r="AB170" s="4" t="str">
        <f>IFERROR(__xludf.DUMMYFUNCTION("IFERROR(
  FILTER('CBK Students'!Q:Q, TRIM('CBK Students'!B:B) = TRIM(A170)),
  """"
)"),"")</f>
        <v/>
      </c>
    </row>
    <row r="171" ht="18.75" customHeight="1">
      <c r="T171" s="240" t="str">
        <f>IFERROR(__xludf.DUMMYFUNCTION("IFERROR(
  FILTER('CBK Students'!F:F, TRIM('CBK Students'!B:B) = TRIM(A171)),
  """"
)"),"2 Wed 7:30-8:30pm")</f>
        <v>2 Wed 7:30-8:30pm</v>
      </c>
      <c r="U171" s="240" t="str">
        <f>IFERROR(__xludf.DUMMYFUNCTION("IFERROR(
  FILTER('CBK Students'!H:H, TRIM('CBK Students'!B:B) = TRIM(A171)),
  """"
)"),"Max")</f>
        <v>Max</v>
      </c>
      <c r="V171" s="240">
        <f>IFERROR(__xludf.DUMMYFUNCTION("IFERROR(
  FILTER('CBK Students'!M:M, TRIM('CBK Students'!B:B) = TRIM(A171)),
  """"
)"),13.0)</f>
        <v>13</v>
      </c>
      <c r="W171" s="240" t="str">
        <f t="shared" si="1"/>
        <v>Learning</v>
      </c>
      <c r="X171" s="240" t="str">
        <f>IFERROR(__xludf.DUMMYFUNCTION("IFERROR(
  FILTER('CBK Students'!R:R, TRIM('CBK Students'!B:B) = TRIM(A171)),
  """"
)"),"Learning")</f>
        <v>Learning</v>
      </c>
      <c r="Y171" s="4" t="str">
        <f t="shared" si="2"/>
        <v>On Track</v>
      </c>
      <c r="Z171" s="4" t="str">
        <f>IFERROR(__xludf.DUMMYFUNCTION("IFERROR(
  FILTER('CBK Students'!O:O, TRIM('CBK Students'!B:B) = TRIM(A171)),
  """"
)"),"")</f>
        <v/>
      </c>
      <c r="AA171" s="4" t="str">
        <f>IFERROR(__xludf.DUMMYFUNCTION("IFERROR(
  FILTER('CBK Students'!P:P, TRIM('CBK Students'!B:B) = TRIM(A171)),
  """"
)"),"")</f>
        <v/>
      </c>
      <c r="AB171" s="4" t="str">
        <f>IFERROR(__xludf.DUMMYFUNCTION("IFERROR(
  FILTER('CBK Students'!Q:Q, TRIM('CBK Students'!B:B) = TRIM(A171)),
  """"
)"),"")</f>
        <v/>
      </c>
    </row>
    <row r="172" ht="18.75" customHeight="1">
      <c r="T172" s="240" t="str">
        <f>IFERROR(__xludf.DUMMYFUNCTION("IFERROR(
  FILTER('CBK Students'!F:F, TRIM('CBK Students'!B:B) = TRIM(A172)),
  """"
)"),"5 Sat 10:00-11:00am")</f>
        <v>5 Sat 10:00-11:00am</v>
      </c>
      <c r="U172" s="240" t="str">
        <f>IFERROR(__xludf.DUMMYFUNCTION("IFERROR(
  FILTER('CBK Students'!H:H, TRIM('CBK Students'!B:B) = TRIM(A172)),
  """"
)"),"Kerry")</f>
        <v>Kerry</v>
      </c>
      <c r="V172" s="240">
        <f>IFERROR(__xludf.DUMMYFUNCTION("IFERROR(
  FILTER('CBK Students'!M:M, TRIM('CBK Students'!B:B) = TRIM(A172)),
  """"
)"),49.0)</f>
        <v>49</v>
      </c>
      <c r="W172" s="240" t="str">
        <f t="shared" si="1"/>
        <v>Learning</v>
      </c>
      <c r="X172" s="240" t="str">
        <f>IFERROR(__xludf.DUMMYFUNCTION("IFERROR(
  FILTER('CBK Students'!R:R, TRIM('CBK Students'!B:B) = TRIM(A172)),
  """"
)"),"Prepare for Showcase")</f>
        <v>Prepare for Showcase</v>
      </c>
      <c r="Y172" s="4" t="str">
        <f t="shared" si="2"/>
        <v>Showcase Delay</v>
      </c>
      <c r="Z172" s="4" t="str">
        <f>IFERROR(__xludf.DUMMYFUNCTION("IFERROR(
  FILTER('CBK Students'!O:O, TRIM('CBK Students'!B:B) = TRIM(A172)),
  """"
)"),"")</f>
        <v/>
      </c>
      <c r="AA172" s="4" t="str">
        <f>IFERROR(__xludf.DUMMYFUNCTION("IFERROR(
  FILTER('CBK Students'!P:P, TRIM('CBK Students'!B:B) = TRIM(A172)),
  """"
)"),"")</f>
        <v/>
      </c>
      <c r="AB172" s="4" t="str">
        <f>IFERROR(__xludf.DUMMYFUNCTION("IFERROR(
  FILTER('CBK Students'!Q:Q, TRIM('CBK Students'!B:B) = TRIM(A172)),
  """"
)"),"")</f>
        <v/>
      </c>
    </row>
    <row r="173" ht="18.75" customHeight="1">
      <c r="T173" s="240" t="str">
        <f>IFERROR(__xludf.DUMMYFUNCTION("IFERROR(
  FILTER('CBK Students'!F:F, TRIM('CBK Students'!B:B) = TRIM(A173)),
  """"
)"),"SL 1:00-2:00pm")</f>
        <v>SL 1:00-2:00pm</v>
      </c>
      <c r="U173" s="240" t="str">
        <f>IFERROR(__xludf.DUMMYFUNCTION("IFERROR(
  FILTER('CBK Students'!H:H, TRIM('CBK Students'!B:B) = TRIM(A173)),
  """"
)"),"Chuan")</f>
        <v>Chuan</v>
      </c>
      <c r="V173" s="240">
        <f>IFERROR(__xludf.DUMMYFUNCTION("IFERROR(
  FILTER('CBK Students'!M:M, TRIM('CBK Students'!B:B) = TRIM(A173)),
  """"
)"),2.0)</f>
        <v>2</v>
      </c>
      <c r="W173" s="240" t="str">
        <f t="shared" si="1"/>
        <v/>
      </c>
      <c r="X173" s="240" t="str">
        <f>IFERROR(__xludf.DUMMYFUNCTION("IFERROR(
  FILTER('CBK Students'!R:R, TRIM('CBK Students'!B:B) = TRIM(A173)),
  """"
)"),"Learning")</f>
        <v>Learning</v>
      </c>
      <c r="Y173" s="4" t="str">
        <f t="shared" si="2"/>
        <v/>
      </c>
      <c r="Z173" s="4" t="str">
        <f>IFERROR(__xludf.DUMMYFUNCTION("IFERROR(
  FILTER('CBK Students'!O:O, TRIM('CBK Students'!B:B) = TRIM(A173)),
  """"
)"),"")</f>
        <v/>
      </c>
      <c r="AA173" s="4" t="str">
        <f>IFERROR(__xludf.DUMMYFUNCTION("IFERROR(
  FILTER('CBK Students'!P:P, TRIM('CBK Students'!B:B) = TRIM(A173)),
  """"
)"),"")</f>
        <v/>
      </c>
      <c r="AB173" s="4" t="str">
        <f>IFERROR(__xludf.DUMMYFUNCTION("IFERROR(
  FILTER('CBK Students'!Q:Q, TRIM('CBK Students'!B:B) = TRIM(A173)),
  """"
)"),"")</f>
        <v/>
      </c>
    </row>
    <row r="174" ht="18.75" customHeight="1">
      <c r="T174" s="240" t="str">
        <f>IFERROR(__xludf.DUMMYFUNCTION("IFERROR(
  FILTER('CBK Students'!F:F, TRIM('CBK Students'!B:B) = TRIM(A174)),
  """"
)"),"9 Sat 4:00-5:00pm")</f>
        <v>9 Sat 4:00-5:00pm</v>
      </c>
      <c r="U174" s="240" t="str">
        <f>IFERROR(__xludf.DUMMYFUNCTION("IFERROR(
  FILTER('CBK Students'!H:H, TRIM('CBK Students'!B:B) = TRIM(A174)),
  """"
)"),"Enouch")</f>
        <v>Enouch</v>
      </c>
      <c r="V174" s="240">
        <f>IFERROR(__xludf.DUMMYFUNCTION("IFERROR(
  FILTER('CBK Students'!M:M, TRIM('CBK Students'!B:B) = TRIM(A174)),
  """"
)"),66.0)</f>
        <v>66</v>
      </c>
      <c r="W174" s="240" t="str">
        <f t="shared" si="1"/>
        <v>Start with Final Project</v>
      </c>
      <c r="X174" s="240" t="str">
        <f>IFERROR(__xludf.DUMMYFUNCTION("IFERROR(
  FILTER('CBK Students'!R:R, TRIM('CBK Students'!B:B) = TRIM(A174)),
  """"
)"),"Prepare for Showcase")</f>
        <v>Prepare for Showcase</v>
      </c>
      <c r="Y174" s="4" t="str">
        <f t="shared" si="2"/>
        <v>Showcase Delay</v>
      </c>
      <c r="Z174" s="4" t="str">
        <f>IFERROR(__xludf.DUMMYFUNCTION("IFERROR(
  FILTER('CBK Students'!O:O, TRIM('CBK Students'!B:B) = TRIM(A174)),
  """"
)"),"")</f>
        <v/>
      </c>
      <c r="AA174" s="4" t="str">
        <f>IFERROR(__xludf.DUMMYFUNCTION("IFERROR(
  FILTER('CBK Students'!P:P, TRIM('CBK Students'!B:B) = TRIM(A174)),
  """"
)"),"")</f>
        <v/>
      </c>
      <c r="AB174" s="4" t="str">
        <f>IFERROR(__xludf.DUMMYFUNCTION("IFERROR(
  FILTER('CBK Students'!Q:Q, TRIM('CBK Students'!B:B) = TRIM(A174)),
  """"
)"),"")</f>
        <v/>
      </c>
    </row>
    <row r="175" ht="18.75" customHeight="1">
      <c r="T175" s="240" t="str">
        <f>IFERROR(__xludf.DUMMYFUNCTION("IFERROR(
  FILTER('CBK Students'!F:F, TRIM('CBK Students'!B:B) = TRIM(A175)),
  """"
)"),"6 Sat 11:00-12:00pm")</f>
        <v>6 Sat 11:00-12:00pm</v>
      </c>
      <c r="U175" s="240" t="str">
        <f>IFERROR(__xludf.DUMMYFUNCTION("IFERROR(
  FILTER('CBK Students'!H:H, TRIM('CBK Students'!B:B) = TRIM(A175)),
  """"
)"),"Kerry")</f>
        <v>Kerry</v>
      </c>
      <c r="V175" s="240">
        <f>IFERROR(__xludf.DUMMYFUNCTION("IFERROR(
  FILTER('CBK Students'!M:M, TRIM('CBK Students'!B:B) = TRIM(A175)),
  """"
)"),73.0)</f>
        <v>73</v>
      </c>
      <c r="W175" s="240" t="str">
        <f t="shared" si="1"/>
        <v>Start with Final Project</v>
      </c>
      <c r="X175" s="240" t="str">
        <f>IFERROR(__xludf.DUMMYFUNCTION("IFERROR(
  FILTER('CBK Students'!R:R, TRIM('CBK Students'!B:B) = TRIM(A175)),
  """"
)"),"Prepare for Showcase")</f>
        <v>Prepare for Showcase</v>
      </c>
      <c r="Y175" s="4" t="str">
        <f t="shared" si="2"/>
        <v>Showcase Delay</v>
      </c>
      <c r="Z175" s="4" t="str">
        <f>IFERROR(__xludf.DUMMYFUNCTION("IFERROR(
  FILTER('CBK Students'!O:O, TRIM('CBK Students'!B:B) = TRIM(A175)),
  """"
)"),"")</f>
        <v/>
      </c>
      <c r="AA175" s="4" t="str">
        <f>IFERROR(__xludf.DUMMYFUNCTION("IFERROR(
  FILTER('CBK Students'!P:P, TRIM('CBK Students'!B:B) = TRIM(A175)),
  """"
)"),"")</f>
        <v/>
      </c>
      <c r="AB175" s="4" t="str">
        <f>IFERROR(__xludf.DUMMYFUNCTION("IFERROR(
  FILTER('CBK Students'!Q:Q, TRIM('CBK Students'!B:B) = TRIM(A175)),
  """"
)"),"")</f>
        <v/>
      </c>
    </row>
    <row r="176" ht="18.75" customHeight="1">
      <c r="T176" s="240" t="str">
        <f>IFERROR(__xludf.DUMMYFUNCTION("IFERROR(
  FILTER('CBK Students'!F:F, TRIM('CBK Students'!B:B) = TRIM(A176)),
  """"
)"),"CH 12:00-1:00pm")</f>
        <v>CH 12:00-1:00pm</v>
      </c>
      <c r="U176" s="240" t="str">
        <f>IFERROR(__xludf.DUMMYFUNCTION("IFERROR(
  FILTER('CBK Students'!H:H, TRIM('CBK Students'!B:B) = TRIM(A176)),
  """"
)"),"Enouch")</f>
        <v>Enouch</v>
      </c>
      <c r="V176" s="240">
        <f>IFERROR(__xludf.DUMMYFUNCTION("IFERROR(
  FILTER('CBK Students'!M:M, TRIM('CBK Students'!B:B) = TRIM(A176)),
  """"
)"),53.0)</f>
        <v>53</v>
      </c>
      <c r="W176" s="240" t="str">
        <f t="shared" si="1"/>
        <v>Learning</v>
      </c>
      <c r="X176" s="240" t="str">
        <f>IFERROR(__xludf.DUMMYFUNCTION("IFERROR(
  FILTER('CBK Students'!R:R, TRIM('CBK Students'!B:B) = TRIM(A176)),
  """"
)"),"Prepare for Showcase")</f>
        <v>Prepare for Showcase</v>
      </c>
      <c r="Y176" s="4" t="str">
        <f t="shared" si="2"/>
        <v>Showcase Delay</v>
      </c>
      <c r="Z176" s="4" t="str">
        <f>IFERROR(__xludf.DUMMYFUNCTION("IFERROR(
  FILTER('CBK Students'!O:O, TRIM('CBK Students'!B:B) = TRIM(A176)),
  """"
)"),"")</f>
        <v/>
      </c>
      <c r="AA176" s="4" t="str">
        <f>IFERROR(__xludf.DUMMYFUNCTION("IFERROR(
  FILTER('CBK Students'!P:P, TRIM('CBK Students'!B:B) = TRIM(A176)),
  """"
)"),"")</f>
        <v/>
      </c>
      <c r="AB176" s="4" t="str">
        <f>IFERROR(__xludf.DUMMYFUNCTION("IFERROR(
  FILTER('CBK Students'!Q:Q, TRIM('CBK Students'!B:B) = TRIM(A176)),
  """"
)"),"")</f>
        <v/>
      </c>
    </row>
    <row r="177" ht="18.75" customHeight="1">
      <c r="T177" s="240" t="str">
        <f>IFERROR(__xludf.DUMMYFUNCTION("IFERROR(
  FILTER('CBK Students'!F:F, TRIM('CBK Students'!B:B) = TRIM(A177)),
  """"
)"),"TH 12:45-1:45pm")</f>
        <v>TH 12:45-1:45pm</v>
      </c>
      <c r="U177" s="240" t="str">
        <f>IFERROR(__xludf.DUMMYFUNCTION("IFERROR(
  FILTER('CBK Students'!H:H, TRIM('CBK Students'!B:B) = TRIM(A177)),
  """"
)"),"Kerry")</f>
        <v>Kerry</v>
      </c>
      <c r="V177" s="240">
        <f>IFERROR(__xludf.DUMMYFUNCTION("IFERROR(
  FILTER('CBK Students'!M:M, TRIM('CBK Students'!B:B) = TRIM(A177)),
  """"
)"),58.0)</f>
        <v>58</v>
      </c>
      <c r="W177" s="240" t="str">
        <f t="shared" si="1"/>
        <v>Start with Final Project</v>
      </c>
      <c r="X177" s="240" t="str">
        <f>IFERROR(__xludf.DUMMYFUNCTION("IFERROR(
  FILTER('CBK Students'!R:R, TRIM('CBK Students'!B:B) = TRIM(A177)),
  """"
)"),"Prepare for Showcase")</f>
        <v>Prepare for Showcase</v>
      </c>
      <c r="Y177" s="4" t="str">
        <f t="shared" si="2"/>
        <v>Showcase Delay</v>
      </c>
      <c r="Z177" s="4" t="str">
        <f>IFERROR(__xludf.DUMMYFUNCTION("IFERROR(
  FILTER('CBK Students'!O:O, TRIM('CBK Students'!B:B) = TRIM(A177)),
  """"
)"),"")</f>
        <v/>
      </c>
      <c r="AA177" s="4" t="str">
        <f>IFERROR(__xludf.DUMMYFUNCTION("IFERROR(
  FILTER('CBK Students'!P:P, TRIM('CBK Students'!B:B) = TRIM(A177)),
  """"
)"),"")</f>
        <v/>
      </c>
      <c r="AB177" s="4" t="str">
        <f>IFERROR(__xludf.DUMMYFUNCTION("IFERROR(
  FILTER('CBK Students'!Q:Q, TRIM('CBK Students'!B:B) = TRIM(A177)),
  """"
)"),"")</f>
        <v/>
      </c>
    </row>
    <row r="178" ht="18.75" customHeight="1">
      <c r="T178" s="240" t="str">
        <f>IFERROR(__xludf.DUMMYFUNCTION("IFERROR(
  FILTER('CBK Students'!F:F, TRIM('CBK Students'!B:B) = TRIM(A178)),
  """"
)"),"2 Wed 7:30-8:30pm")</f>
        <v>2 Wed 7:30-8:30pm</v>
      </c>
      <c r="U178" s="240" t="str">
        <f>IFERROR(__xludf.DUMMYFUNCTION("IFERROR(
  FILTER('CBK Students'!H:H, TRIM('CBK Students'!B:B) = TRIM(A178)),
  """"
)"),"Lam")</f>
        <v>Lam</v>
      </c>
      <c r="V178" s="240">
        <f>IFERROR(__xludf.DUMMYFUNCTION("IFERROR(
  FILTER('CBK Students'!M:M, TRIM('CBK Students'!B:B) = TRIM(A178)),
  """"
)"),6.0)</f>
        <v>6</v>
      </c>
      <c r="W178" s="240" t="str">
        <f t="shared" si="1"/>
        <v>Learning</v>
      </c>
      <c r="X178" s="240" t="str">
        <f>IFERROR(__xludf.DUMMYFUNCTION("IFERROR(
  FILTER('CBK Students'!R:R, TRIM('CBK Students'!B:B) = TRIM(A178)),
  """"
)"),"Learning")</f>
        <v>Learning</v>
      </c>
      <c r="Y178" s="4" t="str">
        <f t="shared" si="2"/>
        <v>On Track</v>
      </c>
      <c r="Z178" s="4" t="str">
        <f>IFERROR(__xludf.DUMMYFUNCTION("IFERROR(
  FILTER('CBK Students'!O:O, TRIM('CBK Students'!B:B) = TRIM(A178)),
  """"
)"),"")</f>
        <v/>
      </c>
      <c r="AA178" s="4" t="str">
        <f>IFERROR(__xludf.DUMMYFUNCTION("IFERROR(
  FILTER('CBK Students'!P:P, TRIM('CBK Students'!B:B) = TRIM(A178)),
  """"
)"),"")</f>
        <v/>
      </c>
      <c r="AB178" s="4" t="str">
        <f>IFERROR(__xludf.DUMMYFUNCTION("IFERROR(
  FILTER('CBK Students'!Q:Q, TRIM('CBK Students'!B:B) = TRIM(A178)),
  """"
)"),"")</f>
        <v/>
      </c>
    </row>
    <row r="179" ht="18.75" customHeight="1">
      <c r="T179" s="240" t="str">
        <f>IFERROR(__xludf.DUMMYFUNCTION("IFERROR(
  FILTER('CBK Students'!F:F, TRIM('CBK Students'!B:B) = TRIM(A179)),
  """"
)"),"TH 12:45-1:45pm")</f>
        <v>TH 12:45-1:45pm</v>
      </c>
      <c r="U179" s="240" t="str">
        <f>IFERROR(__xludf.DUMMYFUNCTION("IFERROR(
  FILTER('CBK Students'!H:H, TRIM('CBK Students'!B:B) = TRIM(A179)),
  """"
)"),"Lam")</f>
        <v>Lam</v>
      </c>
      <c r="V179" s="240">
        <f>IFERROR(__xludf.DUMMYFUNCTION("IFERROR(
  FILTER('CBK Students'!M:M, TRIM('CBK Students'!B:B) = TRIM(A179)),
  """"
)"),60.0)</f>
        <v>60</v>
      </c>
      <c r="W179" s="240" t="str">
        <f t="shared" si="1"/>
        <v>Start with Final Project</v>
      </c>
      <c r="X179" s="240" t="str">
        <f>IFERROR(__xludf.DUMMYFUNCTION("IFERROR(
  FILTER('CBK Students'!R:R, TRIM('CBK Students'!B:B) = TRIM(A179)),
  """"
)"),"Prepare for Showcase")</f>
        <v>Prepare for Showcase</v>
      </c>
      <c r="Y179" s="4" t="str">
        <f t="shared" si="2"/>
        <v>Showcase Delay</v>
      </c>
      <c r="Z179" s="4" t="str">
        <f>IFERROR(__xludf.DUMMYFUNCTION("IFERROR(
  FILTER('CBK Students'!O:O, TRIM('CBK Students'!B:B) = TRIM(A179)),
  """"
)"),"")</f>
        <v/>
      </c>
      <c r="AA179" s="4" t="str">
        <f>IFERROR(__xludf.DUMMYFUNCTION("IFERROR(
  FILTER('CBK Students'!P:P, TRIM('CBK Students'!B:B) = TRIM(A179)),
  """"
)"),"")</f>
        <v/>
      </c>
      <c r="AB179" s="4" t="str">
        <f>IFERROR(__xludf.DUMMYFUNCTION("IFERROR(
  FILTER('CBK Students'!Q:Q, TRIM('CBK Students'!B:B) = TRIM(A179)),
  """"
)"),"")</f>
        <v/>
      </c>
    </row>
    <row r="180" ht="18.75" customHeight="1">
      <c r="T180" s="240" t="str">
        <f>IFERROR(__xludf.DUMMYFUNCTION("IFERROR(
  FILTER('CBK Students'!F:F, TRIM('CBK Students'!B:B) = TRIM(A180)),
  """"
)"),"CH 12:00-1:00pm")</f>
        <v>CH 12:00-1:00pm</v>
      </c>
      <c r="U180" s="240" t="str">
        <f>IFERROR(__xludf.DUMMYFUNCTION("IFERROR(
  FILTER('CBK Students'!H:H, TRIM('CBK Students'!B:B) = TRIM(A180)),
  """"
)"),"Enouch")</f>
        <v>Enouch</v>
      </c>
      <c r="V180" s="240">
        <f>IFERROR(__xludf.DUMMYFUNCTION("IFERROR(
  FILTER('CBK Students'!M:M, TRIM('CBK Students'!B:B) = TRIM(A180)),
  """"
)"),73.0)</f>
        <v>73</v>
      </c>
      <c r="W180" s="240" t="str">
        <f t="shared" si="1"/>
        <v>Start with Final Project</v>
      </c>
      <c r="X180" s="240" t="str">
        <f>IFERROR(__xludf.DUMMYFUNCTION("IFERROR(
  FILTER('CBK Students'!R:R, TRIM('CBK Students'!B:B) = TRIM(A180)),
  """"
)"),"Prepare for Showcase")</f>
        <v>Prepare for Showcase</v>
      </c>
      <c r="Y180" s="4" t="str">
        <f t="shared" si="2"/>
        <v>Showcase Delay</v>
      </c>
      <c r="Z180" s="4" t="str">
        <f>IFERROR(__xludf.DUMMYFUNCTION("IFERROR(
  FILTER('CBK Students'!O:O, TRIM('CBK Students'!B:B) = TRIM(A180)),
  """"
)"),"")</f>
        <v/>
      </c>
      <c r="AA180" s="4" t="str">
        <f>IFERROR(__xludf.DUMMYFUNCTION("IFERROR(
  FILTER('CBK Students'!P:P, TRIM('CBK Students'!B:B) = TRIM(A180)),
  """"
)"),"")</f>
        <v/>
      </c>
      <c r="AB180" s="4" t="str">
        <f>IFERROR(__xludf.DUMMYFUNCTION("IFERROR(
  FILTER('CBK Students'!Q:Q, TRIM('CBK Students'!B:B) = TRIM(A180)),
  """"
)"),"")</f>
        <v/>
      </c>
    </row>
    <row r="181" ht="18.75" customHeight="1">
      <c r="T181" s="240" t="str">
        <f>IFERROR(__xludf.DUMMYFUNCTION("IFERROR(
  FILTER('CBK Students'!F:F, TRIM('CBK Students'!B:B) = TRIM(A181)),
  """"
)"),"WIN 2:30-3:30pm")</f>
        <v>WIN 2:30-3:30pm</v>
      </c>
      <c r="U181" s="240" t="str">
        <f>IFERROR(__xludf.DUMMYFUNCTION("IFERROR(
  FILTER('CBK Students'!H:H, TRIM('CBK Students'!B:B) = TRIM(A181)),
  """"
)"),"Kerry")</f>
        <v>Kerry</v>
      </c>
      <c r="V181" s="240">
        <f>IFERROR(__xludf.DUMMYFUNCTION("IFERROR(
  FILTER('CBK Students'!M:M, TRIM('CBK Students'!B:B) = TRIM(A181)),
  """"
)"),13.0)</f>
        <v>13</v>
      </c>
      <c r="W181" s="240" t="str">
        <f t="shared" si="1"/>
        <v>Start with Final Project</v>
      </c>
      <c r="X181" s="240" t="str">
        <f>IFERROR(__xludf.DUMMYFUNCTION("IFERROR(
  FILTER('CBK Students'!R:R, TRIM('CBK Students'!B:B) = TRIM(A181)),
  """"
)"),"Learning")</f>
        <v>Learning</v>
      </c>
      <c r="Y181" s="4" t="str">
        <f t="shared" si="2"/>
        <v>On Track</v>
      </c>
      <c r="Z181" s="4" t="str">
        <f>IFERROR(__xludf.DUMMYFUNCTION("IFERROR(
  FILTER('CBK Students'!O:O, TRIM('CBK Students'!B:B) = TRIM(A181)),
  """"
)"),"")</f>
        <v/>
      </c>
      <c r="AA181" s="4" t="str">
        <f>IFERROR(__xludf.DUMMYFUNCTION("IFERROR(
  FILTER('CBK Students'!P:P, TRIM('CBK Students'!B:B) = TRIM(A181)),
  """"
)"),"")</f>
        <v/>
      </c>
      <c r="AB181" s="4" t="str">
        <f>IFERROR(__xludf.DUMMYFUNCTION("IFERROR(
  FILTER('CBK Students'!Q:Q, TRIM('CBK Students'!B:B) = TRIM(A181)),
  """"
)"),"")</f>
        <v/>
      </c>
    </row>
    <row r="182" ht="18.75" customHeight="1">
      <c r="T182" s="240" t="str">
        <f>IFERROR(__xludf.DUMMYFUNCTION("IFERROR(
  FILTER('CBK Students'!F:F, TRIM('CBK Students'!B:B) = TRIM(A182)),
  """"
)"),"TH 12:45-1:45pm")</f>
        <v>TH 12:45-1:45pm</v>
      </c>
      <c r="U182" s="240" t="str">
        <f>IFERROR(__xludf.DUMMYFUNCTION("IFERROR(
  FILTER('CBK Students'!H:H, TRIM('CBK Students'!B:B) = TRIM(A182)),
  """"
)"),"Lam")</f>
        <v>Lam</v>
      </c>
      <c r="V182" s="240">
        <f>IFERROR(__xludf.DUMMYFUNCTION("IFERROR(
  FILTER('CBK Students'!M:M, TRIM('CBK Students'!B:B) = TRIM(A182)),
  """"
)"),2.0)</f>
        <v>2</v>
      </c>
      <c r="W182" s="240" t="str">
        <f t="shared" si="1"/>
        <v>Start with Final Project</v>
      </c>
      <c r="X182" s="240" t="str">
        <f>IFERROR(__xludf.DUMMYFUNCTION("IFERROR(
  FILTER('CBK Students'!R:R, TRIM('CBK Students'!B:B) = TRIM(A182)),
  """"
)"),"Learning")</f>
        <v>Learning</v>
      </c>
      <c r="Y182" s="4" t="str">
        <f t="shared" si="2"/>
        <v>On Track</v>
      </c>
      <c r="Z182" s="4" t="str">
        <f>IFERROR(__xludf.DUMMYFUNCTION("IFERROR(
  FILTER('CBK Students'!O:O, TRIM('CBK Students'!B:B) = TRIM(A182)),
  """"
)"),"")</f>
        <v/>
      </c>
      <c r="AA182" s="4" t="str">
        <f>IFERROR(__xludf.DUMMYFUNCTION("IFERROR(
  FILTER('CBK Students'!P:P, TRIM('CBK Students'!B:B) = TRIM(A182)),
  """"
)"),"")</f>
        <v/>
      </c>
      <c r="AB182" s="4" t="str">
        <f>IFERROR(__xludf.DUMMYFUNCTION("IFERROR(
  FILTER('CBK Students'!Q:Q, TRIM('CBK Students'!B:B) = TRIM(A182)),
  """"
)"),"")</f>
        <v/>
      </c>
    </row>
    <row r="183" ht="18.75" customHeight="1">
      <c r="T183" s="240" t="str">
        <f>IFERROR(__xludf.DUMMYFUNCTION("IFERROR(
  FILTER('CBK Students'!F:F, TRIM('CBK Students'!B:B) = TRIM(A183)),
  """"
)"),"5 Sat 10:00-11:00am")</f>
        <v>5 Sat 10:00-11:00am</v>
      </c>
      <c r="U183" s="240" t="str">
        <f>IFERROR(__xludf.DUMMYFUNCTION("IFERROR(
  FILTER('CBK Students'!H:H, TRIM('CBK Students'!B:B) = TRIM(A183)),
  """"
)"),"Enouch")</f>
        <v>Enouch</v>
      </c>
      <c r="V183" s="240">
        <f>IFERROR(__xludf.DUMMYFUNCTION("IFERROR(
  FILTER('CBK Students'!M:M, TRIM('CBK Students'!B:B) = TRIM(A183)),
  """"
)"),49.0)</f>
        <v>49</v>
      </c>
      <c r="W183" s="240" t="str">
        <f t="shared" si="1"/>
        <v>Learning</v>
      </c>
      <c r="X183" s="240" t="str">
        <f>IFERROR(__xludf.DUMMYFUNCTION("IFERROR(
  FILTER('CBK Students'!R:R, TRIM('CBK Students'!B:B) = TRIM(A183)),
  """"
)"),"Prepare for Showcase")</f>
        <v>Prepare for Showcase</v>
      </c>
      <c r="Y183" s="4" t="str">
        <f t="shared" si="2"/>
        <v>Showcase Delay</v>
      </c>
      <c r="Z183" s="4" t="str">
        <f>IFERROR(__xludf.DUMMYFUNCTION("IFERROR(
  FILTER('CBK Students'!O:O, TRIM('CBK Students'!B:B) = TRIM(A183)),
  """"
)"),"")</f>
        <v/>
      </c>
      <c r="AA183" s="4" t="str">
        <f>IFERROR(__xludf.DUMMYFUNCTION("IFERROR(
  FILTER('CBK Students'!P:P, TRIM('CBK Students'!B:B) = TRIM(A183)),
  """"
)"),"")</f>
        <v/>
      </c>
      <c r="AB183" s="4" t="str">
        <f>IFERROR(__xludf.DUMMYFUNCTION("IFERROR(
  FILTER('CBK Students'!Q:Q, TRIM('CBK Students'!B:B) = TRIM(A183)),
  """"
)"),"")</f>
        <v/>
      </c>
    </row>
    <row r="184" ht="18.75" customHeight="1">
      <c r="T184" s="240" t="str">
        <f>IFERROR(__xludf.DUMMYFUNCTION("IFERROR(
  FILTER('CBK Students'!F:F, TRIM('CBK Students'!B:B) = TRIM(A184)),
  """"
)"),"CS 1:20-3:30pm")</f>
        <v>CS 1:20-3:30pm</v>
      </c>
      <c r="U184" s="240" t="str">
        <f>IFERROR(__xludf.DUMMYFUNCTION("IFERROR(
  FILTER('CBK Students'!H:H, TRIM('CBK Students'!B:B) = TRIM(A184)),
  """"
)"),"Kerry")</f>
        <v>Kerry</v>
      </c>
      <c r="V184" s="240">
        <f>IFERROR(__xludf.DUMMYFUNCTION("IFERROR(
  FILTER('CBK Students'!M:M, TRIM('CBK Students'!B:B) = TRIM(A184)),
  """"
)"),13.0)</f>
        <v>13</v>
      </c>
      <c r="W184" s="240" t="str">
        <f t="shared" si="1"/>
        <v/>
      </c>
      <c r="X184" s="240" t="str">
        <f>IFERROR(__xludf.DUMMYFUNCTION("IFERROR(
  FILTER('CBK Students'!R:R, TRIM('CBK Students'!B:B) = TRIM(A184)),
  """"
)"),"Learning")</f>
        <v>Learning</v>
      </c>
      <c r="Y184" s="4" t="str">
        <f t="shared" si="2"/>
        <v/>
      </c>
      <c r="Z184" s="4" t="str">
        <f>IFERROR(__xludf.DUMMYFUNCTION("IFERROR(
  FILTER('CBK Students'!O:O, TRIM('CBK Students'!B:B) = TRIM(A184)),
  """"
)"),"")</f>
        <v/>
      </c>
      <c r="AA184" s="4" t="str">
        <f>IFERROR(__xludf.DUMMYFUNCTION("IFERROR(
  FILTER('CBK Students'!P:P, TRIM('CBK Students'!B:B) = TRIM(A184)),
  """"
)"),"")</f>
        <v/>
      </c>
      <c r="AB184" s="4" t="str">
        <f>IFERROR(__xludf.DUMMYFUNCTION("IFERROR(
  FILTER('CBK Students'!Q:Q, TRIM('CBK Students'!B:B) = TRIM(A184)),
  """"
)"),"")</f>
        <v/>
      </c>
    </row>
    <row r="185" ht="18.75" customHeight="1">
      <c r="T185" s="240" t="str">
        <f>IFERROR(__xludf.DUMMYFUNCTION("IFERROR(
  FILTER('CBK Students'!F:F, TRIM('CBK Students'!B:B) = TRIM(A185)),
  """"
)"),"SHS 2:00-3:00pm")</f>
        <v>SHS 2:00-3:00pm</v>
      </c>
      <c r="U185" s="240" t="str">
        <f>IFERROR(__xludf.DUMMYFUNCTION("IFERROR(
  FILTER('CBK Students'!H:H, TRIM('CBK Students'!B:B) = TRIM(A185)),
  """"
)"),"Kerry")</f>
        <v>Kerry</v>
      </c>
      <c r="V185" s="240">
        <f>IFERROR(__xludf.DUMMYFUNCTION("IFERROR(
  FILTER('CBK Students'!M:M, TRIM('CBK Students'!B:B) = TRIM(A185)),
  """"
)"),28.0)</f>
        <v>28</v>
      </c>
      <c r="W185" s="240" t="str">
        <f t="shared" si="1"/>
        <v>Start with Final Project</v>
      </c>
      <c r="X185" s="240" t="str">
        <f>IFERROR(__xludf.DUMMYFUNCTION("IFERROR(
  FILTER('CBK Students'!R:R, TRIM('CBK Students'!B:B) = TRIM(A185)),
  """"
)"),"Learning")</f>
        <v>Learning</v>
      </c>
      <c r="Y185" s="4" t="str">
        <f t="shared" si="2"/>
        <v>On Track</v>
      </c>
      <c r="Z185" s="4" t="str">
        <f>IFERROR(__xludf.DUMMYFUNCTION("IFERROR(
  FILTER('CBK Students'!O:O, TRIM('CBK Students'!B:B) = TRIM(A185)),
  """"
)"),"")</f>
        <v/>
      </c>
      <c r="AA185" s="4" t="str">
        <f>IFERROR(__xludf.DUMMYFUNCTION("IFERROR(
  FILTER('CBK Students'!P:P, TRIM('CBK Students'!B:B) = TRIM(A185)),
  """"
)"),"")</f>
        <v/>
      </c>
      <c r="AB185" s="4" t="str">
        <f>IFERROR(__xludf.DUMMYFUNCTION("IFERROR(
  FILTER('CBK Students'!Q:Q, TRIM('CBK Students'!B:B) = TRIM(A185)),
  """"
)"),"")</f>
        <v/>
      </c>
    </row>
    <row r="186" ht="18.75" customHeight="1">
      <c r="T186" s="240" t="str">
        <f>IFERROR(__xludf.DUMMYFUNCTION("IFERROR(
  FILTER('CBK Students'!F:F, TRIM('CBK Students'!B:B) = TRIM(A186)),
  """"
)"),"6 Sat 11:00-12:00pm")</f>
        <v>6 Sat 11:00-12:00pm</v>
      </c>
      <c r="U186" s="240" t="str">
        <f>IFERROR(__xludf.DUMMYFUNCTION("IFERROR(
  FILTER('CBK Students'!H:H, TRIM('CBK Students'!B:B) = TRIM(A186)),
  """"
)"),"Enouch")</f>
        <v>Enouch</v>
      </c>
      <c r="V186" s="240">
        <f>IFERROR(__xludf.DUMMYFUNCTION("IFERROR(
  FILTER('CBK Students'!M:M, TRIM('CBK Students'!B:B) = TRIM(A186)),
  """"
)"),49.0)</f>
        <v>49</v>
      </c>
      <c r="W186" s="240" t="str">
        <f t="shared" si="1"/>
        <v>Start with Final Project</v>
      </c>
      <c r="X186" s="240" t="str">
        <f>IFERROR(__xludf.DUMMYFUNCTION("IFERROR(
  FILTER('CBK Students'!R:R, TRIM('CBK Students'!B:B) = TRIM(A186)),
  """"
)"),"Prepare for Showcase")</f>
        <v>Prepare for Showcase</v>
      </c>
      <c r="Y186" s="4" t="str">
        <f t="shared" si="2"/>
        <v>Showcase Delay</v>
      </c>
      <c r="Z186" s="4" t="str">
        <f>IFERROR(__xludf.DUMMYFUNCTION("IFERROR(
  FILTER('CBK Students'!O:O, TRIM('CBK Students'!B:B) = TRIM(A186)),
  """"
)"),"")</f>
        <v/>
      </c>
      <c r="AA186" s="4" t="str">
        <f>IFERROR(__xludf.DUMMYFUNCTION("IFERROR(
  FILTER('CBK Students'!P:P, TRIM('CBK Students'!B:B) = TRIM(A186)),
  """"
)"),"")</f>
        <v/>
      </c>
      <c r="AB186" s="4" t="str">
        <f>IFERROR(__xludf.DUMMYFUNCTION("IFERROR(
  FILTER('CBK Students'!Q:Q, TRIM('CBK Students'!B:B) = TRIM(A186)),
  """"
)"),"")</f>
        <v/>
      </c>
    </row>
    <row r="187" ht="18.75" customHeight="1">
      <c r="T187" s="240" t="str">
        <f>IFERROR(__xludf.DUMMYFUNCTION("IFERROR(
  FILTER('CBK Students'!F:F, TRIM('CBK Students'!B:B) = TRIM(A187)),
  """"
)"),"9 Sat 4:00-5:00pm")</f>
        <v>9 Sat 4:00-5:00pm</v>
      </c>
      <c r="U187" s="240" t="str">
        <f>IFERROR(__xludf.DUMMYFUNCTION("IFERROR(
  FILTER('CBK Students'!H:H, TRIM('CBK Students'!B:B) = TRIM(A187)),
  """"
)"),"Evelyn")</f>
        <v>Evelyn</v>
      </c>
      <c r="V187" s="240">
        <f>IFERROR(__xludf.DUMMYFUNCTION("IFERROR(
  FILTER('CBK Students'!M:M, TRIM('CBK Students'!B:B) = TRIM(A187)),
  """"
)"),58.0)</f>
        <v>58</v>
      </c>
      <c r="W187" s="240" t="str">
        <f t="shared" si="1"/>
        <v>Learning</v>
      </c>
      <c r="X187" s="240" t="str">
        <f>IFERROR(__xludf.DUMMYFUNCTION("IFERROR(
  FILTER('CBK Students'!R:R, TRIM('CBK Students'!B:B) = TRIM(A187)),
  """"
)"),"Prepare for Showcase")</f>
        <v>Prepare for Showcase</v>
      </c>
      <c r="Y187" s="4" t="str">
        <f t="shared" si="2"/>
        <v>Showcase Delay</v>
      </c>
      <c r="Z187" s="4" t="str">
        <f>IFERROR(__xludf.DUMMYFUNCTION("IFERROR(
  FILTER('CBK Students'!O:O, TRIM('CBK Students'!B:B) = TRIM(A187)),
  """"
)"),"")</f>
        <v/>
      </c>
      <c r="AA187" s="4" t="str">
        <f>IFERROR(__xludf.DUMMYFUNCTION("IFERROR(
  FILTER('CBK Students'!P:P, TRIM('CBK Students'!B:B) = TRIM(A187)),
  """"
)"),"")</f>
        <v/>
      </c>
      <c r="AB187" s="4" t="str">
        <f>IFERROR(__xludf.DUMMYFUNCTION("IFERROR(
  FILTER('CBK Students'!Q:Q, TRIM('CBK Students'!B:B) = TRIM(A187)),
  """"
)"),"")</f>
        <v/>
      </c>
    </row>
    <row r="188" ht="18.75" customHeight="1">
      <c r="T188" s="240" t="str">
        <f>IFERROR(__xludf.DUMMYFUNCTION("IFERROR(
  FILTER('CBK Students'!F:F, TRIM('CBK Students'!B:B) = TRIM(A188)),
  """"
)"),"CS 1:20-3:30pm")</f>
        <v>CS 1:20-3:30pm</v>
      </c>
      <c r="U188" s="240" t="str">
        <f>IFERROR(__xludf.DUMMYFUNCTION("IFERROR(
  FILTER('CBK Students'!H:H, TRIM('CBK Students'!B:B) = TRIM(A188)),
  """"
)"),"Kerry")</f>
        <v>Kerry</v>
      </c>
      <c r="V188" s="240">
        <f>IFERROR(__xludf.DUMMYFUNCTION("IFERROR(
  FILTER('CBK Students'!M:M, TRIM('CBK Students'!B:B) = TRIM(A188)),
  """"
)"),10.0)</f>
        <v>10</v>
      </c>
      <c r="W188" s="240" t="str">
        <f t="shared" si="1"/>
        <v>Learning</v>
      </c>
      <c r="X188" s="240" t="str">
        <f>IFERROR(__xludf.DUMMYFUNCTION("IFERROR(
  FILTER('CBK Students'!R:R, TRIM('CBK Students'!B:B) = TRIM(A188)),
  """"
)"),"Learning")</f>
        <v>Learning</v>
      </c>
      <c r="Y188" s="4" t="str">
        <f t="shared" si="2"/>
        <v>On Track</v>
      </c>
      <c r="Z188" s="4" t="str">
        <f>IFERROR(__xludf.DUMMYFUNCTION("IFERROR(
  FILTER('CBK Students'!O:O, TRIM('CBK Students'!B:B) = TRIM(A188)),
  """"
)"),"")</f>
        <v/>
      </c>
      <c r="AA188" s="4" t="str">
        <f>IFERROR(__xludf.DUMMYFUNCTION("IFERROR(
  FILTER('CBK Students'!P:P, TRIM('CBK Students'!B:B) = TRIM(A188)),
  """"
)"),"")</f>
        <v/>
      </c>
      <c r="AB188" s="4" t="str">
        <f>IFERROR(__xludf.DUMMYFUNCTION("IFERROR(
  FILTER('CBK Students'!Q:Q, TRIM('CBK Students'!B:B) = TRIM(A188)),
  """"
)"),"")</f>
        <v/>
      </c>
    </row>
    <row r="189" ht="18.75" customHeight="1">
      <c r="T189" s="240" t="str">
        <f>IFERROR(__xludf.DUMMYFUNCTION("IFERROR(
  FILTER('CBK Students'!F:F, TRIM('CBK Students'!B:B) = TRIM(A189)),
  """"
)"),"WIN 2:30-3:30pm")</f>
        <v>WIN 2:30-3:30pm</v>
      </c>
      <c r="U189" s="240" t="str">
        <f>IFERROR(__xludf.DUMMYFUNCTION("IFERROR(
  FILTER('CBK Students'!H:H, TRIM('CBK Students'!B:B) = TRIM(A189)),
  """"
)"),"Kerry")</f>
        <v>Kerry</v>
      </c>
      <c r="V189" s="240">
        <f>IFERROR(__xludf.DUMMYFUNCTION("IFERROR(
  FILTER('CBK Students'!M:M, TRIM('CBK Students'!B:B) = TRIM(A189)),
  """"
)"),13.0)</f>
        <v>13</v>
      </c>
      <c r="W189" s="240" t="str">
        <f t="shared" si="1"/>
        <v>Learning</v>
      </c>
      <c r="X189" s="240" t="str">
        <f>IFERROR(__xludf.DUMMYFUNCTION("IFERROR(
  FILTER('CBK Students'!R:R, TRIM('CBK Students'!B:B) = TRIM(A189)),
  """"
)"),"Learning")</f>
        <v>Learning</v>
      </c>
      <c r="Y189" s="4" t="str">
        <f t="shared" si="2"/>
        <v>On Track</v>
      </c>
      <c r="Z189" s="4" t="str">
        <f>IFERROR(__xludf.DUMMYFUNCTION("IFERROR(
  FILTER('CBK Students'!O:O, TRIM('CBK Students'!B:B) = TRIM(A189)),
  """"
)"),"")</f>
        <v/>
      </c>
      <c r="AA189" s="4" t="str">
        <f>IFERROR(__xludf.DUMMYFUNCTION("IFERROR(
  FILTER('CBK Students'!P:P, TRIM('CBK Students'!B:B) = TRIM(A189)),
  """"
)"),"")</f>
        <v/>
      </c>
      <c r="AB189" s="4" t="str">
        <f>IFERROR(__xludf.DUMMYFUNCTION("IFERROR(
  FILTER('CBK Students'!Q:Q, TRIM('CBK Students'!B:B) = TRIM(A189)),
  """"
)"),"")</f>
        <v/>
      </c>
    </row>
    <row r="190" ht="18.75" customHeight="1">
      <c r="T190" s="240" t="str">
        <f>IFERROR(__xludf.DUMMYFUNCTION("IFERROR(
  FILTER('CBK Students'!F:F, TRIM('CBK Students'!B:B) = TRIM(A190)),
  """"
)"),"TH 12:45-1:45pm")</f>
        <v>TH 12:45-1:45pm</v>
      </c>
      <c r="U190" s="240" t="str">
        <f>IFERROR(__xludf.DUMMYFUNCTION("IFERROR(
  FILTER('CBK Students'!H:H, TRIM('CBK Students'!B:B) = TRIM(A190)),
  """"
)"),"Enouch")</f>
        <v>Enouch</v>
      </c>
      <c r="V190" s="240">
        <f>IFERROR(__xludf.DUMMYFUNCTION("IFERROR(
  FILTER('CBK Students'!M:M, TRIM('CBK Students'!B:B) = TRIM(A190)),
  """"
)"),60.0)</f>
        <v>60</v>
      </c>
      <c r="W190" s="240" t="str">
        <f t="shared" si="1"/>
        <v>Start with Final Project</v>
      </c>
      <c r="X190" s="240" t="str">
        <f>IFERROR(__xludf.DUMMYFUNCTION("IFERROR(
  FILTER('CBK Students'!R:R, TRIM('CBK Students'!B:B) = TRIM(A190)),
  """"
)"),"Prepare for Showcase")</f>
        <v>Prepare for Showcase</v>
      </c>
      <c r="Y190" s="4" t="str">
        <f t="shared" si="2"/>
        <v>Showcase Delay</v>
      </c>
      <c r="Z190" s="4" t="str">
        <f>IFERROR(__xludf.DUMMYFUNCTION("IFERROR(
  FILTER('CBK Students'!O:O, TRIM('CBK Students'!B:B) = TRIM(A190)),
  """"
)"),"")</f>
        <v/>
      </c>
      <c r="AA190" s="4" t="str">
        <f>IFERROR(__xludf.DUMMYFUNCTION("IFERROR(
  FILTER('CBK Students'!P:P, TRIM('CBK Students'!B:B) = TRIM(A190)),
  """"
)"),"")</f>
        <v/>
      </c>
      <c r="AB190" s="4" t="str">
        <f>IFERROR(__xludf.DUMMYFUNCTION("IFERROR(
  FILTER('CBK Students'!Q:Q, TRIM('CBK Students'!B:B) = TRIM(A190)),
  """"
)"),"")</f>
        <v/>
      </c>
    </row>
    <row r="191" ht="18.75" customHeight="1">
      <c r="T191" s="240" t="str">
        <f>IFERROR(__xludf.DUMMYFUNCTION("IFERROR(
  FILTER('CBK Students'!F:F, TRIM('CBK Students'!B:B) = TRIM(A191)),
  """"
)"),"6 Sat 11:00-12:00pm")</f>
        <v>6 Sat 11:00-12:00pm</v>
      </c>
      <c r="U191" s="240" t="str">
        <f>IFERROR(__xludf.DUMMYFUNCTION("IFERROR(
  FILTER('CBK Students'!H:H, TRIM('CBK Students'!B:B) = TRIM(A191)),
  """"
)"),"Mandy")</f>
        <v>Mandy</v>
      </c>
      <c r="V191" s="240">
        <f>IFERROR(__xludf.DUMMYFUNCTION("IFERROR(
  FILTER('CBK Students'!M:M, TRIM('CBK Students'!B:B) = TRIM(A191)),
  """"
)"),2.0)</f>
        <v>2</v>
      </c>
      <c r="W191" s="240" t="str">
        <f t="shared" si="1"/>
        <v/>
      </c>
      <c r="X191" s="240" t="str">
        <f>IFERROR(__xludf.DUMMYFUNCTION("IFERROR(
  FILTER('CBK Students'!R:R, TRIM('CBK Students'!B:B) = TRIM(A191)),
  """"
)"),"Learning")</f>
        <v>Learning</v>
      </c>
      <c r="Y191" s="4" t="str">
        <f t="shared" si="2"/>
        <v/>
      </c>
      <c r="Z191" s="4" t="str">
        <f>IFERROR(__xludf.DUMMYFUNCTION("IFERROR(
  FILTER('CBK Students'!O:O, TRIM('CBK Students'!B:B) = TRIM(A191)),
  """"
)"),"")</f>
        <v/>
      </c>
      <c r="AA191" s="4" t="str">
        <f>IFERROR(__xludf.DUMMYFUNCTION("IFERROR(
  FILTER('CBK Students'!P:P, TRIM('CBK Students'!B:B) = TRIM(A191)),
  """"
)"),"")</f>
        <v/>
      </c>
      <c r="AB191" s="4" t="str">
        <f>IFERROR(__xludf.DUMMYFUNCTION("IFERROR(
  FILTER('CBK Students'!Q:Q, TRIM('CBK Students'!B:B) = TRIM(A191)),
  """"
)"),"")</f>
        <v/>
      </c>
    </row>
    <row r="192" ht="18.75" customHeight="1">
      <c r="T192" s="240" t="str">
        <f>IFERROR(__xludf.DUMMYFUNCTION("IFERROR(
  FILTER('CBK Students'!F:F, TRIM('CBK Students'!B:B) = TRIM(A192)),
  """"
)"),"6 Sat 11:00-12:00pm")</f>
        <v>6 Sat 11:00-12:00pm</v>
      </c>
      <c r="U192" s="240" t="str">
        <f>IFERROR(__xludf.DUMMYFUNCTION("IFERROR(
  FILTER('CBK Students'!H:H, TRIM('CBK Students'!B:B) = TRIM(A192)),
  """"
)"),"Mandy")</f>
        <v>Mandy</v>
      </c>
      <c r="V192" s="240">
        <f>IFERROR(__xludf.DUMMYFUNCTION("IFERROR(
  FILTER('CBK Students'!M:M, TRIM('CBK Students'!B:B) = TRIM(A192)),
  """"
)"),2.0)</f>
        <v>2</v>
      </c>
      <c r="W192" s="240" t="str">
        <f t="shared" si="1"/>
        <v/>
      </c>
      <c r="X192" s="240" t="str">
        <f>IFERROR(__xludf.DUMMYFUNCTION("IFERROR(
  FILTER('CBK Students'!R:R, TRIM('CBK Students'!B:B) = TRIM(A192)),
  """"
)"),"Learning")</f>
        <v>Learning</v>
      </c>
      <c r="Y192" s="4" t="str">
        <f t="shared" si="2"/>
        <v/>
      </c>
      <c r="Z192" s="4" t="str">
        <f>IFERROR(__xludf.DUMMYFUNCTION("IFERROR(
  FILTER('CBK Students'!O:O, TRIM('CBK Students'!B:B) = TRIM(A192)),
  """"
)"),"")</f>
        <v/>
      </c>
      <c r="AA192" s="4" t="str">
        <f>IFERROR(__xludf.DUMMYFUNCTION("IFERROR(
  FILTER('CBK Students'!P:P, TRIM('CBK Students'!B:B) = TRIM(A192)),
  """"
)"),"")</f>
        <v/>
      </c>
      <c r="AB192" s="4" t="str">
        <f>IFERROR(__xludf.DUMMYFUNCTION("IFERROR(
  FILTER('CBK Students'!Q:Q, TRIM('CBK Students'!B:B) = TRIM(A192)),
  """"
)"),"")</f>
        <v/>
      </c>
    </row>
    <row r="193" ht="18.75" customHeight="1">
      <c r="T193" s="240" t="str">
        <f>IFERROR(__xludf.DUMMYFUNCTION("IFERROR(
  FILTER('CBK Students'!F:F, TRIM('CBK Students'!B:B) = TRIM(A193)),
  """"
)"),"6 Sat 11:00-12:00pm")</f>
        <v>6 Sat 11:00-12:00pm</v>
      </c>
      <c r="U193" s="240" t="str">
        <f>IFERROR(__xludf.DUMMYFUNCTION("IFERROR(
  FILTER('CBK Students'!H:H, TRIM('CBK Students'!B:B) = TRIM(A193)),
  """"
)"),"Mandy")</f>
        <v>Mandy</v>
      </c>
      <c r="V193" s="240">
        <f>IFERROR(__xludf.DUMMYFUNCTION("IFERROR(
  FILTER('CBK Students'!M:M, TRIM('CBK Students'!B:B) = TRIM(A193)),
  """"
)"),2.0)</f>
        <v>2</v>
      </c>
      <c r="W193" s="240" t="str">
        <f t="shared" si="1"/>
        <v/>
      </c>
      <c r="X193" s="240" t="str">
        <f>IFERROR(__xludf.DUMMYFUNCTION("IFERROR(
  FILTER('CBK Students'!R:R, TRIM('CBK Students'!B:B) = TRIM(A193)),
  """"
)"),"Learning")</f>
        <v>Learning</v>
      </c>
      <c r="Y193" s="4" t="str">
        <f t="shared" si="2"/>
        <v/>
      </c>
      <c r="Z193" s="4" t="str">
        <f>IFERROR(__xludf.DUMMYFUNCTION("IFERROR(
  FILTER('CBK Students'!O:O, TRIM('CBK Students'!B:B) = TRIM(A193)),
  """"
)"),"")</f>
        <v/>
      </c>
      <c r="AA193" s="4" t="str">
        <f>IFERROR(__xludf.DUMMYFUNCTION("IFERROR(
  FILTER('CBK Students'!P:P, TRIM('CBK Students'!B:B) = TRIM(A193)),
  """"
)"),"")</f>
        <v/>
      </c>
      <c r="AB193" s="4" t="str">
        <f>IFERROR(__xludf.DUMMYFUNCTION("IFERROR(
  FILTER('CBK Students'!Q:Q, TRIM('CBK Students'!B:B) = TRIM(A193)),
  """"
)"),"")</f>
        <v/>
      </c>
    </row>
    <row r="194" ht="18.75" customHeight="1">
      <c r="T194" s="240" t="str">
        <f>IFERROR(__xludf.DUMMYFUNCTION("IFERROR(
  FILTER('CBK Students'!F:F, TRIM('CBK Students'!B:B) = TRIM(A194)),
  """"
)"),"6 Sat 11:00-12:00pm")</f>
        <v>6 Sat 11:00-12:00pm</v>
      </c>
      <c r="U194" s="240" t="str">
        <f>IFERROR(__xludf.DUMMYFUNCTION("IFERROR(
  FILTER('CBK Students'!H:H, TRIM('CBK Students'!B:B) = TRIM(A194)),
  """"
)"),"Damian")</f>
        <v>Damian</v>
      </c>
      <c r="V194" s="240">
        <f>IFERROR(__xludf.DUMMYFUNCTION("IFERROR(
  FILTER('CBK Students'!M:M, TRIM('CBK Students'!B:B) = TRIM(A194)),
  """"
)"),14.0)</f>
        <v>14</v>
      </c>
      <c r="W194" s="240" t="str">
        <f t="shared" si="1"/>
        <v>Start with Final Project</v>
      </c>
      <c r="X194" s="240" t="str">
        <f>IFERROR(__xludf.DUMMYFUNCTION("IFERROR(
  FILTER('CBK Students'!R:R, TRIM('CBK Students'!B:B) = TRIM(A194)),
  """"
)"),"Learning")</f>
        <v>Learning</v>
      </c>
      <c r="Y194" s="4" t="str">
        <f t="shared" si="2"/>
        <v>On Track</v>
      </c>
      <c r="Z194" s="4" t="str">
        <f>IFERROR(__xludf.DUMMYFUNCTION("IFERROR(
  FILTER('CBK Students'!O:O, TRIM('CBK Students'!B:B) = TRIM(A194)),
  """"
)"),"")</f>
        <v/>
      </c>
      <c r="AA194" s="4" t="str">
        <f>IFERROR(__xludf.DUMMYFUNCTION("IFERROR(
  FILTER('CBK Students'!P:P, TRIM('CBK Students'!B:B) = TRIM(A194)),
  """"
)"),"")</f>
        <v/>
      </c>
      <c r="AB194" s="4" t="str">
        <f>IFERROR(__xludf.DUMMYFUNCTION("IFERROR(
  FILTER('CBK Students'!Q:Q, TRIM('CBK Students'!B:B) = TRIM(A194)),
  """"
)"),"")</f>
        <v/>
      </c>
    </row>
    <row r="195" ht="18.75" customHeight="1">
      <c r="T195" s="240" t="str">
        <f>IFERROR(__xludf.DUMMYFUNCTION("IFERROR(
  FILTER('CBK Students'!F:F, TRIM('CBK Students'!B:B) = TRIM(A195)),
  """"
)"),"9 Sat 4:00-5:00pm")</f>
        <v>9 Sat 4:00-5:00pm</v>
      </c>
      <c r="U195" s="240" t="str">
        <f>IFERROR(__xludf.DUMMYFUNCTION("IFERROR(
  FILTER('CBK Students'!H:H, TRIM('CBK Students'!B:B) = TRIM(A195)),
  """"
)"),"Enouch")</f>
        <v>Enouch</v>
      </c>
      <c r="V195" s="240">
        <f>IFERROR(__xludf.DUMMYFUNCTION("IFERROR(
  FILTER('CBK Students'!M:M, TRIM('CBK Students'!B:B) = TRIM(A195)),
  """"
)"),41.0)</f>
        <v>41</v>
      </c>
      <c r="W195" s="240" t="str">
        <f t="shared" si="1"/>
        <v>Start with Final Project</v>
      </c>
      <c r="X195" s="240" t="str">
        <f>IFERROR(__xludf.DUMMYFUNCTION("IFERROR(
  FILTER('CBK Students'!R:R, TRIM('CBK Students'!B:B) = TRIM(A195)),
  """"
)"),"Prepare for Showcase")</f>
        <v>Prepare for Showcase</v>
      </c>
      <c r="Y195" s="4" t="str">
        <f t="shared" si="2"/>
        <v>Showcase Delay</v>
      </c>
      <c r="Z195" s="4" t="str">
        <f>IFERROR(__xludf.DUMMYFUNCTION("IFERROR(
  FILTER('CBK Students'!O:O, TRIM('CBK Students'!B:B) = TRIM(A195)),
  """"
)"),"")</f>
        <v/>
      </c>
      <c r="AA195" s="4" t="str">
        <f>IFERROR(__xludf.DUMMYFUNCTION("IFERROR(
  FILTER('CBK Students'!P:P, TRIM('CBK Students'!B:B) = TRIM(A195)),
  """"
)"),"")</f>
        <v/>
      </c>
      <c r="AB195" s="4" t="str">
        <f>IFERROR(__xludf.DUMMYFUNCTION("IFERROR(
  FILTER('CBK Students'!Q:Q, TRIM('CBK Students'!B:B) = TRIM(A195)),
  """"
)"),"")</f>
        <v/>
      </c>
    </row>
    <row r="196" ht="18.75" customHeight="1">
      <c r="T196" s="240" t="str">
        <f>IFERROR(__xludf.DUMMYFUNCTION("IFERROR(
  FILTER('CBK Students'!F:F, TRIM('CBK Students'!B:B) = TRIM(A196)),
  """"
)"),"TH 12:45-1:45pm")</f>
        <v>TH 12:45-1:45pm</v>
      </c>
      <c r="U196" s="240" t="str">
        <f>IFERROR(__xludf.DUMMYFUNCTION("IFERROR(
  FILTER('CBK Students'!H:H, TRIM('CBK Students'!B:B) = TRIM(A196)),
  """"
)"),"Kerry")</f>
        <v>Kerry</v>
      </c>
      <c r="V196" s="240">
        <f>IFERROR(__xludf.DUMMYFUNCTION("IFERROR(
  FILTER('CBK Students'!M:M, TRIM('CBK Students'!B:B) = TRIM(A196)),
  """"
)"),64.0)</f>
        <v>64</v>
      </c>
      <c r="W196" s="240" t="str">
        <f t="shared" si="1"/>
        <v>Start with Final Project</v>
      </c>
      <c r="X196" s="240" t="str">
        <f>IFERROR(__xludf.DUMMYFUNCTION("IFERROR(
  FILTER('CBK Students'!R:R, TRIM('CBK Students'!B:B) = TRIM(A196)),
  """"
)"),"Prepare for Showcase")</f>
        <v>Prepare for Showcase</v>
      </c>
      <c r="Y196" s="4" t="str">
        <f t="shared" si="2"/>
        <v>Showcase Delay</v>
      </c>
      <c r="Z196" s="4" t="str">
        <f>IFERROR(__xludf.DUMMYFUNCTION("IFERROR(
  FILTER('CBK Students'!O:O, TRIM('CBK Students'!B:B) = TRIM(A196)),
  """"
)"),"No")</f>
        <v>No</v>
      </c>
      <c r="AA196" s="4" t="str">
        <f>IFERROR(__xludf.DUMMYFUNCTION("IFERROR(
  FILTER('CBK Students'!P:P, TRIM('CBK Students'!B:B) = TRIM(A196)),
  """"
)"),"12/02/2026 - Hi parents,
Thomas is still working on his showcase project. He has made great progress and is trying his best to solve the problems independently. We are proud of his effort and perseverance.
For Morgan, he is learning the basic understand"&amp;"ing of coding and programming. This helps him build a strong foundation and develop logical thinking skills. He is showing steady improvement in class.")</f>
        <v>12/02/2026 - Hi parents,
Thomas is still working on his showcase project. He has made great progress and is trying his best to solve the problems independently. We are proud of his effort and perseverance.
For Morgan, he is learning the basic understanding of coding and programming. This helps him build a strong foundation and develop logical thinking skills. He is showing steady improvement in class.</v>
      </c>
      <c r="AB196" s="4" t="str">
        <f>IFERROR(__xludf.DUMMYFUNCTION("IFERROR(
  FILTER('CBK Students'!Q:Q, TRIM('CBK Students'!B:B) = TRIM(A196)),
  """"
)"),"No")</f>
        <v>No</v>
      </c>
    </row>
    <row r="197" ht="18.75" customHeight="1">
      <c r="T197" s="240" t="str">
        <f>IFERROR(__xludf.DUMMYFUNCTION("IFERROR(
  FILTER('CBK Students'!F:F, TRIM('CBK Students'!B:B) = TRIM(A197)),
  """"
)"),"9 Sat 4:00-5:00pm")</f>
        <v>9 Sat 4:00-5:00pm</v>
      </c>
      <c r="U197" s="240" t="str">
        <f>IFERROR(__xludf.DUMMYFUNCTION("IFERROR(
  FILTER('CBK Students'!H:H, TRIM('CBK Students'!B:B) = TRIM(A197)),
  """"
)"),"Damian")</f>
        <v>Damian</v>
      </c>
      <c r="V197" s="240">
        <f>IFERROR(__xludf.DUMMYFUNCTION("IFERROR(
  FILTER('CBK Students'!M:M, TRIM('CBK Students'!B:B) = TRIM(A197)),
  """"
)"),6.0)</f>
        <v>6</v>
      </c>
      <c r="W197" s="240" t="str">
        <f t="shared" si="1"/>
        <v>Learning</v>
      </c>
      <c r="X197" s="240" t="str">
        <f>IFERROR(__xludf.DUMMYFUNCTION("IFERROR(
  FILTER('CBK Students'!R:R, TRIM('CBK Students'!B:B) = TRIM(A197)),
  """"
)"),"Learning")</f>
        <v>Learning</v>
      </c>
      <c r="Y197" s="4" t="str">
        <f t="shared" si="2"/>
        <v>On Track</v>
      </c>
      <c r="Z197" s="4" t="str">
        <f>IFERROR(__xludf.DUMMYFUNCTION("IFERROR(
  FILTER('CBK Students'!O:O, TRIM('CBK Students'!B:B) = TRIM(A197)),
  """"
)"),"")</f>
        <v/>
      </c>
      <c r="AA197" s="4" t="str">
        <f>IFERROR(__xludf.DUMMYFUNCTION("IFERROR(
  FILTER('CBK Students'!P:P, TRIM('CBK Students'!B:B) = TRIM(A197)),
  """"
)"),"")</f>
        <v/>
      </c>
      <c r="AB197" s="4" t="str">
        <f>IFERROR(__xludf.DUMMYFUNCTION("IFERROR(
  FILTER('CBK Students'!Q:Q, TRIM('CBK Students'!B:B) = TRIM(A197)),
  """"
)"),"")</f>
        <v/>
      </c>
    </row>
    <row r="198" ht="18.75" customHeight="1">
      <c r="T198" s="240" t="str">
        <f>IFERROR(__xludf.DUMMYFUNCTION("IFERROR(
  FILTER('CBK Students'!F:F, TRIM('CBK Students'!B:B) = TRIM(A198)),
  """"
)"),"2 Wed 7:30-8:30pm")</f>
        <v>2 Wed 7:30-8:30pm</v>
      </c>
      <c r="U198" s="240" t="str">
        <f>IFERROR(__xludf.DUMMYFUNCTION("IFERROR(
  FILTER('CBK Students'!H:H, TRIM('CBK Students'!B:B) = TRIM(A198)),
  """"
)"),"Chuan")</f>
        <v>Chuan</v>
      </c>
      <c r="V198" s="240">
        <f>IFERROR(__xludf.DUMMYFUNCTION("IFERROR(
  FILTER('CBK Students'!M:M, TRIM('CBK Students'!B:B) = TRIM(A198)),
  """"
)"),154.0)</f>
        <v>154</v>
      </c>
      <c r="W198" s="240" t="str">
        <f t="shared" si="1"/>
        <v>Learning</v>
      </c>
      <c r="X198" s="240" t="str">
        <f>IFERROR(__xludf.DUMMYFUNCTION("IFERROR(
  FILTER('CBK Students'!R:R, TRIM('CBK Students'!B:B) = TRIM(A198)),
  """"
)"),"Prepare for Showcase")</f>
        <v>Prepare for Showcase</v>
      </c>
      <c r="Y198" s="4" t="str">
        <f t="shared" si="2"/>
        <v>Showcase Delay</v>
      </c>
      <c r="Z198" s="4" t="str">
        <f>IFERROR(__xludf.DUMMYFUNCTION("IFERROR(
  FILTER('CBK Students'!O:O, TRIM('CBK Students'!B:B) = TRIM(A198)),
  """"
)"),"")</f>
        <v/>
      </c>
      <c r="AA198" s="4" t="str">
        <f>IFERROR(__xludf.DUMMYFUNCTION("IFERROR(
  FILTER('CBK Students'!P:P, TRIM('CBK Students'!B:B) = TRIM(A198)),
  """"
)"),"")</f>
        <v/>
      </c>
      <c r="AB198" s="4" t="str">
        <f>IFERROR(__xludf.DUMMYFUNCTION("IFERROR(
  FILTER('CBK Students'!Q:Q, TRIM('CBK Students'!B:B) = TRIM(A198)),
  """"
)"),"")</f>
        <v/>
      </c>
    </row>
    <row r="199" ht="18.75" customHeight="1">
      <c r="T199" s="240" t="str">
        <f>IFERROR(__xludf.DUMMYFUNCTION("IFERROR(
  FILTER('CBK Students'!F:F, TRIM('CBK Students'!B:B) = TRIM(A199)),
  """"
)"),"1 Mon 7:30-8:30pm")</f>
        <v>1 Mon 7:30-8:30pm</v>
      </c>
      <c r="U199" s="240" t="str">
        <f>IFERROR(__xludf.DUMMYFUNCTION("IFERROR(
  FILTER('CBK Students'!H:H, TRIM('CBK Students'!B:B) = TRIM(A199)),
  """"
)"),"Mandy")</f>
        <v>Mandy</v>
      </c>
      <c r="V199" s="240">
        <f>IFERROR(__xludf.DUMMYFUNCTION("IFERROR(
  FILTER('CBK Students'!M:M, TRIM('CBK Students'!B:B) = TRIM(A199)),
  """"
)"),29.0)</f>
        <v>29</v>
      </c>
      <c r="W199" s="240" t="str">
        <f t="shared" si="1"/>
        <v>Learning</v>
      </c>
      <c r="X199" s="240" t="str">
        <f>IFERROR(__xludf.DUMMYFUNCTION("IFERROR(
  FILTER('CBK Students'!R:R, TRIM('CBK Students'!B:B) = TRIM(A199)),
  """"
)"),"Learning")</f>
        <v>Learning</v>
      </c>
      <c r="Y199" s="4" t="str">
        <f t="shared" si="2"/>
        <v>Stage Delay</v>
      </c>
      <c r="Z199" s="4" t="str">
        <f>IFERROR(__xludf.DUMMYFUNCTION("IFERROR(
  FILTER('CBK Students'!O:O, TRIM('CBK Students'!B:B) = TRIM(A199)),
  """"
)"),"")</f>
        <v/>
      </c>
      <c r="AA199" s="4" t="str">
        <f>IFERROR(__xludf.DUMMYFUNCTION("IFERROR(
  FILTER('CBK Students'!P:P, TRIM('CBK Students'!B:B) = TRIM(A199)),
  """"
)"),"")</f>
        <v/>
      </c>
      <c r="AB199" s="4" t="str">
        <f>IFERROR(__xludf.DUMMYFUNCTION("IFERROR(
  FILTER('CBK Students'!Q:Q, TRIM('CBK Students'!B:B) = TRIM(A199)),
  """"
)"),"")</f>
        <v/>
      </c>
    </row>
    <row r="200" ht="18.75" customHeight="1">
      <c r="T200" s="240" t="str">
        <f>IFERROR(__xludf.DUMMYFUNCTION("IFERROR(
  FILTER('CBK Students'!F:F, TRIM('CBK Students'!B:B) = TRIM(A200)),
  """"
)"),"CH 12:00-1:00pm")</f>
        <v>CH 12:00-1:00pm</v>
      </c>
      <c r="U200" s="240" t="str">
        <f>IFERROR(__xludf.DUMMYFUNCTION("IFERROR(
  FILTER('CBK Students'!H:H, TRIM('CBK Students'!B:B) = TRIM(A200)),
  """"
)"),"Mandy")</f>
        <v>Mandy</v>
      </c>
      <c r="V200" s="240">
        <f>IFERROR(__xludf.DUMMYFUNCTION("IFERROR(
  FILTER('CBK Students'!M:M, TRIM('CBK Students'!B:B) = TRIM(A200)),
  """"
)"),19.0)</f>
        <v>19</v>
      </c>
      <c r="W200" s="240" t="str">
        <f t="shared" si="1"/>
        <v/>
      </c>
      <c r="X200" s="240" t="str">
        <f>IFERROR(__xludf.DUMMYFUNCTION("IFERROR(
  FILTER('CBK Students'!R:R, TRIM('CBK Students'!B:B) = TRIM(A200)),
  """"
)"),"Learning")</f>
        <v>Learning</v>
      </c>
      <c r="Y200" s="4" t="str">
        <f t="shared" si="2"/>
        <v/>
      </c>
      <c r="Z200" s="4" t="str">
        <f>IFERROR(__xludf.DUMMYFUNCTION("IFERROR(
  FILTER('CBK Students'!O:O, TRIM('CBK Students'!B:B) = TRIM(A200)),
  """"
)"),"")</f>
        <v/>
      </c>
      <c r="AA200" s="4" t="str">
        <f>IFERROR(__xludf.DUMMYFUNCTION("IFERROR(
  FILTER('CBK Students'!P:P, TRIM('CBK Students'!B:B) = TRIM(A200)),
  """"
)"),"")</f>
        <v/>
      </c>
      <c r="AB200" s="4" t="str">
        <f>IFERROR(__xludf.DUMMYFUNCTION("IFERROR(
  FILTER('CBK Students'!Q:Q, TRIM('CBK Students'!B:B) = TRIM(A200)),
  """"
)"),"")</f>
        <v/>
      </c>
    </row>
    <row r="201" ht="18.75" customHeight="1">
      <c r="T201" s="240" t="str">
        <f>IFERROR(__xludf.DUMMYFUNCTION("IFERROR(
  FILTER('CBK Students'!F:F, TRIM('CBK Students'!B:B) = TRIM(A201)),
  """"
)"),"8 Sat 3:00-4:00pm")</f>
        <v>8 Sat 3:00-4:00pm</v>
      </c>
      <c r="U201" s="240" t="str">
        <f>IFERROR(__xludf.DUMMYFUNCTION("IFERROR(
  FILTER('CBK Students'!H:H, TRIM('CBK Students'!B:B) = TRIM(A201)),
  """"
)"),"Evelyn")</f>
        <v>Evelyn</v>
      </c>
      <c r="V201" s="240">
        <f>IFERROR(__xludf.DUMMYFUNCTION("IFERROR(
  FILTER('CBK Students'!M:M, TRIM('CBK Students'!B:B) = TRIM(A201)),
  """"
)"),14.0)</f>
        <v>14</v>
      </c>
      <c r="W201" s="240" t="str">
        <f t="shared" si="1"/>
        <v>Start with Final Project</v>
      </c>
      <c r="X201" s="240" t="str">
        <f>IFERROR(__xludf.DUMMYFUNCTION("IFERROR(
  FILTER('CBK Students'!R:R, TRIM('CBK Students'!B:B) = TRIM(A201)),
  """"
)"),"Learning")</f>
        <v>Learning</v>
      </c>
      <c r="Y201" s="4" t="str">
        <f t="shared" si="2"/>
        <v>On Track</v>
      </c>
      <c r="Z201" s="4" t="str">
        <f>IFERROR(__xludf.DUMMYFUNCTION("IFERROR(
  FILTER('CBK Students'!O:O, TRIM('CBK Students'!B:B) = TRIM(A201)),
  """"
)"),"")</f>
        <v/>
      </c>
      <c r="AA201" s="4" t="str">
        <f>IFERROR(__xludf.DUMMYFUNCTION("IFERROR(
  FILTER('CBK Students'!P:P, TRIM('CBK Students'!B:B) = TRIM(A201)),
  """"
)"),"")</f>
        <v/>
      </c>
      <c r="AB201" s="4" t="str">
        <f>IFERROR(__xludf.DUMMYFUNCTION("IFERROR(
  FILTER('CBK Students'!Q:Q, TRIM('CBK Students'!B:B) = TRIM(A201)),
  """"
)"),"")</f>
        <v/>
      </c>
    </row>
    <row r="202" ht="18.75" customHeight="1">
      <c r="T202" s="240" t="str">
        <f>IFERROR(__xludf.DUMMYFUNCTION("IFERROR(
  FILTER('CBK Students'!F:F, TRIM('CBK Students'!B:B) = TRIM(A202)),
  """"
)"),"7 Sat 2:00-3:00pm")</f>
        <v>7 Sat 2:00-3:00pm</v>
      </c>
      <c r="U202" s="240" t="str">
        <f>IFERROR(__xludf.DUMMYFUNCTION("IFERROR(
  FILTER('CBK Students'!H:H, TRIM('CBK Students'!B:B) = TRIM(A202)),
  """"
)"),"Evelyn")</f>
        <v>Evelyn</v>
      </c>
      <c r="V202" s="240">
        <f>IFERROR(__xludf.DUMMYFUNCTION("IFERROR(
  FILTER('CBK Students'!M:M, TRIM('CBK Students'!B:B) = TRIM(A202)),
  """"
)"),34.0)</f>
        <v>34</v>
      </c>
      <c r="W202" s="240" t="str">
        <f t="shared" si="1"/>
        <v>Start with Final Project</v>
      </c>
      <c r="X202" s="240" t="str">
        <f>IFERROR(__xludf.DUMMYFUNCTION("IFERROR(
  FILTER('CBK Students'!R:R, TRIM('CBK Students'!B:B) = TRIM(A202)),
  """"
)"),"Starting Final Project")</f>
        <v>Starting Final Project</v>
      </c>
      <c r="Y202" s="4" t="str">
        <f t="shared" si="2"/>
        <v>On Track</v>
      </c>
      <c r="Z202" s="4" t="str">
        <f>IFERROR(__xludf.DUMMYFUNCTION("IFERROR(
  FILTER('CBK Students'!O:O, TRIM('CBK Students'!B:B) = TRIM(A202)),
  """"
)"),"")</f>
        <v/>
      </c>
      <c r="AA202" s="4" t="str">
        <f>IFERROR(__xludf.DUMMYFUNCTION("IFERROR(
  FILTER('CBK Students'!P:P, TRIM('CBK Students'!B:B) = TRIM(A202)),
  """"
)"),"")</f>
        <v/>
      </c>
      <c r="AB202" s="4" t="str">
        <f>IFERROR(__xludf.DUMMYFUNCTION("IFERROR(
  FILTER('CBK Students'!Q:Q, TRIM('CBK Students'!B:B) = TRIM(A202)),
  """"
)"),"")</f>
        <v/>
      </c>
    </row>
    <row r="203" ht="18.75" customHeight="1">
      <c r="T203" s="240" t="str">
        <f>IFERROR(__xludf.DUMMYFUNCTION("IFERROR(
  FILTER('CBK Students'!F:F, TRIM('CBK Students'!B:B) = TRIM(A203)),
  """"
)"),"5 Sat 11.00-12.00pm")</f>
        <v>5 Sat 11.00-12.00pm</v>
      </c>
      <c r="U203" s="240" t="str">
        <f>IFERROR(__xludf.DUMMYFUNCTION("IFERROR(
  FILTER('CBK Students'!H:H, TRIM('CBK Students'!B:B) = TRIM(A203)),
  """"
)"),"Kerry")</f>
        <v>Kerry</v>
      </c>
      <c r="V203" s="240">
        <f>IFERROR(__xludf.DUMMYFUNCTION("IFERROR(
  FILTER('CBK Students'!M:M, TRIM('CBK Students'!B:B) = TRIM(A203)),
  """"
)"),132.0)</f>
        <v>132</v>
      </c>
      <c r="W203" s="240" t="str">
        <f t="shared" si="1"/>
        <v>Start with Final Project</v>
      </c>
      <c r="X203" s="240" t="str">
        <f>IFERROR(__xludf.DUMMYFUNCTION("IFERROR(
  FILTER('CBK Students'!R:R, TRIM('CBK Students'!B:B) = TRIM(A203)),
  """"
)"),"Prepare for Showcase")</f>
        <v>Prepare for Showcase</v>
      </c>
      <c r="Y203" s="4" t="str">
        <f t="shared" si="2"/>
        <v>Showcase Delay</v>
      </c>
      <c r="Z203" s="4" t="str">
        <f>IFERROR(__xludf.DUMMYFUNCTION("IFERROR(
  FILTER('CBK Students'!O:O, TRIM('CBK Students'!B:B) = TRIM(A203)),
  """"
)"),"")</f>
        <v/>
      </c>
      <c r="AA203" s="4" t="str">
        <f>IFERROR(__xludf.DUMMYFUNCTION("IFERROR(
  FILTER('CBK Students'!P:P, TRIM('CBK Students'!B:B) = TRIM(A203)),
  """"
)"),"")</f>
        <v/>
      </c>
      <c r="AB203" s="4" t="str">
        <f>IFERROR(__xludf.DUMMYFUNCTION("IFERROR(
  FILTER('CBK Students'!Q:Q, TRIM('CBK Students'!B:B) = TRIM(A203)),
  """"
)"),"")</f>
        <v/>
      </c>
    </row>
    <row r="204" ht="18.75" customHeight="1">
      <c r="T204" s="240" t="str">
        <f>IFERROR(__xludf.DUMMYFUNCTION("IFERROR(
  FILTER('CBK Students'!F:F, TRIM('CBK Students'!B:B) = TRIM(A204)),
  """"
)"),"7 Sat 2:00-3:00pm")</f>
        <v>7 Sat 2:00-3:00pm</v>
      </c>
      <c r="U204" s="240" t="str">
        <f>IFERROR(__xludf.DUMMYFUNCTION("IFERROR(
  FILTER('CBK Students'!H:H, TRIM('CBK Students'!B:B) = TRIM(A204)),
  """"
)"),"Damian")</f>
        <v>Damian</v>
      </c>
      <c r="V204" s="240">
        <f>IFERROR(__xludf.DUMMYFUNCTION("IFERROR(
  FILTER('CBK Students'!M:M, TRIM('CBK Students'!B:B) = TRIM(A204)),
  """"
)"),39.0)</f>
        <v>39</v>
      </c>
      <c r="W204" s="240" t="str">
        <f t="shared" si="1"/>
        <v>Start with Final Project</v>
      </c>
      <c r="X204" s="240" t="str">
        <f>IFERROR(__xludf.DUMMYFUNCTION("IFERROR(
  FILTER('CBK Students'!R:R, TRIM('CBK Students'!B:B) = TRIM(A204)),
  """"
)"),"Starting Final Project")</f>
        <v>Starting Final Project</v>
      </c>
      <c r="Y204" s="4" t="str">
        <f t="shared" si="2"/>
        <v>On Track</v>
      </c>
      <c r="Z204" s="4" t="str">
        <f>IFERROR(__xludf.DUMMYFUNCTION("IFERROR(
  FILTER('CBK Students'!O:O, TRIM('CBK Students'!B:B) = TRIM(A204)),
  """"
)"),"")</f>
        <v/>
      </c>
      <c r="AA204" s="4" t="str">
        <f>IFERROR(__xludf.DUMMYFUNCTION("IFERROR(
  FILTER('CBK Students'!P:P, TRIM('CBK Students'!B:B) = TRIM(A204)),
  """"
)"),"")</f>
        <v/>
      </c>
      <c r="AB204" s="4" t="str">
        <f>IFERROR(__xludf.DUMMYFUNCTION("IFERROR(
  FILTER('CBK Students'!Q:Q, TRIM('CBK Students'!B:B) = TRIM(A204)),
  """"
)"),"")</f>
        <v/>
      </c>
    </row>
    <row r="205" ht="18.75" customHeight="1">
      <c r="T205" s="240" t="str">
        <f>IFERROR(__xludf.DUMMYFUNCTION("IFERROR(
  FILTER('CBK Students'!F:F, TRIM('CBK Students'!B:B) = TRIM(A205)),
  """"
)"),"7 Sat 2:00-3:00pm")</f>
        <v>7 Sat 2:00-3:00pm</v>
      </c>
      <c r="U205" s="240" t="str">
        <f>IFERROR(__xludf.DUMMYFUNCTION("IFERROR(
  FILTER('CBK Students'!H:H, TRIM('CBK Students'!B:B) = TRIM(A205)),
  """"
)"),"Evelyn")</f>
        <v>Evelyn</v>
      </c>
      <c r="V205" s="240">
        <f>IFERROR(__xludf.DUMMYFUNCTION("IFERROR(
  FILTER('CBK Students'!M:M, TRIM('CBK Students'!B:B) = TRIM(A205)),
  """"
)"),53.0)</f>
        <v>53</v>
      </c>
      <c r="W205" s="240" t="str">
        <f t="shared" si="1"/>
        <v>Start with Final Project</v>
      </c>
      <c r="X205" s="240" t="str">
        <f>IFERROR(__xludf.DUMMYFUNCTION("IFERROR(
  FILTER('CBK Students'!R:R, TRIM('CBK Students'!B:B) = TRIM(A205)),
  """"
)"),"Prepare for Showcase")</f>
        <v>Prepare for Showcase</v>
      </c>
      <c r="Y205" s="4" t="str">
        <f t="shared" si="2"/>
        <v>Showcase Delay</v>
      </c>
      <c r="Z205" s="4" t="str">
        <f>IFERROR(__xludf.DUMMYFUNCTION("IFERROR(
  FILTER('CBK Students'!O:O, TRIM('CBK Students'!B:B) = TRIM(A205)),
  """"
)"),"")</f>
        <v/>
      </c>
      <c r="AA205" s="4" t="str">
        <f>IFERROR(__xludf.DUMMYFUNCTION("IFERROR(
  FILTER('CBK Students'!P:P, TRIM('CBK Students'!B:B) = TRIM(A205)),
  """"
)"),"")</f>
        <v/>
      </c>
      <c r="AB205" s="4" t="str">
        <f>IFERROR(__xludf.DUMMYFUNCTION("IFERROR(
  FILTER('CBK Students'!Q:Q, TRIM('CBK Students'!B:B) = TRIM(A205)),
  """"
)"),"")</f>
        <v/>
      </c>
    </row>
    <row r="206" ht="18.75" customHeight="1">
      <c r="T206" s="240" t="str">
        <f>IFERROR(__xludf.DUMMYFUNCTION("IFERROR(
  FILTER('CBK Students'!F:F, TRIM('CBK Students'!B:B) = TRIM(A206)),
  """"
)"),"TH 12:45-1:45pm")</f>
        <v>TH 12:45-1:45pm</v>
      </c>
      <c r="U206" s="240" t="str">
        <f>IFERROR(__xludf.DUMMYFUNCTION("IFERROR(
  FILTER('CBK Students'!H:H, TRIM('CBK Students'!B:B) = TRIM(A206)),
  """"
)"),"Mandy")</f>
        <v>Mandy</v>
      </c>
      <c r="V206" s="240">
        <f>IFERROR(__xludf.DUMMYFUNCTION("IFERROR(
  FILTER('CBK Students'!M:M, TRIM('CBK Students'!B:B) = TRIM(A206)),
  """"
)"),58.0)</f>
        <v>58</v>
      </c>
      <c r="W206" s="240" t="str">
        <f t="shared" si="1"/>
        <v>Start with Final Project</v>
      </c>
      <c r="X206" s="240" t="str">
        <f>IFERROR(__xludf.DUMMYFUNCTION("IFERROR(
  FILTER('CBK Students'!R:R, TRIM('CBK Students'!B:B) = TRIM(A206)),
  """"
)"),"Prepare for Showcase")</f>
        <v>Prepare for Showcase</v>
      </c>
      <c r="Y206" s="4" t="str">
        <f t="shared" si="2"/>
        <v>Showcase Delay</v>
      </c>
      <c r="Z206" s="4" t="str">
        <f>IFERROR(__xludf.DUMMYFUNCTION("IFERROR(
  FILTER('CBK Students'!O:O, TRIM('CBK Students'!B:B) = TRIM(A206)),
  """"
)"),"15/10/2025 - [Caleb]
The Imaginary Pet project file is missing, and the student is required to redo the project.
The mentor is advised to explain to the student the importance of file backup and introduce how to use Google Drive for saving and backing up "&amp;"project files.
Additionally, the mentor should update the parents about the situation and value student learnt from the experience on the importance of maintaining backups.")</f>
        <v>15/10/2025 - [Caleb]
The Imaginary Pet project file is missing, and the student is required to redo the project.
The mentor is advised to explain to the student the importance of file backup and introduce how to use Google Drive for saving and backing up project files.
Additionally, the mentor should update the parents about the situation and value student learnt from the experience on the importance of maintaining backups.</v>
      </c>
      <c r="AA206" s="4" t="str">
        <f>IFERROR(__xludf.DUMMYFUNCTION("IFERROR(
  FILTER('CBK Students'!P:P, TRIM('CBK Students'!B:B) = TRIM(A206)),
  """"
)"),"15/10/2025 - [Caleb]
The Imaginary Pet project file is missing, and the student is required to redo the project.
The mentor is advised to explain to the student the importance of file backup and introduce how to use Google Drive for saving and backing up "&amp;"project files.
Additionally, the mentor should update the parents about the situation and value student learnt from the experience on the importance of maintaining backups.")</f>
        <v>15/10/2025 - [Caleb]
The Imaginary Pet project file is missing, and the student is required to redo the project.
The mentor is advised to explain to the student the importance of file backup and introduce how to use Google Drive for saving and backing up project files.
Additionally, the mentor should update the parents about the situation and value student learnt from the experience on the importance of maintaining backups.</v>
      </c>
      <c r="AB206" s="4" t="str">
        <f>IFERROR(__xludf.DUMMYFUNCTION("IFERROR(
  FILTER('CBK Students'!Q:Q, TRIM('CBK Students'!B:B) = TRIM(A206)),
  """"
)"),"No")</f>
        <v>No</v>
      </c>
    </row>
    <row r="207" ht="18.75" customHeight="1">
      <c r="T207" s="240" t="str">
        <f>IFERROR(__xludf.DUMMYFUNCTION("IFERROR(
  FILTER('CBK Students'!F:F, TRIM('CBK Students'!B:B) = TRIM(A207)),
  """"
)"),"1 Mon 7.30-8.30pm")</f>
        <v>1 Mon 7.30-8.30pm</v>
      </c>
      <c r="U207" s="240" t="str">
        <f>IFERROR(__xludf.DUMMYFUNCTION("IFERROR(
  FILTER('CBK Students'!H:H, TRIM('CBK Students'!B:B) = TRIM(A207)),
  """"
)"),"Damian")</f>
        <v>Damian</v>
      </c>
      <c r="V207" s="240">
        <f>IFERROR(__xludf.DUMMYFUNCTION("IFERROR(
  FILTER('CBK Students'!M:M, TRIM('CBK Students'!B:B) = TRIM(A207)),
  """"
)"),14.0)</f>
        <v>14</v>
      </c>
      <c r="W207" s="240" t="str">
        <f t="shared" si="1"/>
        <v>Start with Final Project</v>
      </c>
      <c r="X207" s="240" t="str">
        <f>IFERROR(__xludf.DUMMYFUNCTION("IFERROR(
  FILTER('CBK Students'!R:R, TRIM('CBK Students'!B:B) = TRIM(A207)),
  """"
)"),"Learning")</f>
        <v>Learning</v>
      </c>
      <c r="Y207" s="4" t="str">
        <f t="shared" si="2"/>
        <v>On Track</v>
      </c>
      <c r="Z207" s="4" t="str">
        <f>IFERROR(__xludf.DUMMYFUNCTION("IFERROR(
  FILTER('CBK Students'!O:O, TRIM('CBK Students'!B:B) = TRIM(A207)),
  """"
)"),"")</f>
        <v/>
      </c>
      <c r="AA207" s="4" t="str">
        <f>IFERROR(__xludf.DUMMYFUNCTION("IFERROR(
  FILTER('CBK Students'!P:P, TRIM('CBK Students'!B:B) = TRIM(A207)),
  """"
)"),"")</f>
        <v/>
      </c>
      <c r="AB207" s="4" t="str">
        <f>IFERROR(__xludf.DUMMYFUNCTION("IFERROR(
  FILTER('CBK Students'!Q:Q, TRIM('CBK Students'!B:B) = TRIM(A207)),
  """"
)"),"")</f>
        <v/>
      </c>
    </row>
    <row r="208" ht="18.75" customHeight="1">
      <c r="T208" s="240" t="str">
        <f>IFERROR(__xludf.DUMMYFUNCTION("IFERROR(
  FILTER('CBK Students'!F:F, TRIM('CBK Students'!B:B) = TRIM(A208)),
  """"
)"),"1 Mon 7.30-8.30pm")</f>
        <v>1 Mon 7.30-8.30pm</v>
      </c>
      <c r="U208" s="240" t="str">
        <f>IFERROR(__xludf.DUMMYFUNCTION("IFERROR(
  FILTER('CBK Students'!H:H, TRIM('CBK Students'!B:B) = TRIM(A208)),
  """"
)"),"Evelyn")</f>
        <v>Evelyn</v>
      </c>
      <c r="V208" s="240">
        <f>IFERROR(__xludf.DUMMYFUNCTION("IFERROR(
  FILTER('CBK Students'!M:M, TRIM('CBK Students'!B:B) = TRIM(A208)),
  """"
)"),63.0)</f>
        <v>63</v>
      </c>
      <c r="W208" s="240" t="str">
        <f t="shared" si="1"/>
        <v>Learning</v>
      </c>
      <c r="X208" s="240" t="str">
        <f>IFERROR(__xludf.DUMMYFUNCTION("IFERROR(
  FILTER('CBK Students'!R:R, TRIM('CBK Students'!B:B) = TRIM(A208)),
  """"
)"),"Prepare for Showcase")</f>
        <v>Prepare for Showcase</v>
      </c>
      <c r="Y208" s="4" t="str">
        <f t="shared" si="2"/>
        <v>Showcase Delay</v>
      </c>
      <c r="Z208" s="4" t="str">
        <f>IFERROR(__xludf.DUMMYFUNCTION("IFERROR(
  FILTER('CBK Students'!O:O, TRIM('CBK Students'!B:B) = TRIM(A208)),
  """"
)"),"")</f>
        <v/>
      </c>
      <c r="AA208" s="4" t="str">
        <f>IFERROR(__xludf.DUMMYFUNCTION("IFERROR(
  FILTER('CBK Students'!P:P, TRIM('CBK Students'!B:B) = TRIM(A208)),
  """"
)"),"")</f>
        <v/>
      </c>
      <c r="AB208" s="4" t="str">
        <f>IFERROR(__xludf.DUMMYFUNCTION("IFERROR(
  FILTER('CBK Students'!Q:Q, TRIM('CBK Students'!B:B) = TRIM(A208)),
  """"
)"),"")</f>
        <v/>
      </c>
    </row>
    <row r="209" ht="18.75" customHeight="1">
      <c r="T209" s="240" t="str">
        <f>IFERROR(__xludf.DUMMYFUNCTION("IFERROR(
  FILTER('CBK Students'!F:F, TRIM('CBK Students'!B:B) = TRIM(A209)),
  """"
)"),"1 Mon 7.30-8.30pm")</f>
        <v>1 Mon 7.30-8.30pm</v>
      </c>
      <c r="U209" s="240" t="str">
        <f>IFERROR(__xludf.DUMMYFUNCTION("IFERROR(
  FILTER('CBK Students'!H:H, TRIM('CBK Students'!B:B) = TRIM(A209)),
  """"
)"),"Evelyn")</f>
        <v>Evelyn</v>
      </c>
      <c r="V209" s="240">
        <f>IFERROR(__xludf.DUMMYFUNCTION("IFERROR(
  FILTER('CBK Students'!M:M, TRIM('CBK Students'!B:B) = TRIM(A209)),
  """"
)"),63.0)</f>
        <v>63</v>
      </c>
      <c r="W209" s="240" t="str">
        <f t="shared" si="1"/>
        <v>Learning</v>
      </c>
      <c r="X209" s="240" t="str">
        <f>IFERROR(__xludf.DUMMYFUNCTION("IFERROR(
  FILTER('CBK Students'!R:R, TRIM('CBK Students'!B:B) = TRIM(A209)),
  """"
)"),"Prepare for Showcase")</f>
        <v>Prepare for Showcase</v>
      </c>
      <c r="Y209" s="4" t="str">
        <f t="shared" si="2"/>
        <v>Showcase Delay</v>
      </c>
      <c r="Z209" s="4" t="str">
        <f>IFERROR(__xludf.DUMMYFUNCTION("IFERROR(
  FILTER('CBK Students'!O:O, TRIM('CBK Students'!B:B) = TRIM(A209)),
  """"
)"),"")</f>
        <v/>
      </c>
      <c r="AA209" s="4" t="str">
        <f>IFERROR(__xludf.DUMMYFUNCTION("IFERROR(
  FILTER('CBK Students'!P:P, TRIM('CBK Students'!B:B) = TRIM(A209)),
  """"
)"),"")</f>
        <v/>
      </c>
      <c r="AB209" s="4" t="str">
        <f>IFERROR(__xludf.DUMMYFUNCTION("IFERROR(
  FILTER('CBK Students'!Q:Q, TRIM('CBK Students'!B:B) = TRIM(A209)),
  """"
)"),"")</f>
        <v/>
      </c>
    </row>
    <row r="210" ht="18.75" customHeight="1">
      <c r="T210" s="240" t="str">
        <f>IFERROR(__xludf.DUMMYFUNCTION("IFERROR(
  FILTER('CBK Students'!F:F, TRIM('CBK Students'!B:B) = TRIM(A210)),
  """"
)"),"SHS 2:00-3:00pm")</f>
        <v>SHS 2:00-3:00pm</v>
      </c>
      <c r="U210" s="240" t="str">
        <f>IFERROR(__xludf.DUMMYFUNCTION("IFERROR(
  FILTER('CBK Students'!H:H, TRIM('CBK Students'!B:B) = TRIM(A210)),
  """"
)"),"Lam")</f>
        <v>Lam</v>
      </c>
      <c r="V210" s="240">
        <f>IFERROR(__xludf.DUMMYFUNCTION("IFERROR(
  FILTER('CBK Students'!M:M, TRIM('CBK Students'!B:B) = TRIM(A210)),
  """"
)"),1.0)</f>
        <v>1</v>
      </c>
      <c r="W210" s="240" t="str">
        <f t="shared" si="1"/>
        <v>Learning</v>
      </c>
      <c r="X210" s="240" t="str">
        <f>IFERROR(__xludf.DUMMYFUNCTION("IFERROR(
  FILTER('CBK Students'!R:R, TRIM('CBK Students'!B:B) = TRIM(A210)),
  """"
)"),"Learning")</f>
        <v>Learning</v>
      </c>
      <c r="Y210" s="4" t="str">
        <f t="shared" si="2"/>
        <v>On Track</v>
      </c>
      <c r="Z210" s="4" t="str">
        <f>IFERROR(__xludf.DUMMYFUNCTION("IFERROR(
  FILTER('CBK Students'!O:O, TRIM('CBK Students'!B:B) = TRIM(A210)),
  """"
)"),"")</f>
        <v/>
      </c>
      <c r="AA210" s="4" t="str">
        <f>IFERROR(__xludf.DUMMYFUNCTION("IFERROR(
  FILTER('CBK Students'!P:P, TRIM('CBK Students'!B:B) = TRIM(A210)),
  """"
)"),"")</f>
        <v/>
      </c>
      <c r="AB210" s="4" t="str">
        <f>IFERROR(__xludf.DUMMYFUNCTION("IFERROR(
  FILTER('CBK Students'!Q:Q, TRIM('CBK Students'!B:B) = TRIM(A210)),
  """"
)"),"")</f>
        <v/>
      </c>
    </row>
    <row r="211" ht="18.75" customHeight="1">
      <c r="T211" s="240" t="str">
        <f>IFERROR(__xludf.DUMMYFUNCTION("IFERROR(
  FILTER('CBK Students'!F:F, TRIM('CBK Students'!B:B) = TRIM(A211)),
  """"
)"),"9 Sat 4:00-5:00pm")</f>
        <v>9 Sat 4:00-5:00pm</v>
      </c>
      <c r="U211" s="240" t="str">
        <f>IFERROR(__xludf.DUMMYFUNCTION("IFERROR(
  FILTER('CBK Students'!H:H, TRIM('CBK Students'!B:B) = TRIM(A211)),
  """"
)"),"Enouch")</f>
        <v>Enouch</v>
      </c>
      <c r="V211" s="240">
        <f>IFERROR(__xludf.DUMMYFUNCTION("IFERROR(
  FILTER('CBK Students'!M:M, TRIM('CBK Students'!B:B) = TRIM(A211)),
  """"
)"),33.0)</f>
        <v>33</v>
      </c>
      <c r="W211" s="240" t="str">
        <f t="shared" si="1"/>
        <v>Learning</v>
      </c>
      <c r="X211" s="240" t="str">
        <f>IFERROR(__xludf.DUMMYFUNCTION("IFERROR(
  FILTER('CBK Students'!R:R, TRIM('CBK Students'!B:B) = TRIM(A211)),
  """"
)"),"Starting Final Project")</f>
        <v>Starting Final Project</v>
      </c>
      <c r="Y211" s="4" t="str">
        <f t="shared" si="2"/>
        <v>Stage Delay</v>
      </c>
      <c r="Z211" s="4" t="str">
        <f>IFERROR(__xludf.DUMMYFUNCTION("IFERROR(
  FILTER('CBK Students'!O:O, TRIM('CBK Students'!B:B) = TRIM(A211)),
  """"
)"),"")</f>
        <v/>
      </c>
      <c r="AA211" s="4" t="str">
        <f>IFERROR(__xludf.DUMMYFUNCTION("IFERROR(
  FILTER('CBK Students'!P:P, TRIM('CBK Students'!B:B) = TRIM(A211)),
  """"
)"),"")</f>
        <v/>
      </c>
      <c r="AB211" s="4" t="str">
        <f>IFERROR(__xludf.DUMMYFUNCTION("IFERROR(
  FILTER('CBK Students'!Q:Q, TRIM('CBK Students'!B:B) = TRIM(A211)),
  """"
)"),"")</f>
        <v/>
      </c>
    </row>
    <row r="212" ht="18.75" customHeight="1">
      <c r="T212" s="240" t="str">
        <f>IFERROR(__xludf.DUMMYFUNCTION("IFERROR(
  FILTER('CBK Students'!F:F, TRIM('CBK Students'!B:B) = TRIM(A212)),
  """"
)"),"1 Mon 7:30-8:30pm")</f>
        <v>1 Mon 7:30-8:30pm</v>
      </c>
      <c r="U212" s="240" t="str">
        <f>IFERROR(__xludf.DUMMYFUNCTION("IFERROR(
  FILTER('CBK Students'!H:H, TRIM('CBK Students'!B:B) = TRIM(A212)),
  """"
)"),"Kerry")</f>
        <v>Kerry</v>
      </c>
      <c r="V212" s="240">
        <f>IFERROR(__xludf.DUMMYFUNCTION("IFERROR(
  FILTER('CBK Students'!M:M, TRIM('CBK Students'!B:B) = TRIM(A212)),
  """"
)"),10.0)</f>
        <v>10</v>
      </c>
      <c r="W212" s="240" t="str">
        <f t="shared" si="1"/>
        <v/>
      </c>
      <c r="X212" s="240" t="str">
        <f>IFERROR(__xludf.DUMMYFUNCTION("IFERROR(
  FILTER('CBK Students'!R:R, TRIM('CBK Students'!B:B) = TRIM(A212)),
  """"
)"),"Learning")</f>
        <v>Learning</v>
      </c>
      <c r="Y212" s="4" t="str">
        <f t="shared" si="2"/>
        <v/>
      </c>
      <c r="Z212" s="4" t="str">
        <f>IFERROR(__xludf.DUMMYFUNCTION("IFERROR(
  FILTER('CBK Students'!O:O, TRIM('CBK Students'!B:B) = TRIM(A212)),
  """"
)"),"No")</f>
        <v>No</v>
      </c>
      <c r="AA212" s="4" t="str">
        <f>IFERROR(__xludf.DUMMYFUNCTION("IFERROR(
  FILTER('CBK Students'!P:P, TRIM('CBK Students'!B:B) = TRIM(A212)),
  """"
)"),"24/02/2026 - So far, his progress is generally okay. He is progressing slightly slower as he is still learning to understand the instructions on the LMS. Mentor is guiding him step by step on how to read and interpret the instructions independently")</f>
        <v>24/02/2026 - So far, his progress is generally okay. He is progressing slightly slower as he is still learning to understand the instructions on the LMS. Mentor is guiding him step by step on how to read and interpret the instructions independently</v>
      </c>
      <c r="AB212" s="4" t="str">
        <f>IFERROR(__xludf.DUMMYFUNCTION("IFERROR(
  FILTER('CBK Students'!Q:Q, TRIM('CBK Students'!B:B) = TRIM(A212)),
  """"
)"),"No")</f>
        <v>No</v>
      </c>
    </row>
    <row r="213" ht="18.75" customHeight="1">
      <c r="T213" s="240" t="str">
        <f>IFERROR(__xludf.DUMMYFUNCTION("IFERROR(
  FILTER('CBK Students'!F:F, TRIM('CBK Students'!B:B) = TRIM(A213)),
  """"
)"),"1 Mon 7.30-8.30pm")</f>
        <v>1 Mon 7.30-8.30pm</v>
      </c>
      <c r="U213" s="240" t="str">
        <f>IFERROR(__xludf.DUMMYFUNCTION("IFERROR(
  FILTER('CBK Students'!H:H, TRIM('CBK Students'!B:B) = TRIM(A213)),
  """"
)"),"Evelyn")</f>
        <v>Evelyn</v>
      </c>
      <c r="V213" s="240">
        <f>IFERROR(__xludf.DUMMYFUNCTION("IFERROR(
  FILTER('CBK Students'!M:M, TRIM('CBK Students'!B:B) = TRIM(A213)),
  """"
)"),13.0)</f>
        <v>13</v>
      </c>
      <c r="W213" s="240" t="str">
        <f t="shared" si="1"/>
        <v/>
      </c>
      <c r="X213" s="240" t="str">
        <f>IFERROR(__xludf.DUMMYFUNCTION("IFERROR(
  FILTER('CBK Students'!R:R, TRIM('CBK Students'!B:B) = TRIM(A213)),
  """"
)"),"Learning")</f>
        <v>Learning</v>
      </c>
      <c r="Y213" s="4" t="str">
        <f t="shared" si="2"/>
        <v/>
      </c>
      <c r="Z213" s="4" t="str">
        <f>IFERROR(__xludf.DUMMYFUNCTION("IFERROR(
  FILTER('CBK Students'!O:O, TRIM('CBK Students'!B:B) = TRIM(A213)),
  """"
)"),"")</f>
        <v/>
      </c>
      <c r="AA213" s="4" t="str">
        <f>IFERROR(__xludf.DUMMYFUNCTION("IFERROR(
  FILTER('CBK Students'!P:P, TRIM('CBK Students'!B:B) = TRIM(A213)),
  """"
)"),"")</f>
        <v/>
      </c>
      <c r="AB213" s="4" t="str">
        <f>IFERROR(__xludf.DUMMYFUNCTION("IFERROR(
  FILTER('CBK Students'!Q:Q, TRIM('CBK Students'!B:B) = TRIM(A213)),
  """"
)"),"")</f>
        <v/>
      </c>
    </row>
    <row r="214" ht="18.75" customHeight="1">
      <c r="T214" s="240" t="str">
        <f>IFERROR(__xludf.DUMMYFUNCTION("IFERROR(
  FILTER('CBK Students'!F:F, TRIM('CBK Students'!B:B) = TRIM(A214)),
  """"
)"),"#REF!")</f>
        <v>#REF!</v>
      </c>
      <c r="U214" s="240" t="str">
        <f>IFERROR(__xludf.DUMMYFUNCTION("IFERROR(
  FILTER('CBK Students'!H:H, TRIM('CBK Students'!B:B) = TRIM(A214)),
  """"
)"),"#REF!")</f>
        <v>#REF!</v>
      </c>
      <c r="V214" s="240" t="str">
        <f>IFERROR(__xludf.DUMMYFUNCTION("IFERROR(
  FILTER('CBK Students'!M:M, TRIM('CBK Students'!B:B) = TRIM(A214)),
  """"
)"),"#REF!")</f>
        <v>#REF!</v>
      </c>
      <c r="W214" s="240" t="str">
        <f t="shared" si="1"/>
        <v/>
      </c>
      <c r="X214" s="240" t="str">
        <f>IFERROR(__xludf.DUMMYFUNCTION("IFERROR(
  FILTER('CBK Students'!R:R, TRIM('CBK Students'!B:B) = TRIM(A214)),
  """"
)"),"#REF!")</f>
        <v>#REF!</v>
      </c>
      <c r="Y214" s="4" t="str">
        <f t="shared" si="2"/>
        <v/>
      </c>
      <c r="Z214" s="4" t="str">
        <f>IFERROR(__xludf.DUMMYFUNCTION("IFERROR(
  FILTER('CBK Students'!O:O, TRIM('CBK Students'!B:B) = TRIM(A214)),
  """"
)"),"#REF!")</f>
        <v>#REF!</v>
      </c>
      <c r="AA214" s="4" t="str">
        <f>IFERROR(__xludf.DUMMYFUNCTION("IFERROR(
  FILTER('CBK Students'!P:P, TRIM('CBK Students'!B:B) = TRIM(A214)),
  """"
)"),"#REF!")</f>
        <v>#REF!</v>
      </c>
      <c r="AB214" s="4" t="str">
        <f>IFERROR(__xludf.DUMMYFUNCTION("IFERROR(
  FILTER('CBK Students'!Q:Q, TRIM('CBK Students'!B:B) = TRIM(A214)),
  """"
)"),"#REF!")</f>
        <v>#REF!</v>
      </c>
    </row>
    <row r="215" ht="18.75" customHeight="1">
      <c r="T215" s="240" t="str">
        <f>IFERROR(__xludf.DUMMYFUNCTION("IFERROR(
  FILTER('CBK Students'!F:F, TRIM('CBK Students'!B:B) = TRIM(A215)),
  """"
)"),"#REF!")</f>
        <v>#REF!</v>
      </c>
      <c r="U215" s="240" t="str">
        <f>IFERROR(__xludf.DUMMYFUNCTION("IFERROR(
  FILTER('CBK Students'!H:H, TRIM('CBK Students'!B:B) = TRIM(A215)),
  """"
)"),"#REF!")</f>
        <v>#REF!</v>
      </c>
      <c r="V215" s="240" t="str">
        <f>IFERROR(__xludf.DUMMYFUNCTION("IFERROR(
  FILTER('CBK Students'!M:M, TRIM('CBK Students'!B:B) = TRIM(A215)),
  """"
)"),"#REF!")</f>
        <v>#REF!</v>
      </c>
      <c r="W215" s="240" t="str">
        <f t="shared" si="1"/>
        <v/>
      </c>
      <c r="X215" s="240" t="str">
        <f>IFERROR(__xludf.DUMMYFUNCTION("IFERROR(
  FILTER('CBK Students'!R:R, TRIM('CBK Students'!B:B) = TRIM(A215)),
  """"
)"),"#REF!")</f>
        <v>#REF!</v>
      </c>
      <c r="Y215" s="4" t="str">
        <f t="shared" si="2"/>
        <v/>
      </c>
      <c r="Z215" s="4" t="str">
        <f>IFERROR(__xludf.DUMMYFUNCTION("IFERROR(
  FILTER('CBK Students'!O:O, TRIM('CBK Students'!B:B) = TRIM(A215)),
  """"
)"),"#REF!")</f>
        <v>#REF!</v>
      </c>
      <c r="AA215" s="4" t="str">
        <f>IFERROR(__xludf.DUMMYFUNCTION("IFERROR(
  FILTER('CBK Students'!P:P, TRIM('CBK Students'!B:B) = TRIM(A215)),
  """"
)"),"#REF!")</f>
        <v>#REF!</v>
      </c>
      <c r="AB215" s="4" t="str">
        <f>IFERROR(__xludf.DUMMYFUNCTION("IFERROR(
  FILTER('CBK Students'!Q:Q, TRIM('CBK Students'!B:B) = TRIM(A215)),
  """"
)"),"#REF!")</f>
        <v>#REF!</v>
      </c>
    </row>
    <row r="216" ht="18.75" customHeight="1">
      <c r="T216" s="240" t="str">
        <f>IFERROR(__xludf.DUMMYFUNCTION("IFERROR(
  FILTER('CBK Students'!F:F, TRIM('CBK Students'!B:B) = TRIM(A216)),
  """"
)"),"#REF!")</f>
        <v>#REF!</v>
      </c>
      <c r="U216" s="240" t="str">
        <f>IFERROR(__xludf.DUMMYFUNCTION("IFERROR(
  FILTER('CBK Students'!H:H, TRIM('CBK Students'!B:B) = TRIM(A216)),
  """"
)"),"#REF!")</f>
        <v>#REF!</v>
      </c>
      <c r="V216" s="240" t="str">
        <f>IFERROR(__xludf.DUMMYFUNCTION("IFERROR(
  FILTER('CBK Students'!M:M, TRIM('CBK Students'!B:B) = TRIM(A216)),
  """"
)"),"#REF!")</f>
        <v>#REF!</v>
      </c>
      <c r="W216" s="240" t="str">
        <f t="shared" si="1"/>
        <v/>
      </c>
      <c r="X216" s="240" t="str">
        <f>IFERROR(__xludf.DUMMYFUNCTION("IFERROR(
  FILTER('CBK Students'!R:R, TRIM('CBK Students'!B:B) = TRIM(A216)),
  """"
)"),"#REF!")</f>
        <v>#REF!</v>
      </c>
      <c r="Y216" s="4" t="str">
        <f t="shared" si="2"/>
        <v/>
      </c>
      <c r="Z216" s="4" t="str">
        <f>IFERROR(__xludf.DUMMYFUNCTION("IFERROR(
  FILTER('CBK Students'!O:O, TRIM('CBK Students'!B:B) = TRIM(A216)),
  """"
)"),"#REF!")</f>
        <v>#REF!</v>
      </c>
      <c r="AA216" s="4" t="str">
        <f>IFERROR(__xludf.DUMMYFUNCTION("IFERROR(
  FILTER('CBK Students'!P:P, TRIM('CBK Students'!B:B) = TRIM(A216)),
  """"
)"),"#REF!")</f>
        <v>#REF!</v>
      </c>
      <c r="AB216" s="4" t="str">
        <f>IFERROR(__xludf.DUMMYFUNCTION("IFERROR(
  FILTER('CBK Students'!Q:Q, TRIM('CBK Students'!B:B) = TRIM(A216)),
  """"
)"),"#REF!")</f>
        <v>#REF!</v>
      </c>
    </row>
    <row r="217" ht="18.75" customHeight="1">
      <c r="T217" s="240" t="str">
        <f>IFERROR(__xludf.DUMMYFUNCTION("IFERROR(
  FILTER('CBK Students'!F:F, TRIM('CBK Students'!B:B) = TRIM(A217)),
  """"
)"),"#REF!")</f>
        <v>#REF!</v>
      </c>
      <c r="U217" s="240" t="str">
        <f>IFERROR(__xludf.DUMMYFUNCTION("IFERROR(
  FILTER('CBK Students'!H:H, TRIM('CBK Students'!B:B) = TRIM(A217)),
  """"
)"),"#REF!")</f>
        <v>#REF!</v>
      </c>
      <c r="V217" s="240" t="str">
        <f>IFERROR(__xludf.DUMMYFUNCTION("IFERROR(
  FILTER('CBK Students'!M:M, TRIM('CBK Students'!B:B) = TRIM(A217)),
  """"
)"),"#REF!")</f>
        <v>#REF!</v>
      </c>
      <c r="W217" s="240" t="str">
        <f t="shared" si="1"/>
        <v/>
      </c>
      <c r="X217" s="240" t="str">
        <f>IFERROR(__xludf.DUMMYFUNCTION("IFERROR(
  FILTER('CBK Students'!R:R, TRIM('CBK Students'!B:B) = TRIM(A217)),
  """"
)"),"#REF!")</f>
        <v>#REF!</v>
      </c>
      <c r="Y217" s="4" t="str">
        <f t="shared" si="2"/>
        <v/>
      </c>
      <c r="Z217" s="4" t="str">
        <f>IFERROR(__xludf.DUMMYFUNCTION("IFERROR(
  FILTER('CBK Students'!O:O, TRIM('CBK Students'!B:B) = TRIM(A217)),
  """"
)"),"#REF!")</f>
        <v>#REF!</v>
      </c>
      <c r="AA217" s="4" t="str">
        <f>IFERROR(__xludf.DUMMYFUNCTION("IFERROR(
  FILTER('CBK Students'!P:P, TRIM('CBK Students'!B:B) = TRIM(A217)),
  """"
)"),"#REF!")</f>
        <v>#REF!</v>
      </c>
      <c r="AB217" s="4" t="str">
        <f>IFERROR(__xludf.DUMMYFUNCTION("IFERROR(
  FILTER('CBK Students'!Q:Q, TRIM('CBK Students'!B:B) = TRIM(A217)),
  """"
)"),"#REF!")</f>
        <v>#REF!</v>
      </c>
    </row>
    <row r="218" ht="18.75" customHeight="1">
      <c r="T218" s="240" t="str">
        <f>IFERROR(__xludf.DUMMYFUNCTION("IFERROR(
  FILTER('CBK Students'!F:F, TRIM('CBK Students'!B:B) = TRIM(A218)),
  """"
)"),"#REF!")</f>
        <v>#REF!</v>
      </c>
      <c r="U218" s="240" t="str">
        <f>IFERROR(__xludf.DUMMYFUNCTION("IFERROR(
  FILTER('CBK Students'!H:H, TRIM('CBK Students'!B:B) = TRIM(A218)),
  """"
)"),"#REF!")</f>
        <v>#REF!</v>
      </c>
      <c r="V218" s="240" t="str">
        <f>IFERROR(__xludf.DUMMYFUNCTION("IFERROR(
  FILTER('CBK Students'!M:M, TRIM('CBK Students'!B:B) = TRIM(A218)),
  """"
)"),"#REF!")</f>
        <v>#REF!</v>
      </c>
      <c r="W218" s="240" t="str">
        <f t="shared" si="1"/>
        <v/>
      </c>
      <c r="X218" s="240" t="str">
        <f>IFERROR(__xludf.DUMMYFUNCTION("IFERROR(
  FILTER('CBK Students'!R:R, TRIM('CBK Students'!B:B) = TRIM(A218)),
  """"
)"),"#REF!")</f>
        <v>#REF!</v>
      </c>
      <c r="Y218" s="4" t="str">
        <f t="shared" si="2"/>
        <v/>
      </c>
      <c r="Z218" s="4" t="str">
        <f>IFERROR(__xludf.DUMMYFUNCTION("IFERROR(
  FILTER('CBK Students'!O:O, TRIM('CBK Students'!B:B) = TRIM(A218)),
  """"
)"),"#REF!")</f>
        <v>#REF!</v>
      </c>
      <c r="AA218" s="4" t="str">
        <f>IFERROR(__xludf.DUMMYFUNCTION("IFERROR(
  FILTER('CBK Students'!P:P, TRIM('CBK Students'!B:B) = TRIM(A218)),
  """"
)"),"#REF!")</f>
        <v>#REF!</v>
      </c>
      <c r="AB218" s="4" t="str">
        <f>IFERROR(__xludf.DUMMYFUNCTION("IFERROR(
  FILTER('CBK Students'!Q:Q, TRIM('CBK Students'!B:B) = TRIM(A218)),
  """"
)"),"#REF!")</f>
        <v>#REF!</v>
      </c>
    </row>
    <row r="219" ht="18.75" customHeight="1">
      <c r="T219" s="240" t="str">
        <f>IFERROR(__xludf.DUMMYFUNCTION("IFERROR(
  FILTER('CBK Students'!F:F, TRIM('CBK Students'!B:B) = TRIM(A219)),
  """"
)"),"#REF!")</f>
        <v>#REF!</v>
      </c>
      <c r="U219" s="240" t="str">
        <f>IFERROR(__xludf.DUMMYFUNCTION("IFERROR(
  FILTER('CBK Students'!H:H, TRIM('CBK Students'!B:B) = TRIM(A219)),
  """"
)"),"#REF!")</f>
        <v>#REF!</v>
      </c>
      <c r="V219" s="240" t="str">
        <f>IFERROR(__xludf.DUMMYFUNCTION("IFERROR(
  FILTER('CBK Students'!M:M, TRIM('CBK Students'!B:B) = TRIM(A219)),
  """"
)"),"#REF!")</f>
        <v>#REF!</v>
      </c>
      <c r="W219" s="240" t="str">
        <f t="shared" si="1"/>
        <v/>
      </c>
      <c r="X219" s="240" t="str">
        <f>IFERROR(__xludf.DUMMYFUNCTION("IFERROR(
  FILTER('CBK Students'!R:R, TRIM('CBK Students'!B:B) = TRIM(A219)),
  """"
)"),"#REF!")</f>
        <v>#REF!</v>
      </c>
      <c r="Y219" s="4" t="str">
        <f t="shared" si="2"/>
        <v/>
      </c>
      <c r="Z219" s="4" t="str">
        <f>IFERROR(__xludf.DUMMYFUNCTION("IFERROR(
  FILTER('CBK Students'!O:O, TRIM('CBK Students'!B:B) = TRIM(A219)),
  """"
)"),"#REF!")</f>
        <v>#REF!</v>
      </c>
      <c r="AA219" s="4" t="str">
        <f>IFERROR(__xludf.DUMMYFUNCTION("IFERROR(
  FILTER('CBK Students'!P:P, TRIM('CBK Students'!B:B) = TRIM(A219)),
  """"
)"),"#REF!")</f>
        <v>#REF!</v>
      </c>
      <c r="AB219" s="4" t="str">
        <f>IFERROR(__xludf.DUMMYFUNCTION("IFERROR(
  FILTER('CBK Students'!Q:Q, TRIM('CBK Students'!B:B) = TRIM(A219)),
  """"
)"),"#REF!")</f>
        <v>#REF!</v>
      </c>
    </row>
    <row r="220" ht="18.75" customHeight="1">
      <c r="T220" s="240" t="str">
        <f>IFERROR(__xludf.DUMMYFUNCTION("IFERROR(
  FILTER('CBK Students'!F:F, TRIM('CBK Students'!B:B) = TRIM(A220)),
  """"
)"),"#REF!")</f>
        <v>#REF!</v>
      </c>
      <c r="U220" s="240" t="str">
        <f>IFERROR(__xludf.DUMMYFUNCTION("IFERROR(
  FILTER('CBK Students'!H:H, TRIM('CBK Students'!B:B) = TRIM(A220)),
  """"
)"),"#REF!")</f>
        <v>#REF!</v>
      </c>
      <c r="V220" s="240" t="str">
        <f>IFERROR(__xludf.DUMMYFUNCTION("IFERROR(
  FILTER('CBK Students'!M:M, TRIM('CBK Students'!B:B) = TRIM(A220)),
  """"
)"),"#REF!")</f>
        <v>#REF!</v>
      </c>
      <c r="W220" s="240" t="str">
        <f t="shared" si="1"/>
        <v/>
      </c>
      <c r="X220" s="240" t="str">
        <f>IFERROR(__xludf.DUMMYFUNCTION("IFERROR(
  FILTER('CBK Students'!R:R, TRIM('CBK Students'!B:B) = TRIM(A220)),
  """"
)"),"#REF!")</f>
        <v>#REF!</v>
      </c>
      <c r="Y220" s="4" t="str">
        <f t="shared" si="2"/>
        <v/>
      </c>
      <c r="Z220" s="4" t="str">
        <f>IFERROR(__xludf.DUMMYFUNCTION("IFERROR(
  FILTER('CBK Students'!O:O, TRIM('CBK Students'!B:B) = TRIM(A220)),
  """"
)"),"#REF!")</f>
        <v>#REF!</v>
      </c>
      <c r="AA220" s="4" t="str">
        <f>IFERROR(__xludf.DUMMYFUNCTION("IFERROR(
  FILTER('CBK Students'!P:P, TRIM('CBK Students'!B:B) = TRIM(A220)),
  """"
)"),"#REF!")</f>
        <v>#REF!</v>
      </c>
      <c r="AB220" s="4" t="str">
        <f>IFERROR(__xludf.DUMMYFUNCTION("IFERROR(
  FILTER('CBK Students'!Q:Q, TRIM('CBK Students'!B:B) = TRIM(A220)),
  """"
)"),"#REF!")</f>
        <v>#REF!</v>
      </c>
    </row>
    <row r="221" ht="18.75" customHeight="1">
      <c r="T221" s="240" t="str">
        <f>IFERROR(__xludf.DUMMYFUNCTION("IFERROR(
  FILTER('CBK Students'!F:F, TRIM('CBK Students'!B:B) = TRIM(A221)),
  """"
)"),"#REF!")</f>
        <v>#REF!</v>
      </c>
      <c r="U221" s="240" t="str">
        <f>IFERROR(__xludf.DUMMYFUNCTION("IFERROR(
  FILTER('CBK Students'!H:H, TRIM('CBK Students'!B:B) = TRIM(A221)),
  """"
)"),"#REF!")</f>
        <v>#REF!</v>
      </c>
      <c r="V221" s="240" t="str">
        <f>IFERROR(__xludf.DUMMYFUNCTION("IFERROR(
  FILTER('CBK Students'!M:M, TRIM('CBK Students'!B:B) = TRIM(A221)),
  """"
)"),"#REF!")</f>
        <v>#REF!</v>
      </c>
      <c r="W221" s="240" t="str">
        <f t="shared" si="1"/>
        <v/>
      </c>
      <c r="X221" s="240" t="str">
        <f>IFERROR(__xludf.DUMMYFUNCTION("IFERROR(
  FILTER('CBK Students'!R:R, TRIM('CBK Students'!B:B) = TRIM(A221)),
  """"
)"),"#REF!")</f>
        <v>#REF!</v>
      </c>
      <c r="Y221" s="4" t="str">
        <f t="shared" si="2"/>
        <v/>
      </c>
      <c r="Z221" s="4" t="str">
        <f>IFERROR(__xludf.DUMMYFUNCTION("IFERROR(
  FILTER('CBK Students'!O:O, TRIM('CBK Students'!B:B) = TRIM(A221)),
  """"
)"),"#REF!")</f>
        <v>#REF!</v>
      </c>
      <c r="AA221" s="4" t="str">
        <f>IFERROR(__xludf.DUMMYFUNCTION("IFERROR(
  FILTER('CBK Students'!P:P, TRIM('CBK Students'!B:B) = TRIM(A221)),
  """"
)"),"#REF!")</f>
        <v>#REF!</v>
      </c>
      <c r="AB221" s="4" t="str">
        <f>IFERROR(__xludf.DUMMYFUNCTION("IFERROR(
  FILTER('CBK Students'!Q:Q, TRIM('CBK Students'!B:B) = TRIM(A221)),
  """"
)"),"#REF!")</f>
        <v>#REF!</v>
      </c>
    </row>
    <row r="222" ht="18.75" customHeight="1">
      <c r="T222" s="240" t="str">
        <f>IFERROR(__xludf.DUMMYFUNCTION("IFERROR(
  FILTER('CBK Students'!F:F, TRIM('CBK Students'!B:B) = TRIM(A222)),
  """"
)"),"#REF!")</f>
        <v>#REF!</v>
      </c>
      <c r="U222" s="240" t="str">
        <f>IFERROR(__xludf.DUMMYFUNCTION("IFERROR(
  FILTER('CBK Students'!H:H, TRIM('CBK Students'!B:B) = TRIM(A222)),
  """"
)"),"#REF!")</f>
        <v>#REF!</v>
      </c>
      <c r="V222" s="240" t="str">
        <f>IFERROR(__xludf.DUMMYFUNCTION("IFERROR(
  FILTER('CBK Students'!M:M, TRIM('CBK Students'!B:B) = TRIM(A222)),
  """"
)"),"#REF!")</f>
        <v>#REF!</v>
      </c>
      <c r="W222" s="240" t="str">
        <f t="shared" si="1"/>
        <v/>
      </c>
      <c r="X222" s="240" t="str">
        <f>IFERROR(__xludf.DUMMYFUNCTION("IFERROR(
  FILTER('CBK Students'!R:R, TRIM('CBK Students'!B:B) = TRIM(A222)),
  """"
)"),"#REF!")</f>
        <v>#REF!</v>
      </c>
      <c r="Y222" s="4" t="str">
        <f t="shared" si="2"/>
        <v/>
      </c>
      <c r="Z222" s="4" t="str">
        <f>IFERROR(__xludf.DUMMYFUNCTION("IFERROR(
  FILTER('CBK Students'!O:O, TRIM('CBK Students'!B:B) = TRIM(A222)),
  """"
)"),"#REF!")</f>
        <v>#REF!</v>
      </c>
      <c r="AA222" s="4" t="str">
        <f>IFERROR(__xludf.DUMMYFUNCTION("IFERROR(
  FILTER('CBK Students'!P:P, TRIM('CBK Students'!B:B) = TRIM(A222)),
  """"
)"),"#REF!")</f>
        <v>#REF!</v>
      </c>
      <c r="AB222" s="4" t="str">
        <f>IFERROR(__xludf.DUMMYFUNCTION("IFERROR(
  FILTER('CBK Students'!Q:Q, TRIM('CBK Students'!B:B) = TRIM(A222)),
  """"
)"),"#REF!")</f>
        <v>#REF!</v>
      </c>
    </row>
    <row r="223" ht="18.75" customHeight="1">
      <c r="T223" s="240" t="str">
        <f>IFERROR(__xludf.DUMMYFUNCTION("IFERROR(
  FILTER('CBK Students'!F:F, TRIM('CBK Students'!B:B) = TRIM(A223)),
  """"
)"),"#REF!")</f>
        <v>#REF!</v>
      </c>
      <c r="U223" s="240" t="str">
        <f>IFERROR(__xludf.DUMMYFUNCTION("IFERROR(
  FILTER('CBK Students'!H:H, TRIM('CBK Students'!B:B) = TRIM(A223)),
  """"
)"),"#REF!")</f>
        <v>#REF!</v>
      </c>
      <c r="V223" s="240" t="str">
        <f>IFERROR(__xludf.DUMMYFUNCTION("IFERROR(
  FILTER('CBK Students'!M:M, TRIM('CBK Students'!B:B) = TRIM(A223)),
  """"
)"),"#REF!")</f>
        <v>#REF!</v>
      </c>
      <c r="W223" s="240" t="str">
        <f t="shared" si="1"/>
        <v/>
      </c>
      <c r="X223" s="240" t="str">
        <f>IFERROR(__xludf.DUMMYFUNCTION("IFERROR(
  FILTER('CBK Students'!R:R, TRIM('CBK Students'!B:B) = TRIM(A223)),
  """"
)"),"#REF!")</f>
        <v>#REF!</v>
      </c>
      <c r="Y223" s="4" t="str">
        <f t="shared" si="2"/>
        <v/>
      </c>
      <c r="Z223" s="4" t="str">
        <f>IFERROR(__xludf.DUMMYFUNCTION("IFERROR(
  FILTER('CBK Students'!O:O, TRIM('CBK Students'!B:B) = TRIM(A223)),
  """"
)"),"#REF!")</f>
        <v>#REF!</v>
      </c>
      <c r="AA223" s="4" t="str">
        <f>IFERROR(__xludf.DUMMYFUNCTION("IFERROR(
  FILTER('CBK Students'!P:P, TRIM('CBK Students'!B:B) = TRIM(A223)),
  """"
)"),"#REF!")</f>
        <v>#REF!</v>
      </c>
      <c r="AB223" s="4" t="str">
        <f>IFERROR(__xludf.DUMMYFUNCTION("IFERROR(
  FILTER('CBK Students'!Q:Q, TRIM('CBK Students'!B:B) = TRIM(A223)),
  """"
)"),"#REF!")</f>
        <v>#REF!</v>
      </c>
    </row>
    <row r="224" ht="18.75" customHeight="1">
      <c r="T224" s="240" t="str">
        <f>IFERROR(__xludf.DUMMYFUNCTION("IFERROR(
  FILTER('CBK Students'!F:F, TRIM('CBK Students'!B:B) = TRIM(A224)),
  """"
)"),"#REF!")</f>
        <v>#REF!</v>
      </c>
      <c r="U224" s="240" t="str">
        <f>IFERROR(__xludf.DUMMYFUNCTION("IFERROR(
  FILTER('CBK Students'!H:H, TRIM('CBK Students'!B:B) = TRIM(A224)),
  """"
)"),"#REF!")</f>
        <v>#REF!</v>
      </c>
      <c r="V224" s="240" t="str">
        <f>IFERROR(__xludf.DUMMYFUNCTION("IFERROR(
  FILTER('CBK Students'!M:M, TRIM('CBK Students'!B:B) = TRIM(A224)),
  """"
)"),"#REF!")</f>
        <v>#REF!</v>
      </c>
      <c r="W224" s="240" t="str">
        <f t="shared" si="1"/>
        <v/>
      </c>
      <c r="X224" s="240" t="str">
        <f>IFERROR(__xludf.DUMMYFUNCTION("IFERROR(
  FILTER('CBK Students'!R:R, TRIM('CBK Students'!B:B) = TRIM(A224)),
  """"
)"),"#REF!")</f>
        <v>#REF!</v>
      </c>
      <c r="Y224" s="4" t="str">
        <f t="shared" si="2"/>
        <v/>
      </c>
      <c r="Z224" s="4" t="str">
        <f>IFERROR(__xludf.DUMMYFUNCTION("IFERROR(
  FILTER('CBK Students'!O:O, TRIM('CBK Students'!B:B) = TRIM(A224)),
  """"
)"),"#REF!")</f>
        <v>#REF!</v>
      </c>
      <c r="AA224" s="4" t="str">
        <f>IFERROR(__xludf.DUMMYFUNCTION("IFERROR(
  FILTER('CBK Students'!P:P, TRIM('CBK Students'!B:B) = TRIM(A224)),
  """"
)"),"#REF!")</f>
        <v>#REF!</v>
      </c>
      <c r="AB224" s="4" t="str">
        <f>IFERROR(__xludf.DUMMYFUNCTION("IFERROR(
  FILTER('CBK Students'!Q:Q, TRIM('CBK Students'!B:B) = TRIM(A224)),
  """"
)"),"#REF!")</f>
        <v>#REF!</v>
      </c>
    </row>
    <row r="225" ht="18.75" customHeight="1">
      <c r="T225" s="240" t="str">
        <f>IFERROR(__xludf.DUMMYFUNCTION("IFERROR(
  FILTER('CBK Students'!F:F, TRIM('CBK Students'!B:B) = TRIM(A225)),
  """"
)"),"#REF!")</f>
        <v>#REF!</v>
      </c>
      <c r="U225" s="240" t="str">
        <f>IFERROR(__xludf.DUMMYFUNCTION("IFERROR(
  FILTER('CBK Students'!H:H, TRIM('CBK Students'!B:B) = TRIM(A225)),
  """"
)"),"#REF!")</f>
        <v>#REF!</v>
      </c>
      <c r="V225" s="240" t="str">
        <f>IFERROR(__xludf.DUMMYFUNCTION("IFERROR(
  FILTER('CBK Students'!M:M, TRIM('CBK Students'!B:B) = TRIM(A225)),
  """"
)"),"#REF!")</f>
        <v>#REF!</v>
      </c>
      <c r="W225" s="240" t="str">
        <f t="shared" si="1"/>
        <v/>
      </c>
      <c r="X225" s="240" t="str">
        <f>IFERROR(__xludf.DUMMYFUNCTION("IFERROR(
  FILTER('CBK Students'!R:R, TRIM('CBK Students'!B:B) = TRIM(A225)),
  """"
)"),"#REF!")</f>
        <v>#REF!</v>
      </c>
      <c r="Y225" s="4" t="str">
        <f t="shared" si="2"/>
        <v/>
      </c>
      <c r="Z225" s="4" t="str">
        <f>IFERROR(__xludf.DUMMYFUNCTION("IFERROR(
  FILTER('CBK Students'!O:O, TRIM('CBK Students'!B:B) = TRIM(A225)),
  """"
)"),"#REF!")</f>
        <v>#REF!</v>
      </c>
      <c r="AA225" s="4" t="str">
        <f>IFERROR(__xludf.DUMMYFUNCTION("IFERROR(
  FILTER('CBK Students'!P:P, TRIM('CBK Students'!B:B) = TRIM(A225)),
  """"
)"),"#REF!")</f>
        <v>#REF!</v>
      </c>
      <c r="AB225" s="4" t="str">
        <f>IFERROR(__xludf.DUMMYFUNCTION("IFERROR(
  FILTER('CBK Students'!Q:Q, TRIM('CBK Students'!B:B) = TRIM(A225)),
  """"
)"),"#REF!")</f>
        <v>#REF!</v>
      </c>
    </row>
    <row r="226" ht="18.75" customHeight="1">
      <c r="T226" s="240" t="str">
        <f>IFERROR(__xludf.DUMMYFUNCTION("IFERROR(
  FILTER('CBK Students'!F:F, TRIM('CBK Students'!B:B) = TRIM(A226)),
  """"
)"),"#REF!")</f>
        <v>#REF!</v>
      </c>
      <c r="U226" s="240" t="str">
        <f>IFERROR(__xludf.DUMMYFUNCTION("IFERROR(
  FILTER('CBK Students'!H:H, TRIM('CBK Students'!B:B) = TRIM(A226)),
  """"
)"),"#REF!")</f>
        <v>#REF!</v>
      </c>
      <c r="V226" s="240" t="str">
        <f>IFERROR(__xludf.DUMMYFUNCTION("IFERROR(
  FILTER('CBK Students'!M:M, TRIM('CBK Students'!B:B) = TRIM(A226)),
  """"
)"),"#REF!")</f>
        <v>#REF!</v>
      </c>
      <c r="W226" s="240" t="str">
        <f t="shared" si="1"/>
        <v/>
      </c>
      <c r="X226" s="240" t="str">
        <f>IFERROR(__xludf.DUMMYFUNCTION("IFERROR(
  FILTER('CBK Students'!R:R, TRIM('CBK Students'!B:B) = TRIM(A226)),
  """"
)"),"#REF!")</f>
        <v>#REF!</v>
      </c>
      <c r="Y226" s="4" t="str">
        <f t="shared" si="2"/>
        <v/>
      </c>
      <c r="Z226" s="4" t="str">
        <f>IFERROR(__xludf.DUMMYFUNCTION("IFERROR(
  FILTER('CBK Students'!O:O, TRIM('CBK Students'!B:B) = TRIM(A226)),
  """"
)"),"#REF!")</f>
        <v>#REF!</v>
      </c>
      <c r="AA226" s="4" t="str">
        <f>IFERROR(__xludf.DUMMYFUNCTION("IFERROR(
  FILTER('CBK Students'!P:P, TRIM('CBK Students'!B:B) = TRIM(A226)),
  """"
)"),"#REF!")</f>
        <v>#REF!</v>
      </c>
      <c r="AB226" s="4" t="str">
        <f>IFERROR(__xludf.DUMMYFUNCTION("IFERROR(
  FILTER('CBK Students'!Q:Q, TRIM('CBK Students'!B:B) = TRIM(A226)),
  """"
)"),"#REF!")</f>
        <v>#REF!</v>
      </c>
    </row>
    <row r="227" ht="18.75" customHeight="1">
      <c r="T227" s="240" t="str">
        <f>IFERROR(__xludf.DUMMYFUNCTION("IFERROR(
  FILTER('CBK Students'!F:F, TRIM('CBK Students'!B:B) = TRIM(A227)),
  """"
)"),"#REF!")</f>
        <v>#REF!</v>
      </c>
      <c r="U227" s="240" t="str">
        <f>IFERROR(__xludf.DUMMYFUNCTION("IFERROR(
  FILTER('CBK Students'!H:H, TRIM('CBK Students'!B:B) = TRIM(A227)),
  """"
)"),"#REF!")</f>
        <v>#REF!</v>
      </c>
      <c r="V227" s="240" t="str">
        <f>IFERROR(__xludf.DUMMYFUNCTION("IFERROR(
  FILTER('CBK Students'!M:M, TRIM('CBK Students'!B:B) = TRIM(A227)),
  """"
)"),"#REF!")</f>
        <v>#REF!</v>
      </c>
      <c r="W227" s="240" t="str">
        <f t="shared" si="1"/>
        <v/>
      </c>
      <c r="X227" s="240" t="str">
        <f>IFERROR(__xludf.DUMMYFUNCTION("IFERROR(
  FILTER('CBK Students'!R:R, TRIM('CBK Students'!B:B) = TRIM(A227)),
  """"
)"),"#REF!")</f>
        <v>#REF!</v>
      </c>
      <c r="Y227" s="4" t="str">
        <f t="shared" si="2"/>
        <v/>
      </c>
      <c r="Z227" s="4" t="str">
        <f>IFERROR(__xludf.DUMMYFUNCTION("IFERROR(
  FILTER('CBK Students'!O:O, TRIM('CBK Students'!B:B) = TRIM(A227)),
  """"
)"),"#REF!")</f>
        <v>#REF!</v>
      </c>
      <c r="AA227" s="4" t="str">
        <f>IFERROR(__xludf.DUMMYFUNCTION("IFERROR(
  FILTER('CBK Students'!P:P, TRIM('CBK Students'!B:B) = TRIM(A227)),
  """"
)"),"#REF!")</f>
        <v>#REF!</v>
      </c>
      <c r="AB227" s="4" t="str">
        <f>IFERROR(__xludf.DUMMYFUNCTION("IFERROR(
  FILTER('CBK Students'!Q:Q, TRIM('CBK Students'!B:B) = TRIM(A227)),
  """"
)"),"#REF!")</f>
        <v>#REF!</v>
      </c>
    </row>
    <row r="228" ht="18.75" customHeight="1">
      <c r="T228" s="240" t="str">
        <f>IFERROR(__xludf.DUMMYFUNCTION("IFERROR(
  FILTER('CBK Students'!F:F, TRIM('CBK Students'!B:B) = TRIM(A228)),
  """"
)"),"#REF!")</f>
        <v>#REF!</v>
      </c>
      <c r="U228" s="240" t="str">
        <f>IFERROR(__xludf.DUMMYFUNCTION("IFERROR(
  FILTER('CBK Students'!H:H, TRIM('CBK Students'!B:B) = TRIM(A228)),
  """"
)"),"#REF!")</f>
        <v>#REF!</v>
      </c>
      <c r="V228" s="240" t="str">
        <f>IFERROR(__xludf.DUMMYFUNCTION("IFERROR(
  FILTER('CBK Students'!M:M, TRIM('CBK Students'!B:B) = TRIM(A228)),
  """"
)"),"#REF!")</f>
        <v>#REF!</v>
      </c>
      <c r="W228" s="240" t="str">
        <f t="shared" si="1"/>
        <v/>
      </c>
      <c r="X228" s="240" t="str">
        <f>IFERROR(__xludf.DUMMYFUNCTION("IFERROR(
  FILTER('CBK Students'!R:R, TRIM('CBK Students'!B:B) = TRIM(A228)),
  """"
)"),"#REF!")</f>
        <v>#REF!</v>
      </c>
      <c r="Y228" s="4" t="str">
        <f t="shared" si="2"/>
        <v/>
      </c>
      <c r="Z228" s="4" t="str">
        <f>IFERROR(__xludf.DUMMYFUNCTION("IFERROR(
  FILTER('CBK Students'!O:O, TRIM('CBK Students'!B:B) = TRIM(A228)),
  """"
)"),"#REF!")</f>
        <v>#REF!</v>
      </c>
      <c r="AA228" s="4" t="str">
        <f>IFERROR(__xludf.DUMMYFUNCTION("IFERROR(
  FILTER('CBK Students'!P:P, TRIM('CBK Students'!B:B) = TRIM(A228)),
  """"
)"),"#REF!")</f>
        <v>#REF!</v>
      </c>
      <c r="AB228" s="4" t="str">
        <f>IFERROR(__xludf.DUMMYFUNCTION("IFERROR(
  FILTER('CBK Students'!Q:Q, TRIM('CBK Students'!B:B) = TRIM(A228)),
  """"
)"),"#REF!")</f>
        <v>#REF!</v>
      </c>
    </row>
    <row r="229" ht="18.75" customHeight="1">
      <c r="T229" s="240" t="str">
        <f>IFERROR(__xludf.DUMMYFUNCTION("IFERROR(
  FILTER('CBK Students'!F:F, TRIM('CBK Students'!B:B) = TRIM(A229)),
  """"
)"),"#REF!")</f>
        <v>#REF!</v>
      </c>
      <c r="U229" s="240" t="str">
        <f>IFERROR(__xludf.DUMMYFUNCTION("IFERROR(
  FILTER('CBK Students'!H:H, TRIM('CBK Students'!B:B) = TRIM(A229)),
  """"
)"),"#REF!")</f>
        <v>#REF!</v>
      </c>
      <c r="V229" s="240" t="str">
        <f>IFERROR(__xludf.DUMMYFUNCTION("IFERROR(
  FILTER('CBK Students'!M:M, TRIM('CBK Students'!B:B) = TRIM(A229)),
  """"
)"),"#REF!")</f>
        <v>#REF!</v>
      </c>
      <c r="W229" s="240" t="str">
        <f t="shared" si="1"/>
        <v/>
      </c>
      <c r="X229" s="240" t="str">
        <f>IFERROR(__xludf.DUMMYFUNCTION("IFERROR(
  FILTER('CBK Students'!R:R, TRIM('CBK Students'!B:B) = TRIM(A229)),
  """"
)"),"#REF!")</f>
        <v>#REF!</v>
      </c>
      <c r="Y229" s="4" t="str">
        <f t="shared" si="2"/>
        <v/>
      </c>
      <c r="Z229" s="4" t="str">
        <f>IFERROR(__xludf.DUMMYFUNCTION("IFERROR(
  FILTER('CBK Students'!O:O, TRIM('CBK Students'!B:B) = TRIM(A229)),
  """"
)"),"#REF!")</f>
        <v>#REF!</v>
      </c>
      <c r="AA229" s="4" t="str">
        <f>IFERROR(__xludf.DUMMYFUNCTION("IFERROR(
  FILTER('CBK Students'!P:P, TRIM('CBK Students'!B:B) = TRIM(A229)),
  """"
)"),"#REF!")</f>
        <v>#REF!</v>
      </c>
      <c r="AB229" s="4" t="str">
        <f>IFERROR(__xludf.DUMMYFUNCTION("IFERROR(
  FILTER('CBK Students'!Q:Q, TRIM('CBK Students'!B:B) = TRIM(A229)),
  """"
)"),"#REF!")</f>
        <v>#REF!</v>
      </c>
    </row>
    <row r="230" ht="18.75" customHeight="1">
      <c r="T230" s="240" t="str">
        <f>IFERROR(__xludf.DUMMYFUNCTION("IFERROR(
  FILTER('CBK Students'!F:F, TRIM('CBK Students'!B:B) = TRIM(A230)),
  """"
)"),"#REF!")</f>
        <v>#REF!</v>
      </c>
      <c r="U230" s="240" t="str">
        <f>IFERROR(__xludf.DUMMYFUNCTION("IFERROR(
  FILTER('CBK Students'!H:H, TRIM('CBK Students'!B:B) = TRIM(A230)),
  """"
)"),"#REF!")</f>
        <v>#REF!</v>
      </c>
      <c r="V230" s="240" t="str">
        <f>IFERROR(__xludf.DUMMYFUNCTION("IFERROR(
  FILTER('CBK Students'!M:M, TRIM('CBK Students'!B:B) = TRIM(A230)),
  """"
)"),"#REF!")</f>
        <v>#REF!</v>
      </c>
      <c r="W230" s="240" t="str">
        <f t="shared" si="1"/>
        <v/>
      </c>
      <c r="X230" s="240" t="str">
        <f>IFERROR(__xludf.DUMMYFUNCTION("IFERROR(
  FILTER('CBK Students'!R:R, TRIM('CBK Students'!B:B) = TRIM(A230)),
  """"
)"),"#REF!")</f>
        <v>#REF!</v>
      </c>
      <c r="Y230" s="4" t="str">
        <f t="shared" si="2"/>
        <v/>
      </c>
      <c r="Z230" s="4" t="str">
        <f>IFERROR(__xludf.DUMMYFUNCTION("IFERROR(
  FILTER('CBK Students'!O:O, TRIM('CBK Students'!B:B) = TRIM(A230)),
  """"
)"),"#REF!")</f>
        <v>#REF!</v>
      </c>
      <c r="AA230" s="4" t="str">
        <f>IFERROR(__xludf.DUMMYFUNCTION("IFERROR(
  FILTER('CBK Students'!P:P, TRIM('CBK Students'!B:B) = TRIM(A230)),
  """"
)"),"#REF!")</f>
        <v>#REF!</v>
      </c>
      <c r="AB230" s="4" t="str">
        <f>IFERROR(__xludf.DUMMYFUNCTION("IFERROR(
  FILTER('CBK Students'!Q:Q, TRIM('CBK Students'!B:B) = TRIM(A230)),
  """"
)"),"#REF!")</f>
        <v>#REF!</v>
      </c>
    </row>
    <row r="231" ht="18.75" customHeight="1">
      <c r="T231" s="240" t="str">
        <f>IFERROR(__xludf.DUMMYFUNCTION("IFERROR(
  FILTER('CBK Students'!F:F, TRIM('CBK Students'!B:B) = TRIM(A231)),
  """"
)"),"#REF!")</f>
        <v>#REF!</v>
      </c>
      <c r="U231" s="240" t="str">
        <f>IFERROR(__xludf.DUMMYFUNCTION("IFERROR(
  FILTER('CBK Students'!H:H, TRIM('CBK Students'!B:B) = TRIM(A231)),
  """"
)"),"#REF!")</f>
        <v>#REF!</v>
      </c>
      <c r="V231" s="240" t="str">
        <f>IFERROR(__xludf.DUMMYFUNCTION("IFERROR(
  FILTER('CBK Students'!M:M, TRIM('CBK Students'!B:B) = TRIM(A231)),
  """"
)"),"#REF!")</f>
        <v>#REF!</v>
      </c>
      <c r="W231" s="240" t="str">
        <f t="shared" si="1"/>
        <v/>
      </c>
      <c r="X231" s="240" t="str">
        <f>IFERROR(__xludf.DUMMYFUNCTION("IFERROR(
  FILTER('CBK Students'!R:R, TRIM('CBK Students'!B:B) = TRIM(A231)),
  """"
)"),"#REF!")</f>
        <v>#REF!</v>
      </c>
      <c r="Y231" s="4" t="str">
        <f t="shared" si="2"/>
        <v/>
      </c>
      <c r="Z231" s="4" t="str">
        <f>IFERROR(__xludf.DUMMYFUNCTION("IFERROR(
  FILTER('CBK Students'!O:O, TRIM('CBK Students'!B:B) = TRIM(A231)),
  """"
)"),"#REF!")</f>
        <v>#REF!</v>
      </c>
      <c r="AA231" s="4" t="str">
        <f>IFERROR(__xludf.DUMMYFUNCTION("IFERROR(
  FILTER('CBK Students'!P:P, TRIM('CBK Students'!B:B) = TRIM(A231)),
  """"
)"),"#REF!")</f>
        <v>#REF!</v>
      </c>
      <c r="AB231" s="4" t="str">
        <f>IFERROR(__xludf.DUMMYFUNCTION("IFERROR(
  FILTER('CBK Students'!Q:Q, TRIM('CBK Students'!B:B) = TRIM(A231)),
  """"
)"),"#REF!")</f>
        <v>#REF!</v>
      </c>
    </row>
    <row r="232" ht="18.75" customHeight="1">
      <c r="T232" s="240" t="str">
        <f>IFERROR(__xludf.DUMMYFUNCTION("IFERROR(
  FILTER('CBK Students'!F:F, TRIM('CBK Students'!B:B) = TRIM(A232)),
  """"
)"),"#REF!")</f>
        <v>#REF!</v>
      </c>
      <c r="U232" s="240" t="str">
        <f>IFERROR(__xludf.DUMMYFUNCTION("IFERROR(
  FILTER('CBK Students'!H:H, TRIM('CBK Students'!B:B) = TRIM(A232)),
  """"
)"),"#REF!")</f>
        <v>#REF!</v>
      </c>
      <c r="V232" s="240" t="str">
        <f>IFERROR(__xludf.DUMMYFUNCTION("IFERROR(
  FILTER('CBK Students'!M:M, TRIM('CBK Students'!B:B) = TRIM(A232)),
  """"
)"),"#REF!")</f>
        <v>#REF!</v>
      </c>
      <c r="W232" s="240" t="str">
        <f t="shared" si="1"/>
        <v/>
      </c>
      <c r="X232" s="240" t="str">
        <f>IFERROR(__xludf.DUMMYFUNCTION("IFERROR(
  FILTER('CBK Students'!R:R, TRIM('CBK Students'!B:B) = TRIM(A232)),
  """"
)"),"#REF!")</f>
        <v>#REF!</v>
      </c>
      <c r="Y232" s="4" t="str">
        <f t="shared" si="2"/>
        <v/>
      </c>
      <c r="Z232" s="4" t="str">
        <f>IFERROR(__xludf.DUMMYFUNCTION("IFERROR(
  FILTER('CBK Students'!O:O, TRIM('CBK Students'!B:B) = TRIM(A232)),
  """"
)"),"#REF!")</f>
        <v>#REF!</v>
      </c>
      <c r="AA232" s="4" t="str">
        <f>IFERROR(__xludf.DUMMYFUNCTION("IFERROR(
  FILTER('CBK Students'!P:P, TRIM('CBK Students'!B:B) = TRIM(A232)),
  """"
)"),"#REF!")</f>
        <v>#REF!</v>
      </c>
      <c r="AB232" s="4" t="str">
        <f>IFERROR(__xludf.DUMMYFUNCTION("IFERROR(
  FILTER('CBK Students'!Q:Q, TRIM('CBK Students'!B:B) = TRIM(A232)),
  """"
)"),"#REF!")</f>
        <v>#REF!</v>
      </c>
    </row>
    <row r="233" ht="18.75" customHeight="1">
      <c r="T233" s="240" t="str">
        <f>IFERROR(__xludf.DUMMYFUNCTION("IFERROR(
  FILTER('CBK Students'!F:F, TRIM('CBK Students'!B:B) = TRIM(A233)),
  """"
)"),"#REF!")</f>
        <v>#REF!</v>
      </c>
      <c r="U233" s="240" t="str">
        <f>IFERROR(__xludf.DUMMYFUNCTION("IFERROR(
  FILTER('CBK Students'!H:H, TRIM('CBK Students'!B:B) = TRIM(A233)),
  """"
)"),"#REF!")</f>
        <v>#REF!</v>
      </c>
      <c r="V233" s="240" t="str">
        <f>IFERROR(__xludf.DUMMYFUNCTION("IFERROR(
  FILTER('CBK Students'!M:M, TRIM('CBK Students'!B:B) = TRIM(A233)),
  """"
)"),"#REF!")</f>
        <v>#REF!</v>
      </c>
      <c r="W233" s="240" t="str">
        <f t="shared" si="1"/>
        <v/>
      </c>
      <c r="X233" s="240" t="str">
        <f>IFERROR(__xludf.DUMMYFUNCTION("IFERROR(
  FILTER('CBK Students'!R:R, TRIM('CBK Students'!B:B) = TRIM(A233)),
  """"
)"),"#REF!")</f>
        <v>#REF!</v>
      </c>
      <c r="Y233" s="4" t="str">
        <f t="shared" si="2"/>
        <v/>
      </c>
      <c r="Z233" s="4" t="str">
        <f>IFERROR(__xludf.DUMMYFUNCTION("IFERROR(
  FILTER('CBK Students'!O:O, TRIM('CBK Students'!B:B) = TRIM(A233)),
  """"
)"),"#REF!")</f>
        <v>#REF!</v>
      </c>
      <c r="AA233" s="4" t="str">
        <f>IFERROR(__xludf.DUMMYFUNCTION("IFERROR(
  FILTER('CBK Students'!P:P, TRIM('CBK Students'!B:B) = TRIM(A233)),
  """"
)"),"#REF!")</f>
        <v>#REF!</v>
      </c>
      <c r="AB233" s="4" t="str">
        <f>IFERROR(__xludf.DUMMYFUNCTION("IFERROR(
  FILTER('CBK Students'!Q:Q, TRIM('CBK Students'!B:B) = TRIM(A233)),
  """"
)"),"#REF!")</f>
        <v>#REF!</v>
      </c>
    </row>
    <row r="234" ht="18.75" customHeight="1">
      <c r="T234" s="240" t="str">
        <f>IFERROR(__xludf.DUMMYFUNCTION("IFERROR(
  FILTER('CBK Students'!F:F, TRIM('CBK Students'!B:B) = TRIM(A234)),
  """"
)"),"#REF!")</f>
        <v>#REF!</v>
      </c>
      <c r="U234" s="240" t="str">
        <f>IFERROR(__xludf.DUMMYFUNCTION("IFERROR(
  FILTER('CBK Students'!H:H, TRIM('CBK Students'!B:B) = TRIM(A234)),
  """"
)"),"#REF!")</f>
        <v>#REF!</v>
      </c>
      <c r="V234" s="240" t="str">
        <f>IFERROR(__xludf.DUMMYFUNCTION("IFERROR(
  FILTER('CBK Students'!M:M, TRIM('CBK Students'!B:B) = TRIM(A234)),
  """"
)"),"#REF!")</f>
        <v>#REF!</v>
      </c>
      <c r="W234" s="240" t="str">
        <f t="shared" si="1"/>
        <v/>
      </c>
      <c r="X234" s="240" t="str">
        <f>IFERROR(__xludf.DUMMYFUNCTION("IFERROR(
  FILTER('CBK Students'!R:R, TRIM('CBK Students'!B:B) = TRIM(A234)),
  """"
)"),"#REF!")</f>
        <v>#REF!</v>
      </c>
      <c r="Y234" s="4" t="str">
        <f t="shared" si="2"/>
        <v/>
      </c>
      <c r="Z234" s="4" t="str">
        <f>IFERROR(__xludf.DUMMYFUNCTION("IFERROR(
  FILTER('CBK Students'!O:O, TRIM('CBK Students'!B:B) = TRIM(A234)),
  """"
)"),"#REF!")</f>
        <v>#REF!</v>
      </c>
      <c r="AA234" s="4" t="str">
        <f>IFERROR(__xludf.DUMMYFUNCTION("IFERROR(
  FILTER('CBK Students'!P:P, TRIM('CBK Students'!B:B) = TRIM(A234)),
  """"
)"),"#REF!")</f>
        <v>#REF!</v>
      </c>
      <c r="AB234" s="4" t="str">
        <f>IFERROR(__xludf.DUMMYFUNCTION("IFERROR(
  FILTER('CBK Students'!Q:Q, TRIM('CBK Students'!B:B) = TRIM(A234)),
  """"
)"),"#REF!")</f>
        <v>#REF!</v>
      </c>
    </row>
    <row r="235" ht="18.75" customHeight="1">
      <c r="T235" s="240" t="str">
        <f>IFERROR(__xludf.DUMMYFUNCTION("IFERROR(
  FILTER('CBK Students'!F:F, TRIM('CBK Students'!B:B) = TRIM(A235)),
  """"
)"),"#REF!")</f>
        <v>#REF!</v>
      </c>
      <c r="U235" s="240" t="str">
        <f>IFERROR(__xludf.DUMMYFUNCTION("IFERROR(
  FILTER('CBK Students'!H:H, TRIM('CBK Students'!B:B) = TRIM(A235)),
  """"
)"),"#REF!")</f>
        <v>#REF!</v>
      </c>
      <c r="V235" s="240" t="str">
        <f>IFERROR(__xludf.DUMMYFUNCTION("IFERROR(
  FILTER('CBK Students'!M:M, TRIM('CBK Students'!B:B) = TRIM(A235)),
  """"
)"),"#REF!")</f>
        <v>#REF!</v>
      </c>
      <c r="W235" s="240" t="str">
        <f t="shared" si="1"/>
        <v/>
      </c>
      <c r="X235" s="240" t="str">
        <f>IFERROR(__xludf.DUMMYFUNCTION("IFERROR(
  FILTER('CBK Students'!R:R, TRIM('CBK Students'!B:B) = TRIM(A235)),
  """"
)"),"#REF!")</f>
        <v>#REF!</v>
      </c>
      <c r="Y235" s="4" t="str">
        <f t="shared" si="2"/>
        <v/>
      </c>
      <c r="Z235" s="4" t="str">
        <f>IFERROR(__xludf.DUMMYFUNCTION("IFERROR(
  FILTER('CBK Students'!O:O, TRIM('CBK Students'!B:B) = TRIM(A235)),
  """"
)"),"#REF!")</f>
        <v>#REF!</v>
      </c>
      <c r="AA235" s="4" t="str">
        <f>IFERROR(__xludf.DUMMYFUNCTION("IFERROR(
  FILTER('CBK Students'!P:P, TRIM('CBK Students'!B:B) = TRIM(A235)),
  """"
)"),"#REF!")</f>
        <v>#REF!</v>
      </c>
      <c r="AB235" s="4" t="str">
        <f>IFERROR(__xludf.DUMMYFUNCTION("IFERROR(
  FILTER('CBK Students'!Q:Q, TRIM('CBK Students'!B:B) = TRIM(A235)),
  """"
)"),"#REF!")</f>
        <v>#REF!</v>
      </c>
    </row>
    <row r="236" ht="18.75" customHeight="1">
      <c r="T236" s="240" t="str">
        <f>IFERROR(__xludf.DUMMYFUNCTION("IFERROR(
  FILTER('CBK Students'!F:F, TRIM('CBK Students'!B:B) = TRIM(A236)),
  """"
)"),"#REF!")</f>
        <v>#REF!</v>
      </c>
      <c r="U236" s="240" t="str">
        <f>IFERROR(__xludf.DUMMYFUNCTION("IFERROR(
  FILTER('CBK Students'!H:H, TRIM('CBK Students'!B:B) = TRIM(A236)),
  """"
)"),"#REF!")</f>
        <v>#REF!</v>
      </c>
      <c r="V236" s="240" t="str">
        <f>IFERROR(__xludf.DUMMYFUNCTION("IFERROR(
  FILTER('CBK Students'!M:M, TRIM('CBK Students'!B:B) = TRIM(A236)),
  """"
)"),"#REF!")</f>
        <v>#REF!</v>
      </c>
      <c r="W236" s="240" t="str">
        <f t="shared" si="1"/>
        <v/>
      </c>
      <c r="X236" s="240" t="str">
        <f>IFERROR(__xludf.DUMMYFUNCTION("IFERROR(
  FILTER('CBK Students'!R:R, TRIM('CBK Students'!B:B) = TRIM(A236)),
  """"
)"),"#REF!")</f>
        <v>#REF!</v>
      </c>
      <c r="Y236" s="4" t="str">
        <f t="shared" si="2"/>
        <v/>
      </c>
      <c r="Z236" s="4" t="str">
        <f>IFERROR(__xludf.DUMMYFUNCTION("IFERROR(
  FILTER('CBK Students'!O:O, TRIM('CBK Students'!B:B) = TRIM(A236)),
  """"
)"),"#REF!")</f>
        <v>#REF!</v>
      </c>
      <c r="AA236" s="4" t="str">
        <f>IFERROR(__xludf.DUMMYFUNCTION("IFERROR(
  FILTER('CBK Students'!P:P, TRIM('CBK Students'!B:B) = TRIM(A236)),
  """"
)"),"#REF!")</f>
        <v>#REF!</v>
      </c>
      <c r="AB236" s="4" t="str">
        <f>IFERROR(__xludf.DUMMYFUNCTION("IFERROR(
  FILTER('CBK Students'!Q:Q, TRIM('CBK Students'!B:B) = TRIM(A236)),
  """"
)"),"#REF!")</f>
        <v>#REF!</v>
      </c>
    </row>
    <row r="237" ht="18.75" customHeight="1">
      <c r="T237" s="240" t="str">
        <f>IFERROR(__xludf.DUMMYFUNCTION("IFERROR(
  FILTER('CBK Students'!F:F, TRIM('CBK Students'!B:B) = TRIM(A237)),
  """"
)"),"#REF!")</f>
        <v>#REF!</v>
      </c>
      <c r="U237" s="240" t="str">
        <f>IFERROR(__xludf.DUMMYFUNCTION("IFERROR(
  FILTER('CBK Students'!H:H, TRIM('CBK Students'!B:B) = TRIM(A237)),
  """"
)"),"#REF!")</f>
        <v>#REF!</v>
      </c>
      <c r="V237" s="240" t="str">
        <f>IFERROR(__xludf.DUMMYFUNCTION("IFERROR(
  FILTER('CBK Students'!M:M, TRIM('CBK Students'!B:B) = TRIM(A237)),
  """"
)"),"#REF!")</f>
        <v>#REF!</v>
      </c>
      <c r="W237" s="240" t="str">
        <f t="shared" si="1"/>
        <v/>
      </c>
      <c r="X237" s="240" t="str">
        <f>IFERROR(__xludf.DUMMYFUNCTION("IFERROR(
  FILTER('CBK Students'!R:R, TRIM('CBK Students'!B:B) = TRIM(A237)),
  """"
)"),"#REF!")</f>
        <v>#REF!</v>
      </c>
      <c r="Y237" s="4" t="str">
        <f t="shared" si="2"/>
        <v/>
      </c>
      <c r="Z237" s="4" t="str">
        <f>IFERROR(__xludf.DUMMYFUNCTION("IFERROR(
  FILTER('CBK Students'!O:O, TRIM('CBK Students'!B:B) = TRIM(A237)),
  """"
)"),"#REF!")</f>
        <v>#REF!</v>
      </c>
      <c r="AA237" s="4" t="str">
        <f>IFERROR(__xludf.DUMMYFUNCTION("IFERROR(
  FILTER('CBK Students'!P:P, TRIM('CBK Students'!B:B) = TRIM(A237)),
  """"
)"),"#REF!")</f>
        <v>#REF!</v>
      </c>
      <c r="AB237" s="4" t="str">
        <f>IFERROR(__xludf.DUMMYFUNCTION("IFERROR(
  FILTER('CBK Students'!Q:Q, TRIM('CBK Students'!B:B) = TRIM(A237)),
  """"
)"),"#REF!")</f>
        <v>#REF!</v>
      </c>
    </row>
    <row r="238" ht="18.75" customHeight="1">
      <c r="T238" s="240" t="str">
        <f>IFERROR(__xludf.DUMMYFUNCTION("IFERROR(
  FILTER('CBK Students'!F:F, TRIM('CBK Students'!B:B) = TRIM(A238)),
  """"
)"),"#REF!")</f>
        <v>#REF!</v>
      </c>
      <c r="U238" s="240" t="str">
        <f>IFERROR(__xludf.DUMMYFUNCTION("IFERROR(
  FILTER('CBK Students'!H:H, TRIM('CBK Students'!B:B) = TRIM(A238)),
  """"
)"),"#REF!")</f>
        <v>#REF!</v>
      </c>
      <c r="V238" s="240" t="str">
        <f>IFERROR(__xludf.DUMMYFUNCTION("IFERROR(
  FILTER('CBK Students'!M:M, TRIM('CBK Students'!B:B) = TRIM(A238)),
  """"
)"),"#REF!")</f>
        <v>#REF!</v>
      </c>
      <c r="W238" s="240" t="str">
        <f t="shared" si="1"/>
        <v/>
      </c>
      <c r="X238" s="240" t="str">
        <f>IFERROR(__xludf.DUMMYFUNCTION("IFERROR(
  FILTER('CBK Students'!R:R, TRIM('CBK Students'!B:B) = TRIM(A238)),
  """"
)"),"#REF!")</f>
        <v>#REF!</v>
      </c>
      <c r="Y238" s="4" t="str">
        <f t="shared" si="2"/>
        <v/>
      </c>
      <c r="Z238" s="4" t="str">
        <f>IFERROR(__xludf.DUMMYFUNCTION("IFERROR(
  FILTER('CBK Students'!O:O, TRIM('CBK Students'!B:B) = TRIM(A238)),
  """"
)"),"#REF!")</f>
        <v>#REF!</v>
      </c>
      <c r="AA238" s="4" t="str">
        <f>IFERROR(__xludf.DUMMYFUNCTION("IFERROR(
  FILTER('CBK Students'!P:P, TRIM('CBK Students'!B:B) = TRIM(A238)),
  """"
)"),"#REF!")</f>
        <v>#REF!</v>
      </c>
      <c r="AB238" s="4" t="str">
        <f>IFERROR(__xludf.DUMMYFUNCTION("IFERROR(
  FILTER('CBK Students'!Q:Q, TRIM('CBK Students'!B:B) = TRIM(A238)),
  """"
)"),"#REF!")</f>
        <v>#REF!</v>
      </c>
    </row>
    <row r="239" ht="18.75" customHeight="1">
      <c r="T239" s="240" t="str">
        <f>IFERROR(__xludf.DUMMYFUNCTION("IFERROR(
  FILTER('CBK Students'!F:F, TRIM('CBK Students'!B:B) = TRIM(A239)),
  """"
)"),"#REF!")</f>
        <v>#REF!</v>
      </c>
      <c r="U239" s="240" t="str">
        <f>IFERROR(__xludf.DUMMYFUNCTION("IFERROR(
  FILTER('CBK Students'!H:H, TRIM('CBK Students'!B:B) = TRIM(A239)),
  """"
)"),"#REF!")</f>
        <v>#REF!</v>
      </c>
      <c r="V239" s="240" t="str">
        <f>IFERROR(__xludf.DUMMYFUNCTION("IFERROR(
  FILTER('CBK Students'!M:M, TRIM('CBK Students'!B:B) = TRIM(A239)),
  """"
)"),"#REF!")</f>
        <v>#REF!</v>
      </c>
      <c r="W239" s="240" t="str">
        <f t="shared" si="1"/>
        <v/>
      </c>
      <c r="X239" s="240" t="str">
        <f>IFERROR(__xludf.DUMMYFUNCTION("IFERROR(
  FILTER('CBK Students'!R:R, TRIM('CBK Students'!B:B) = TRIM(A239)),
  """"
)"),"#REF!")</f>
        <v>#REF!</v>
      </c>
      <c r="Y239" s="4" t="str">
        <f t="shared" si="2"/>
        <v/>
      </c>
      <c r="Z239" s="4" t="str">
        <f>IFERROR(__xludf.DUMMYFUNCTION("IFERROR(
  FILTER('CBK Students'!O:O, TRIM('CBK Students'!B:B) = TRIM(A239)),
  """"
)"),"#REF!")</f>
        <v>#REF!</v>
      </c>
      <c r="AA239" s="4" t="str">
        <f>IFERROR(__xludf.DUMMYFUNCTION("IFERROR(
  FILTER('CBK Students'!P:P, TRIM('CBK Students'!B:B) = TRIM(A239)),
  """"
)"),"#REF!")</f>
        <v>#REF!</v>
      </c>
      <c r="AB239" s="4" t="str">
        <f>IFERROR(__xludf.DUMMYFUNCTION("IFERROR(
  FILTER('CBK Students'!Q:Q, TRIM('CBK Students'!B:B) = TRIM(A239)),
  """"
)"),"#REF!")</f>
        <v>#REF!</v>
      </c>
    </row>
    <row r="240" ht="18.75" customHeight="1">
      <c r="T240" s="240" t="str">
        <f>IFERROR(__xludf.DUMMYFUNCTION("IFERROR(
  FILTER('CBK Students'!F:F, TRIM('CBK Students'!B:B) = TRIM(A240)),
  """"
)"),"#REF!")</f>
        <v>#REF!</v>
      </c>
      <c r="U240" s="240" t="str">
        <f>IFERROR(__xludf.DUMMYFUNCTION("IFERROR(
  FILTER('CBK Students'!H:H, TRIM('CBK Students'!B:B) = TRIM(A240)),
  """"
)"),"#REF!")</f>
        <v>#REF!</v>
      </c>
      <c r="V240" s="240" t="str">
        <f>IFERROR(__xludf.DUMMYFUNCTION("IFERROR(
  FILTER('CBK Students'!M:M, TRIM('CBK Students'!B:B) = TRIM(A240)),
  """"
)"),"#REF!")</f>
        <v>#REF!</v>
      </c>
      <c r="W240" s="240" t="str">
        <f t="shared" si="1"/>
        <v/>
      </c>
      <c r="X240" s="240" t="str">
        <f>IFERROR(__xludf.DUMMYFUNCTION("IFERROR(
  FILTER('CBK Students'!R:R, TRIM('CBK Students'!B:B) = TRIM(A240)),
  """"
)"),"#REF!")</f>
        <v>#REF!</v>
      </c>
      <c r="Y240" s="4" t="str">
        <f t="shared" si="2"/>
        <v/>
      </c>
      <c r="Z240" s="4" t="str">
        <f>IFERROR(__xludf.DUMMYFUNCTION("IFERROR(
  FILTER('CBK Students'!O:O, TRIM('CBK Students'!B:B) = TRIM(A240)),
  """"
)"),"#REF!")</f>
        <v>#REF!</v>
      </c>
      <c r="AA240" s="4" t="str">
        <f>IFERROR(__xludf.DUMMYFUNCTION("IFERROR(
  FILTER('CBK Students'!P:P, TRIM('CBK Students'!B:B) = TRIM(A240)),
  """"
)"),"#REF!")</f>
        <v>#REF!</v>
      </c>
      <c r="AB240" s="4" t="str">
        <f>IFERROR(__xludf.DUMMYFUNCTION("IFERROR(
  FILTER('CBK Students'!Q:Q, TRIM('CBK Students'!B:B) = TRIM(A240)),
  """"
)"),"#REF!")</f>
        <v>#REF!</v>
      </c>
    </row>
    <row r="241" ht="18.75" customHeight="1">
      <c r="T241" s="240" t="str">
        <f>IFERROR(__xludf.DUMMYFUNCTION("IFERROR(
  FILTER('CBK Students'!F:F, TRIM('CBK Students'!B:B) = TRIM(A241)),
  """"
)"),"#REF!")</f>
        <v>#REF!</v>
      </c>
      <c r="U241" s="240" t="str">
        <f>IFERROR(__xludf.DUMMYFUNCTION("IFERROR(
  FILTER('CBK Students'!H:H, TRIM('CBK Students'!B:B) = TRIM(A241)),
  """"
)"),"#REF!")</f>
        <v>#REF!</v>
      </c>
      <c r="V241" s="240" t="str">
        <f>IFERROR(__xludf.DUMMYFUNCTION("IFERROR(
  FILTER('CBK Students'!M:M, TRIM('CBK Students'!B:B) = TRIM(A241)),
  """"
)"),"#REF!")</f>
        <v>#REF!</v>
      </c>
      <c r="W241" s="240" t="str">
        <f t="shared" si="1"/>
        <v/>
      </c>
      <c r="X241" s="240" t="str">
        <f>IFERROR(__xludf.DUMMYFUNCTION("IFERROR(
  FILTER('CBK Students'!R:R, TRIM('CBK Students'!B:B) = TRIM(A241)),
  """"
)"),"#REF!")</f>
        <v>#REF!</v>
      </c>
      <c r="Y241" s="4" t="str">
        <f t="shared" si="2"/>
        <v/>
      </c>
      <c r="Z241" s="4" t="str">
        <f>IFERROR(__xludf.DUMMYFUNCTION("IFERROR(
  FILTER('CBK Students'!O:O, TRIM('CBK Students'!B:B) = TRIM(A241)),
  """"
)"),"#REF!")</f>
        <v>#REF!</v>
      </c>
      <c r="AA241" s="4" t="str">
        <f>IFERROR(__xludf.DUMMYFUNCTION("IFERROR(
  FILTER('CBK Students'!P:P, TRIM('CBK Students'!B:B) = TRIM(A241)),
  """"
)"),"#REF!")</f>
        <v>#REF!</v>
      </c>
      <c r="AB241" s="4" t="str">
        <f>IFERROR(__xludf.DUMMYFUNCTION("IFERROR(
  FILTER('CBK Students'!Q:Q, TRIM('CBK Students'!B:B) = TRIM(A241)),
  """"
)"),"#REF!")</f>
        <v>#REF!</v>
      </c>
    </row>
    <row r="242" ht="18.75" customHeight="1">
      <c r="T242" s="240" t="str">
        <f>IFERROR(__xludf.DUMMYFUNCTION("IFERROR(
  FILTER('CBK Students'!F:F, TRIM('CBK Students'!B:B) = TRIM(A242)),
  """"
)"),"#REF!")</f>
        <v>#REF!</v>
      </c>
      <c r="U242" s="240" t="str">
        <f>IFERROR(__xludf.DUMMYFUNCTION("IFERROR(
  FILTER('CBK Students'!H:H, TRIM('CBK Students'!B:B) = TRIM(A242)),
  """"
)"),"#REF!")</f>
        <v>#REF!</v>
      </c>
      <c r="V242" s="240" t="str">
        <f>IFERROR(__xludf.DUMMYFUNCTION("IFERROR(
  FILTER('CBK Students'!M:M, TRIM('CBK Students'!B:B) = TRIM(A242)),
  """"
)"),"#REF!")</f>
        <v>#REF!</v>
      </c>
      <c r="W242" s="240" t="str">
        <f t="shared" si="1"/>
        <v/>
      </c>
      <c r="X242" s="240" t="str">
        <f>IFERROR(__xludf.DUMMYFUNCTION("IFERROR(
  FILTER('CBK Students'!R:R, TRIM('CBK Students'!B:B) = TRIM(A242)),
  """"
)"),"#REF!")</f>
        <v>#REF!</v>
      </c>
      <c r="Y242" s="4" t="str">
        <f t="shared" si="2"/>
        <v/>
      </c>
      <c r="Z242" s="4" t="str">
        <f>IFERROR(__xludf.DUMMYFUNCTION("IFERROR(
  FILTER('CBK Students'!O:O, TRIM('CBK Students'!B:B) = TRIM(A242)),
  """"
)"),"#REF!")</f>
        <v>#REF!</v>
      </c>
      <c r="AA242" s="4" t="str">
        <f>IFERROR(__xludf.DUMMYFUNCTION("IFERROR(
  FILTER('CBK Students'!P:P, TRIM('CBK Students'!B:B) = TRIM(A242)),
  """"
)"),"#REF!")</f>
        <v>#REF!</v>
      </c>
      <c r="AB242" s="4" t="str">
        <f>IFERROR(__xludf.DUMMYFUNCTION("IFERROR(
  FILTER('CBK Students'!Q:Q, TRIM('CBK Students'!B:B) = TRIM(A242)),
  """"
)"),"#REF!")</f>
        <v>#REF!</v>
      </c>
    </row>
    <row r="243" ht="18.75" customHeight="1">
      <c r="T243" s="240" t="str">
        <f>IFERROR(__xludf.DUMMYFUNCTION("IFERROR(
  FILTER('CBK Students'!F:F, TRIM('CBK Students'!B:B) = TRIM(A243)),
  """"
)"),"#REF!")</f>
        <v>#REF!</v>
      </c>
      <c r="U243" s="240" t="str">
        <f>IFERROR(__xludf.DUMMYFUNCTION("IFERROR(
  FILTER('CBK Students'!H:H, TRIM('CBK Students'!B:B) = TRIM(A243)),
  """"
)"),"#REF!")</f>
        <v>#REF!</v>
      </c>
      <c r="V243" s="240" t="str">
        <f>IFERROR(__xludf.DUMMYFUNCTION("IFERROR(
  FILTER('CBK Students'!M:M, TRIM('CBK Students'!B:B) = TRIM(A243)),
  """"
)"),"#REF!")</f>
        <v>#REF!</v>
      </c>
      <c r="W243" s="240" t="str">
        <f t="shared" si="1"/>
        <v/>
      </c>
      <c r="X243" s="240" t="str">
        <f>IFERROR(__xludf.DUMMYFUNCTION("IFERROR(
  FILTER('CBK Students'!R:R, TRIM('CBK Students'!B:B) = TRIM(A243)),
  """"
)"),"#REF!")</f>
        <v>#REF!</v>
      </c>
      <c r="Y243" s="4" t="str">
        <f t="shared" si="2"/>
        <v/>
      </c>
      <c r="Z243" s="4" t="str">
        <f>IFERROR(__xludf.DUMMYFUNCTION("IFERROR(
  FILTER('CBK Students'!O:O, TRIM('CBK Students'!B:B) = TRIM(A243)),
  """"
)"),"#REF!")</f>
        <v>#REF!</v>
      </c>
      <c r="AA243" s="4" t="str">
        <f>IFERROR(__xludf.DUMMYFUNCTION("IFERROR(
  FILTER('CBK Students'!P:P, TRIM('CBK Students'!B:B) = TRIM(A243)),
  """"
)"),"#REF!")</f>
        <v>#REF!</v>
      </c>
      <c r="AB243" s="4" t="str">
        <f>IFERROR(__xludf.DUMMYFUNCTION("IFERROR(
  FILTER('CBK Students'!Q:Q, TRIM('CBK Students'!B:B) = TRIM(A243)),
  """"
)"),"#REF!")</f>
        <v>#REF!</v>
      </c>
    </row>
    <row r="244" ht="18.75" customHeight="1">
      <c r="T244" s="240" t="str">
        <f>IFERROR(__xludf.DUMMYFUNCTION("IFERROR(
  FILTER('CBK Students'!F:F, TRIM('CBK Students'!B:B) = TRIM(A244)),
  """"
)"),"#REF!")</f>
        <v>#REF!</v>
      </c>
      <c r="U244" s="240" t="str">
        <f>IFERROR(__xludf.DUMMYFUNCTION("IFERROR(
  FILTER('CBK Students'!H:H, TRIM('CBK Students'!B:B) = TRIM(A244)),
  """"
)"),"#REF!")</f>
        <v>#REF!</v>
      </c>
      <c r="V244" s="240" t="str">
        <f>IFERROR(__xludf.DUMMYFUNCTION("IFERROR(
  FILTER('CBK Students'!M:M, TRIM('CBK Students'!B:B) = TRIM(A244)),
  """"
)"),"#REF!")</f>
        <v>#REF!</v>
      </c>
      <c r="W244" s="240" t="str">
        <f t="shared" si="1"/>
        <v/>
      </c>
      <c r="X244" s="240" t="str">
        <f>IFERROR(__xludf.DUMMYFUNCTION("IFERROR(
  FILTER('CBK Students'!R:R, TRIM('CBK Students'!B:B) = TRIM(A244)),
  """"
)"),"#REF!")</f>
        <v>#REF!</v>
      </c>
      <c r="Y244" s="4" t="str">
        <f t="shared" si="2"/>
        <v/>
      </c>
      <c r="Z244" s="4" t="str">
        <f>IFERROR(__xludf.DUMMYFUNCTION("IFERROR(
  FILTER('CBK Students'!O:O, TRIM('CBK Students'!B:B) = TRIM(A244)),
  """"
)"),"#REF!")</f>
        <v>#REF!</v>
      </c>
      <c r="AA244" s="4" t="str">
        <f>IFERROR(__xludf.DUMMYFUNCTION("IFERROR(
  FILTER('CBK Students'!P:P, TRIM('CBK Students'!B:B) = TRIM(A244)),
  """"
)"),"#REF!")</f>
        <v>#REF!</v>
      </c>
      <c r="AB244" s="4" t="str">
        <f>IFERROR(__xludf.DUMMYFUNCTION("IFERROR(
  FILTER('CBK Students'!Q:Q, TRIM('CBK Students'!B:B) = TRIM(A244)),
  """"
)"),"#REF!")</f>
        <v>#REF!</v>
      </c>
    </row>
    <row r="245" ht="18.75" customHeight="1">
      <c r="T245" s="240" t="str">
        <f>IFERROR(__xludf.DUMMYFUNCTION("IFERROR(
  FILTER('CBK Students'!F:F, TRIM('CBK Students'!B:B) = TRIM(A245)),
  """"
)"),"#REF!")</f>
        <v>#REF!</v>
      </c>
      <c r="U245" s="240" t="str">
        <f>IFERROR(__xludf.DUMMYFUNCTION("IFERROR(
  FILTER('CBK Students'!H:H, TRIM('CBK Students'!B:B) = TRIM(A245)),
  """"
)"),"#REF!")</f>
        <v>#REF!</v>
      </c>
      <c r="V245" s="240" t="str">
        <f>IFERROR(__xludf.DUMMYFUNCTION("IFERROR(
  FILTER('CBK Students'!M:M, TRIM('CBK Students'!B:B) = TRIM(A245)),
  """"
)"),"#REF!")</f>
        <v>#REF!</v>
      </c>
      <c r="W245" s="240" t="str">
        <f t="shared" si="1"/>
        <v/>
      </c>
      <c r="X245" s="240" t="str">
        <f>IFERROR(__xludf.DUMMYFUNCTION("IFERROR(
  FILTER('CBK Students'!R:R, TRIM('CBK Students'!B:B) = TRIM(A245)),
  """"
)"),"#REF!")</f>
        <v>#REF!</v>
      </c>
      <c r="Y245" s="4" t="str">
        <f t="shared" si="2"/>
        <v/>
      </c>
      <c r="Z245" s="4" t="str">
        <f>IFERROR(__xludf.DUMMYFUNCTION("IFERROR(
  FILTER('CBK Students'!O:O, TRIM('CBK Students'!B:B) = TRIM(A245)),
  """"
)"),"#REF!")</f>
        <v>#REF!</v>
      </c>
      <c r="AA245" s="4" t="str">
        <f>IFERROR(__xludf.DUMMYFUNCTION("IFERROR(
  FILTER('CBK Students'!P:P, TRIM('CBK Students'!B:B) = TRIM(A245)),
  """"
)"),"#REF!")</f>
        <v>#REF!</v>
      </c>
      <c r="AB245" s="4" t="str">
        <f>IFERROR(__xludf.DUMMYFUNCTION("IFERROR(
  FILTER('CBK Students'!Q:Q, TRIM('CBK Students'!B:B) = TRIM(A245)),
  """"
)"),"#REF!")</f>
        <v>#REF!</v>
      </c>
    </row>
    <row r="246" ht="18.75" customHeight="1">
      <c r="T246" s="240" t="str">
        <f>IFERROR(__xludf.DUMMYFUNCTION("IFERROR(
  FILTER('CBK Students'!F:F, TRIM('CBK Students'!B:B) = TRIM(A246)),
  """"
)"),"#REF!")</f>
        <v>#REF!</v>
      </c>
      <c r="U246" s="240" t="str">
        <f>IFERROR(__xludf.DUMMYFUNCTION("IFERROR(
  FILTER('CBK Students'!H:H, TRIM('CBK Students'!B:B) = TRIM(A246)),
  """"
)"),"#REF!")</f>
        <v>#REF!</v>
      </c>
      <c r="V246" s="240" t="str">
        <f>IFERROR(__xludf.DUMMYFUNCTION("IFERROR(
  FILTER('CBK Students'!M:M, TRIM('CBK Students'!B:B) = TRIM(A246)),
  """"
)"),"#REF!")</f>
        <v>#REF!</v>
      </c>
      <c r="W246" s="240" t="str">
        <f t="shared" si="1"/>
        <v/>
      </c>
      <c r="X246" s="240" t="str">
        <f>IFERROR(__xludf.DUMMYFUNCTION("IFERROR(
  FILTER('CBK Students'!R:R, TRIM('CBK Students'!B:B) = TRIM(A246)),
  """"
)"),"#REF!")</f>
        <v>#REF!</v>
      </c>
      <c r="Y246" s="4" t="str">
        <f t="shared" si="2"/>
        <v/>
      </c>
      <c r="Z246" s="4" t="str">
        <f>IFERROR(__xludf.DUMMYFUNCTION("IFERROR(
  FILTER('CBK Students'!O:O, TRIM('CBK Students'!B:B) = TRIM(A246)),
  """"
)"),"#REF!")</f>
        <v>#REF!</v>
      </c>
      <c r="AA246" s="4" t="str">
        <f>IFERROR(__xludf.DUMMYFUNCTION("IFERROR(
  FILTER('CBK Students'!P:P, TRIM('CBK Students'!B:B) = TRIM(A246)),
  """"
)"),"#REF!")</f>
        <v>#REF!</v>
      </c>
      <c r="AB246" s="4" t="str">
        <f>IFERROR(__xludf.DUMMYFUNCTION("IFERROR(
  FILTER('CBK Students'!Q:Q, TRIM('CBK Students'!B:B) = TRIM(A246)),
  """"
)"),"#REF!")</f>
        <v>#REF!</v>
      </c>
    </row>
    <row r="247" ht="18.75" customHeight="1">
      <c r="T247" s="240" t="str">
        <f>IFERROR(__xludf.DUMMYFUNCTION("IFERROR(
  FILTER('CBK Students'!F:F, TRIM('CBK Students'!B:B) = TRIM(A247)),
  """"
)"),"#REF!")</f>
        <v>#REF!</v>
      </c>
      <c r="U247" s="240" t="str">
        <f>IFERROR(__xludf.DUMMYFUNCTION("IFERROR(
  FILTER('CBK Students'!H:H, TRIM('CBK Students'!B:B) = TRIM(A247)),
  """"
)"),"#REF!")</f>
        <v>#REF!</v>
      </c>
      <c r="V247" s="240" t="str">
        <f>IFERROR(__xludf.DUMMYFUNCTION("IFERROR(
  FILTER('CBK Students'!M:M, TRIM('CBK Students'!B:B) = TRIM(A247)),
  """"
)"),"#REF!")</f>
        <v>#REF!</v>
      </c>
      <c r="W247" s="240" t="str">
        <f t="shared" si="1"/>
        <v/>
      </c>
      <c r="X247" s="240" t="str">
        <f>IFERROR(__xludf.DUMMYFUNCTION("IFERROR(
  FILTER('CBK Students'!R:R, TRIM('CBK Students'!B:B) = TRIM(A247)),
  """"
)"),"#REF!")</f>
        <v>#REF!</v>
      </c>
      <c r="Y247" s="4" t="str">
        <f t="shared" si="2"/>
        <v/>
      </c>
      <c r="Z247" s="4" t="str">
        <f>IFERROR(__xludf.DUMMYFUNCTION("IFERROR(
  FILTER('CBK Students'!O:O, TRIM('CBK Students'!B:B) = TRIM(A247)),
  """"
)"),"#REF!")</f>
        <v>#REF!</v>
      </c>
      <c r="AA247" s="4" t="str">
        <f>IFERROR(__xludf.DUMMYFUNCTION("IFERROR(
  FILTER('CBK Students'!P:P, TRIM('CBK Students'!B:B) = TRIM(A247)),
  """"
)"),"#REF!")</f>
        <v>#REF!</v>
      </c>
      <c r="AB247" s="4" t="str">
        <f>IFERROR(__xludf.DUMMYFUNCTION("IFERROR(
  FILTER('CBK Students'!Q:Q, TRIM('CBK Students'!B:B) = TRIM(A247)),
  """"
)"),"#REF!")</f>
        <v>#REF!</v>
      </c>
    </row>
    <row r="248" ht="18.75" customHeight="1">
      <c r="T248" s="240" t="str">
        <f>IFERROR(__xludf.DUMMYFUNCTION("IFERROR(
  FILTER('CBK Students'!F:F, TRIM('CBK Students'!B:B) = TRIM(A248)),
  """"
)"),"#REF!")</f>
        <v>#REF!</v>
      </c>
      <c r="U248" s="240" t="str">
        <f>IFERROR(__xludf.DUMMYFUNCTION("IFERROR(
  FILTER('CBK Students'!H:H, TRIM('CBK Students'!B:B) = TRIM(A248)),
  """"
)"),"#REF!")</f>
        <v>#REF!</v>
      </c>
      <c r="V248" s="240" t="str">
        <f>IFERROR(__xludf.DUMMYFUNCTION("IFERROR(
  FILTER('CBK Students'!M:M, TRIM('CBK Students'!B:B) = TRIM(A248)),
  """"
)"),"#REF!")</f>
        <v>#REF!</v>
      </c>
      <c r="W248" s="240" t="str">
        <f t="shared" si="1"/>
        <v/>
      </c>
      <c r="X248" s="240" t="str">
        <f>IFERROR(__xludf.DUMMYFUNCTION("IFERROR(
  FILTER('CBK Students'!R:R, TRIM('CBK Students'!B:B) = TRIM(A248)),
  """"
)"),"#REF!")</f>
        <v>#REF!</v>
      </c>
      <c r="Y248" s="4" t="str">
        <f t="shared" si="2"/>
        <v/>
      </c>
      <c r="Z248" s="4" t="str">
        <f>IFERROR(__xludf.DUMMYFUNCTION("IFERROR(
  FILTER('CBK Students'!O:O, TRIM('CBK Students'!B:B) = TRIM(A248)),
  """"
)"),"#REF!")</f>
        <v>#REF!</v>
      </c>
      <c r="AA248" s="4" t="str">
        <f>IFERROR(__xludf.DUMMYFUNCTION("IFERROR(
  FILTER('CBK Students'!P:P, TRIM('CBK Students'!B:B) = TRIM(A248)),
  """"
)"),"#REF!")</f>
        <v>#REF!</v>
      </c>
      <c r="AB248" s="4" t="str">
        <f>IFERROR(__xludf.DUMMYFUNCTION("IFERROR(
  FILTER('CBK Students'!Q:Q, TRIM('CBK Students'!B:B) = TRIM(A248)),
  """"
)"),"#REF!")</f>
        <v>#REF!</v>
      </c>
    </row>
    <row r="249" ht="18.75" customHeight="1">
      <c r="T249" s="240" t="str">
        <f>IFERROR(__xludf.DUMMYFUNCTION("IFERROR(
  FILTER('CBK Students'!F:F, TRIM('CBK Students'!B:B) = TRIM(A249)),
  """"
)"),"#REF!")</f>
        <v>#REF!</v>
      </c>
      <c r="U249" s="240" t="str">
        <f>IFERROR(__xludf.DUMMYFUNCTION("IFERROR(
  FILTER('CBK Students'!H:H, TRIM('CBK Students'!B:B) = TRIM(A249)),
  """"
)"),"#REF!")</f>
        <v>#REF!</v>
      </c>
      <c r="V249" s="240" t="str">
        <f>IFERROR(__xludf.DUMMYFUNCTION("IFERROR(
  FILTER('CBK Students'!M:M, TRIM('CBK Students'!B:B) = TRIM(A249)),
  """"
)"),"#REF!")</f>
        <v>#REF!</v>
      </c>
      <c r="W249" s="240" t="str">
        <f t="shared" si="1"/>
        <v/>
      </c>
      <c r="X249" s="240" t="str">
        <f>IFERROR(__xludf.DUMMYFUNCTION("IFERROR(
  FILTER('CBK Students'!R:R, TRIM('CBK Students'!B:B) = TRIM(A249)),
  """"
)"),"#REF!")</f>
        <v>#REF!</v>
      </c>
      <c r="Y249" s="4" t="str">
        <f t="shared" si="2"/>
        <v/>
      </c>
      <c r="Z249" s="4" t="str">
        <f>IFERROR(__xludf.DUMMYFUNCTION("IFERROR(
  FILTER('CBK Students'!O:O, TRIM('CBK Students'!B:B) = TRIM(A249)),
  """"
)"),"#REF!")</f>
        <v>#REF!</v>
      </c>
      <c r="AA249" s="4" t="str">
        <f>IFERROR(__xludf.DUMMYFUNCTION("IFERROR(
  FILTER('CBK Students'!P:P, TRIM('CBK Students'!B:B) = TRIM(A249)),
  """"
)"),"#REF!")</f>
        <v>#REF!</v>
      </c>
      <c r="AB249" s="4" t="str">
        <f>IFERROR(__xludf.DUMMYFUNCTION("IFERROR(
  FILTER('CBK Students'!Q:Q, TRIM('CBK Students'!B:B) = TRIM(A249)),
  """"
)"),"#REF!")</f>
        <v>#REF!</v>
      </c>
    </row>
    <row r="250" ht="18.75" customHeight="1">
      <c r="T250" s="240" t="str">
        <f>IFERROR(__xludf.DUMMYFUNCTION("IFERROR(
  FILTER('CBK Students'!F:F, TRIM('CBK Students'!B:B) = TRIM(A250)),
  """"
)"),"#REF!")</f>
        <v>#REF!</v>
      </c>
      <c r="U250" s="240" t="str">
        <f>IFERROR(__xludf.DUMMYFUNCTION("IFERROR(
  FILTER('CBK Students'!H:H, TRIM('CBK Students'!B:B) = TRIM(A250)),
  """"
)"),"#REF!")</f>
        <v>#REF!</v>
      </c>
      <c r="V250" s="240" t="str">
        <f>IFERROR(__xludf.DUMMYFUNCTION("IFERROR(
  FILTER('CBK Students'!M:M, TRIM('CBK Students'!B:B) = TRIM(A250)),
  """"
)"),"#REF!")</f>
        <v>#REF!</v>
      </c>
      <c r="W250" s="240" t="str">
        <f t="shared" si="1"/>
        <v/>
      </c>
      <c r="X250" s="240" t="str">
        <f>IFERROR(__xludf.DUMMYFUNCTION("IFERROR(
  FILTER('CBK Students'!R:R, TRIM('CBK Students'!B:B) = TRIM(A250)),
  """"
)"),"#REF!")</f>
        <v>#REF!</v>
      </c>
      <c r="Y250" s="4" t="str">
        <f t="shared" si="2"/>
        <v/>
      </c>
      <c r="Z250" s="4" t="str">
        <f>IFERROR(__xludf.DUMMYFUNCTION("IFERROR(
  FILTER('CBK Students'!O:O, TRIM('CBK Students'!B:B) = TRIM(A250)),
  """"
)"),"#REF!")</f>
        <v>#REF!</v>
      </c>
      <c r="AA250" s="4" t="str">
        <f>IFERROR(__xludf.DUMMYFUNCTION("IFERROR(
  FILTER('CBK Students'!P:P, TRIM('CBK Students'!B:B) = TRIM(A250)),
  """"
)"),"#REF!")</f>
        <v>#REF!</v>
      </c>
      <c r="AB250" s="4" t="str">
        <f>IFERROR(__xludf.DUMMYFUNCTION("IFERROR(
  FILTER('CBK Students'!Q:Q, TRIM('CBK Students'!B:B) = TRIM(A250)),
  """"
)"),"#REF!")</f>
        <v>#REF!</v>
      </c>
    </row>
    <row r="251" ht="18.75" customHeight="1">
      <c r="T251" s="240" t="str">
        <f>IFERROR(__xludf.DUMMYFUNCTION("IFERROR(
  FILTER('CBK Students'!F:F, TRIM('CBK Students'!B:B) = TRIM(A251)),
  """"
)"),"#REF!")</f>
        <v>#REF!</v>
      </c>
      <c r="U251" s="240" t="str">
        <f>IFERROR(__xludf.DUMMYFUNCTION("IFERROR(
  FILTER('CBK Students'!H:H, TRIM('CBK Students'!B:B) = TRIM(A251)),
  """"
)"),"#REF!")</f>
        <v>#REF!</v>
      </c>
      <c r="V251" s="240" t="str">
        <f>IFERROR(__xludf.DUMMYFUNCTION("IFERROR(
  FILTER('CBK Students'!M:M, TRIM('CBK Students'!B:B) = TRIM(A251)),
  """"
)"),"#REF!")</f>
        <v>#REF!</v>
      </c>
      <c r="W251" s="240" t="str">
        <f t="shared" si="1"/>
        <v/>
      </c>
      <c r="X251" s="240" t="str">
        <f>IFERROR(__xludf.DUMMYFUNCTION("IFERROR(
  FILTER('CBK Students'!R:R, TRIM('CBK Students'!B:B) = TRIM(A251)),
  """"
)"),"#REF!")</f>
        <v>#REF!</v>
      </c>
      <c r="Y251" s="4" t="str">
        <f t="shared" si="2"/>
        <v/>
      </c>
      <c r="Z251" s="4" t="str">
        <f>IFERROR(__xludf.DUMMYFUNCTION("IFERROR(
  FILTER('CBK Students'!O:O, TRIM('CBK Students'!B:B) = TRIM(A251)),
  """"
)"),"#REF!")</f>
        <v>#REF!</v>
      </c>
      <c r="AA251" s="4" t="str">
        <f>IFERROR(__xludf.DUMMYFUNCTION("IFERROR(
  FILTER('CBK Students'!P:P, TRIM('CBK Students'!B:B) = TRIM(A251)),
  """"
)"),"#REF!")</f>
        <v>#REF!</v>
      </c>
      <c r="AB251" s="4" t="str">
        <f>IFERROR(__xludf.DUMMYFUNCTION("IFERROR(
  FILTER('CBK Students'!Q:Q, TRIM('CBK Students'!B:B) = TRIM(A251)),
  """"
)"),"#REF!")</f>
        <v>#REF!</v>
      </c>
    </row>
    <row r="252" ht="18.75" customHeight="1">
      <c r="T252" s="240" t="str">
        <f>IFERROR(__xludf.DUMMYFUNCTION("IFERROR(
  FILTER('CBK Students'!F:F, TRIM('CBK Students'!B:B) = TRIM(A252)),
  """"
)"),"#REF!")</f>
        <v>#REF!</v>
      </c>
      <c r="U252" s="240" t="str">
        <f>IFERROR(__xludf.DUMMYFUNCTION("IFERROR(
  FILTER('CBK Students'!H:H, TRIM('CBK Students'!B:B) = TRIM(A252)),
  """"
)"),"#REF!")</f>
        <v>#REF!</v>
      </c>
      <c r="V252" s="240" t="str">
        <f>IFERROR(__xludf.DUMMYFUNCTION("IFERROR(
  FILTER('CBK Students'!M:M, TRIM('CBK Students'!B:B) = TRIM(A252)),
  """"
)"),"#REF!")</f>
        <v>#REF!</v>
      </c>
      <c r="W252" s="240" t="str">
        <f t="shared" si="1"/>
        <v/>
      </c>
      <c r="X252" s="240" t="str">
        <f>IFERROR(__xludf.DUMMYFUNCTION("IFERROR(
  FILTER('CBK Students'!R:R, TRIM('CBK Students'!B:B) = TRIM(A252)),
  """"
)"),"#REF!")</f>
        <v>#REF!</v>
      </c>
      <c r="Y252" s="4" t="str">
        <f t="shared" si="2"/>
        <v/>
      </c>
      <c r="Z252" s="4" t="str">
        <f>IFERROR(__xludf.DUMMYFUNCTION("IFERROR(
  FILTER('CBK Students'!O:O, TRIM('CBK Students'!B:B) = TRIM(A252)),
  """"
)"),"#REF!")</f>
        <v>#REF!</v>
      </c>
      <c r="AA252" s="4" t="str">
        <f>IFERROR(__xludf.DUMMYFUNCTION("IFERROR(
  FILTER('CBK Students'!P:P, TRIM('CBK Students'!B:B) = TRIM(A252)),
  """"
)"),"#REF!")</f>
        <v>#REF!</v>
      </c>
      <c r="AB252" s="4" t="str">
        <f>IFERROR(__xludf.DUMMYFUNCTION("IFERROR(
  FILTER('CBK Students'!Q:Q, TRIM('CBK Students'!B:B) = TRIM(A252)),
  """"
)"),"#REF!")</f>
        <v>#REF!</v>
      </c>
    </row>
    <row r="253" ht="18.75" customHeight="1">
      <c r="T253" s="240" t="str">
        <f>IFERROR(__xludf.DUMMYFUNCTION("IFERROR(
  FILTER('CBK Students'!F:F, TRIM('CBK Students'!B:B) = TRIM(A253)),
  """"
)"),"#REF!")</f>
        <v>#REF!</v>
      </c>
      <c r="U253" s="240" t="str">
        <f>IFERROR(__xludf.DUMMYFUNCTION("IFERROR(
  FILTER('CBK Students'!H:H, TRIM('CBK Students'!B:B) = TRIM(A253)),
  """"
)"),"#REF!")</f>
        <v>#REF!</v>
      </c>
      <c r="V253" s="240" t="str">
        <f>IFERROR(__xludf.DUMMYFUNCTION("IFERROR(
  FILTER('CBK Students'!M:M, TRIM('CBK Students'!B:B) = TRIM(A253)),
  """"
)"),"#REF!")</f>
        <v>#REF!</v>
      </c>
      <c r="W253" s="240" t="str">
        <f t="shared" si="1"/>
        <v/>
      </c>
      <c r="X253" s="240" t="str">
        <f>IFERROR(__xludf.DUMMYFUNCTION("IFERROR(
  FILTER('CBK Students'!R:R, TRIM('CBK Students'!B:B) = TRIM(A253)),
  """"
)"),"#REF!")</f>
        <v>#REF!</v>
      </c>
      <c r="Y253" s="4" t="str">
        <f t="shared" si="2"/>
        <v/>
      </c>
      <c r="Z253" s="4" t="str">
        <f>IFERROR(__xludf.DUMMYFUNCTION("IFERROR(
  FILTER('CBK Students'!O:O, TRIM('CBK Students'!B:B) = TRIM(A253)),
  """"
)"),"#REF!")</f>
        <v>#REF!</v>
      </c>
      <c r="AA253" s="4" t="str">
        <f>IFERROR(__xludf.DUMMYFUNCTION("IFERROR(
  FILTER('CBK Students'!P:P, TRIM('CBK Students'!B:B) = TRIM(A253)),
  """"
)"),"#REF!")</f>
        <v>#REF!</v>
      </c>
      <c r="AB253" s="4" t="str">
        <f>IFERROR(__xludf.DUMMYFUNCTION("IFERROR(
  FILTER('CBK Students'!Q:Q, TRIM('CBK Students'!B:B) = TRIM(A253)),
  """"
)"),"#REF!")</f>
        <v>#REF!</v>
      </c>
    </row>
    <row r="254" ht="18.75" customHeight="1">
      <c r="T254" s="240" t="str">
        <f>IFERROR(__xludf.DUMMYFUNCTION("IFERROR(
  FILTER('CBK Students'!F:F, TRIM('CBK Students'!B:B) = TRIM(A254)),
  """"
)"),"#REF!")</f>
        <v>#REF!</v>
      </c>
      <c r="U254" s="240" t="str">
        <f>IFERROR(__xludf.DUMMYFUNCTION("IFERROR(
  FILTER('CBK Students'!H:H, TRIM('CBK Students'!B:B) = TRIM(A254)),
  """"
)"),"#REF!")</f>
        <v>#REF!</v>
      </c>
      <c r="V254" s="240" t="str">
        <f>IFERROR(__xludf.DUMMYFUNCTION("IFERROR(
  FILTER('CBK Students'!M:M, TRIM('CBK Students'!B:B) = TRIM(A254)),
  """"
)"),"#REF!")</f>
        <v>#REF!</v>
      </c>
      <c r="W254" s="240" t="str">
        <f t="shared" si="1"/>
        <v/>
      </c>
      <c r="X254" s="240" t="str">
        <f>IFERROR(__xludf.DUMMYFUNCTION("IFERROR(
  FILTER('CBK Students'!R:R, TRIM('CBK Students'!B:B) = TRIM(A254)),
  """"
)"),"#REF!")</f>
        <v>#REF!</v>
      </c>
      <c r="Y254" s="4" t="str">
        <f t="shared" si="2"/>
        <v/>
      </c>
      <c r="Z254" s="4" t="str">
        <f>IFERROR(__xludf.DUMMYFUNCTION("IFERROR(
  FILTER('CBK Students'!O:O, TRIM('CBK Students'!B:B) = TRIM(A254)),
  """"
)"),"#REF!")</f>
        <v>#REF!</v>
      </c>
      <c r="AA254" s="4" t="str">
        <f>IFERROR(__xludf.DUMMYFUNCTION("IFERROR(
  FILTER('CBK Students'!P:P, TRIM('CBK Students'!B:B) = TRIM(A254)),
  """"
)"),"#REF!")</f>
        <v>#REF!</v>
      </c>
      <c r="AB254" s="4" t="str">
        <f>IFERROR(__xludf.DUMMYFUNCTION("IFERROR(
  FILTER('CBK Students'!Q:Q, TRIM('CBK Students'!B:B) = TRIM(A254)),
  """"
)"),"#REF!")</f>
        <v>#REF!</v>
      </c>
    </row>
    <row r="255" ht="18.75" customHeight="1">
      <c r="T255" s="240" t="str">
        <f>IFERROR(__xludf.DUMMYFUNCTION("IFERROR(
  FILTER('CBK Students'!F:F, TRIM('CBK Students'!B:B) = TRIM(A255)),
  """"
)"),"#REF!")</f>
        <v>#REF!</v>
      </c>
      <c r="U255" s="240" t="str">
        <f>IFERROR(__xludf.DUMMYFUNCTION("IFERROR(
  FILTER('CBK Students'!H:H, TRIM('CBK Students'!B:B) = TRIM(A255)),
  """"
)"),"#REF!")</f>
        <v>#REF!</v>
      </c>
      <c r="V255" s="240" t="str">
        <f>IFERROR(__xludf.DUMMYFUNCTION("IFERROR(
  FILTER('CBK Students'!M:M, TRIM('CBK Students'!B:B) = TRIM(A255)),
  """"
)"),"#REF!")</f>
        <v>#REF!</v>
      </c>
      <c r="W255" s="240" t="str">
        <f t="shared" si="1"/>
        <v/>
      </c>
      <c r="X255" s="240" t="str">
        <f>IFERROR(__xludf.DUMMYFUNCTION("IFERROR(
  FILTER('CBK Students'!R:R, TRIM('CBK Students'!B:B) = TRIM(A255)),
  """"
)"),"#REF!")</f>
        <v>#REF!</v>
      </c>
      <c r="Y255" s="4" t="str">
        <f t="shared" si="2"/>
        <v/>
      </c>
      <c r="Z255" s="4" t="str">
        <f>IFERROR(__xludf.DUMMYFUNCTION("IFERROR(
  FILTER('CBK Students'!O:O, TRIM('CBK Students'!B:B) = TRIM(A255)),
  """"
)"),"#REF!")</f>
        <v>#REF!</v>
      </c>
      <c r="AA255" s="4" t="str">
        <f>IFERROR(__xludf.DUMMYFUNCTION("IFERROR(
  FILTER('CBK Students'!P:P, TRIM('CBK Students'!B:B) = TRIM(A255)),
  """"
)"),"#REF!")</f>
        <v>#REF!</v>
      </c>
      <c r="AB255" s="4" t="str">
        <f>IFERROR(__xludf.DUMMYFUNCTION("IFERROR(
  FILTER('CBK Students'!Q:Q, TRIM('CBK Students'!B:B) = TRIM(A255)),
  """"
)"),"#REF!")</f>
        <v>#REF!</v>
      </c>
    </row>
    <row r="256" ht="18.75" customHeight="1">
      <c r="T256" s="240" t="str">
        <f>IFERROR(__xludf.DUMMYFUNCTION("IFERROR(
  FILTER('CBK Students'!F:F, TRIM('CBK Students'!B:B) = TRIM(A256)),
  """"
)"),"#REF!")</f>
        <v>#REF!</v>
      </c>
      <c r="U256" s="240" t="str">
        <f>IFERROR(__xludf.DUMMYFUNCTION("IFERROR(
  FILTER('CBK Students'!H:H, TRIM('CBK Students'!B:B) = TRIM(A256)),
  """"
)"),"#REF!")</f>
        <v>#REF!</v>
      </c>
      <c r="V256" s="240" t="str">
        <f>IFERROR(__xludf.DUMMYFUNCTION("IFERROR(
  FILTER('CBK Students'!M:M, TRIM('CBK Students'!B:B) = TRIM(A256)),
  """"
)"),"#REF!")</f>
        <v>#REF!</v>
      </c>
      <c r="W256" s="240" t="str">
        <f t="shared" si="1"/>
        <v/>
      </c>
      <c r="X256" s="240" t="str">
        <f>IFERROR(__xludf.DUMMYFUNCTION("IFERROR(
  FILTER('CBK Students'!R:R, TRIM('CBK Students'!B:B) = TRIM(A256)),
  """"
)"),"#REF!")</f>
        <v>#REF!</v>
      </c>
      <c r="Y256" s="4" t="str">
        <f t="shared" si="2"/>
        <v/>
      </c>
      <c r="Z256" s="4" t="str">
        <f>IFERROR(__xludf.DUMMYFUNCTION("IFERROR(
  FILTER('CBK Students'!O:O, TRIM('CBK Students'!B:B) = TRIM(A256)),
  """"
)"),"#REF!")</f>
        <v>#REF!</v>
      </c>
      <c r="AA256" s="4" t="str">
        <f>IFERROR(__xludf.DUMMYFUNCTION("IFERROR(
  FILTER('CBK Students'!P:P, TRIM('CBK Students'!B:B) = TRIM(A256)),
  """"
)"),"#REF!")</f>
        <v>#REF!</v>
      </c>
      <c r="AB256" s="4" t="str">
        <f>IFERROR(__xludf.DUMMYFUNCTION("IFERROR(
  FILTER('CBK Students'!Q:Q, TRIM('CBK Students'!B:B) = TRIM(A256)),
  """"
)"),"#REF!")</f>
        <v>#REF!</v>
      </c>
    </row>
    <row r="257" ht="18.75" customHeight="1">
      <c r="T257" s="240" t="str">
        <f>IFERROR(__xludf.DUMMYFUNCTION("IFERROR(
  FILTER('CBK Students'!F:F, TRIM('CBK Students'!B:B) = TRIM(A257)),
  """"
)"),"#REF!")</f>
        <v>#REF!</v>
      </c>
      <c r="U257" s="240" t="str">
        <f>IFERROR(__xludf.DUMMYFUNCTION("IFERROR(
  FILTER('CBK Students'!H:H, TRIM('CBK Students'!B:B) = TRIM(A257)),
  """"
)"),"#REF!")</f>
        <v>#REF!</v>
      </c>
      <c r="V257" s="240" t="str">
        <f>IFERROR(__xludf.DUMMYFUNCTION("IFERROR(
  FILTER('CBK Students'!M:M, TRIM('CBK Students'!B:B) = TRIM(A257)),
  """"
)"),"#REF!")</f>
        <v>#REF!</v>
      </c>
      <c r="W257" s="240" t="str">
        <f t="shared" si="1"/>
        <v/>
      </c>
      <c r="X257" s="240" t="str">
        <f>IFERROR(__xludf.DUMMYFUNCTION("IFERROR(
  FILTER('CBK Students'!R:R, TRIM('CBK Students'!B:B) = TRIM(A257)),
  """"
)"),"#REF!")</f>
        <v>#REF!</v>
      </c>
      <c r="Y257" s="4" t="str">
        <f t="shared" si="2"/>
        <v/>
      </c>
      <c r="Z257" s="4" t="str">
        <f>IFERROR(__xludf.DUMMYFUNCTION("IFERROR(
  FILTER('CBK Students'!O:O, TRIM('CBK Students'!B:B) = TRIM(A257)),
  """"
)"),"#REF!")</f>
        <v>#REF!</v>
      </c>
      <c r="AA257" s="4" t="str">
        <f>IFERROR(__xludf.DUMMYFUNCTION("IFERROR(
  FILTER('CBK Students'!P:P, TRIM('CBK Students'!B:B) = TRIM(A257)),
  """"
)"),"#REF!")</f>
        <v>#REF!</v>
      </c>
      <c r="AB257" s="4" t="str">
        <f>IFERROR(__xludf.DUMMYFUNCTION("IFERROR(
  FILTER('CBK Students'!Q:Q, TRIM('CBK Students'!B:B) = TRIM(A257)),
  """"
)"),"#REF!")</f>
        <v>#REF!</v>
      </c>
    </row>
    <row r="258" ht="18.75" customHeight="1">
      <c r="T258" s="240" t="str">
        <f>IFERROR(__xludf.DUMMYFUNCTION("IFERROR(
  FILTER('CBK Students'!F:F, TRIM('CBK Students'!B:B) = TRIM(A258)),
  """"
)"),"#REF!")</f>
        <v>#REF!</v>
      </c>
      <c r="U258" s="240" t="str">
        <f>IFERROR(__xludf.DUMMYFUNCTION("IFERROR(
  FILTER('CBK Students'!H:H, TRIM('CBK Students'!B:B) = TRIM(A258)),
  """"
)"),"#REF!")</f>
        <v>#REF!</v>
      </c>
      <c r="V258" s="240" t="str">
        <f>IFERROR(__xludf.DUMMYFUNCTION("IFERROR(
  FILTER('CBK Students'!M:M, TRIM('CBK Students'!B:B) = TRIM(A258)),
  """"
)"),"#REF!")</f>
        <v>#REF!</v>
      </c>
      <c r="W258" s="240" t="str">
        <f t="shared" si="1"/>
        <v/>
      </c>
      <c r="X258" s="240" t="str">
        <f>IFERROR(__xludf.DUMMYFUNCTION("IFERROR(
  FILTER('CBK Students'!R:R, TRIM('CBK Students'!B:B) = TRIM(A258)),
  """"
)"),"#REF!")</f>
        <v>#REF!</v>
      </c>
      <c r="Y258" s="4" t="str">
        <f t="shared" si="2"/>
        <v/>
      </c>
      <c r="Z258" s="4" t="str">
        <f>IFERROR(__xludf.DUMMYFUNCTION("IFERROR(
  FILTER('CBK Students'!O:O, TRIM('CBK Students'!B:B) = TRIM(A258)),
  """"
)"),"#REF!")</f>
        <v>#REF!</v>
      </c>
      <c r="AA258" s="4" t="str">
        <f>IFERROR(__xludf.DUMMYFUNCTION("IFERROR(
  FILTER('CBK Students'!P:P, TRIM('CBK Students'!B:B) = TRIM(A258)),
  """"
)"),"#REF!")</f>
        <v>#REF!</v>
      </c>
      <c r="AB258" s="4" t="str">
        <f>IFERROR(__xludf.DUMMYFUNCTION("IFERROR(
  FILTER('CBK Students'!Q:Q, TRIM('CBK Students'!B:B) = TRIM(A258)),
  """"
)"),"#REF!")</f>
        <v>#REF!</v>
      </c>
    </row>
    <row r="259" ht="18.75" customHeight="1">
      <c r="T259" s="240" t="str">
        <f>IFERROR(__xludf.DUMMYFUNCTION("IFERROR(
  FILTER('CBK Students'!F:F, TRIM('CBK Students'!B:B) = TRIM(A259)),
  """"
)"),"#REF!")</f>
        <v>#REF!</v>
      </c>
      <c r="U259" s="240" t="str">
        <f>IFERROR(__xludf.DUMMYFUNCTION("IFERROR(
  FILTER('CBK Students'!H:H, TRIM('CBK Students'!B:B) = TRIM(A259)),
  """"
)"),"#REF!")</f>
        <v>#REF!</v>
      </c>
      <c r="V259" s="240" t="str">
        <f>IFERROR(__xludf.DUMMYFUNCTION("IFERROR(
  FILTER('CBK Students'!M:M, TRIM('CBK Students'!B:B) = TRIM(A259)),
  """"
)"),"#REF!")</f>
        <v>#REF!</v>
      </c>
      <c r="W259" s="240" t="str">
        <f t="shared" si="1"/>
        <v/>
      </c>
      <c r="X259" s="240" t="str">
        <f>IFERROR(__xludf.DUMMYFUNCTION("IFERROR(
  FILTER('CBK Students'!R:R, TRIM('CBK Students'!B:B) = TRIM(A259)),
  """"
)"),"#REF!")</f>
        <v>#REF!</v>
      </c>
      <c r="Y259" s="4" t="str">
        <f t="shared" si="2"/>
        <v/>
      </c>
      <c r="Z259" s="4" t="str">
        <f>IFERROR(__xludf.DUMMYFUNCTION("IFERROR(
  FILTER('CBK Students'!O:O, TRIM('CBK Students'!B:B) = TRIM(A259)),
  """"
)"),"#REF!")</f>
        <v>#REF!</v>
      </c>
      <c r="AA259" s="4" t="str">
        <f>IFERROR(__xludf.DUMMYFUNCTION("IFERROR(
  FILTER('CBK Students'!P:P, TRIM('CBK Students'!B:B) = TRIM(A259)),
  """"
)"),"#REF!")</f>
        <v>#REF!</v>
      </c>
      <c r="AB259" s="4" t="str">
        <f>IFERROR(__xludf.DUMMYFUNCTION("IFERROR(
  FILTER('CBK Students'!Q:Q, TRIM('CBK Students'!B:B) = TRIM(A259)),
  """"
)"),"#REF!")</f>
        <v>#REF!</v>
      </c>
    </row>
    <row r="260" ht="18.75" customHeight="1">
      <c r="T260" s="240" t="str">
        <f>IFERROR(__xludf.DUMMYFUNCTION("IFERROR(
  FILTER('CBK Students'!F:F, TRIM('CBK Students'!B:B) = TRIM(A260)),
  """"
)"),"#REF!")</f>
        <v>#REF!</v>
      </c>
      <c r="U260" s="240" t="str">
        <f>IFERROR(__xludf.DUMMYFUNCTION("IFERROR(
  FILTER('CBK Students'!H:H, TRIM('CBK Students'!B:B) = TRIM(A260)),
  """"
)"),"#REF!")</f>
        <v>#REF!</v>
      </c>
      <c r="V260" s="240" t="str">
        <f>IFERROR(__xludf.DUMMYFUNCTION("IFERROR(
  FILTER('CBK Students'!M:M, TRIM('CBK Students'!B:B) = TRIM(A260)),
  """"
)"),"#REF!")</f>
        <v>#REF!</v>
      </c>
      <c r="W260" s="240" t="str">
        <f t="shared" si="1"/>
        <v/>
      </c>
      <c r="X260" s="240" t="str">
        <f>IFERROR(__xludf.DUMMYFUNCTION("IFERROR(
  FILTER('CBK Students'!R:R, TRIM('CBK Students'!B:B) = TRIM(A260)),
  """"
)"),"#REF!")</f>
        <v>#REF!</v>
      </c>
      <c r="Y260" s="4" t="str">
        <f t="shared" si="2"/>
        <v/>
      </c>
      <c r="Z260" s="4" t="str">
        <f>IFERROR(__xludf.DUMMYFUNCTION("IFERROR(
  FILTER('CBK Students'!O:O, TRIM('CBK Students'!B:B) = TRIM(A260)),
  """"
)"),"#REF!")</f>
        <v>#REF!</v>
      </c>
      <c r="AA260" s="4" t="str">
        <f>IFERROR(__xludf.DUMMYFUNCTION("IFERROR(
  FILTER('CBK Students'!P:P, TRIM('CBK Students'!B:B) = TRIM(A260)),
  """"
)"),"#REF!")</f>
        <v>#REF!</v>
      </c>
      <c r="AB260" s="4" t="str">
        <f>IFERROR(__xludf.DUMMYFUNCTION("IFERROR(
  FILTER('CBK Students'!Q:Q, TRIM('CBK Students'!B:B) = TRIM(A260)),
  """"
)"),"#REF!")</f>
        <v>#REF!</v>
      </c>
    </row>
    <row r="261" ht="18.75" customHeight="1">
      <c r="T261" s="240" t="str">
        <f>IFERROR(__xludf.DUMMYFUNCTION("IFERROR(
  FILTER('CBK Students'!F:F, TRIM('CBK Students'!B:B) = TRIM(A261)),
  """"
)"),"#REF!")</f>
        <v>#REF!</v>
      </c>
      <c r="U261" s="240" t="str">
        <f>IFERROR(__xludf.DUMMYFUNCTION("IFERROR(
  FILTER('CBK Students'!H:H, TRIM('CBK Students'!B:B) = TRIM(A261)),
  """"
)"),"#REF!")</f>
        <v>#REF!</v>
      </c>
      <c r="V261" s="240" t="str">
        <f>IFERROR(__xludf.DUMMYFUNCTION("IFERROR(
  FILTER('CBK Students'!M:M, TRIM('CBK Students'!B:B) = TRIM(A261)),
  """"
)"),"#REF!")</f>
        <v>#REF!</v>
      </c>
      <c r="W261" s="240" t="str">
        <f t="shared" si="1"/>
        <v/>
      </c>
      <c r="X261" s="240" t="str">
        <f>IFERROR(__xludf.DUMMYFUNCTION("IFERROR(
  FILTER('CBK Students'!R:R, TRIM('CBK Students'!B:B) = TRIM(A261)),
  """"
)"),"#REF!")</f>
        <v>#REF!</v>
      </c>
      <c r="Y261" s="4" t="str">
        <f t="shared" si="2"/>
        <v/>
      </c>
      <c r="Z261" s="4" t="str">
        <f>IFERROR(__xludf.DUMMYFUNCTION("IFERROR(
  FILTER('CBK Students'!O:O, TRIM('CBK Students'!B:B) = TRIM(A261)),
  """"
)"),"#REF!")</f>
        <v>#REF!</v>
      </c>
      <c r="AA261" s="4" t="str">
        <f>IFERROR(__xludf.DUMMYFUNCTION("IFERROR(
  FILTER('CBK Students'!P:P, TRIM('CBK Students'!B:B) = TRIM(A261)),
  """"
)"),"#REF!")</f>
        <v>#REF!</v>
      </c>
      <c r="AB261" s="4" t="str">
        <f>IFERROR(__xludf.DUMMYFUNCTION("IFERROR(
  FILTER('CBK Students'!Q:Q, TRIM('CBK Students'!B:B) = TRIM(A261)),
  """"
)"),"#REF!")</f>
        <v>#REF!</v>
      </c>
    </row>
    <row r="262" ht="18.75" customHeight="1">
      <c r="T262" s="240" t="str">
        <f>IFERROR(__xludf.DUMMYFUNCTION("IFERROR(
  FILTER('CBK Students'!F:F, TRIM('CBK Students'!B:B) = TRIM(A262)),
  """"
)"),"#REF!")</f>
        <v>#REF!</v>
      </c>
      <c r="U262" s="240" t="str">
        <f>IFERROR(__xludf.DUMMYFUNCTION("IFERROR(
  FILTER('CBK Students'!H:H, TRIM('CBK Students'!B:B) = TRIM(A262)),
  """"
)"),"#REF!")</f>
        <v>#REF!</v>
      </c>
      <c r="V262" s="240" t="str">
        <f>IFERROR(__xludf.DUMMYFUNCTION("IFERROR(
  FILTER('CBK Students'!M:M, TRIM('CBK Students'!B:B) = TRIM(A262)),
  """"
)"),"#REF!")</f>
        <v>#REF!</v>
      </c>
      <c r="W262" s="240" t="str">
        <f t="shared" si="1"/>
        <v/>
      </c>
      <c r="X262" s="240" t="str">
        <f>IFERROR(__xludf.DUMMYFUNCTION("IFERROR(
  FILTER('CBK Students'!R:R, TRIM('CBK Students'!B:B) = TRIM(A262)),
  """"
)"),"#REF!")</f>
        <v>#REF!</v>
      </c>
      <c r="Y262" s="4" t="str">
        <f t="shared" si="2"/>
        <v/>
      </c>
      <c r="Z262" s="4" t="str">
        <f>IFERROR(__xludf.DUMMYFUNCTION("IFERROR(
  FILTER('CBK Students'!O:O, TRIM('CBK Students'!B:B) = TRIM(A262)),
  """"
)"),"#REF!")</f>
        <v>#REF!</v>
      </c>
      <c r="AA262" s="4" t="str">
        <f>IFERROR(__xludf.DUMMYFUNCTION("IFERROR(
  FILTER('CBK Students'!P:P, TRIM('CBK Students'!B:B) = TRIM(A262)),
  """"
)"),"#REF!")</f>
        <v>#REF!</v>
      </c>
      <c r="AB262" s="4" t="str">
        <f>IFERROR(__xludf.DUMMYFUNCTION("IFERROR(
  FILTER('CBK Students'!Q:Q, TRIM('CBK Students'!B:B) = TRIM(A262)),
  """"
)"),"#REF!")</f>
        <v>#REF!</v>
      </c>
    </row>
    <row r="263" ht="18.75" customHeight="1">
      <c r="T263" s="240" t="str">
        <f>IFERROR(__xludf.DUMMYFUNCTION("IFERROR(
  FILTER('CBK Students'!F:F, TRIM('CBK Students'!B:B) = TRIM(A263)),
  """"
)"),"#REF!")</f>
        <v>#REF!</v>
      </c>
      <c r="U263" s="240" t="str">
        <f>IFERROR(__xludf.DUMMYFUNCTION("IFERROR(
  FILTER('CBK Students'!H:H, TRIM('CBK Students'!B:B) = TRIM(A263)),
  """"
)"),"#REF!")</f>
        <v>#REF!</v>
      </c>
      <c r="V263" s="240" t="str">
        <f>IFERROR(__xludf.DUMMYFUNCTION("IFERROR(
  FILTER('CBK Students'!M:M, TRIM('CBK Students'!B:B) = TRIM(A263)),
  """"
)"),"#REF!")</f>
        <v>#REF!</v>
      </c>
      <c r="W263" s="240" t="str">
        <f t="shared" si="1"/>
        <v/>
      </c>
      <c r="X263" s="240" t="str">
        <f>IFERROR(__xludf.DUMMYFUNCTION("IFERROR(
  FILTER('CBK Students'!R:R, TRIM('CBK Students'!B:B) = TRIM(A263)),
  """"
)"),"#REF!")</f>
        <v>#REF!</v>
      </c>
      <c r="Y263" s="4" t="str">
        <f t="shared" si="2"/>
        <v/>
      </c>
      <c r="Z263" s="4" t="str">
        <f>IFERROR(__xludf.DUMMYFUNCTION("IFERROR(
  FILTER('CBK Students'!O:O, TRIM('CBK Students'!B:B) = TRIM(A263)),
  """"
)"),"#REF!")</f>
        <v>#REF!</v>
      </c>
      <c r="AA263" s="4" t="str">
        <f>IFERROR(__xludf.DUMMYFUNCTION("IFERROR(
  FILTER('CBK Students'!P:P, TRIM('CBK Students'!B:B) = TRIM(A263)),
  """"
)"),"#REF!")</f>
        <v>#REF!</v>
      </c>
      <c r="AB263" s="4" t="str">
        <f>IFERROR(__xludf.DUMMYFUNCTION("IFERROR(
  FILTER('CBK Students'!Q:Q, TRIM('CBK Students'!B:B) = TRIM(A263)),
  """"
)"),"#REF!")</f>
        <v>#REF!</v>
      </c>
    </row>
    <row r="264" ht="18.75" customHeight="1">
      <c r="T264" s="240" t="str">
        <f>IFERROR(__xludf.DUMMYFUNCTION("IFERROR(
  FILTER('CBK Students'!F:F, TRIM('CBK Students'!B:B) = TRIM(A264)),
  """"
)"),"#REF!")</f>
        <v>#REF!</v>
      </c>
      <c r="U264" s="240" t="str">
        <f>IFERROR(__xludf.DUMMYFUNCTION("IFERROR(
  FILTER('CBK Students'!H:H, TRIM('CBK Students'!B:B) = TRIM(A264)),
  """"
)"),"#REF!")</f>
        <v>#REF!</v>
      </c>
      <c r="V264" s="240" t="str">
        <f>IFERROR(__xludf.DUMMYFUNCTION("IFERROR(
  FILTER('CBK Students'!M:M, TRIM('CBK Students'!B:B) = TRIM(A264)),
  """"
)"),"#REF!")</f>
        <v>#REF!</v>
      </c>
      <c r="W264" s="240" t="str">
        <f t="shared" si="1"/>
        <v/>
      </c>
      <c r="X264" s="240" t="str">
        <f>IFERROR(__xludf.DUMMYFUNCTION("IFERROR(
  FILTER('CBK Students'!R:R, TRIM('CBK Students'!B:B) = TRIM(A264)),
  """"
)"),"#REF!")</f>
        <v>#REF!</v>
      </c>
      <c r="Y264" s="4" t="str">
        <f t="shared" si="2"/>
        <v/>
      </c>
      <c r="Z264" s="4" t="str">
        <f>IFERROR(__xludf.DUMMYFUNCTION("IFERROR(
  FILTER('CBK Students'!O:O, TRIM('CBK Students'!B:B) = TRIM(A264)),
  """"
)"),"#REF!")</f>
        <v>#REF!</v>
      </c>
      <c r="AA264" s="4" t="str">
        <f>IFERROR(__xludf.DUMMYFUNCTION("IFERROR(
  FILTER('CBK Students'!P:P, TRIM('CBK Students'!B:B) = TRIM(A264)),
  """"
)"),"#REF!")</f>
        <v>#REF!</v>
      </c>
      <c r="AB264" s="4" t="str">
        <f>IFERROR(__xludf.DUMMYFUNCTION("IFERROR(
  FILTER('CBK Students'!Q:Q, TRIM('CBK Students'!B:B) = TRIM(A264)),
  """"
)"),"#REF!")</f>
        <v>#REF!</v>
      </c>
    </row>
    <row r="265" ht="18.75" customHeight="1">
      <c r="T265" s="240" t="str">
        <f>IFERROR(__xludf.DUMMYFUNCTION("IFERROR(
  FILTER('CBK Students'!F:F, TRIM('CBK Students'!B:B) = TRIM(A265)),
  """"
)"),"#REF!")</f>
        <v>#REF!</v>
      </c>
      <c r="U265" s="240" t="str">
        <f>IFERROR(__xludf.DUMMYFUNCTION("IFERROR(
  FILTER('CBK Students'!H:H, TRIM('CBK Students'!B:B) = TRIM(A265)),
  """"
)"),"#REF!")</f>
        <v>#REF!</v>
      </c>
      <c r="V265" s="240" t="str">
        <f>IFERROR(__xludf.DUMMYFUNCTION("IFERROR(
  FILTER('CBK Students'!M:M, TRIM('CBK Students'!B:B) = TRIM(A265)),
  """"
)"),"#REF!")</f>
        <v>#REF!</v>
      </c>
      <c r="W265" s="240" t="str">
        <f t="shared" si="1"/>
        <v/>
      </c>
      <c r="X265" s="240" t="str">
        <f>IFERROR(__xludf.DUMMYFUNCTION("IFERROR(
  FILTER('CBK Students'!R:R, TRIM('CBK Students'!B:B) = TRIM(A265)),
  """"
)"),"#REF!")</f>
        <v>#REF!</v>
      </c>
      <c r="Y265" s="4" t="str">
        <f t="shared" si="2"/>
        <v/>
      </c>
      <c r="Z265" s="4" t="str">
        <f>IFERROR(__xludf.DUMMYFUNCTION("IFERROR(
  FILTER('CBK Students'!O:O, TRIM('CBK Students'!B:B) = TRIM(A265)),
  """"
)"),"#REF!")</f>
        <v>#REF!</v>
      </c>
      <c r="AA265" s="4" t="str">
        <f>IFERROR(__xludf.DUMMYFUNCTION("IFERROR(
  FILTER('CBK Students'!P:P, TRIM('CBK Students'!B:B) = TRIM(A265)),
  """"
)"),"#REF!")</f>
        <v>#REF!</v>
      </c>
      <c r="AB265" s="4" t="str">
        <f>IFERROR(__xludf.DUMMYFUNCTION("IFERROR(
  FILTER('CBK Students'!Q:Q, TRIM('CBK Students'!B:B) = TRIM(A265)),
  """"
)"),"#REF!")</f>
        <v>#REF!</v>
      </c>
    </row>
    <row r="266" ht="18.75" customHeight="1">
      <c r="T266" s="240" t="str">
        <f>IFERROR(__xludf.DUMMYFUNCTION("IFERROR(
  FILTER('CBK Students'!F:F, TRIM('CBK Students'!B:B) = TRIM(A266)),
  """"
)"),"#REF!")</f>
        <v>#REF!</v>
      </c>
      <c r="U266" s="240" t="str">
        <f>IFERROR(__xludf.DUMMYFUNCTION("IFERROR(
  FILTER('CBK Students'!H:H, TRIM('CBK Students'!B:B) = TRIM(A266)),
  """"
)"),"#REF!")</f>
        <v>#REF!</v>
      </c>
      <c r="V266" s="240" t="str">
        <f>IFERROR(__xludf.DUMMYFUNCTION("IFERROR(
  FILTER('CBK Students'!M:M, TRIM('CBK Students'!B:B) = TRIM(A266)),
  """"
)"),"#REF!")</f>
        <v>#REF!</v>
      </c>
      <c r="W266" s="240" t="str">
        <f t="shared" si="1"/>
        <v/>
      </c>
      <c r="X266" s="240" t="str">
        <f>IFERROR(__xludf.DUMMYFUNCTION("IFERROR(
  FILTER('CBK Students'!R:R, TRIM('CBK Students'!B:B) = TRIM(A266)),
  """"
)"),"#REF!")</f>
        <v>#REF!</v>
      </c>
      <c r="Y266" s="4" t="str">
        <f t="shared" si="2"/>
        <v/>
      </c>
      <c r="Z266" s="4" t="str">
        <f>IFERROR(__xludf.DUMMYFUNCTION("IFERROR(
  FILTER('CBK Students'!O:O, TRIM('CBK Students'!B:B) = TRIM(A266)),
  """"
)"),"#REF!")</f>
        <v>#REF!</v>
      </c>
      <c r="AA266" s="4" t="str">
        <f>IFERROR(__xludf.DUMMYFUNCTION("IFERROR(
  FILTER('CBK Students'!P:P, TRIM('CBK Students'!B:B) = TRIM(A266)),
  """"
)"),"#REF!")</f>
        <v>#REF!</v>
      </c>
      <c r="AB266" s="4" t="str">
        <f>IFERROR(__xludf.DUMMYFUNCTION("IFERROR(
  FILTER('CBK Students'!Q:Q, TRIM('CBK Students'!B:B) = TRIM(A266)),
  """"
)"),"#REF!")</f>
        <v>#REF!</v>
      </c>
    </row>
    <row r="267" ht="18.75" customHeight="1">
      <c r="T267" s="240" t="str">
        <f>IFERROR(__xludf.DUMMYFUNCTION("IFERROR(
  FILTER('CBK Students'!F:F, TRIM('CBK Students'!B:B) = TRIM(A267)),
  """"
)"),"#REF!")</f>
        <v>#REF!</v>
      </c>
      <c r="U267" s="240" t="str">
        <f>IFERROR(__xludf.DUMMYFUNCTION("IFERROR(
  FILTER('CBK Students'!H:H, TRIM('CBK Students'!B:B) = TRIM(A267)),
  """"
)"),"#REF!")</f>
        <v>#REF!</v>
      </c>
      <c r="V267" s="240" t="str">
        <f>IFERROR(__xludf.DUMMYFUNCTION("IFERROR(
  FILTER('CBK Students'!M:M, TRIM('CBK Students'!B:B) = TRIM(A267)),
  """"
)"),"#REF!")</f>
        <v>#REF!</v>
      </c>
      <c r="W267" s="240" t="str">
        <f t="shared" si="1"/>
        <v/>
      </c>
      <c r="X267" s="240" t="str">
        <f>IFERROR(__xludf.DUMMYFUNCTION("IFERROR(
  FILTER('CBK Students'!R:R, TRIM('CBK Students'!B:B) = TRIM(A267)),
  """"
)"),"#REF!")</f>
        <v>#REF!</v>
      </c>
      <c r="Y267" s="4" t="str">
        <f t="shared" si="2"/>
        <v/>
      </c>
      <c r="Z267" s="4" t="str">
        <f>IFERROR(__xludf.DUMMYFUNCTION("IFERROR(
  FILTER('CBK Students'!O:O, TRIM('CBK Students'!B:B) = TRIM(A267)),
  """"
)"),"#REF!")</f>
        <v>#REF!</v>
      </c>
      <c r="AA267" s="4" t="str">
        <f>IFERROR(__xludf.DUMMYFUNCTION("IFERROR(
  FILTER('CBK Students'!P:P, TRIM('CBK Students'!B:B) = TRIM(A267)),
  """"
)"),"#REF!")</f>
        <v>#REF!</v>
      </c>
      <c r="AB267" s="4" t="str">
        <f>IFERROR(__xludf.DUMMYFUNCTION("IFERROR(
  FILTER('CBK Students'!Q:Q, TRIM('CBK Students'!B:B) = TRIM(A267)),
  """"
)"),"#REF!")</f>
        <v>#REF!</v>
      </c>
    </row>
    <row r="268" ht="18.75" customHeight="1">
      <c r="T268" s="240" t="str">
        <f>IFERROR(__xludf.DUMMYFUNCTION("IFERROR(
  FILTER('CBK Students'!F:F, TRIM('CBK Students'!B:B) = TRIM(A268)),
  """"
)"),"#REF!")</f>
        <v>#REF!</v>
      </c>
      <c r="U268" s="240" t="str">
        <f>IFERROR(__xludf.DUMMYFUNCTION("IFERROR(
  FILTER('CBK Students'!H:H, TRIM('CBK Students'!B:B) = TRIM(A268)),
  """"
)"),"#REF!")</f>
        <v>#REF!</v>
      </c>
      <c r="V268" s="240" t="str">
        <f>IFERROR(__xludf.DUMMYFUNCTION("IFERROR(
  FILTER('CBK Students'!M:M, TRIM('CBK Students'!B:B) = TRIM(A268)),
  """"
)"),"#REF!")</f>
        <v>#REF!</v>
      </c>
      <c r="W268" s="240" t="str">
        <f t="shared" si="1"/>
        <v/>
      </c>
      <c r="X268" s="240" t="str">
        <f>IFERROR(__xludf.DUMMYFUNCTION("IFERROR(
  FILTER('CBK Students'!R:R, TRIM('CBK Students'!B:B) = TRIM(A268)),
  """"
)"),"#REF!")</f>
        <v>#REF!</v>
      </c>
      <c r="Y268" s="4" t="str">
        <f t="shared" si="2"/>
        <v/>
      </c>
      <c r="Z268" s="4" t="str">
        <f>IFERROR(__xludf.DUMMYFUNCTION("IFERROR(
  FILTER('CBK Students'!O:O, TRIM('CBK Students'!B:B) = TRIM(A268)),
  """"
)"),"#REF!")</f>
        <v>#REF!</v>
      </c>
      <c r="AA268" s="4" t="str">
        <f>IFERROR(__xludf.DUMMYFUNCTION("IFERROR(
  FILTER('CBK Students'!P:P, TRIM('CBK Students'!B:B) = TRIM(A268)),
  """"
)"),"#REF!")</f>
        <v>#REF!</v>
      </c>
      <c r="AB268" s="4" t="str">
        <f>IFERROR(__xludf.DUMMYFUNCTION("IFERROR(
  FILTER('CBK Students'!Q:Q, TRIM('CBK Students'!B:B) = TRIM(A268)),
  """"
)"),"#REF!")</f>
        <v>#REF!</v>
      </c>
    </row>
    <row r="269" ht="18.75" customHeight="1">
      <c r="T269" s="240" t="str">
        <f>IFERROR(__xludf.DUMMYFUNCTION("IFERROR(
  FILTER('CBK Students'!F:F, TRIM('CBK Students'!B:B) = TRIM(A269)),
  """"
)"),"#REF!")</f>
        <v>#REF!</v>
      </c>
      <c r="U269" s="240" t="str">
        <f>IFERROR(__xludf.DUMMYFUNCTION("IFERROR(
  FILTER('CBK Students'!H:H, TRIM('CBK Students'!B:B) = TRIM(A269)),
  """"
)"),"#REF!")</f>
        <v>#REF!</v>
      </c>
      <c r="V269" s="240" t="str">
        <f>IFERROR(__xludf.DUMMYFUNCTION("IFERROR(
  FILTER('CBK Students'!M:M, TRIM('CBK Students'!B:B) = TRIM(A269)),
  """"
)"),"#REF!")</f>
        <v>#REF!</v>
      </c>
      <c r="W269" s="240" t="str">
        <f t="shared" si="1"/>
        <v/>
      </c>
      <c r="X269" s="240" t="str">
        <f>IFERROR(__xludf.DUMMYFUNCTION("IFERROR(
  FILTER('CBK Students'!R:R, TRIM('CBK Students'!B:B) = TRIM(A269)),
  """"
)"),"#REF!")</f>
        <v>#REF!</v>
      </c>
      <c r="Y269" s="4" t="str">
        <f t="shared" si="2"/>
        <v/>
      </c>
      <c r="Z269" s="4" t="str">
        <f>IFERROR(__xludf.DUMMYFUNCTION("IFERROR(
  FILTER('CBK Students'!O:O, TRIM('CBK Students'!B:B) = TRIM(A269)),
  """"
)"),"#REF!")</f>
        <v>#REF!</v>
      </c>
      <c r="AA269" s="4" t="str">
        <f>IFERROR(__xludf.DUMMYFUNCTION("IFERROR(
  FILTER('CBK Students'!P:P, TRIM('CBK Students'!B:B) = TRIM(A269)),
  """"
)"),"#REF!")</f>
        <v>#REF!</v>
      </c>
      <c r="AB269" s="4" t="str">
        <f>IFERROR(__xludf.DUMMYFUNCTION("IFERROR(
  FILTER('CBK Students'!Q:Q, TRIM('CBK Students'!B:B) = TRIM(A269)),
  """"
)"),"#REF!")</f>
        <v>#REF!</v>
      </c>
    </row>
    <row r="270" ht="18.75" customHeight="1">
      <c r="T270" s="240" t="str">
        <f>IFERROR(__xludf.DUMMYFUNCTION("IFERROR(
  FILTER('CBK Students'!F:F, TRIM('CBK Students'!B:B) = TRIM(A270)),
  """"
)"),"#REF!")</f>
        <v>#REF!</v>
      </c>
      <c r="U270" s="240" t="str">
        <f>IFERROR(__xludf.DUMMYFUNCTION("IFERROR(
  FILTER('CBK Students'!H:H, TRIM('CBK Students'!B:B) = TRIM(A270)),
  """"
)"),"#REF!")</f>
        <v>#REF!</v>
      </c>
      <c r="V270" s="240" t="str">
        <f>IFERROR(__xludf.DUMMYFUNCTION("IFERROR(
  FILTER('CBK Students'!M:M, TRIM('CBK Students'!B:B) = TRIM(A270)),
  """"
)"),"#REF!")</f>
        <v>#REF!</v>
      </c>
      <c r="W270" s="240" t="str">
        <f t="shared" si="1"/>
        <v/>
      </c>
      <c r="X270" s="240" t="str">
        <f>IFERROR(__xludf.DUMMYFUNCTION("IFERROR(
  FILTER('CBK Students'!R:R, TRIM('CBK Students'!B:B) = TRIM(A270)),
  """"
)"),"#REF!")</f>
        <v>#REF!</v>
      </c>
      <c r="Y270" s="4" t="str">
        <f t="shared" si="2"/>
        <v/>
      </c>
      <c r="Z270" s="4" t="str">
        <f>IFERROR(__xludf.DUMMYFUNCTION("IFERROR(
  FILTER('CBK Students'!O:O, TRIM('CBK Students'!B:B) = TRIM(A270)),
  """"
)"),"#REF!")</f>
        <v>#REF!</v>
      </c>
      <c r="AA270" s="4" t="str">
        <f>IFERROR(__xludf.DUMMYFUNCTION("IFERROR(
  FILTER('CBK Students'!P:P, TRIM('CBK Students'!B:B) = TRIM(A270)),
  """"
)"),"#REF!")</f>
        <v>#REF!</v>
      </c>
      <c r="AB270" s="4" t="str">
        <f>IFERROR(__xludf.DUMMYFUNCTION("IFERROR(
  FILTER('CBK Students'!Q:Q, TRIM('CBK Students'!B:B) = TRIM(A270)),
  """"
)"),"#REF!")</f>
        <v>#REF!</v>
      </c>
    </row>
    <row r="271" ht="18.75" customHeight="1">
      <c r="T271" s="240" t="str">
        <f>IFERROR(__xludf.DUMMYFUNCTION("IFERROR(
  FILTER('CBK Students'!F:F, TRIM('CBK Students'!B:B) = TRIM(A271)),
  """"
)"),"#REF!")</f>
        <v>#REF!</v>
      </c>
      <c r="U271" s="240" t="str">
        <f>IFERROR(__xludf.DUMMYFUNCTION("IFERROR(
  FILTER('CBK Students'!H:H, TRIM('CBK Students'!B:B) = TRIM(A271)),
  """"
)"),"#REF!")</f>
        <v>#REF!</v>
      </c>
      <c r="V271" s="240" t="str">
        <f>IFERROR(__xludf.DUMMYFUNCTION("IFERROR(
  FILTER('CBK Students'!M:M, TRIM('CBK Students'!B:B) = TRIM(A271)),
  """"
)"),"#REF!")</f>
        <v>#REF!</v>
      </c>
      <c r="W271" s="240" t="str">
        <f t="shared" si="1"/>
        <v/>
      </c>
      <c r="X271" s="240" t="str">
        <f>IFERROR(__xludf.DUMMYFUNCTION("IFERROR(
  FILTER('CBK Students'!R:R, TRIM('CBK Students'!B:B) = TRIM(A271)),
  """"
)"),"#REF!")</f>
        <v>#REF!</v>
      </c>
      <c r="Y271" s="4" t="str">
        <f t="shared" si="2"/>
        <v/>
      </c>
      <c r="Z271" s="4" t="str">
        <f>IFERROR(__xludf.DUMMYFUNCTION("IFERROR(
  FILTER('CBK Students'!O:O, TRIM('CBK Students'!B:B) = TRIM(A271)),
  """"
)"),"#REF!")</f>
        <v>#REF!</v>
      </c>
      <c r="AA271" s="4" t="str">
        <f>IFERROR(__xludf.DUMMYFUNCTION("IFERROR(
  FILTER('CBK Students'!P:P, TRIM('CBK Students'!B:B) = TRIM(A271)),
  """"
)"),"#REF!")</f>
        <v>#REF!</v>
      </c>
      <c r="AB271" s="4" t="str">
        <f>IFERROR(__xludf.DUMMYFUNCTION("IFERROR(
  FILTER('CBK Students'!Q:Q, TRIM('CBK Students'!B:B) = TRIM(A271)),
  """"
)"),"#REF!")</f>
        <v>#REF!</v>
      </c>
    </row>
    <row r="272" ht="18.75" customHeight="1">
      <c r="T272" s="240" t="str">
        <f>IFERROR(__xludf.DUMMYFUNCTION("IFERROR(
  FILTER('CBK Students'!F:F, TRIM('CBK Students'!B:B) = TRIM(A272)),
  """"
)"),"#REF!")</f>
        <v>#REF!</v>
      </c>
      <c r="U272" s="240" t="str">
        <f>IFERROR(__xludf.DUMMYFUNCTION("IFERROR(
  FILTER('CBK Students'!H:H, TRIM('CBK Students'!B:B) = TRIM(A272)),
  """"
)"),"#REF!")</f>
        <v>#REF!</v>
      </c>
      <c r="V272" s="240" t="str">
        <f>IFERROR(__xludf.DUMMYFUNCTION("IFERROR(
  FILTER('CBK Students'!M:M, TRIM('CBK Students'!B:B) = TRIM(A272)),
  """"
)"),"#REF!")</f>
        <v>#REF!</v>
      </c>
      <c r="W272" s="240" t="str">
        <f t="shared" si="1"/>
        <v/>
      </c>
      <c r="X272" s="240" t="str">
        <f>IFERROR(__xludf.DUMMYFUNCTION("IFERROR(
  FILTER('CBK Students'!R:R, TRIM('CBK Students'!B:B) = TRIM(A272)),
  """"
)"),"#REF!")</f>
        <v>#REF!</v>
      </c>
      <c r="Y272" s="4" t="str">
        <f t="shared" si="2"/>
        <v/>
      </c>
      <c r="Z272" s="4" t="str">
        <f>IFERROR(__xludf.DUMMYFUNCTION("IFERROR(
  FILTER('CBK Students'!O:O, TRIM('CBK Students'!B:B) = TRIM(A272)),
  """"
)"),"#REF!")</f>
        <v>#REF!</v>
      </c>
      <c r="AA272" s="4" t="str">
        <f>IFERROR(__xludf.DUMMYFUNCTION("IFERROR(
  FILTER('CBK Students'!P:P, TRIM('CBK Students'!B:B) = TRIM(A272)),
  """"
)"),"#REF!")</f>
        <v>#REF!</v>
      </c>
      <c r="AB272" s="4" t="str">
        <f>IFERROR(__xludf.DUMMYFUNCTION("IFERROR(
  FILTER('CBK Students'!Q:Q, TRIM('CBK Students'!B:B) = TRIM(A272)),
  """"
)"),"#REF!")</f>
        <v>#REF!</v>
      </c>
    </row>
    <row r="273" ht="18.75" customHeight="1">
      <c r="T273" s="240" t="str">
        <f>IFERROR(__xludf.DUMMYFUNCTION("IFERROR(
  FILTER('CBK Students'!F:F, TRIM('CBK Students'!B:B) = TRIM(A273)),
  """"
)"),"#REF!")</f>
        <v>#REF!</v>
      </c>
      <c r="U273" s="240" t="str">
        <f>IFERROR(__xludf.DUMMYFUNCTION("IFERROR(
  FILTER('CBK Students'!H:H, TRIM('CBK Students'!B:B) = TRIM(A273)),
  """"
)"),"#REF!")</f>
        <v>#REF!</v>
      </c>
      <c r="V273" s="240" t="str">
        <f>IFERROR(__xludf.DUMMYFUNCTION("IFERROR(
  FILTER('CBK Students'!M:M, TRIM('CBK Students'!B:B) = TRIM(A273)),
  """"
)"),"#REF!")</f>
        <v>#REF!</v>
      </c>
      <c r="W273" s="240" t="str">
        <f t="shared" si="1"/>
        <v/>
      </c>
      <c r="X273" s="240" t="str">
        <f>IFERROR(__xludf.DUMMYFUNCTION("IFERROR(
  FILTER('CBK Students'!R:R, TRIM('CBK Students'!B:B) = TRIM(A273)),
  """"
)"),"#REF!")</f>
        <v>#REF!</v>
      </c>
      <c r="Y273" s="4" t="str">
        <f t="shared" si="2"/>
        <v/>
      </c>
      <c r="Z273" s="4" t="str">
        <f>IFERROR(__xludf.DUMMYFUNCTION("IFERROR(
  FILTER('CBK Students'!O:O, TRIM('CBK Students'!B:B) = TRIM(A273)),
  """"
)"),"#REF!")</f>
        <v>#REF!</v>
      </c>
      <c r="AA273" s="4" t="str">
        <f>IFERROR(__xludf.DUMMYFUNCTION("IFERROR(
  FILTER('CBK Students'!P:P, TRIM('CBK Students'!B:B) = TRIM(A273)),
  """"
)"),"#REF!")</f>
        <v>#REF!</v>
      </c>
      <c r="AB273" s="4" t="str">
        <f>IFERROR(__xludf.DUMMYFUNCTION("IFERROR(
  FILTER('CBK Students'!Q:Q, TRIM('CBK Students'!B:B) = TRIM(A273)),
  """"
)"),"#REF!")</f>
        <v>#REF!</v>
      </c>
    </row>
    <row r="274" ht="18.75" customHeight="1">
      <c r="T274" s="240" t="str">
        <f>IFERROR(__xludf.DUMMYFUNCTION("IFERROR(
  FILTER('CBK Students'!F:F, TRIM('CBK Students'!B:B) = TRIM(A274)),
  """"
)"),"#REF!")</f>
        <v>#REF!</v>
      </c>
      <c r="U274" s="240" t="str">
        <f>IFERROR(__xludf.DUMMYFUNCTION("IFERROR(
  FILTER('CBK Students'!H:H, TRIM('CBK Students'!B:B) = TRIM(A274)),
  """"
)"),"#REF!")</f>
        <v>#REF!</v>
      </c>
      <c r="V274" s="240" t="str">
        <f>IFERROR(__xludf.DUMMYFUNCTION("IFERROR(
  FILTER('CBK Students'!M:M, TRIM('CBK Students'!B:B) = TRIM(A274)),
  """"
)"),"#REF!")</f>
        <v>#REF!</v>
      </c>
      <c r="W274" s="240" t="str">
        <f t="shared" si="1"/>
        <v/>
      </c>
      <c r="X274" s="240" t="str">
        <f>IFERROR(__xludf.DUMMYFUNCTION("IFERROR(
  FILTER('CBK Students'!R:R, TRIM('CBK Students'!B:B) = TRIM(A274)),
  """"
)"),"#REF!")</f>
        <v>#REF!</v>
      </c>
      <c r="Y274" s="4" t="str">
        <f t="shared" si="2"/>
        <v/>
      </c>
      <c r="Z274" s="4" t="str">
        <f>IFERROR(__xludf.DUMMYFUNCTION("IFERROR(
  FILTER('CBK Students'!O:O, TRIM('CBK Students'!B:B) = TRIM(A274)),
  """"
)"),"#REF!")</f>
        <v>#REF!</v>
      </c>
      <c r="AA274" s="4" t="str">
        <f>IFERROR(__xludf.DUMMYFUNCTION("IFERROR(
  FILTER('CBK Students'!P:P, TRIM('CBK Students'!B:B) = TRIM(A274)),
  """"
)"),"#REF!")</f>
        <v>#REF!</v>
      </c>
      <c r="AB274" s="4" t="str">
        <f>IFERROR(__xludf.DUMMYFUNCTION("IFERROR(
  FILTER('CBK Students'!Q:Q, TRIM('CBK Students'!B:B) = TRIM(A274)),
  """"
)"),"#REF!")</f>
        <v>#REF!</v>
      </c>
    </row>
    <row r="275" ht="18.75" customHeight="1">
      <c r="T275" s="240" t="str">
        <f>IFERROR(__xludf.DUMMYFUNCTION("IFERROR(
  FILTER('CBK Students'!F:F, TRIM('CBK Students'!B:B) = TRIM(A275)),
  """"
)"),"#REF!")</f>
        <v>#REF!</v>
      </c>
      <c r="U275" s="240" t="str">
        <f>IFERROR(__xludf.DUMMYFUNCTION("IFERROR(
  FILTER('CBK Students'!H:H, TRIM('CBK Students'!B:B) = TRIM(A275)),
  """"
)"),"#REF!")</f>
        <v>#REF!</v>
      </c>
      <c r="V275" s="240" t="str">
        <f>IFERROR(__xludf.DUMMYFUNCTION("IFERROR(
  FILTER('CBK Students'!M:M, TRIM('CBK Students'!B:B) = TRIM(A275)),
  """"
)"),"#REF!")</f>
        <v>#REF!</v>
      </c>
      <c r="W275" s="240" t="str">
        <f t="shared" si="1"/>
        <v/>
      </c>
      <c r="X275" s="240" t="str">
        <f>IFERROR(__xludf.DUMMYFUNCTION("IFERROR(
  FILTER('CBK Students'!R:R, TRIM('CBK Students'!B:B) = TRIM(A275)),
  """"
)"),"#REF!")</f>
        <v>#REF!</v>
      </c>
      <c r="Y275" s="4" t="str">
        <f t="shared" si="2"/>
        <v/>
      </c>
      <c r="Z275" s="4" t="str">
        <f>IFERROR(__xludf.DUMMYFUNCTION("IFERROR(
  FILTER('CBK Students'!O:O, TRIM('CBK Students'!B:B) = TRIM(A275)),
  """"
)"),"#REF!")</f>
        <v>#REF!</v>
      </c>
      <c r="AA275" s="4" t="str">
        <f>IFERROR(__xludf.DUMMYFUNCTION("IFERROR(
  FILTER('CBK Students'!P:P, TRIM('CBK Students'!B:B) = TRIM(A275)),
  """"
)"),"#REF!")</f>
        <v>#REF!</v>
      </c>
      <c r="AB275" s="4" t="str">
        <f>IFERROR(__xludf.DUMMYFUNCTION("IFERROR(
  FILTER('CBK Students'!Q:Q, TRIM('CBK Students'!B:B) = TRIM(A275)),
  """"
)"),"#REF!")</f>
        <v>#REF!</v>
      </c>
    </row>
    <row r="276" ht="18.75" customHeight="1">
      <c r="T276" s="240" t="str">
        <f>IFERROR(__xludf.DUMMYFUNCTION("IFERROR(
  FILTER('CBK Students'!F:F, TRIM('CBK Students'!B:B) = TRIM(A276)),
  """"
)"),"#REF!")</f>
        <v>#REF!</v>
      </c>
      <c r="U276" s="240" t="str">
        <f>IFERROR(__xludf.DUMMYFUNCTION("IFERROR(
  FILTER('CBK Students'!H:H, TRIM('CBK Students'!B:B) = TRIM(A276)),
  """"
)"),"#REF!")</f>
        <v>#REF!</v>
      </c>
      <c r="V276" s="240" t="str">
        <f>IFERROR(__xludf.DUMMYFUNCTION("IFERROR(
  FILTER('CBK Students'!M:M, TRIM('CBK Students'!B:B) = TRIM(A276)),
  """"
)"),"#REF!")</f>
        <v>#REF!</v>
      </c>
      <c r="W276" s="240" t="str">
        <f t="shared" si="1"/>
        <v/>
      </c>
      <c r="X276" s="240" t="str">
        <f>IFERROR(__xludf.DUMMYFUNCTION("IFERROR(
  FILTER('CBK Students'!R:R, TRIM('CBK Students'!B:B) = TRIM(A276)),
  """"
)"),"#REF!")</f>
        <v>#REF!</v>
      </c>
      <c r="Y276" s="4" t="str">
        <f t="shared" si="2"/>
        <v/>
      </c>
      <c r="Z276" s="4" t="str">
        <f>IFERROR(__xludf.DUMMYFUNCTION("IFERROR(
  FILTER('CBK Students'!O:O, TRIM('CBK Students'!B:B) = TRIM(A276)),
  """"
)"),"#REF!")</f>
        <v>#REF!</v>
      </c>
      <c r="AA276" s="4" t="str">
        <f>IFERROR(__xludf.DUMMYFUNCTION("IFERROR(
  FILTER('CBK Students'!P:P, TRIM('CBK Students'!B:B) = TRIM(A276)),
  """"
)"),"#REF!")</f>
        <v>#REF!</v>
      </c>
      <c r="AB276" s="4" t="str">
        <f>IFERROR(__xludf.DUMMYFUNCTION("IFERROR(
  FILTER('CBK Students'!Q:Q, TRIM('CBK Students'!B:B) = TRIM(A276)),
  """"
)"),"#REF!")</f>
        <v>#REF!</v>
      </c>
    </row>
    <row r="277" ht="18.75" customHeight="1">
      <c r="T277" s="240" t="str">
        <f>IFERROR(__xludf.DUMMYFUNCTION("IFERROR(
  FILTER('CBK Students'!F:F, TRIM('CBK Students'!B:B) = TRIM(A277)),
  """"
)"),"#REF!")</f>
        <v>#REF!</v>
      </c>
      <c r="U277" s="240" t="str">
        <f>IFERROR(__xludf.DUMMYFUNCTION("IFERROR(
  FILTER('CBK Students'!H:H, TRIM('CBK Students'!B:B) = TRIM(A277)),
  """"
)"),"#REF!")</f>
        <v>#REF!</v>
      </c>
      <c r="V277" s="240" t="str">
        <f>IFERROR(__xludf.DUMMYFUNCTION("IFERROR(
  FILTER('CBK Students'!M:M, TRIM('CBK Students'!B:B) = TRIM(A277)),
  """"
)"),"#REF!")</f>
        <v>#REF!</v>
      </c>
      <c r="W277" s="240" t="str">
        <f t="shared" si="1"/>
        <v/>
      </c>
      <c r="X277" s="240" t="str">
        <f>IFERROR(__xludf.DUMMYFUNCTION("IFERROR(
  FILTER('CBK Students'!R:R, TRIM('CBK Students'!B:B) = TRIM(A277)),
  """"
)"),"#REF!")</f>
        <v>#REF!</v>
      </c>
      <c r="Y277" s="4" t="str">
        <f t="shared" si="2"/>
        <v/>
      </c>
      <c r="Z277" s="4" t="str">
        <f>IFERROR(__xludf.DUMMYFUNCTION("IFERROR(
  FILTER('CBK Students'!O:O, TRIM('CBK Students'!B:B) = TRIM(A277)),
  """"
)"),"#REF!")</f>
        <v>#REF!</v>
      </c>
      <c r="AA277" s="4" t="str">
        <f>IFERROR(__xludf.DUMMYFUNCTION("IFERROR(
  FILTER('CBK Students'!P:P, TRIM('CBK Students'!B:B) = TRIM(A277)),
  """"
)"),"#REF!")</f>
        <v>#REF!</v>
      </c>
      <c r="AB277" s="4" t="str">
        <f>IFERROR(__xludf.DUMMYFUNCTION("IFERROR(
  FILTER('CBK Students'!Q:Q, TRIM('CBK Students'!B:B) = TRIM(A277)),
  """"
)"),"#REF!")</f>
        <v>#REF!</v>
      </c>
    </row>
    <row r="278" ht="18.75" customHeight="1">
      <c r="T278" s="240" t="str">
        <f>IFERROR(__xludf.DUMMYFUNCTION("IFERROR(
  FILTER('CBK Students'!F:F, TRIM('CBK Students'!B:B) = TRIM(A278)),
  """"
)"),"#REF!")</f>
        <v>#REF!</v>
      </c>
      <c r="U278" s="240" t="str">
        <f>IFERROR(__xludf.DUMMYFUNCTION("IFERROR(
  FILTER('CBK Students'!H:H, TRIM('CBK Students'!B:B) = TRIM(A278)),
  """"
)"),"#REF!")</f>
        <v>#REF!</v>
      </c>
      <c r="V278" s="240" t="str">
        <f>IFERROR(__xludf.DUMMYFUNCTION("IFERROR(
  FILTER('CBK Students'!M:M, TRIM('CBK Students'!B:B) = TRIM(A278)),
  """"
)"),"#REF!")</f>
        <v>#REF!</v>
      </c>
      <c r="W278" s="240" t="str">
        <f t="shared" si="1"/>
        <v/>
      </c>
      <c r="X278" s="240" t="str">
        <f>IFERROR(__xludf.DUMMYFUNCTION("IFERROR(
  FILTER('CBK Students'!R:R, TRIM('CBK Students'!B:B) = TRIM(A278)),
  """"
)"),"#REF!")</f>
        <v>#REF!</v>
      </c>
      <c r="Y278" s="4" t="str">
        <f t="shared" si="2"/>
        <v/>
      </c>
      <c r="Z278" s="4" t="str">
        <f>IFERROR(__xludf.DUMMYFUNCTION("IFERROR(
  FILTER('CBK Students'!O:O, TRIM('CBK Students'!B:B) = TRIM(A278)),
  """"
)"),"#REF!")</f>
        <v>#REF!</v>
      </c>
      <c r="AA278" s="4" t="str">
        <f>IFERROR(__xludf.DUMMYFUNCTION("IFERROR(
  FILTER('CBK Students'!P:P, TRIM('CBK Students'!B:B) = TRIM(A278)),
  """"
)"),"#REF!")</f>
        <v>#REF!</v>
      </c>
      <c r="AB278" s="4" t="str">
        <f>IFERROR(__xludf.DUMMYFUNCTION("IFERROR(
  FILTER('CBK Students'!Q:Q, TRIM('CBK Students'!B:B) = TRIM(A278)),
  """"
)"),"#REF!")</f>
        <v>#REF!</v>
      </c>
    </row>
    <row r="279" ht="18.75" customHeight="1">
      <c r="T279" s="240" t="str">
        <f>IFERROR(__xludf.DUMMYFUNCTION("IFERROR(
  FILTER('CBK Students'!F:F, TRIM('CBK Students'!B:B) = TRIM(A279)),
  """"
)"),"#REF!")</f>
        <v>#REF!</v>
      </c>
      <c r="U279" s="240" t="str">
        <f>IFERROR(__xludf.DUMMYFUNCTION("IFERROR(
  FILTER('CBK Students'!H:H, TRIM('CBK Students'!B:B) = TRIM(A279)),
  """"
)"),"#REF!")</f>
        <v>#REF!</v>
      </c>
      <c r="V279" s="240" t="str">
        <f>IFERROR(__xludf.DUMMYFUNCTION("IFERROR(
  FILTER('CBK Students'!M:M, TRIM('CBK Students'!B:B) = TRIM(A279)),
  """"
)"),"#REF!")</f>
        <v>#REF!</v>
      </c>
      <c r="W279" s="240" t="str">
        <f t="shared" si="1"/>
        <v/>
      </c>
      <c r="X279" s="240" t="str">
        <f>IFERROR(__xludf.DUMMYFUNCTION("IFERROR(
  FILTER('CBK Students'!R:R, TRIM('CBK Students'!B:B) = TRIM(A279)),
  """"
)"),"#REF!")</f>
        <v>#REF!</v>
      </c>
      <c r="Y279" s="4" t="str">
        <f t="shared" si="2"/>
        <v/>
      </c>
      <c r="Z279" s="4" t="str">
        <f>IFERROR(__xludf.DUMMYFUNCTION("IFERROR(
  FILTER('CBK Students'!O:O, TRIM('CBK Students'!B:B) = TRIM(A279)),
  """"
)"),"#REF!")</f>
        <v>#REF!</v>
      </c>
      <c r="AA279" s="4" t="str">
        <f>IFERROR(__xludf.DUMMYFUNCTION("IFERROR(
  FILTER('CBK Students'!P:P, TRIM('CBK Students'!B:B) = TRIM(A279)),
  """"
)"),"#REF!")</f>
        <v>#REF!</v>
      </c>
      <c r="AB279" s="4" t="str">
        <f>IFERROR(__xludf.DUMMYFUNCTION("IFERROR(
  FILTER('CBK Students'!Q:Q, TRIM('CBK Students'!B:B) = TRIM(A279)),
  """"
)"),"#REF!")</f>
        <v>#REF!</v>
      </c>
    </row>
    <row r="280" ht="18.75" customHeight="1">
      <c r="T280" s="240" t="str">
        <f>IFERROR(__xludf.DUMMYFUNCTION("IFERROR(
  FILTER('CBK Students'!F:F, TRIM('CBK Students'!B:B) = TRIM(A280)),
  """"
)"),"#REF!")</f>
        <v>#REF!</v>
      </c>
      <c r="U280" s="240" t="str">
        <f>IFERROR(__xludf.DUMMYFUNCTION("IFERROR(
  FILTER('CBK Students'!H:H, TRIM('CBK Students'!B:B) = TRIM(A280)),
  """"
)"),"#REF!")</f>
        <v>#REF!</v>
      </c>
      <c r="V280" s="240" t="str">
        <f>IFERROR(__xludf.DUMMYFUNCTION("IFERROR(
  FILTER('CBK Students'!M:M, TRIM('CBK Students'!B:B) = TRIM(A280)),
  """"
)"),"#REF!")</f>
        <v>#REF!</v>
      </c>
      <c r="W280" s="240" t="str">
        <f t="shared" si="1"/>
        <v/>
      </c>
      <c r="X280" s="240" t="str">
        <f>IFERROR(__xludf.DUMMYFUNCTION("IFERROR(
  FILTER('CBK Students'!R:R, TRIM('CBK Students'!B:B) = TRIM(A280)),
  """"
)"),"#REF!")</f>
        <v>#REF!</v>
      </c>
      <c r="Y280" s="4" t="str">
        <f t="shared" si="2"/>
        <v/>
      </c>
      <c r="Z280" s="4" t="str">
        <f>IFERROR(__xludf.DUMMYFUNCTION("IFERROR(
  FILTER('CBK Students'!O:O, TRIM('CBK Students'!B:B) = TRIM(A280)),
  """"
)"),"#REF!")</f>
        <v>#REF!</v>
      </c>
      <c r="AA280" s="4" t="str">
        <f>IFERROR(__xludf.DUMMYFUNCTION("IFERROR(
  FILTER('CBK Students'!P:P, TRIM('CBK Students'!B:B) = TRIM(A280)),
  """"
)"),"#REF!")</f>
        <v>#REF!</v>
      </c>
      <c r="AB280" s="4" t="str">
        <f>IFERROR(__xludf.DUMMYFUNCTION("IFERROR(
  FILTER('CBK Students'!Q:Q, TRIM('CBK Students'!B:B) = TRIM(A280)),
  """"
)"),"#REF!")</f>
        <v>#REF!</v>
      </c>
    </row>
    <row r="281" ht="18.75" customHeight="1">
      <c r="T281" s="240" t="str">
        <f>IFERROR(__xludf.DUMMYFUNCTION("IFERROR(
  FILTER('CBK Students'!F:F, TRIM('CBK Students'!B:B) = TRIM(A281)),
  """"
)"),"#REF!")</f>
        <v>#REF!</v>
      </c>
      <c r="U281" s="240" t="str">
        <f>IFERROR(__xludf.DUMMYFUNCTION("IFERROR(
  FILTER('CBK Students'!H:H, TRIM('CBK Students'!B:B) = TRIM(A281)),
  """"
)"),"#REF!")</f>
        <v>#REF!</v>
      </c>
      <c r="V281" s="240" t="str">
        <f>IFERROR(__xludf.DUMMYFUNCTION("IFERROR(
  FILTER('CBK Students'!M:M, TRIM('CBK Students'!B:B) = TRIM(A281)),
  """"
)"),"#REF!")</f>
        <v>#REF!</v>
      </c>
      <c r="W281" s="240" t="str">
        <f t="shared" si="1"/>
        <v/>
      </c>
      <c r="X281" s="240" t="str">
        <f>IFERROR(__xludf.DUMMYFUNCTION("IFERROR(
  FILTER('CBK Students'!R:R, TRIM('CBK Students'!B:B) = TRIM(A281)),
  """"
)"),"#REF!")</f>
        <v>#REF!</v>
      </c>
      <c r="Y281" s="4" t="str">
        <f t="shared" si="2"/>
        <v/>
      </c>
      <c r="Z281" s="4" t="str">
        <f>IFERROR(__xludf.DUMMYFUNCTION("IFERROR(
  FILTER('CBK Students'!O:O, TRIM('CBK Students'!B:B) = TRIM(A281)),
  """"
)"),"#REF!")</f>
        <v>#REF!</v>
      </c>
      <c r="AA281" s="4" t="str">
        <f>IFERROR(__xludf.DUMMYFUNCTION("IFERROR(
  FILTER('CBK Students'!P:P, TRIM('CBK Students'!B:B) = TRIM(A281)),
  """"
)"),"#REF!")</f>
        <v>#REF!</v>
      </c>
      <c r="AB281" s="4" t="str">
        <f>IFERROR(__xludf.DUMMYFUNCTION("IFERROR(
  FILTER('CBK Students'!Q:Q, TRIM('CBK Students'!B:B) = TRIM(A281)),
  """"
)"),"#REF!")</f>
        <v>#REF!</v>
      </c>
    </row>
    <row r="282" ht="18.75" customHeight="1">
      <c r="T282" s="240" t="str">
        <f>IFERROR(__xludf.DUMMYFUNCTION("IFERROR(
  FILTER('CBK Students'!F:F, TRIM('CBK Students'!B:B) = TRIM(A282)),
  """"
)"),"#REF!")</f>
        <v>#REF!</v>
      </c>
      <c r="U282" s="240" t="str">
        <f>IFERROR(__xludf.DUMMYFUNCTION("IFERROR(
  FILTER('CBK Students'!H:H, TRIM('CBK Students'!B:B) = TRIM(A282)),
  """"
)"),"#REF!")</f>
        <v>#REF!</v>
      </c>
      <c r="V282" s="240" t="str">
        <f>IFERROR(__xludf.DUMMYFUNCTION("IFERROR(
  FILTER('CBK Students'!M:M, TRIM('CBK Students'!B:B) = TRIM(A282)),
  """"
)"),"#REF!")</f>
        <v>#REF!</v>
      </c>
      <c r="W282" s="240" t="str">
        <f t="shared" si="1"/>
        <v/>
      </c>
      <c r="X282" s="240" t="str">
        <f>IFERROR(__xludf.DUMMYFUNCTION("IFERROR(
  FILTER('CBK Students'!R:R, TRIM('CBK Students'!B:B) = TRIM(A282)),
  """"
)"),"#REF!")</f>
        <v>#REF!</v>
      </c>
      <c r="Y282" s="4" t="str">
        <f t="shared" si="2"/>
        <v/>
      </c>
      <c r="Z282" s="4" t="str">
        <f>IFERROR(__xludf.DUMMYFUNCTION("IFERROR(
  FILTER('CBK Students'!O:O, TRIM('CBK Students'!B:B) = TRIM(A282)),
  """"
)"),"#REF!")</f>
        <v>#REF!</v>
      </c>
      <c r="AA282" s="4" t="str">
        <f>IFERROR(__xludf.DUMMYFUNCTION("IFERROR(
  FILTER('CBK Students'!P:P, TRIM('CBK Students'!B:B) = TRIM(A282)),
  """"
)"),"#REF!")</f>
        <v>#REF!</v>
      </c>
      <c r="AB282" s="4" t="str">
        <f>IFERROR(__xludf.DUMMYFUNCTION("IFERROR(
  FILTER('CBK Students'!Q:Q, TRIM('CBK Students'!B:B) = TRIM(A282)),
  """"
)"),"#REF!")</f>
        <v>#REF!</v>
      </c>
    </row>
    <row r="283" ht="18.75" customHeight="1">
      <c r="T283" s="240" t="str">
        <f>IFERROR(__xludf.DUMMYFUNCTION("IFERROR(
  FILTER('CBK Students'!F:F, TRIM('CBK Students'!B:B) = TRIM(A283)),
  """"
)"),"#REF!")</f>
        <v>#REF!</v>
      </c>
      <c r="U283" s="240" t="str">
        <f>IFERROR(__xludf.DUMMYFUNCTION("IFERROR(
  FILTER('CBK Students'!H:H, TRIM('CBK Students'!B:B) = TRIM(A283)),
  """"
)"),"#REF!")</f>
        <v>#REF!</v>
      </c>
      <c r="V283" s="240" t="str">
        <f>IFERROR(__xludf.DUMMYFUNCTION("IFERROR(
  FILTER('CBK Students'!M:M, TRIM('CBK Students'!B:B) = TRIM(A283)),
  """"
)"),"#REF!")</f>
        <v>#REF!</v>
      </c>
      <c r="W283" s="240" t="str">
        <f t="shared" si="1"/>
        <v/>
      </c>
      <c r="X283" s="240" t="str">
        <f>IFERROR(__xludf.DUMMYFUNCTION("IFERROR(
  FILTER('CBK Students'!R:R, TRIM('CBK Students'!B:B) = TRIM(A283)),
  """"
)"),"#REF!")</f>
        <v>#REF!</v>
      </c>
      <c r="Y283" s="4" t="str">
        <f t="shared" si="2"/>
        <v/>
      </c>
      <c r="Z283" s="4" t="str">
        <f>IFERROR(__xludf.DUMMYFUNCTION("IFERROR(
  FILTER('CBK Students'!O:O, TRIM('CBK Students'!B:B) = TRIM(A283)),
  """"
)"),"#REF!")</f>
        <v>#REF!</v>
      </c>
      <c r="AA283" s="4" t="str">
        <f>IFERROR(__xludf.DUMMYFUNCTION("IFERROR(
  FILTER('CBK Students'!P:P, TRIM('CBK Students'!B:B) = TRIM(A283)),
  """"
)"),"#REF!")</f>
        <v>#REF!</v>
      </c>
      <c r="AB283" s="4" t="str">
        <f>IFERROR(__xludf.DUMMYFUNCTION("IFERROR(
  FILTER('CBK Students'!Q:Q, TRIM('CBK Students'!B:B) = TRIM(A283)),
  """"
)"),"#REF!")</f>
        <v>#REF!</v>
      </c>
    </row>
    <row r="284" ht="18.75" customHeight="1">
      <c r="T284" s="240" t="str">
        <f>IFERROR(__xludf.DUMMYFUNCTION("IFERROR(
  FILTER('CBK Students'!F:F, TRIM('CBK Students'!B:B) = TRIM(A284)),
  """"
)"),"#REF!")</f>
        <v>#REF!</v>
      </c>
      <c r="U284" s="240" t="str">
        <f>IFERROR(__xludf.DUMMYFUNCTION("IFERROR(
  FILTER('CBK Students'!H:H, TRIM('CBK Students'!B:B) = TRIM(A284)),
  """"
)"),"#REF!")</f>
        <v>#REF!</v>
      </c>
      <c r="V284" s="240" t="str">
        <f>IFERROR(__xludf.DUMMYFUNCTION("IFERROR(
  FILTER('CBK Students'!M:M, TRIM('CBK Students'!B:B) = TRIM(A284)),
  """"
)"),"#REF!")</f>
        <v>#REF!</v>
      </c>
      <c r="W284" s="240" t="str">
        <f t="shared" si="1"/>
        <v/>
      </c>
      <c r="X284" s="240" t="str">
        <f>IFERROR(__xludf.DUMMYFUNCTION("IFERROR(
  FILTER('CBK Students'!R:R, TRIM('CBK Students'!B:B) = TRIM(A284)),
  """"
)"),"#REF!")</f>
        <v>#REF!</v>
      </c>
      <c r="Y284" s="4" t="str">
        <f t="shared" si="2"/>
        <v/>
      </c>
      <c r="Z284" s="4" t="str">
        <f>IFERROR(__xludf.DUMMYFUNCTION("IFERROR(
  FILTER('CBK Students'!O:O, TRIM('CBK Students'!B:B) = TRIM(A284)),
  """"
)"),"#REF!")</f>
        <v>#REF!</v>
      </c>
      <c r="AA284" s="4" t="str">
        <f>IFERROR(__xludf.DUMMYFUNCTION("IFERROR(
  FILTER('CBK Students'!P:P, TRIM('CBK Students'!B:B) = TRIM(A284)),
  """"
)"),"#REF!")</f>
        <v>#REF!</v>
      </c>
      <c r="AB284" s="4" t="str">
        <f>IFERROR(__xludf.DUMMYFUNCTION("IFERROR(
  FILTER('CBK Students'!Q:Q, TRIM('CBK Students'!B:B) = TRIM(A284)),
  """"
)"),"#REF!")</f>
        <v>#REF!</v>
      </c>
    </row>
    <row r="285" ht="18.75" customHeight="1">
      <c r="T285" s="240" t="str">
        <f>IFERROR(__xludf.DUMMYFUNCTION("IFERROR(
  FILTER('CBK Students'!F:F, TRIM('CBK Students'!B:B) = TRIM(A285)),
  """"
)"),"#REF!")</f>
        <v>#REF!</v>
      </c>
      <c r="U285" s="240" t="str">
        <f>IFERROR(__xludf.DUMMYFUNCTION("IFERROR(
  FILTER('CBK Students'!H:H, TRIM('CBK Students'!B:B) = TRIM(A285)),
  """"
)"),"#REF!")</f>
        <v>#REF!</v>
      </c>
      <c r="V285" s="240" t="str">
        <f>IFERROR(__xludf.DUMMYFUNCTION("IFERROR(
  FILTER('CBK Students'!M:M, TRIM('CBK Students'!B:B) = TRIM(A285)),
  """"
)"),"#REF!")</f>
        <v>#REF!</v>
      </c>
      <c r="W285" s="240" t="str">
        <f t="shared" si="1"/>
        <v/>
      </c>
      <c r="X285" s="240" t="str">
        <f>IFERROR(__xludf.DUMMYFUNCTION("IFERROR(
  FILTER('CBK Students'!R:R, TRIM('CBK Students'!B:B) = TRIM(A285)),
  """"
)"),"#REF!")</f>
        <v>#REF!</v>
      </c>
      <c r="Y285" s="4" t="str">
        <f t="shared" si="2"/>
        <v/>
      </c>
      <c r="Z285" s="4" t="str">
        <f>IFERROR(__xludf.DUMMYFUNCTION("IFERROR(
  FILTER('CBK Students'!O:O, TRIM('CBK Students'!B:B) = TRIM(A285)),
  """"
)"),"#REF!")</f>
        <v>#REF!</v>
      </c>
      <c r="AA285" s="4" t="str">
        <f>IFERROR(__xludf.DUMMYFUNCTION("IFERROR(
  FILTER('CBK Students'!P:P, TRIM('CBK Students'!B:B) = TRIM(A285)),
  """"
)"),"#REF!")</f>
        <v>#REF!</v>
      </c>
      <c r="AB285" s="4" t="str">
        <f>IFERROR(__xludf.DUMMYFUNCTION("IFERROR(
  FILTER('CBK Students'!Q:Q, TRIM('CBK Students'!B:B) = TRIM(A285)),
  """"
)"),"#REF!")</f>
        <v>#REF!</v>
      </c>
    </row>
    <row r="286" ht="18.75" customHeight="1">
      <c r="T286" s="240" t="str">
        <f>IFERROR(__xludf.DUMMYFUNCTION("IFERROR(
  FILTER('CBK Students'!F:F, TRIM('CBK Students'!B:B) = TRIM(A286)),
  """"
)"),"#REF!")</f>
        <v>#REF!</v>
      </c>
      <c r="U286" s="240" t="str">
        <f>IFERROR(__xludf.DUMMYFUNCTION("IFERROR(
  FILTER('CBK Students'!H:H, TRIM('CBK Students'!B:B) = TRIM(A286)),
  """"
)"),"#REF!")</f>
        <v>#REF!</v>
      </c>
      <c r="V286" s="240" t="str">
        <f>IFERROR(__xludf.DUMMYFUNCTION("IFERROR(
  FILTER('CBK Students'!M:M, TRIM('CBK Students'!B:B) = TRIM(A286)),
  """"
)"),"#REF!")</f>
        <v>#REF!</v>
      </c>
      <c r="W286" s="240" t="str">
        <f t="shared" si="1"/>
        <v/>
      </c>
      <c r="X286" s="240" t="str">
        <f>IFERROR(__xludf.DUMMYFUNCTION("IFERROR(
  FILTER('CBK Students'!R:R, TRIM('CBK Students'!B:B) = TRIM(A286)),
  """"
)"),"#REF!")</f>
        <v>#REF!</v>
      </c>
      <c r="Y286" s="4" t="str">
        <f t="shared" si="2"/>
        <v/>
      </c>
      <c r="Z286" s="4" t="str">
        <f>IFERROR(__xludf.DUMMYFUNCTION("IFERROR(
  FILTER('CBK Students'!O:O, TRIM('CBK Students'!B:B) = TRIM(A286)),
  """"
)"),"#REF!")</f>
        <v>#REF!</v>
      </c>
      <c r="AA286" s="4" t="str">
        <f>IFERROR(__xludf.DUMMYFUNCTION("IFERROR(
  FILTER('CBK Students'!P:P, TRIM('CBK Students'!B:B) = TRIM(A286)),
  """"
)"),"#REF!")</f>
        <v>#REF!</v>
      </c>
      <c r="AB286" s="4" t="str">
        <f>IFERROR(__xludf.DUMMYFUNCTION("IFERROR(
  FILTER('CBK Students'!Q:Q, TRIM('CBK Students'!B:B) = TRIM(A286)),
  """"
)"),"#REF!")</f>
        <v>#REF!</v>
      </c>
    </row>
    <row r="287" ht="18.75" customHeight="1">
      <c r="T287" s="240" t="str">
        <f>IFERROR(__xludf.DUMMYFUNCTION("IFERROR(
  FILTER('CBK Students'!F:F, TRIM('CBK Students'!B:B) = TRIM(A287)),
  """"
)"),"#REF!")</f>
        <v>#REF!</v>
      </c>
      <c r="U287" s="240" t="str">
        <f>IFERROR(__xludf.DUMMYFUNCTION("IFERROR(
  FILTER('CBK Students'!H:H, TRIM('CBK Students'!B:B) = TRIM(A287)),
  """"
)"),"#REF!")</f>
        <v>#REF!</v>
      </c>
      <c r="V287" s="240" t="str">
        <f>IFERROR(__xludf.DUMMYFUNCTION("IFERROR(
  FILTER('CBK Students'!M:M, TRIM('CBK Students'!B:B) = TRIM(A287)),
  """"
)"),"#REF!")</f>
        <v>#REF!</v>
      </c>
      <c r="W287" s="240" t="str">
        <f t="shared" si="1"/>
        <v/>
      </c>
      <c r="X287" s="240" t="str">
        <f>IFERROR(__xludf.DUMMYFUNCTION("IFERROR(
  FILTER('CBK Students'!R:R, TRIM('CBK Students'!B:B) = TRIM(A287)),
  """"
)"),"#REF!")</f>
        <v>#REF!</v>
      </c>
      <c r="Y287" s="4" t="str">
        <f t="shared" si="2"/>
        <v/>
      </c>
      <c r="Z287" s="4" t="str">
        <f>IFERROR(__xludf.DUMMYFUNCTION("IFERROR(
  FILTER('CBK Students'!O:O, TRIM('CBK Students'!B:B) = TRIM(A287)),
  """"
)"),"#REF!")</f>
        <v>#REF!</v>
      </c>
      <c r="AA287" s="4" t="str">
        <f>IFERROR(__xludf.DUMMYFUNCTION("IFERROR(
  FILTER('CBK Students'!P:P, TRIM('CBK Students'!B:B) = TRIM(A287)),
  """"
)"),"#REF!")</f>
        <v>#REF!</v>
      </c>
      <c r="AB287" s="4" t="str">
        <f>IFERROR(__xludf.DUMMYFUNCTION("IFERROR(
  FILTER('CBK Students'!Q:Q, TRIM('CBK Students'!B:B) = TRIM(A287)),
  """"
)"),"#REF!")</f>
        <v>#REF!</v>
      </c>
    </row>
    <row r="288" ht="18.75" customHeight="1">
      <c r="T288" s="240" t="str">
        <f>IFERROR(__xludf.DUMMYFUNCTION("IFERROR(
  FILTER('CBK Students'!F:F, TRIM('CBK Students'!B:B) = TRIM(A288)),
  """"
)"),"#REF!")</f>
        <v>#REF!</v>
      </c>
      <c r="U288" s="240" t="str">
        <f>IFERROR(__xludf.DUMMYFUNCTION("IFERROR(
  FILTER('CBK Students'!H:H, TRIM('CBK Students'!B:B) = TRIM(A288)),
  """"
)"),"#REF!")</f>
        <v>#REF!</v>
      </c>
      <c r="V288" s="240" t="str">
        <f>IFERROR(__xludf.DUMMYFUNCTION("IFERROR(
  FILTER('CBK Students'!M:M, TRIM('CBK Students'!B:B) = TRIM(A288)),
  """"
)"),"#REF!")</f>
        <v>#REF!</v>
      </c>
      <c r="W288" s="240" t="str">
        <f t="shared" si="1"/>
        <v/>
      </c>
      <c r="X288" s="240" t="str">
        <f>IFERROR(__xludf.DUMMYFUNCTION("IFERROR(
  FILTER('CBK Students'!R:R, TRIM('CBK Students'!B:B) = TRIM(A288)),
  """"
)"),"#REF!")</f>
        <v>#REF!</v>
      </c>
      <c r="Y288" s="4" t="str">
        <f t="shared" si="2"/>
        <v/>
      </c>
      <c r="Z288" s="4" t="str">
        <f>IFERROR(__xludf.DUMMYFUNCTION("IFERROR(
  FILTER('CBK Students'!O:O, TRIM('CBK Students'!B:B) = TRIM(A288)),
  """"
)"),"#REF!")</f>
        <v>#REF!</v>
      </c>
      <c r="AA288" s="4" t="str">
        <f>IFERROR(__xludf.DUMMYFUNCTION("IFERROR(
  FILTER('CBK Students'!P:P, TRIM('CBK Students'!B:B) = TRIM(A288)),
  """"
)"),"#REF!")</f>
        <v>#REF!</v>
      </c>
      <c r="AB288" s="4" t="str">
        <f>IFERROR(__xludf.DUMMYFUNCTION("IFERROR(
  FILTER('CBK Students'!Q:Q, TRIM('CBK Students'!B:B) = TRIM(A288)),
  """"
)"),"#REF!")</f>
        <v>#REF!</v>
      </c>
    </row>
    <row r="289" ht="18.75" customHeight="1">
      <c r="T289" s="240" t="str">
        <f>IFERROR(__xludf.DUMMYFUNCTION("IFERROR(
  FILTER('CBK Students'!F:F, TRIM('CBK Students'!B:B) = TRIM(A289)),
  """"
)"),"#REF!")</f>
        <v>#REF!</v>
      </c>
      <c r="U289" s="240" t="str">
        <f>IFERROR(__xludf.DUMMYFUNCTION("IFERROR(
  FILTER('CBK Students'!H:H, TRIM('CBK Students'!B:B) = TRIM(A289)),
  """"
)"),"#REF!")</f>
        <v>#REF!</v>
      </c>
      <c r="V289" s="240" t="str">
        <f>IFERROR(__xludf.DUMMYFUNCTION("IFERROR(
  FILTER('CBK Students'!M:M, TRIM('CBK Students'!B:B) = TRIM(A289)),
  """"
)"),"#REF!")</f>
        <v>#REF!</v>
      </c>
      <c r="W289" s="240" t="str">
        <f t="shared" si="1"/>
        <v/>
      </c>
      <c r="X289" s="240" t="str">
        <f>IFERROR(__xludf.DUMMYFUNCTION("IFERROR(
  FILTER('CBK Students'!R:R, TRIM('CBK Students'!B:B) = TRIM(A289)),
  """"
)"),"#REF!")</f>
        <v>#REF!</v>
      </c>
      <c r="Y289" s="4" t="str">
        <f t="shared" si="2"/>
        <v/>
      </c>
      <c r="Z289" s="4" t="str">
        <f>IFERROR(__xludf.DUMMYFUNCTION("IFERROR(
  FILTER('CBK Students'!O:O, TRIM('CBK Students'!B:B) = TRIM(A289)),
  """"
)"),"#REF!")</f>
        <v>#REF!</v>
      </c>
      <c r="AA289" s="4" t="str">
        <f>IFERROR(__xludf.DUMMYFUNCTION("IFERROR(
  FILTER('CBK Students'!P:P, TRIM('CBK Students'!B:B) = TRIM(A289)),
  """"
)"),"#REF!")</f>
        <v>#REF!</v>
      </c>
      <c r="AB289" s="4" t="str">
        <f>IFERROR(__xludf.DUMMYFUNCTION("IFERROR(
  FILTER('CBK Students'!Q:Q, TRIM('CBK Students'!B:B) = TRIM(A289)),
  """"
)"),"#REF!")</f>
        <v>#REF!</v>
      </c>
    </row>
    <row r="290" ht="18.75" customHeight="1">
      <c r="T290" s="240" t="str">
        <f>IFERROR(__xludf.DUMMYFUNCTION("IFERROR(
  FILTER('CBK Students'!F:F, TRIM('CBK Students'!B:B) = TRIM(A290)),
  """"
)"),"#REF!")</f>
        <v>#REF!</v>
      </c>
      <c r="U290" s="240" t="str">
        <f>IFERROR(__xludf.DUMMYFUNCTION("IFERROR(
  FILTER('CBK Students'!H:H, TRIM('CBK Students'!B:B) = TRIM(A290)),
  """"
)"),"#REF!")</f>
        <v>#REF!</v>
      </c>
      <c r="V290" s="240" t="str">
        <f>IFERROR(__xludf.DUMMYFUNCTION("IFERROR(
  FILTER('CBK Students'!M:M, TRIM('CBK Students'!B:B) = TRIM(A290)),
  """"
)"),"#REF!")</f>
        <v>#REF!</v>
      </c>
      <c r="W290" s="240" t="str">
        <f t="shared" si="1"/>
        <v/>
      </c>
      <c r="X290" s="240" t="str">
        <f>IFERROR(__xludf.DUMMYFUNCTION("IFERROR(
  FILTER('CBK Students'!R:R, TRIM('CBK Students'!B:B) = TRIM(A290)),
  """"
)"),"#REF!")</f>
        <v>#REF!</v>
      </c>
      <c r="Y290" s="4" t="str">
        <f t="shared" si="2"/>
        <v/>
      </c>
      <c r="Z290" s="4" t="str">
        <f>IFERROR(__xludf.DUMMYFUNCTION("IFERROR(
  FILTER('CBK Students'!O:O, TRIM('CBK Students'!B:B) = TRIM(A290)),
  """"
)"),"#REF!")</f>
        <v>#REF!</v>
      </c>
      <c r="AA290" s="4" t="str">
        <f>IFERROR(__xludf.DUMMYFUNCTION("IFERROR(
  FILTER('CBK Students'!P:P, TRIM('CBK Students'!B:B) = TRIM(A290)),
  """"
)"),"#REF!")</f>
        <v>#REF!</v>
      </c>
      <c r="AB290" s="4" t="str">
        <f>IFERROR(__xludf.DUMMYFUNCTION("IFERROR(
  FILTER('CBK Students'!Q:Q, TRIM('CBK Students'!B:B) = TRIM(A290)),
  """"
)"),"#REF!")</f>
        <v>#REF!</v>
      </c>
    </row>
    <row r="291" ht="18.75" customHeight="1">
      <c r="T291" s="240" t="str">
        <f>IFERROR(__xludf.DUMMYFUNCTION("IFERROR(
  FILTER('CBK Students'!F:F, TRIM('CBK Students'!B:B) = TRIM(A291)),
  """"
)"),"#REF!")</f>
        <v>#REF!</v>
      </c>
      <c r="U291" s="240" t="str">
        <f>IFERROR(__xludf.DUMMYFUNCTION("IFERROR(
  FILTER('CBK Students'!H:H, TRIM('CBK Students'!B:B) = TRIM(A291)),
  """"
)"),"#REF!")</f>
        <v>#REF!</v>
      </c>
      <c r="V291" s="240" t="str">
        <f>IFERROR(__xludf.DUMMYFUNCTION("IFERROR(
  FILTER('CBK Students'!M:M, TRIM('CBK Students'!B:B) = TRIM(A291)),
  """"
)"),"#REF!")</f>
        <v>#REF!</v>
      </c>
      <c r="W291" s="240" t="str">
        <f t="shared" si="1"/>
        <v/>
      </c>
      <c r="X291" s="240" t="str">
        <f>IFERROR(__xludf.DUMMYFUNCTION("IFERROR(
  FILTER('CBK Students'!R:R, TRIM('CBK Students'!B:B) = TRIM(A291)),
  """"
)"),"#REF!")</f>
        <v>#REF!</v>
      </c>
      <c r="Y291" s="4" t="str">
        <f t="shared" si="2"/>
        <v/>
      </c>
      <c r="Z291" s="4" t="str">
        <f>IFERROR(__xludf.DUMMYFUNCTION("IFERROR(
  FILTER('CBK Students'!O:O, TRIM('CBK Students'!B:B) = TRIM(A291)),
  """"
)"),"#REF!")</f>
        <v>#REF!</v>
      </c>
      <c r="AA291" s="4" t="str">
        <f>IFERROR(__xludf.DUMMYFUNCTION("IFERROR(
  FILTER('CBK Students'!P:P, TRIM('CBK Students'!B:B) = TRIM(A291)),
  """"
)"),"#REF!")</f>
        <v>#REF!</v>
      </c>
      <c r="AB291" s="4" t="str">
        <f>IFERROR(__xludf.DUMMYFUNCTION("IFERROR(
  FILTER('CBK Students'!Q:Q, TRIM('CBK Students'!B:B) = TRIM(A291)),
  """"
)"),"#REF!")</f>
        <v>#REF!</v>
      </c>
    </row>
    <row r="292" ht="18.75" customHeight="1">
      <c r="T292" s="240" t="str">
        <f>IFERROR(__xludf.DUMMYFUNCTION("IFERROR(
  FILTER('CBK Students'!F:F, TRIM('CBK Students'!B:B) = TRIM(A292)),
  """"
)"),"#REF!")</f>
        <v>#REF!</v>
      </c>
      <c r="U292" s="240" t="str">
        <f>IFERROR(__xludf.DUMMYFUNCTION("IFERROR(
  FILTER('CBK Students'!H:H, TRIM('CBK Students'!B:B) = TRIM(A292)),
  """"
)"),"#REF!")</f>
        <v>#REF!</v>
      </c>
      <c r="V292" s="240" t="str">
        <f>IFERROR(__xludf.DUMMYFUNCTION("IFERROR(
  FILTER('CBK Students'!M:M, TRIM('CBK Students'!B:B) = TRIM(A292)),
  """"
)"),"#REF!")</f>
        <v>#REF!</v>
      </c>
      <c r="W292" s="240" t="str">
        <f t="shared" si="1"/>
        <v/>
      </c>
      <c r="X292" s="240" t="str">
        <f>IFERROR(__xludf.DUMMYFUNCTION("IFERROR(
  FILTER('CBK Students'!R:R, TRIM('CBK Students'!B:B) = TRIM(A292)),
  """"
)"),"#REF!")</f>
        <v>#REF!</v>
      </c>
      <c r="Y292" s="4" t="str">
        <f t="shared" si="2"/>
        <v/>
      </c>
      <c r="Z292" s="4" t="str">
        <f>IFERROR(__xludf.DUMMYFUNCTION("IFERROR(
  FILTER('CBK Students'!O:O, TRIM('CBK Students'!B:B) = TRIM(A292)),
  """"
)"),"#REF!")</f>
        <v>#REF!</v>
      </c>
      <c r="AA292" s="4" t="str">
        <f>IFERROR(__xludf.DUMMYFUNCTION("IFERROR(
  FILTER('CBK Students'!P:P, TRIM('CBK Students'!B:B) = TRIM(A292)),
  """"
)"),"#REF!")</f>
        <v>#REF!</v>
      </c>
      <c r="AB292" s="4" t="str">
        <f>IFERROR(__xludf.DUMMYFUNCTION("IFERROR(
  FILTER('CBK Students'!Q:Q, TRIM('CBK Students'!B:B) = TRIM(A292)),
  """"
)"),"#REF!")</f>
        <v>#REF!</v>
      </c>
    </row>
    <row r="293" ht="18.75" customHeight="1">
      <c r="T293" s="240" t="str">
        <f>IFERROR(__xludf.DUMMYFUNCTION("IFERROR(
  FILTER('CBK Students'!F:F, TRIM('CBK Students'!B:B) = TRIM(A293)),
  """"
)"),"#REF!")</f>
        <v>#REF!</v>
      </c>
      <c r="U293" s="240" t="str">
        <f>IFERROR(__xludf.DUMMYFUNCTION("IFERROR(
  FILTER('CBK Students'!H:H, TRIM('CBK Students'!B:B) = TRIM(A293)),
  """"
)"),"#REF!")</f>
        <v>#REF!</v>
      </c>
      <c r="V293" s="240" t="str">
        <f>IFERROR(__xludf.DUMMYFUNCTION("IFERROR(
  FILTER('CBK Students'!M:M, TRIM('CBK Students'!B:B) = TRIM(A293)),
  """"
)"),"#REF!")</f>
        <v>#REF!</v>
      </c>
      <c r="W293" s="240" t="str">
        <f t="shared" si="1"/>
        <v/>
      </c>
      <c r="X293" s="240" t="str">
        <f>IFERROR(__xludf.DUMMYFUNCTION("IFERROR(
  FILTER('CBK Students'!R:R, TRIM('CBK Students'!B:B) = TRIM(A293)),
  """"
)"),"#REF!")</f>
        <v>#REF!</v>
      </c>
      <c r="Y293" s="4" t="str">
        <f t="shared" si="2"/>
        <v/>
      </c>
      <c r="Z293" s="4" t="str">
        <f>IFERROR(__xludf.DUMMYFUNCTION("IFERROR(
  FILTER('CBK Students'!O:O, TRIM('CBK Students'!B:B) = TRIM(A293)),
  """"
)"),"#REF!")</f>
        <v>#REF!</v>
      </c>
      <c r="AA293" s="4" t="str">
        <f>IFERROR(__xludf.DUMMYFUNCTION("IFERROR(
  FILTER('CBK Students'!P:P, TRIM('CBK Students'!B:B) = TRIM(A293)),
  """"
)"),"#REF!")</f>
        <v>#REF!</v>
      </c>
      <c r="AB293" s="4" t="str">
        <f>IFERROR(__xludf.DUMMYFUNCTION("IFERROR(
  FILTER('CBK Students'!Q:Q, TRIM('CBK Students'!B:B) = TRIM(A293)),
  """"
)"),"#REF!")</f>
        <v>#REF!</v>
      </c>
    </row>
    <row r="294" ht="18.75" customHeight="1">
      <c r="T294" s="240" t="str">
        <f>IFERROR(__xludf.DUMMYFUNCTION("IFERROR(
  FILTER('CBK Students'!F:F, TRIM('CBK Students'!B:B) = TRIM(A294)),
  """"
)"),"#REF!")</f>
        <v>#REF!</v>
      </c>
      <c r="U294" s="240" t="str">
        <f>IFERROR(__xludf.DUMMYFUNCTION("IFERROR(
  FILTER('CBK Students'!H:H, TRIM('CBK Students'!B:B) = TRIM(A294)),
  """"
)"),"#REF!")</f>
        <v>#REF!</v>
      </c>
      <c r="V294" s="240" t="str">
        <f>IFERROR(__xludf.DUMMYFUNCTION("IFERROR(
  FILTER('CBK Students'!M:M, TRIM('CBK Students'!B:B) = TRIM(A294)),
  """"
)"),"#REF!")</f>
        <v>#REF!</v>
      </c>
      <c r="W294" s="240" t="str">
        <f t="shared" si="1"/>
        <v/>
      </c>
      <c r="X294" s="240" t="str">
        <f>IFERROR(__xludf.DUMMYFUNCTION("IFERROR(
  FILTER('CBK Students'!R:R, TRIM('CBK Students'!B:B) = TRIM(A294)),
  """"
)"),"#REF!")</f>
        <v>#REF!</v>
      </c>
      <c r="Y294" s="4" t="str">
        <f t="shared" si="2"/>
        <v/>
      </c>
      <c r="Z294" s="4" t="str">
        <f>IFERROR(__xludf.DUMMYFUNCTION("IFERROR(
  FILTER('CBK Students'!O:O, TRIM('CBK Students'!B:B) = TRIM(A294)),
  """"
)"),"#REF!")</f>
        <v>#REF!</v>
      </c>
      <c r="AA294" s="4" t="str">
        <f>IFERROR(__xludf.DUMMYFUNCTION("IFERROR(
  FILTER('CBK Students'!P:P, TRIM('CBK Students'!B:B) = TRIM(A294)),
  """"
)"),"#REF!")</f>
        <v>#REF!</v>
      </c>
      <c r="AB294" s="4" t="str">
        <f>IFERROR(__xludf.DUMMYFUNCTION("IFERROR(
  FILTER('CBK Students'!Q:Q, TRIM('CBK Students'!B:B) = TRIM(A294)),
  """"
)"),"#REF!")</f>
        <v>#REF!</v>
      </c>
    </row>
    <row r="295" ht="18.75" customHeight="1">
      <c r="T295" s="240" t="str">
        <f>IFERROR(__xludf.DUMMYFUNCTION("IFERROR(
  FILTER('CBK Students'!F:F, TRIM('CBK Students'!B:B) = TRIM(A295)),
  """"
)"),"#REF!")</f>
        <v>#REF!</v>
      </c>
      <c r="U295" s="240" t="str">
        <f>IFERROR(__xludf.DUMMYFUNCTION("IFERROR(
  FILTER('CBK Students'!H:H, TRIM('CBK Students'!B:B) = TRIM(A295)),
  """"
)"),"#REF!")</f>
        <v>#REF!</v>
      </c>
      <c r="V295" s="240" t="str">
        <f>IFERROR(__xludf.DUMMYFUNCTION("IFERROR(
  FILTER('CBK Students'!M:M, TRIM('CBK Students'!B:B) = TRIM(A295)),
  """"
)"),"#REF!")</f>
        <v>#REF!</v>
      </c>
      <c r="W295" s="240" t="str">
        <f t="shared" si="1"/>
        <v/>
      </c>
      <c r="X295" s="240" t="str">
        <f>IFERROR(__xludf.DUMMYFUNCTION("IFERROR(
  FILTER('CBK Students'!R:R, TRIM('CBK Students'!B:B) = TRIM(A295)),
  """"
)"),"#REF!")</f>
        <v>#REF!</v>
      </c>
      <c r="Y295" s="4" t="str">
        <f t="shared" si="2"/>
        <v/>
      </c>
      <c r="Z295" s="4" t="str">
        <f>IFERROR(__xludf.DUMMYFUNCTION("IFERROR(
  FILTER('CBK Students'!O:O, TRIM('CBK Students'!B:B) = TRIM(A295)),
  """"
)"),"#REF!")</f>
        <v>#REF!</v>
      </c>
      <c r="AA295" s="4" t="str">
        <f>IFERROR(__xludf.DUMMYFUNCTION("IFERROR(
  FILTER('CBK Students'!P:P, TRIM('CBK Students'!B:B) = TRIM(A295)),
  """"
)"),"#REF!")</f>
        <v>#REF!</v>
      </c>
      <c r="AB295" s="4" t="str">
        <f>IFERROR(__xludf.DUMMYFUNCTION("IFERROR(
  FILTER('CBK Students'!Q:Q, TRIM('CBK Students'!B:B) = TRIM(A295)),
  """"
)"),"#REF!")</f>
        <v>#REF!</v>
      </c>
    </row>
    <row r="296" ht="18.75" customHeight="1">
      <c r="T296" s="240" t="str">
        <f>IFERROR(__xludf.DUMMYFUNCTION("IFERROR(
  FILTER('CBK Students'!F:F, TRIM('CBK Students'!B:B) = TRIM(A296)),
  """"
)"),"#REF!")</f>
        <v>#REF!</v>
      </c>
      <c r="U296" s="240" t="str">
        <f>IFERROR(__xludf.DUMMYFUNCTION("IFERROR(
  FILTER('CBK Students'!H:H, TRIM('CBK Students'!B:B) = TRIM(A296)),
  """"
)"),"#REF!")</f>
        <v>#REF!</v>
      </c>
      <c r="V296" s="240" t="str">
        <f>IFERROR(__xludf.DUMMYFUNCTION("IFERROR(
  FILTER('CBK Students'!M:M, TRIM('CBK Students'!B:B) = TRIM(A296)),
  """"
)"),"#REF!")</f>
        <v>#REF!</v>
      </c>
      <c r="W296" s="240" t="str">
        <f t="shared" si="1"/>
        <v/>
      </c>
      <c r="X296" s="240" t="str">
        <f>IFERROR(__xludf.DUMMYFUNCTION("IFERROR(
  FILTER('CBK Students'!R:R, TRIM('CBK Students'!B:B) = TRIM(A296)),
  """"
)"),"#REF!")</f>
        <v>#REF!</v>
      </c>
      <c r="Y296" s="4" t="str">
        <f t="shared" si="2"/>
        <v/>
      </c>
      <c r="Z296" s="4" t="str">
        <f>IFERROR(__xludf.DUMMYFUNCTION("IFERROR(
  FILTER('CBK Students'!O:O, TRIM('CBK Students'!B:B) = TRIM(A296)),
  """"
)"),"#REF!")</f>
        <v>#REF!</v>
      </c>
      <c r="AA296" s="4" t="str">
        <f>IFERROR(__xludf.DUMMYFUNCTION("IFERROR(
  FILTER('CBK Students'!P:P, TRIM('CBK Students'!B:B) = TRIM(A296)),
  """"
)"),"#REF!")</f>
        <v>#REF!</v>
      </c>
      <c r="AB296" s="4" t="str">
        <f>IFERROR(__xludf.DUMMYFUNCTION("IFERROR(
  FILTER('CBK Students'!Q:Q, TRIM('CBK Students'!B:B) = TRIM(A296)),
  """"
)"),"#REF!")</f>
        <v>#REF!</v>
      </c>
    </row>
    <row r="297" ht="18.75" customHeight="1">
      <c r="T297" s="240" t="str">
        <f>IFERROR(__xludf.DUMMYFUNCTION("IFERROR(
  FILTER('CBK Students'!F:F, TRIM('CBK Students'!B:B) = TRIM(A297)),
  """"
)"),"#REF!")</f>
        <v>#REF!</v>
      </c>
      <c r="U297" s="240" t="str">
        <f>IFERROR(__xludf.DUMMYFUNCTION("IFERROR(
  FILTER('CBK Students'!H:H, TRIM('CBK Students'!B:B) = TRIM(A297)),
  """"
)"),"#REF!")</f>
        <v>#REF!</v>
      </c>
      <c r="V297" s="240" t="str">
        <f>IFERROR(__xludf.DUMMYFUNCTION("IFERROR(
  FILTER('CBK Students'!M:M, TRIM('CBK Students'!B:B) = TRIM(A297)),
  """"
)"),"#REF!")</f>
        <v>#REF!</v>
      </c>
      <c r="W297" s="240" t="str">
        <f t="shared" si="1"/>
        <v/>
      </c>
      <c r="X297" s="240" t="str">
        <f>IFERROR(__xludf.DUMMYFUNCTION("IFERROR(
  FILTER('CBK Students'!R:R, TRIM('CBK Students'!B:B) = TRIM(A297)),
  """"
)"),"#REF!")</f>
        <v>#REF!</v>
      </c>
      <c r="Y297" s="4" t="str">
        <f t="shared" si="2"/>
        <v/>
      </c>
      <c r="Z297" s="4" t="str">
        <f>IFERROR(__xludf.DUMMYFUNCTION("IFERROR(
  FILTER('CBK Students'!O:O, TRIM('CBK Students'!B:B) = TRIM(A297)),
  """"
)"),"#REF!")</f>
        <v>#REF!</v>
      </c>
      <c r="AA297" s="4" t="str">
        <f>IFERROR(__xludf.DUMMYFUNCTION("IFERROR(
  FILTER('CBK Students'!P:P, TRIM('CBK Students'!B:B) = TRIM(A297)),
  """"
)"),"#REF!")</f>
        <v>#REF!</v>
      </c>
      <c r="AB297" s="4" t="str">
        <f>IFERROR(__xludf.DUMMYFUNCTION("IFERROR(
  FILTER('CBK Students'!Q:Q, TRIM('CBK Students'!B:B) = TRIM(A297)),
  """"
)"),"#REF!")</f>
        <v>#REF!</v>
      </c>
    </row>
    <row r="298" ht="18.75" customHeight="1">
      <c r="T298" s="240" t="str">
        <f>IFERROR(__xludf.DUMMYFUNCTION("IFERROR(
  FILTER('CBK Students'!F:F, TRIM('CBK Students'!B:B) = TRIM(A298)),
  """"
)"),"#REF!")</f>
        <v>#REF!</v>
      </c>
      <c r="U298" s="240" t="str">
        <f>IFERROR(__xludf.DUMMYFUNCTION("IFERROR(
  FILTER('CBK Students'!H:H, TRIM('CBK Students'!B:B) = TRIM(A298)),
  """"
)"),"#REF!")</f>
        <v>#REF!</v>
      </c>
      <c r="V298" s="240" t="str">
        <f>IFERROR(__xludf.DUMMYFUNCTION("IFERROR(
  FILTER('CBK Students'!M:M, TRIM('CBK Students'!B:B) = TRIM(A298)),
  """"
)"),"#REF!")</f>
        <v>#REF!</v>
      </c>
      <c r="W298" s="240" t="str">
        <f t="shared" si="1"/>
        <v/>
      </c>
      <c r="X298" s="240" t="str">
        <f>IFERROR(__xludf.DUMMYFUNCTION("IFERROR(
  FILTER('CBK Students'!R:R, TRIM('CBK Students'!B:B) = TRIM(A298)),
  """"
)"),"#REF!")</f>
        <v>#REF!</v>
      </c>
      <c r="Y298" s="4" t="str">
        <f t="shared" si="2"/>
        <v/>
      </c>
      <c r="Z298" s="4" t="str">
        <f>IFERROR(__xludf.DUMMYFUNCTION("IFERROR(
  FILTER('CBK Students'!O:O, TRIM('CBK Students'!B:B) = TRIM(A298)),
  """"
)"),"#REF!")</f>
        <v>#REF!</v>
      </c>
      <c r="AA298" s="4" t="str">
        <f>IFERROR(__xludf.DUMMYFUNCTION("IFERROR(
  FILTER('CBK Students'!P:P, TRIM('CBK Students'!B:B) = TRIM(A298)),
  """"
)"),"#REF!")</f>
        <v>#REF!</v>
      </c>
      <c r="AB298" s="4" t="str">
        <f>IFERROR(__xludf.DUMMYFUNCTION("IFERROR(
  FILTER('CBK Students'!Q:Q, TRIM('CBK Students'!B:B) = TRIM(A298)),
  """"
)"),"#REF!")</f>
        <v>#REF!</v>
      </c>
    </row>
    <row r="299" ht="18.75" customHeight="1">
      <c r="T299" s="240" t="str">
        <f>IFERROR(__xludf.DUMMYFUNCTION("IFERROR(
  FILTER('CBK Students'!F:F, TRIM('CBK Students'!B:B) = TRIM(A299)),
  """"
)"),"#REF!")</f>
        <v>#REF!</v>
      </c>
      <c r="U299" s="240" t="str">
        <f>IFERROR(__xludf.DUMMYFUNCTION("IFERROR(
  FILTER('CBK Students'!H:H, TRIM('CBK Students'!B:B) = TRIM(A299)),
  """"
)"),"#REF!")</f>
        <v>#REF!</v>
      </c>
      <c r="V299" s="240" t="str">
        <f>IFERROR(__xludf.DUMMYFUNCTION("IFERROR(
  FILTER('CBK Students'!M:M, TRIM('CBK Students'!B:B) = TRIM(A299)),
  """"
)"),"#REF!")</f>
        <v>#REF!</v>
      </c>
      <c r="W299" s="240" t="str">
        <f t="shared" si="1"/>
        <v/>
      </c>
      <c r="X299" s="240" t="str">
        <f>IFERROR(__xludf.DUMMYFUNCTION("IFERROR(
  FILTER('CBK Students'!R:R, TRIM('CBK Students'!B:B) = TRIM(A299)),
  """"
)"),"#REF!")</f>
        <v>#REF!</v>
      </c>
      <c r="Y299" s="4" t="str">
        <f t="shared" si="2"/>
        <v/>
      </c>
      <c r="Z299" s="4" t="str">
        <f>IFERROR(__xludf.DUMMYFUNCTION("IFERROR(
  FILTER('CBK Students'!O:O, TRIM('CBK Students'!B:B) = TRIM(A299)),
  """"
)"),"#REF!")</f>
        <v>#REF!</v>
      </c>
      <c r="AA299" s="4" t="str">
        <f>IFERROR(__xludf.DUMMYFUNCTION("IFERROR(
  FILTER('CBK Students'!P:P, TRIM('CBK Students'!B:B) = TRIM(A299)),
  """"
)"),"#REF!")</f>
        <v>#REF!</v>
      </c>
      <c r="AB299" s="4" t="str">
        <f>IFERROR(__xludf.DUMMYFUNCTION("IFERROR(
  FILTER('CBK Students'!Q:Q, TRIM('CBK Students'!B:B) = TRIM(A299)),
  """"
)"),"#REF!")</f>
        <v>#REF!</v>
      </c>
    </row>
    <row r="300" ht="18.75" customHeight="1">
      <c r="T300" s="240" t="str">
        <f>IFERROR(__xludf.DUMMYFUNCTION("IFERROR(
  FILTER('CBK Students'!F:F, TRIM('CBK Students'!B:B) = TRIM(A300)),
  """"
)"),"#REF!")</f>
        <v>#REF!</v>
      </c>
      <c r="U300" s="240" t="str">
        <f>IFERROR(__xludf.DUMMYFUNCTION("IFERROR(
  FILTER('CBK Students'!H:H, TRIM('CBK Students'!B:B) = TRIM(A300)),
  """"
)"),"#REF!")</f>
        <v>#REF!</v>
      </c>
      <c r="V300" s="240" t="str">
        <f>IFERROR(__xludf.DUMMYFUNCTION("IFERROR(
  FILTER('CBK Students'!M:M, TRIM('CBK Students'!B:B) = TRIM(A300)),
  """"
)"),"#REF!")</f>
        <v>#REF!</v>
      </c>
      <c r="W300" s="240" t="str">
        <f t="shared" si="1"/>
        <v/>
      </c>
      <c r="X300" s="240" t="str">
        <f>IFERROR(__xludf.DUMMYFUNCTION("IFERROR(
  FILTER('CBK Students'!R:R, TRIM('CBK Students'!B:B) = TRIM(A300)),
  """"
)"),"#REF!")</f>
        <v>#REF!</v>
      </c>
      <c r="Y300" s="4" t="str">
        <f t="shared" si="2"/>
        <v/>
      </c>
      <c r="Z300" s="4" t="str">
        <f>IFERROR(__xludf.DUMMYFUNCTION("IFERROR(
  FILTER('CBK Students'!O:O, TRIM('CBK Students'!B:B) = TRIM(A300)),
  """"
)"),"#REF!")</f>
        <v>#REF!</v>
      </c>
      <c r="AA300" s="4" t="str">
        <f>IFERROR(__xludf.DUMMYFUNCTION("IFERROR(
  FILTER('CBK Students'!P:P, TRIM('CBK Students'!B:B) = TRIM(A300)),
  """"
)"),"#REF!")</f>
        <v>#REF!</v>
      </c>
      <c r="AB300" s="4" t="str">
        <f>IFERROR(__xludf.DUMMYFUNCTION("IFERROR(
  FILTER('CBK Students'!Q:Q, TRIM('CBK Students'!B:B) = TRIM(A300)),
  """"
)"),"#REF!")</f>
        <v>#REF!</v>
      </c>
    </row>
    <row r="301" ht="18.75" customHeight="1">
      <c r="T301" s="240" t="str">
        <f>IFERROR(__xludf.DUMMYFUNCTION("IFERROR(
  FILTER('CBK Students'!F:F, TRIM('CBK Students'!B:B) = TRIM(A301)),
  """"
)"),"#REF!")</f>
        <v>#REF!</v>
      </c>
      <c r="U301" s="240" t="str">
        <f>IFERROR(__xludf.DUMMYFUNCTION("IFERROR(
  FILTER('CBK Students'!H:H, TRIM('CBK Students'!B:B) = TRIM(A301)),
  """"
)"),"#REF!")</f>
        <v>#REF!</v>
      </c>
      <c r="V301" s="240" t="str">
        <f>IFERROR(__xludf.DUMMYFUNCTION("IFERROR(
  FILTER('CBK Students'!M:M, TRIM('CBK Students'!B:B) = TRIM(A301)),
  """"
)"),"#REF!")</f>
        <v>#REF!</v>
      </c>
      <c r="W301" s="240" t="str">
        <f t="shared" si="1"/>
        <v/>
      </c>
      <c r="X301" s="240" t="str">
        <f>IFERROR(__xludf.DUMMYFUNCTION("IFERROR(
  FILTER('CBK Students'!R:R, TRIM('CBK Students'!B:B) = TRIM(A301)),
  """"
)"),"#REF!")</f>
        <v>#REF!</v>
      </c>
      <c r="Y301" s="4" t="str">
        <f t="shared" si="2"/>
        <v/>
      </c>
      <c r="Z301" s="4" t="str">
        <f>IFERROR(__xludf.DUMMYFUNCTION("IFERROR(
  FILTER('CBK Students'!O:O, TRIM('CBK Students'!B:B) = TRIM(A301)),
  """"
)"),"#REF!")</f>
        <v>#REF!</v>
      </c>
      <c r="AA301" s="4" t="str">
        <f>IFERROR(__xludf.DUMMYFUNCTION("IFERROR(
  FILTER('CBK Students'!P:P, TRIM('CBK Students'!B:B) = TRIM(A301)),
  """"
)"),"#REF!")</f>
        <v>#REF!</v>
      </c>
      <c r="AB301" s="4" t="str">
        <f>IFERROR(__xludf.DUMMYFUNCTION("IFERROR(
  FILTER('CBK Students'!Q:Q, TRIM('CBK Students'!B:B) = TRIM(A301)),
  """"
)"),"#REF!")</f>
        <v>#REF!</v>
      </c>
    </row>
    <row r="302" ht="18.75" customHeight="1">
      <c r="T302" s="240" t="str">
        <f>IFERROR(__xludf.DUMMYFUNCTION("IFERROR(
  FILTER('CBK Students'!F:F, TRIM('CBK Students'!B:B) = TRIM(A302)),
  """"
)"),"#REF!")</f>
        <v>#REF!</v>
      </c>
      <c r="U302" s="240" t="str">
        <f>IFERROR(__xludf.DUMMYFUNCTION("IFERROR(
  FILTER('CBK Students'!H:H, TRIM('CBK Students'!B:B) = TRIM(A302)),
  """"
)"),"#REF!")</f>
        <v>#REF!</v>
      </c>
      <c r="V302" s="240" t="str">
        <f>IFERROR(__xludf.DUMMYFUNCTION("IFERROR(
  FILTER('CBK Students'!M:M, TRIM('CBK Students'!B:B) = TRIM(A302)),
  """"
)"),"#REF!")</f>
        <v>#REF!</v>
      </c>
      <c r="W302" s="240" t="str">
        <f t="shared" si="1"/>
        <v/>
      </c>
      <c r="X302" s="240" t="str">
        <f>IFERROR(__xludf.DUMMYFUNCTION("IFERROR(
  FILTER('CBK Students'!R:R, TRIM('CBK Students'!B:B) = TRIM(A302)),
  """"
)"),"#REF!")</f>
        <v>#REF!</v>
      </c>
      <c r="Y302" s="4" t="str">
        <f t="shared" si="2"/>
        <v/>
      </c>
      <c r="Z302" s="4" t="str">
        <f>IFERROR(__xludf.DUMMYFUNCTION("IFERROR(
  FILTER('CBK Students'!O:O, TRIM('CBK Students'!B:B) = TRIM(A302)),
  """"
)"),"#REF!")</f>
        <v>#REF!</v>
      </c>
      <c r="AA302" s="4" t="str">
        <f>IFERROR(__xludf.DUMMYFUNCTION("IFERROR(
  FILTER('CBK Students'!P:P, TRIM('CBK Students'!B:B) = TRIM(A302)),
  """"
)"),"#REF!")</f>
        <v>#REF!</v>
      </c>
      <c r="AB302" s="4" t="str">
        <f>IFERROR(__xludf.DUMMYFUNCTION("IFERROR(
  FILTER('CBK Students'!Q:Q, TRIM('CBK Students'!B:B) = TRIM(A302)),
  """"
)"),"#REF!")</f>
        <v>#REF!</v>
      </c>
    </row>
    <row r="303" ht="18.75" customHeight="1">
      <c r="T303" s="240" t="str">
        <f>IFERROR(__xludf.DUMMYFUNCTION("IFERROR(
  FILTER('CBK Students'!F:F, TRIM('CBK Students'!B:B) = TRIM(A303)),
  """"
)"),"#REF!")</f>
        <v>#REF!</v>
      </c>
      <c r="U303" s="240" t="str">
        <f>IFERROR(__xludf.DUMMYFUNCTION("IFERROR(
  FILTER('CBK Students'!H:H, TRIM('CBK Students'!B:B) = TRIM(A303)),
  """"
)"),"#REF!")</f>
        <v>#REF!</v>
      </c>
      <c r="V303" s="240" t="str">
        <f>IFERROR(__xludf.DUMMYFUNCTION("IFERROR(
  FILTER('CBK Students'!M:M, TRIM('CBK Students'!B:B) = TRIM(A303)),
  """"
)"),"#REF!")</f>
        <v>#REF!</v>
      </c>
      <c r="W303" s="240" t="str">
        <f t="shared" si="1"/>
        <v/>
      </c>
      <c r="X303" s="240" t="str">
        <f>IFERROR(__xludf.DUMMYFUNCTION("IFERROR(
  FILTER('CBK Students'!R:R, TRIM('CBK Students'!B:B) = TRIM(A303)),
  """"
)"),"#REF!")</f>
        <v>#REF!</v>
      </c>
      <c r="Y303" s="4" t="str">
        <f t="shared" si="2"/>
        <v/>
      </c>
      <c r="Z303" s="4" t="str">
        <f>IFERROR(__xludf.DUMMYFUNCTION("IFERROR(
  FILTER('CBK Students'!O:O, TRIM('CBK Students'!B:B) = TRIM(A303)),
  """"
)"),"#REF!")</f>
        <v>#REF!</v>
      </c>
      <c r="AA303" s="4" t="str">
        <f>IFERROR(__xludf.DUMMYFUNCTION("IFERROR(
  FILTER('CBK Students'!P:P, TRIM('CBK Students'!B:B) = TRIM(A303)),
  """"
)"),"#REF!")</f>
        <v>#REF!</v>
      </c>
      <c r="AB303" s="4" t="str">
        <f>IFERROR(__xludf.DUMMYFUNCTION("IFERROR(
  FILTER('CBK Students'!Q:Q, TRIM('CBK Students'!B:B) = TRIM(A303)),
  """"
)"),"#REF!")</f>
        <v>#REF!</v>
      </c>
    </row>
    <row r="304" ht="18.75" customHeight="1">
      <c r="T304" s="240" t="str">
        <f>IFERROR(__xludf.DUMMYFUNCTION("IFERROR(
  FILTER('CBK Students'!F:F, TRIM('CBK Students'!B:B) = TRIM(A304)),
  """"
)"),"#REF!")</f>
        <v>#REF!</v>
      </c>
      <c r="U304" s="240" t="str">
        <f>IFERROR(__xludf.DUMMYFUNCTION("IFERROR(
  FILTER('CBK Students'!H:H, TRIM('CBK Students'!B:B) = TRIM(A304)),
  """"
)"),"#REF!")</f>
        <v>#REF!</v>
      </c>
      <c r="V304" s="240" t="str">
        <f>IFERROR(__xludf.DUMMYFUNCTION("IFERROR(
  FILTER('CBK Students'!M:M, TRIM('CBK Students'!B:B) = TRIM(A304)),
  """"
)"),"#REF!")</f>
        <v>#REF!</v>
      </c>
      <c r="W304" s="240" t="str">
        <f t="shared" si="1"/>
        <v/>
      </c>
      <c r="X304" s="240" t="str">
        <f>IFERROR(__xludf.DUMMYFUNCTION("IFERROR(
  FILTER('CBK Students'!R:R, TRIM('CBK Students'!B:B) = TRIM(A304)),
  """"
)"),"#REF!")</f>
        <v>#REF!</v>
      </c>
      <c r="Y304" s="4" t="str">
        <f t="shared" si="2"/>
        <v/>
      </c>
      <c r="Z304" s="4" t="str">
        <f>IFERROR(__xludf.DUMMYFUNCTION("IFERROR(
  FILTER('CBK Students'!O:O, TRIM('CBK Students'!B:B) = TRIM(A304)),
  """"
)"),"#REF!")</f>
        <v>#REF!</v>
      </c>
      <c r="AA304" s="4" t="str">
        <f>IFERROR(__xludf.DUMMYFUNCTION("IFERROR(
  FILTER('CBK Students'!P:P, TRIM('CBK Students'!B:B) = TRIM(A304)),
  """"
)"),"#REF!")</f>
        <v>#REF!</v>
      </c>
      <c r="AB304" s="4" t="str">
        <f>IFERROR(__xludf.DUMMYFUNCTION("IFERROR(
  FILTER('CBK Students'!Q:Q, TRIM('CBK Students'!B:B) = TRIM(A304)),
  """"
)"),"#REF!")</f>
        <v>#REF!</v>
      </c>
    </row>
    <row r="305" ht="18.75" customHeight="1">
      <c r="T305" s="240" t="str">
        <f>IFERROR(__xludf.DUMMYFUNCTION("IFERROR(
  FILTER('CBK Students'!F:F, TRIM('CBK Students'!B:B) = TRIM(A305)),
  """"
)"),"#REF!")</f>
        <v>#REF!</v>
      </c>
      <c r="U305" s="240" t="str">
        <f>IFERROR(__xludf.DUMMYFUNCTION("IFERROR(
  FILTER('CBK Students'!H:H, TRIM('CBK Students'!B:B) = TRIM(A305)),
  """"
)"),"#REF!")</f>
        <v>#REF!</v>
      </c>
      <c r="V305" s="240" t="str">
        <f>IFERROR(__xludf.DUMMYFUNCTION("IFERROR(
  FILTER('CBK Students'!M:M, TRIM('CBK Students'!B:B) = TRIM(A305)),
  """"
)"),"#REF!")</f>
        <v>#REF!</v>
      </c>
      <c r="W305" s="240" t="str">
        <f t="shared" si="1"/>
        <v/>
      </c>
      <c r="X305" s="240" t="str">
        <f>IFERROR(__xludf.DUMMYFUNCTION("IFERROR(
  FILTER('CBK Students'!R:R, TRIM('CBK Students'!B:B) = TRIM(A305)),
  """"
)"),"#REF!")</f>
        <v>#REF!</v>
      </c>
      <c r="Y305" s="4" t="str">
        <f t="shared" si="2"/>
        <v/>
      </c>
      <c r="Z305" s="4" t="str">
        <f>IFERROR(__xludf.DUMMYFUNCTION("IFERROR(
  FILTER('CBK Students'!O:O, TRIM('CBK Students'!B:B) = TRIM(A305)),
  """"
)"),"#REF!")</f>
        <v>#REF!</v>
      </c>
      <c r="AA305" s="4" t="str">
        <f>IFERROR(__xludf.DUMMYFUNCTION("IFERROR(
  FILTER('CBK Students'!P:P, TRIM('CBK Students'!B:B) = TRIM(A305)),
  """"
)"),"#REF!")</f>
        <v>#REF!</v>
      </c>
      <c r="AB305" s="4" t="str">
        <f>IFERROR(__xludf.DUMMYFUNCTION("IFERROR(
  FILTER('CBK Students'!Q:Q, TRIM('CBK Students'!B:B) = TRIM(A305)),
  """"
)"),"#REF!")</f>
        <v>#REF!</v>
      </c>
    </row>
    <row r="306" ht="18.75" customHeight="1">
      <c r="T306" s="240" t="str">
        <f>IFERROR(__xludf.DUMMYFUNCTION("IFERROR(
  FILTER('CBK Students'!F:F, TRIM('CBK Students'!B:B) = TRIM(A306)),
  """"
)"),"#REF!")</f>
        <v>#REF!</v>
      </c>
      <c r="U306" s="240" t="str">
        <f>IFERROR(__xludf.DUMMYFUNCTION("IFERROR(
  FILTER('CBK Students'!H:H, TRIM('CBK Students'!B:B) = TRIM(A306)),
  """"
)"),"#REF!")</f>
        <v>#REF!</v>
      </c>
      <c r="V306" s="240" t="str">
        <f>IFERROR(__xludf.DUMMYFUNCTION("IFERROR(
  FILTER('CBK Students'!M:M, TRIM('CBK Students'!B:B) = TRIM(A306)),
  """"
)"),"#REF!")</f>
        <v>#REF!</v>
      </c>
      <c r="W306" s="240" t="str">
        <f t="shared" si="1"/>
        <v/>
      </c>
      <c r="X306" s="240" t="str">
        <f>IFERROR(__xludf.DUMMYFUNCTION("IFERROR(
  FILTER('CBK Students'!R:R, TRIM('CBK Students'!B:B) = TRIM(A306)),
  """"
)"),"#REF!")</f>
        <v>#REF!</v>
      </c>
      <c r="Y306" s="4" t="str">
        <f t="shared" si="2"/>
        <v/>
      </c>
      <c r="Z306" s="4" t="str">
        <f>IFERROR(__xludf.DUMMYFUNCTION("IFERROR(
  FILTER('CBK Students'!O:O, TRIM('CBK Students'!B:B) = TRIM(A306)),
  """"
)"),"#REF!")</f>
        <v>#REF!</v>
      </c>
      <c r="AA306" s="4" t="str">
        <f>IFERROR(__xludf.DUMMYFUNCTION("IFERROR(
  FILTER('CBK Students'!P:P, TRIM('CBK Students'!B:B) = TRIM(A306)),
  """"
)"),"#REF!")</f>
        <v>#REF!</v>
      </c>
      <c r="AB306" s="4" t="str">
        <f>IFERROR(__xludf.DUMMYFUNCTION("IFERROR(
  FILTER('CBK Students'!Q:Q, TRIM('CBK Students'!B:B) = TRIM(A306)),
  """"
)"),"#REF!")</f>
        <v>#REF!</v>
      </c>
    </row>
    <row r="307" ht="18.75" customHeight="1">
      <c r="T307" s="240" t="str">
        <f>IFERROR(__xludf.DUMMYFUNCTION("IFERROR(
  FILTER('CBK Students'!F:F, TRIM('CBK Students'!B:B) = TRIM(A307)),
  """"
)"),"#REF!")</f>
        <v>#REF!</v>
      </c>
      <c r="U307" s="240" t="str">
        <f>IFERROR(__xludf.DUMMYFUNCTION("IFERROR(
  FILTER('CBK Students'!H:H, TRIM('CBK Students'!B:B) = TRIM(A307)),
  """"
)"),"#REF!")</f>
        <v>#REF!</v>
      </c>
      <c r="V307" s="240" t="str">
        <f>IFERROR(__xludf.DUMMYFUNCTION("IFERROR(
  FILTER('CBK Students'!M:M, TRIM('CBK Students'!B:B) = TRIM(A307)),
  """"
)"),"#REF!")</f>
        <v>#REF!</v>
      </c>
      <c r="W307" s="240" t="str">
        <f t="shared" si="1"/>
        <v/>
      </c>
      <c r="X307" s="240" t="str">
        <f>IFERROR(__xludf.DUMMYFUNCTION("IFERROR(
  FILTER('CBK Students'!R:R, TRIM('CBK Students'!B:B) = TRIM(A307)),
  """"
)"),"#REF!")</f>
        <v>#REF!</v>
      </c>
      <c r="Y307" s="4" t="str">
        <f t="shared" si="2"/>
        <v/>
      </c>
      <c r="Z307" s="4" t="str">
        <f>IFERROR(__xludf.DUMMYFUNCTION("IFERROR(
  FILTER('CBK Students'!O:O, TRIM('CBK Students'!B:B) = TRIM(A307)),
  """"
)"),"#REF!")</f>
        <v>#REF!</v>
      </c>
      <c r="AA307" s="4" t="str">
        <f>IFERROR(__xludf.DUMMYFUNCTION("IFERROR(
  FILTER('CBK Students'!P:P, TRIM('CBK Students'!B:B) = TRIM(A307)),
  """"
)"),"#REF!")</f>
        <v>#REF!</v>
      </c>
      <c r="AB307" s="4" t="str">
        <f>IFERROR(__xludf.DUMMYFUNCTION("IFERROR(
  FILTER('CBK Students'!Q:Q, TRIM('CBK Students'!B:B) = TRIM(A307)),
  """"
)"),"#REF!")</f>
        <v>#REF!</v>
      </c>
    </row>
    <row r="308" ht="18.75" customHeight="1">
      <c r="T308" s="240" t="str">
        <f>IFERROR(__xludf.DUMMYFUNCTION("IFERROR(
  FILTER('CBK Students'!F:F, TRIM('CBK Students'!B:B) = TRIM(A308)),
  """"
)"),"#REF!")</f>
        <v>#REF!</v>
      </c>
      <c r="U308" s="240" t="str">
        <f>IFERROR(__xludf.DUMMYFUNCTION("IFERROR(
  FILTER('CBK Students'!H:H, TRIM('CBK Students'!B:B) = TRIM(A308)),
  """"
)"),"#REF!")</f>
        <v>#REF!</v>
      </c>
      <c r="V308" s="240" t="str">
        <f>IFERROR(__xludf.DUMMYFUNCTION("IFERROR(
  FILTER('CBK Students'!M:M, TRIM('CBK Students'!B:B) = TRIM(A308)),
  """"
)"),"#REF!")</f>
        <v>#REF!</v>
      </c>
      <c r="W308" s="240" t="str">
        <f t="shared" si="1"/>
        <v/>
      </c>
      <c r="X308" s="240" t="str">
        <f>IFERROR(__xludf.DUMMYFUNCTION("IFERROR(
  FILTER('CBK Students'!R:R, TRIM('CBK Students'!B:B) = TRIM(A308)),
  """"
)"),"#REF!")</f>
        <v>#REF!</v>
      </c>
      <c r="Y308" s="4" t="str">
        <f t="shared" si="2"/>
        <v/>
      </c>
      <c r="Z308" s="4" t="str">
        <f>IFERROR(__xludf.DUMMYFUNCTION("IFERROR(
  FILTER('CBK Students'!O:O, TRIM('CBK Students'!B:B) = TRIM(A308)),
  """"
)"),"#REF!")</f>
        <v>#REF!</v>
      </c>
      <c r="AA308" s="4" t="str">
        <f>IFERROR(__xludf.DUMMYFUNCTION("IFERROR(
  FILTER('CBK Students'!P:P, TRIM('CBK Students'!B:B) = TRIM(A308)),
  """"
)"),"#REF!")</f>
        <v>#REF!</v>
      </c>
      <c r="AB308" s="4" t="str">
        <f>IFERROR(__xludf.DUMMYFUNCTION("IFERROR(
  FILTER('CBK Students'!Q:Q, TRIM('CBK Students'!B:B) = TRIM(A308)),
  """"
)"),"#REF!")</f>
        <v>#REF!</v>
      </c>
    </row>
    <row r="309" ht="18.75" customHeight="1">
      <c r="T309" s="240" t="str">
        <f>IFERROR(__xludf.DUMMYFUNCTION("IFERROR(
  FILTER('CBK Students'!F:F, TRIM('CBK Students'!B:B) = TRIM(A309)),
  """"
)"),"#REF!")</f>
        <v>#REF!</v>
      </c>
      <c r="U309" s="240" t="str">
        <f>IFERROR(__xludf.DUMMYFUNCTION("IFERROR(
  FILTER('CBK Students'!H:H, TRIM('CBK Students'!B:B) = TRIM(A309)),
  """"
)"),"#REF!")</f>
        <v>#REF!</v>
      </c>
      <c r="V309" s="240" t="str">
        <f>IFERROR(__xludf.DUMMYFUNCTION("IFERROR(
  FILTER('CBK Students'!M:M, TRIM('CBK Students'!B:B) = TRIM(A309)),
  """"
)"),"#REF!")</f>
        <v>#REF!</v>
      </c>
      <c r="W309" s="240" t="str">
        <f t="shared" si="1"/>
        <v/>
      </c>
      <c r="X309" s="240" t="str">
        <f>IFERROR(__xludf.DUMMYFUNCTION("IFERROR(
  FILTER('CBK Students'!R:R, TRIM('CBK Students'!B:B) = TRIM(A309)),
  """"
)"),"#REF!")</f>
        <v>#REF!</v>
      </c>
      <c r="Y309" s="4" t="str">
        <f t="shared" si="2"/>
        <v/>
      </c>
      <c r="Z309" s="4" t="str">
        <f>IFERROR(__xludf.DUMMYFUNCTION("IFERROR(
  FILTER('CBK Students'!O:O, TRIM('CBK Students'!B:B) = TRIM(A309)),
  """"
)"),"#REF!")</f>
        <v>#REF!</v>
      </c>
      <c r="AA309" s="4" t="str">
        <f>IFERROR(__xludf.DUMMYFUNCTION("IFERROR(
  FILTER('CBK Students'!P:P, TRIM('CBK Students'!B:B) = TRIM(A309)),
  """"
)"),"#REF!")</f>
        <v>#REF!</v>
      </c>
      <c r="AB309" s="4" t="str">
        <f>IFERROR(__xludf.DUMMYFUNCTION("IFERROR(
  FILTER('CBK Students'!Q:Q, TRIM('CBK Students'!B:B) = TRIM(A309)),
  """"
)"),"#REF!")</f>
        <v>#REF!</v>
      </c>
    </row>
    <row r="310" ht="18.75" customHeight="1">
      <c r="T310" s="240" t="str">
        <f>IFERROR(__xludf.DUMMYFUNCTION("IFERROR(
  FILTER('CBK Students'!F:F, TRIM('CBK Students'!B:B) = TRIM(A310)),
  """"
)"),"#REF!")</f>
        <v>#REF!</v>
      </c>
      <c r="U310" s="240" t="str">
        <f>IFERROR(__xludf.DUMMYFUNCTION("IFERROR(
  FILTER('CBK Students'!H:H, TRIM('CBK Students'!B:B) = TRIM(A310)),
  """"
)"),"#REF!")</f>
        <v>#REF!</v>
      </c>
      <c r="V310" s="240" t="str">
        <f>IFERROR(__xludf.DUMMYFUNCTION("IFERROR(
  FILTER('CBK Students'!M:M, TRIM('CBK Students'!B:B) = TRIM(A310)),
  """"
)"),"#REF!")</f>
        <v>#REF!</v>
      </c>
      <c r="W310" s="240" t="str">
        <f t="shared" si="1"/>
        <v/>
      </c>
      <c r="X310" s="240" t="str">
        <f>IFERROR(__xludf.DUMMYFUNCTION("IFERROR(
  FILTER('CBK Students'!R:R, TRIM('CBK Students'!B:B) = TRIM(A310)),
  """"
)"),"#REF!")</f>
        <v>#REF!</v>
      </c>
      <c r="Y310" s="4" t="str">
        <f t="shared" si="2"/>
        <v/>
      </c>
      <c r="Z310" s="4" t="str">
        <f>IFERROR(__xludf.DUMMYFUNCTION("IFERROR(
  FILTER('CBK Students'!O:O, TRIM('CBK Students'!B:B) = TRIM(A310)),
  """"
)"),"#REF!")</f>
        <v>#REF!</v>
      </c>
      <c r="AA310" s="4" t="str">
        <f>IFERROR(__xludf.DUMMYFUNCTION("IFERROR(
  FILTER('CBK Students'!P:P, TRIM('CBK Students'!B:B) = TRIM(A310)),
  """"
)"),"#REF!")</f>
        <v>#REF!</v>
      </c>
      <c r="AB310" s="4" t="str">
        <f>IFERROR(__xludf.DUMMYFUNCTION("IFERROR(
  FILTER('CBK Students'!Q:Q, TRIM('CBK Students'!B:B) = TRIM(A310)),
  """"
)"),"#REF!")</f>
        <v>#REF!</v>
      </c>
    </row>
    <row r="311" ht="18.75" customHeight="1">
      <c r="T311" s="240" t="str">
        <f>IFERROR(__xludf.DUMMYFUNCTION("IFERROR(
  FILTER('CBK Students'!F:F, TRIM('CBK Students'!B:B) = TRIM(A311)),
  """"
)"),"#REF!")</f>
        <v>#REF!</v>
      </c>
      <c r="U311" s="240" t="str">
        <f>IFERROR(__xludf.DUMMYFUNCTION("IFERROR(
  FILTER('CBK Students'!H:H, TRIM('CBK Students'!B:B) = TRIM(A311)),
  """"
)"),"#REF!")</f>
        <v>#REF!</v>
      </c>
      <c r="V311" s="240" t="str">
        <f>IFERROR(__xludf.DUMMYFUNCTION("IFERROR(
  FILTER('CBK Students'!M:M, TRIM('CBK Students'!B:B) = TRIM(A311)),
  """"
)"),"#REF!")</f>
        <v>#REF!</v>
      </c>
      <c r="W311" s="240" t="str">
        <f t="shared" si="1"/>
        <v/>
      </c>
      <c r="X311" s="240" t="str">
        <f>IFERROR(__xludf.DUMMYFUNCTION("IFERROR(
  FILTER('CBK Students'!R:R, TRIM('CBK Students'!B:B) = TRIM(A311)),
  """"
)"),"#REF!")</f>
        <v>#REF!</v>
      </c>
      <c r="Y311" s="4" t="str">
        <f t="shared" si="2"/>
        <v/>
      </c>
      <c r="Z311" s="4" t="str">
        <f>IFERROR(__xludf.DUMMYFUNCTION("IFERROR(
  FILTER('CBK Students'!O:O, TRIM('CBK Students'!B:B) = TRIM(A311)),
  """"
)"),"#REF!")</f>
        <v>#REF!</v>
      </c>
      <c r="AA311" s="4" t="str">
        <f>IFERROR(__xludf.DUMMYFUNCTION("IFERROR(
  FILTER('CBK Students'!P:P, TRIM('CBK Students'!B:B) = TRIM(A311)),
  """"
)"),"#REF!")</f>
        <v>#REF!</v>
      </c>
      <c r="AB311" s="4" t="str">
        <f>IFERROR(__xludf.DUMMYFUNCTION("IFERROR(
  FILTER('CBK Students'!Q:Q, TRIM('CBK Students'!B:B) = TRIM(A311)),
  """"
)"),"#REF!")</f>
        <v>#REF!</v>
      </c>
    </row>
    <row r="312" ht="18.75" customHeight="1">
      <c r="T312" s="240" t="str">
        <f>IFERROR(__xludf.DUMMYFUNCTION("IFERROR(
  FILTER('CBK Students'!F:F, TRIM('CBK Students'!B:B) = TRIM(A312)),
  """"
)"),"#REF!")</f>
        <v>#REF!</v>
      </c>
      <c r="U312" s="240" t="str">
        <f>IFERROR(__xludf.DUMMYFUNCTION("IFERROR(
  FILTER('CBK Students'!H:H, TRIM('CBK Students'!B:B) = TRIM(A312)),
  """"
)"),"#REF!")</f>
        <v>#REF!</v>
      </c>
      <c r="V312" s="240" t="str">
        <f>IFERROR(__xludf.DUMMYFUNCTION("IFERROR(
  FILTER('CBK Students'!M:M, TRIM('CBK Students'!B:B) = TRIM(A312)),
  """"
)"),"#REF!")</f>
        <v>#REF!</v>
      </c>
      <c r="W312" s="240" t="str">
        <f t="shared" si="1"/>
        <v/>
      </c>
      <c r="X312" s="240" t="str">
        <f>IFERROR(__xludf.DUMMYFUNCTION("IFERROR(
  FILTER('CBK Students'!R:R, TRIM('CBK Students'!B:B) = TRIM(A312)),
  """"
)"),"#REF!")</f>
        <v>#REF!</v>
      </c>
      <c r="Y312" s="4" t="str">
        <f t="shared" si="2"/>
        <v/>
      </c>
      <c r="Z312" s="4" t="str">
        <f>IFERROR(__xludf.DUMMYFUNCTION("IFERROR(
  FILTER('CBK Students'!O:O, TRIM('CBK Students'!B:B) = TRIM(A312)),
  """"
)"),"#REF!")</f>
        <v>#REF!</v>
      </c>
      <c r="AA312" s="4" t="str">
        <f>IFERROR(__xludf.DUMMYFUNCTION("IFERROR(
  FILTER('CBK Students'!P:P, TRIM('CBK Students'!B:B) = TRIM(A312)),
  """"
)"),"#REF!")</f>
        <v>#REF!</v>
      </c>
      <c r="AB312" s="4" t="str">
        <f>IFERROR(__xludf.DUMMYFUNCTION("IFERROR(
  FILTER('CBK Students'!Q:Q, TRIM('CBK Students'!B:B) = TRIM(A312)),
  """"
)"),"#REF!")</f>
        <v>#REF!</v>
      </c>
    </row>
    <row r="313" ht="18.75" customHeight="1">
      <c r="T313" s="240" t="str">
        <f>IFERROR(__xludf.DUMMYFUNCTION("IFERROR(
  FILTER('CBK Students'!F:F, TRIM('CBK Students'!B:B) = TRIM(A313)),
  """"
)"),"#REF!")</f>
        <v>#REF!</v>
      </c>
      <c r="U313" s="240" t="str">
        <f>IFERROR(__xludf.DUMMYFUNCTION("IFERROR(
  FILTER('CBK Students'!H:H, TRIM('CBK Students'!B:B) = TRIM(A313)),
  """"
)"),"#REF!")</f>
        <v>#REF!</v>
      </c>
      <c r="V313" s="240" t="str">
        <f>IFERROR(__xludf.DUMMYFUNCTION("IFERROR(
  FILTER('CBK Students'!M:M, TRIM('CBK Students'!B:B) = TRIM(A313)),
  """"
)"),"#REF!")</f>
        <v>#REF!</v>
      </c>
      <c r="W313" s="240" t="str">
        <f t="shared" si="1"/>
        <v/>
      </c>
      <c r="X313" s="240" t="str">
        <f>IFERROR(__xludf.DUMMYFUNCTION("IFERROR(
  FILTER('CBK Students'!R:R, TRIM('CBK Students'!B:B) = TRIM(A313)),
  """"
)"),"#REF!")</f>
        <v>#REF!</v>
      </c>
      <c r="Y313" s="4" t="str">
        <f t="shared" si="2"/>
        <v/>
      </c>
      <c r="Z313" s="4" t="str">
        <f>IFERROR(__xludf.DUMMYFUNCTION("IFERROR(
  FILTER('CBK Students'!O:O, TRIM('CBK Students'!B:B) = TRIM(A313)),
  """"
)"),"#REF!")</f>
        <v>#REF!</v>
      </c>
      <c r="AA313" s="4" t="str">
        <f>IFERROR(__xludf.DUMMYFUNCTION("IFERROR(
  FILTER('CBK Students'!P:P, TRIM('CBK Students'!B:B) = TRIM(A313)),
  """"
)"),"#REF!")</f>
        <v>#REF!</v>
      </c>
      <c r="AB313" s="4" t="str">
        <f>IFERROR(__xludf.DUMMYFUNCTION("IFERROR(
  FILTER('CBK Students'!Q:Q, TRIM('CBK Students'!B:B) = TRIM(A313)),
  """"
)"),"#REF!")</f>
        <v>#REF!</v>
      </c>
    </row>
    <row r="314" ht="18.75" customHeight="1">
      <c r="T314" s="240" t="str">
        <f>IFERROR(__xludf.DUMMYFUNCTION("IFERROR(
  FILTER('CBK Students'!F:F, TRIM('CBK Students'!B:B) = TRIM(A314)),
  """"
)"),"#REF!")</f>
        <v>#REF!</v>
      </c>
      <c r="U314" s="240" t="str">
        <f>IFERROR(__xludf.DUMMYFUNCTION("IFERROR(
  FILTER('CBK Students'!H:H, TRIM('CBK Students'!B:B) = TRIM(A314)),
  """"
)"),"#REF!")</f>
        <v>#REF!</v>
      </c>
      <c r="V314" s="240" t="str">
        <f>IFERROR(__xludf.DUMMYFUNCTION("IFERROR(
  FILTER('CBK Students'!M:M, TRIM('CBK Students'!B:B) = TRIM(A314)),
  """"
)"),"#REF!")</f>
        <v>#REF!</v>
      </c>
      <c r="W314" s="240" t="str">
        <f t="shared" si="1"/>
        <v/>
      </c>
      <c r="X314" s="240" t="str">
        <f>IFERROR(__xludf.DUMMYFUNCTION("IFERROR(
  FILTER('CBK Students'!R:R, TRIM('CBK Students'!B:B) = TRIM(A314)),
  """"
)"),"#REF!")</f>
        <v>#REF!</v>
      </c>
      <c r="Y314" s="4" t="str">
        <f t="shared" si="2"/>
        <v/>
      </c>
      <c r="Z314" s="4" t="str">
        <f>IFERROR(__xludf.DUMMYFUNCTION("IFERROR(
  FILTER('CBK Students'!O:O, TRIM('CBK Students'!B:B) = TRIM(A314)),
  """"
)"),"#REF!")</f>
        <v>#REF!</v>
      </c>
      <c r="AA314" s="4" t="str">
        <f>IFERROR(__xludf.DUMMYFUNCTION("IFERROR(
  FILTER('CBK Students'!P:P, TRIM('CBK Students'!B:B) = TRIM(A314)),
  """"
)"),"#REF!")</f>
        <v>#REF!</v>
      </c>
      <c r="AB314" s="4" t="str">
        <f>IFERROR(__xludf.DUMMYFUNCTION("IFERROR(
  FILTER('CBK Students'!Q:Q, TRIM('CBK Students'!B:B) = TRIM(A314)),
  """"
)"),"#REF!")</f>
        <v>#REF!</v>
      </c>
    </row>
    <row r="315" ht="18.75" customHeight="1">
      <c r="T315" s="240" t="str">
        <f>IFERROR(__xludf.DUMMYFUNCTION("IFERROR(
  FILTER('CBK Students'!F:F, TRIM('CBK Students'!B:B) = TRIM(A315)),
  """"
)"),"#REF!")</f>
        <v>#REF!</v>
      </c>
      <c r="U315" s="240" t="str">
        <f>IFERROR(__xludf.DUMMYFUNCTION("IFERROR(
  FILTER('CBK Students'!H:H, TRIM('CBK Students'!B:B) = TRIM(A315)),
  """"
)"),"#REF!")</f>
        <v>#REF!</v>
      </c>
      <c r="V315" s="240" t="str">
        <f>IFERROR(__xludf.DUMMYFUNCTION("IFERROR(
  FILTER('CBK Students'!M:M, TRIM('CBK Students'!B:B) = TRIM(A315)),
  """"
)"),"#REF!")</f>
        <v>#REF!</v>
      </c>
      <c r="W315" s="240" t="str">
        <f t="shared" si="1"/>
        <v/>
      </c>
      <c r="X315" s="240" t="str">
        <f>IFERROR(__xludf.DUMMYFUNCTION("IFERROR(
  FILTER('CBK Students'!R:R, TRIM('CBK Students'!B:B) = TRIM(A315)),
  """"
)"),"#REF!")</f>
        <v>#REF!</v>
      </c>
      <c r="Y315" s="4" t="str">
        <f t="shared" si="2"/>
        <v/>
      </c>
      <c r="Z315" s="4" t="str">
        <f>IFERROR(__xludf.DUMMYFUNCTION("IFERROR(
  FILTER('CBK Students'!O:O, TRIM('CBK Students'!B:B) = TRIM(A315)),
  """"
)"),"#REF!")</f>
        <v>#REF!</v>
      </c>
      <c r="AA315" s="4" t="str">
        <f>IFERROR(__xludf.DUMMYFUNCTION("IFERROR(
  FILTER('CBK Students'!P:P, TRIM('CBK Students'!B:B) = TRIM(A315)),
  """"
)"),"#REF!")</f>
        <v>#REF!</v>
      </c>
      <c r="AB315" s="4" t="str">
        <f>IFERROR(__xludf.DUMMYFUNCTION("IFERROR(
  FILTER('CBK Students'!Q:Q, TRIM('CBK Students'!B:B) = TRIM(A315)),
  """"
)"),"#REF!")</f>
        <v>#REF!</v>
      </c>
    </row>
    <row r="316" ht="18.75" customHeight="1">
      <c r="T316" s="240" t="str">
        <f>IFERROR(__xludf.DUMMYFUNCTION("IFERROR(
  FILTER('CBK Students'!F:F, TRIM('CBK Students'!B:B) = TRIM(A316)),
  """"
)"),"#REF!")</f>
        <v>#REF!</v>
      </c>
      <c r="U316" s="240" t="str">
        <f>IFERROR(__xludf.DUMMYFUNCTION("IFERROR(
  FILTER('CBK Students'!H:H, TRIM('CBK Students'!B:B) = TRIM(A316)),
  """"
)"),"#REF!")</f>
        <v>#REF!</v>
      </c>
      <c r="V316" s="240" t="str">
        <f>IFERROR(__xludf.DUMMYFUNCTION("IFERROR(
  FILTER('CBK Students'!M:M, TRIM('CBK Students'!B:B) = TRIM(A316)),
  """"
)"),"#REF!")</f>
        <v>#REF!</v>
      </c>
      <c r="W316" s="240" t="str">
        <f t="shared" si="1"/>
        <v/>
      </c>
      <c r="X316" s="240" t="str">
        <f>IFERROR(__xludf.DUMMYFUNCTION("IFERROR(
  FILTER('CBK Students'!R:R, TRIM('CBK Students'!B:B) = TRIM(A316)),
  """"
)"),"#REF!")</f>
        <v>#REF!</v>
      </c>
      <c r="Y316" s="4" t="str">
        <f t="shared" si="2"/>
        <v/>
      </c>
      <c r="Z316" s="4" t="str">
        <f>IFERROR(__xludf.DUMMYFUNCTION("IFERROR(
  FILTER('CBK Students'!O:O, TRIM('CBK Students'!B:B) = TRIM(A316)),
  """"
)"),"#REF!")</f>
        <v>#REF!</v>
      </c>
      <c r="AA316" s="4" t="str">
        <f>IFERROR(__xludf.DUMMYFUNCTION("IFERROR(
  FILTER('CBK Students'!P:P, TRIM('CBK Students'!B:B) = TRIM(A316)),
  """"
)"),"#REF!")</f>
        <v>#REF!</v>
      </c>
      <c r="AB316" s="4" t="str">
        <f>IFERROR(__xludf.DUMMYFUNCTION("IFERROR(
  FILTER('CBK Students'!Q:Q, TRIM('CBK Students'!B:B) = TRIM(A316)),
  """"
)"),"#REF!")</f>
        <v>#REF!</v>
      </c>
    </row>
    <row r="317" ht="18.75" customHeight="1">
      <c r="T317" s="240" t="str">
        <f>IFERROR(__xludf.DUMMYFUNCTION("IFERROR(
  FILTER('CBK Students'!F:F, TRIM('CBK Students'!B:B) = TRIM(A317)),
  """"
)"),"#REF!")</f>
        <v>#REF!</v>
      </c>
      <c r="U317" s="240" t="str">
        <f>IFERROR(__xludf.DUMMYFUNCTION("IFERROR(
  FILTER('CBK Students'!H:H, TRIM('CBK Students'!B:B) = TRIM(A317)),
  """"
)"),"#REF!")</f>
        <v>#REF!</v>
      </c>
      <c r="V317" s="240" t="str">
        <f>IFERROR(__xludf.DUMMYFUNCTION("IFERROR(
  FILTER('CBK Students'!M:M, TRIM('CBK Students'!B:B) = TRIM(A317)),
  """"
)"),"#REF!")</f>
        <v>#REF!</v>
      </c>
      <c r="W317" s="240" t="str">
        <f t="shared" si="1"/>
        <v/>
      </c>
      <c r="X317" s="240" t="str">
        <f>IFERROR(__xludf.DUMMYFUNCTION("IFERROR(
  FILTER('CBK Students'!R:R, TRIM('CBK Students'!B:B) = TRIM(A317)),
  """"
)"),"#REF!")</f>
        <v>#REF!</v>
      </c>
      <c r="Y317" s="4" t="str">
        <f t="shared" si="2"/>
        <v/>
      </c>
      <c r="Z317" s="4" t="str">
        <f>IFERROR(__xludf.DUMMYFUNCTION("IFERROR(
  FILTER('CBK Students'!O:O, TRIM('CBK Students'!B:B) = TRIM(A317)),
  """"
)"),"#REF!")</f>
        <v>#REF!</v>
      </c>
      <c r="AA317" s="4" t="str">
        <f>IFERROR(__xludf.DUMMYFUNCTION("IFERROR(
  FILTER('CBK Students'!P:P, TRIM('CBK Students'!B:B) = TRIM(A317)),
  """"
)"),"#REF!")</f>
        <v>#REF!</v>
      </c>
      <c r="AB317" s="4" t="str">
        <f>IFERROR(__xludf.DUMMYFUNCTION("IFERROR(
  FILTER('CBK Students'!Q:Q, TRIM('CBK Students'!B:B) = TRIM(A317)),
  """"
)"),"#REF!")</f>
        <v>#REF!</v>
      </c>
    </row>
    <row r="318" ht="18.75" customHeight="1">
      <c r="T318" s="240" t="str">
        <f>IFERROR(__xludf.DUMMYFUNCTION("IFERROR(
  FILTER('CBK Students'!F:F, TRIM('CBK Students'!B:B) = TRIM(A318)),
  """"
)"),"#REF!")</f>
        <v>#REF!</v>
      </c>
      <c r="U318" s="240" t="str">
        <f>IFERROR(__xludf.DUMMYFUNCTION("IFERROR(
  FILTER('CBK Students'!H:H, TRIM('CBK Students'!B:B) = TRIM(A318)),
  """"
)"),"#REF!")</f>
        <v>#REF!</v>
      </c>
      <c r="V318" s="240" t="str">
        <f>IFERROR(__xludf.DUMMYFUNCTION("IFERROR(
  FILTER('CBK Students'!M:M, TRIM('CBK Students'!B:B) = TRIM(A318)),
  """"
)"),"#REF!")</f>
        <v>#REF!</v>
      </c>
      <c r="W318" s="240" t="str">
        <f t="shared" si="1"/>
        <v/>
      </c>
      <c r="X318" s="240" t="str">
        <f>IFERROR(__xludf.DUMMYFUNCTION("IFERROR(
  FILTER('CBK Students'!R:R, TRIM('CBK Students'!B:B) = TRIM(A318)),
  """"
)"),"#REF!")</f>
        <v>#REF!</v>
      </c>
      <c r="Y318" s="4" t="str">
        <f t="shared" si="2"/>
        <v/>
      </c>
      <c r="Z318" s="4" t="str">
        <f>IFERROR(__xludf.DUMMYFUNCTION("IFERROR(
  FILTER('CBK Students'!O:O, TRIM('CBK Students'!B:B) = TRIM(A318)),
  """"
)"),"#REF!")</f>
        <v>#REF!</v>
      </c>
      <c r="AA318" s="4" t="str">
        <f>IFERROR(__xludf.DUMMYFUNCTION("IFERROR(
  FILTER('CBK Students'!P:P, TRIM('CBK Students'!B:B) = TRIM(A318)),
  """"
)"),"#REF!")</f>
        <v>#REF!</v>
      </c>
      <c r="AB318" s="4" t="str">
        <f>IFERROR(__xludf.DUMMYFUNCTION("IFERROR(
  FILTER('CBK Students'!Q:Q, TRIM('CBK Students'!B:B) = TRIM(A318)),
  """"
)"),"#REF!")</f>
        <v>#REF!</v>
      </c>
    </row>
    <row r="319" ht="18.75" customHeight="1">
      <c r="T319" s="240" t="str">
        <f>IFERROR(__xludf.DUMMYFUNCTION("IFERROR(
  FILTER('CBK Students'!F:F, TRIM('CBK Students'!B:B) = TRIM(A319)),
  """"
)"),"#REF!")</f>
        <v>#REF!</v>
      </c>
      <c r="U319" s="240" t="str">
        <f>IFERROR(__xludf.DUMMYFUNCTION("IFERROR(
  FILTER('CBK Students'!H:H, TRIM('CBK Students'!B:B) = TRIM(A319)),
  """"
)"),"#REF!")</f>
        <v>#REF!</v>
      </c>
      <c r="V319" s="240" t="str">
        <f>IFERROR(__xludf.DUMMYFUNCTION("IFERROR(
  FILTER('CBK Students'!M:M, TRIM('CBK Students'!B:B) = TRIM(A319)),
  """"
)"),"#REF!")</f>
        <v>#REF!</v>
      </c>
      <c r="W319" s="240" t="str">
        <f t="shared" si="1"/>
        <v/>
      </c>
      <c r="X319" s="240" t="str">
        <f>IFERROR(__xludf.DUMMYFUNCTION("IFERROR(
  FILTER('CBK Students'!R:R, TRIM('CBK Students'!B:B) = TRIM(A319)),
  """"
)"),"#REF!")</f>
        <v>#REF!</v>
      </c>
      <c r="Y319" s="4" t="str">
        <f t="shared" si="2"/>
        <v/>
      </c>
      <c r="Z319" s="4" t="str">
        <f>IFERROR(__xludf.DUMMYFUNCTION("IFERROR(
  FILTER('CBK Students'!O:O, TRIM('CBK Students'!B:B) = TRIM(A319)),
  """"
)"),"#REF!")</f>
        <v>#REF!</v>
      </c>
      <c r="AA319" s="4" t="str">
        <f>IFERROR(__xludf.DUMMYFUNCTION("IFERROR(
  FILTER('CBK Students'!P:P, TRIM('CBK Students'!B:B) = TRIM(A319)),
  """"
)"),"#REF!")</f>
        <v>#REF!</v>
      </c>
      <c r="AB319" s="4" t="str">
        <f>IFERROR(__xludf.DUMMYFUNCTION("IFERROR(
  FILTER('CBK Students'!Q:Q, TRIM('CBK Students'!B:B) = TRIM(A319)),
  """"
)"),"#REF!")</f>
        <v>#REF!</v>
      </c>
    </row>
    <row r="320" ht="18.75" customHeight="1">
      <c r="T320" s="240" t="str">
        <f>IFERROR(__xludf.DUMMYFUNCTION("IFERROR(
  FILTER('CBK Students'!F:F, TRIM('CBK Students'!B:B) = TRIM(A320)),
  """"
)"),"#REF!")</f>
        <v>#REF!</v>
      </c>
      <c r="U320" s="240" t="str">
        <f>IFERROR(__xludf.DUMMYFUNCTION("IFERROR(
  FILTER('CBK Students'!H:H, TRIM('CBK Students'!B:B) = TRIM(A320)),
  """"
)"),"#REF!")</f>
        <v>#REF!</v>
      </c>
      <c r="V320" s="240" t="str">
        <f>IFERROR(__xludf.DUMMYFUNCTION("IFERROR(
  FILTER('CBK Students'!M:M, TRIM('CBK Students'!B:B) = TRIM(A320)),
  """"
)"),"#REF!")</f>
        <v>#REF!</v>
      </c>
      <c r="W320" s="240" t="str">
        <f t="shared" si="1"/>
        <v/>
      </c>
      <c r="X320" s="240" t="str">
        <f>IFERROR(__xludf.DUMMYFUNCTION("IFERROR(
  FILTER('CBK Students'!R:R, TRIM('CBK Students'!B:B) = TRIM(A320)),
  """"
)"),"#REF!")</f>
        <v>#REF!</v>
      </c>
      <c r="Y320" s="4" t="str">
        <f t="shared" si="2"/>
        <v/>
      </c>
      <c r="Z320" s="4" t="str">
        <f>IFERROR(__xludf.DUMMYFUNCTION("IFERROR(
  FILTER('CBK Students'!O:O, TRIM('CBK Students'!B:B) = TRIM(A320)),
  """"
)"),"#REF!")</f>
        <v>#REF!</v>
      </c>
      <c r="AA320" s="4" t="str">
        <f>IFERROR(__xludf.DUMMYFUNCTION("IFERROR(
  FILTER('CBK Students'!P:P, TRIM('CBK Students'!B:B) = TRIM(A320)),
  """"
)"),"#REF!")</f>
        <v>#REF!</v>
      </c>
      <c r="AB320" s="4" t="str">
        <f>IFERROR(__xludf.DUMMYFUNCTION("IFERROR(
  FILTER('CBK Students'!Q:Q, TRIM('CBK Students'!B:B) = TRIM(A320)),
  """"
)"),"#REF!")</f>
        <v>#REF!</v>
      </c>
    </row>
    <row r="321" ht="18.75" customHeight="1">
      <c r="T321" s="240" t="str">
        <f>IFERROR(__xludf.DUMMYFUNCTION("IFERROR(
  FILTER('CBK Students'!F:F, TRIM('CBK Students'!B:B) = TRIM(A321)),
  """"
)"),"#REF!")</f>
        <v>#REF!</v>
      </c>
      <c r="U321" s="240" t="str">
        <f>IFERROR(__xludf.DUMMYFUNCTION("IFERROR(
  FILTER('CBK Students'!H:H, TRIM('CBK Students'!B:B) = TRIM(A321)),
  """"
)"),"#REF!")</f>
        <v>#REF!</v>
      </c>
      <c r="V321" s="240" t="str">
        <f>IFERROR(__xludf.DUMMYFUNCTION("IFERROR(
  FILTER('CBK Students'!M:M, TRIM('CBK Students'!B:B) = TRIM(A321)),
  """"
)"),"#REF!")</f>
        <v>#REF!</v>
      </c>
      <c r="W321" s="240" t="str">
        <f t="shared" si="1"/>
        <v/>
      </c>
      <c r="X321" s="240" t="str">
        <f>IFERROR(__xludf.DUMMYFUNCTION("IFERROR(
  FILTER('CBK Students'!R:R, TRIM('CBK Students'!B:B) = TRIM(A321)),
  """"
)"),"#REF!")</f>
        <v>#REF!</v>
      </c>
      <c r="Y321" s="4" t="str">
        <f t="shared" si="2"/>
        <v/>
      </c>
      <c r="Z321" s="4" t="str">
        <f>IFERROR(__xludf.DUMMYFUNCTION("IFERROR(
  FILTER('CBK Students'!O:O, TRIM('CBK Students'!B:B) = TRIM(A321)),
  """"
)"),"#REF!")</f>
        <v>#REF!</v>
      </c>
      <c r="AA321" s="4" t="str">
        <f>IFERROR(__xludf.DUMMYFUNCTION("IFERROR(
  FILTER('CBK Students'!P:P, TRIM('CBK Students'!B:B) = TRIM(A321)),
  """"
)"),"#REF!")</f>
        <v>#REF!</v>
      </c>
      <c r="AB321" s="4" t="str">
        <f>IFERROR(__xludf.DUMMYFUNCTION("IFERROR(
  FILTER('CBK Students'!Q:Q, TRIM('CBK Students'!B:B) = TRIM(A321)),
  """"
)"),"#REF!")</f>
        <v>#REF!</v>
      </c>
    </row>
    <row r="322" ht="18.75" customHeight="1">
      <c r="T322" s="240" t="str">
        <f>IFERROR(__xludf.DUMMYFUNCTION("IFERROR(
  FILTER('CBK Students'!F:F, TRIM('CBK Students'!B:B) = TRIM(A322)),
  """"
)"),"#REF!")</f>
        <v>#REF!</v>
      </c>
      <c r="U322" s="240" t="str">
        <f>IFERROR(__xludf.DUMMYFUNCTION("IFERROR(
  FILTER('CBK Students'!H:H, TRIM('CBK Students'!B:B) = TRIM(A322)),
  """"
)"),"#REF!")</f>
        <v>#REF!</v>
      </c>
      <c r="V322" s="240" t="str">
        <f>IFERROR(__xludf.DUMMYFUNCTION("IFERROR(
  FILTER('CBK Students'!M:M, TRIM('CBK Students'!B:B) = TRIM(A322)),
  """"
)"),"#REF!")</f>
        <v>#REF!</v>
      </c>
      <c r="W322" s="240" t="str">
        <f t="shared" si="1"/>
        <v/>
      </c>
      <c r="X322" s="240" t="str">
        <f>IFERROR(__xludf.DUMMYFUNCTION("IFERROR(
  FILTER('CBK Students'!R:R, TRIM('CBK Students'!B:B) = TRIM(A322)),
  """"
)"),"#REF!")</f>
        <v>#REF!</v>
      </c>
      <c r="Y322" s="4" t="str">
        <f t="shared" si="2"/>
        <v/>
      </c>
      <c r="Z322" s="4" t="str">
        <f>IFERROR(__xludf.DUMMYFUNCTION("IFERROR(
  FILTER('CBK Students'!O:O, TRIM('CBK Students'!B:B) = TRIM(A322)),
  """"
)"),"#REF!")</f>
        <v>#REF!</v>
      </c>
      <c r="AA322" s="4" t="str">
        <f>IFERROR(__xludf.DUMMYFUNCTION("IFERROR(
  FILTER('CBK Students'!P:P, TRIM('CBK Students'!B:B) = TRIM(A322)),
  """"
)"),"#REF!")</f>
        <v>#REF!</v>
      </c>
      <c r="AB322" s="4" t="str">
        <f>IFERROR(__xludf.DUMMYFUNCTION("IFERROR(
  FILTER('CBK Students'!Q:Q, TRIM('CBK Students'!B:B) = TRIM(A322)),
  """"
)"),"#REF!")</f>
        <v>#REF!</v>
      </c>
    </row>
    <row r="323" ht="18.75" customHeight="1">
      <c r="T323" s="240" t="str">
        <f>IFERROR(__xludf.DUMMYFUNCTION("IFERROR(
  FILTER('CBK Students'!F:F, TRIM('CBK Students'!B:B) = TRIM(A323)),
  """"
)"),"#REF!")</f>
        <v>#REF!</v>
      </c>
      <c r="U323" s="240" t="str">
        <f>IFERROR(__xludf.DUMMYFUNCTION("IFERROR(
  FILTER('CBK Students'!H:H, TRIM('CBK Students'!B:B) = TRIM(A323)),
  """"
)"),"#REF!")</f>
        <v>#REF!</v>
      </c>
      <c r="V323" s="240" t="str">
        <f>IFERROR(__xludf.DUMMYFUNCTION("IFERROR(
  FILTER('CBK Students'!M:M, TRIM('CBK Students'!B:B) = TRIM(A323)),
  """"
)"),"#REF!")</f>
        <v>#REF!</v>
      </c>
      <c r="W323" s="240" t="str">
        <f t="shared" si="1"/>
        <v/>
      </c>
      <c r="X323" s="240" t="str">
        <f>IFERROR(__xludf.DUMMYFUNCTION("IFERROR(
  FILTER('CBK Students'!R:R, TRIM('CBK Students'!B:B) = TRIM(A323)),
  """"
)"),"#REF!")</f>
        <v>#REF!</v>
      </c>
      <c r="Y323" s="4" t="str">
        <f t="shared" si="2"/>
        <v/>
      </c>
      <c r="Z323" s="4" t="str">
        <f>IFERROR(__xludf.DUMMYFUNCTION("IFERROR(
  FILTER('CBK Students'!O:O, TRIM('CBK Students'!B:B) = TRIM(A323)),
  """"
)"),"#REF!")</f>
        <v>#REF!</v>
      </c>
      <c r="AA323" s="4" t="str">
        <f>IFERROR(__xludf.DUMMYFUNCTION("IFERROR(
  FILTER('CBK Students'!P:P, TRIM('CBK Students'!B:B) = TRIM(A323)),
  """"
)"),"#REF!")</f>
        <v>#REF!</v>
      </c>
      <c r="AB323" s="4" t="str">
        <f>IFERROR(__xludf.DUMMYFUNCTION("IFERROR(
  FILTER('CBK Students'!Q:Q, TRIM('CBK Students'!B:B) = TRIM(A323)),
  """"
)"),"#REF!")</f>
        <v>#REF!</v>
      </c>
    </row>
    <row r="324" ht="18.75" customHeight="1">
      <c r="T324" s="240" t="str">
        <f>IFERROR(__xludf.DUMMYFUNCTION("IFERROR(
  FILTER('CBK Students'!F:F, TRIM('CBK Students'!B:B) = TRIM(A324)),
  """"
)"),"#REF!")</f>
        <v>#REF!</v>
      </c>
      <c r="U324" s="240" t="str">
        <f>IFERROR(__xludf.DUMMYFUNCTION("IFERROR(
  FILTER('CBK Students'!H:H, TRIM('CBK Students'!B:B) = TRIM(A324)),
  """"
)"),"#REF!")</f>
        <v>#REF!</v>
      </c>
      <c r="V324" s="240" t="str">
        <f>IFERROR(__xludf.DUMMYFUNCTION("IFERROR(
  FILTER('CBK Students'!M:M, TRIM('CBK Students'!B:B) = TRIM(A324)),
  """"
)"),"#REF!")</f>
        <v>#REF!</v>
      </c>
      <c r="W324" s="240" t="str">
        <f t="shared" si="1"/>
        <v/>
      </c>
      <c r="X324" s="240" t="str">
        <f>IFERROR(__xludf.DUMMYFUNCTION("IFERROR(
  FILTER('CBK Students'!R:R, TRIM('CBK Students'!B:B) = TRIM(A324)),
  """"
)"),"#REF!")</f>
        <v>#REF!</v>
      </c>
      <c r="Y324" s="4" t="str">
        <f t="shared" si="2"/>
        <v/>
      </c>
      <c r="Z324" s="4" t="str">
        <f>IFERROR(__xludf.DUMMYFUNCTION("IFERROR(
  FILTER('CBK Students'!O:O, TRIM('CBK Students'!B:B) = TRIM(A324)),
  """"
)"),"#REF!")</f>
        <v>#REF!</v>
      </c>
      <c r="AA324" s="4" t="str">
        <f>IFERROR(__xludf.DUMMYFUNCTION("IFERROR(
  FILTER('CBK Students'!P:P, TRIM('CBK Students'!B:B) = TRIM(A324)),
  """"
)"),"#REF!")</f>
        <v>#REF!</v>
      </c>
      <c r="AB324" s="4" t="str">
        <f>IFERROR(__xludf.DUMMYFUNCTION("IFERROR(
  FILTER('CBK Students'!Q:Q, TRIM('CBK Students'!B:B) = TRIM(A324)),
  """"
)"),"#REF!")</f>
        <v>#REF!</v>
      </c>
    </row>
    <row r="325" ht="18.75" customHeight="1">
      <c r="T325" s="240" t="str">
        <f>IFERROR(__xludf.DUMMYFUNCTION("IFERROR(
  FILTER('CBK Students'!F:F, TRIM('CBK Students'!B:B) = TRIM(A325)),
  """"
)"),"#REF!")</f>
        <v>#REF!</v>
      </c>
      <c r="U325" s="240" t="str">
        <f>IFERROR(__xludf.DUMMYFUNCTION("IFERROR(
  FILTER('CBK Students'!H:H, TRIM('CBK Students'!B:B) = TRIM(A325)),
  """"
)"),"#REF!")</f>
        <v>#REF!</v>
      </c>
      <c r="V325" s="240" t="str">
        <f>IFERROR(__xludf.DUMMYFUNCTION("IFERROR(
  FILTER('CBK Students'!M:M, TRIM('CBK Students'!B:B) = TRIM(A325)),
  """"
)"),"#REF!")</f>
        <v>#REF!</v>
      </c>
      <c r="W325" s="240" t="str">
        <f t="shared" si="1"/>
        <v/>
      </c>
      <c r="X325" s="240" t="str">
        <f>IFERROR(__xludf.DUMMYFUNCTION("IFERROR(
  FILTER('CBK Students'!R:R, TRIM('CBK Students'!B:B) = TRIM(A325)),
  """"
)"),"#REF!")</f>
        <v>#REF!</v>
      </c>
      <c r="Y325" s="4" t="str">
        <f t="shared" si="2"/>
        <v/>
      </c>
      <c r="Z325" s="4" t="str">
        <f>IFERROR(__xludf.DUMMYFUNCTION("IFERROR(
  FILTER('CBK Students'!O:O, TRIM('CBK Students'!B:B) = TRIM(A325)),
  """"
)"),"#REF!")</f>
        <v>#REF!</v>
      </c>
      <c r="AA325" s="4" t="str">
        <f>IFERROR(__xludf.DUMMYFUNCTION("IFERROR(
  FILTER('CBK Students'!P:P, TRIM('CBK Students'!B:B) = TRIM(A325)),
  """"
)"),"#REF!")</f>
        <v>#REF!</v>
      </c>
      <c r="AB325" s="4" t="str">
        <f>IFERROR(__xludf.DUMMYFUNCTION("IFERROR(
  FILTER('CBK Students'!Q:Q, TRIM('CBK Students'!B:B) = TRIM(A325)),
  """"
)"),"#REF!")</f>
        <v>#REF!</v>
      </c>
    </row>
    <row r="326" ht="18.75" customHeight="1">
      <c r="T326" s="240" t="str">
        <f>IFERROR(__xludf.DUMMYFUNCTION("IFERROR(
  FILTER('CBK Students'!F:F, TRIM('CBK Students'!B:B) = TRIM(A326)),
  """"
)"),"#REF!")</f>
        <v>#REF!</v>
      </c>
      <c r="U326" s="240" t="str">
        <f>IFERROR(__xludf.DUMMYFUNCTION("IFERROR(
  FILTER('CBK Students'!H:H, TRIM('CBK Students'!B:B) = TRIM(A326)),
  """"
)"),"#REF!")</f>
        <v>#REF!</v>
      </c>
      <c r="V326" s="240" t="str">
        <f>IFERROR(__xludf.DUMMYFUNCTION("IFERROR(
  FILTER('CBK Students'!M:M, TRIM('CBK Students'!B:B) = TRIM(A326)),
  """"
)"),"#REF!")</f>
        <v>#REF!</v>
      </c>
      <c r="W326" s="240" t="str">
        <f t="shared" si="1"/>
        <v/>
      </c>
      <c r="X326" s="240" t="str">
        <f>IFERROR(__xludf.DUMMYFUNCTION("IFERROR(
  FILTER('CBK Students'!R:R, TRIM('CBK Students'!B:B) = TRIM(A326)),
  """"
)"),"#REF!")</f>
        <v>#REF!</v>
      </c>
      <c r="Y326" s="4" t="str">
        <f t="shared" si="2"/>
        <v/>
      </c>
      <c r="Z326" s="4" t="str">
        <f>IFERROR(__xludf.DUMMYFUNCTION("IFERROR(
  FILTER('CBK Students'!O:O, TRIM('CBK Students'!B:B) = TRIM(A326)),
  """"
)"),"#REF!")</f>
        <v>#REF!</v>
      </c>
      <c r="AA326" s="4" t="str">
        <f>IFERROR(__xludf.DUMMYFUNCTION("IFERROR(
  FILTER('CBK Students'!P:P, TRIM('CBK Students'!B:B) = TRIM(A326)),
  """"
)"),"#REF!")</f>
        <v>#REF!</v>
      </c>
      <c r="AB326" s="4" t="str">
        <f>IFERROR(__xludf.DUMMYFUNCTION("IFERROR(
  FILTER('CBK Students'!Q:Q, TRIM('CBK Students'!B:B) = TRIM(A326)),
  """"
)"),"#REF!")</f>
        <v>#REF!</v>
      </c>
    </row>
    <row r="327" ht="18.75" customHeight="1">
      <c r="T327" s="240" t="str">
        <f>IFERROR(__xludf.DUMMYFUNCTION("IFERROR(
  FILTER('CBK Students'!F:F, TRIM('CBK Students'!B:B) = TRIM(A327)),
  """"
)"),"#REF!")</f>
        <v>#REF!</v>
      </c>
      <c r="U327" s="240" t="str">
        <f>IFERROR(__xludf.DUMMYFUNCTION("IFERROR(
  FILTER('CBK Students'!H:H, TRIM('CBK Students'!B:B) = TRIM(A327)),
  """"
)"),"#REF!")</f>
        <v>#REF!</v>
      </c>
      <c r="V327" s="240" t="str">
        <f>IFERROR(__xludf.DUMMYFUNCTION("IFERROR(
  FILTER('CBK Students'!M:M, TRIM('CBK Students'!B:B) = TRIM(A327)),
  """"
)"),"#REF!")</f>
        <v>#REF!</v>
      </c>
      <c r="W327" s="240" t="str">
        <f t="shared" si="1"/>
        <v/>
      </c>
      <c r="X327" s="240" t="str">
        <f>IFERROR(__xludf.DUMMYFUNCTION("IFERROR(
  FILTER('CBK Students'!R:R, TRIM('CBK Students'!B:B) = TRIM(A327)),
  """"
)"),"#REF!")</f>
        <v>#REF!</v>
      </c>
      <c r="Y327" s="4" t="str">
        <f t="shared" si="2"/>
        <v/>
      </c>
      <c r="Z327" s="4" t="str">
        <f>IFERROR(__xludf.DUMMYFUNCTION("IFERROR(
  FILTER('CBK Students'!O:O, TRIM('CBK Students'!B:B) = TRIM(A327)),
  """"
)"),"#REF!")</f>
        <v>#REF!</v>
      </c>
      <c r="AA327" s="4" t="str">
        <f>IFERROR(__xludf.DUMMYFUNCTION("IFERROR(
  FILTER('CBK Students'!P:P, TRIM('CBK Students'!B:B) = TRIM(A327)),
  """"
)"),"#REF!")</f>
        <v>#REF!</v>
      </c>
      <c r="AB327" s="4" t="str">
        <f>IFERROR(__xludf.DUMMYFUNCTION("IFERROR(
  FILTER('CBK Students'!Q:Q, TRIM('CBK Students'!B:B) = TRIM(A327)),
  """"
)"),"#REF!")</f>
        <v>#REF!</v>
      </c>
    </row>
    <row r="328" ht="18.75" customHeight="1">
      <c r="T328" s="240" t="str">
        <f>IFERROR(__xludf.DUMMYFUNCTION("IFERROR(
  FILTER('CBK Students'!F:F, TRIM('CBK Students'!B:B) = TRIM(A328)),
  """"
)"),"#REF!")</f>
        <v>#REF!</v>
      </c>
      <c r="U328" s="240" t="str">
        <f>IFERROR(__xludf.DUMMYFUNCTION("IFERROR(
  FILTER('CBK Students'!H:H, TRIM('CBK Students'!B:B) = TRIM(A328)),
  """"
)"),"#REF!")</f>
        <v>#REF!</v>
      </c>
      <c r="V328" s="240" t="str">
        <f>IFERROR(__xludf.DUMMYFUNCTION("IFERROR(
  FILTER('CBK Students'!M:M, TRIM('CBK Students'!B:B) = TRIM(A328)),
  """"
)"),"#REF!")</f>
        <v>#REF!</v>
      </c>
      <c r="W328" s="240" t="str">
        <f t="shared" si="1"/>
        <v/>
      </c>
      <c r="X328" s="240" t="str">
        <f>IFERROR(__xludf.DUMMYFUNCTION("IFERROR(
  FILTER('CBK Students'!R:R, TRIM('CBK Students'!B:B) = TRIM(A328)),
  """"
)"),"#REF!")</f>
        <v>#REF!</v>
      </c>
      <c r="Y328" s="4" t="str">
        <f t="shared" si="2"/>
        <v/>
      </c>
      <c r="Z328" s="4" t="str">
        <f>IFERROR(__xludf.DUMMYFUNCTION("IFERROR(
  FILTER('CBK Students'!O:O, TRIM('CBK Students'!B:B) = TRIM(A328)),
  """"
)"),"#REF!")</f>
        <v>#REF!</v>
      </c>
      <c r="AA328" s="4" t="str">
        <f>IFERROR(__xludf.DUMMYFUNCTION("IFERROR(
  FILTER('CBK Students'!P:P, TRIM('CBK Students'!B:B) = TRIM(A328)),
  """"
)"),"#REF!")</f>
        <v>#REF!</v>
      </c>
      <c r="AB328" s="4" t="str">
        <f>IFERROR(__xludf.DUMMYFUNCTION("IFERROR(
  FILTER('CBK Students'!Q:Q, TRIM('CBK Students'!B:B) = TRIM(A328)),
  """"
)"),"#REF!")</f>
        <v>#REF!</v>
      </c>
    </row>
    <row r="329" ht="18.75" customHeight="1">
      <c r="T329" s="240" t="str">
        <f>IFERROR(__xludf.DUMMYFUNCTION("IFERROR(
  FILTER('CBK Students'!F:F, TRIM('CBK Students'!B:B) = TRIM(A329)),
  """"
)"),"#REF!")</f>
        <v>#REF!</v>
      </c>
      <c r="U329" s="240" t="str">
        <f>IFERROR(__xludf.DUMMYFUNCTION("IFERROR(
  FILTER('CBK Students'!H:H, TRIM('CBK Students'!B:B) = TRIM(A329)),
  """"
)"),"#REF!")</f>
        <v>#REF!</v>
      </c>
      <c r="V329" s="240" t="str">
        <f>IFERROR(__xludf.DUMMYFUNCTION("IFERROR(
  FILTER('CBK Students'!M:M, TRIM('CBK Students'!B:B) = TRIM(A329)),
  """"
)"),"#REF!")</f>
        <v>#REF!</v>
      </c>
      <c r="W329" s="240" t="str">
        <f t="shared" si="1"/>
        <v/>
      </c>
      <c r="X329" s="240" t="str">
        <f>IFERROR(__xludf.DUMMYFUNCTION("IFERROR(
  FILTER('CBK Students'!R:R, TRIM('CBK Students'!B:B) = TRIM(A329)),
  """"
)"),"#REF!")</f>
        <v>#REF!</v>
      </c>
      <c r="Y329" s="4" t="str">
        <f t="shared" si="2"/>
        <v/>
      </c>
      <c r="Z329" s="4" t="str">
        <f>IFERROR(__xludf.DUMMYFUNCTION("IFERROR(
  FILTER('CBK Students'!O:O, TRIM('CBK Students'!B:B) = TRIM(A329)),
  """"
)"),"#REF!")</f>
        <v>#REF!</v>
      </c>
      <c r="AA329" s="4" t="str">
        <f>IFERROR(__xludf.DUMMYFUNCTION("IFERROR(
  FILTER('CBK Students'!P:P, TRIM('CBK Students'!B:B) = TRIM(A329)),
  """"
)"),"#REF!")</f>
        <v>#REF!</v>
      </c>
      <c r="AB329" s="4" t="str">
        <f>IFERROR(__xludf.DUMMYFUNCTION("IFERROR(
  FILTER('CBK Students'!Q:Q, TRIM('CBK Students'!B:B) = TRIM(A329)),
  """"
)"),"#REF!")</f>
        <v>#REF!</v>
      </c>
    </row>
    <row r="330" ht="18.75" customHeight="1">
      <c r="T330" s="240" t="str">
        <f>IFERROR(__xludf.DUMMYFUNCTION("IFERROR(
  FILTER('CBK Students'!F:F, TRIM('CBK Students'!B:B) = TRIM(A330)),
  """"
)"),"#REF!")</f>
        <v>#REF!</v>
      </c>
      <c r="U330" s="240" t="str">
        <f>IFERROR(__xludf.DUMMYFUNCTION("IFERROR(
  FILTER('CBK Students'!H:H, TRIM('CBK Students'!B:B) = TRIM(A330)),
  """"
)"),"#REF!")</f>
        <v>#REF!</v>
      </c>
      <c r="V330" s="240" t="str">
        <f>IFERROR(__xludf.DUMMYFUNCTION("IFERROR(
  FILTER('CBK Students'!M:M, TRIM('CBK Students'!B:B) = TRIM(A330)),
  """"
)"),"#REF!")</f>
        <v>#REF!</v>
      </c>
      <c r="W330" s="240" t="str">
        <f t="shared" si="1"/>
        <v/>
      </c>
      <c r="X330" s="240" t="str">
        <f>IFERROR(__xludf.DUMMYFUNCTION("IFERROR(
  FILTER('CBK Students'!R:R, TRIM('CBK Students'!B:B) = TRIM(A330)),
  """"
)"),"#REF!")</f>
        <v>#REF!</v>
      </c>
      <c r="Y330" s="4" t="str">
        <f t="shared" si="2"/>
        <v/>
      </c>
      <c r="Z330" s="4" t="str">
        <f>IFERROR(__xludf.DUMMYFUNCTION("IFERROR(
  FILTER('CBK Students'!O:O, TRIM('CBK Students'!B:B) = TRIM(A330)),
  """"
)"),"#REF!")</f>
        <v>#REF!</v>
      </c>
      <c r="AA330" s="4" t="str">
        <f>IFERROR(__xludf.DUMMYFUNCTION("IFERROR(
  FILTER('CBK Students'!P:P, TRIM('CBK Students'!B:B) = TRIM(A330)),
  """"
)"),"#REF!")</f>
        <v>#REF!</v>
      </c>
      <c r="AB330" s="4" t="str">
        <f>IFERROR(__xludf.DUMMYFUNCTION("IFERROR(
  FILTER('CBK Students'!Q:Q, TRIM('CBK Students'!B:B) = TRIM(A330)),
  """"
)"),"#REF!")</f>
        <v>#REF!</v>
      </c>
    </row>
    <row r="331" ht="18.75" customHeight="1">
      <c r="T331" s="240" t="str">
        <f>IFERROR(__xludf.DUMMYFUNCTION("IFERROR(
  FILTER('CBK Students'!F:F, TRIM('CBK Students'!B:B) = TRIM(A331)),
  """"
)"),"#REF!")</f>
        <v>#REF!</v>
      </c>
      <c r="U331" s="240" t="str">
        <f>IFERROR(__xludf.DUMMYFUNCTION("IFERROR(
  FILTER('CBK Students'!H:H, TRIM('CBK Students'!B:B) = TRIM(A331)),
  """"
)"),"#REF!")</f>
        <v>#REF!</v>
      </c>
      <c r="V331" s="240" t="str">
        <f>IFERROR(__xludf.DUMMYFUNCTION("IFERROR(
  FILTER('CBK Students'!M:M, TRIM('CBK Students'!B:B) = TRIM(A331)),
  """"
)"),"#REF!")</f>
        <v>#REF!</v>
      </c>
      <c r="W331" s="240" t="str">
        <f t="shared" si="1"/>
        <v/>
      </c>
      <c r="X331" s="240" t="str">
        <f>IFERROR(__xludf.DUMMYFUNCTION("IFERROR(
  FILTER('CBK Students'!R:R, TRIM('CBK Students'!B:B) = TRIM(A331)),
  """"
)"),"#REF!")</f>
        <v>#REF!</v>
      </c>
      <c r="Y331" s="4" t="str">
        <f t="shared" si="2"/>
        <v/>
      </c>
      <c r="Z331" s="4" t="str">
        <f>IFERROR(__xludf.DUMMYFUNCTION("IFERROR(
  FILTER('CBK Students'!O:O, TRIM('CBK Students'!B:B) = TRIM(A331)),
  """"
)"),"#REF!")</f>
        <v>#REF!</v>
      </c>
      <c r="AA331" s="4" t="str">
        <f>IFERROR(__xludf.DUMMYFUNCTION("IFERROR(
  FILTER('CBK Students'!P:P, TRIM('CBK Students'!B:B) = TRIM(A331)),
  """"
)"),"#REF!")</f>
        <v>#REF!</v>
      </c>
      <c r="AB331" s="4" t="str">
        <f>IFERROR(__xludf.DUMMYFUNCTION("IFERROR(
  FILTER('CBK Students'!Q:Q, TRIM('CBK Students'!B:B) = TRIM(A331)),
  """"
)"),"#REF!")</f>
        <v>#REF!</v>
      </c>
    </row>
    <row r="332" ht="18.75" customHeight="1">
      <c r="T332" s="240" t="str">
        <f>IFERROR(__xludf.DUMMYFUNCTION("IFERROR(
  FILTER('CBK Students'!F:F, TRIM('CBK Students'!B:B) = TRIM(A332)),
  """"
)"),"#REF!")</f>
        <v>#REF!</v>
      </c>
      <c r="U332" s="240" t="str">
        <f>IFERROR(__xludf.DUMMYFUNCTION("IFERROR(
  FILTER('CBK Students'!H:H, TRIM('CBK Students'!B:B) = TRIM(A332)),
  """"
)"),"#REF!")</f>
        <v>#REF!</v>
      </c>
      <c r="V332" s="240" t="str">
        <f>IFERROR(__xludf.DUMMYFUNCTION("IFERROR(
  FILTER('CBK Students'!M:M, TRIM('CBK Students'!B:B) = TRIM(A332)),
  """"
)"),"#REF!")</f>
        <v>#REF!</v>
      </c>
      <c r="W332" s="240" t="str">
        <f t="shared" si="1"/>
        <v/>
      </c>
      <c r="X332" s="240" t="str">
        <f>IFERROR(__xludf.DUMMYFUNCTION("IFERROR(
  FILTER('CBK Students'!R:R, TRIM('CBK Students'!B:B) = TRIM(A332)),
  """"
)"),"#REF!")</f>
        <v>#REF!</v>
      </c>
      <c r="Y332" s="4" t="str">
        <f t="shared" si="2"/>
        <v/>
      </c>
      <c r="Z332" s="4" t="str">
        <f>IFERROR(__xludf.DUMMYFUNCTION("IFERROR(
  FILTER('CBK Students'!O:O, TRIM('CBK Students'!B:B) = TRIM(A332)),
  """"
)"),"#REF!")</f>
        <v>#REF!</v>
      </c>
      <c r="AA332" s="4" t="str">
        <f>IFERROR(__xludf.DUMMYFUNCTION("IFERROR(
  FILTER('CBK Students'!P:P, TRIM('CBK Students'!B:B) = TRIM(A332)),
  """"
)"),"#REF!")</f>
        <v>#REF!</v>
      </c>
      <c r="AB332" s="4" t="str">
        <f>IFERROR(__xludf.DUMMYFUNCTION("IFERROR(
  FILTER('CBK Students'!Q:Q, TRIM('CBK Students'!B:B) = TRIM(A332)),
  """"
)"),"#REF!")</f>
        <v>#REF!</v>
      </c>
    </row>
    <row r="333" ht="18.75" customHeight="1">
      <c r="T333" s="240" t="str">
        <f>IFERROR(__xludf.DUMMYFUNCTION("IFERROR(
  FILTER('CBK Students'!F:F, TRIM('CBK Students'!B:B) = TRIM(A333)),
  """"
)"),"#REF!")</f>
        <v>#REF!</v>
      </c>
      <c r="U333" s="240" t="str">
        <f>IFERROR(__xludf.DUMMYFUNCTION("IFERROR(
  FILTER('CBK Students'!H:H, TRIM('CBK Students'!B:B) = TRIM(A333)),
  """"
)"),"#REF!")</f>
        <v>#REF!</v>
      </c>
      <c r="V333" s="240" t="str">
        <f>IFERROR(__xludf.DUMMYFUNCTION("IFERROR(
  FILTER('CBK Students'!M:M, TRIM('CBK Students'!B:B) = TRIM(A333)),
  """"
)"),"#REF!")</f>
        <v>#REF!</v>
      </c>
      <c r="W333" s="240" t="str">
        <f t="shared" si="1"/>
        <v/>
      </c>
      <c r="X333" s="240" t="str">
        <f>IFERROR(__xludf.DUMMYFUNCTION("IFERROR(
  FILTER('CBK Students'!R:R, TRIM('CBK Students'!B:B) = TRIM(A333)),
  """"
)"),"#REF!")</f>
        <v>#REF!</v>
      </c>
      <c r="Y333" s="4" t="str">
        <f t="shared" si="2"/>
        <v/>
      </c>
      <c r="Z333" s="4" t="str">
        <f>IFERROR(__xludf.DUMMYFUNCTION("IFERROR(
  FILTER('CBK Students'!O:O, TRIM('CBK Students'!B:B) = TRIM(A333)),
  """"
)"),"#REF!")</f>
        <v>#REF!</v>
      </c>
      <c r="AA333" s="4" t="str">
        <f>IFERROR(__xludf.DUMMYFUNCTION("IFERROR(
  FILTER('CBK Students'!P:P, TRIM('CBK Students'!B:B) = TRIM(A333)),
  """"
)"),"#REF!")</f>
        <v>#REF!</v>
      </c>
      <c r="AB333" s="4" t="str">
        <f>IFERROR(__xludf.DUMMYFUNCTION("IFERROR(
  FILTER('CBK Students'!Q:Q, TRIM('CBK Students'!B:B) = TRIM(A333)),
  """"
)"),"#REF!")</f>
        <v>#REF!</v>
      </c>
    </row>
    <row r="334" ht="18.75" customHeight="1">
      <c r="T334" s="240" t="str">
        <f>IFERROR(__xludf.DUMMYFUNCTION("IFERROR(
  FILTER('CBK Students'!F:F, TRIM('CBK Students'!B:B) = TRIM(A334)),
  """"
)"),"#REF!")</f>
        <v>#REF!</v>
      </c>
      <c r="U334" s="240" t="str">
        <f>IFERROR(__xludf.DUMMYFUNCTION("IFERROR(
  FILTER('CBK Students'!H:H, TRIM('CBK Students'!B:B) = TRIM(A334)),
  """"
)"),"#REF!")</f>
        <v>#REF!</v>
      </c>
      <c r="V334" s="240" t="str">
        <f>IFERROR(__xludf.DUMMYFUNCTION("IFERROR(
  FILTER('CBK Students'!M:M, TRIM('CBK Students'!B:B) = TRIM(A334)),
  """"
)"),"#REF!")</f>
        <v>#REF!</v>
      </c>
      <c r="W334" s="240" t="str">
        <f t="shared" si="1"/>
        <v/>
      </c>
      <c r="X334" s="240" t="str">
        <f>IFERROR(__xludf.DUMMYFUNCTION("IFERROR(
  FILTER('CBK Students'!R:R, TRIM('CBK Students'!B:B) = TRIM(A334)),
  """"
)"),"#REF!")</f>
        <v>#REF!</v>
      </c>
      <c r="Y334" s="4" t="str">
        <f t="shared" si="2"/>
        <v/>
      </c>
      <c r="Z334" s="4" t="str">
        <f>IFERROR(__xludf.DUMMYFUNCTION("IFERROR(
  FILTER('CBK Students'!O:O, TRIM('CBK Students'!B:B) = TRIM(A334)),
  """"
)"),"#REF!")</f>
        <v>#REF!</v>
      </c>
      <c r="AA334" s="4" t="str">
        <f>IFERROR(__xludf.DUMMYFUNCTION("IFERROR(
  FILTER('CBK Students'!P:P, TRIM('CBK Students'!B:B) = TRIM(A334)),
  """"
)"),"#REF!")</f>
        <v>#REF!</v>
      </c>
      <c r="AB334" s="4" t="str">
        <f>IFERROR(__xludf.DUMMYFUNCTION("IFERROR(
  FILTER('CBK Students'!Q:Q, TRIM('CBK Students'!B:B) = TRIM(A334)),
  """"
)"),"#REF!")</f>
        <v>#REF!</v>
      </c>
    </row>
    <row r="335" ht="18.75" customHeight="1">
      <c r="T335" s="240" t="str">
        <f>IFERROR(__xludf.DUMMYFUNCTION("IFERROR(
  FILTER('CBK Students'!F:F, TRIM('CBK Students'!B:B) = TRIM(A335)),
  """"
)"),"#REF!")</f>
        <v>#REF!</v>
      </c>
      <c r="U335" s="240" t="str">
        <f>IFERROR(__xludf.DUMMYFUNCTION("IFERROR(
  FILTER('CBK Students'!H:H, TRIM('CBK Students'!B:B) = TRIM(A335)),
  """"
)"),"#REF!")</f>
        <v>#REF!</v>
      </c>
      <c r="V335" s="240" t="str">
        <f>IFERROR(__xludf.DUMMYFUNCTION("IFERROR(
  FILTER('CBK Students'!M:M, TRIM('CBK Students'!B:B) = TRIM(A335)),
  """"
)"),"#REF!")</f>
        <v>#REF!</v>
      </c>
      <c r="W335" s="240" t="str">
        <f t="shared" si="1"/>
        <v/>
      </c>
      <c r="X335" s="240" t="str">
        <f>IFERROR(__xludf.DUMMYFUNCTION("IFERROR(
  FILTER('CBK Students'!R:R, TRIM('CBK Students'!B:B) = TRIM(A335)),
  """"
)"),"#REF!")</f>
        <v>#REF!</v>
      </c>
      <c r="Y335" s="4" t="str">
        <f t="shared" si="2"/>
        <v/>
      </c>
      <c r="Z335" s="4" t="str">
        <f>IFERROR(__xludf.DUMMYFUNCTION("IFERROR(
  FILTER('CBK Students'!O:O, TRIM('CBK Students'!B:B) = TRIM(A335)),
  """"
)"),"#REF!")</f>
        <v>#REF!</v>
      </c>
      <c r="AA335" s="4" t="str">
        <f>IFERROR(__xludf.DUMMYFUNCTION("IFERROR(
  FILTER('CBK Students'!P:P, TRIM('CBK Students'!B:B) = TRIM(A335)),
  """"
)"),"#REF!")</f>
        <v>#REF!</v>
      </c>
      <c r="AB335" s="4" t="str">
        <f>IFERROR(__xludf.DUMMYFUNCTION("IFERROR(
  FILTER('CBK Students'!Q:Q, TRIM('CBK Students'!B:B) = TRIM(A335)),
  """"
)"),"#REF!")</f>
        <v>#REF!</v>
      </c>
    </row>
    <row r="336" ht="18.75" customHeight="1">
      <c r="T336" s="240" t="str">
        <f>IFERROR(__xludf.DUMMYFUNCTION("IFERROR(
  FILTER('CBK Students'!F:F, TRIM('CBK Students'!B:B) = TRIM(A336)),
  """"
)"),"#REF!")</f>
        <v>#REF!</v>
      </c>
      <c r="U336" s="240" t="str">
        <f>IFERROR(__xludf.DUMMYFUNCTION("IFERROR(
  FILTER('CBK Students'!H:H, TRIM('CBK Students'!B:B) = TRIM(A336)),
  """"
)"),"#REF!")</f>
        <v>#REF!</v>
      </c>
      <c r="V336" s="240" t="str">
        <f>IFERROR(__xludf.DUMMYFUNCTION("IFERROR(
  FILTER('CBK Students'!M:M, TRIM('CBK Students'!B:B) = TRIM(A336)),
  """"
)"),"#REF!")</f>
        <v>#REF!</v>
      </c>
      <c r="W336" s="240" t="str">
        <f t="shared" si="1"/>
        <v/>
      </c>
      <c r="X336" s="240" t="str">
        <f>IFERROR(__xludf.DUMMYFUNCTION("IFERROR(
  FILTER('CBK Students'!R:R, TRIM('CBK Students'!B:B) = TRIM(A336)),
  """"
)"),"#REF!")</f>
        <v>#REF!</v>
      </c>
      <c r="Y336" s="4" t="str">
        <f t="shared" si="2"/>
        <v/>
      </c>
      <c r="Z336" s="4" t="str">
        <f>IFERROR(__xludf.DUMMYFUNCTION("IFERROR(
  FILTER('CBK Students'!O:O, TRIM('CBK Students'!B:B) = TRIM(A336)),
  """"
)"),"#REF!")</f>
        <v>#REF!</v>
      </c>
      <c r="AA336" s="4" t="str">
        <f>IFERROR(__xludf.DUMMYFUNCTION("IFERROR(
  FILTER('CBK Students'!P:P, TRIM('CBK Students'!B:B) = TRIM(A336)),
  """"
)"),"#REF!")</f>
        <v>#REF!</v>
      </c>
      <c r="AB336" s="4" t="str">
        <f>IFERROR(__xludf.DUMMYFUNCTION("IFERROR(
  FILTER('CBK Students'!Q:Q, TRIM('CBK Students'!B:B) = TRIM(A336)),
  """"
)"),"#REF!")</f>
        <v>#REF!</v>
      </c>
    </row>
    <row r="337" ht="18.75" customHeight="1">
      <c r="T337" s="240" t="str">
        <f>IFERROR(__xludf.DUMMYFUNCTION("IFERROR(
  FILTER('CBK Students'!F:F, TRIM('CBK Students'!B:B) = TRIM(A337)),
  """"
)"),"#REF!")</f>
        <v>#REF!</v>
      </c>
      <c r="U337" s="240" t="str">
        <f>IFERROR(__xludf.DUMMYFUNCTION("IFERROR(
  FILTER('CBK Students'!H:H, TRIM('CBK Students'!B:B) = TRIM(A337)),
  """"
)"),"#REF!")</f>
        <v>#REF!</v>
      </c>
      <c r="V337" s="240" t="str">
        <f>IFERROR(__xludf.DUMMYFUNCTION("IFERROR(
  FILTER('CBK Students'!M:M, TRIM('CBK Students'!B:B) = TRIM(A337)),
  """"
)"),"#REF!")</f>
        <v>#REF!</v>
      </c>
      <c r="W337" s="240" t="str">
        <f t="shared" si="1"/>
        <v/>
      </c>
      <c r="X337" s="240" t="str">
        <f>IFERROR(__xludf.DUMMYFUNCTION("IFERROR(
  FILTER('CBK Students'!R:R, TRIM('CBK Students'!B:B) = TRIM(A337)),
  """"
)"),"#REF!")</f>
        <v>#REF!</v>
      </c>
      <c r="Y337" s="4" t="str">
        <f t="shared" si="2"/>
        <v/>
      </c>
      <c r="Z337" s="4" t="str">
        <f>IFERROR(__xludf.DUMMYFUNCTION("IFERROR(
  FILTER('CBK Students'!O:O, TRIM('CBK Students'!B:B) = TRIM(A337)),
  """"
)"),"#REF!")</f>
        <v>#REF!</v>
      </c>
      <c r="AA337" s="4" t="str">
        <f>IFERROR(__xludf.DUMMYFUNCTION("IFERROR(
  FILTER('CBK Students'!P:P, TRIM('CBK Students'!B:B) = TRIM(A337)),
  """"
)"),"#REF!")</f>
        <v>#REF!</v>
      </c>
      <c r="AB337" s="4" t="str">
        <f>IFERROR(__xludf.DUMMYFUNCTION("IFERROR(
  FILTER('CBK Students'!Q:Q, TRIM('CBK Students'!B:B) = TRIM(A337)),
  """"
)"),"#REF!")</f>
        <v>#REF!</v>
      </c>
    </row>
    <row r="338" ht="18.75" customHeight="1">
      <c r="T338" s="240" t="str">
        <f>IFERROR(__xludf.DUMMYFUNCTION("IFERROR(
  FILTER('CBK Students'!F:F, TRIM('CBK Students'!B:B) = TRIM(A338)),
  """"
)"),"#REF!")</f>
        <v>#REF!</v>
      </c>
      <c r="U338" s="240" t="str">
        <f>IFERROR(__xludf.DUMMYFUNCTION("IFERROR(
  FILTER('CBK Students'!H:H, TRIM('CBK Students'!B:B) = TRIM(A338)),
  """"
)"),"#REF!")</f>
        <v>#REF!</v>
      </c>
      <c r="V338" s="240" t="str">
        <f>IFERROR(__xludf.DUMMYFUNCTION("IFERROR(
  FILTER('CBK Students'!M:M, TRIM('CBK Students'!B:B) = TRIM(A338)),
  """"
)"),"#REF!")</f>
        <v>#REF!</v>
      </c>
      <c r="W338" s="240" t="str">
        <f t="shared" si="1"/>
        <v/>
      </c>
      <c r="X338" s="240" t="str">
        <f>IFERROR(__xludf.DUMMYFUNCTION("IFERROR(
  FILTER('CBK Students'!R:R, TRIM('CBK Students'!B:B) = TRIM(A338)),
  """"
)"),"#REF!")</f>
        <v>#REF!</v>
      </c>
      <c r="Y338" s="4" t="str">
        <f t="shared" si="2"/>
        <v/>
      </c>
      <c r="Z338" s="4" t="str">
        <f>IFERROR(__xludf.DUMMYFUNCTION("IFERROR(
  FILTER('CBK Students'!O:O, TRIM('CBK Students'!B:B) = TRIM(A338)),
  """"
)"),"#REF!")</f>
        <v>#REF!</v>
      </c>
      <c r="AA338" s="4" t="str">
        <f>IFERROR(__xludf.DUMMYFUNCTION("IFERROR(
  FILTER('CBK Students'!P:P, TRIM('CBK Students'!B:B) = TRIM(A338)),
  """"
)"),"#REF!")</f>
        <v>#REF!</v>
      </c>
      <c r="AB338" s="4" t="str">
        <f>IFERROR(__xludf.DUMMYFUNCTION("IFERROR(
  FILTER('CBK Students'!Q:Q, TRIM('CBK Students'!B:B) = TRIM(A338)),
  """"
)"),"#REF!")</f>
        <v>#REF!</v>
      </c>
    </row>
    <row r="339" ht="18.75" customHeight="1">
      <c r="T339" s="240" t="str">
        <f>IFERROR(__xludf.DUMMYFUNCTION("IFERROR(
  FILTER('CBK Students'!F:F, TRIM('CBK Students'!B:B) = TRIM(A339)),
  """"
)"),"#REF!")</f>
        <v>#REF!</v>
      </c>
      <c r="U339" s="240" t="str">
        <f>IFERROR(__xludf.DUMMYFUNCTION("IFERROR(
  FILTER('CBK Students'!H:H, TRIM('CBK Students'!B:B) = TRIM(A339)),
  """"
)"),"#REF!")</f>
        <v>#REF!</v>
      </c>
      <c r="V339" s="240" t="str">
        <f>IFERROR(__xludf.DUMMYFUNCTION("IFERROR(
  FILTER('CBK Students'!M:M, TRIM('CBK Students'!B:B) = TRIM(A339)),
  """"
)"),"#REF!")</f>
        <v>#REF!</v>
      </c>
      <c r="W339" s="240" t="str">
        <f t="shared" si="1"/>
        <v/>
      </c>
      <c r="X339" s="240" t="str">
        <f>IFERROR(__xludf.DUMMYFUNCTION("IFERROR(
  FILTER('CBK Students'!R:R, TRIM('CBK Students'!B:B) = TRIM(A339)),
  """"
)"),"#REF!")</f>
        <v>#REF!</v>
      </c>
      <c r="Y339" s="4" t="str">
        <f t="shared" si="2"/>
        <v/>
      </c>
      <c r="Z339" s="4" t="str">
        <f>IFERROR(__xludf.DUMMYFUNCTION("IFERROR(
  FILTER('CBK Students'!O:O, TRIM('CBK Students'!B:B) = TRIM(A339)),
  """"
)"),"#REF!")</f>
        <v>#REF!</v>
      </c>
      <c r="AA339" s="4" t="str">
        <f>IFERROR(__xludf.DUMMYFUNCTION("IFERROR(
  FILTER('CBK Students'!P:P, TRIM('CBK Students'!B:B) = TRIM(A339)),
  """"
)"),"#REF!")</f>
        <v>#REF!</v>
      </c>
      <c r="AB339" s="4" t="str">
        <f>IFERROR(__xludf.DUMMYFUNCTION("IFERROR(
  FILTER('CBK Students'!Q:Q, TRIM('CBK Students'!B:B) = TRIM(A339)),
  """"
)"),"#REF!")</f>
        <v>#REF!</v>
      </c>
    </row>
    <row r="340" ht="18.75" customHeight="1">
      <c r="T340" s="240" t="str">
        <f>IFERROR(__xludf.DUMMYFUNCTION("IFERROR(
  FILTER('CBK Students'!F:F, TRIM('CBK Students'!B:B) = TRIM(A340)),
  """"
)"),"#REF!")</f>
        <v>#REF!</v>
      </c>
      <c r="U340" s="240" t="str">
        <f>IFERROR(__xludf.DUMMYFUNCTION("IFERROR(
  FILTER('CBK Students'!H:H, TRIM('CBK Students'!B:B) = TRIM(A340)),
  """"
)"),"#REF!")</f>
        <v>#REF!</v>
      </c>
      <c r="V340" s="240" t="str">
        <f>IFERROR(__xludf.DUMMYFUNCTION("IFERROR(
  FILTER('CBK Students'!M:M, TRIM('CBK Students'!B:B) = TRIM(A340)),
  """"
)"),"#REF!")</f>
        <v>#REF!</v>
      </c>
      <c r="W340" s="240" t="str">
        <f t="shared" si="1"/>
        <v/>
      </c>
      <c r="X340" s="240" t="str">
        <f>IFERROR(__xludf.DUMMYFUNCTION("IFERROR(
  FILTER('CBK Students'!R:R, TRIM('CBK Students'!B:B) = TRIM(A340)),
  """"
)"),"#REF!")</f>
        <v>#REF!</v>
      </c>
      <c r="Y340" s="4" t="str">
        <f t="shared" si="2"/>
        <v/>
      </c>
      <c r="Z340" s="4" t="str">
        <f>IFERROR(__xludf.DUMMYFUNCTION("IFERROR(
  FILTER('CBK Students'!O:O, TRIM('CBK Students'!B:B) = TRIM(A340)),
  """"
)"),"#REF!")</f>
        <v>#REF!</v>
      </c>
      <c r="AA340" s="4" t="str">
        <f>IFERROR(__xludf.DUMMYFUNCTION("IFERROR(
  FILTER('CBK Students'!P:P, TRIM('CBK Students'!B:B) = TRIM(A340)),
  """"
)"),"#REF!")</f>
        <v>#REF!</v>
      </c>
      <c r="AB340" s="4" t="str">
        <f>IFERROR(__xludf.DUMMYFUNCTION("IFERROR(
  FILTER('CBK Students'!Q:Q, TRIM('CBK Students'!B:B) = TRIM(A340)),
  """"
)"),"#REF!")</f>
        <v>#REF!</v>
      </c>
    </row>
    <row r="341" ht="18.75" customHeight="1">
      <c r="T341" s="240" t="str">
        <f>IFERROR(__xludf.DUMMYFUNCTION("IFERROR(
  FILTER('CBK Students'!F:F, TRIM('CBK Students'!B:B) = TRIM(A341)),
  """"
)"),"#REF!")</f>
        <v>#REF!</v>
      </c>
      <c r="U341" s="240" t="str">
        <f>IFERROR(__xludf.DUMMYFUNCTION("IFERROR(
  FILTER('CBK Students'!H:H, TRIM('CBK Students'!B:B) = TRIM(A341)),
  """"
)"),"#REF!")</f>
        <v>#REF!</v>
      </c>
      <c r="V341" s="240" t="str">
        <f>IFERROR(__xludf.DUMMYFUNCTION("IFERROR(
  FILTER('CBK Students'!M:M, TRIM('CBK Students'!B:B) = TRIM(A341)),
  """"
)"),"#REF!")</f>
        <v>#REF!</v>
      </c>
      <c r="W341" s="240" t="str">
        <f t="shared" si="1"/>
        <v/>
      </c>
      <c r="X341" s="240" t="str">
        <f>IFERROR(__xludf.DUMMYFUNCTION("IFERROR(
  FILTER('CBK Students'!R:R, TRIM('CBK Students'!B:B) = TRIM(A341)),
  """"
)"),"#REF!")</f>
        <v>#REF!</v>
      </c>
      <c r="Y341" s="4" t="str">
        <f t="shared" si="2"/>
        <v/>
      </c>
      <c r="Z341" s="4" t="str">
        <f>IFERROR(__xludf.DUMMYFUNCTION("IFERROR(
  FILTER('CBK Students'!O:O, TRIM('CBK Students'!B:B) = TRIM(A341)),
  """"
)"),"#REF!")</f>
        <v>#REF!</v>
      </c>
      <c r="AA341" s="4" t="str">
        <f>IFERROR(__xludf.DUMMYFUNCTION("IFERROR(
  FILTER('CBK Students'!P:P, TRIM('CBK Students'!B:B) = TRIM(A341)),
  """"
)"),"#REF!")</f>
        <v>#REF!</v>
      </c>
      <c r="AB341" s="4" t="str">
        <f>IFERROR(__xludf.DUMMYFUNCTION("IFERROR(
  FILTER('CBK Students'!Q:Q, TRIM('CBK Students'!B:B) = TRIM(A341)),
  """"
)"),"#REF!")</f>
        <v>#REF!</v>
      </c>
    </row>
    <row r="342" ht="18.75" customHeight="1">
      <c r="T342" s="240" t="str">
        <f>IFERROR(__xludf.DUMMYFUNCTION("IFERROR(
  FILTER('CBK Students'!F:F, TRIM('CBK Students'!B:B) = TRIM(A342)),
  """"
)"),"#REF!")</f>
        <v>#REF!</v>
      </c>
      <c r="U342" s="240" t="str">
        <f>IFERROR(__xludf.DUMMYFUNCTION("IFERROR(
  FILTER('CBK Students'!H:H, TRIM('CBK Students'!B:B) = TRIM(A342)),
  """"
)"),"#REF!")</f>
        <v>#REF!</v>
      </c>
      <c r="V342" s="240" t="str">
        <f>IFERROR(__xludf.DUMMYFUNCTION("IFERROR(
  FILTER('CBK Students'!M:M, TRIM('CBK Students'!B:B) = TRIM(A342)),
  """"
)"),"#REF!")</f>
        <v>#REF!</v>
      </c>
      <c r="W342" s="240" t="str">
        <f t="shared" si="1"/>
        <v/>
      </c>
      <c r="X342" s="240" t="str">
        <f>IFERROR(__xludf.DUMMYFUNCTION("IFERROR(
  FILTER('CBK Students'!R:R, TRIM('CBK Students'!B:B) = TRIM(A342)),
  """"
)"),"#REF!")</f>
        <v>#REF!</v>
      </c>
      <c r="Y342" s="4" t="str">
        <f t="shared" si="2"/>
        <v/>
      </c>
      <c r="Z342" s="4" t="str">
        <f>IFERROR(__xludf.DUMMYFUNCTION("IFERROR(
  FILTER('CBK Students'!O:O, TRIM('CBK Students'!B:B) = TRIM(A342)),
  """"
)"),"#REF!")</f>
        <v>#REF!</v>
      </c>
      <c r="AA342" s="4" t="str">
        <f>IFERROR(__xludf.DUMMYFUNCTION("IFERROR(
  FILTER('CBK Students'!P:P, TRIM('CBK Students'!B:B) = TRIM(A342)),
  """"
)"),"#REF!")</f>
        <v>#REF!</v>
      </c>
      <c r="AB342" s="4" t="str">
        <f>IFERROR(__xludf.DUMMYFUNCTION("IFERROR(
  FILTER('CBK Students'!Q:Q, TRIM('CBK Students'!B:B) = TRIM(A342)),
  """"
)"),"#REF!")</f>
        <v>#REF!</v>
      </c>
    </row>
    <row r="343" ht="18.75" customHeight="1">
      <c r="T343" s="240" t="str">
        <f>IFERROR(__xludf.DUMMYFUNCTION("IFERROR(
  FILTER('CBK Students'!F:F, TRIM('CBK Students'!B:B) = TRIM(A343)),
  """"
)"),"#REF!")</f>
        <v>#REF!</v>
      </c>
      <c r="U343" s="240" t="str">
        <f>IFERROR(__xludf.DUMMYFUNCTION("IFERROR(
  FILTER('CBK Students'!H:H, TRIM('CBK Students'!B:B) = TRIM(A343)),
  """"
)"),"#REF!")</f>
        <v>#REF!</v>
      </c>
      <c r="V343" s="240" t="str">
        <f>IFERROR(__xludf.DUMMYFUNCTION("IFERROR(
  FILTER('CBK Students'!M:M, TRIM('CBK Students'!B:B) = TRIM(A343)),
  """"
)"),"#REF!")</f>
        <v>#REF!</v>
      </c>
      <c r="W343" s="240" t="str">
        <f t="shared" si="1"/>
        <v/>
      </c>
      <c r="X343" s="240" t="str">
        <f>IFERROR(__xludf.DUMMYFUNCTION("IFERROR(
  FILTER('CBK Students'!R:R, TRIM('CBK Students'!B:B) = TRIM(A343)),
  """"
)"),"#REF!")</f>
        <v>#REF!</v>
      </c>
      <c r="Y343" s="4" t="str">
        <f t="shared" si="2"/>
        <v/>
      </c>
      <c r="Z343" s="4" t="str">
        <f>IFERROR(__xludf.DUMMYFUNCTION("IFERROR(
  FILTER('CBK Students'!O:O, TRIM('CBK Students'!B:B) = TRIM(A343)),
  """"
)"),"#REF!")</f>
        <v>#REF!</v>
      </c>
      <c r="AA343" s="4" t="str">
        <f>IFERROR(__xludf.DUMMYFUNCTION("IFERROR(
  FILTER('CBK Students'!P:P, TRIM('CBK Students'!B:B) = TRIM(A343)),
  """"
)"),"#REF!")</f>
        <v>#REF!</v>
      </c>
      <c r="AB343" s="4" t="str">
        <f>IFERROR(__xludf.DUMMYFUNCTION("IFERROR(
  FILTER('CBK Students'!Q:Q, TRIM('CBK Students'!B:B) = TRIM(A343)),
  """"
)"),"#REF!")</f>
        <v>#REF!</v>
      </c>
    </row>
    <row r="344" ht="18.75" customHeight="1">
      <c r="T344" s="240" t="str">
        <f>IFERROR(__xludf.DUMMYFUNCTION("IFERROR(
  FILTER('CBK Students'!F:F, TRIM('CBK Students'!B:B) = TRIM(A344)),
  """"
)"),"#REF!")</f>
        <v>#REF!</v>
      </c>
      <c r="U344" s="240" t="str">
        <f>IFERROR(__xludf.DUMMYFUNCTION("IFERROR(
  FILTER('CBK Students'!H:H, TRIM('CBK Students'!B:B) = TRIM(A344)),
  """"
)"),"#REF!")</f>
        <v>#REF!</v>
      </c>
      <c r="V344" s="240" t="str">
        <f>IFERROR(__xludf.DUMMYFUNCTION("IFERROR(
  FILTER('CBK Students'!M:M, TRIM('CBK Students'!B:B) = TRIM(A344)),
  """"
)"),"#REF!")</f>
        <v>#REF!</v>
      </c>
      <c r="W344" s="240" t="str">
        <f t="shared" si="1"/>
        <v/>
      </c>
      <c r="X344" s="240" t="str">
        <f>IFERROR(__xludf.DUMMYFUNCTION("IFERROR(
  FILTER('CBK Students'!R:R, TRIM('CBK Students'!B:B) = TRIM(A344)),
  """"
)"),"#REF!")</f>
        <v>#REF!</v>
      </c>
      <c r="Y344" s="4" t="str">
        <f t="shared" si="2"/>
        <v/>
      </c>
      <c r="Z344" s="4" t="str">
        <f>IFERROR(__xludf.DUMMYFUNCTION("IFERROR(
  FILTER('CBK Students'!O:O, TRIM('CBK Students'!B:B) = TRIM(A344)),
  """"
)"),"#REF!")</f>
        <v>#REF!</v>
      </c>
      <c r="AA344" s="4" t="str">
        <f>IFERROR(__xludf.DUMMYFUNCTION("IFERROR(
  FILTER('CBK Students'!P:P, TRIM('CBK Students'!B:B) = TRIM(A344)),
  """"
)"),"#REF!")</f>
        <v>#REF!</v>
      </c>
      <c r="AB344" s="4" t="str">
        <f>IFERROR(__xludf.DUMMYFUNCTION("IFERROR(
  FILTER('CBK Students'!Q:Q, TRIM('CBK Students'!B:B) = TRIM(A344)),
  """"
)"),"#REF!")</f>
        <v>#REF!</v>
      </c>
    </row>
    <row r="345" ht="18.75" customHeight="1">
      <c r="T345" s="240" t="str">
        <f>IFERROR(__xludf.DUMMYFUNCTION("IFERROR(
  FILTER('CBK Students'!F:F, TRIM('CBK Students'!B:B) = TRIM(A345)),
  """"
)"),"#REF!")</f>
        <v>#REF!</v>
      </c>
      <c r="U345" s="240" t="str">
        <f>IFERROR(__xludf.DUMMYFUNCTION("IFERROR(
  FILTER('CBK Students'!H:H, TRIM('CBK Students'!B:B) = TRIM(A345)),
  """"
)"),"#REF!")</f>
        <v>#REF!</v>
      </c>
      <c r="V345" s="240" t="str">
        <f>IFERROR(__xludf.DUMMYFUNCTION("IFERROR(
  FILTER('CBK Students'!M:M, TRIM('CBK Students'!B:B) = TRIM(A345)),
  """"
)"),"#REF!")</f>
        <v>#REF!</v>
      </c>
      <c r="W345" s="240" t="str">
        <f t="shared" si="1"/>
        <v/>
      </c>
      <c r="X345" s="240" t="str">
        <f>IFERROR(__xludf.DUMMYFUNCTION("IFERROR(
  FILTER('CBK Students'!R:R, TRIM('CBK Students'!B:B) = TRIM(A345)),
  """"
)"),"#REF!")</f>
        <v>#REF!</v>
      </c>
      <c r="Y345" s="4" t="str">
        <f t="shared" si="2"/>
        <v/>
      </c>
      <c r="Z345" s="4" t="str">
        <f>IFERROR(__xludf.DUMMYFUNCTION("IFERROR(
  FILTER('CBK Students'!O:O, TRIM('CBK Students'!B:B) = TRIM(A345)),
  """"
)"),"#REF!")</f>
        <v>#REF!</v>
      </c>
      <c r="AA345" s="4" t="str">
        <f>IFERROR(__xludf.DUMMYFUNCTION("IFERROR(
  FILTER('CBK Students'!P:P, TRIM('CBK Students'!B:B) = TRIM(A345)),
  """"
)"),"#REF!")</f>
        <v>#REF!</v>
      </c>
      <c r="AB345" s="4" t="str">
        <f>IFERROR(__xludf.DUMMYFUNCTION("IFERROR(
  FILTER('CBK Students'!Q:Q, TRIM('CBK Students'!B:B) = TRIM(A345)),
  """"
)"),"#REF!")</f>
        <v>#REF!</v>
      </c>
    </row>
    <row r="346" ht="18.75" customHeight="1">
      <c r="T346" s="240" t="str">
        <f>IFERROR(__xludf.DUMMYFUNCTION("IFERROR(
  FILTER('CBK Students'!F:F, TRIM('CBK Students'!B:B) = TRIM(A346)),
  """"
)"),"#REF!")</f>
        <v>#REF!</v>
      </c>
      <c r="U346" s="240" t="str">
        <f>IFERROR(__xludf.DUMMYFUNCTION("IFERROR(
  FILTER('CBK Students'!H:H, TRIM('CBK Students'!B:B) = TRIM(A346)),
  """"
)"),"#REF!")</f>
        <v>#REF!</v>
      </c>
      <c r="V346" s="240" t="str">
        <f>IFERROR(__xludf.DUMMYFUNCTION("IFERROR(
  FILTER('CBK Students'!M:M, TRIM('CBK Students'!B:B) = TRIM(A346)),
  """"
)"),"#REF!")</f>
        <v>#REF!</v>
      </c>
      <c r="W346" s="240" t="str">
        <f t="shared" si="1"/>
        <v/>
      </c>
      <c r="X346" s="240" t="str">
        <f>IFERROR(__xludf.DUMMYFUNCTION("IFERROR(
  FILTER('CBK Students'!R:R, TRIM('CBK Students'!B:B) = TRIM(A346)),
  """"
)"),"#REF!")</f>
        <v>#REF!</v>
      </c>
      <c r="Y346" s="4" t="str">
        <f t="shared" si="2"/>
        <v/>
      </c>
      <c r="Z346" s="4" t="str">
        <f>IFERROR(__xludf.DUMMYFUNCTION("IFERROR(
  FILTER('CBK Students'!O:O, TRIM('CBK Students'!B:B) = TRIM(A346)),
  """"
)"),"#REF!")</f>
        <v>#REF!</v>
      </c>
      <c r="AA346" s="4" t="str">
        <f>IFERROR(__xludf.DUMMYFUNCTION("IFERROR(
  FILTER('CBK Students'!P:P, TRIM('CBK Students'!B:B) = TRIM(A346)),
  """"
)"),"#REF!")</f>
        <v>#REF!</v>
      </c>
      <c r="AB346" s="4" t="str">
        <f>IFERROR(__xludf.DUMMYFUNCTION("IFERROR(
  FILTER('CBK Students'!Q:Q, TRIM('CBK Students'!B:B) = TRIM(A346)),
  """"
)"),"#REF!")</f>
        <v>#REF!</v>
      </c>
    </row>
    <row r="347" ht="18.75" customHeight="1">
      <c r="T347" s="240" t="str">
        <f>IFERROR(__xludf.DUMMYFUNCTION("IFERROR(
  FILTER('CBK Students'!F:F, TRIM('CBK Students'!B:B) = TRIM(A347)),
  """"
)"),"#REF!")</f>
        <v>#REF!</v>
      </c>
      <c r="U347" s="240" t="str">
        <f>IFERROR(__xludf.DUMMYFUNCTION("IFERROR(
  FILTER('CBK Students'!H:H, TRIM('CBK Students'!B:B) = TRIM(A347)),
  """"
)"),"#REF!")</f>
        <v>#REF!</v>
      </c>
      <c r="V347" s="240" t="str">
        <f>IFERROR(__xludf.DUMMYFUNCTION("IFERROR(
  FILTER('CBK Students'!M:M, TRIM('CBK Students'!B:B) = TRIM(A347)),
  """"
)"),"#REF!")</f>
        <v>#REF!</v>
      </c>
      <c r="W347" s="240" t="str">
        <f t="shared" si="1"/>
        <v/>
      </c>
      <c r="X347" s="240" t="str">
        <f>IFERROR(__xludf.DUMMYFUNCTION("IFERROR(
  FILTER('CBK Students'!R:R, TRIM('CBK Students'!B:B) = TRIM(A347)),
  """"
)"),"#REF!")</f>
        <v>#REF!</v>
      </c>
      <c r="Y347" s="4" t="str">
        <f t="shared" si="2"/>
        <v/>
      </c>
      <c r="Z347" s="4" t="str">
        <f>IFERROR(__xludf.DUMMYFUNCTION("IFERROR(
  FILTER('CBK Students'!O:O, TRIM('CBK Students'!B:B) = TRIM(A347)),
  """"
)"),"#REF!")</f>
        <v>#REF!</v>
      </c>
      <c r="AA347" s="4" t="str">
        <f>IFERROR(__xludf.DUMMYFUNCTION("IFERROR(
  FILTER('CBK Students'!P:P, TRIM('CBK Students'!B:B) = TRIM(A347)),
  """"
)"),"#REF!")</f>
        <v>#REF!</v>
      </c>
      <c r="AB347" s="4" t="str">
        <f>IFERROR(__xludf.DUMMYFUNCTION("IFERROR(
  FILTER('CBK Students'!Q:Q, TRIM('CBK Students'!B:B) = TRIM(A347)),
  """"
)"),"#REF!")</f>
        <v>#REF!</v>
      </c>
    </row>
    <row r="348" ht="18.75" customHeight="1">
      <c r="T348" s="240" t="str">
        <f>IFERROR(__xludf.DUMMYFUNCTION("IFERROR(
  FILTER('CBK Students'!F:F, TRIM('CBK Students'!B:B) = TRIM(A348)),
  """"
)"),"#REF!")</f>
        <v>#REF!</v>
      </c>
      <c r="U348" s="240" t="str">
        <f>IFERROR(__xludf.DUMMYFUNCTION("IFERROR(
  FILTER('CBK Students'!H:H, TRIM('CBK Students'!B:B) = TRIM(A348)),
  """"
)"),"#REF!")</f>
        <v>#REF!</v>
      </c>
      <c r="V348" s="240" t="str">
        <f>IFERROR(__xludf.DUMMYFUNCTION("IFERROR(
  FILTER('CBK Students'!M:M, TRIM('CBK Students'!B:B) = TRIM(A348)),
  """"
)"),"#REF!")</f>
        <v>#REF!</v>
      </c>
      <c r="W348" s="240" t="str">
        <f t="shared" si="1"/>
        <v/>
      </c>
      <c r="X348" s="240" t="str">
        <f>IFERROR(__xludf.DUMMYFUNCTION("IFERROR(
  FILTER('CBK Students'!R:R, TRIM('CBK Students'!B:B) = TRIM(A348)),
  """"
)"),"#REF!")</f>
        <v>#REF!</v>
      </c>
      <c r="Y348" s="4" t="str">
        <f t="shared" si="2"/>
        <v/>
      </c>
      <c r="Z348" s="4" t="str">
        <f>IFERROR(__xludf.DUMMYFUNCTION("IFERROR(
  FILTER('CBK Students'!O:O, TRIM('CBK Students'!B:B) = TRIM(A348)),
  """"
)"),"#REF!")</f>
        <v>#REF!</v>
      </c>
      <c r="AA348" s="4" t="str">
        <f>IFERROR(__xludf.DUMMYFUNCTION("IFERROR(
  FILTER('CBK Students'!P:P, TRIM('CBK Students'!B:B) = TRIM(A348)),
  """"
)"),"#REF!")</f>
        <v>#REF!</v>
      </c>
      <c r="AB348" s="4" t="str">
        <f>IFERROR(__xludf.DUMMYFUNCTION("IFERROR(
  FILTER('CBK Students'!Q:Q, TRIM('CBK Students'!B:B) = TRIM(A348)),
  """"
)"),"#REF!")</f>
        <v>#REF!</v>
      </c>
    </row>
    <row r="349" ht="18.75" customHeight="1">
      <c r="T349" s="240" t="str">
        <f>IFERROR(__xludf.DUMMYFUNCTION("IFERROR(
  FILTER('CBK Students'!F:F, TRIM('CBK Students'!B:B) = TRIM(A349)),
  """"
)"),"#REF!")</f>
        <v>#REF!</v>
      </c>
      <c r="U349" s="240" t="str">
        <f>IFERROR(__xludf.DUMMYFUNCTION("IFERROR(
  FILTER('CBK Students'!H:H, TRIM('CBK Students'!B:B) = TRIM(A349)),
  """"
)"),"#REF!")</f>
        <v>#REF!</v>
      </c>
      <c r="V349" s="240" t="str">
        <f>IFERROR(__xludf.DUMMYFUNCTION("IFERROR(
  FILTER('CBK Students'!M:M, TRIM('CBK Students'!B:B) = TRIM(A349)),
  """"
)"),"#REF!")</f>
        <v>#REF!</v>
      </c>
      <c r="W349" s="240" t="str">
        <f t="shared" si="1"/>
        <v/>
      </c>
      <c r="X349" s="240" t="str">
        <f>IFERROR(__xludf.DUMMYFUNCTION("IFERROR(
  FILTER('CBK Students'!R:R, TRIM('CBK Students'!B:B) = TRIM(A349)),
  """"
)"),"#REF!")</f>
        <v>#REF!</v>
      </c>
      <c r="Y349" s="4" t="str">
        <f t="shared" si="2"/>
        <v/>
      </c>
      <c r="Z349" s="4" t="str">
        <f>IFERROR(__xludf.DUMMYFUNCTION("IFERROR(
  FILTER('CBK Students'!O:O, TRIM('CBK Students'!B:B) = TRIM(A349)),
  """"
)"),"#REF!")</f>
        <v>#REF!</v>
      </c>
      <c r="AA349" s="4" t="str">
        <f>IFERROR(__xludf.DUMMYFUNCTION("IFERROR(
  FILTER('CBK Students'!P:P, TRIM('CBK Students'!B:B) = TRIM(A349)),
  """"
)"),"#REF!")</f>
        <v>#REF!</v>
      </c>
      <c r="AB349" s="4" t="str">
        <f>IFERROR(__xludf.DUMMYFUNCTION("IFERROR(
  FILTER('CBK Students'!Q:Q, TRIM('CBK Students'!B:B) = TRIM(A349)),
  """"
)"),"#REF!")</f>
        <v>#REF!</v>
      </c>
    </row>
    <row r="350" ht="18.75" customHeight="1">
      <c r="T350" s="240" t="str">
        <f>IFERROR(__xludf.DUMMYFUNCTION("IFERROR(
  FILTER('CBK Students'!F:F, TRIM('CBK Students'!B:B) = TRIM(A350)),
  """"
)"),"#REF!")</f>
        <v>#REF!</v>
      </c>
      <c r="U350" s="240" t="str">
        <f>IFERROR(__xludf.DUMMYFUNCTION("IFERROR(
  FILTER('CBK Students'!H:H, TRIM('CBK Students'!B:B) = TRIM(A350)),
  """"
)"),"#REF!")</f>
        <v>#REF!</v>
      </c>
      <c r="V350" s="240" t="str">
        <f>IFERROR(__xludf.DUMMYFUNCTION("IFERROR(
  FILTER('CBK Students'!M:M, TRIM('CBK Students'!B:B) = TRIM(A350)),
  """"
)"),"#REF!")</f>
        <v>#REF!</v>
      </c>
      <c r="W350" s="240" t="str">
        <f t="shared" si="1"/>
        <v/>
      </c>
      <c r="X350" s="240" t="str">
        <f>IFERROR(__xludf.DUMMYFUNCTION("IFERROR(
  FILTER('CBK Students'!R:R, TRIM('CBK Students'!B:B) = TRIM(A350)),
  """"
)"),"#REF!")</f>
        <v>#REF!</v>
      </c>
      <c r="Y350" s="4" t="str">
        <f t="shared" si="2"/>
        <v/>
      </c>
      <c r="Z350" s="4" t="str">
        <f>IFERROR(__xludf.DUMMYFUNCTION("IFERROR(
  FILTER('CBK Students'!O:O, TRIM('CBK Students'!B:B) = TRIM(A350)),
  """"
)"),"#REF!")</f>
        <v>#REF!</v>
      </c>
      <c r="AA350" s="4" t="str">
        <f>IFERROR(__xludf.DUMMYFUNCTION("IFERROR(
  FILTER('CBK Students'!P:P, TRIM('CBK Students'!B:B) = TRIM(A350)),
  """"
)"),"#REF!")</f>
        <v>#REF!</v>
      </c>
      <c r="AB350" s="4" t="str">
        <f>IFERROR(__xludf.DUMMYFUNCTION("IFERROR(
  FILTER('CBK Students'!Q:Q, TRIM('CBK Students'!B:B) = TRIM(A350)),
  """"
)"),"#REF!")</f>
        <v>#REF!</v>
      </c>
    </row>
    <row r="351" ht="18.75" customHeight="1">
      <c r="T351" s="240" t="str">
        <f>IFERROR(__xludf.DUMMYFUNCTION("IFERROR(
  FILTER('CBK Students'!F:F, TRIM('CBK Students'!B:B) = TRIM(A351)),
  """"
)"),"#REF!")</f>
        <v>#REF!</v>
      </c>
      <c r="U351" s="240" t="str">
        <f>IFERROR(__xludf.DUMMYFUNCTION("IFERROR(
  FILTER('CBK Students'!H:H, TRIM('CBK Students'!B:B) = TRIM(A351)),
  """"
)"),"#REF!")</f>
        <v>#REF!</v>
      </c>
      <c r="V351" s="240" t="str">
        <f>IFERROR(__xludf.DUMMYFUNCTION("IFERROR(
  FILTER('CBK Students'!M:M, TRIM('CBK Students'!B:B) = TRIM(A351)),
  """"
)"),"#REF!")</f>
        <v>#REF!</v>
      </c>
      <c r="W351" s="240" t="str">
        <f t="shared" si="1"/>
        <v/>
      </c>
      <c r="X351" s="240" t="str">
        <f>IFERROR(__xludf.DUMMYFUNCTION("IFERROR(
  FILTER('CBK Students'!R:R, TRIM('CBK Students'!B:B) = TRIM(A351)),
  """"
)"),"#REF!")</f>
        <v>#REF!</v>
      </c>
      <c r="Y351" s="4" t="str">
        <f t="shared" si="2"/>
        <v/>
      </c>
      <c r="Z351" s="4" t="str">
        <f>IFERROR(__xludf.DUMMYFUNCTION("IFERROR(
  FILTER('CBK Students'!O:O, TRIM('CBK Students'!B:B) = TRIM(A351)),
  """"
)"),"#REF!")</f>
        <v>#REF!</v>
      </c>
      <c r="AA351" s="4" t="str">
        <f>IFERROR(__xludf.DUMMYFUNCTION("IFERROR(
  FILTER('CBK Students'!P:P, TRIM('CBK Students'!B:B) = TRIM(A351)),
  """"
)"),"#REF!")</f>
        <v>#REF!</v>
      </c>
      <c r="AB351" s="4" t="str">
        <f>IFERROR(__xludf.DUMMYFUNCTION("IFERROR(
  FILTER('CBK Students'!Q:Q, TRIM('CBK Students'!B:B) = TRIM(A351)),
  """"
)"),"#REF!")</f>
        <v>#REF!</v>
      </c>
    </row>
    <row r="352" ht="18.75" customHeight="1">
      <c r="T352" s="240" t="str">
        <f>IFERROR(__xludf.DUMMYFUNCTION("IFERROR(
  FILTER('CBK Students'!F:F, TRIM('CBK Students'!B:B) = TRIM(A352)),
  """"
)"),"#REF!")</f>
        <v>#REF!</v>
      </c>
      <c r="U352" s="240" t="str">
        <f>IFERROR(__xludf.DUMMYFUNCTION("IFERROR(
  FILTER('CBK Students'!H:H, TRIM('CBK Students'!B:B) = TRIM(A352)),
  """"
)"),"#REF!")</f>
        <v>#REF!</v>
      </c>
      <c r="V352" s="240" t="str">
        <f>IFERROR(__xludf.DUMMYFUNCTION("IFERROR(
  FILTER('CBK Students'!M:M, TRIM('CBK Students'!B:B) = TRIM(A352)),
  """"
)"),"#REF!")</f>
        <v>#REF!</v>
      </c>
      <c r="W352" s="240" t="str">
        <f t="shared" si="1"/>
        <v/>
      </c>
      <c r="X352" s="240" t="str">
        <f>IFERROR(__xludf.DUMMYFUNCTION("IFERROR(
  FILTER('CBK Students'!R:R, TRIM('CBK Students'!B:B) = TRIM(A352)),
  """"
)"),"#REF!")</f>
        <v>#REF!</v>
      </c>
      <c r="Y352" s="4" t="str">
        <f t="shared" si="2"/>
        <v/>
      </c>
      <c r="Z352" s="4" t="str">
        <f>IFERROR(__xludf.DUMMYFUNCTION("IFERROR(
  FILTER('CBK Students'!O:O, TRIM('CBK Students'!B:B) = TRIM(A352)),
  """"
)"),"#REF!")</f>
        <v>#REF!</v>
      </c>
      <c r="AA352" s="4" t="str">
        <f>IFERROR(__xludf.DUMMYFUNCTION("IFERROR(
  FILTER('CBK Students'!P:P, TRIM('CBK Students'!B:B) = TRIM(A352)),
  """"
)"),"#REF!")</f>
        <v>#REF!</v>
      </c>
      <c r="AB352" s="4" t="str">
        <f>IFERROR(__xludf.DUMMYFUNCTION("IFERROR(
  FILTER('CBK Students'!Q:Q, TRIM('CBK Students'!B:B) = TRIM(A352)),
  """"
)"),"#REF!")</f>
        <v>#REF!</v>
      </c>
    </row>
    <row r="353" ht="18.75" customHeight="1">
      <c r="T353" s="240" t="str">
        <f>IFERROR(__xludf.DUMMYFUNCTION("IFERROR(
  FILTER('CBK Students'!F:F, TRIM('CBK Students'!B:B) = TRIM(A353)),
  """"
)"),"#REF!")</f>
        <v>#REF!</v>
      </c>
      <c r="U353" s="240" t="str">
        <f>IFERROR(__xludf.DUMMYFUNCTION("IFERROR(
  FILTER('CBK Students'!H:H, TRIM('CBK Students'!B:B) = TRIM(A353)),
  """"
)"),"#REF!")</f>
        <v>#REF!</v>
      </c>
      <c r="V353" s="240" t="str">
        <f>IFERROR(__xludf.DUMMYFUNCTION("IFERROR(
  FILTER('CBK Students'!M:M, TRIM('CBK Students'!B:B) = TRIM(A353)),
  """"
)"),"#REF!")</f>
        <v>#REF!</v>
      </c>
      <c r="W353" s="240" t="str">
        <f t="shared" si="1"/>
        <v/>
      </c>
      <c r="X353" s="240" t="str">
        <f>IFERROR(__xludf.DUMMYFUNCTION("IFERROR(
  FILTER('CBK Students'!R:R, TRIM('CBK Students'!B:B) = TRIM(A353)),
  """"
)"),"#REF!")</f>
        <v>#REF!</v>
      </c>
      <c r="Y353" s="4" t="str">
        <f t="shared" si="2"/>
        <v/>
      </c>
      <c r="Z353" s="4" t="str">
        <f>IFERROR(__xludf.DUMMYFUNCTION("IFERROR(
  FILTER('CBK Students'!O:O, TRIM('CBK Students'!B:B) = TRIM(A353)),
  """"
)"),"#REF!")</f>
        <v>#REF!</v>
      </c>
      <c r="AA353" s="4" t="str">
        <f>IFERROR(__xludf.DUMMYFUNCTION("IFERROR(
  FILTER('CBK Students'!P:P, TRIM('CBK Students'!B:B) = TRIM(A353)),
  """"
)"),"#REF!")</f>
        <v>#REF!</v>
      </c>
      <c r="AB353" s="4" t="str">
        <f>IFERROR(__xludf.DUMMYFUNCTION("IFERROR(
  FILTER('CBK Students'!Q:Q, TRIM('CBK Students'!B:B) = TRIM(A353)),
  """"
)"),"#REF!")</f>
        <v>#REF!</v>
      </c>
    </row>
    <row r="354" ht="18.75" customHeight="1">
      <c r="T354" s="240" t="str">
        <f>IFERROR(__xludf.DUMMYFUNCTION("IFERROR(
  FILTER('CBK Students'!F:F, TRIM('CBK Students'!B:B) = TRIM(A354)),
  """"
)"),"#REF!")</f>
        <v>#REF!</v>
      </c>
      <c r="U354" s="240" t="str">
        <f>IFERROR(__xludf.DUMMYFUNCTION("IFERROR(
  FILTER('CBK Students'!H:H, TRIM('CBK Students'!B:B) = TRIM(A354)),
  """"
)"),"#REF!")</f>
        <v>#REF!</v>
      </c>
      <c r="V354" s="240" t="str">
        <f>IFERROR(__xludf.DUMMYFUNCTION("IFERROR(
  FILTER('CBK Students'!M:M, TRIM('CBK Students'!B:B) = TRIM(A354)),
  """"
)"),"#REF!")</f>
        <v>#REF!</v>
      </c>
      <c r="W354" s="240" t="str">
        <f t="shared" si="1"/>
        <v/>
      </c>
      <c r="X354" s="240" t="str">
        <f>IFERROR(__xludf.DUMMYFUNCTION("IFERROR(
  FILTER('CBK Students'!R:R, TRIM('CBK Students'!B:B) = TRIM(A354)),
  """"
)"),"#REF!")</f>
        <v>#REF!</v>
      </c>
      <c r="Y354" s="4" t="str">
        <f t="shared" si="2"/>
        <v/>
      </c>
      <c r="Z354" s="4" t="str">
        <f>IFERROR(__xludf.DUMMYFUNCTION("IFERROR(
  FILTER('CBK Students'!O:O, TRIM('CBK Students'!B:B) = TRIM(A354)),
  """"
)"),"#REF!")</f>
        <v>#REF!</v>
      </c>
      <c r="AA354" s="4" t="str">
        <f>IFERROR(__xludf.DUMMYFUNCTION("IFERROR(
  FILTER('CBK Students'!P:P, TRIM('CBK Students'!B:B) = TRIM(A354)),
  """"
)"),"#REF!")</f>
        <v>#REF!</v>
      </c>
      <c r="AB354" s="4" t="str">
        <f>IFERROR(__xludf.DUMMYFUNCTION("IFERROR(
  FILTER('CBK Students'!Q:Q, TRIM('CBK Students'!B:B) = TRIM(A354)),
  """"
)"),"#REF!")</f>
        <v>#REF!</v>
      </c>
    </row>
    <row r="355" ht="18.75" customHeight="1">
      <c r="T355" s="240" t="str">
        <f>IFERROR(__xludf.DUMMYFUNCTION("IFERROR(
  FILTER('CBK Students'!F:F, TRIM('CBK Students'!B:B) = TRIM(A355)),
  """"
)"),"#REF!")</f>
        <v>#REF!</v>
      </c>
      <c r="U355" s="240" t="str">
        <f>IFERROR(__xludf.DUMMYFUNCTION("IFERROR(
  FILTER('CBK Students'!H:H, TRIM('CBK Students'!B:B) = TRIM(A355)),
  """"
)"),"#REF!")</f>
        <v>#REF!</v>
      </c>
      <c r="V355" s="240" t="str">
        <f>IFERROR(__xludf.DUMMYFUNCTION("IFERROR(
  FILTER('CBK Students'!M:M, TRIM('CBK Students'!B:B) = TRIM(A355)),
  """"
)"),"#REF!")</f>
        <v>#REF!</v>
      </c>
      <c r="W355" s="240" t="str">
        <f t="shared" si="1"/>
        <v/>
      </c>
      <c r="X355" s="240" t="str">
        <f>IFERROR(__xludf.DUMMYFUNCTION("IFERROR(
  FILTER('CBK Students'!R:R, TRIM('CBK Students'!B:B) = TRIM(A355)),
  """"
)"),"#REF!")</f>
        <v>#REF!</v>
      </c>
      <c r="Y355" s="4" t="str">
        <f t="shared" si="2"/>
        <v/>
      </c>
      <c r="Z355" s="4" t="str">
        <f>IFERROR(__xludf.DUMMYFUNCTION("IFERROR(
  FILTER('CBK Students'!O:O, TRIM('CBK Students'!B:B) = TRIM(A355)),
  """"
)"),"#REF!")</f>
        <v>#REF!</v>
      </c>
      <c r="AA355" s="4" t="str">
        <f>IFERROR(__xludf.DUMMYFUNCTION("IFERROR(
  FILTER('CBK Students'!P:P, TRIM('CBK Students'!B:B) = TRIM(A355)),
  """"
)"),"#REF!")</f>
        <v>#REF!</v>
      </c>
      <c r="AB355" s="4" t="str">
        <f>IFERROR(__xludf.DUMMYFUNCTION("IFERROR(
  FILTER('CBK Students'!Q:Q, TRIM('CBK Students'!B:B) = TRIM(A355)),
  """"
)"),"#REF!")</f>
        <v>#REF!</v>
      </c>
    </row>
    <row r="356" ht="18.75" customHeight="1">
      <c r="T356" s="240" t="str">
        <f>IFERROR(__xludf.DUMMYFUNCTION("IFERROR(
  FILTER('CBK Students'!F:F, TRIM('CBK Students'!B:B) = TRIM(A356)),
  """"
)"),"#REF!")</f>
        <v>#REF!</v>
      </c>
      <c r="U356" s="240" t="str">
        <f>IFERROR(__xludf.DUMMYFUNCTION("IFERROR(
  FILTER('CBK Students'!H:H, TRIM('CBK Students'!B:B) = TRIM(A356)),
  """"
)"),"#REF!")</f>
        <v>#REF!</v>
      </c>
      <c r="V356" s="240" t="str">
        <f>IFERROR(__xludf.DUMMYFUNCTION("IFERROR(
  FILTER('CBK Students'!M:M, TRIM('CBK Students'!B:B) = TRIM(A356)),
  """"
)"),"#REF!")</f>
        <v>#REF!</v>
      </c>
      <c r="W356" s="240" t="str">
        <f t="shared" si="1"/>
        <v/>
      </c>
      <c r="X356" s="240" t="str">
        <f>IFERROR(__xludf.DUMMYFUNCTION("IFERROR(
  FILTER('CBK Students'!R:R, TRIM('CBK Students'!B:B) = TRIM(A356)),
  """"
)"),"#REF!")</f>
        <v>#REF!</v>
      </c>
      <c r="Y356" s="4" t="str">
        <f t="shared" si="2"/>
        <v/>
      </c>
      <c r="Z356" s="4" t="str">
        <f>IFERROR(__xludf.DUMMYFUNCTION("IFERROR(
  FILTER('CBK Students'!O:O, TRIM('CBK Students'!B:B) = TRIM(A356)),
  """"
)"),"#REF!")</f>
        <v>#REF!</v>
      </c>
      <c r="AA356" s="4" t="str">
        <f>IFERROR(__xludf.DUMMYFUNCTION("IFERROR(
  FILTER('CBK Students'!P:P, TRIM('CBK Students'!B:B) = TRIM(A356)),
  """"
)"),"#REF!")</f>
        <v>#REF!</v>
      </c>
      <c r="AB356" s="4" t="str">
        <f>IFERROR(__xludf.DUMMYFUNCTION("IFERROR(
  FILTER('CBK Students'!Q:Q, TRIM('CBK Students'!B:B) = TRIM(A356)),
  """"
)"),"#REF!")</f>
        <v>#REF!</v>
      </c>
    </row>
    <row r="357" ht="18.75" customHeight="1">
      <c r="T357" s="240" t="str">
        <f>IFERROR(__xludf.DUMMYFUNCTION("IFERROR(
  FILTER('CBK Students'!F:F, TRIM('CBK Students'!B:B) = TRIM(A357)),
  """"
)"),"#REF!")</f>
        <v>#REF!</v>
      </c>
      <c r="U357" s="240" t="str">
        <f>IFERROR(__xludf.DUMMYFUNCTION("IFERROR(
  FILTER('CBK Students'!H:H, TRIM('CBK Students'!B:B) = TRIM(A357)),
  """"
)"),"#REF!")</f>
        <v>#REF!</v>
      </c>
      <c r="V357" s="240" t="str">
        <f>IFERROR(__xludf.DUMMYFUNCTION("IFERROR(
  FILTER('CBK Students'!M:M, TRIM('CBK Students'!B:B) = TRIM(A357)),
  """"
)"),"#REF!")</f>
        <v>#REF!</v>
      </c>
      <c r="W357" s="240" t="str">
        <f t="shared" si="1"/>
        <v/>
      </c>
      <c r="X357" s="240" t="str">
        <f>IFERROR(__xludf.DUMMYFUNCTION("IFERROR(
  FILTER('CBK Students'!R:R, TRIM('CBK Students'!B:B) = TRIM(A357)),
  """"
)"),"#REF!")</f>
        <v>#REF!</v>
      </c>
      <c r="Y357" s="4" t="str">
        <f t="shared" si="2"/>
        <v/>
      </c>
      <c r="Z357" s="4" t="str">
        <f>IFERROR(__xludf.DUMMYFUNCTION("IFERROR(
  FILTER('CBK Students'!O:O, TRIM('CBK Students'!B:B) = TRIM(A357)),
  """"
)"),"#REF!")</f>
        <v>#REF!</v>
      </c>
      <c r="AA357" s="4" t="str">
        <f>IFERROR(__xludf.DUMMYFUNCTION("IFERROR(
  FILTER('CBK Students'!P:P, TRIM('CBK Students'!B:B) = TRIM(A357)),
  """"
)"),"#REF!")</f>
        <v>#REF!</v>
      </c>
      <c r="AB357" s="4" t="str">
        <f>IFERROR(__xludf.DUMMYFUNCTION("IFERROR(
  FILTER('CBK Students'!Q:Q, TRIM('CBK Students'!B:B) = TRIM(A357)),
  """"
)"),"#REF!")</f>
        <v>#REF!</v>
      </c>
    </row>
    <row r="358" ht="18.75" customHeight="1">
      <c r="T358" s="240" t="str">
        <f>IFERROR(__xludf.DUMMYFUNCTION("IFERROR(
  FILTER('CBK Students'!F:F, TRIM('CBK Students'!B:B) = TRIM(A358)),
  """"
)"),"#REF!")</f>
        <v>#REF!</v>
      </c>
      <c r="U358" s="240" t="str">
        <f>IFERROR(__xludf.DUMMYFUNCTION("IFERROR(
  FILTER('CBK Students'!H:H, TRIM('CBK Students'!B:B) = TRIM(A358)),
  """"
)"),"#REF!")</f>
        <v>#REF!</v>
      </c>
      <c r="V358" s="240" t="str">
        <f>IFERROR(__xludf.DUMMYFUNCTION("IFERROR(
  FILTER('CBK Students'!M:M, TRIM('CBK Students'!B:B) = TRIM(A358)),
  """"
)"),"#REF!")</f>
        <v>#REF!</v>
      </c>
      <c r="W358" s="240" t="str">
        <f t="shared" si="1"/>
        <v/>
      </c>
      <c r="X358" s="240" t="str">
        <f>IFERROR(__xludf.DUMMYFUNCTION("IFERROR(
  FILTER('CBK Students'!R:R, TRIM('CBK Students'!B:B) = TRIM(A358)),
  """"
)"),"#REF!")</f>
        <v>#REF!</v>
      </c>
      <c r="Y358" s="4" t="str">
        <f t="shared" si="2"/>
        <v/>
      </c>
      <c r="Z358" s="4" t="str">
        <f>IFERROR(__xludf.DUMMYFUNCTION("IFERROR(
  FILTER('CBK Students'!O:O, TRIM('CBK Students'!B:B) = TRIM(A358)),
  """"
)"),"#REF!")</f>
        <v>#REF!</v>
      </c>
      <c r="AA358" s="4" t="str">
        <f>IFERROR(__xludf.DUMMYFUNCTION("IFERROR(
  FILTER('CBK Students'!P:P, TRIM('CBK Students'!B:B) = TRIM(A358)),
  """"
)"),"#REF!")</f>
        <v>#REF!</v>
      </c>
      <c r="AB358" s="4" t="str">
        <f>IFERROR(__xludf.DUMMYFUNCTION("IFERROR(
  FILTER('CBK Students'!Q:Q, TRIM('CBK Students'!B:B) = TRIM(A358)),
  """"
)"),"#REF!")</f>
        <v>#REF!</v>
      </c>
    </row>
    <row r="359" ht="18.75" customHeight="1">
      <c r="T359" s="240" t="str">
        <f>IFERROR(__xludf.DUMMYFUNCTION("IFERROR(
  FILTER('CBK Students'!F:F, TRIM('CBK Students'!B:B) = TRIM(A359)),
  """"
)"),"#REF!")</f>
        <v>#REF!</v>
      </c>
      <c r="U359" s="240" t="str">
        <f>IFERROR(__xludf.DUMMYFUNCTION("IFERROR(
  FILTER('CBK Students'!H:H, TRIM('CBK Students'!B:B) = TRIM(A359)),
  """"
)"),"#REF!")</f>
        <v>#REF!</v>
      </c>
      <c r="V359" s="240" t="str">
        <f>IFERROR(__xludf.DUMMYFUNCTION("IFERROR(
  FILTER('CBK Students'!M:M, TRIM('CBK Students'!B:B) = TRIM(A359)),
  """"
)"),"#REF!")</f>
        <v>#REF!</v>
      </c>
      <c r="W359" s="240" t="str">
        <f t="shared" si="1"/>
        <v/>
      </c>
      <c r="X359" s="240" t="str">
        <f>IFERROR(__xludf.DUMMYFUNCTION("IFERROR(
  FILTER('CBK Students'!R:R, TRIM('CBK Students'!B:B) = TRIM(A359)),
  """"
)"),"#REF!")</f>
        <v>#REF!</v>
      </c>
      <c r="Y359" s="4" t="str">
        <f t="shared" si="2"/>
        <v/>
      </c>
      <c r="Z359" s="4" t="str">
        <f>IFERROR(__xludf.DUMMYFUNCTION("IFERROR(
  FILTER('CBK Students'!O:O, TRIM('CBK Students'!B:B) = TRIM(A359)),
  """"
)"),"#REF!")</f>
        <v>#REF!</v>
      </c>
      <c r="AA359" s="4" t="str">
        <f>IFERROR(__xludf.DUMMYFUNCTION("IFERROR(
  FILTER('CBK Students'!P:P, TRIM('CBK Students'!B:B) = TRIM(A359)),
  """"
)"),"#REF!")</f>
        <v>#REF!</v>
      </c>
      <c r="AB359" s="4" t="str">
        <f>IFERROR(__xludf.DUMMYFUNCTION("IFERROR(
  FILTER('CBK Students'!Q:Q, TRIM('CBK Students'!B:B) = TRIM(A359)),
  """"
)"),"#REF!")</f>
        <v>#REF!</v>
      </c>
    </row>
    <row r="360" ht="18.75" customHeight="1">
      <c r="T360" s="240" t="str">
        <f>IFERROR(__xludf.DUMMYFUNCTION("IFERROR(
  FILTER('CBK Students'!F:F, TRIM('CBK Students'!B:B) = TRIM(A360)),
  """"
)"),"#REF!")</f>
        <v>#REF!</v>
      </c>
      <c r="U360" s="240" t="str">
        <f>IFERROR(__xludf.DUMMYFUNCTION("IFERROR(
  FILTER('CBK Students'!H:H, TRIM('CBK Students'!B:B) = TRIM(A360)),
  """"
)"),"#REF!")</f>
        <v>#REF!</v>
      </c>
      <c r="V360" s="240" t="str">
        <f>IFERROR(__xludf.DUMMYFUNCTION("IFERROR(
  FILTER('CBK Students'!M:M, TRIM('CBK Students'!B:B) = TRIM(A360)),
  """"
)"),"#REF!")</f>
        <v>#REF!</v>
      </c>
      <c r="W360" s="240" t="str">
        <f t="shared" si="1"/>
        <v/>
      </c>
      <c r="X360" s="240" t="str">
        <f>IFERROR(__xludf.DUMMYFUNCTION("IFERROR(
  FILTER('CBK Students'!R:R, TRIM('CBK Students'!B:B) = TRIM(A360)),
  """"
)"),"#REF!")</f>
        <v>#REF!</v>
      </c>
      <c r="Y360" s="4" t="str">
        <f t="shared" si="2"/>
        <v/>
      </c>
      <c r="Z360" s="4" t="str">
        <f>IFERROR(__xludf.DUMMYFUNCTION("IFERROR(
  FILTER('CBK Students'!O:O, TRIM('CBK Students'!B:B) = TRIM(A360)),
  """"
)"),"#REF!")</f>
        <v>#REF!</v>
      </c>
      <c r="AA360" s="4" t="str">
        <f>IFERROR(__xludf.DUMMYFUNCTION("IFERROR(
  FILTER('CBK Students'!P:P, TRIM('CBK Students'!B:B) = TRIM(A360)),
  """"
)"),"#REF!")</f>
        <v>#REF!</v>
      </c>
      <c r="AB360" s="4" t="str">
        <f>IFERROR(__xludf.DUMMYFUNCTION("IFERROR(
  FILTER('CBK Students'!Q:Q, TRIM('CBK Students'!B:B) = TRIM(A360)),
  """"
)"),"#REF!")</f>
        <v>#REF!</v>
      </c>
    </row>
    <row r="361" ht="18.75" customHeight="1">
      <c r="T361" s="240" t="str">
        <f>IFERROR(__xludf.DUMMYFUNCTION("IFERROR(
  FILTER('CBK Students'!F:F, TRIM('CBK Students'!B:B) = TRIM(A361)),
  """"
)"),"#REF!")</f>
        <v>#REF!</v>
      </c>
      <c r="U361" s="240" t="str">
        <f>IFERROR(__xludf.DUMMYFUNCTION("IFERROR(
  FILTER('CBK Students'!H:H, TRIM('CBK Students'!B:B) = TRIM(A361)),
  """"
)"),"#REF!")</f>
        <v>#REF!</v>
      </c>
      <c r="V361" s="240" t="str">
        <f>IFERROR(__xludf.DUMMYFUNCTION("IFERROR(
  FILTER('CBK Students'!M:M, TRIM('CBK Students'!B:B) = TRIM(A361)),
  """"
)"),"#REF!")</f>
        <v>#REF!</v>
      </c>
      <c r="W361" s="240" t="str">
        <f t="shared" si="1"/>
        <v/>
      </c>
      <c r="X361" s="240" t="str">
        <f>IFERROR(__xludf.DUMMYFUNCTION("IFERROR(
  FILTER('CBK Students'!R:R, TRIM('CBK Students'!B:B) = TRIM(A361)),
  """"
)"),"#REF!")</f>
        <v>#REF!</v>
      </c>
      <c r="Y361" s="4" t="str">
        <f t="shared" si="2"/>
        <v/>
      </c>
      <c r="Z361" s="4" t="str">
        <f>IFERROR(__xludf.DUMMYFUNCTION("IFERROR(
  FILTER('CBK Students'!O:O, TRIM('CBK Students'!B:B) = TRIM(A361)),
  """"
)"),"#REF!")</f>
        <v>#REF!</v>
      </c>
      <c r="AA361" s="4" t="str">
        <f>IFERROR(__xludf.DUMMYFUNCTION("IFERROR(
  FILTER('CBK Students'!P:P, TRIM('CBK Students'!B:B) = TRIM(A361)),
  """"
)"),"#REF!")</f>
        <v>#REF!</v>
      </c>
      <c r="AB361" s="4" t="str">
        <f>IFERROR(__xludf.DUMMYFUNCTION("IFERROR(
  FILTER('CBK Students'!Q:Q, TRIM('CBK Students'!B:B) = TRIM(A361)),
  """"
)"),"#REF!")</f>
        <v>#REF!</v>
      </c>
    </row>
    <row r="362" ht="18.75" customHeight="1">
      <c r="T362" s="240" t="str">
        <f>IFERROR(__xludf.DUMMYFUNCTION("IFERROR(
  FILTER('CBK Students'!F:F, TRIM('CBK Students'!B:B) = TRIM(A362)),
  """"
)"),"#REF!")</f>
        <v>#REF!</v>
      </c>
      <c r="U362" s="240" t="str">
        <f>IFERROR(__xludf.DUMMYFUNCTION("IFERROR(
  FILTER('CBK Students'!H:H, TRIM('CBK Students'!B:B) = TRIM(A362)),
  """"
)"),"#REF!")</f>
        <v>#REF!</v>
      </c>
      <c r="V362" s="240" t="str">
        <f>IFERROR(__xludf.DUMMYFUNCTION("IFERROR(
  FILTER('CBK Students'!M:M, TRIM('CBK Students'!B:B) = TRIM(A362)),
  """"
)"),"#REF!")</f>
        <v>#REF!</v>
      </c>
      <c r="W362" s="240" t="str">
        <f t="shared" si="1"/>
        <v/>
      </c>
      <c r="X362" s="240" t="str">
        <f>IFERROR(__xludf.DUMMYFUNCTION("IFERROR(
  FILTER('CBK Students'!R:R, TRIM('CBK Students'!B:B) = TRIM(A362)),
  """"
)"),"#REF!")</f>
        <v>#REF!</v>
      </c>
      <c r="Y362" s="4" t="str">
        <f t="shared" si="2"/>
        <v/>
      </c>
      <c r="Z362" s="4" t="str">
        <f>IFERROR(__xludf.DUMMYFUNCTION("IFERROR(
  FILTER('CBK Students'!O:O, TRIM('CBK Students'!B:B) = TRIM(A362)),
  """"
)"),"#REF!")</f>
        <v>#REF!</v>
      </c>
      <c r="AA362" s="4" t="str">
        <f>IFERROR(__xludf.DUMMYFUNCTION("IFERROR(
  FILTER('CBK Students'!P:P, TRIM('CBK Students'!B:B) = TRIM(A362)),
  """"
)"),"#REF!")</f>
        <v>#REF!</v>
      </c>
      <c r="AB362" s="4" t="str">
        <f>IFERROR(__xludf.DUMMYFUNCTION("IFERROR(
  FILTER('CBK Students'!Q:Q, TRIM('CBK Students'!B:B) = TRIM(A362)),
  """"
)"),"#REF!")</f>
        <v>#REF!</v>
      </c>
    </row>
    <row r="363" ht="18.75" customHeight="1">
      <c r="T363" s="240" t="str">
        <f>IFERROR(__xludf.DUMMYFUNCTION("IFERROR(
  FILTER('CBK Students'!F:F, TRIM('CBK Students'!B:B) = TRIM(A363)),
  """"
)"),"#REF!")</f>
        <v>#REF!</v>
      </c>
      <c r="U363" s="240" t="str">
        <f>IFERROR(__xludf.DUMMYFUNCTION("IFERROR(
  FILTER('CBK Students'!H:H, TRIM('CBK Students'!B:B) = TRIM(A363)),
  """"
)"),"#REF!")</f>
        <v>#REF!</v>
      </c>
      <c r="V363" s="240" t="str">
        <f>IFERROR(__xludf.DUMMYFUNCTION("IFERROR(
  FILTER('CBK Students'!M:M, TRIM('CBK Students'!B:B) = TRIM(A363)),
  """"
)"),"#REF!")</f>
        <v>#REF!</v>
      </c>
      <c r="W363" s="240" t="str">
        <f t="shared" si="1"/>
        <v/>
      </c>
      <c r="X363" s="240" t="str">
        <f>IFERROR(__xludf.DUMMYFUNCTION("IFERROR(
  FILTER('CBK Students'!R:R, TRIM('CBK Students'!B:B) = TRIM(A363)),
  """"
)"),"#REF!")</f>
        <v>#REF!</v>
      </c>
      <c r="Y363" s="4" t="str">
        <f t="shared" si="2"/>
        <v/>
      </c>
      <c r="Z363" s="4" t="str">
        <f>IFERROR(__xludf.DUMMYFUNCTION("IFERROR(
  FILTER('CBK Students'!O:O, TRIM('CBK Students'!B:B) = TRIM(A363)),
  """"
)"),"#REF!")</f>
        <v>#REF!</v>
      </c>
      <c r="AA363" s="4" t="str">
        <f>IFERROR(__xludf.DUMMYFUNCTION("IFERROR(
  FILTER('CBK Students'!P:P, TRIM('CBK Students'!B:B) = TRIM(A363)),
  """"
)"),"#REF!")</f>
        <v>#REF!</v>
      </c>
      <c r="AB363" s="4" t="str">
        <f>IFERROR(__xludf.DUMMYFUNCTION("IFERROR(
  FILTER('CBK Students'!Q:Q, TRIM('CBK Students'!B:B) = TRIM(A363)),
  """"
)"),"#REF!")</f>
        <v>#REF!</v>
      </c>
    </row>
    <row r="364" ht="18.75" customHeight="1">
      <c r="T364" s="240" t="str">
        <f>IFERROR(__xludf.DUMMYFUNCTION("IFERROR(
  FILTER('CBK Students'!F:F, TRIM('CBK Students'!B:B) = TRIM(A364)),
  """"
)"),"#REF!")</f>
        <v>#REF!</v>
      </c>
      <c r="U364" s="240" t="str">
        <f>IFERROR(__xludf.DUMMYFUNCTION("IFERROR(
  FILTER('CBK Students'!H:H, TRIM('CBK Students'!B:B) = TRIM(A364)),
  """"
)"),"#REF!")</f>
        <v>#REF!</v>
      </c>
      <c r="V364" s="240" t="str">
        <f>IFERROR(__xludf.DUMMYFUNCTION("IFERROR(
  FILTER('CBK Students'!M:M, TRIM('CBK Students'!B:B) = TRIM(A364)),
  """"
)"),"#REF!")</f>
        <v>#REF!</v>
      </c>
      <c r="W364" s="240" t="str">
        <f t="shared" si="1"/>
        <v/>
      </c>
      <c r="X364" s="240" t="str">
        <f>IFERROR(__xludf.DUMMYFUNCTION("IFERROR(
  FILTER('CBK Students'!R:R, TRIM('CBK Students'!B:B) = TRIM(A364)),
  """"
)"),"#REF!")</f>
        <v>#REF!</v>
      </c>
      <c r="Y364" s="4" t="str">
        <f t="shared" si="2"/>
        <v/>
      </c>
      <c r="Z364" s="4" t="str">
        <f>IFERROR(__xludf.DUMMYFUNCTION("IFERROR(
  FILTER('CBK Students'!O:O, TRIM('CBK Students'!B:B) = TRIM(A364)),
  """"
)"),"#REF!")</f>
        <v>#REF!</v>
      </c>
      <c r="AA364" s="4" t="str">
        <f>IFERROR(__xludf.DUMMYFUNCTION("IFERROR(
  FILTER('CBK Students'!P:P, TRIM('CBK Students'!B:B) = TRIM(A364)),
  """"
)"),"#REF!")</f>
        <v>#REF!</v>
      </c>
      <c r="AB364" s="4" t="str">
        <f>IFERROR(__xludf.DUMMYFUNCTION("IFERROR(
  FILTER('CBK Students'!Q:Q, TRIM('CBK Students'!B:B) = TRIM(A364)),
  """"
)"),"#REF!")</f>
        <v>#REF!</v>
      </c>
    </row>
    <row r="365" ht="18.75" customHeight="1">
      <c r="T365" s="240" t="str">
        <f>IFERROR(__xludf.DUMMYFUNCTION("IFERROR(
  FILTER('CBK Students'!F:F, TRIM('CBK Students'!B:B) = TRIM(A365)),
  """"
)"),"#REF!")</f>
        <v>#REF!</v>
      </c>
      <c r="U365" s="240" t="str">
        <f>IFERROR(__xludf.DUMMYFUNCTION("IFERROR(
  FILTER('CBK Students'!H:H, TRIM('CBK Students'!B:B) = TRIM(A365)),
  """"
)"),"#REF!")</f>
        <v>#REF!</v>
      </c>
      <c r="V365" s="240" t="str">
        <f>IFERROR(__xludf.DUMMYFUNCTION("IFERROR(
  FILTER('CBK Students'!M:M, TRIM('CBK Students'!B:B) = TRIM(A365)),
  """"
)"),"#REF!")</f>
        <v>#REF!</v>
      </c>
      <c r="W365" s="240" t="str">
        <f t="shared" si="1"/>
        <v/>
      </c>
      <c r="X365" s="240" t="str">
        <f>IFERROR(__xludf.DUMMYFUNCTION("IFERROR(
  FILTER('CBK Students'!R:R, TRIM('CBK Students'!B:B) = TRIM(A365)),
  """"
)"),"#REF!")</f>
        <v>#REF!</v>
      </c>
      <c r="Y365" s="4" t="str">
        <f t="shared" si="2"/>
        <v/>
      </c>
      <c r="Z365" s="4" t="str">
        <f>IFERROR(__xludf.DUMMYFUNCTION("IFERROR(
  FILTER('CBK Students'!O:O, TRIM('CBK Students'!B:B) = TRIM(A365)),
  """"
)"),"#REF!")</f>
        <v>#REF!</v>
      </c>
      <c r="AA365" s="4" t="str">
        <f>IFERROR(__xludf.DUMMYFUNCTION("IFERROR(
  FILTER('CBK Students'!P:P, TRIM('CBK Students'!B:B) = TRIM(A365)),
  """"
)"),"#REF!")</f>
        <v>#REF!</v>
      </c>
      <c r="AB365" s="4" t="str">
        <f>IFERROR(__xludf.DUMMYFUNCTION("IFERROR(
  FILTER('CBK Students'!Q:Q, TRIM('CBK Students'!B:B) = TRIM(A365)),
  """"
)"),"#REF!")</f>
        <v>#REF!</v>
      </c>
    </row>
    <row r="366" ht="18.75" customHeight="1">
      <c r="T366" s="240" t="str">
        <f>IFERROR(__xludf.DUMMYFUNCTION("IFERROR(
  FILTER('CBK Students'!F:F, TRIM('CBK Students'!B:B) = TRIM(A366)),
  """"
)"),"#REF!")</f>
        <v>#REF!</v>
      </c>
      <c r="U366" s="240" t="str">
        <f>IFERROR(__xludf.DUMMYFUNCTION("IFERROR(
  FILTER('CBK Students'!H:H, TRIM('CBK Students'!B:B) = TRIM(A366)),
  """"
)"),"#REF!")</f>
        <v>#REF!</v>
      </c>
      <c r="V366" s="240" t="str">
        <f>IFERROR(__xludf.DUMMYFUNCTION("IFERROR(
  FILTER('CBK Students'!M:M, TRIM('CBK Students'!B:B) = TRIM(A366)),
  """"
)"),"#REF!")</f>
        <v>#REF!</v>
      </c>
      <c r="W366" s="240" t="str">
        <f t="shared" si="1"/>
        <v/>
      </c>
      <c r="X366" s="240" t="str">
        <f>IFERROR(__xludf.DUMMYFUNCTION("IFERROR(
  FILTER('CBK Students'!R:R, TRIM('CBK Students'!B:B) = TRIM(A366)),
  """"
)"),"#REF!")</f>
        <v>#REF!</v>
      </c>
      <c r="Y366" s="4" t="str">
        <f t="shared" si="2"/>
        <v/>
      </c>
      <c r="Z366" s="4" t="str">
        <f>IFERROR(__xludf.DUMMYFUNCTION("IFERROR(
  FILTER('CBK Students'!O:O, TRIM('CBK Students'!B:B) = TRIM(A366)),
  """"
)"),"#REF!")</f>
        <v>#REF!</v>
      </c>
      <c r="AA366" s="4" t="str">
        <f>IFERROR(__xludf.DUMMYFUNCTION("IFERROR(
  FILTER('CBK Students'!P:P, TRIM('CBK Students'!B:B) = TRIM(A366)),
  """"
)"),"#REF!")</f>
        <v>#REF!</v>
      </c>
      <c r="AB366" s="4" t="str">
        <f>IFERROR(__xludf.DUMMYFUNCTION("IFERROR(
  FILTER('CBK Students'!Q:Q, TRIM('CBK Students'!B:B) = TRIM(A366)),
  """"
)"),"#REF!")</f>
        <v>#REF!</v>
      </c>
    </row>
    <row r="367" ht="18.75" customHeight="1">
      <c r="T367" s="240" t="str">
        <f>IFERROR(__xludf.DUMMYFUNCTION("IFERROR(
  FILTER('CBK Students'!F:F, TRIM('CBK Students'!B:B) = TRIM(A367)),
  """"
)"),"#REF!")</f>
        <v>#REF!</v>
      </c>
      <c r="U367" s="240" t="str">
        <f>IFERROR(__xludf.DUMMYFUNCTION("IFERROR(
  FILTER('CBK Students'!H:H, TRIM('CBK Students'!B:B) = TRIM(A367)),
  """"
)"),"#REF!")</f>
        <v>#REF!</v>
      </c>
      <c r="V367" s="240" t="str">
        <f>IFERROR(__xludf.DUMMYFUNCTION("IFERROR(
  FILTER('CBK Students'!M:M, TRIM('CBK Students'!B:B) = TRIM(A367)),
  """"
)"),"#REF!")</f>
        <v>#REF!</v>
      </c>
      <c r="W367" s="240" t="str">
        <f t="shared" si="1"/>
        <v/>
      </c>
      <c r="X367" s="240" t="str">
        <f>IFERROR(__xludf.DUMMYFUNCTION("IFERROR(
  FILTER('CBK Students'!R:R, TRIM('CBK Students'!B:B) = TRIM(A367)),
  """"
)"),"#REF!")</f>
        <v>#REF!</v>
      </c>
      <c r="Y367" s="4" t="str">
        <f t="shared" si="2"/>
        <v/>
      </c>
      <c r="Z367" s="4" t="str">
        <f>IFERROR(__xludf.DUMMYFUNCTION("IFERROR(
  FILTER('CBK Students'!O:O, TRIM('CBK Students'!B:B) = TRIM(A367)),
  """"
)"),"#REF!")</f>
        <v>#REF!</v>
      </c>
      <c r="AA367" s="4" t="str">
        <f>IFERROR(__xludf.DUMMYFUNCTION("IFERROR(
  FILTER('CBK Students'!P:P, TRIM('CBK Students'!B:B) = TRIM(A367)),
  """"
)"),"#REF!")</f>
        <v>#REF!</v>
      </c>
      <c r="AB367" s="4" t="str">
        <f>IFERROR(__xludf.DUMMYFUNCTION("IFERROR(
  FILTER('CBK Students'!Q:Q, TRIM('CBK Students'!B:B) = TRIM(A367)),
  """"
)"),"#REF!")</f>
        <v>#REF!</v>
      </c>
    </row>
    <row r="368" ht="18.75" customHeight="1">
      <c r="T368" s="240" t="str">
        <f>IFERROR(__xludf.DUMMYFUNCTION("IFERROR(
  FILTER('CBK Students'!F:F, TRIM('CBK Students'!B:B) = TRIM(A368)),
  """"
)"),"#REF!")</f>
        <v>#REF!</v>
      </c>
      <c r="U368" s="240" t="str">
        <f>IFERROR(__xludf.DUMMYFUNCTION("IFERROR(
  FILTER('CBK Students'!H:H, TRIM('CBK Students'!B:B) = TRIM(A368)),
  """"
)"),"#REF!")</f>
        <v>#REF!</v>
      </c>
      <c r="V368" s="240" t="str">
        <f>IFERROR(__xludf.DUMMYFUNCTION("IFERROR(
  FILTER('CBK Students'!M:M, TRIM('CBK Students'!B:B) = TRIM(A368)),
  """"
)"),"#REF!")</f>
        <v>#REF!</v>
      </c>
      <c r="W368" s="240" t="str">
        <f t="shared" si="1"/>
        <v/>
      </c>
      <c r="X368" s="240" t="str">
        <f>IFERROR(__xludf.DUMMYFUNCTION("IFERROR(
  FILTER('CBK Students'!R:R, TRIM('CBK Students'!B:B) = TRIM(A368)),
  """"
)"),"#REF!")</f>
        <v>#REF!</v>
      </c>
      <c r="Y368" s="4" t="str">
        <f t="shared" si="2"/>
        <v/>
      </c>
      <c r="Z368" s="4" t="str">
        <f>IFERROR(__xludf.DUMMYFUNCTION("IFERROR(
  FILTER('CBK Students'!O:O, TRIM('CBK Students'!B:B) = TRIM(A368)),
  """"
)"),"#REF!")</f>
        <v>#REF!</v>
      </c>
      <c r="AA368" s="4" t="str">
        <f>IFERROR(__xludf.DUMMYFUNCTION("IFERROR(
  FILTER('CBK Students'!P:P, TRIM('CBK Students'!B:B) = TRIM(A368)),
  """"
)"),"#REF!")</f>
        <v>#REF!</v>
      </c>
      <c r="AB368" s="4" t="str">
        <f>IFERROR(__xludf.DUMMYFUNCTION("IFERROR(
  FILTER('CBK Students'!Q:Q, TRIM('CBK Students'!B:B) = TRIM(A368)),
  """"
)"),"#REF!")</f>
        <v>#REF!</v>
      </c>
    </row>
    <row r="369" ht="18.75" customHeight="1">
      <c r="T369" s="240" t="str">
        <f>IFERROR(__xludf.DUMMYFUNCTION("IFERROR(
  FILTER('CBK Students'!F:F, TRIM('CBK Students'!B:B) = TRIM(A369)),
  """"
)"),"#REF!")</f>
        <v>#REF!</v>
      </c>
      <c r="U369" s="240" t="str">
        <f>IFERROR(__xludf.DUMMYFUNCTION("IFERROR(
  FILTER('CBK Students'!H:H, TRIM('CBK Students'!B:B) = TRIM(A369)),
  """"
)"),"#REF!")</f>
        <v>#REF!</v>
      </c>
      <c r="V369" s="240" t="str">
        <f>IFERROR(__xludf.DUMMYFUNCTION("IFERROR(
  FILTER('CBK Students'!M:M, TRIM('CBK Students'!B:B) = TRIM(A369)),
  """"
)"),"#REF!")</f>
        <v>#REF!</v>
      </c>
      <c r="W369" s="240" t="str">
        <f t="shared" si="1"/>
        <v/>
      </c>
      <c r="X369" s="240" t="str">
        <f>IFERROR(__xludf.DUMMYFUNCTION("IFERROR(
  FILTER('CBK Students'!R:R, TRIM('CBK Students'!B:B) = TRIM(A369)),
  """"
)"),"#REF!")</f>
        <v>#REF!</v>
      </c>
      <c r="Y369" s="4" t="str">
        <f t="shared" si="2"/>
        <v/>
      </c>
      <c r="Z369" s="4" t="str">
        <f>IFERROR(__xludf.DUMMYFUNCTION("IFERROR(
  FILTER('CBK Students'!O:O, TRIM('CBK Students'!B:B) = TRIM(A369)),
  """"
)"),"#REF!")</f>
        <v>#REF!</v>
      </c>
      <c r="AA369" s="4" t="str">
        <f>IFERROR(__xludf.DUMMYFUNCTION("IFERROR(
  FILTER('CBK Students'!P:P, TRIM('CBK Students'!B:B) = TRIM(A369)),
  """"
)"),"#REF!")</f>
        <v>#REF!</v>
      </c>
      <c r="AB369" s="4" t="str">
        <f>IFERROR(__xludf.DUMMYFUNCTION("IFERROR(
  FILTER('CBK Students'!Q:Q, TRIM('CBK Students'!B:B) = TRIM(A369)),
  """"
)"),"#REF!")</f>
        <v>#REF!</v>
      </c>
    </row>
    <row r="370" ht="18.75" customHeight="1">
      <c r="T370" s="240" t="str">
        <f>IFERROR(__xludf.DUMMYFUNCTION("IFERROR(
  FILTER('CBK Students'!F:F, TRIM('CBK Students'!B:B) = TRIM(A370)),
  """"
)"),"#REF!")</f>
        <v>#REF!</v>
      </c>
      <c r="U370" s="240" t="str">
        <f>IFERROR(__xludf.DUMMYFUNCTION("IFERROR(
  FILTER('CBK Students'!H:H, TRIM('CBK Students'!B:B) = TRIM(A370)),
  """"
)"),"#REF!")</f>
        <v>#REF!</v>
      </c>
      <c r="V370" s="240" t="str">
        <f>IFERROR(__xludf.DUMMYFUNCTION("IFERROR(
  FILTER('CBK Students'!M:M, TRIM('CBK Students'!B:B) = TRIM(A370)),
  """"
)"),"#REF!")</f>
        <v>#REF!</v>
      </c>
      <c r="W370" s="240" t="str">
        <f t="shared" si="1"/>
        <v/>
      </c>
      <c r="X370" s="240" t="str">
        <f>IFERROR(__xludf.DUMMYFUNCTION("IFERROR(
  FILTER('CBK Students'!R:R, TRIM('CBK Students'!B:B) = TRIM(A370)),
  """"
)"),"#REF!")</f>
        <v>#REF!</v>
      </c>
      <c r="Y370" s="4" t="str">
        <f t="shared" si="2"/>
        <v/>
      </c>
      <c r="Z370" s="4" t="str">
        <f>IFERROR(__xludf.DUMMYFUNCTION("IFERROR(
  FILTER('CBK Students'!O:O, TRIM('CBK Students'!B:B) = TRIM(A370)),
  """"
)"),"#REF!")</f>
        <v>#REF!</v>
      </c>
      <c r="AA370" s="4" t="str">
        <f>IFERROR(__xludf.DUMMYFUNCTION("IFERROR(
  FILTER('CBK Students'!P:P, TRIM('CBK Students'!B:B) = TRIM(A370)),
  """"
)"),"#REF!")</f>
        <v>#REF!</v>
      </c>
      <c r="AB370" s="4" t="str">
        <f>IFERROR(__xludf.DUMMYFUNCTION("IFERROR(
  FILTER('CBK Students'!Q:Q, TRIM('CBK Students'!B:B) = TRIM(A370)),
  """"
)"),"#REF!")</f>
        <v>#REF!</v>
      </c>
    </row>
    <row r="371" ht="18.75" customHeight="1">
      <c r="T371" s="240" t="str">
        <f>IFERROR(__xludf.DUMMYFUNCTION("IFERROR(
  FILTER('CBK Students'!F:F, TRIM('CBK Students'!B:B) = TRIM(A371)),
  """"
)"),"#REF!")</f>
        <v>#REF!</v>
      </c>
      <c r="U371" s="240" t="str">
        <f>IFERROR(__xludf.DUMMYFUNCTION("IFERROR(
  FILTER('CBK Students'!H:H, TRIM('CBK Students'!B:B) = TRIM(A371)),
  """"
)"),"#REF!")</f>
        <v>#REF!</v>
      </c>
      <c r="V371" s="240" t="str">
        <f>IFERROR(__xludf.DUMMYFUNCTION("IFERROR(
  FILTER('CBK Students'!M:M, TRIM('CBK Students'!B:B) = TRIM(A371)),
  """"
)"),"#REF!")</f>
        <v>#REF!</v>
      </c>
      <c r="W371" s="240" t="str">
        <f t="shared" si="1"/>
        <v/>
      </c>
      <c r="X371" s="240" t="str">
        <f>IFERROR(__xludf.DUMMYFUNCTION("IFERROR(
  FILTER('CBK Students'!R:R, TRIM('CBK Students'!B:B) = TRIM(A371)),
  """"
)"),"#REF!")</f>
        <v>#REF!</v>
      </c>
      <c r="Y371" s="4" t="str">
        <f t="shared" si="2"/>
        <v/>
      </c>
      <c r="Z371" s="4" t="str">
        <f>IFERROR(__xludf.DUMMYFUNCTION("IFERROR(
  FILTER('CBK Students'!O:O, TRIM('CBK Students'!B:B) = TRIM(A371)),
  """"
)"),"#REF!")</f>
        <v>#REF!</v>
      </c>
      <c r="AA371" s="4" t="str">
        <f>IFERROR(__xludf.DUMMYFUNCTION("IFERROR(
  FILTER('CBK Students'!P:P, TRIM('CBK Students'!B:B) = TRIM(A371)),
  """"
)"),"#REF!")</f>
        <v>#REF!</v>
      </c>
      <c r="AB371" s="4" t="str">
        <f>IFERROR(__xludf.DUMMYFUNCTION("IFERROR(
  FILTER('CBK Students'!Q:Q, TRIM('CBK Students'!B:B) = TRIM(A371)),
  """"
)"),"#REF!")</f>
        <v>#REF!</v>
      </c>
    </row>
    <row r="372" ht="18.75" customHeight="1">
      <c r="T372" s="240" t="str">
        <f>IFERROR(__xludf.DUMMYFUNCTION("IFERROR(
  FILTER('CBK Students'!F:F, TRIM('CBK Students'!B:B) = TRIM(A372)),
  """"
)"),"#REF!")</f>
        <v>#REF!</v>
      </c>
      <c r="U372" s="240" t="str">
        <f>IFERROR(__xludf.DUMMYFUNCTION("IFERROR(
  FILTER('CBK Students'!H:H, TRIM('CBK Students'!B:B) = TRIM(A372)),
  """"
)"),"#REF!")</f>
        <v>#REF!</v>
      </c>
      <c r="V372" s="240" t="str">
        <f>IFERROR(__xludf.DUMMYFUNCTION("IFERROR(
  FILTER('CBK Students'!M:M, TRIM('CBK Students'!B:B) = TRIM(A372)),
  """"
)"),"#REF!")</f>
        <v>#REF!</v>
      </c>
      <c r="W372" s="240" t="str">
        <f t="shared" si="1"/>
        <v/>
      </c>
      <c r="X372" s="240" t="str">
        <f>IFERROR(__xludf.DUMMYFUNCTION("IFERROR(
  FILTER('CBK Students'!R:R, TRIM('CBK Students'!B:B) = TRIM(A372)),
  """"
)"),"#REF!")</f>
        <v>#REF!</v>
      </c>
      <c r="Y372" s="4" t="str">
        <f t="shared" si="2"/>
        <v/>
      </c>
      <c r="Z372" s="4" t="str">
        <f>IFERROR(__xludf.DUMMYFUNCTION("IFERROR(
  FILTER('CBK Students'!O:O, TRIM('CBK Students'!B:B) = TRIM(A372)),
  """"
)"),"#REF!")</f>
        <v>#REF!</v>
      </c>
      <c r="AA372" s="4" t="str">
        <f>IFERROR(__xludf.DUMMYFUNCTION("IFERROR(
  FILTER('CBK Students'!P:P, TRIM('CBK Students'!B:B) = TRIM(A372)),
  """"
)"),"#REF!")</f>
        <v>#REF!</v>
      </c>
      <c r="AB372" s="4" t="str">
        <f>IFERROR(__xludf.DUMMYFUNCTION("IFERROR(
  FILTER('CBK Students'!Q:Q, TRIM('CBK Students'!B:B) = TRIM(A372)),
  """"
)"),"#REF!")</f>
        <v>#REF!</v>
      </c>
    </row>
    <row r="373" ht="18.75" customHeight="1">
      <c r="T373" s="240" t="str">
        <f>IFERROR(__xludf.DUMMYFUNCTION("IFERROR(
  FILTER('CBK Students'!F:F, TRIM('CBK Students'!B:B) = TRIM(A373)),
  """"
)"),"#REF!")</f>
        <v>#REF!</v>
      </c>
      <c r="U373" s="240" t="str">
        <f>IFERROR(__xludf.DUMMYFUNCTION("IFERROR(
  FILTER('CBK Students'!H:H, TRIM('CBK Students'!B:B) = TRIM(A373)),
  """"
)"),"#REF!")</f>
        <v>#REF!</v>
      </c>
      <c r="V373" s="240" t="str">
        <f>IFERROR(__xludf.DUMMYFUNCTION("IFERROR(
  FILTER('CBK Students'!M:M, TRIM('CBK Students'!B:B) = TRIM(A373)),
  """"
)"),"#REF!")</f>
        <v>#REF!</v>
      </c>
      <c r="W373" s="240" t="str">
        <f t="shared" si="1"/>
        <v/>
      </c>
      <c r="X373" s="240" t="str">
        <f>IFERROR(__xludf.DUMMYFUNCTION("IFERROR(
  FILTER('CBK Students'!R:R, TRIM('CBK Students'!B:B) = TRIM(A373)),
  """"
)"),"#REF!")</f>
        <v>#REF!</v>
      </c>
      <c r="Y373" s="4" t="str">
        <f t="shared" si="2"/>
        <v/>
      </c>
      <c r="Z373" s="4" t="str">
        <f>IFERROR(__xludf.DUMMYFUNCTION("IFERROR(
  FILTER('CBK Students'!O:O, TRIM('CBK Students'!B:B) = TRIM(A373)),
  """"
)"),"#REF!")</f>
        <v>#REF!</v>
      </c>
      <c r="AA373" s="4" t="str">
        <f>IFERROR(__xludf.DUMMYFUNCTION("IFERROR(
  FILTER('CBK Students'!P:P, TRIM('CBK Students'!B:B) = TRIM(A373)),
  """"
)"),"#REF!")</f>
        <v>#REF!</v>
      </c>
      <c r="AB373" s="4" t="str">
        <f>IFERROR(__xludf.DUMMYFUNCTION("IFERROR(
  FILTER('CBK Students'!Q:Q, TRIM('CBK Students'!B:B) = TRIM(A373)),
  """"
)"),"#REF!")</f>
        <v>#REF!</v>
      </c>
    </row>
    <row r="374" ht="18.75" customHeight="1">
      <c r="T374" s="240" t="str">
        <f>IFERROR(__xludf.DUMMYFUNCTION("IFERROR(
  FILTER('CBK Students'!F:F, TRIM('CBK Students'!B:B) = TRIM(A374)),
  """"
)"),"#REF!")</f>
        <v>#REF!</v>
      </c>
      <c r="U374" s="240" t="str">
        <f>IFERROR(__xludf.DUMMYFUNCTION("IFERROR(
  FILTER('CBK Students'!H:H, TRIM('CBK Students'!B:B) = TRIM(A374)),
  """"
)"),"#REF!")</f>
        <v>#REF!</v>
      </c>
      <c r="V374" s="240" t="str">
        <f>IFERROR(__xludf.DUMMYFUNCTION("IFERROR(
  FILTER('CBK Students'!M:M, TRIM('CBK Students'!B:B) = TRIM(A374)),
  """"
)"),"#REF!")</f>
        <v>#REF!</v>
      </c>
      <c r="W374" s="240" t="str">
        <f t="shared" si="1"/>
        <v/>
      </c>
      <c r="X374" s="240" t="str">
        <f>IFERROR(__xludf.DUMMYFUNCTION("IFERROR(
  FILTER('CBK Students'!R:R, TRIM('CBK Students'!B:B) = TRIM(A374)),
  """"
)"),"#REF!")</f>
        <v>#REF!</v>
      </c>
      <c r="Y374" s="4" t="str">
        <f t="shared" si="2"/>
        <v/>
      </c>
      <c r="Z374" s="4" t="str">
        <f>IFERROR(__xludf.DUMMYFUNCTION("IFERROR(
  FILTER('CBK Students'!O:O, TRIM('CBK Students'!B:B) = TRIM(A374)),
  """"
)"),"#REF!")</f>
        <v>#REF!</v>
      </c>
      <c r="AA374" s="4" t="str">
        <f>IFERROR(__xludf.DUMMYFUNCTION("IFERROR(
  FILTER('CBK Students'!P:P, TRIM('CBK Students'!B:B) = TRIM(A374)),
  """"
)"),"#REF!")</f>
        <v>#REF!</v>
      </c>
      <c r="AB374" s="4" t="str">
        <f>IFERROR(__xludf.DUMMYFUNCTION("IFERROR(
  FILTER('CBK Students'!Q:Q, TRIM('CBK Students'!B:B) = TRIM(A374)),
  """"
)"),"#REF!")</f>
        <v>#REF!</v>
      </c>
    </row>
    <row r="375" ht="18.75" customHeight="1">
      <c r="T375" s="240" t="str">
        <f>IFERROR(__xludf.DUMMYFUNCTION("IFERROR(
  FILTER('CBK Students'!F:F, TRIM('CBK Students'!B:B) = TRIM(A375)),
  """"
)"),"#REF!")</f>
        <v>#REF!</v>
      </c>
      <c r="U375" s="240" t="str">
        <f>IFERROR(__xludf.DUMMYFUNCTION("IFERROR(
  FILTER('CBK Students'!H:H, TRIM('CBK Students'!B:B) = TRIM(A375)),
  """"
)"),"#REF!")</f>
        <v>#REF!</v>
      </c>
      <c r="V375" s="240" t="str">
        <f>IFERROR(__xludf.DUMMYFUNCTION("IFERROR(
  FILTER('CBK Students'!M:M, TRIM('CBK Students'!B:B) = TRIM(A375)),
  """"
)"),"#REF!")</f>
        <v>#REF!</v>
      </c>
      <c r="W375" s="240" t="str">
        <f t="shared" si="1"/>
        <v/>
      </c>
      <c r="X375" s="240" t="str">
        <f>IFERROR(__xludf.DUMMYFUNCTION("IFERROR(
  FILTER('CBK Students'!R:R, TRIM('CBK Students'!B:B) = TRIM(A375)),
  """"
)"),"#REF!")</f>
        <v>#REF!</v>
      </c>
      <c r="Y375" s="4" t="str">
        <f t="shared" si="2"/>
        <v/>
      </c>
      <c r="Z375" s="4" t="str">
        <f>IFERROR(__xludf.DUMMYFUNCTION("IFERROR(
  FILTER('CBK Students'!O:O, TRIM('CBK Students'!B:B) = TRIM(A375)),
  """"
)"),"#REF!")</f>
        <v>#REF!</v>
      </c>
      <c r="AA375" s="4" t="str">
        <f>IFERROR(__xludf.DUMMYFUNCTION("IFERROR(
  FILTER('CBK Students'!P:P, TRIM('CBK Students'!B:B) = TRIM(A375)),
  """"
)"),"#REF!")</f>
        <v>#REF!</v>
      </c>
      <c r="AB375" s="4" t="str">
        <f>IFERROR(__xludf.DUMMYFUNCTION("IFERROR(
  FILTER('CBK Students'!Q:Q, TRIM('CBK Students'!B:B) = TRIM(A375)),
  """"
)"),"#REF!")</f>
        <v>#REF!</v>
      </c>
    </row>
    <row r="376" ht="18.75" customHeight="1">
      <c r="T376" s="240" t="str">
        <f>IFERROR(__xludf.DUMMYFUNCTION("IFERROR(
  FILTER('CBK Students'!F:F, TRIM('CBK Students'!B:B) = TRIM(A376)),
  """"
)"),"#REF!")</f>
        <v>#REF!</v>
      </c>
      <c r="U376" s="240" t="str">
        <f>IFERROR(__xludf.DUMMYFUNCTION("IFERROR(
  FILTER('CBK Students'!H:H, TRIM('CBK Students'!B:B) = TRIM(A376)),
  """"
)"),"#REF!")</f>
        <v>#REF!</v>
      </c>
      <c r="V376" s="240" t="str">
        <f>IFERROR(__xludf.DUMMYFUNCTION("IFERROR(
  FILTER('CBK Students'!M:M, TRIM('CBK Students'!B:B) = TRIM(A376)),
  """"
)"),"#REF!")</f>
        <v>#REF!</v>
      </c>
      <c r="W376" s="240" t="str">
        <f t="shared" si="1"/>
        <v/>
      </c>
      <c r="X376" s="240" t="str">
        <f>IFERROR(__xludf.DUMMYFUNCTION("IFERROR(
  FILTER('CBK Students'!R:R, TRIM('CBK Students'!B:B) = TRIM(A376)),
  """"
)"),"#REF!")</f>
        <v>#REF!</v>
      </c>
      <c r="Y376" s="4" t="str">
        <f t="shared" si="2"/>
        <v/>
      </c>
      <c r="Z376" s="4" t="str">
        <f>IFERROR(__xludf.DUMMYFUNCTION("IFERROR(
  FILTER('CBK Students'!O:O, TRIM('CBK Students'!B:B) = TRIM(A376)),
  """"
)"),"#REF!")</f>
        <v>#REF!</v>
      </c>
      <c r="AA376" s="4" t="str">
        <f>IFERROR(__xludf.DUMMYFUNCTION("IFERROR(
  FILTER('CBK Students'!P:P, TRIM('CBK Students'!B:B) = TRIM(A376)),
  """"
)"),"#REF!")</f>
        <v>#REF!</v>
      </c>
      <c r="AB376" s="4" t="str">
        <f>IFERROR(__xludf.DUMMYFUNCTION("IFERROR(
  FILTER('CBK Students'!Q:Q, TRIM('CBK Students'!B:B) = TRIM(A376)),
  """"
)"),"#REF!")</f>
        <v>#REF!</v>
      </c>
    </row>
    <row r="377" ht="18.75" customHeight="1">
      <c r="T377" s="240" t="str">
        <f>IFERROR(__xludf.DUMMYFUNCTION("IFERROR(
  FILTER('CBK Students'!F:F, TRIM('CBK Students'!B:B) = TRIM(A377)),
  """"
)"),"#REF!")</f>
        <v>#REF!</v>
      </c>
      <c r="U377" s="240" t="str">
        <f>IFERROR(__xludf.DUMMYFUNCTION("IFERROR(
  FILTER('CBK Students'!H:H, TRIM('CBK Students'!B:B) = TRIM(A377)),
  """"
)"),"#REF!")</f>
        <v>#REF!</v>
      </c>
      <c r="V377" s="240" t="str">
        <f>IFERROR(__xludf.DUMMYFUNCTION("IFERROR(
  FILTER('CBK Students'!M:M, TRIM('CBK Students'!B:B) = TRIM(A377)),
  """"
)"),"#REF!")</f>
        <v>#REF!</v>
      </c>
      <c r="W377" s="240" t="str">
        <f t="shared" si="1"/>
        <v/>
      </c>
      <c r="X377" s="240" t="str">
        <f>IFERROR(__xludf.DUMMYFUNCTION("IFERROR(
  FILTER('CBK Students'!R:R, TRIM('CBK Students'!B:B) = TRIM(A377)),
  """"
)"),"#REF!")</f>
        <v>#REF!</v>
      </c>
      <c r="Y377" s="4" t="str">
        <f t="shared" si="2"/>
        <v/>
      </c>
      <c r="Z377" s="4" t="str">
        <f>IFERROR(__xludf.DUMMYFUNCTION("IFERROR(
  FILTER('CBK Students'!O:O, TRIM('CBK Students'!B:B) = TRIM(A377)),
  """"
)"),"#REF!")</f>
        <v>#REF!</v>
      </c>
      <c r="AA377" s="4" t="str">
        <f>IFERROR(__xludf.DUMMYFUNCTION("IFERROR(
  FILTER('CBK Students'!P:P, TRIM('CBK Students'!B:B) = TRIM(A377)),
  """"
)"),"#REF!")</f>
        <v>#REF!</v>
      </c>
      <c r="AB377" s="4" t="str">
        <f>IFERROR(__xludf.DUMMYFUNCTION("IFERROR(
  FILTER('CBK Students'!Q:Q, TRIM('CBK Students'!B:B) = TRIM(A377)),
  """"
)"),"#REF!")</f>
        <v>#REF!</v>
      </c>
    </row>
    <row r="378" ht="18.75" customHeight="1">
      <c r="T378" s="240" t="str">
        <f>IFERROR(__xludf.DUMMYFUNCTION("IFERROR(
  FILTER('CBK Students'!F:F, TRIM('CBK Students'!B:B) = TRIM(A378)),
  """"
)"),"#REF!")</f>
        <v>#REF!</v>
      </c>
      <c r="U378" s="240" t="str">
        <f>IFERROR(__xludf.DUMMYFUNCTION("IFERROR(
  FILTER('CBK Students'!H:H, TRIM('CBK Students'!B:B) = TRIM(A378)),
  """"
)"),"#REF!")</f>
        <v>#REF!</v>
      </c>
      <c r="V378" s="240" t="str">
        <f>IFERROR(__xludf.DUMMYFUNCTION("IFERROR(
  FILTER('CBK Students'!M:M, TRIM('CBK Students'!B:B) = TRIM(A378)),
  """"
)"),"#REF!")</f>
        <v>#REF!</v>
      </c>
      <c r="W378" s="240" t="str">
        <f t="shared" si="1"/>
        <v/>
      </c>
      <c r="X378" s="240" t="str">
        <f>IFERROR(__xludf.DUMMYFUNCTION("IFERROR(
  FILTER('CBK Students'!R:R, TRIM('CBK Students'!B:B) = TRIM(A378)),
  """"
)"),"#REF!")</f>
        <v>#REF!</v>
      </c>
      <c r="Y378" s="4" t="str">
        <f t="shared" si="2"/>
        <v/>
      </c>
      <c r="Z378" s="4" t="str">
        <f>IFERROR(__xludf.DUMMYFUNCTION("IFERROR(
  FILTER('CBK Students'!O:O, TRIM('CBK Students'!B:B) = TRIM(A378)),
  """"
)"),"#REF!")</f>
        <v>#REF!</v>
      </c>
      <c r="AA378" s="4" t="str">
        <f>IFERROR(__xludf.DUMMYFUNCTION("IFERROR(
  FILTER('CBK Students'!P:P, TRIM('CBK Students'!B:B) = TRIM(A378)),
  """"
)"),"#REF!")</f>
        <v>#REF!</v>
      </c>
      <c r="AB378" s="4" t="str">
        <f>IFERROR(__xludf.DUMMYFUNCTION("IFERROR(
  FILTER('CBK Students'!Q:Q, TRIM('CBK Students'!B:B) = TRIM(A378)),
  """"
)"),"#REF!")</f>
        <v>#REF!</v>
      </c>
    </row>
    <row r="379" ht="18.75" customHeight="1">
      <c r="T379" s="240" t="str">
        <f>IFERROR(__xludf.DUMMYFUNCTION("IFERROR(
  FILTER('CBK Students'!F:F, TRIM('CBK Students'!B:B) = TRIM(A379)),
  """"
)"),"#REF!")</f>
        <v>#REF!</v>
      </c>
      <c r="U379" s="240" t="str">
        <f>IFERROR(__xludf.DUMMYFUNCTION("IFERROR(
  FILTER('CBK Students'!H:H, TRIM('CBK Students'!B:B) = TRIM(A379)),
  """"
)"),"#REF!")</f>
        <v>#REF!</v>
      </c>
      <c r="V379" s="240" t="str">
        <f>IFERROR(__xludf.DUMMYFUNCTION("IFERROR(
  FILTER('CBK Students'!M:M, TRIM('CBK Students'!B:B) = TRIM(A379)),
  """"
)"),"#REF!")</f>
        <v>#REF!</v>
      </c>
      <c r="W379" s="240" t="str">
        <f t="shared" si="1"/>
        <v/>
      </c>
      <c r="X379" s="240" t="str">
        <f>IFERROR(__xludf.DUMMYFUNCTION("IFERROR(
  FILTER('CBK Students'!R:R, TRIM('CBK Students'!B:B) = TRIM(A379)),
  """"
)"),"#REF!")</f>
        <v>#REF!</v>
      </c>
      <c r="Y379" s="4" t="str">
        <f t="shared" si="2"/>
        <v/>
      </c>
      <c r="Z379" s="4" t="str">
        <f>IFERROR(__xludf.DUMMYFUNCTION("IFERROR(
  FILTER('CBK Students'!O:O, TRIM('CBK Students'!B:B) = TRIM(A379)),
  """"
)"),"#REF!")</f>
        <v>#REF!</v>
      </c>
      <c r="AA379" s="4" t="str">
        <f>IFERROR(__xludf.DUMMYFUNCTION("IFERROR(
  FILTER('CBK Students'!P:P, TRIM('CBK Students'!B:B) = TRIM(A379)),
  """"
)"),"#REF!")</f>
        <v>#REF!</v>
      </c>
      <c r="AB379" s="4" t="str">
        <f>IFERROR(__xludf.DUMMYFUNCTION("IFERROR(
  FILTER('CBK Students'!Q:Q, TRIM('CBK Students'!B:B) = TRIM(A379)),
  """"
)"),"#REF!")</f>
        <v>#REF!</v>
      </c>
    </row>
    <row r="380" ht="18.75" customHeight="1">
      <c r="T380" s="240" t="str">
        <f>IFERROR(__xludf.DUMMYFUNCTION("IFERROR(
  FILTER('CBK Students'!F:F, TRIM('CBK Students'!B:B) = TRIM(A380)),
  """"
)"),"#REF!")</f>
        <v>#REF!</v>
      </c>
      <c r="U380" s="240" t="str">
        <f>IFERROR(__xludf.DUMMYFUNCTION("IFERROR(
  FILTER('CBK Students'!H:H, TRIM('CBK Students'!B:B) = TRIM(A380)),
  """"
)"),"#REF!")</f>
        <v>#REF!</v>
      </c>
      <c r="V380" s="240" t="str">
        <f>IFERROR(__xludf.DUMMYFUNCTION("IFERROR(
  FILTER('CBK Students'!M:M, TRIM('CBK Students'!B:B) = TRIM(A380)),
  """"
)"),"#REF!")</f>
        <v>#REF!</v>
      </c>
      <c r="W380" s="240" t="str">
        <f t="shared" si="1"/>
        <v/>
      </c>
      <c r="X380" s="240" t="str">
        <f>IFERROR(__xludf.DUMMYFUNCTION("IFERROR(
  FILTER('CBK Students'!R:R, TRIM('CBK Students'!B:B) = TRIM(A380)),
  """"
)"),"#REF!")</f>
        <v>#REF!</v>
      </c>
      <c r="Y380" s="4" t="str">
        <f t="shared" si="2"/>
        <v/>
      </c>
      <c r="Z380" s="4" t="str">
        <f>IFERROR(__xludf.DUMMYFUNCTION("IFERROR(
  FILTER('CBK Students'!O:O, TRIM('CBK Students'!B:B) = TRIM(A380)),
  """"
)"),"#REF!")</f>
        <v>#REF!</v>
      </c>
      <c r="AA380" s="4" t="str">
        <f>IFERROR(__xludf.DUMMYFUNCTION("IFERROR(
  FILTER('CBK Students'!P:P, TRIM('CBK Students'!B:B) = TRIM(A380)),
  """"
)"),"#REF!")</f>
        <v>#REF!</v>
      </c>
      <c r="AB380" s="4" t="str">
        <f>IFERROR(__xludf.DUMMYFUNCTION("IFERROR(
  FILTER('CBK Students'!Q:Q, TRIM('CBK Students'!B:B) = TRIM(A380)),
  """"
)"),"#REF!")</f>
        <v>#REF!</v>
      </c>
    </row>
    <row r="381" ht="18.75" customHeight="1">
      <c r="T381" s="240" t="str">
        <f>IFERROR(__xludf.DUMMYFUNCTION("IFERROR(
  FILTER('CBK Students'!F:F, TRIM('CBK Students'!B:B) = TRIM(A381)),
  """"
)"),"#REF!")</f>
        <v>#REF!</v>
      </c>
      <c r="U381" s="240" t="str">
        <f>IFERROR(__xludf.DUMMYFUNCTION("IFERROR(
  FILTER('CBK Students'!H:H, TRIM('CBK Students'!B:B) = TRIM(A381)),
  """"
)"),"#REF!")</f>
        <v>#REF!</v>
      </c>
      <c r="V381" s="240" t="str">
        <f>IFERROR(__xludf.DUMMYFUNCTION("IFERROR(
  FILTER('CBK Students'!M:M, TRIM('CBK Students'!B:B) = TRIM(A381)),
  """"
)"),"#REF!")</f>
        <v>#REF!</v>
      </c>
      <c r="W381" s="240" t="str">
        <f t="shared" si="1"/>
        <v/>
      </c>
      <c r="X381" s="240" t="str">
        <f>IFERROR(__xludf.DUMMYFUNCTION("IFERROR(
  FILTER('CBK Students'!R:R, TRIM('CBK Students'!B:B) = TRIM(A381)),
  """"
)"),"#REF!")</f>
        <v>#REF!</v>
      </c>
      <c r="Y381" s="4" t="str">
        <f t="shared" si="2"/>
        <v/>
      </c>
      <c r="Z381" s="4" t="str">
        <f>IFERROR(__xludf.DUMMYFUNCTION("IFERROR(
  FILTER('CBK Students'!O:O, TRIM('CBK Students'!B:B) = TRIM(A381)),
  """"
)"),"#REF!")</f>
        <v>#REF!</v>
      </c>
      <c r="AA381" s="4" t="str">
        <f>IFERROR(__xludf.DUMMYFUNCTION("IFERROR(
  FILTER('CBK Students'!P:P, TRIM('CBK Students'!B:B) = TRIM(A381)),
  """"
)"),"#REF!")</f>
        <v>#REF!</v>
      </c>
      <c r="AB381" s="4" t="str">
        <f>IFERROR(__xludf.DUMMYFUNCTION("IFERROR(
  FILTER('CBK Students'!Q:Q, TRIM('CBK Students'!B:B) = TRIM(A381)),
  """"
)"),"#REF!")</f>
        <v>#REF!</v>
      </c>
    </row>
    <row r="382" ht="18.75" customHeight="1">
      <c r="T382" s="240" t="str">
        <f>IFERROR(__xludf.DUMMYFUNCTION("IFERROR(
  FILTER('CBK Students'!F:F, TRIM('CBK Students'!B:B) = TRIM(A382)),
  """"
)"),"#REF!")</f>
        <v>#REF!</v>
      </c>
      <c r="U382" s="240" t="str">
        <f>IFERROR(__xludf.DUMMYFUNCTION("IFERROR(
  FILTER('CBK Students'!H:H, TRIM('CBK Students'!B:B) = TRIM(A382)),
  """"
)"),"#REF!")</f>
        <v>#REF!</v>
      </c>
      <c r="V382" s="240" t="str">
        <f>IFERROR(__xludf.DUMMYFUNCTION("IFERROR(
  FILTER('CBK Students'!M:M, TRIM('CBK Students'!B:B) = TRIM(A382)),
  """"
)"),"#REF!")</f>
        <v>#REF!</v>
      </c>
      <c r="W382" s="240" t="str">
        <f t="shared" si="1"/>
        <v/>
      </c>
      <c r="X382" s="240" t="str">
        <f>IFERROR(__xludf.DUMMYFUNCTION("IFERROR(
  FILTER('CBK Students'!R:R, TRIM('CBK Students'!B:B) = TRIM(A382)),
  """"
)"),"#REF!")</f>
        <v>#REF!</v>
      </c>
      <c r="Y382" s="4" t="str">
        <f t="shared" si="2"/>
        <v/>
      </c>
      <c r="Z382" s="4" t="str">
        <f>IFERROR(__xludf.DUMMYFUNCTION("IFERROR(
  FILTER('CBK Students'!O:O, TRIM('CBK Students'!B:B) = TRIM(A382)),
  """"
)"),"#REF!")</f>
        <v>#REF!</v>
      </c>
      <c r="AA382" s="4" t="str">
        <f>IFERROR(__xludf.DUMMYFUNCTION("IFERROR(
  FILTER('CBK Students'!P:P, TRIM('CBK Students'!B:B) = TRIM(A382)),
  """"
)"),"#REF!")</f>
        <v>#REF!</v>
      </c>
      <c r="AB382" s="4" t="str">
        <f>IFERROR(__xludf.DUMMYFUNCTION("IFERROR(
  FILTER('CBK Students'!Q:Q, TRIM('CBK Students'!B:B) = TRIM(A382)),
  """"
)"),"#REF!")</f>
        <v>#REF!</v>
      </c>
    </row>
    <row r="383" ht="18.75" customHeight="1">
      <c r="T383" s="240" t="str">
        <f>IFERROR(__xludf.DUMMYFUNCTION("IFERROR(
  FILTER('CBK Students'!F:F, TRIM('CBK Students'!B:B) = TRIM(A383)),
  """"
)"),"#REF!")</f>
        <v>#REF!</v>
      </c>
      <c r="U383" s="240" t="str">
        <f>IFERROR(__xludf.DUMMYFUNCTION("IFERROR(
  FILTER('CBK Students'!H:H, TRIM('CBK Students'!B:B) = TRIM(A383)),
  """"
)"),"#REF!")</f>
        <v>#REF!</v>
      </c>
      <c r="V383" s="240" t="str">
        <f>IFERROR(__xludf.DUMMYFUNCTION("IFERROR(
  FILTER('CBK Students'!M:M, TRIM('CBK Students'!B:B) = TRIM(A383)),
  """"
)"),"#REF!")</f>
        <v>#REF!</v>
      </c>
      <c r="W383" s="240" t="str">
        <f t="shared" si="1"/>
        <v/>
      </c>
      <c r="X383" s="240" t="str">
        <f>IFERROR(__xludf.DUMMYFUNCTION("IFERROR(
  FILTER('CBK Students'!R:R, TRIM('CBK Students'!B:B) = TRIM(A383)),
  """"
)"),"#REF!")</f>
        <v>#REF!</v>
      </c>
      <c r="Y383" s="4" t="str">
        <f t="shared" si="2"/>
        <v/>
      </c>
      <c r="Z383" s="4" t="str">
        <f>IFERROR(__xludf.DUMMYFUNCTION("IFERROR(
  FILTER('CBK Students'!O:O, TRIM('CBK Students'!B:B) = TRIM(A383)),
  """"
)"),"#REF!")</f>
        <v>#REF!</v>
      </c>
      <c r="AA383" s="4" t="str">
        <f>IFERROR(__xludf.DUMMYFUNCTION("IFERROR(
  FILTER('CBK Students'!P:P, TRIM('CBK Students'!B:B) = TRIM(A383)),
  """"
)"),"#REF!")</f>
        <v>#REF!</v>
      </c>
      <c r="AB383" s="4" t="str">
        <f>IFERROR(__xludf.DUMMYFUNCTION("IFERROR(
  FILTER('CBK Students'!Q:Q, TRIM('CBK Students'!B:B) = TRIM(A383)),
  """"
)"),"#REF!")</f>
        <v>#REF!</v>
      </c>
    </row>
    <row r="384" ht="18.75" customHeight="1">
      <c r="T384" s="240" t="str">
        <f>IFERROR(__xludf.DUMMYFUNCTION("IFERROR(
  FILTER('CBK Students'!F:F, TRIM('CBK Students'!B:B) = TRIM(A384)),
  """"
)"),"#REF!")</f>
        <v>#REF!</v>
      </c>
      <c r="U384" s="240" t="str">
        <f>IFERROR(__xludf.DUMMYFUNCTION("IFERROR(
  FILTER('CBK Students'!H:H, TRIM('CBK Students'!B:B) = TRIM(A384)),
  """"
)"),"#REF!")</f>
        <v>#REF!</v>
      </c>
      <c r="V384" s="240" t="str">
        <f>IFERROR(__xludf.DUMMYFUNCTION("IFERROR(
  FILTER('CBK Students'!M:M, TRIM('CBK Students'!B:B) = TRIM(A384)),
  """"
)"),"#REF!")</f>
        <v>#REF!</v>
      </c>
      <c r="W384" s="240" t="str">
        <f t="shared" si="1"/>
        <v/>
      </c>
      <c r="X384" s="240" t="str">
        <f>IFERROR(__xludf.DUMMYFUNCTION("IFERROR(
  FILTER('CBK Students'!R:R, TRIM('CBK Students'!B:B) = TRIM(A384)),
  """"
)"),"#REF!")</f>
        <v>#REF!</v>
      </c>
      <c r="Y384" s="4" t="str">
        <f t="shared" si="2"/>
        <v/>
      </c>
      <c r="Z384" s="4" t="str">
        <f>IFERROR(__xludf.DUMMYFUNCTION("IFERROR(
  FILTER('CBK Students'!O:O, TRIM('CBK Students'!B:B) = TRIM(A384)),
  """"
)"),"#REF!")</f>
        <v>#REF!</v>
      </c>
      <c r="AA384" s="4" t="str">
        <f>IFERROR(__xludf.DUMMYFUNCTION("IFERROR(
  FILTER('CBK Students'!P:P, TRIM('CBK Students'!B:B) = TRIM(A384)),
  """"
)"),"#REF!")</f>
        <v>#REF!</v>
      </c>
      <c r="AB384" s="4" t="str">
        <f>IFERROR(__xludf.DUMMYFUNCTION("IFERROR(
  FILTER('CBK Students'!Q:Q, TRIM('CBK Students'!B:B) = TRIM(A384)),
  """"
)"),"#REF!")</f>
        <v>#REF!</v>
      </c>
    </row>
    <row r="385" ht="18.75" customHeight="1">
      <c r="T385" s="240" t="str">
        <f>IFERROR(__xludf.DUMMYFUNCTION("IFERROR(
  FILTER('CBK Students'!F:F, TRIM('CBK Students'!B:B) = TRIM(A385)),
  """"
)"),"#REF!")</f>
        <v>#REF!</v>
      </c>
      <c r="U385" s="240" t="str">
        <f>IFERROR(__xludf.DUMMYFUNCTION("IFERROR(
  FILTER('CBK Students'!H:H, TRIM('CBK Students'!B:B) = TRIM(A385)),
  """"
)"),"#REF!")</f>
        <v>#REF!</v>
      </c>
      <c r="V385" s="240" t="str">
        <f>IFERROR(__xludf.DUMMYFUNCTION("IFERROR(
  FILTER('CBK Students'!M:M, TRIM('CBK Students'!B:B) = TRIM(A385)),
  """"
)"),"#REF!")</f>
        <v>#REF!</v>
      </c>
      <c r="W385" s="240" t="str">
        <f t="shared" si="1"/>
        <v/>
      </c>
      <c r="X385" s="240" t="str">
        <f>IFERROR(__xludf.DUMMYFUNCTION("IFERROR(
  FILTER('CBK Students'!R:R, TRIM('CBK Students'!B:B) = TRIM(A385)),
  """"
)"),"#REF!")</f>
        <v>#REF!</v>
      </c>
      <c r="Y385" s="4" t="str">
        <f t="shared" si="2"/>
        <v/>
      </c>
      <c r="Z385" s="4" t="str">
        <f>IFERROR(__xludf.DUMMYFUNCTION("IFERROR(
  FILTER('CBK Students'!O:O, TRIM('CBK Students'!B:B) = TRIM(A385)),
  """"
)"),"#REF!")</f>
        <v>#REF!</v>
      </c>
      <c r="AA385" s="4" t="str">
        <f>IFERROR(__xludf.DUMMYFUNCTION("IFERROR(
  FILTER('CBK Students'!P:P, TRIM('CBK Students'!B:B) = TRIM(A385)),
  """"
)"),"#REF!")</f>
        <v>#REF!</v>
      </c>
      <c r="AB385" s="4" t="str">
        <f>IFERROR(__xludf.DUMMYFUNCTION("IFERROR(
  FILTER('CBK Students'!Q:Q, TRIM('CBK Students'!B:B) = TRIM(A385)),
  """"
)"),"#REF!")</f>
        <v>#REF!</v>
      </c>
    </row>
    <row r="386" ht="18.75" customHeight="1">
      <c r="T386" s="240" t="str">
        <f>IFERROR(__xludf.DUMMYFUNCTION("IFERROR(
  FILTER('CBK Students'!F:F, TRIM('CBK Students'!B:B) = TRIM(A386)),
  """"
)"),"#REF!")</f>
        <v>#REF!</v>
      </c>
      <c r="U386" s="240" t="str">
        <f>IFERROR(__xludf.DUMMYFUNCTION("IFERROR(
  FILTER('CBK Students'!H:H, TRIM('CBK Students'!B:B) = TRIM(A386)),
  """"
)"),"#REF!")</f>
        <v>#REF!</v>
      </c>
      <c r="V386" s="240" t="str">
        <f>IFERROR(__xludf.DUMMYFUNCTION("IFERROR(
  FILTER('CBK Students'!M:M, TRIM('CBK Students'!B:B) = TRIM(A386)),
  """"
)"),"#REF!")</f>
        <v>#REF!</v>
      </c>
      <c r="W386" s="240" t="str">
        <f t="shared" si="1"/>
        <v/>
      </c>
      <c r="X386" s="240" t="str">
        <f>IFERROR(__xludf.DUMMYFUNCTION("IFERROR(
  FILTER('CBK Students'!R:R, TRIM('CBK Students'!B:B) = TRIM(A386)),
  """"
)"),"#REF!")</f>
        <v>#REF!</v>
      </c>
      <c r="Y386" s="4" t="str">
        <f t="shared" si="2"/>
        <v/>
      </c>
      <c r="Z386" s="4" t="str">
        <f>IFERROR(__xludf.DUMMYFUNCTION("IFERROR(
  FILTER('CBK Students'!O:O, TRIM('CBK Students'!B:B) = TRIM(A386)),
  """"
)"),"#REF!")</f>
        <v>#REF!</v>
      </c>
      <c r="AA386" s="4" t="str">
        <f>IFERROR(__xludf.DUMMYFUNCTION("IFERROR(
  FILTER('CBK Students'!P:P, TRIM('CBK Students'!B:B) = TRIM(A386)),
  """"
)"),"#REF!")</f>
        <v>#REF!</v>
      </c>
      <c r="AB386" s="4" t="str">
        <f>IFERROR(__xludf.DUMMYFUNCTION("IFERROR(
  FILTER('CBK Students'!Q:Q, TRIM('CBK Students'!B:B) = TRIM(A386)),
  """"
)"),"#REF!")</f>
        <v>#REF!</v>
      </c>
    </row>
    <row r="387" ht="18.75" customHeight="1">
      <c r="T387" s="240" t="str">
        <f>IFERROR(__xludf.DUMMYFUNCTION("IFERROR(
  FILTER('CBK Students'!F:F, TRIM('CBK Students'!B:B) = TRIM(A387)),
  """"
)"),"#REF!")</f>
        <v>#REF!</v>
      </c>
      <c r="U387" s="240" t="str">
        <f>IFERROR(__xludf.DUMMYFUNCTION("IFERROR(
  FILTER('CBK Students'!H:H, TRIM('CBK Students'!B:B) = TRIM(A387)),
  """"
)"),"#REF!")</f>
        <v>#REF!</v>
      </c>
      <c r="V387" s="240" t="str">
        <f>IFERROR(__xludf.DUMMYFUNCTION("IFERROR(
  FILTER('CBK Students'!M:M, TRIM('CBK Students'!B:B) = TRIM(A387)),
  """"
)"),"#REF!")</f>
        <v>#REF!</v>
      </c>
      <c r="W387" s="240" t="str">
        <f t="shared" si="1"/>
        <v/>
      </c>
      <c r="X387" s="240" t="str">
        <f>IFERROR(__xludf.DUMMYFUNCTION("IFERROR(
  FILTER('CBK Students'!R:R, TRIM('CBK Students'!B:B) = TRIM(A387)),
  """"
)"),"#REF!")</f>
        <v>#REF!</v>
      </c>
      <c r="Y387" s="4" t="str">
        <f t="shared" si="2"/>
        <v/>
      </c>
      <c r="Z387" s="4" t="str">
        <f>IFERROR(__xludf.DUMMYFUNCTION("IFERROR(
  FILTER('CBK Students'!O:O, TRIM('CBK Students'!B:B) = TRIM(A387)),
  """"
)"),"#REF!")</f>
        <v>#REF!</v>
      </c>
      <c r="AA387" s="4" t="str">
        <f>IFERROR(__xludf.DUMMYFUNCTION("IFERROR(
  FILTER('CBK Students'!P:P, TRIM('CBK Students'!B:B) = TRIM(A387)),
  """"
)"),"#REF!")</f>
        <v>#REF!</v>
      </c>
      <c r="AB387" s="4" t="str">
        <f>IFERROR(__xludf.DUMMYFUNCTION("IFERROR(
  FILTER('CBK Students'!Q:Q, TRIM('CBK Students'!B:B) = TRIM(A387)),
  """"
)"),"#REF!")</f>
        <v>#REF!</v>
      </c>
    </row>
    <row r="388" ht="18.75" customHeight="1">
      <c r="T388" s="240" t="str">
        <f>IFERROR(__xludf.DUMMYFUNCTION("IFERROR(
  FILTER('CBK Students'!F:F, TRIM('CBK Students'!B:B) = TRIM(A388)),
  """"
)"),"#REF!")</f>
        <v>#REF!</v>
      </c>
      <c r="U388" s="240" t="str">
        <f>IFERROR(__xludf.DUMMYFUNCTION("IFERROR(
  FILTER('CBK Students'!H:H, TRIM('CBK Students'!B:B) = TRIM(A388)),
  """"
)"),"#REF!")</f>
        <v>#REF!</v>
      </c>
      <c r="V388" s="240" t="str">
        <f>IFERROR(__xludf.DUMMYFUNCTION("IFERROR(
  FILTER('CBK Students'!M:M, TRIM('CBK Students'!B:B) = TRIM(A388)),
  """"
)"),"#REF!")</f>
        <v>#REF!</v>
      </c>
      <c r="W388" s="240" t="str">
        <f t="shared" si="1"/>
        <v/>
      </c>
      <c r="X388" s="240" t="str">
        <f>IFERROR(__xludf.DUMMYFUNCTION("IFERROR(
  FILTER('CBK Students'!R:R, TRIM('CBK Students'!B:B) = TRIM(A388)),
  """"
)"),"#REF!")</f>
        <v>#REF!</v>
      </c>
      <c r="Y388" s="4" t="str">
        <f t="shared" si="2"/>
        <v/>
      </c>
      <c r="Z388" s="4" t="str">
        <f>IFERROR(__xludf.DUMMYFUNCTION("IFERROR(
  FILTER('CBK Students'!O:O, TRIM('CBK Students'!B:B) = TRIM(A388)),
  """"
)"),"#REF!")</f>
        <v>#REF!</v>
      </c>
      <c r="AA388" s="4" t="str">
        <f>IFERROR(__xludf.DUMMYFUNCTION("IFERROR(
  FILTER('CBK Students'!P:P, TRIM('CBK Students'!B:B) = TRIM(A388)),
  """"
)"),"#REF!")</f>
        <v>#REF!</v>
      </c>
      <c r="AB388" s="4" t="str">
        <f>IFERROR(__xludf.DUMMYFUNCTION("IFERROR(
  FILTER('CBK Students'!Q:Q, TRIM('CBK Students'!B:B) = TRIM(A388)),
  """"
)"),"#REF!")</f>
        <v>#REF!</v>
      </c>
    </row>
    <row r="389" ht="18.75" customHeight="1">
      <c r="T389" s="240" t="str">
        <f>IFERROR(__xludf.DUMMYFUNCTION("IFERROR(
  FILTER('CBK Students'!F:F, TRIM('CBK Students'!B:B) = TRIM(A389)),
  """"
)"),"#REF!")</f>
        <v>#REF!</v>
      </c>
      <c r="U389" s="240" t="str">
        <f>IFERROR(__xludf.DUMMYFUNCTION("IFERROR(
  FILTER('CBK Students'!H:H, TRIM('CBK Students'!B:B) = TRIM(A389)),
  """"
)"),"#REF!")</f>
        <v>#REF!</v>
      </c>
      <c r="V389" s="240" t="str">
        <f>IFERROR(__xludf.DUMMYFUNCTION("IFERROR(
  FILTER('CBK Students'!M:M, TRIM('CBK Students'!B:B) = TRIM(A389)),
  """"
)"),"#REF!")</f>
        <v>#REF!</v>
      </c>
      <c r="W389" s="240" t="str">
        <f t="shared" si="1"/>
        <v/>
      </c>
      <c r="X389" s="240" t="str">
        <f>IFERROR(__xludf.DUMMYFUNCTION("IFERROR(
  FILTER('CBK Students'!R:R, TRIM('CBK Students'!B:B) = TRIM(A389)),
  """"
)"),"#REF!")</f>
        <v>#REF!</v>
      </c>
      <c r="Y389" s="4" t="str">
        <f t="shared" si="2"/>
        <v/>
      </c>
      <c r="Z389" s="4" t="str">
        <f>IFERROR(__xludf.DUMMYFUNCTION("IFERROR(
  FILTER('CBK Students'!O:O, TRIM('CBK Students'!B:B) = TRIM(A389)),
  """"
)"),"#REF!")</f>
        <v>#REF!</v>
      </c>
      <c r="AA389" s="4" t="str">
        <f>IFERROR(__xludf.DUMMYFUNCTION("IFERROR(
  FILTER('CBK Students'!P:P, TRIM('CBK Students'!B:B) = TRIM(A389)),
  """"
)"),"#REF!")</f>
        <v>#REF!</v>
      </c>
      <c r="AB389" s="4" t="str">
        <f>IFERROR(__xludf.DUMMYFUNCTION("IFERROR(
  FILTER('CBK Students'!Q:Q, TRIM('CBK Students'!B:B) = TRIM(A389)),
  """"
)"),"#REF!")</f>
        <v>#REF!</v>
      </c>
    </row>
    <row r="390" ht="18.75" customHeight="1">
      <c r="T390" s="240" t="str">
        <f>IFERROR(__xludf.DUMMYFUNCTION("IFERROR(
  FILTER('CBK Students'!F:F, TRIM('CBK Students'!B:B) = TRIM(A390)),
  """"
)"),"#REF!")</f>
        <v>#REF!</v>
      </c>
      <c r="U390" s="240" t="str">
        <f>IFERROR(__xludf.DUMMYFUNCTION("IFERROR(
  FILTER('CBK Students'!H:H, TRIM('CBK Students'!B:B) = TRIM(A390)),
  """"
)"),"#REF!")</f>
        <v>#REF!</v>
      </c>
      <c r="V390" s="240" t="str">
        <f>IFERROR(__xludf.DUMMYFUNCTION("IFERROR(
  FILTER('CBK Students'!M:M, TRIM('CBK Students'!B:B) = TRIM(A390)),
  """"
)"),"#REF!")</f>
        <v>#REF!</v>
      </c>
      <c r="W390" s="240" t="str">
        <f t="shared" si="1"/>
        <v/>
      </c>
      <c r="X390" s="240" t="str">
        <f>IFERROR(__xludf.DUMMYFUNCTION("IFERROR(
  FILTER('CBK Students'!R:R, TRIM('CBK Students'!B:B) = TRIM(A390)),
  """"
)"),"#REF!")</f>
        <v>#REF!</v>
      </c>
      <c r="Y390" s="4" t="str">
        <f t="shared" si="2"/>
        <v/>
      </c>
      <c r="Z390" s="4" t="str">
        <f>IFERROR(__xludf.DUMMYFUNCTION("IFERROR(
  FILTER('CBK Students'!O:O, TRIM('CBK Students'!B:B) = TRIM(A390)),
  """"
)"),"#REF!")</f>
        <v>#REF!</v>
      </c>
      <c r="AA390" s="4" t="str">
        <f>IFERROR(__xludf.DUMMYFUNCTION("IFERROR(
  FILTER('CBK Students'!P:P, TRIM('CBK Students'!B:B) = TRIM(A390)),
  """"
)"),"#REF!")</f>
        <v>#REF!</v>
      </c>
      <c r="AB390" s="4" t="str">
        <f>IFERROR(__xludf.DUMMYFUNCTION("IFERROR(
  FILTER('CBK Students'!Q:Q, TRIM('CBK Students'!B:B) = TRIM(A390)),
  """"
)"),"#REF!")</f>
        <v>#REF!</v>
      </c>
    </row>
    <row r="391" ht="18.75" customHeight="1">
      <c r="T391" s="240" t="str">
        <f>IFERROR(__xludf.DUMMYFUNCTION("IFERROR(
  FILTER('CBK Students'!F:F, TRIM('CBK Students'!B:B) = TRIM(A391)),
  """"
)"),"#REF!")</f>
        <v>#REF!</v>
      </c>
      <c r="U391" s="240" t="str">
        <f>IFERROR(__xludf.DUMMYFUNCTION("IFERROR(
  FILTER('CBK Students'!H:H, TRIM('CBK Students'!B:B) = TRIM(A391)),
  """"
)"),"#REF!")</f>
        <v>#REF!</v>
      </c>
      <c r="V391" s="240" t="str">
        <f>IFERROR(__xludf.DUMMYFUNCTION("IFERROR(
  FILTER('CBK Students'!M:M, TRIM('CBK Students'!B:B) = TRIM(A391)),
  """"
)"),"#REF!")</f>
        <v>#REF!</v>
      </c>
      <c r="W391" s="240" t="str">
        <f t="shared" si="1"/>
        <v/>
      </c>
      <c r="X391" s="240" t="str">
        <f>IFERROR(__xludf.DUMMYFUNCTION("IFERROR(
  FILTER('CBK Students'!R:R, TRIM('CBK Students'!B:B) = TRIM(A391)),
  """"
)"),"#REF!")</f>
        <v>#REF!</v>
      </c>
      <c r="Y391" s="4" t="str">
        <f t="shared" si="2"/>
        <v/>
      </c>
      <c r="Z391" s="4" t="str">
        <f>IFERROR(__xludf.DUMMYFUNCTION("IFERROR(
  FILTER('CBK Students'!O:O, TRIM('CBK Students'!B:B) = TRIM(A391)),
  """"
)"),"#REF!")</f>
        <v>#REF!</v>
      </c>
      <c r="AA391" s="4" t="str">
        <f>IFERROR(__xludf.DUMMYFUNCTION("IFERROR(
  FILTER('CBK Students'!P:P, TRIM('CBK Students'!B:B) = TRIM(A391)),
  """"
)"),"#REF!")</f>
        <v>#REF!</v>
      </c>
      <c r="AB391" s="4" t="str">
        <f>IFERROR(__xludf.DUMMYFUNCTION("IFERROR(
  FILTER('CBK Students'!Q:Q, TRIM('CBK Students'!B:B) = TRIM(A391)),
  """"
)"),"#REF!")</f>
        <v>#REF!</v>
      </c>
    </row>
    <row r="392" ht="18.75" customHeight="1">
      <c r="T392" s="240" t="str">
        <f>IFERROR(__xludf.DUMMYFUNCTION("IFERROR(
  FILTER('CBK Students'!F:F, TRIM('CBK Students'!B:B) = TRIM(A392)),
  """"
)"),"#REF!")</f>
        <v>#REF!</v>
      </c>
      <c r="U392" s="240" t="str">
        <f>IFERROR(__xludf.DUMMYFUNCTION("IFERROR(
  FILTER('CBK Students'!H:H, TRIM('CBK Students'!B:B) = TRIM(A392)),
  """"
)"),"#REF!")</f>
        <v>#REF!</v>
      </c>
      <c r="V392" s="240" t="str">
        <f>IFERROR(__xludf.DUMMYFUNCTION("IFERROR(
  FILTER('CBK Students'!M:M, TRIM('CBK Students'!B:B) = TRIM(A392)),
  """"
)"),"#REF!")</f>
        <v>#REF!</v>
      </c>
      <c r="W392" s="240" t="str">
        <f t="shared" si="1"/>
        <v/>
      </c>
      <c r="X392" s="240" t="str">
        <f>IFERROR(__xludf.DUMMYFUNCTION("IFERROR(
  FILTER('CBK Students'!R:R, TRIM('CBK Students'!B:B) = TRIM(A392)),
  """"
)"),"#REF!")</f>
        <v>#REF!</v>
      </c>
      <c r="Y392" s="4" t="str">
        <f t="shared" si="2"/>
        <v/>
      </c>
      <c r="Z392" s="4" t="str">
        <f>IFERROR(__xludf.DUMMYFUNCTION("IFERROR(
  FILTER('CBK Students'!O:O, TRIM('CBK Students'!B:B) = TRIM(A392)),
  """"
)"),"#REF!")</f>
        <v>#REF!</v>
      </c>
      <c r="AA392" s="4" t="str">
        <f>IFERROR(__xludf.DUMMYFUNCTION("IFERROR(
  FILTER('CBK Students'!P:P, TRIM('CBK Students'!B:B) = TRIM(A392)),
  """"
)"),"#REF!")</f>
        <v>#REF!</v>
      </c>
      <c r="AB392" s="4" t="str">
        <f>IFERROR(__xludf.DUMMYFUNCTION("IFERROR(
  FILTER('CBK Students'!Q:Q, TRIM('CBK Students'!B:B) = TRIM(A392)),
  """"
)"),"#REF!")</f>
        <v>#REF!</v>
      </c>
    </row>
    <row r="393" ht="18.75" customHeight="1">
      <c r="T393" s="240" t="str">
        <f>IFERROR(__xludf.DUMMYFUNCTION("IFERROR(
  FILTER('CBK Students'!F:F, TRIM('CBK Students'!B:B) = TRIM(A393)),
  """"
)"),"#REF!")</f>
        <v>#REF!</v>
      </c>
      <c r="U393" s="240" t="str">
        <f>IFERROR(__xludf.DUMMYFUNCTION("IFERROR(
  FILTER('CBK Students'!H:H, TRIM('CBK Students'!B:B) = TRIM(A393)),
  """"
)"),"#REF!")</f>
        <v>#REF!</v>
      </c>
      <c r="V393" s="240" t="str">
        <f>IFERROR(__xludf.DUMMYFUNCTION("IFERROR(
  FILTER('CBK Students'!M:M, TRIM('CBK Students'!B:B) = TRIM(A393)),
  """"
)"),"#REF!")</f>
        <v>#REF!</v>
      </c>
      <c r="W393" s="240" t="str">
        <f t="shared" si="1"/>
        <v/>
      </c>
      <c r="X393" s="240" t="str">
        <f>IFERROR(__xludf.DUMMYFUNCTION("IFERROR(
  FILTER('CBK Students'!R:R, TRIM('CBK Students'!B:B) = TRIM(A393)),
  """"
)"),"#REF!")</f>
        <v>#REF!</v>
      </c>
      <c r="Y393" s="4" t="str">
        <f t="shared" si="2"/>
        <v/>
      </c>
      <c r="Z393" s="4" t="str">
        <f>IFERROR(__xludf.DUMMYFUNCTION("IFERROR(
  FILTER('CBK Students'!O:O, TRIM('CBK Students'!B:B) = TRIM(A393)),
  """"
)"),"#REF!")</f>
        <v>#REF!</v>
      </c>
      <c r="AA393" s="4" t="str">
        <f>IFERROR(__xludf.DUMMYFUNCTION("IFERROR(
  FILTER('CBK Students'!P:P, TRIM('CBK Students'!B:B) = TRIM(A393)),
  """"
)"),"#REF!")</f>
        <v>#REF!</v>
      </c>
      <c r="AB393" s="4" t="str">
        <f>IFERROR(__xludf.DUMMYFUNCTION("IFERROR(
  FILTER('CBK Students'!Q:Q, TRIM('CBK Students'!B:B) = TRIM(A393)),
  """"
)"),"#REF!")</f>
        <v>#REF!</v>
      </c>
    </row>
    <row r="394" ht="18.75" customHeight="1">
      <c r="T394" s="240" t="str">
        <f>IFERROR(__xludf.DUMMYFUNCTION("IFERROR(
  FILTER('CBK Students'!F:F, TRIM('CBK Students'!B:B) = TRIM(A394)),
  """"
)"),"#REF!")</f>
        <v>#REF!</v>
      </c>
      <c r="U394" s="240" t="str">
        <f>IFERROR(__xludf.DUMMYFUNCTION("IFERROR(
  FILTER('CBK Students'!H:H, TRIM('CBK Students'!B:B) = TRIM(A394)),
  """"
)"),"#REF!")</f>
        <v>#REF!</v>
      </c>
      <c r="V394" s="240" t="str">
        <f>IFERROR(__xludf.DUMMYFUNCTION("IFERROR(
  FILTER('CBK Students'!M:M, TRIM('CBK Students'!B:B) = TRIM(A394)),
  """"
)"),"#REF!")</f>
        <v>#REF!</v>
      </c>
      <c r="W394" s="240" t="str">
        <f t="shared" si="1"/>
        <v/>
      </c>
      <c r="X394" s="240" t="str">
        <f>IFERROR(__xludf.DUMMYFUNCTION("IFERROR(
  FILTER('CBK Students'!R:R, TRIM('CBK Students'!B:B) = TRIM(A394)),
  """"
)"),"#REF!")</f>
        <v>#REF!</v>
      </c>
      <c r="Y394" s="4" t="str">
        <f t="shared" si="2"/>
        <v/>
      </c>
      <c r="Z394" s="4" t="str">
        <f>IFERROR(__xludf.DUMMYFUNCTION("IFERROR(
  FILTER('CBK Students'!O:O, TRIM('CBK Students'!B:B) = TRIM(A394)),
  """"
)"),"#REF!")</f>
        <v>#REF!</v>
      </c>
      <c r="AA394" s="4" t="str">
        <f>IFERROR(__xludf.DUMMYFUNCTION("IFERROR(
  FILTER('CBK Students'!P:P, TRIM('CBK Students'!B:B) = TRIM(A394)),
  """"
)"),"#REF!")</f>
        <v>#REF!</v>
      </c>
      <c r="AB394" s="4" t="str">
        <f>IFERROR(__xludf.DUMMYFUNCTION("IFERROR(
  FILTER('CBK Students'!Q:Q, TRIM('CBK Students'!B:B) = TRIM(A394)),
  """"
)"),"#REF!")</f>
        <v>#REF!</v>
      </c>
    </row>
    <row r="395" ht="18.75" customHeight="1">
      <c r="T395" s="240" t="str">
        <f>IFERROR(__xludf.DUMMYFUNCTION("IFERROR(
  FILTER('CBK Students'!F:F, TRIM('CBK Students'!B:B) = TRIM(A395)),
  """"
)"),"#REF!")</f>
        <v>#REF!</v>
      </c>
      <c r="U395" s="240" t="str">
        <f>IFERROR(__xludf.DUMMYFUNCTION("IFERROR(
  FILTER('CBK Students'!H:H, TRIM('CBK Students'!B:B) = TRIM(A395)),
  """"
)"),"#REF!")</f>
        <v>#REF!</v>
      </c>
      <c r="V395" s="240" t="str">
        <f>IFERROR(__xludf.DUMMYFUNCTION("IFERROR(
  FILTER('CBK Students'!M:M, TRIM('CBK Students'!B:B) = TRIM(A395)),
  """"
)"),"#REF!")</f>
        <v>#REF!</v>
      </c>
      <c r="W395" s="240" t="str">
        <f t="shared" si="1"/>
        <v/>
      </c>
      <c r="X395" s="240" t="str">
        <f>IFERROR(__xludf.DUMMYFUNCTION("IFERROR(
  FILTER('CBK Students'!R:R, TRIM('CBK Students'!B:B) = TRIM(A395)),
  """"
)"),"#REF!")</f>
        <v>#REF!</v>
      </c>
      <c r="Y395" s="4" t="str">
        <f t="shared" si="2"/>
        <v/>
      </c>
      <c r="Z395" s="4" t="str">
        <f>IFERROR(__xludf.DUMMYFUNCTION("IFERROR(
  FILTER('CBK Students'!O:O, TRIM('CBK Students'!B:B) = TRIM(A395)),
  """"
)"),"#REF!")</f>
        <v>#REF!</v>
      </c>
      <c r="AA395" s="4" t="str">
        <f>IFERROR(__xludf.DUMMYFUNCTION("IFERROR(
  FILTER('CBK Students'!P:P, TRIM('CBK Students'!B:B) = TRIM(A395)),
  """"
)"),"#REF!")</f>
        <v>#REF!</v>
      </c>
      <c r="AB395" s="4" t="str">
        <f>IFERROR(__xludf.DUMMYFUNCTION("IFERROR(
  FILTER('CBK Students'!Q:Q, TRIM('CBK Students'!B:B) = TRIM(A395)),
  """"
)"),"#REF!")</f>
        <v>#REF!</v>
      </c>
    </row>
    <row r="396" ht="18.75" customHeight="1">
      <c r="T396" s="240" t="str">
        <f>IFERROR(__xludf.DUMMYFUNCTION("IFERROR(
  FILTER('CBK Students'!F:F, TRIM('CBK Students'!B:B) = TRIM(A396)),
  """"
)"),"#REF!")</f>
        <v>#REF!</v>
      </c>
      <c r="U396" s="240" t="str">
        <f>IFERROR(__xludf.DUMMYFUNCTION("IFERROR(
  FILTER('CBK Students'!H:H, TRIM('CBK Students'!B:B) = TRIM(A396)),
  """"
)"),"#REF!")</f>
        <v>#REF!</v>
      </c>
      <c r="V396" s="240" t="str">
        <f>IFERROR(__xludf.DUMMYFUNCTION("IFERROR(
  FILTER('CBK Students'!M:M, TRIM('CBK Students'!B:B) = TRIM(A396)),
  """"
)"),"#REF!")</f>
        <v>#REF!</v>
      </c>
      <c r="W396" s="240" t="str">
        <f t="shared" si="1"/>
        <v/>
      </c>
      <c r="X396" s="240" t="str">
        <f>IFERROR(__xludf.DUMMYFUNCTION("IFERROR(
  FILTER('CBK Students'!R:R, TRIM('CBK Students'!B:B) = TRIM(A396)),
  """"
)"),"#REF!")</f>
        <v>#REF!</v>
      </c>
      <c r="Y396" s="4" t="str">
        <f t="shared" si="2"/>
        <v/>
      </c>
      <c r="Z396" s="4" t="str">
        <f>IFERROR(__xludf.DUMMYFUNCTION("IFERROR(
  FILTER('CBK Students'!O:O, TRIM('CBK Students'!B:B) = TRIM(A396)),
  """"
)"),"#REF!")</f>
        <v>#REF!</v>
      </c>
      <c r="AA396" s="4" t="str">
        <f>IFERROR(__xludf.DUMMYFUNCTION("IFERROR(
  FILTER('CBK Students'!P:P, TRIM('CBK Students'!B:B) = TRIM(A396)),
  """"
)"),"#REF!")</f>
        <v>#REF!</v>
      </c>
      <c r="AB396" s="4" t="str">
        <f>IFERROR(__xludf.DUMMYFUNCTION("IFERROR(
  FILTER('CBK Students'!Q:Q, TRIM('CBK Students'!B:B) = TRIM(A396)),
  """"
)"),"#REF!")</f>
        <v>#REF!</v>
      </c>
    </row>
    <row r="397" ht="18.75" customHeight="1">
      <c r="T397" s="240" t="str">
        <f>IFERROR(__xludf.DUMMYFUNCTION("IFERROR(
  FILTER('CBK Students'!F:F, TRIM('CBK Students'!B:B) = TRIM(A397)),
  """"
)"),"#REF!")</f>
        <v>#REF!</v>
      </c>
      <c r="U397" s="240" t="str">
        <f>IFERROR(__xludf.DUMMYFUNCTION("IFERROR(
  FILTER('CBK Students'!H:H, TRIM('CBK Students'!B:B) = TRIM(A397)),
  """"
)"),"#REF!")</f>
        <v>#REF!</v>
      </c>
      <c r="V397" s="240" t="str">
        <f>IFERROR(__xludf.DUMMYFUNCTION("IFERROR(
  FILTER('CBK Students'!M:M, TRIM('CBK Students'!B:B) = TRIM(A397)),
  """"
)"),"#REF!")</f>
        <v>#REF!</v>
      </c>
      <c r="W397" s="240" t="str">
        <f t="shared" si="1"/>
        <v/>
      </c>
      <c r="X397" s="240" t="str">
        <f>IFERROR(__xludf.DUMMYFUNCTION("IFERROR(
  FILTER('CBK Students'!R:R, TRIM('CBK Students'!B:B) = TRIM(A397)),
  """"
)"),"#REF!")</f>
        <v>#REF!</v>
      </c>
      <c r="Y397" s="4" t="str">
        <f t="shared" si="2"/>
        <v/>
      </c>
      <c r="Z397" s="4" t="str">
        <f>IFERROR(__xludf.DUMMYFUNCTION("IFERROR(
  FILTER('CBK Students'!O:O, TRIM('CBK Students'!B:B) = TRIM(A397)),
  """"
)"),"#REF!")</f>
        <v>#REF!</v>
      </c>
      <c r="AA397" s="4" t="str">
        <f>IFERROR(__xludf.DUMMYFUNCTION("IFERROR(
  FILTER('CBK Students'!P:P, TRIM('CBK Students'!B:B) = TRIM(A397)),
  """"
)"),"#REF!")</f>
        <v>#REF!</v>
      </c>
      <c r="AB397" s="4" t="str">
        <f>IFERROR(__xludf.DUMMYFUNCTION("IFERROR(
  FILTER('CBK Students'!Q:Q, TRIM('CBK Students'!B:B) = TRIM(A397)),
  """"
)"),"#REF!")</f>
        <v>#REF!</v>
      </c>
    </row>
    <row r="398" ht="18.75" customHeight="1">
      <c r="T398" s="240" t="str">
        <f>IFERROR(__xludf.DUMMYFUNCTION("IFERROR(
  FILTER('CBK Students'!F:F, TRIM('CBK Students'!B:B) = TRIM(A398)),
  """"
)"),"#REF!")</f>
        <v>#REF!</v>
      </c>
      <c r="U398" s="240" t="str">
        <f>IFERROR(__xludf.DUMMYFUNCTION("IFERROR(
  FILTER('CBK Students'!H:H, TRIM('CBK Students'!B:B) = TRIM(A398)),
  """"
)"),"#REF!")</f>
        <v>#REF!</v>
      </c>
      <c r="V398" s="240" t="str">
        <f>IFERROR(__xludf.DUMMYFUNCTION("IFERROR(
  FILTER('CBK Students'!M:M, TRIM('CBK Students'!B:B) = TRIM(A398)),
  """"
)"),"#REF!")</f>
        <v>#REF!</v>
      </c>
      <c r="W398" s="240" t="str">
        <f t="shared" si="1"/>
        <v/>
      </c>
      <c r="X398" s="240" t="str">
        <f>IFERROR(__xludf.DUMMYFUNCTION("IFERROR(
  FILTER('CBK Students'!R:R, TRIM('CBK Students'!B:B) = TRIM(A398)),
  """"
)"),"#REF!")</f>
        <v>#REF!</v>
      </c>
      <c r="Y398" s="4" t="str">
        <f t="shared" si="2"/>
        <v/>
      </c>
      <c r="Z398" s="4" t="str">
        <f>IFERROR(__xludf.DUMMYFUNCTION("IFERROR(
  FILTER('CBK Students'!O:O, TRIM('CBK Students'!B:B) = TRIM(A398)),
  """"
)"),"#REF!")</f>
        <v>#REF!</v>
      </c>
      <c r="AA398" s="4" t="str">
        <f>IFERROR(__xludf.DUMMYFUNCTION("IFERROR(
  FILTER('CBK Students'!P:P, TRIM('CBK Students'!B:B) = TRIM(A398)),
  """"
)"),"#REF!")</f>
        <v>#REF!</v>
      </c>
      <c r="AB398" s="4" t="str">
        <f>IFERROR(__xludf.DUMMYFUNCTION("IFERROR(
  FILTER('CBK Students'!Q:Q, TRIM('CBK Students'!B:B) = TRIM(A398)),
  """"
)"),"#REF!")</f>
        <v>#REF!</v>
      </c>
    </row>
    <row r="399" ht="18.75" customHeight="1">
      <c r="T399" s="240" t="str">
        <f>IFERROR(__xludf.DUMMYFUNCTION("IFERROR(
  FILTER('CBK Students'!F:F, TRIM('CBK Students'!B:B) = TRIM(A399)),
  """"
)"),"#REF!")</f>
        <v>#REF!</v>
      </c>
      <c r="U399" s="240" t="str">
        <f>IFERROR(__xludf.DUMMYFUNCTION("IFERROR(
  FILTER('CBK Students'!H:H, TRIM('CBK Students'!B:B) = TRIM(A399)),
  """"
)"),"#REF!")</f>
        <v>#REF!</v>
      </c>
      <c r="V399" s="240" t="str">
        <f>IFERROR(__xludf.DUMMYFUNCTION("IFERROR(
  FILTER('CBK Students'!M:M, TRIM('CBK Students'!B:B) = TRIM(A399)),
  """"
)"),"#REF!")</f>
        <v>#REF!</v>
      </c>
      <c r="W399" s="240" t="str">
        <f t="shared" si="1"/>
        <v/>
      </c>
      <c r="X399" s="240" t="str">
        <f>IFERROR(__xludf.DUMMYFUNCTION("IFERROR(
  FILTER('CBK Students'!R:R, TRIM('CBK Students'!B:B) = TRIM(A399)),
  """"
)"),"#REF!")</f>
        <v>#REF!</v>
      </c>
      <c r="Y399" s="4" t="str">
        <f t="shared" si="2"/>
        <v/>
      </c>
      <c r="Z399" s="4" t="str">
        <f>IFERROR(__xludf.DUMMYFUNCTION("IFERROR(
  FILTER('CBK Students'!O:O, TRIM('CBK Students'!B:B) = TRIM(A399)),
  """"
)"),"#REF!")</f>
        <v>#REF!</v>
      </c>
      <c r="AA399" s="4" t="str">
        <f>IFERROR(__xludf.DUMMYFUNCTION("IFERROR(
  FILTER('CBK Students'!P:P, TRIM('CBK Students'!B:B) = TRIM(A399)),
  """"
)"),"#REF!")</f>
        <v>#REF!</v>
      </c>
      <c r="AB399" s="4" t="str">
        <f>IFERROR(__xludf.DUMMYFUNCTION("IFERROR(
  FILTER('CBK Students'!Q:Q, TRIM('CBK Students'!B:B) = TRIM(A399)),
  """"
)"),"#REF!")</f>
        <v>#REF!</v>
      </c>
    </row>
    <row r="400" ht="18.75" customHeight="1">
      <c r="T400" s="240" t="str">
        <f>IFERROR(__xludf.DUMMYFUNCTION("IFERROR(
  FILTER('CBK Students'!F:F, TRIM('CBK Students'!B:B) = TRIM(A400)),
  """"
)"),"#REF!")</f>
        <v>#REF!</v>
      </c>
      <c r="U400" s="240" t="str">
        <f>IFERROR(__xludf.DUMMYFUNCTION("IFERROR(
  FILTER('CBK Students'!H:H, TRIM('CBK Students'!B:B) = TRIM(A400)),
  """"
)"),"#REF!")</f>
        <v>#REF!</v>
      </c>
      <c r="V400" s="240" t="str">
        <f>IFERROR(__xludf.DUMMYFUNCTION("IFERROR(
  FILTER('CBK Students'!M:M, TRIM('CBK Students'!B:B) = TRIM(A400)),
  """"
)"),"#REF!")</f>
        <v>#REF!</v>
      </c>
      <c r="W400" s="240" t="str">
        <f t="shared" si="1"/>
        <v/>
      </c>
      <c r="X400" s="240" t="str">
        <f>IFERROR(__xludf.DUMMYFUNCTION("IFERROR(
  FILTER('CBK Students'!R:R, TRIM('CBK Students'!B:B) = TRIM(A400)),
  """"
)"),"#REF!")</f>
        <v>#REF!</v>
      </c>
      <c r="Y400" s="4" t="str">
        <f t="shared" si="2"/>
        <v/>
      </c>
      <c r="Z400" s="4" t="str">
        <f>IFERROR(__xludf.DUMMYFUNCTION("IFERROR(
  FILTER('CBK Students'!O:O, TRIM('CBK Students'!B:B) = TRIM(A400)),
  """"
)"),"#REF!")</f>
        <v>#REF!</v>
      </c>
      <c r="AA400" s="4" t="str">
        <f>IFERROR(__xludf.DUMMYFUNCTION("IFERROR(
  FILTER('CBK Students'!P:P, TRIM('CBK Students'!B:B) = TRIM(A400)),
  """"
)"),"#REF!")</f>
        <v>#REF!</v>
      </c>
      <c r="AB400" s="4" t="str">
        <f>IFERROR(__xludf.DUMMYFUNCTION("IFERROR(
  FILTER('CBK Students'!Q:Q, TRIM('CBK Students'!B:B) = TRIM(A400)),
  """"
)"),"#REF!")</f>
        <v>#REF!</v>
      </c>
    </row>
    <row r="401" ht="18.75" customHeight="1">
      <c r="T401" s="240" t="str">
        <f>IFERROR(__xludf.DUMMYFUNCTION("IFERROR(
  FILTER('CBK Students'!F:F, TRIM('CBK Students'!B:B) = TRIM(A401)),
  """"
)"),"#REF!")</f>
        <v>#REF!</v>
      </c>
      <c r="U401" s="240" t="str">
        <f>IFERROR(__xludf.DUMMYFUNCTION("IFERROR(
  FILTER('CBK Students'!H:H, TRIM('CBK Students'!B:B) = TRIM(A401)),
  """"
)"),"#REF!")</f>
        <v>#REF!</v>
      </c>
      <c r="V401" s="240" t="str">
        <f>IFERROR(__xludf.DUMMYFUNCTION("IFERROR(
  FILTER('CBK Students'!M:M, TRIM('CBK Students'!B:B) = TRIM(A401)),
  """"
)"),"#REF!")</f>
        <v>#REF!</v>
      </c>
      <c r="W401" s="240" t="str">
        <f t="shared" si="1"/>
        <v/>
      </c>
      <c r="X401" s="240" t="str">
        <f>IFERROR(__xludf.DUMMYFUNCTION("IFERROR(
  FILTER('CBK Students'!R:R, TRIM('CBK Students'!B:B) = TRIM(A401)),
  """"
)"),"#REF!")</f>
        <v>#REF!</v>
      </c>
      <c r="Y401" s="4" t="str">
        <f t="shared" si="2"/>
        <v/>
      </c>
      <c r="Z401" s="4" t="str">
        <f>IFERROR(__xludf.DUMMYFUNCTION("IFERROR(
  FILTER('CBK Students'!O:O, TRIM('CBK Students'!B:B) = TRIM(A401)),
  """"
)"),"#REF!")</f>
        <v>#REF!</v>
      </c>
      <c r="AA401" s="4" t="str">
        <f>IFERROR(__xludf.DUMMYFUNCTION("IFERROR(
  FILTER('CBK Students'!P:P, TRIM('CBK Students'!B:B) = TRIM(A401)),
  """"
)"),"#REF!")</f>
        <v>#REF!</v>
      </c>
      <c r="AB401" s="4" t="str">
        <f>IFERROR(__xludf.DUMMYFUNCTION("IFERROR(
  FILTER('CBK Students'!Q:Q, TRIM('CBK Students'!B:B) = TRIM(A401)),
  """"
)"),"#REF!")</f>
        <v>#REF!</v>
      </c>
    </row>
    <row r="402" ht="18.75" customHeight="1">
      <c r="T402" s="240" t="str">
        <f>IFERROR(__xludf.DUMMYFUNCTION("IFERROR(
  FILTER('CBK Students'!F:F, TRIM('CBK Students'!B:B) = TRIM(A402)),
  """"
)"),"#REF!")</f>
        <v>#REF!</v>
      </c>
      <c r="U402" s="240" t="str">
        <f>IFERROR(__xludf.DUMMYFUNCTION("IFERROR(
  FILTER('CBK Students'!H:H, TRIM('CBK Students'!B:B) = TRIM(A402)),
  """"
)"),"#REF!")</f>
        <v>#REF!</v>
      </c>
      <c r="V402" s="240" t="str">
        <f>IFERROR(__xludf.DUMMYFUNCTION("IFERROR(
  FILTER('CBK Students'!M:M, TRIM('CBK Students'!B:B) = TRIM(A402)),
  """"
)"),"#REF!")</f>
        <v>#REF!</v>
      </c>
      <c r="W402" s="240" t="str">
        <f t="shared" si="1"/>
        <v/>
      </c>
      <c r="X402" s="240" t="str">
        <f>IFERROR(__xludf.DUMMYFUNCTION("IFERROR(
  FILTER('CBK Students'!R:R, TRIM('CBK Students'!B:B) = TRIM(A402)),
  """"
)"),"#REF!")</f>
        <v>#REF!</v>
      </c>
      <c r="Y402" s="4" t="str">
        <f t="shared" si="2"/>
        <v/>
      </c>
      <c r="Z402" s="4" t="str">
        <f>IFERROR(__xludf.DUMMYFUNCTION("IFERROR(
  FILTER('CBK Students'!O:O, TRIM('CBK Students'!B:B) = TRIM(A402)),
  """"
)"),"#REF!")</f>
        <v>#REF!</v>
      </c>
      <c r="AA402" s="4" t="str">
        <f>IFERROR(__xludf.DUMMYFUNCTION("IFERROR(
  FILTER('CBK Students'!P:P, TRIM('CBK Students'!B:B) = TRIM(A402)),
  """"
)"),"#REF!")</f>
        <v>#REF!</v>
      </c>
      <c r="AB402" s="4" t="str">
        <f>IFERROR(__xludf.DUMMYFUNCTION("IFERROR(
  FILTER('CBK Students'!Q:Q, TRIM('CBK Students'!B:B) = TRIM(A402)),
  """"
)"),"#REF!")</f>
        <v>#REF!</v>
      </c>
    </row>
    <row r="403" ht="18.75" customHeight="1">
      <c r="T403" s="240" t="str">
        <f>IFERROR(__xludf.DUMMYFUNCTION("IFERROR(
  FILTER('CBK Students'!F:F, TRIM('CBK Students'!B:B) = TRIM(A403)),
  """"
)"),"#REF!")</f>
        <v>#REF!</v>
      </c>
      <c r="U403" s="240" t="str">
        <f>IFERROR(__xludf.DUMMYFUNCTION("IFERROR(
  FILTER('CBK Students'!H:H, TRIM('CBK Students'!B:B) = TRIM(A403)),
  """"
)"),"#REF!")</f>
        <v>#REF!</v>
      </c>
      <c r="V403" s="240" t="str">
        <f>IFERROR(__xludf.DUMMYFUNCTION("IFERROR(
  FILTER('CBK Students'!M:M, TRIM('CBK Students'!B:B) = TRIM(A403)),
  """"
)"),"#REF!")</f>
        <v>#REF!</v>
      </c>
      <c r="W403" s="240" t="str">
        <f t="shared" si="1"/>
        <v/>
      </c>
      <c r="X403" s="240" t="str">
        <f>IFERROR(__xludf.DUMMYFUNCTION("IFERROR(
  FILTER('CBK Students'!R:R, TRIM('CBK Students'!B:B) = TRIM(A403)),
  """"
)"),"#REF!")</f>
        <v>#REF!</v>
      </c>
      <c r="Y403" s="4" t="str">
        <f t="shared" si="2"/>
        <v/>
      </c>
      <c r="Z403" s="4" t="str">
        <f>IFERROR(__xludf.DUMMYFUNCTION("IFERROR(
  FILTER('CBK Students'!O:O, TRIM('CBK Students'!B:B) = TRIM(A403)),
  """"
)"),"#REF!")</f>
        <v>#REF!</v>
      </c>
      <c r="AA403" s="4" t="str">
        <f>IFERROR(__xludf.DUMMYFUNCTION("IFERROR(
  FILTER('CBK Students'!P:P, TRIM('CBK Students'!B:B) = TRIM(A403)),
  """"
)"),"#REF!")</f>
        <v>#REF!</v>
      </c>
      <c r="AB403" s="4" t="str">
        <f>IFERROR(__xludf.DUMMYFUNCTION("IFERROR(
  FILTER('CBK Students'!Q:Q, TRIM('CBK Students'!B:B) = TRIM(A403)),
  """"
)"),"#REF!")</f>
        <v>#REF!</v>
      </c>
    </row>
    <row r="404" ht="18.75" customHeight="1">
      <c r="T404" s="240" t="str">
        <f>IFERROR(__xludf.DUMMYFUNCTION("IFERROR(
  FILTER('CBK Students'!F:F, TRIM('CBK Students'!B:B) = TRIM(A404)),
  """"
)"),"#REF!")</f>
        <v>#REF!</v>
      </c>
      <c r="U404" s="240" t="str">
        <f>IFERROR(__xludf.DUMMYFUNCTION("IFERROR(
  FILTER('CBK Students'!H:H, TRIM('CBK Students'!B:B) = TRIM(A404)),
  """"
)"),"#REF!")</f>
        <v>#REF!</v>
      </c>
      <c r="V404" s="240" t="str">
        <f>IFERROR(__xludf.DUMMYFUNCTION("IFERROR(
  FILTER('CBK Students'!M:M, TRIM('CBK Students'!B:B) = TRIM(A404)),
  """"
)"),"#REF!")</f>
        <v>#REF!</v>
      </c>
      <c r="W404" s="240" t="str">
        <f t="shared" si="1"/>
        <v/>
      </c>
      <c r="X404" s="240" t="str">
        <f>IFERROR(__xludf.DUMMYFUNCTION("IFERROR(
  FILTER('CBK Students'!R:R, TRIM('CBK Students'!B:B) = TRIM(A404)),
  """"
)"),"#REF!")</f>
        <v>#REF!</v>
      </c>
      <c r="Y404" s="4" t="str">
        <f t="shared" si="2"/>
        <v/>
      </c>
      <c r="Z404" s="4" t="str">
        <f>IFERROR(__xludf.DUMMYFUNCTION("IFERROR(
  FILTER('CBK Students'!O:O, TRIM('CBK Students'!B:B) = TRIM(A404)),
  """"
)"),"#REF!")</f>
        <v>#REF!</v>
      </c>
      <c r="AA404" s="4" t="str">
        <f>IFERROR(__xludf.DUMMYFUNCTION("IFERROR(
  FILTER('CBK Students'!P:P, TRIM('CBK Students'!B:B) = TRIM(A404)),
  """"
)"),"#REF!")</f>
        <v>#REF!</v>
      </c>
      <c r="AB404" s="4" t="str">
        <f>IFERROR(__xludf.DUMMYFUNCTION("IFERROR(
  FILTER('CBK Students'!Q:Q, TRIM('CBK Students'!B:B) = TRIM(A404)),
  """"
)"),"#REF!")</f>
        <v>#REF!</v>
      </c>
    </row>
    <row r="405" ht="18.75" customHeight="1">
      <c r="T405" s="240" t="str">
        <f>IFERROR(__xludf.DUMMYFUNCTION("IFERROR(
  FILTER('CBK Students'!F:F, TRIM('CBK Students'!B:B) = TRIM(A405)),
  """"
)"),"#REF!")</f>
        <v>#REF!</v>
      </c>
      <c r="U405" s="240" t="str">
        <f>IFERROR(__xludf.DUMMYFUNCTION("IFERROR(
  FILTER('CBK Students'!H:H, TRIM('CBK Students'!B:B) = TRIM(A405)),
  """"
)"),"#REF!")</f>
        <v>#REF!</v>
      </c>
      <c r="V405" s="240" t="str">
        <f>IFERROR(__xludf.DUMMYFUNCTION("IFERROR(
  FILTER('CBK Students'!M:M, TRIM('CBK Students'!B:B) = TRIM(A405)),
  """"
)"),"#REF!")</f>
        <v>#REF!</v>
      </c>
      <c r="W405" s="240" t="str">
        <f t="shared" si="1"/>
        <v/>
      </c>
      <c r="X405" s="240" t="str">
        <f>IFERROR(__xludf.DUMMYFUNCTION("IFERROR(
  FILTER('CBK Students'!R:R, TRIM('CBK Students'!B:B) = TRIM(A405)),
  """"
)"),"#REF!")</f>
        <v>#REF!</v>
      </c>
      <c r="Y405" s="4" t="str">
        <f t="shared" si="2"/>
        <v/>
      </c>
      <c r="Z405" s="4" t="str">
        <f>IFERROR(__xludf.DUMMYFUNCTION("IFERROR(
  FILTER('CBK Students'!O:O, TRIM('CBK Students'!B:B) = TRIM(A405)),
  """"
)"),"#REF!")</f>
        <v>#REF!</v>
      </c>
      <c r="AA405" s="4" t="str">
        <f>IFERROR(__xludf.DUMMYFUNCTION("IFERROR(
  FILTER('CBK Students'!P:P, TRIM('CBK Students'!B:B) = TRIM(A405)),
  """"
)"),"#REF!")</f>
        <v>#REF!</v>
      </c>
      <c r="AB405" s="4" t="str">
        <f>IFERROR(__xludf.DUMMYFUNCTION("IFERROR(
  FILTER('CBK Students'!Q:Q, TRIM('CBK Students'!B:B) = TRIM(A405)),
  """"
)"),"#REF!")</f>
        <v>#REF!</v>
      </c>
    </row>
    <row r="406" ht="18.75" customHeight="1">
      <c r="T406" s="240" t="str">
        <f>IFERROR(__xludf.DUMMYFUNCTION("IFERROR(
  FILTER('CBK Students'!F:F, TRIM('CBK Students'!B:B) = TRIM(A406)),
  """"
)"),"#REF!")</f>
        <v>#REF!</v>
      </c>
      <c r="U406" s="240" t="str">
        <f>IFERROR(__xludf.DUMMYFUNCTION("IFERROR(
  FILTER('CBK Students'!H:H, TRIM('CBK Students'!B:B) = TRIM(A406)),
  """"
)"),"#REF!")</f>
        <v>#REF!</v>
      </c>
      <c r="V406" s="240" t="str">
        <f>IFERROR(__xludf.DUMMYFUNCTION("IFERROR(
  FILTER('CBK Students'!M:M, TRIM('CBK Students'!B:B) = TRIM(A406)),
  """"
)"),"#REF!")</f>
        <v>#REF!</v>
      </c>
      <c r="W406" s="240" t="str">
        <f t="shared" si="1"/>
        <v/>
      </c>
      <c r="X406" s="240" t="str">
        <f>IFERROR(__xludf.DUMMYFUNCTION("IFERROR(
  FILTER('CBK Students'!R:R, TRIM('CBK Students'!B:B) = TRIM(A406)),
  """"
)"),"#REF!")</f>
        <v>#REF!</v>
      </c>
      <c r="Y406" s="4" t="str">
        <f t="shared" si="2"/>
        <v/>
      </c>
      <c r="Z406" s="4" t="str">
        <f>IFERROR(__xludf.DUMMYFUNCTION("IFERROR(
  FILTER('CBK Students'!O:O, TRIM('CBK Students'!B:B) = TRIM(A406)),
  """"
)"),"#REF!")</f>
        <v>#REF!</v>
      </c>
      <c r="AA406" s="4" t="str">
        <f>IFERROR(__xludf.DUMMYFUNCTION("IFERROR(
  FILTER('CBK Students'!P:P, TRIM('CBK Students'!B:B) = TRIM(A406)),
  """"
)"),"#REF!")</f>
        <v>#REF!</v>
      </c>
      <c r="AB406" s="4" t="str">
        <f>IFERROR(__xludf.DUMMYFUNCTION("IFERROR(
  FILTER('CBK Students'!Q:Q, TRIM('CBK Students'!B:B) = TRIM(A406)),
  """"
)"),"#REF!")</f>
        <v>#REF!</v>
      </c>
    </row>
    <row r="407" ht="18.75" customHeight="1">
      <c r="T407" s="240" t="str">
        <f>IFERROR(__xludf.DUMMYFUNCTION("IFERROR(
  FILTER('CBK Students'!F:F, TRIM('CBK Students'!B:B) = TRIM(A407)),
  """"
)"),"#REF!")</f>
        <v>#REF!</v>
      </c>
      <c r="U407" s="240" t="str">
        <f>IFERROR(__xludf.DUMMYFUNCTION("IFERROR(
  FILTER('CBK Students'!H:H, TRIM('CBK Students'!B:B) = TRIM(A407)),
  """"
)"),"#REF!")</f>
        <v>#REF!</v>
      </c>
      <c r="V407" s="240" t="str">
        <f>IFERROR(__xludf.DUMMYFUNCTION("IFERROR(
  FILTER('CBK Students'!M:M, TRIM('CBK Students'!B:B) = TRIM(A407)),
  """"
)"),"#REF!")</f>
        <v>#REF!</v>
      </c>
      <c r="W407" s="240" t="str">
        <f t="shared" si="1"/>
        <v/>
      </c>
      <c r="X407" s="240" t="str">
        <f>IFERROR(__xludf.DUMMYFUNCTION("IFERROR(
  FILTER('CBK Students'!R:R, TRIM('CBK Students'!B:B) = TRIM(A407)),
  """"
)"),"#REF!")</f>
        <v>#REF!</v>
      </c>
      <c r="Y407" s="4" t="str">
        <f t="shared" si="2"/>
        <v/>
      </c>
      <c r="Z407" s="4" t="str">
        <f>IFERROR(__xludf.DUMMYFUNCTION("IFERROR(
  FILTER('CBK Students'!O:O, TRIM('CBK Students'!B:B) = TRIM(A407)),
  """"
)"),"#REF!")</f>
        <v>#REF!</v>
      </c>
      <c r="AA407" s="4" t="str">
        <f>IFERROR(__xludf.DUMMYFUNCTION("IFERROR(
  FILTER('CBK Students'!P:P, TRIM('CBK Students'!B:B) = TRIM(A407)),
  """"
)"),"#REF!")</f>
        <v>#REF!</v>
      </c>
      <c r="AB407" s="4" t="str">
        <f>IFERROR(__xludf.DUMMYFUNCTION("IFERROR(
  FILTER('CBK Students'!Q:Q, TRIM('CBK Students'!B:B) = TRIM(A407)),
  """"
)"),"#REF!")</f>
        <v>#REF!</v>
      </c>
    </row>
    <row r="408" ht="18.75" customHeight="1">
      <c r="T408" s="240" t="str">
        <f>IFERROR(__xludf.DUMMYFUNCTION("IFERROR(
  FILTER('CBK Students'!F:F, TRIM('CBK Students'!B:B) = TRIM(A408)),
  """"
)"),"#REF!")</f>
        <v>#REF!</v>
      </c>
      <c r="U408" s="240" t="str">
        <f>IFERROR(__xludf.DUMMYFUNCTION("IFERROR(
  FILTER('CBK Students'!H:H, TRIM('CBK Students'!B:B) = TRIM(A408)),
  """"
)"),"#REF!")</f>
        <v>#REF!</v>
      </c>
      <c r="V408" s="240" t="str">
        <f>IFERROR(__xludf.DUMMYFUNCTION("IFERROR(
  FILTER('CBK Students'!M:M, TRIM('CBK Students'!B:B) = TRIM(A408)),
  """"
)"),"#REF!")</f>
        <v>#REF!</v>
      </c>
      <c r="W408" s="240" t="str">
        <f t="shared" si="1"/>
        <v/>
      </c>
      <c r="X408" s="240" t="str">
        <f>IFERROR(__xludf.DUMMYFUNCTION("IFERROR(
  FILTER('CBK Students'!R:R, TRIM('CBK Students'!B:B) = TRIM(A408)),
  """"
)"),"#REF!")</f>
        <v>#REF!</v>
      </c>
      <c r="Y408" s="4" t="str">
        <f t="shared" si="2"/>
        <v/>
      </c>
      <c r="Z408" s="4" t="str">
        <f>IFERROR(__xludf.DUMMYFUNCTION("IFERROR(
  FILTER('CBK Students'!O:O, TRIM('CBK Students'!B:B) = TRIM(A408)),
  """"
)"),"#REF!")</f>
        <v>#REF!</v>
      </c>
      <c r="AA408" s="4" t="str">
        <f>IFERROR(__xludf.DUMMYFUNCTION("IFERROR(
  FILTER('CBK Students'!P:P, TRIM('CBK Students'!B:B) = TRIM(A408)),
  """"
)"),"#REF!")</f>
        <v>#REF!</v>
      </c>
      <c r="AB408" s="4" t="str">
        <f>IFERROR(__xludf.DUMMYFUNCTION("IFERROR(
  FILTER('CBK Students'!Q:Q, TRIM('CBK Students'!B:B) = TRIM(A408)),
  """"
)"),"#REF!")</f>
        <v>#REF!</v>
      </c>
    </row>
    <row r="409" ht="18.75" customHeight="1">
      <c r="T409" s="240" t="str">
        <f>IFERROR(__xludf.DUMMYFUNCTION("IFERROR(
  FILTER('CBK Students'!F:F, TRIM('CBK Students'!B:B) = TRIM(A409)),
  """"
)"),"#REF!")</f>
        <v>#REF!</v>
      </c>
      <c r="U409" s="240" t="str">
        <f>IFERROR(__xludf.DUMMYFUNCTION("IFERROR(
  FILTER('CBK Students'!H:H, TRIM('CBK Students'!B:B) = TRIM(A409)),
  """"
)"),"#REF!")</f>
        <v>#REF!</v>
      </c>
      <c r="V409" s="240" t="str">
        <f>IFERROR(__xludf.DUMMYFUNCTION("IFERROR(
  FILTER('CBK Students'!M:M, TRIM('CBK Students'!B:B) = TRIM(A409)),
  """"
)"),"#REF!")</f>
        <v>#REF!</v>
      </c>
      <c r="W409" s="240" t="str">
        <f t="shared" si="1"/>
        <v/>
      </c>
      <c r="X409" s="240" t="str">
        <f>IFERROR(__xludf.DUMMYFUNCTION("IFERROR(
  FILTER('CBK Students'!R:R, TRIM('CBK Students'!B:B) = TRIM(A409)),
  """"
)"),"#REF!")</f>
        <v>#REF!</v>
      </c>
      <c r="Y409" s="4" t="str">
        <f t="shared" si="2"/>
        <v/>
      </c>
      <c r="Z409" s="4" t="str">
        <f>IFERROR(__xludf.DUMMYFUNCTION("IFERROR(
  FILTER('CBK Students'!O:O, TRIM('CBK Students'!B:B) = TRIM(A409)),
  """"
)"),"#REF!")</f>
        <v>#REF!</v>
      </c>
      <c r="AA409" s="4" t="str">
        <f>IFERROR(__xludf.DUMMYFUNCTION("IFERROR(
  FILTER('CBK Students'!P:P, TRIM('CBK Students'!B:B) = TRIM(A409)),
  """"
)"),"#REF!")</f>
        <v>#REF!</v>
      </c>
      <c r="AB409" s="4" t="str">
        <f>IFERROR(__xludf.DUMMYFUNCTION("IFERROR(
  FILTER('CBK Students'!Q:Q, TRIM('CBK Students'!B:B) = TRIM(A409)),
  """"
)"),"#REF!")</f>
        <v>#REF!</v>
      </c>
    </row>
    <row r="410" ht="18.75" customHeight="1">
      <c r="T410" s="240" t="str">
        <f>IFERROR(__xludf.DUMMYFUNCTION("IFERROR(
  FILTER('CBK Students'!F:F, TRIM('CBK Students'!B:B) = TRIM(A410)),
  """"
)"),"#REF!")</f>
        <v>#REF!</v>
      </c>
      <c r="U410" s="240" t="str">
        <f>IFERROR(__xludf.DUMMYFUNCTION("IFERROR(
  FILTER('CBK Students'!H:H, TRIM('CBK Students'!B:B) = TRIM(A410)),
  """"
)"),"#REF!")</f>
        <v>#REF!</v>
      </c>
      <c r="V410" s="240" t="str">
        <f>IFERROR(__xludf.DUMMYFUNCTION("IFERROR(
  FILTER('CBK Students'!M:M, TRIM('CBK Students'!B:B) = TRIM(A410)),
  """"
)"),"#REF!")</f>
        <v>#REF!</v>
      </c>
      <c r="W410" s="240" t="str">
        <f t="shared" si="1"/>
        <v/>
      </c>
      <c r="X410" s="240" t="str">
        <f>IFERROR(__xludf.DUMMYFUNCTION("IFERROR(
  FILTER('CBK Students'!R:R, TRIM('CBK Students'!B:B) = TRIM(A410)),
  """"
)"),"#REF!")</f>
        <v>#REF!</v>
      </c>
      <c r="Y410" s="4" t="str">
        <f t="shared" si="2"/>
        <v/>
      </c>
      <c r="Z410" s="4" t="str">
        <f>IFERROR(__xludf.DUMMYFUNCTION("IFERROR(
  FILTER('CBK Students'!O:O, TRIM('CBK Students'!B:B) = TRIM(A410)),
  """"
)"),"#REF!")</f>
        <v>#REF!</v>
      </c>
      <c r="AA410" s="4" t="str">
        <f>IFERROR(__xludf.DUMMYFUNCTION("IFERROR(
  FILTER('CBK Students'!P:P, TRIM('CBK Students'!B:B) = TRIM(A410)),
  """"
)"),"#REF!")</f>
        <v>#REF!</v>
      </c>
      <c r="AB410" s="4" t="str">
        <f>IFERROR(__xludf.DUMMYFUNCTION("IFERROR(
  FILTER('CBK Students'!Q:Q, TRIM('CBK Students'!B:B) = TRIM(A410)),
  """"
)"),"#REF!")</f>
        <v>#REF!</v>
      </c>
    </row>
    <row r="411" ht="18.75" customHeight="1">
      <c r="T411" s="240" t="str">
        <f>IFERROR(__xludf.DUMMYFUNCTION("IFERROR(
  FILTER('CBK Students'!F:F, TRIM('CBK Students'!B:B) = TRIM(A411)),
  """"
)"),"#REF!")</f>
        <v>#REF!</v>
      </c>
      <c r="U411" s="240" t="str">
        <f>IFERROR(__xludf.DUMMYFUNCTION("IFERROR(
  FILTER('CBK Students'!H:H, TRIM('CBK Students'!B:B) = TRIM(A411)),
  """"
)"),"#REF!")</f>
        <v>#REF!</v>
      </c>
      <c r="V411" s="240" t="str">
        <f>IFERROR(__xludf.DUMMYFUNCTION("IFERROR(
  FILTER('CBK Students'!M:M, TRIM('CBK Students'!B:B) = TRIM(A411)),
  """"
)"),"#REF!")</f>
        <v>#REF!</v>
      </c>
      <c r="W411" s="240" t="str">
        <f t="shared" si="1"/>
        <v/>
      </c>
      <c r="X411" s="240" t="str">
        <f>IFERROR(__xludf.DUMMYFUNCTION("IFERROR(
  FILTER('CBK Students'!R:R, TRIM('CBK Students'!B:B) = TRIM(A411)),
  """"
)"),"#REF!")</f>
        <v>#REF!</v>
      </c>
      <c r="Y411" s="4" t="str">
        <f t="shared" si="2"/>
        <v/>
      </c>
      <c r="Z411" s="4" t="str">
        <f>IFERROR(__xludf.DUMMYFUNCTION("IFERROR(
  FILTER('CBK Students'!O:O, TRIM('CBK Students'!B:B) = TRIM(A411)),
  """"
)"),"#REF!")</f>
        <v>#REF!</v>
      </c>
      <c r="AA411" s="4" t="str">
        <f>IFERROR(__xludf.DUMMYFUNCTION("IFERROR(
  FILTER('CBK Students'!P:P, TRIM('CBK Students'!B:B) = TRIM(A411)),
  """"
)"),"#REF!")</f>
        <v>#REF!</v>
      </c>
      <c r="AB411" s="4" t="str">
        <f>IFERROR(__xludf.DUMMYFUNCTION("IFERROR(
  FILTER('CBK Students'!Q:Q, TRIM('CBK Students'!B:B) = TRIM(A411)),
  """"
)"),"#REF!")</f>
        <v>#REF!</v>
      </c>
    </row>
    <row r="412" ht="18.75" customHeight="1">
      <c r="T412" s="240" t="str">
        <f>IFERROR(__xludf.DUMMYFUNCTION("IFERROR(
  FILTER('CBK Students'!F:F, TRIM('CBK Students'!B:B) = TRIM(A412)),
  """"
)"),"#REF!")</f>
        <v>#REF!</v>
      </c>
      <c r="U412" s="240" t="str">
        <f>IFERROR(__xludf.DUMMYFUNCTION("IFERROR(
  FILTER('CBK Students'!H:H, TRIM('CBK Students'!B:B) = TRIM(A412)),
  """"
)"),"#REF!")</f>
        <v>#REF!</v>
      </c>
      <c r="V412" s="240" t="str">
        <f>IFERROR(__xludf.DUMMYFUNCTION("IFERROR(
  FILTER('CBK Students'!M:M, TRIM('CBK Students'!B:B) = TRIM(A412)),
  """"
)"),"#REF!")</f>
        <v>#REF!</v>
      </c>
      <c r="W412" s="240" t="str">
        <f t="shared" si="1"/>
        <v/>
      </c>
      <c r="X412" s="240" t="str">
        <f>IFERROR(__xludf.DUMMYFUNCTION("IFERROR(
  FILTER('CBK Students'!R:R, TRIM('CBK Students'!B:B) = TRIM(A412)),
  """"
)"),"#REF!")</f>
        <v>#REF!</v>
      </c>
      <c r="Y412" s="4" t="str">
        <f t="shared" si="2"/>
        <v/>
      </c>
      <c r="Z412" s="4" t="str">
        <f>IFERROR(__xludf.DUMMYFUNCTION("IFERROR(
  FILTER('CBK Students'!O:O, TRIM('CBK Students'!B:B) = TRIM(A412)),
  """"
)"),"#REF!")</f>
        <v>#REF!</v>
      </c>
      <c r="AA412" s="4" t="str">
        <f>IFERROR(__xludf.DUMMYFUNCTION("IFERROR(
  FILTER('CBK Students'!P:P, TRIM('CBK Students'!B:B) = TRIM(A412)),
  """"
)"),"#REF!")</f>
        <v>#REF!</v>
      </c>
      <c r="AB412" s="4" t="str">
        <f>IFERROR(__xludf.DUMMYFUNCTION("IFERROR(
  FILTER('CBK Students'!Q:Q, TRIM('CBK Students'!B:B) = TRIM(A412)),
  """"
)"),"#REF!")</f>
        <v>#REF!</v>
      </c>
    </row>
    <row r="413" ht="18.75" customHeight="1">
      <c r="T413" s="240" t="str">
        <f>IFERROR(__xludf.DUMMYFUNCTION("IFERROR(
  FILTER('CBK Students'!F:F, TRIM('CBK Students'!B:B) = TRIM(A413)),
  """"
)"),"#REF!")</f>
        <v>#REF!</v>
      </c>
      <c r="U413" s="240" t="str">
        <f>IFERROR(__xludf.DUMMYFUNCTION("IFERROR(
  FILTER('CBK Students'!H:H, TRIM('CBK Students'!B:B) = TRIM(A413)),
  """"
)"),"#REF!")</f>
        <v>#REF!</v>
      </c>
      <c r="V413" s="240" t="str">
        <f>IFERROR(__xludf.DUMMYFUNCTION("IFERROR(
  FILTER('CBK Students'!M:M, TRIM('CBK Students'!B:B) = TRIM(A413)),
  """"
)"),"#REF!")</f>
        <v>#REF!</v>
      </c>
      <c r="W413" s="240" t="str">
        <f t="shared" si="1"/>
        <v/>
      </c>
      <c r="X413" s="240" t="str">
        <f>IFERROR(__xludf.DUMMYFUNCTION("IFERROR(
  FILTER('CBK Students'!R:R, TRIM('CBK Students'!B:B) = TRIM(A413)),
  """"
)"),"#REF!")</f>
        <v>#REF!</v>
      </c>
      <c r="Y413" s="4" t="str">
        <f t="shared" si="2"/>
        <v/>
      </c>
      <c r="Z413" s="4" t="str">
        <f>IFERROR(__xludf.DUMMYFUNCTION("IFERROR(
  FILTER('CBK Students'!O:O, TRIM('CBK Students'!B:B) = TRIM(A413)),
  """"
)"),"#REF!")</f>
        <v>#REF!</v>
      </c>
      <c r="AA413" s="4" t="str">
        <f>IFERROR(__xludf.DUMMYFUNCTION("IFERROR(
  FILTER('CBK Students'!P:P, TRIM('CBK Students'!B:B) = TRIM(A413)),
  """"
)"),"#REF!")</f>
        <v>#REF!</v>
      </c>
      <c r="AB413" s="4" t="str">
        <f>IFERROR(__xludf.DUMMYFUNCTION("IFERROR(
  FILTER('CBK Students'!Q:Q, TRIM('CBK Students'!B:B) = TRIM(A413)),
  """"
)"),"#REF!")</f>
        <v>#REF!</v>
      </c>
    </row>
    <row r="414" ht="18.75" customHeight="1">
      <c r="T414" s="240" t="str">
        <f>IFERROR(__xludf.DUMMYFUNCTION("IFERROR(
  FILTER('CBK Students'!F:F, TRIM('CBK Students'!B:B) = TRIM(A414)),
  """"
)"),"#REF!")</f>
        <v>#REF!</v>
      </c>
      <c r="U414" s="240" t="str">
        <f>IFERROR(__xludf.DUMMYFUNCTION("IFERROR(
  FILTER('CBK Students'!H:H, TRIM('CBK Students'!B:B) = TRIM(A414)),
  """"
)"),"#REF!")</f>
        <v>#REF!</v>
      </c>
      <c r="V414" s="240" t="str">
        <f>IFERROR(__xludf.DUMMYFUNCTION("IFERROR(
  FILTER('CBK Students'!M:M, TRIM('CBK Students'!B:B) = TRIM(A414)),
  """"
)"),"#REF!")</f>
        <v>#REF!</v>
      </c>
      <c r="W414" s="240" t="str">
        <f t="shared" si="1"/>
        <v/>
      </c>
      <c r="X414" s="240" t="str">
        <f>IFERROR(__xludf.DUMMYFUNCTION("IFERROR(
  FILTER('CBK Students'!R:R, TRIM('CBK Students'!B:B) = TRIM(A414)),
  """"
)"),"#REF!")</f>
        <v>#REF!</v>
      </c>
      <c r="Y414" s="4" t="str">
        <f t="shared" si="2"/>
        <v/>
      </c>
      <c r="Z414" s="4" t="str">
        <f>IFERROR(__xludf.DUMMYFUNCTION("IFERROR(
  FILTER('CBK Students'!O:O, TRIM('CBK Students'!B:B) = TRIM(A414)),
  """"
)"),"#REF!")</f>
        <v>#REF!</v>
      </c>
      <c r="AA414" s="4" t="str">
        <f>IFERROR(__xludf.DUMMYFUNCTION("IFERROR(
  FILTER('CBK Students'!P:P, TRIM('CBK Students'!B:B) = TRIM(A414)),
  """"
)"),"#REF!")</f>
        <v>#REF!</v>
      </c>
      <c r="AB414" s="4" t="str">
        <f>IFERROR(__xludf.DUMMYFUNCTION("IFERROR(
  FILTER('CBK Students'!Q:Q, TRIM('CBK Students'!B:B) = TRIM(A414)),
  """"
)"),"#REF!")</f>
        <v>#REF!</v>
      </c>
    </row>
    <row r="415" ht="18.75" customHeight="1">
      <c r="T415" s="240" t="str">
        <f>IFERROR(__xludf.DUMMYFUNCTION("IFERROR(
  FILTER('CBK Students'!F:F, TRIM('CBK Students'!B:B) = TRIM(A415)),
  """"
)"),"#REF!")</f>
        <v>#REF!</v>
      </c>
      <c r="U415" s="240" t="str">
        <f>IFERROR(__xludf.DUMMYFUNCTION("IFERROR(
  FILTER('CBK Students'!H:H, TRIM('CBK Students'!B:B) = TRIM(A415)),
  """"
)"),"#REF!")</f>
        <v>#REF!</v>
      </c>
      <c r="V415" s="240" t="str">
        <f>IFERROR(__xludf.DUMMYFUNCTION("IFERROR(
  FILTER('CBK Students'!M:M, TRIM('CBK Students'!B:B) = TRIM(A415)),
  """"
)"),"#REF!")</f>
        <v>#REF!</v>
      </c>
      <c r="W415" s="240" t="str">
        <f t="shared" si="1"/>
        <v/>
      </c>
      <c r="X415" s="240" t="str">
        <f>IFERROR(__xludf.DUMMYFUNCTION("IFERROR(
  FILTER('CBK Students'!R:R, TRIM('CBK Students'!B:B) = TRIM(A415)),
  """"
)"),"#REF!")</f>
        <v>#REF!</v>
      </c>
      <c r="Y415" s="4" t="str">
        <f t="shared" si="2"/>
        <v/>
      </c>
      <c r="Z415" s="4" t="str">
        <f>IFERROR(__xludf.DUMMYFUNCTION("IFERROR(
  FILTER('CBK Students'!O:O, TRIM('CBK Students'!B:B) = TRIM(A415)),
  """"
)"),"#REF!")</f>
        <v>#REF!</v>
      </c>
      <c r="AA415" s="4" t="str">
        <f>IFERROR(__xludf.DUMMYFUNCTION("IFERROR(
  FILTER('CBK Students'!P:P, TRIM('CBK Students'!B:B) = TRIM(A415)),
  """"
)"),"#REF!")</f>
        <v>#REF!</v>
      </c>
      <c r="AB415" s="4" t="str">
        <f>IFERROR(__xludf.DUMMYFUNCTION("IFERROR(
  FILTER('CBK Students'!Q:Q, TRIM('CBK Students'!B:B) = TRIM(A415)),
  """"
)"),"#REF!")</f>
        <v>#REF!</v>
      </c>
    </row>
    <row r="416" ht="18.75" customHeight="1">
      <c r="T416" s="240" t="str">
        <f>IFERROR(__xludf.DUMMYFUNCTION("IFERROR(
  FILTER('CBK Students'!F:F, TRIM('CBK Students'!B:B) = TRIM(A416)),
  """"
)"),"#REF!")</f>
        <v>#REF!</v>
      </c>
      <c r="U416" s="240" t="str">
        <f>IFERROR(__xludf.DUMMYFUNCTION("IFERROR(
  FILTER('CBK Students'!H:H, TRIM('CBK Students'!B:B) = TRIM(A416)),
  """"
)"),"#REF!")</f>
        <v>#REF!</v>
      </c>
      <c r="V416" s="240" t="str">
        <f>IFERROR(__xludf.DUMMYFUNCTION("IFERROR(
  FILTER('CBK Students'!M:M, TRIM('CBK Students'!B:B) = TRIM(A416)),
  """"
)"),"#REF!")</f>
        <v>#REF!</v>
      </c>
      <c r="W416" s="240" t="str">
        <f t="shared" si="1"/>
        <v/>
      </c>
      <c r="X416" s="240" t="str">
        <f>IFERROR(__xludf.DUMMYFUNCTION("IFERROR(
  FILTER('CBK Students'!R:R, TRIM('CBK Students'!B:B) = TRIM(A416)),
  """"
)"),"#REF!")</f>
        <v>#REF!</v>
      </c>
      <c r="Y416" s="4" t="str">
        <f t="shared" si="2"/>
        <v/>
      </c>
      <c r="Z416" s="4" t="str">
        <f>IFERROR(__xludf.DUMMYFUNCTION("IFERROR(
  FILTER('CBK Students'!O:O, TRIM('CBK Students'!B:B) = TRIM(A416)),
  """"
)"),"#REF!")</f>
        <v>#REF!</v>
      </c>
      <c r="AA416" s="4" t="str">
        <f>IFERROR(__xludf.DUMMYFUNCTION("IFERROR(
  FILTER('CBK Students'!P:P, TRIM('CBK Students'!B:B) = TRIM(A416)),
  """"
)"),"#REF!")</f>
        <v>#REF!</v>
      </c>
      <c r="AB416" s="4" t="str">
        <f>IFERROR(__xludf.DUMMYFUNCTION("IFERROR(
  FILTER('CBK Students'!Q:Q, TRIM('CBK Students'!B:B) = TRIM(A416)),
  """"
)"),"#REF!")</f>
        <v>#REF!</v>
      </c>
    </row>
    <row r="417" ht="18.75" customHeight="1">
      <c r="T417" s="240" t="str">
        <f>IFERROR(__xludf.DUMMYFUNCTION("IFERROR(
  FILTER('CBK Students'!F:F, TRIM('CBK Students'!B:B) = TRIM(A417)),
  """"
)"),"#REF!")</f>
        <v>#REF!</v>
      </c>
      <c r="U417" s="240" t="str">
        <f>IFERROR(__xludf.DUMMYFUNCTION("IFERROR(
  FILTER('CBK Students'!H:H, TRIM('CBK Students'!B:B) = TRIM(A417)),
  """"
)"),"#REF!")</f>
        <v>#REF!</v>
      </c>
      <c r="V417" s="240" t="str">
        <f>IFERROR(__xludf.DUMMYFUNCTION("IFERROR(
  FILTER('CBK Students'!M:M, TRIM('CBK Students'!B:B) = TRIM(A417)),
  """"
)"),"#REF!")</f>
        <v>#REF!</v>
      </c>
      <c r="W417" s="240" t="str">
        <f t="shared" si="1"/>
        <v/>
      </c>
      <c r="X417" s="240" t="str">
        <f>IFERROR(__xludf.DUMMYFUNCTION("IFERROR(
  FILTER('CBK Students'!R:R, TRIM('CBK Students'!B:B) = TRIM(A417)),
  """"
)"),"#REF!")</f>
        <v>#REF!</v>
      </c>
      <c r="Y417" s="4" t="str">
        <f t="shared" si="2"/>
        <v/>
      </c>
      <c r="Z417" s="4" t="str">
        <f>IFERROR(__xludf.DUMMYFUNCTION("IFERROR(
  FILTER('CBK Students'!O:O, TRIM('CBK Students'!B:B) = TRIM(A417)),
  """"
)"),"#REF!")</f>
        <v>#REF!</v>
      </c>
      <c r="AA417" s="4" t="str">
        <f>IFERROR(__xludf.DUMMYFUNCTION("IFERROR(
  FILTER('CBK Students'!P:P, TRIM('CBK Students'!B:B) = TRIM(A417)),
  """"
)"),"#REF!")</f>
        <v>#REF!</v>
      </c>
      <c r="AB417" s="4" t="str">
        <f>IFERROR(__xludf.DUMMYFUNCTION("IFERROR(
  FILTER('CBK Students'!Q:Q, TRIM('CBK Students'!B:B) = TRIM(A417)),
  """"
)"),"#REF!")</f>
        <v>#REF!</v>
      </c>
    </row>
    <row r="418" ht="18.75" customHeight="1">
      <c r="T418" s="240" t="str">
        <f>IFERROR(__xludf.DUMMYFUNCTION("IFERROR(
  FILTER('CBK Students'!F:F, TRIM('CBK Students'!B:B) = TRIM(A418)),
  """"
)"),"#REF!")</f>
        <v>#REF!</v>
      </c>
      <c r="U418" s="240" t="str">
        <f>IFERROR(__xludf.DUMMYFUNCTION("IFERROR(
  FILTER('CBK Students'!H:H, TRIM('CBK Students'!B:B) = TRIM(A418)),
  """"
)"),"#REF!")</f>
        <v>#REF!</v>
      </c>
      <c r="V418" s="240" t="str">
        <f>IFERROR(__xludf.DUMMYFUNCTION("IFERROR(
  FILTER('CBK Students'!M:M, TRIM('CBK Students'!B:B) = TRIM(A418)),
  """"
)"),"#REF!")</f>
        <v>#REF!</v>
      </c>
      <c r="W418" s="240" t="str">
        <f t="shared" si="1"/>
        <v/>
      </c>
      <c r="X418" s="240" t="str">
        <f>IFERROR(__xludf.DUMMYFUNCTION("IFERROR(
  FILTER('CBK Students'!R:R, TRIM('CBK Students'!B:B) = TRIM(A418)),
  """"
)"),"#REF!")</f>
        <v>#REF!</v>
      </c>
      <c r="Y418" s="4" t="str">
        <f t="shared" si="2"/>
        <v/>
      </c>
      <c r="Z418" s="4" t="str">
        <f>IFERROR(__xludf.DUMMYFUNCTION("IFERROR(
  FILTER('CBK Students'!O:O, TRIM('CBK Students'!B:B) = TRIM(A418)),
  """"
)"),"#REF!")</f>
        <v>#REF!</v>
      </c>
      <c r="AA418" s="4" t="str">
        <f>IFERROR(__xludf.DUMMYFUNCTION("IFERROR(
  FILTER('CBK Students'!P:P, TRIM('CBK Students'!B:B) = TRIM(A418)),
  """"
)"),"#REF!")</f>
        <v>#REF!</v>
      </c>
      <c r="AB418" s="4" t="str">
        <f>IFERROR(__xludf.DUMMYFUNCTION("IFERROR(
  FILTER('CBK Students'!Q:Q, TRIM('CBK Students'!B:B) = TRIM(A418)),
  """"
)"),"#REF!")</f>
        <v>#REF!</v>
      </c>
    </row>
    <row r="419" ht="18.75" customHeight="1">
      <c r="T419" s="240" t="str">
        <f>IFERROR(__xludf.DUMMYFUNCTION("IFERROR(
  FILTER('CBK Students'!F:F, TRIM('CBK Students'!B:B) = TRIM(A419)),
  """"
)"),"#REF!")</f>
        <v>#REF!</v>
      </c>
      <c r="U419" s="240" t="str">
        <f>IFERROR(__xludf.DUMMYFUNCTION("IFERROR(
  FILTER('CBK Students'!H:H, TRIM('CBK Students'!B:B) = TRIM(A419)),
  """"
)"),"#REF!")</f>
        <v>#REF!</v>
      </c>
      <c r="V419" s="240" t="str">
        <f>IFERROR(__xludf.DUMMYFUNCTION("IFERROR(
  FILTER('CBK Students'!M:M, TRIM('CBK Students'!B:B) = TRIM(A419)),
  """"
)"),"#REF!")</f>
        <v>#REF!</v>
      </c>
      <c r="W419" s="240" t="str">
        <f t="shared" si="1"/>
        <v/>
      </c>
      <c r="X419" s="240" t="str">
        <f>IFERROR(__xludf.DUMMYFUNCTION("IFERROR(
  FILTER('CBK Students'!R:R, TRIM('CBK Students'!B:B) = TRIM(A419)),
  """"
)"),"#REF!")</f>
        <v>#REF!</v>
      </c>
      <c r="Y419" s="4" t="str">
        <f t="shared" si="2"/>
        <v/>
      </c>
      <c r="Z419" s="4" t="str">
        <f>IFERROR(__xludf.DUMMYFUNCTION("IFERROR(
  FILTER('CBK Students'!O:O, TRIM('CBK Students'!B:B) = TRIM(A419)),
  """"
)"),"#REF!")</f>
        <v>#REF!</v>
      </c>
      <c r="AA419" s="4" t="str">
        <f>IFERROR(__xludf.DUMMYFUNCTION("IFERROR(
  FILTER('CBK Students'!P:P, TRIM('CBK Students'!B:B) = TRIM(A419)),
  """"
)"),"#REF!")</f>
        <v>#REF!</v>
      </c>
      <c r="AB419" s="4" t="str">
        <f>IFERROR(__xludf.DUMMYFUNCTION("IFERROR(
  FILTER('CBK Students'!Q:Q, TRIM('CBK Students'!B:B) = TRIM(A419)),
  """"
)"),"#REF!")</f>
        <v>#REF!</v>
      </c>
    </row>
    <row r="420" ht="18.75" customHeight="1">
      <c r="T420" s="240" t="str">
        <f>IFERROR(__xludf.DUMMYFUNCTION("IFERROR(
  FILTER('CBK Students'!F:F, TRIM('CBK Students'!B:B) = TRIM(A420)),
  """"
)"),"#REF!")</f>
        <v>#REF!</v>
      </c>
      <c r="U420" s="240" t="str">
        <f>IFERROR(__xludf.DUMMYFUNCTION("IFERROR(
  FILTER('CBK Students'!H:H, TRIM('CBK Students'!B:B) = TRIM(A420)),
  """"
)"),"#REF!")</f>
        <v>#REF!</v>
      </c>
      <c r="V420" s="240" t="str">
        <f>IFERROR(__xludf.DUMMYFUNCTION("IFERROR(
  FILTER('CBK Students'!M:M, TRIM('CBK Students'!B:B) = TRIM(A420)),
  """"
)"),"#REF!")</f>
        <v>#REF!</v>
      </c>
      <c r="W420" s="240" t="str">
        <f t="shared" si="1"/>
        <v/>
      </c>
      <c r="X420" s="240" t="str">
        <f>IFERROR(__xludf.DUMMYFUNCTION("IFERROR(
  FILTER('CBK Students'!R:R, TRIM('CBK Students'!B:B) = TRIM(A420)),
  """"
)"),"#REF!")</f>
        <v>#REF!</v>
      </c>
      <c r="Y420" s="4" t="str">
        <f t="shared" si="2"/>
        <v/>
      </c>
      <c r="Z420" s="4" t="str">
        <f>IFERROR(__xludf.DUMMYFUNCTION("IFERROR(
  FILTER('CBK Students'!O:O, TRIM('CBK Students'!B:B) = TRIM(A420)),
  """"
)"),"#REF!")</f>
        <v>#REF!</v>
      </c>
      <c r="AA420" s="4" t="str">
        <f>IFERROR(__xludf.DUMMYFUNCTION("IFERROR(
  FILTER('CBK Students'!P:P, TRIM('CBK Students'!B:B) = TRIM(A420)),
  """"
)"),"#REF!")</f>
        <v>#REF!</v>
      </c>
      <c r="AB420" s="4" t="str">
        <f>IFERROR(__xludf.DUMMYFUNCTION("IFERROR(
  FILTER('CBK Students'!Q:Q, TRIM('CBK Students'!B:B) = TRIM(A420)),
  """"
)"),"#REF!")</f>
        <v>#REF!</v>
      </c>
    </row>
    <row r="421" ht="18.75" customHeight="1">
      <c r="T421" s="240" t="str">
        <f>IFERROR(__xludf.DUMMYFUNCTION("IFERROR(
  FILTER('CBK Students'!F:F, TRIM('CBK Students'!B:B) = TRIM(A421)),
  """"
)"),"#REF!")</f>
        <v>#REF!</v>
      </c>
      <c r="U421" s="240" t="str">
        <f>IFERROR(__xludf.DUMMYFUNCTION("IFERROR(
  FILTER('CBK Students'!H:H, TRIM('CBK Students'!B:B) = TRIM(A421)),
  """"
)"),"#REF!")</f>
        <v>#REF!</v>
      </c>
      <c r="V421" s="240" t="str">
        <f>IFERROR(__xludf.DUMMYFUNCTION("IFERROR(
  FILTER('CBK Students'!M:M, TRIM('CBK Students'!B:B) = TRIM(A421)),
  """"
)"),"#REF!")</f>
        <v>#REF!</v>
      </c>
      <c r="W421" s="240" t="str">
        <f t="shared" si="1"/>
        <v/>
      </c>
      <c r="X421" s="240" t="str">
        <f>IFERROR(__xludf.DUMMYFUNCTION("IFERROR(
  FILTER('CBK Students'!R:R, TRIM('CBK Students'!B:B) = TRIM(A421)),
  """"
)"),"#REF!")</f>
        <v>#REF!</v>
      </c>
      <c r="Y421" s="4" t="str">
        <f t="shared" si="2"/>
        <v/>
      </c>
      <c r="Z421" s="4" t="str">
        <f>IFERROR(__xludf.DUMMYFUNCTION("IFERROR(
  FILTER('CBK Students'!O:O, TRIM('CBK Students'!B:B) = TRIM(A421)),
  """"
)"),"#REF!")</f>
        <v>#REF!</v>
      </c>
      <c r="AA421" s="4" t="str">
        <f>IFERROR(__xludf.DUMMYFUNCTION("IFERROR(
  FILTER('CBK Students'!P:P, TRIM('CBK Students'!B:B) = TRIM(A421)),
  """"
)"),"#REF!")</f>
        <v>#REF!</v>
      </c>
      <c r="AB421" s="4" t="str">
        <f>IFERROR(__xludf.DUMMYFUNCTION("IFERROR(
  FILTER('CBK Students'!Q:Q, TRIM('CBK Students'!B:B) = TRIM(A421)),
  """"
)"),"#REF!")</f>
        <v>#REF!</v>
      </c>
    </row>
    <row r="422" ht="18.75" customHeight="1">
      <c r="T422" s="240" t="str">
        <f>IFERROR(__xludf.DUMMYFUNCTION("IFERROR(
  FILTER('CBK Students'!F:F, TRIM('CBK Students'!B:B) = TRIM(A422)),
  """"
)"),"#REF!")</f>
        <v>#REF!</v>
      </c>
      <c r="U422" s="240" t="str">
        <f>IFERROR(__xludf.DUMMYFUNCTION("IFERROR(
  FILTER('CBK Students'!H:H, TRIM('CBK Students'!B:B) = TRIM(A422)),
  """"
)"),"#REF!")</f>
        <v>#REF!</v>
      </c>
      <c r="V422" s="240" t="str">
        <f>IFERROR(__xludf.DUMMYFUNCTION("IFERROR(
  FILTER('CBK Students'!M:M, TRIM('CBK Students'!B:B) = TRIM(A422)),
  """"
)"),"#REF!")</f>
        <v>#REF!</v>
      </c>
      <c r="W422" s="240" t="str">
        <f t="shared" si="1"/>
        <v/>
      </c>
      <c r="X422" s="240" t="str">
        <f>IFERROR(__xludf.DUMMYFUNCTION("IFERROR(
  FILTER('CBK Students'!R:R, TRIM('CBK Students'!B:B) = TRIM(A422)),
  """"
)"),"#REF!")</f>
        <v>#REF!</v>
      </c>
      <c r="Y422" s="4" t="str">
        <f t="shared" si="2"/>
        <v/>
      </c>
      <c r="Z422" s="4" t="str">
        <f>IFERROR(__xludf.DUMMYFUNCTION("IFERROR(
  FILTER('CBK Students'!O:O, TRIM('CBK Students'!B:B) = TRIM(A422)),
  """"
)"),"#REF!")</f>
        <v>#REF!</v>
      </c>
      <c r="AA422" s="4" t="str">
        <f>IFERROR(__xludf.DUMMYFUNCTION("IFERROR(
  FILTER('CBK Students'!P:P, TRIM('CBK Students'!B:B) = TRIM(A422)),
  """"
)"),"#REF!")</f>
        <v>#REF!</v>
      </c>
      <c r="AB422" s="4" t="str">
        <f>IFERROR(__xludf.DUMMYFUNCTION("IFERROR(
  FILTER('CBK Students'!Q:Q, TRIM('CBK Students'!B:B) = TRIM(A422)),
  """"
)"),"#REF!")</f>
        <v>#REF!</v>
      </c>
    </row>
    <row r="423" ht="18.75" customHeight="1">
      <c r="T423" s="240" t="str">
        <f>IFERROR(__xludf.DUMMYFUNCTION("IFERROR(
  FILTER('CBK Students'!F:F, TRIM('CBK Students'!B:B) = TRIM(A423)),
  """"
)"),"#REF!")</f>
        <v>#REF!</v>
      </c>
      <c r="U423" s="240" t="str">
        <f>IFERROR(__xludf.DUMMYFUNCTION("IFERROR(
  FILTER('CBK Students'!H:H, TRIM('CBK Students'!B:B) = TRIM(A423)),
  """"
)"),"#REF!")</f>
        <v>#REF!</v>
      </c>
      <c r="V423" s="240" t="str">
        <f>IFERROR(__xludf.DUMMYFUNCTION("IFERROR(
  FILTER('CBK Students'!M:M, TRIM('CBK Students'!B:B) = TRIM(A423)),
  """"
)"),"#REF!")</f>
        <v>#REF!</v>
      </c>
      <c r="W423" s="240" t="str">
        <f t="shared" si="1"/>
        <v/>
      </c>
      <c r="X423" s="240" t="str">
        <f>IFERROR(__xludf.DUMMYFUNCTION("IFERROR(
  FILTER('CBK Students'!R:R, TRIM('CBK Students'!B:B) = TRIM(A423)),
  """"
)"),"#REF!")</f>
        <v>#REF!</v>
      </c>
      <c r="Y423" s="4" t="str">
        <f t="shared" si="2"/>
        <v/>
      </c>
      <c r="Z423" s="4" t="str">
        <f>IFERROR(__xludf.DUMMYFUNCTION("IFERROR(
  FILTER('CBK Students'!O:O, TRIM('CBK Students'!B:B) = TRIM(A423)),
  """"
)"),"#REF!")</f>
        <v>#REF!</v>
      </c>
      <c r="AA423" s="4" t="str">
        <f>IFERROR(__xludf.DUMMYFUNCTION("IFERROR(
  FILTER('CBK Students'!P:P, TRIM('CBK Students'!B:B) = TRIM(A423)),
  """"
)"),"#REF!")</f>
        <v>#REF!</v>
      </c>
      <c r="AB423" s="4" t="str">
        <f>IFERROR(__xludf.DUMMYFUNCTION("IFERROR(
  FILTER('CBK Students'!Q:Q, TRIM('CBK Students'!B:B) = TRIM(A423)),
  """"
)"),"#REF!")</f>
        <v>#REF!</v>
      </c>
    </row>
    <row r="424" ht="18.75" customHeight="1">
      <c r="T424" s="240" t="str">
        <f>IFERROR(__xludf.DUMMYFUNCTION("IFERROR(
  FILTER('CBK Students'!F:F, TRIM('CBK Students'!B:B) = TRIM(A424)),
  """"
)"),"#REF!")</f>
        <v>#REF!</v>
      </c>
      <c r="U424" s="240" t="str">
        <f>IFERROR(__xludf.DUMMYFUNCTION("IFERROR(
  FILTER('CBK Students'!H:H, TRIM('CBK Students'!B:B) = TRIM(A424)),
  """"
)"),"#REF!")</f>
        <v>#REF!</v>
      </c>
      <c r="V424" s="240" t="str">
        <f>IFERROR(__xludf.DUMMYFUNCTION("IFERROR(
  FILTER('CBK Students'!M:M, TRIM('CBK Students'!B:B) = TRIM(A424)),
  """"
)"),"#REF!")</f>
        <v>#REF!</v>
      </c>
      <c r="W424" s="240" t="str">
        <f t="shared" si="1"/>
        <v/>
      </c>
      <c r="X424" s="240" t="str">
        <f>IFERROR(__xludf.DUMMYFUNCTION("IFERROR(
  FILTER('CBK Students'!R:R, TRIM('CBK Students'!B:B) = TRIM(A424)),
  """"
)"),"#REF!")</f>
        <v>#REF!</v>
      </c>
      <c r="Y424" s="4" t="str">
        <f t="shared" si="2"/>
        <v/>
      </c>
      <c r="Z424" s="4" t="str">
        <f>IFERROR(__xludf.DUMMYFUNCTION("IFERROR(
  FILTER('CBK Students'!O:O, TRIM('CBK Students'!B:B) = TRIM(A424)),
  """"
)"),"#REF!")</f>
        <v>#REF!</v>
      </c>
      <c r="AA424" s="4" t="str">
        <f>IFERROR(__xludf.DUMMYFUNCTION("IFERROR(
  FILTER('CBK Students'!P:P, TRIM('CBK Students'!B:B) = TRIM(A424)),
  """"
)"),"#REF!")</f>
        <v>#REF!</v>
      </c>
      <c r="AB424" s="4" t="str">
        <f>IFERROR(__xludf.DUMMYFUNCTION("IFERROR(
  FILTER('CBK Students'!Q:Q, TRIM('CBK Students'!B:B) = TRIM(A424)),
  """"
)"),"#REF!")</f>
        <v>#REF!</v>
      </c>
    </row>
    <row r="425" ht="18.75" customHeight="1">
      <c r="T425" s="240" t="str">
        <f>IFERROR(__xludf.DUMMYFUNCTION("IFERROR(
  FILTER('CBK Students'!F:F, TRIM('CBK Students'!B:B) = TRIM(A425)),
  """"
)"),"#REF!")</f>
        <v>#REF!</v>
      </c>
      <c r="U425" s="240" t="str">
        <f>IFERROR(__xludf.DUMMYFUNCTION("IFERROR(
  FILTER('CBK Students'!H:H, TRIM('CBK Students'!B:B) = TRIM(A425)),
  """"
)"),"#REF!")</f>
        <v>#REF!</v>
      </c>
      <c r="V425" s="240" t="str">
        <f>IFERROR(__xludf.DUMMYFUNCTION("IFERROR(
  FILTER('CBK Students'!M:M, TRIM('CBK Students'!B:B) = TRIM(A425)),
  """"
)"),"#REF!")</f>
        <v>#REF!</v>
      </c>
      <c r="W425" s="240" t="str">
        <f t="shared" si="1"/>
        <v/>
      </c>
      <c r="X425" s="240" t="str">
        <f>IFERROR(__xludf.DUMMYFUNCTION("IFERROR(
  FILTER('CBK Students'!R:R, TRIM('CBK Students'!B:B) = TRIM(A425)),
  """"
)"),"#REF!")</f>
        <v>#REF!</v>
      </c>
      <c r="Y425" s="4" t="str">
        <f t="shared" si="2"/>
        <v/>
      </c>
      <c r="Z425" s="4" t="str">
        <f>IFERROR(__xludf.DUMMYFUNCTION("IFERROR(
  FILTER('CBK Students'!O:O, TRIM('CBK Students'!B:B) = TRIM(A425)),
  """"
)"),"#REF!")</f>
        <v>#REF!</v>
      </c>
      <c r="AA425" s="4" t="str">
        <f>IFERROR(__xludf.DUMMYFUNCTION("IFERROR(
  FILTER('CBK Students'!P:P, TRIM('CBK Students'!B:B) = TRIM(A425)),
  """"
)"),"#REF!")</f>
        <v>#REF!</v>
      </c>
      <c r="AB425" s="4" t="str">
        <f>IFERROR(__xludf.DUMMYFUNCTION("IFERROR(
  FILTER('CBK Students'!Q:Q, TRIM('CBK Students'!B:B) = TRIM(A425)),
  """"
)"),"#REF!")</f>
        <v>#REF!</v>
      </c>
    </row>
    <row r="426" ht="18.75" customHeight="1">
      <c r="T426" s="240" t="str">
        <f>IFERROR(__xludf.DUMMYFUNCTION("IFERROR(
  FILTER('CBK Students'!F:F, TRIM('CBK Students'!B:B) = TRIM(A426)),
  """"
)"),"#REF!")</f>
        <v>#REF!</v>
      </c>
      <c r="U426" s="240" t="str">
        <f>IFERROR(__xludf.DUMMYFUNCTION("IFERROR(
  FILTER('CBK Students'!H:H, TRIM('CBK Students'!B:B) = TRIM(A426)),
  """"
)"),"#REF!")</f>
        <v>#REF!</v>
      </c>
      <c r="V426" s="240" t="str">
        <f>IFERROR(__xludf.DUMMYFUNCTION("IFERROR(
  FILTER('CBK Students'!M:M, TRIM('CBK Students'!B:B) = TRIM(A426)),
  """"
)"),"#REF!")</f>
        <v>#REF!</v>
      </c>
      <c r="W426" s="240" t="str">
        <f t="shared" si="1"/>
        <v/>
      </c>
      <c r="X426" s="240" t="str">
        <f>IFERROR(__xludf.DUMMYFUNCTION("IFERROR(
  FILTER('CBK Students'!R:R, TRIM('CBK Students'!B:B) = TRIM(A426)),
  """"
)"),"#REF!")</f>
        <v>#REF!</v>
      </c>
      <c r="Y426" s="4" t="str">
        <f t="shared" si="2"/>
        <v/>
      </c>
      <c r="Z426" s="4" t="str">
        <f>IFERROR(__xludf.DUMMYFUNCTION("IFERROR(
  FILTER('CBK Students'!O:O, TRIM('CBK Students'!B:B) = TRIM(A426)),
  """"
)"),"#REF!")</f>
        <v>#REF!</v>
      </c>
      <c r="AA426" s="4" t="str">
        <f>IFERROR(__xludf.DUMMYFUNCTION("IFERROR(
  FILTER('CBK Students'!P:P, TRIM('CBK Students'!B:B) = TRIM(A426)),
  """"
)"),"#REF!")</f>
        <v>#REF!</v>
      </c>
      <c r="AB426" s="4" t="str">
        <f>IFERROR(__xludf.DUMMYFUNCTION("IFERROR(
  FILTER('CBK Students'!Q:Q, TRIM('CBK Students'!B:B) = TRIM(A426)),
  """"
)"),"#REF!")</f>
        <v>#REF!</v>
      </c>
    </row>
    <row r="427" ht="18.75" customHeight="1">
      <c r="T427" s="240" t="str">
        <f>IFERROR(__xludf.DUMMYFUNCTION("IFERROR(
  FILTER('CBK Students'!F:F, TRIM('CBK Students'!B:B) = TRIM(A427)),
  """"
)"),"#REF!")</f>
        <v>#REF!</v>
      </c>
      <c r="U427" s="240" t="str">
        <f>IFERROR(__xludf.DUMMYFUNCTION("IFERROR(
  FILTER('CBK Students'!H:H, TRIM('CBK Students'!B:B) = TRIM(A427)),
  """"
)"),"#REF!")</f>
        <v>#REF!</v>
      </c>
      <c r="V427" s="240" t="str">
        <f>IFERROR(__xludf.DUMMYFUNCTION("IFERROR(
  FILTER('CBK Students'!M:M, TRIM('CBK Students'!B:B) = TRIM(A427)),
  """"
)"),"#REF!")</f>
        <v>#REF!</v>
      </c>
      <c r="W427" s="240" t="str">
        <f t="shared" si="1"/>
        <v/>
      </c>
      <c r="X427" s="240" t="str">
        <f>IFERROR(__xludf.DUMMYFUNCTION("IFERROR(
  FILTER('CBK Students'!R:R, TRIM('CBK Students'!B:B) = TRIM(A427)),
  """"
)"),"#REF!")</f>
        <v>#REF!</v>
      </c>
      <c r="Y427" s="4" t="str">
        <f t="shared" si="2"/>
        <v/>
      </c>
      <c r="Z427" s="4" t="str">
        <f>IFERROR(__xludf.DUMMYFUNCTION("IFERROR(
  FILTER('CBK Students'!O:O, TRIM('CBK Students'!B:B) = TRIM(A427)),
  """"
)"),"#REF!")</f>
        <v>#REF!</v>
      </c>
      <c r="AA427" s="4" t="str">
        <f>IFERROR(__xludf.DUMMYFUNCTION("IFERROR(
  FILTER('CBK Students'!P:P, TRIM('CBK Students'!B:B) = TRIM(A427)),
  """"
)"),"#REF!")</f>
        <v>#REF!</v>
      </c>
      <c r="AB427" s="4" t="str">
        <f>IFERROR(__xludf.DUMMYFUNCTION("IFERROR(
  FILTER('CBK Students'!Q:Q, TRIM('CBK Students'!B:B) = TRIM(A427)),
  """"
)"),"#REF!")</f>
        <v>#REF!</v>
      </c>
    </row>
    <row r="428" ht="18.75" customHeight="1">
      <c r="T428" s="240" t="str">
        <f>IFERROR(__xludf.DUMMYFUNCTION("IFERROR(
  FILTER('CBK Students'!F:F, TRIM('CBK Students'!B:B) = TRIM(A428)),
  """"
)"),"#REF!")</f>
        <v>#REF!</v>
      </c>
      <c r="U428" s="240" t="str">
        <f>IFERROR(__xludf.DUMMYFUNCTION("IFERROR(
  FILTER('CBK Students'!H:H, TRIM('CBK Students'!B:B) = TRIM(A428)),
  """"
)"),"#REF!")</f>
        <v>#REF!</v>
      </c>
      <c r="V428" s="240" t="str">
        <f>IFERROR(__xludf.DUMMYFUNCTION("IFERROR(
  FILTER('CBK Students'!M:M, TRIM('CBK Students'!B:B) = TRIM(A428)),
  """"
)"),"#REF!")</f>
        <v>#REF!</v>
      </c>
      <c r="W428" s="240" t="str">
        <f t="shared" si="1"/>
        <v/>
      </c>
      <c r="X428" s="240" t="str">
        <f>IFERROR(__xludf.DUMMYFUNCTION("IFERROR(
  FILTER('CBK Students'!R:R, TRIM('CBK Students'!B:B) = TRIM(A428)),
  """"
)"),"#REF!")</f>
        <v>#REF!</v>
      </c>
      <c r="Y428" s="4" t="str">
        <f t="shared" si="2"/>
        <v/>
      </c>
      <c r="Z428" s="4" t="str">
        <f>IFERROR(__xludf.DUMMYFUNCTION("IFERROR(
  FILTER('CBK Students'!O:O, TRIM('CBK Students'!B:B) = TRIM(A428)),
  """"
)"),"#REF!")</f>
        <v>#REF!</v>
      </c>
      <c r="AA428" s="4" t="str">
        <f>IFERROR(__xludf.DUMMYFUNCTION("IFERROR(
  FILTER('CBK Students'!P:P, TRIM('CBK Students'!B:B) = TRIM(A428)),
  """"
)"),"#REF!")</f>
        <v>#REF!</v>
      </c>
      <c r="AB428" s="4" t="str">
        <f>IFERROR(__xludf.DUMMYFUNCTION("IFERROR(
  FILTER('CBK Students'!Q:Q, TRIM('CBK Students'!B:B) = TRIM(A428)),
  """"
)"),"#REF!")</f>
        <v>#REF!</v>
      </c>
    </row>
    <row r="429" ht="18.75" customHeight="1">
      <c r="T429" s="240" t="str">
        <f>IFERROR(__xludf.DUMMYFUNCTION("IFERROR(
  FILTER('CBK Students'!F:F, TRIM('CBK Students'!B:B) = TRIM(A429)),
  """"
)"),"#REF!")</f>
        <v>#REF!</v>
      </c>
      <c r="U429" s="240" t="str">
        <f>IFERROR(__xludf.DUMMYFUNCTION("IFERROR(
  FILTER('CBK Students'!H:H, TRIM('CBK Students'!B:B) = TRIM(A429)),
  """"
)"),"#REF!")</f>
        <v>#REF!</v>
      </c>
      <c r="V429" s="240" t="str">
        <f>IFERROR(__xludf.DUMMYFUNCTION("IFERROR(
  FILTER('CBK Students'!M:M, TRIM('CBK Students'!B:B) = TRIM(A429)),
  """"
)"),"#REF!")</f>
        <v>#REF!</v>
      </c>
      <c r="W429" s="240" t="str">
        <f t="shared" si="1"/>
        <v/>
      </c>
      <c r="X429" s="240" t="str">
        <f>IFERROR(__xludf.DUMMYFUNCTION("IFERROR(
  FILTER('CBK Students'!R:R, TRIM('CBK Students'!B:B) = TRIM(A429)),
  """"
)"),"#REF!")</f>
        <v>#REF!</v>
      </c>
      <c r="Y429" s="4" t="str">
        <f t="shared" si="2"/>
        <v/>
      </c>
      <c r="Z429" s="4" t="str">
        <f>IFERROR(__xludf.DUMMYFUNCTION("IFERROR(
  FILTER('CBK Students'!O:O, TRIM('CBK Students'!B:B) = TRIM(A429)),
  """"
)"),"#REF!")</f>
        <v>#REF!</v>
      </c>
      <c r="AA429" s="4" t="str">
        <f>IFERROR(__xludf.DUMMYFUNCTION("IFERROR(
  FILTER('CBK Students'!P:P, TRIM('CBK Students'!B:B) = TRIM(A429)),
  """"
)"),"#REF!")</f>
        <v>#REF!</v>
      </c>
      <c r="AB429" s="4" t="str">
        <f>IFERROR(__xludf.DUMMYFUNCTION("IFERROR(
  FILTER('CBK Students'!Q:Q, TRIM('CBK Students'!B:B) = TRIM(A429)),
  """"
)"),"#REF!")</f>
        <v>#REF!</v>
      </c>
    </row>
    <row r="430" ht="18.75" customHeight="1">
      <c r="T430" s="240" t="str">
        <f>IFERROR(__xludf.DUMMYFUNCTION("IFERROR(
  FILTER('CBK Students'!F:F, TRIM('CBK Students'!B:B) = TRIM(A430)),
  """"
)"),"#REF!")</f>
        <v>#REF!</v>
      </c>
      <c r="U430" s="240" t="str">
        <f>IFERROR(__xludf.DUMMYFUNCTION("IFERROR(
  FILTER('CBK Students'!H:H, TRIM('CBK Students'!B:B) = TRIM(A430)),
  """"
)"),"#REF!")</f>
        <v>#REF!</v>
      </c>
      <c r="V430" s="240" t="str">
        <f>IFERROR(__xludf.DUMMYFUNCTION("IFERROR(
  FILTER('CBK Students'!M:M, TRIM('CBK Students'!B:B) = TRIM(A430)),
  """"
)"),"#REF!")</f>
        <v>#REF!</v>
      </c>
      <c r="W430" s="240" t="str">
        <f t="shared" si="1"/>
        <v/>
      </c>
      <c r="X430" s="240" t="str">
        <f>IFERROR(__xludf.DUMMYFUNCTION("IFERROR(
  FILTER('CBK Students'!R:R, TRIM('CBK Students'!B:B) = TRIM(A430)),
  """"
)"),"#REF!")</f>
        <v>#REF!</v>
      </c>
      <c r="Y430" s="4" t="str">
        <f t="shared" si="2"/>
        <v/>
      </c>
      <c r="Z430" s="4" t="str">
        <f>IFERROR(__xludf.DUMMYFUNCTION("IFERROR(
  FILTER('CBK Students'!O:O, TRIM('CBK Students'!B:B) = TRIM(A430)),
  """"
)"),"#REF!")</f>
        <v>#REF!</v>
      </c>
      <c r="AA430" s="4" t="str">
        <f>IFERROR(__xludf.DUMMYFUNCTION("IFERROR(
  FILTER('CBK Students'!P:P, TRIM('CBK Students'!B:B) = TRIM(A430)),
  """"
)"),"#REF!")</f>
        <v>#REF!</v>
      </c>
      <c r="AB430" s="4" t="str">
        <f>IFERROR(__xludf.DUMMYFUNCTION("IFERROR(
  FILTER('CBK Students'!Q:Q, TRIM('CBK Students'!B:B) = TRIM(A430)),
  """"
)"),"#REF!")</f>
        <v>#REF!</v>
      </c>
    </row>
    <row r="431" ht="18.75" customHeight="1">
      <c r="T431" s="240" t="str">
        <f>IFERROR(__xludf.DUMMYFUNCTION("IFERROR(
  FILTER('CBK Students'!F:F, TRIM('CBK Students'!B:B) = TRIM(A431)),
  """"
)"),"#REF!")</f>
        <v>#REF!</v>
      </c>
      <c r="U431" s="240" t="str">
        <f>IFERROR(__xludf.DUMMYFUNCTION("IFERROR(
  FILTER('CBK Students'!H:H, TRIM('CBK Students'!B:B) = TRIM(A431)),
  """"
)"),"#REF!")</f>
        <v>#REF!</v>
      </c>
      <c r="V431" s="240" t="str">
        <f>IFERROR(__xludf.DUMMYFUNCTION("IFERROR(
  FILTER('CBK Students'!M:M, TRIM('CBK Students'!B:B) = TRIM(A431)),
  """"
)"),"#REF!")</f>
        <v>#REF!</v>
      </c>
      <c r="W431" s="240" t="str">
        <f t="shared" si="1"/>
        <v/>
      </c>
      <c r="X431" s="240" t="str">
        <f>IFERROR(__xludf.DUMMYFUNCTION("IFERROR(
  FILTER('CBK Students'!R:R, TRIM('CBK Students'!B:B) = TRIM(A431)),
  """"
)"),"#REF!")</f>
        <v>#REF!</v>
      </c>
      <c r="Y431" s="4" t="str">
        <f t="shared" si="2"/>
        <v/>
      </c>
      <c r="Z431" s="4" t="str">
        <f>IFERROR(__xludf.DUMMYFUNCTION("IFERROR(
  FILTER('CBK Students'!O:O, TRIM('CBK Students'!B:B) = TRIM(A431)),
  """"
)"),"#REF!")</f>
        <v>#REF!</v>
      </c>
      <c r="AA431" s="4" t="str">
        <f>IFERROR(__xludf.DUMMYFUNCTION("IFERROR(
  FILTER('CBK Students'!P:P, TRIM('CBK Students'!B:B) = TRIM(A431)),
  """"
)"),"#REF!")</f>
        <v>#REF!</v>
      </c>
      <c r="AB431" s="4" t="str">
        <f>IFERROR(__xludf.DUMMYFUNCTION("IFERROR(
  FILTER('CBK Students'!Q:Q, TRIM('CBK Students'!B:B) = TRIM(A431)),
  """"
)"),"#REF!")</f>
        <v>#REF!</v>
      </c>
    </row>
    <row r="432" ht="18.75" customHeight="1">
      <c r="T432" s="240" t="str">
        <f>IFERROR(__xludf.DUMMYFUNCTION("IFERROR(
  FILTER('CBK Students'!F:F, TRIM('CBK Students'!B:B) = TRIM(A432)),
  """"
)"),"#REF!")</f>
        <v>#REF!</v>
      </c>
      <c r="U432" s="240" t="str">
        <f>IFERROR(__xludf.DUMMYFUNCTION("IFERROR(
  FILTER('CBK Students'!H:H, TRIM('CBK Students'!B:B) = TRIM(A432)),
  """"
)"),"#REF!")</f>
        <v>#REF!</v>
      </c>
      <c r="V432" s="240" t="str">
        <f>IFERROR(__xludf.DUMMYFUNCTION("IFERROR(
  FILTER('CBK Students'!M:M, TRIM('CBK Students'!B:B) = TRIM(A432)),
  """"
)"),"#REF!")</f>
        <v>#REF!</v>
      </c>
      <c r="W432" s="240" t="str">
        <f t="shared" si="1"/>
        <v/>
      </c>
      <c r="X432" s="240" t="str">
        <f>IFERROR(__xludf.DUMMYFUNCTION("IFERROR(
  FILTER('CBK Students'!R:R, TRIM('CBK Students'!B:B) = TRIM(A432)),
  """"
)"),"#REF!")</f>
        <v>#REF!</v>
      </c>
      <c r="Y432" s="4" t="str">
        <f t="shared" si="2"/>
        <v/>
      </c>
      <c r="Z432" s="4" t="str">
        <f>IFERROR(__xludf.DUMMYFUNCTION("IFERROR(
  FILTER('CBK Students'!O:O, TRIM('CBK Students'!B:B) = TRIM(A432)),
  """"
)"),"#REF!")</f>
        <v>#REF!</v>
      </c>
      <c r="AA432" s="4" t="str">
        <f>IFERROR(__xludf.DUMMYFUNCTION("IFERROR(
  FILTER('CBK Students'!P:P, TRIM('CBK Students'!B:B) = TRIM(A432)),
  """"
)"),"#REF!")</f>
        <v>#REF!</v>
      </c>
      <c r="AB432" s="4" t="str">
        <f>IFERROR(__xludf.DUMMYFUNCTION("IFERROR(
  FILTER('CBK Students'!Q:Q, TRIM('CBK Students'!B:B) = TRIM(A432)),
  """"
)"),"#REF!")</f>
        <v>#REF!</v>
      </c>
    </row>
    <row r="433" ht="18.75" customHeight="1">
      <c r="T433" s="240" t="str">
        <f>IFERROR(__xludf.DUMMYFUNCTION("IFERROR(
  FILTER('CBK Students'!F:F, TRIM('CBK Students'!B:B) = TRIM(A433)),
  """"
)"),"#REF!")</f>
        <v>#REF!</v>
      </c>
      <c r="U433" s="240" t="str">
        <f>IFERROR(__xludf.DUMMYFUNCTION("IFERROR(
  FILTER('CBK Students'!H:H, TRIM('CBK Students'!B:B) = TRIM(A433)),
  """"
)"),"#REF!")</f>
        <v>#REF!</v>
      </c>
      <c r="V433" s="240" t="str">
        <f>IFERROR(__xludf.DUMMYFUNCTION("IFERROR(
  FILTER('CBK Students'!M:M, TRIM('CBK Students'!B:B) = TRIM(A433)),
  """"
)"),"#REF!")</f>
        <v>#REF!</v>
      </c>
      <c r="W433" s="240" t="str">
        <f t="shared" si="1"/>
        <v/>
      </c>
      <c r="X433" s="240" t="str">
        <f>IFERROR(__xludf.DUMMYFUNCTION("IFERROR(
  FILTER('CBK Students'!R:R, TRIM('CBK Students'!B:B) = TRIM(A433)),
  """"
)"),"#REF!")</f>
        <v>#REF!</v>
      </c>
      <c r="Y433" s="4" t="str">
        <f t="shared" si="2"/>
        <v/>
      </c>
      <c r="Z433" s="4" t="str">
        <f>IFERROR(__xludf.DUMMYFUNCTION("IFERROR(
  FILTER('CBK Students'!O:O, TRIM('CBK Students'!B:B) = TRIM(A433)),
  """"
)"),"#REF!")</f>
        <v>#REF!</v>
      </c>
      <c r="AA433" s="4" t="str">
        <f>IFERROR(__xludf.DUMMYFUNCTION("IFERROR(
  FILTER('CBK Students'!P:P, TRIM('CBK Students'!B:B) = TRIM(A433)),
  """"
)"),"#REF!")</f>
        <v>#REF!</v>
      </c>
      <c r="AB433" s="4" t="str">
        <f>IFERROR(__xludf.DUMMYFUNCTION("IFERROR(
  FILTER('CBK Students'!Q:Q, TRIM('CBK Students'!B:B) = TRIM(A433)),
  """"
)"),"#REF!")</f>
        <v>#REF!</v>
      </c>
    </row>
    <row r="434" ht="18.75" customHeight="1">
      <c r="T434" s="240" t="str">
        <f>IFERROR(__xludf.DUMMYFUNCTION("IFERROR(
  FILTER('CBK Students'!F:F, TRIM('CBK Students'!B:B) = TRIM(A434)),
  """"
)"),"#REF!")</f>
        <v>#REF!</v>
      </c>
      <c r="U434" s="240" t="str">
        <f>IFERROR(__xludf.DUMMYFUNCTION("IFERROR(
  FILTER('CBK Students'!H:H, TRIM('CBK Students'!B:B) = TRIM(A434)),
  """"
)"),"#REF!")</f>
        <v>#REF!</v>
      </c>
      <c r="V434" s="240" t="str">
        <f>IFERROR(__xludf.DUMMYFUNCTION("IFERROR(
  FILTER('CBK Students'!M:M, TRIM('CBK Students'!B:B) = TRIM(A434)),
  """"
)"),"#REF!")</f>
        <v>#REF!</v>
      </c>
      <c r="W434" s="240" t="str">
        <f t="shared" si="1"/>
        <v/>
      </c>
      <c r="X434" s="240" t="str">
        <f>IFERROR(__xludf.DUMMYFUNCTION("IFERROR(
  FILTER('CBK Students'!R:R, TRIM('CBK Students'!B:B) = TRIM(A434)),
  """"
)"),"#REF!")</f>
        <v>#REF!</v>
      </c>
      <c r="Y434" s="4" t="str">
        <f t="shared" si="2"/>
        <v/>
      </c>
      <c r="Z434" s="4" t="str">
        <f>IFERROR(__xludf.DUMMYFUNCTION("IFERROR(
  FILTER('CBK Students'!O:O, TRIM('CBK Students'!B:B) = TRIM(A434)),
  """"
)"),"#REF!")</f>
        <v>#REF!</v>
      </c>
      <c r="AA434" s="4" t="str">
        <f>IFERROR(__xludf.DUMMYFUNCTION("IFERROR(
  FILTER('CBK Students'!P:P, TRIM('CBK Students'!B:B) = TRIM(A434)),
  """"
)"),"#REF!")</f>
        <v>#REF!</v>
      </c>
      <c r="AB434" s="4" t="str">
        <f>IFERROR(__xludf.DUMMYFUNCTION("IFERROR(
  FILTER('CBK Students'!Q:Q, TRIM('CBK Students'!B:B) = TRIM(A434)),
  """"
)"),"#REF!")</f>
        <v>#REF!</v>
      </c>
    </row>
    <row r="435" ht="18.75" customHeight="1">
      <c r="T435" s="240" t="str">
        <f>IFERROR(__xludf.DUMMYFUNCTION("IFERROR(
  FILTER('CBK Students'!F:F, TRIM('CBK Students'!B:B) = TRIM(A435)),
  """"
)"),"#REF!")</f>
        <v>#REF!</v>
      </c>
      <c r="U435" s="240" t="str">
        <f>IFERROR(__xludf.DUMMYFUNCTION("IFERROR(
  FILTER('CBK Students'!H:H, TRIM('CBK Students'!B:B) = TRIM(A435)),
  """"
)"),"#REF!")</f>
        <v>#REF!</v>
      </c>
      <c r="V435" s="240" t="str">
        <f>IFERROR(__xludf.DUMMYFUNCTION("IFERROR(
  FILTER('CBK Students'!M:M, TRIM('CBK Students'!B:B) = TRIM(A435)),
  """"
)"),"#REF!")</f>
        <v>#REF!</v>
      </c>
      <c r="W435" s="240" t="str">
        <f t="shared" si="1"/>
        <v/>
      </c>
      <c r="X435" s="240" t="str">
        <f>IFERROR(__xludf.DUMMYFUNCTION("IFERROR(
  FILTER('CBK Students'!R:R, TRIM('CBK Students'!B:B) = TRIM(A435)),
  """"
)"),"#REF!")</f>
        <v>#REF!</v>
      </c>
      <c r="Y435" s="4" t="str">
        <f t="shared" si="2"/>
        <v/>
      </c>
      <c r="Z435" s="4" t="str">
        <f>IFERROR(__xludf.DUMMYFUNCTION("IFERROR(
  FILTER('CBK Students'!O:O, TRIM('CBK Students'!B:B) = TRIM(A435)),
  """"
)"),"#REF!")</f>
        <v>#REF!</v>
      </c>
      <c r="AA435" s="4" t="str">
        <f>IFERROR(__xludf.DUMMYFUNCTION("IFERROR(
  FILTER('CBK Students'!P:P, TRIM('CBK Students'!B:B) = TRIM(A435)),
  """"
)"),"#REF!")</f>
        <v>#REF!</v>
      </c>
      <c r="AB435" s="4" t="str">
        <f>IFERROR(__xludf.DUMMYFUNCTION("IFERROR(
  FILTER('CBK Students'!Q:Q, TRIM('CBK Students'!B:B) = TRIM(A435)),
  """"
)"),"#REF!")</f>
        <v>#REF!</v>
      </c>
    </row>
    <row r="436" ht="18.75" customHeight="1">
      <c r="T436" s="240" t="str">
        <f>IFERROR(__xludf.DUMMYFUNCTION("IFERROR(
  FILTER('CBK Students'!F:F, TRIM('CBK Students'!B:B) = TRIM(A436)),
  """"
)"),"#REF!")</f>
        <v>#REF!</v>
      </c>
      <c r="U436" s="240" t="str">
        <f>IFERROR(__xludf.DUMMYFUNCTION("IFERROR(
  FILTER('CBK Students'!H:H, TRIM('CBK Students'!B:B) = TRIM(A436)),
  """"
)"),"#REF!")</f>
        <v>#REF!</v>
      </c>
      <c r="V436" s="240" t="str">
        <f>IFERROR(__xludf.DUMMYFUNCTION("IFERROR(
  FILTER('CBK Students'!M:M, TRIM('CBK Students'!B:B) = TRIM(A436)),
  """"
)"),"#REF!")</f>
        <v>#REF!</v>
      </c>
      <c r="W436" s="240" t="str">
        <f t="shared" si="1"/>
        <v/>
      </c>
      <c r="X436" s="240" t="str">
        <f>IFERROR(__xludf.DUMMYFUNCTION("IFERROR(
  FILTER('CBK Students'!R:R, TRIM('CBK Students'!B:B) = TRIM(A436)),
  """"
)"),"#REF!")</f>
        <v>#REF!</v>
      </c>
      <c r="Y436" s="4" t="str">
        <f t="shared" si="2"/>
        <v/>
      </c>
      <c r="Z436" s="4" t="str">
        <f>IFERROR(__xludf.DUMMYFUNCTION("IFERROR(
  FILTER('CBK Students'!O:O, TRIM('CBK Students'!B:B) = TRIM(A436)),
  """"
)"),"#REF!")</f>
        <v>#REF!</v>
      </c>
      <c r="AA436" s="4" t="str">
        <f>IFERROR(__xludf.DUMMYFUNCTION("IFERROR(
  FILTER('CBK Students'!P:P, TRIM('CBK Students'!B:B) = TRIM(A436)),
  """"
)"),"#REF!")</f>
        <v>#REF!</v>
      </c>
      <c r="AB436" s="4" t="str">
        <f>IFERROR(__xludf.DUMMYFUNCTION("IFERROR(
  FILTER('CBK Students'!Q:Q, TRIM('CBK Students'!B:B) = TRIM(A436)),
  """"
)"),"#REF!")</f>
        <v>#REF!</v>
      </c>
    </row>
    <row r="437" ht="18.75" customHeight="1">
      <c r="T437" s="240" t="str">
        <f>IFERROR(__xludf.DUMMYFUNCTION("IFERROR(
  FILTER('CBK Students'!F:F, TRIM('CBK Students'!B:B) = TRIM(A437)),
  """"
)"),"#REF!")</f>
        <v>#REF!</v>
      </c>
      <c r="U437" s="240" t="str">
        <f>IFERROR(__xludf.DUMMYFUNCTION("IFERROR(
  FILTER('CBK Students'!H:H, TRIM('CBK Students'!B:B) = TRIM(A437)),
  """"
)"),"#REF!")</f>
        <v>#REF!</v>
      </c>
      <c r="V437" s="240" t="str">
        <f>IFERROR(__xludf.DUMMYFUNCTION("IFERROR(
  FILTER('CBK Students'!M:M, TRIM('CBK Students'!B:B) = TRIM(A437)),
  """"
)"),"#REF!")</f>
        <v>#REF!</v>
      </c>
      <c r="W437" s="240" t="str">
        <f t="shared" si="1"/>
        <v/>
      </c>
      <c r="X437" s="240" t="str">
        <f>IFERROR(__xludf.DUMMYFUNCTION("IFERROR(
  FILTER('CBK Students'!R:R, TRIM('CBK Students'!B:B) = TRIM(A437)),
  """"
)"),"#REF!")</f>
        <v>#REF!</v>
      </c>
      <c r="Y437" s="4" t="str">
        <f t="shared" si="2"/>
        <v/>
      </c>
      <c r="Z437" s="4" t="str">
        <f>IFERROR(__xludf.DUMMYFUNCTION("IFERROR(
  FILTER('CBK Students'!O:O, TRIM('CBK Students'!B:B) = TRIM(A437)),
  """"
)"),"#REF!")</f>
        <v>#REF!</v>
      </c>
      <c r="AA437" s="4" t="str">
        <f>IFERROR(__xludf.DUMMYFUNCTION("IFERROR(
  FILTER('CBK Students'!P:P, TRIM('CBK Students'!B:B) = TRIM(A437)),
  """"
)"),"#REF!")</f>
        <v>#REF!</v>
      </c>
      <c r="AB437" s="4" t="str">
        <f>IFERROR(__xludf.DUMMYFUNCTION("IFERROR(
  FILTER('CBK Students'!Q:Q, TRIM('CBK Students'!B:B) = TRIM(A437)),
  """"
)"),"#REF!")</f>
        <v>#REF!</v>
      </c>
    </row>
    <row r="438" ht="18.75" customHeight="1">
      <c r="T438" s="240" t="str">
        <f>IFERROR(__xludf.DUMMYFUNCTION("IFERROR(
  FILTER('CBK Students'!F:F, TRIM('CBK Students'!B:B) = TRIM(A438)),
  """"
)"),"#REF!")</f>
        <v>#REF!</v>
      </c>
      <c r="U438" s="240" t="str">
        <f>IFERROR(__xludf.DUMMYFUNCTION("IFERROR(
  FILTER('CBK Students'!H:H, TRIM('CBK Students'!B:B) = TRIM(A438)),
  """"
)"),"#REF!")</f>
        <v>#REF!</v>
      </c>
      <c r="V438" s="240" t="str">
        <f>IFERROR(__xludf.DUMMYFUNCTION("IFERROR(
  FILTER('CBK Students'!M:M, TRIM('CBK Students'!B:B) = TRIM(A438)),
  """"
)"),"#REF!")</f>
        <v>#REF!</v>
      </c>
      <c r="W438" s="240" t="str">
        <f t="shared" si="1"/>
        <v/>
      </c>
      <c r="X438" s="240" t="str">
        <f>IFERROR(__xludf.DUMMYFUNCTION("IFERROR(
  FILTER('CBK Students'!R:R, TRIM('CBK Students'!B:B) = TRIM(A438)),
  """"
)"),"#REF!")</f>
        <v>#REF!</v>
      </c>
      <c r="Y438" s="4" t="str">
        <f t="shared" si="2"/>
        <v/>
      </c>
      <c r="Z438" s="4" t="str">
        <f>IFERROR(__xludf.DUMMYFUNCTION("IFERROR(
  FILTER('CBK Students'!O:O, TRIM('CBK Students'!B:B) = TRIM(A438)),
  """"
)"),"#REF!")</f>
        <v>#REF!</v>
      </c>
      <c r="AA438" s="4" t="str">
        <f>IFERROR(__xludf.DUMMYFUNCTION("IFERROR(
  FILTER('CBK Students'!P:P, TRIM('CBK Students'!B:B) = TRIM(A438)),
  """"
)"),"#REF!")</f>
        <v>#REF!</v>
      </c>
      <c r="AB438" s="4" t="str">
        <f>IFERROR(__xludf.DUMMYFUNCTION("IFERROR(
  FILTER('CBK Students'!Q:Q, TRIM('CBK Students'!B:B) = TRIM(A438)),
  """"
)"),"#REF!")</f>
        <v>#REF!</v>
      </c>
    </row>
    <row r="439" ht="18.75" customHeight="1">
      <c r="T439" s="240" t="str">
        <f>IFERROR(__xludf.DUMMYFUNCTION("IFERROR(
  FILTER('CBK Students'!F:F, TRIM('CBK Students'!B:B) = TRIM(A439)),
  """"
)"),"#REF!")</f>
        <v>#REF!</v>
      </c>
      <c r="U439" s="240" t="str">
        <f>IFERROR(__xludf.DUMMYFUNCTION("IFERROR(
  FILTER('CBK Students'!H:H, TRIM('CBK Students'!B:B) = TRIM(A439)),
  """"
)"),"#REF!")</f>
        <v>#REF!</v>
      </c>
      <c r="V439" s="240" t="str">
        <f>IFERROR(__xludf.DUMMYFUNCTION("IFERROR(
  FILTER('CBK Students'!M:M, TRIM('CBK Students'!B:B) = TRIM(A439)),
  """"
)"),"#REF!")</f>
        <v>#REF!</v>
      </c>
      <c r="W439" s="240" t="str">
        <f t="shared" si="1"/>
        <v/>
      </c>
      <c r="X439" s="240" t="str">
        <f>IFERROR(__xludf.DUMMYFUNCTION("IFERROR(
  FILTER('CBK Students'!R:R, TRIM('CBK Students'!B:B) = TRIM(A439)),
  """"
)"),"#REF!")</f>
        <v>#REF!</v>
      </c>
      <c r="Y439" s="4" t="str">
        <f t="shared" si="2"/>
        <v/>
      </c>
      <c r="Z439" s="4" t="str">
        <f>IFERROR(__xludf.DUMMYFUNCTION("IFERROR(
  FILTER('CBK Students'!O:O, TRIM('CBK Students'!B:B) = TRIM(A439)),
  """"
)"),"#REF!")</f>
        <v>#REF!</v>
      </c>
      <c r="AA439" s="4" t="str">
        <f>IFERROR(__xludf.DUMMYFUNCTION("IFERROR(
  FILTER('CBK Students'!P:P, TRIM('CBK Students'!B:B) = TRIM(A439)),
  """"
)"),"#REF!")</f>
        <v>#REF!</v>
      </c>
      <c r="AB439" s="4" t="str">
        <f>IFERROR(__xludf.DUMMYFUNCTION("IFERROR(
  FILTER('CBK Students'!Q:Q, TRIM('CBK Students'!B:B) = TRIM(A439)),
  """"
)"),"#REF!")</f>
        <v>#REF!</v>
      </c>
    </row>
    <row r="440" ht="18.75" customHeight="1">
      <c r="T440" s="240" t="str">
        <f>IFERROR(__xludf.DUMMYFUNCTION("IFERROR(
  FILTER('CBK Students'!F:F, TRIM('CBK Students'!B:B) = TRIM(A440)),
  """"
)"),"#REF!")</f>
        <v>#REF!</v>
      </c>
      <c r="U440" s="240" t="str">
        <f>IFERROR(__xludf.DUMMYFUNCTION("IFERROR(
  FILTER('CBK Students'!H:H, TRIM('CBK Students'!B:B) = TRIM(A440)),
  """"
)"),"#REF!")</f>
        <v>#REF!</v>
      </c>
      <c r="V440" s="240" t="str">
        <f>IFERROR(__xludf.DUMMYFUNCTION("IFERROR(
  FILTER('CBK Students'!M:M, TRIM('CBK Students'!B:B) = TRIM(A440)),
  """"
)"),"#REF!")</f>
        <v>#REF!</v>
      </c>
      <c r="W440" s="240" t="str">
        <f t="shared" si="1"/>
        <v/>
      </c>
      <c r="X440" s="240" t="str">
        <f>IFERROR(__xludf.DUMMYFUNCTION("IFERROR(
  FILTER('CBK Students'!R:R, TRIM('CBK Students'!B:B) = TRIM(A440)),
  """"
)"),"#REF!")</f>
        <v>#REF!</v>
      </c>
      <c r="Y440" s="4" t="str">
        <f t="shared" si="2"/>
        <v/>
      </c>
      <c r="Z440" s="4" t="str">
        <f>IFERROR(__xludf.DUMMYFUNCTION("IFERROR(
  FILTER('CBK Students'!O:O, TRIM('CBK Students'!B:B) = TRIM(A440)),
  """"
)"),"#REF!")</f>
        <v>#REF!</v>
      </c>
      <c r="AA440" s="4" t="str">
        <f>IFERROR(__xludf.DUMMYFUNCTION("IFERROR(
  FILTER('CBK Students'!P:P, TRIM('CBK Students'!B:B) = TRIM(A440)),
  """"
)"),"#REF!")</f>
        <v>#REF!</v>
      </c>
      <c r="AB440" s="4" t="str">
        <f>IFERROR(__xludf.DUMMYFUNCTION("IFERROR(
  FILTER('CBK Students'!Q:Q, TRIM('CBK Students'!B:B) = TRIM(A440)),
  """"
)"),"#REF!")</f>
        <v>#REF!</v>
      </c>
    </row>
    <row r="441" ht="18.75" customHeight="1">
      <c r="T441" s="240" t="str">
        <f>IFERROR(__xludf.DUMMYFUNCTION("IFERROR(
  FILTER('CBK Students'!F:F, TRIM('CBK Students'!B:B) = TRIM(A441)),
  """"
)"),"#REF!")</f>
        <v>#REF!</v>
      </c>
      <c r="U441" s="240" t="str">
        <f>IFERROR(__xludf.DUMMYFUNCTION("IFERROR(
  FILTER('CBK Students'!H:H, TRIM('CBK Students'!B:B) = TRIM(A441)),
  """"
)"),"#REF!")</f>
        <v>#REF!</v>
      </c>
      <c r="V441" s="240" t="str">
        <f>IFERROR(__xludf.DUMMYFUNCTION("IFERROR(
  FILTER('CBK Students'!M:M, TRIM('CBK Students'!B:B) = TRIM(A441)),
  """"
)"),"#REF!")</f>
        <v>#REF!</v>
      </c>
      <c r="W441" s="240" t="str">
        <f t="shared" si="1"/>
        <v/>
      </c>
      <c r="X441" s="240" t="str">
        <f>IFERROR(__xludf.DUMMYFUNCTION("IFERROR(
  FILTER('CBK Students'!R:R, TRIM('CBK Students'!B:B) = TRIM(A441)),
  """"
)"),"#REF!")</f>
        <v>#REF!</v>
      </c>
      <c r="Y441" s="4" t="str">
        <f t="shared" si="2"/>
        <v/>
      </c>
      <c r="Z441" s="4" t="str">
        <f>IFERROR(__xludf.DUMMYFUNCTION("IFERROR(
  FILTER('CBK Students'!O:O, TRIM('CBK Students'!B:B) = TRIM(A441)),
  """"
)"),"#REF!")</f>
        <v>#REF!</v>
      </c>
      <c r="AA441" s="4" t="str">
        <f>IFERROR(__xludf.DUMMYFUNCTION("IFERROR(
  FILTER('CBK Students'!P:P, TRIM('CBK Students'!B:B) = TRIM(A441)),
  """"
)"),"#REF!")</f>
        <v>#REF!</v>
      </c>
      <c r="AB441" s="4" t="str">
        <f>IFERROR(__xludf.DUMMYFUNCTION("IFERROR(
  FILTER('CBK Students'!Q:Q, TRIM('CBK Students'!B:B) = TRIM(A441)),
  """"
)"),"#REF!")</f>
        <v>#REF!</v>
      </c>
    </row>
    <row r="442" ht="18.75" customHeight="1">
      <c r="T442" s="240" t="str">
        <f>IFERROR(__xludf.DUMMYFUNCTION("IFERROR(
  FILTER('CBK Students'!F:F, TRIM('CBK Students'!B:B) = TRIM(A442)),
  """"
)"),"#REF!")</f>
        <v>#REF!</v>
      </c>
      <c r="U442" s="240" t="str">
        <f>IFERROR(__xludf.DUMMYFUNCTION("IFERROR(
  FILTER('CBK Students'!H:H, TRIM('CBK Students'!B:B) = TRIM(A442)),
  """"
)"),"#REF!")</f>
        <v>#REF!</v>
      </c>
      <c r="V442" s="240" t="str">
        <f>IFERROR(__xludf.DUMMYFUNCTION("IFERROR(
  FILTER('CBK Students'!M:M, TRIM('CBK Students'!B:B) = TRIM(A442)),
  """"
)"),"#REF!")</f>
        <v>#REF!</v>
      </c>
      <c r="W442" s="240" t="str">
        <f t="shared" si="1"/>
        <v/>
      </c>
      <c r="X442" s="240" t="str">
        <f>IFERROR(__xludf.DUMMYFUNCTION("IFERROR(
  FILTER('CBK Students'!R:R, TRIM('CBK Students'!B:B) = TRIM(A442)),
  """"
)"),"#REF!")</f>
        <v>#REF!</v>
      </c>
      <c r="Y442" s="4" t="str">
        <f t="shared" si="2"/>
        <v/>
      </c>
      <c r="Z442" s="4" t="str">
        <f>IFERROR(__xludf.DUMMYFUNCTION("IFERROR(
  FILTER('CBK Students'!O:O, TRIM('CBK Students'!B:B) = TRIM(A442)),
  """"
)"),"#REF!")</f>
        <v>#REF!</v>
      </c>
      <c r="AA442" s="4" t="str">
        <f>IFERROR(__xludf.DUMMYFUNCTION("IFERROR(
  FILTER('CBK Students'!P:P, TRIM('CBK Students'!B:B) = TRIM(A442)),
  """"
)"),"#REF!")</f>
        <v>#REF!</v>
      </c>
      <c r="AB442" s="4" t="str">
        <f>IFERROR(__xludf.DUMMYFUNCTION("IFERROR(
  FILTER('CBK Students'!Q:Q, TRIM('CBK Students'!B:B) = TRIM(A442)),
  """"
)"),"#REF!")</f>
        <v>#REF!</v>
      </c>
    </row>
    <row r="443" ht="18.75" customHeight="1">
      <c r="T443" s="240" t="str">
        <f>IFERROR(__xludf.DUMMYFUNCTION("IFERROR(
  FILTER('CBK Students'!F:F, TRIM('CBK Students'!B:B) = TRIM(A443)),
  """"
)"),"#REF!")</f>
        <v>#REF!</v>
      </c>
      <c r="U443" s="240" t="str">
        <f>IFERROR(__xludf.DUMMYFUNCTION("IFERROR(
  FILTER('CBK Students'!H:H, TRIM('CBK Students'!B:B) = TRIM(A443)),
  """"
)"),"#REF!")</f>
        <v>#REF!</v>
      </c>
      <c r="V443" s="240" t="str">
        <f>IFERROR(__xludf.DUMMYFUNCTION("IFERROR(
  FILTER('CBK Students'!M:M, TRIM('CBK Students'!B:B) = TRIM(A443)),
  """"
)"),"#REF!")</f>
        <v>#REF!</v>
      </c>
      <c r="W443" s="240" t="str">
        <f t="shared" si="1"/>
        <v/>
      </c>
      <c r="X443" s="240" t="str">
        <f>IFERROR(__xludf.DUMMYFUNCTION("IFERROR(
  FILTER('CBK Students'!R:R, TRIM('CBK Students'!B:B) = TRIM(A443)),
  """"
)"),"#REF!")</f>
        <v>#REF!</v>
      </c>
      <c r="Y443" s="4" t="str">
        <f t="shared" si="2"/>
        <v/>
      </c>
      <c r="Z443" s="4" t="str">
        <f>IFERROR(__xludf.DUMMYFUNCTION("IFERROR(
  FILTER('CBK Students'!O:O, TRIM('CBK Students'!B:B) = TRIM(A443)),
  """"
)"),"#REF!")</f>
        <v>#REF!</v>
      </c>
      <c r="AA443" s="4" t="str">
        <f>IFERROR(__xludf.DUMMYFUNCTION("IFERROR(
  FILTER('CBK Students'!P:P, TRIM('CBK Students'!B:B) = TRIM(A443)),
  """"
)"),"#REF!")</f>
        <v>#REF!</v>
      </c>
      <c r="AB443" s="4" t="str">
        <f>IFERROR(__xludf.DUMMYFUNCTION("IFERROR(
  FILTER('CBK Students'!Q:Q, TRIM('CBK Students'!B:B) = TRIM(A443)),
  """"
)"),"#REF!")</f>
        <v>#REF!</v>
      </c>
    </row>
    <row r="444" ht="18.75" customHeight="1">
      <c r="T444" s="240" t="str">
        <f>IFERROR(__xludf.DUMMYFUNCTION("IFERROR(
  FILTER('CBK Students'!F:F, TRIM('CBK Students'!B:B) = TRIM(A444)),
  """"
)"),"#REF!")</f>
        <v>#REF!</v>
      </c>
      <c r="U444" s="240" t="str">
        <f>IFERROR(__xludf.DUMMYFUNCTION("IFERROR(
  FILTER('CBK Students'!H:H, TRIM('CBK Students'!B:B) = TRIM(A444)),
  """"
)"),"#REF!")</f>
        <v>#REF!</v>
      </c>
      <c r="V444" s="240" t="str">
        <f>IFERROR(__xludf.DUMMYFUNCTION("IFERROR(
  FILTER('CBK Students'!M:M, TRIM('CBK Students'!B:B) = TRIM(A444)),
  """"
)"),"#REF!")</f>
        <v>#REF!</v>
      </c>
      <c r="W444" s="240" t="str">
        <f t="shared" si="1"/>
        <v/>
      </c>
      <c r="X444" s="240" t="str">
        <f>IFERROR(__xludf.DUMMYFUNCTION("IFERROR(
  FILTER('CBK Students'!R:R, TRIM('CBK Students'!B:B) = TRIM(A444)),
  """"
)"),"#REF!")</f>
        <v>#REF!</v>
      </c>
      <c r="Y444" s="4" t="str">
        <f t="shared" si="2"/>
        <v/>
      </c>
      <c r="Z444" s="4" t="str">
        <f>IFERROR(__xludf.DUMMYFUNCTION("IFERROR(
  FILTER('CBK Students'!O:O, TRIM('CBK Students'!B:B) = TRIM(A444)),
  """"
)"),"#REF!")</f>
        <v>#REF!</v>
      </c>
      <c r="AA444" s="4" t="str">
        <f>IFERROR(__xludf.DUMMYFUNCTION("IFERROR(
  FILTER('CBK Students'!P:P, TRIM('CBK Students'!B:B) = TRIM(A444)),
  """"
)"),"#REF!")</f>
        <v>#REF!</v>
      </c>
      <c r="AB444" s="4" t="str">
        <f>IFERROR(__xludf.DUMMYFUNCTION("IFERROR(
  FILTER('CBK Students'!Q:Q, TRIM('CBK Students'!B:B) = TRIM(A444)),
  """"
)"),"#REF!")</f>
        <v>#REF!</v>
      </c>
    </row>
    <row r="445" ht="18.75" customHeight="1">
      <c r="T445" s="240" t="str">
        <f>IFERROR(__xludf.DUMMYFUNCTION("IFERROR(
  FILTER('CBK Students'!F:F, TRIM('CBK Students'!B:B) = TRIM(A445)),
  """"
)"),"#REF!")</f>
        <v>#REF!</v>
      </c>
      <c r="U445" s="240" t="str">
        <f>IFERROR(__xludf.DUMMYFUNCTION("IFERROR(
  FILTER('CBK Students'!H:H, TRIM('CBK Students'!B:B) = TRIM(A445)),
  """"
)"),"#REF!")</f>
        <v>#REF!</v>
      </c>
      <c r="V445" s="240" t="str">
        <f>IFERROR(__xludf.DUMMYFUNCTION("IFERROR(
  FILTER('CBK Students'!M:M, TRIM('CBK Students'!B:B) = TRIM(A445)),
  """"
)"),"#REF!")</f>
        <v>#REF!</v>
      </c>
      <c r="W445" s="240" t="str">
        <f t="shared" si="1"/>
        <v/>
      </c>
      <c r="X445" s="240" t="str">
        <f>IFERROR(__xludf.DUMMYFUNCTION("IFERROR(
  FILTER('CBK Students'!R:R, TRIM('CBK Students'!B:B) = TRIM(A445)),
  """"
)"),"#REF!")</f>
        <v>#REF!</v>
      </c>
      <c r="Y445" s="4" t="str">
        <f t="shared" si="2"/>
        <v/>
      </c>
      <c r="Z445" s="4" t="str">
        <f>IFERROR(__xludf.DUMMYFUNCTION("IFERROR(
  FILTER('CBK Students'!O:O, TRIM('CBK Students'!B:B) = TRIM(A445)),
  """"
)"),"#REF!")</f>
        <v>#REF!</v>
      </c>
      <c r="AA445" s="4" t="str">
        <f>IFERROR(__xludf.DUMMYFUNCTION("IFERROR(
  FILTER('CBK Students'!P:P, TRIM('CBK Students'!B:B) = TRIM(A445)),
  """"
)"),"#REF!")</f>
        <v>#REF!</v>
      </c>
      <c r="AB445" s="4" t="str">
        <f>IFERROR(__xludf.DUMMYFUNCTION("IFERROR(
  FILTER('CBK Students'!Q:Q, TRIM('CBK Students'!B:B) = TRIM(A445)),
  """"
)"),"#REF!")</f>
        <v>#REF!</v>
      </c>
    </row>
    <row r="446" ht="18.75" customHeight="1">
      <c r="T446" s="240" t="str">
        <f>IFERROR(__xludf.DUMMYFUNCTION("IFERROR(
  FILTER('CBK Students'!F:F, TRIM('CBK Students'!B:B) = TRIM(A446)),
  """"
)"),"#REF!")</f>
        <v>#REF!</v>
      </c>
      <c r="U446" s="240" t="str">
        <f>IFERROR(__xludf.DUMMYFUNCTION("IFERROR(
  FILTER('CBK Students'!H:H, TRIM('CBK Students'!B:B) = TRIM(A446)),
  """"
)"),"#REF!")</f>
        <v>#REF!</v>
      </c>
      <c r="V446" s="240" t="str">
        <f>IFERROR(__xludf.DUMMYFUNCTION("IFERROR(
  FILTER('CBK Students'!M:M, TRIM('CBK Students'!B:B) = TRIM(A446)),
  """"
)"),"#REF!")</f>
        <v>#REF!</v>
      </c>
      <c r="W446" s="240" t="str">
        <f t="shared" si="1"/>
        <v/>
      </c>
      <c r="X446" s="240" t="str">
        <f>IFERROR(__xludf.DUMMYFUNCTION("IFERROR(
  FILTER('CBK Students'!R:R, TRIM('CBK Students'!B:B) = TRIM(A446)),
  """"
)"),"#REF!")</f>
        <v>#REF!</v>
      </c>
      <c r="Y446" s="4" t="str">
        <f t="shared" si="2"/>
        <v/>
      </c>
      <c r="Z446" s="4" t="str">
        <f>IFERROR(__xludf.DUMMYFUNCTION("IFERROR(
  FILTER('CBK Students'!O:O, TRIM('CBK Students'!B:B) = TRIM(A446)),
  """"
)"),"#REF!")</f>
        <v>#REF!</v>
      </c>
      <c r="AA446" s="4" t="str">
        <f>IFERROR(__xludf.DUMMYFUNCTION("IFERROR(
  FILTER('CBK Students'!P:P, TRIM('CBK Students'!B:B) = TRIM(A446)),
  """"
)"),"#REF!")</f>
        <v>#REF!</v>
      </c>
      <c r="AB446" s="4" t="str">
        <f>IFERROR(__xludf.DUMMYFUNCTION("IFERROR(
  FILTER('CBK Students'!Q:Q, TRIM('CBK Students'!B:B) = TRIM(A446)),
  """"
)"),"#REF!")</f>
        <v>#REF!</v>
      </c>
    </row>
    <row r="447" ht="18.75" customHeight="1">
      <c r="T447" s="240" t="str">
        <f>IFERROR(__xludf.DUMMYFUNCTION("IFERROR(
  FILTER('CBK Students'!F:F, TRIM('CBK Students'!B:B) = TRIM(A447)),
  """"
)"),"#REF!")</f>
        <v>#REF!</v>
      </c>
      <c r="U447" s="240" t="str">
        <f>IFERROR(__xludf.DUMMYFUNCTION("IFERROR(
  FILTER('CBK Students'!H:H, TRIM('CBK Students'!B:B) = TRIM(A447)),
  """"
)"),"#REF!")</f>
        <v>#REF!</v>
      </c>
      <c r="V447" s="240" t="str">
        <f>IFERROR(__xludf.DUMMYFUNCTION("IFERROR(
  FILTER('CBK Students'!M:M, TRIM('CBK Students'!B:B) = TRIM(A447)),
  """"
)"),"#REF!")</f>
        <v>#REF!</v>
      </c>
      <c r="W447" s="240" t="str">
        <f t="shared" si="1"/>
        <v/>
      </c>
      <c r="X447" s="240" t="str">
        <f>IFERROR(__xludf.DUMMYFUNCTION("IFERROR(
  FILTER('CBK Students'!R:R, TRIM('CBK Students'!B:B) = TRIM(A447)),
  """"
)"),"#REF!")</f>
        <v>#REF!</v>
      </c>
      <c r="Y447" s="4" t="str">
        <f t="shared" si="2"/>
        <v/>
      </c>
      <c r="Z447" s="4" t="str">
        <f>IFERROR(__xludf.DUMMYFUNCTION("IFERROR(
  FILTER('CBK Students'!O:O, TRIM('CBK Students'!B:B) = TRIM(A447)),
  """"
)"),"#REF!")</f>
        <v>#REF!</v>
      </c>
      <c r="AA447" s="4" t="str">
        <f>IFERROR(__xludf.DUMMYFUNCTION("IFERROR(
  FILTER('CBK Students'!P:P, TRIM('CBK Students'!B:B) = TRIM(A447)),
  """"
)"),"#REF!")</f>
        <v>#REF!</v>
      </c>
      <c r="AB447" s="4" t="str">
        <f>IFERROR(__xludf.DUMMYFUNCTION("IFERROR(
  FILTER('CBK Students'!Q:Q, TRIM('CBK Students'!B:B) = TRIM(A447)),
  """"
)"),"#REF!")</f>
        <v>#REF!</v>
      </c>
    </row>
    <row r="448" ht="18.75" customHeight="1">
      <c r="T448" s="240" t="str">
        <f>IFERROR(__xludf.DUMMYFUNCTION("IFERROR(
  FILTER('CBK Students'!F:F, TRIM('CBK Students'!B:B) = TRIM(A448)),
  """"
)"),"#REF!")</f>
        <v>#REF!</v>
      </c>
      <c r="U448" s="240" t="str">
        <f>IFERROR(__xludf.DUMMYFUNCTION("IFERROR(
  FILTER('CBK Students'!H:H, TRIM('CBK Students'!B:B) = TRIM(A448)),
  """"
)"),"#REF!")</f>
        <v>#REF!</v>
      </c>
      <c r="V448" s="240" t="str">
        <f>IFERROR(__xludf.DUMMYFUNCTION("IFERROR(
  FILTER('CBK Students'!M:M, TRIM('CBK Students'!B:B) = TRIM(A448)),
  """"
)"),"#REF!")</f>
        <v>#REF!</v>
      </c>
      <c r="W448" s="240" t="str">
        <f t="shared" si="1"/>
        <v/>
      </c>
      <c r="X448" s="240" t="str">
        <f>IFERROR(__xludf.DUMMYFUNCTION("IFERROR(
  FILTER('CBK Students'!R:R, TRIM('CBK Students'!B:B) = TRIM(A448)),
  """"
)"),"#REF!")</f>
        <v>#REF!</v>
      </c>
      <c r="Y448" s="4" t="str">
        <f t="shared" si="2"/>
        <v/>
      </c>
      <c r="Z448" s="4" t="str">
        <f>IFERROR(__xludf.DUMMYFUNCTION("IFERROR(
  FILTER('CBK Students'!O:O, TRIM('CBK Students'!B:B) = TRIM(A448)),
  """"
)"),"#REF!")</f>
        <v>#REF!</v>
      </c>
      <c r="AA448" s="4" t="str">
        <f>IFERROR(__xludf.DUMMYFUNCTION("IFERROR(
  FILTER('CBK Students'!P:P, TRIM('CBK Students'!B:B) = TRIM(A448)),
  """"
)"),"#REF!")</f>
        <v>#REF!</v>
      </c>
      <c r="AB448" s="4" t="str">
        <f>IFERROR(__xludf.DUMMYFUNCTION("IFERROR(
  FILTER('CBK Students'!Q:Q, TRIM('CBK Students'!B:B) = TRIM(A448)),
  """"
)"),"#REF!")</f>
        <v>#REF!</v>
      </c>
    </row>
    <row r="449" ht="18.75" customHeight="1">
      <c r="T449" s="240" t="str">
        <f>IFERROR(__xludf.DUMMYFUNCTION("IFERROR(
  FILTER('CBK Students'!F:F, TRIM('CBK Students'!B:B) = TRIM(A449)),
  """"
)"),"#REF!")</f>
        <v>#REF!</v>
      </c>
      <c r="U449" s="240" t="str">
        <f>IFERROR(__xludf.DUMMYFUNCTION("IFERROR(
  FILTER('CBK Students'!H:H, TRIM('CBK Students'!B:B) = TRIM(A449)),
  """"
)"),"#REF!")</f>
        <v>#REF!</v>
      </c>
      <c r="V449" s="240" t="str">
        <f>IFERROR(__xludf.DUMMYFUNCTION("IFERROR(
  FILTER('CBK Students'!M:M, TRIM('CBK Students'!B:B) = TRIM(A449)),
  """"
)"),"#REF!")</f>
        <v>#REF!</v>
      </c>
      <c r="W449" s="240" t="str">
        <f t="shared" si="1"/>
        <v/>
      </c>
      <c r="X449" s="240" t="str">
        <f>IFERROR(__xludf.DUMMYFUNCTION("IFERROR(
  FILTER('CBK Students'!R:R, TRIM('CBK Students'!B:B) = TRIM(A449)),
  """"
)"),"#REF!")</f>
        <v>#REF!</v>
      </c>
      <c r="Y449" s="4" t="str">
        <f t="shared" si="2"/>
        <v/>
      </c>
      <c r="Z449" s="4" t="str">
        <f>IFERROR(__xludf.DUMMYFUNCTION("IFERROR(
  FILTER('CBK Students'!O:O, TRIM('CBK Students'!B:B) = TRIM(A449)),
  """"
)"),"#REF!")</f>
        <v>#REF!</v>
      </c>
      <c r="AA449" s="4" t="str">
        <f>IFERROR(__xludf.DUMMYFUNCTION("IFERROR(
  FILTER('CBK Students'!P:P, TRIM('CBK Students'!B:B) = TRIM(A449)),
  """"
)"),"#REF!")</f>
        <v>#REF!</v>
      </c>
      <c r="AB449" s="4" t="str">
        <f>IFERROR(__xludf.DUMMYFUNCTION("IFERROR(
  FILTER('CBK Students'!Q:Q, TRIM('CBK Students'!B:B) = TRIM(A449)),
  """"
)"),"#REF!")</f>
        <v>#REF!</v>
      </c>
    </row>
    <row r="450" ht="18.75" customHeight="1">
      <c r="T450" s="240" t="str">
        <f>IFERROR(__xludf.DUMMYFUNCTION("IFERROR(
  FILTER('CBK Students'!F:F, TRIM('CBK Students'!B:B) = TRIM(A450)),
  """"
)"),"#REF!")</f>
        <v>#REF!</v>
      </c>
      <c r="U450" s="240" t="str">
        <f>IFERROR(__xludf.DUMMYFUNCTION("IFERROR(
  FILTER('CBK Students'!H:H, TRIM('CBK Students'!B:B) = TRIM(A450)),
  """"
)"),"#REF!")</f>
        <v>#REF!</v>
      </c>
      <c r="V450" s="240" t="str">
        <f>IFERROR(__xludf.DUMMYFUNCTION("IFERROR(
  FILTER('CBK Students'!M:M, TRIM('CBK Students'!B:B) = TRIM(A450)),
  """"
)"),"#REF!")</f>
        <v>#REF!</v>
      </c>
      <c r="W450" s="240" t="str">
        <f t="shared" si="1"/>
        <v/>
      </c>
      <c r="X450" s="240" t="str">
        <f>IFERROR(__xludf.DUMMYFUNCTION("IFERROR(
  FILTER('CBK Students'!R:R, TRIM('CBK Students'!B:B) = TRIM(A450)),
  """"
)"),"#REF!")</f>
        <v>#REF!</v>
      </c>
      <c r="Y450" s="4" t="str">
        <f t="shared" si="2"/>
        <v/>
      </c>
      <c r="Z450" s="4" t="str">
        <f>IFERROR(__xludf.DUMMYFUNCTION("IFERROR(
  FILTER('CBK Students'!O:O, TRIM('CBK Students'!B:B) = TRIM(A450)),
  """"
)"),"#REF!")</f>
        <v>#REF!</v>
      </c>
      <c r="AA450" s="4" t="str">
        <f>IFERROR(__xludf.DUMMYFUNCTION("IFERROR(
  FILTER('CBK Students'!P:P, TRIM('CBK Students'!B:B) = TRIM(A450)),
  """"
)"),"#REF!")</f>
        <v>#REF!</v>
      </c>
      <c r="AB450" s="4" t="str">
        <f>IFERROR(__xludf.DUMMYFUNCTION("IFERROR(
  FILTER('CBK Students'!Q:Q, TRIM('CBK Students'!B:B) = TRIM(A450)),
  """"
)"),"#REF!")</f>
        <v>#REF!</v>
      </c>
    </row>
    <row r="451" ht="18.75" customHeight="1">
      <c r="T451" s="240" t="str">
        <f>IFERROR(__xludf.DUMMYFUNCTION("IFERROR(
  FILTER('CBK Students'!F:F, TRIM('CBK Students'!B:B) = TRIM(A451)),
  """"
)"),"#REF!")</f>
        <v>#REF!</v>
      </c>
      <c r="U451" s="240" t="str">
        <f>IFERROR(__xludf.DUMMYFUNCTION("IFERROR(
  FILTER('CBK Students'!H:H, TRIM('CBK Students'!B:B) = TRIM(A451)),
  """"
)"),"#REF!")</f>
        <v>#REF!</v>
      </c>
      <c r="V451" s="240" t="str">
        <f>IFERROR(__xludf.DUMMYFUNCTION("IFERROR(
  FILTER('CBK Students'!M:M, TRIM('CBK Students'!B:B) = TRIM(A451)),
  """"
)"),"#REF!")</f>
        <v>#REF!</v>
      </c>
      <c r="W451" s="240" t="str">
        <f t="shared" si="1"/>
        <v/>
      </c>
      <c r="X451" s="240" t="str">
        <f>IFERROR(__xludf.DUMMYFUNCTION("IFERROR(
  FILTER('CBK Students'!R:R, TRIM('CBK Students'!B:B) = TRIM(A451)),
  """"
)"),"#REF!")</f>
        <v>#REF!</v>
      </c>
      <c r="Y451" s="4" t="str">
        <f t="shared" si="2"/>
        <v/>
      </c>
      <c r="Z451" s="4" t="str">
        <f>IFERROR(__xludf.DUMMYFUNCTION("IFERROR(
  FILTER('CBK Students'!O:O, TRIM('CBK Students'!B:B) = TRIM(A451)),
  """"
)"),"#REF!")</f>
        <v>#REF!</v>
      </c>
      <c r="AA451" s="4" t="str">
        <f>IFERROR(__xludf.DUMMYFUNCTION("IFERROR(
  FILTER('CBK Students'!P:P, TRIM('CBK Students'!B:B) = TRIM(A451)),
  """"
)"),"#REF!")</f>
        <v>#REF!</v>
      </c>
      <c r="AB451" s="4" t="str">
        <f>IFERROR(__xludf.DUMMYFUNCTION("IFERROR(
  FILTER('CBK Students'!Q:Q, TRIM('CBK Students'!B:B) = TRIM(A451)),
  """"
)"),"#REF!")</f>
        <v>#REF!</v>
      </c>
    </row>
    <row r="452" ht="18.75" customHeight="1">
      <c r="T452" s="240" t="str">
        <f>IFERROR(__xludf.DUMMYFUNCTION("IFERROR(
  FILTER('CBK Students'!F:F, TRIM('CBK Students'!B:B) = TRIM(A452)),
  """"
)"),"#REF!")</f>
        <v>#REF!</v>
      </c>
      <c r="U452" s="240" t="str">
        <f>IFERROR(__xludf.DUMMYFUNCTION("IFERROR(
  FILTER('CBK Students'!H:H, TRIM('CBK Students'!B:B) = TRIM(A452)),
  """"
)"),"#REF!")</f>
        <v>#REF!</v>
      </c>
      <c r="V452" s="240" t="str">
        <f>IFERROR(__xludf.DUMMYFUNCTION("IFERROR(
  FILTER('CBK Students'!M:M, TRIM('CBK Students'!B:B) = TRIM(A452)),
  """"
)"),"#REF!")</f>
        <v>#REF!</v>
      </c>
      <c r="W452" s="240" t="str">
        <f t="shared" si="1"/>
        <v/>
      </c>
      <c r="X452" s="240" t="str">
        <f>IFERROR(__xludf.DUMMYFUNCTION("IFERROR(
  FILTER('CBK Students'!R:R, TRIM('CBK Students'!B:B) = TRIM(A452)),
  """"
)"),"#REF!")</f>
        <v>#REF!</v>
      </c>
      <c r="Y452" s="4" t="str">
        <f t="shared" si="2"/>
        <v/>
      </c>
      <c r="Z452" s="4" t="str">
        <f>IFERROR(__xludf.DUMMYFUNCTION("IFERROR(
  FILTER('CBK Students'!O:O, TRIM('CBK Students'!B:B) = TRIM(A452)),
  """"
)"),"#REF!")</f>
        <v>#REF!</v>
      </c>
      <c r="AA452" s="4" t="str">
        <f>IFERROR(__xludf.DUMMYFUNCTION("IFERROR(
  FILTER('CBK Students'!P:P, TRIM('CBK Students'!B:B) = TRIM(A452)),
  """"
)"),"#REF!")</f>
        <v>#REF!</v>
      </c>
      <c r="AB452" s="4" t="str">
        <f>IFERROR(__xludf.DUMMYFUNCTION("IFERROR(
  FILTER('CBK Students'!Q:Q, TRIM('CBK Students'!B:B) = TRIM(A452)),
  """"
)"),"#REF!")</f>
        <v>#REF!</v>
      </c>
    </row>
    <row r="453" ht="18.75" customHeight="1">
      <c r="T453" s="240" t="str">
        <f>IFERROR(__xludf.DUMMYFUNCTION("IFERROR(
  FILTER('CBK Students'!F:F, TRIM('CBK Students'!B:B) = TRIM(A453)),
  """"
)"),"#REF!")</f>
        <v>#REF!</v>
      </c>
      <c r="U453" s="240" t="str">
        <f>IFERROR(__xludf.DUMMYFUNCTION("IFERROR(
  FILTER('CBK Students'!H:H, TRIM('CBK Students'!B:B) = TRIM(A453)),
  """"
)"),"#REF!")</f>
        <v>#REF!</v>
      </c>
      <c r="V453" s="240" t="str">
        <f>IFERROR(__xludf.DUMMYFUNCTION("IFERROR(
  FILTER('CBK Students'!M:M, TRIM('CBK Students'!B:B) = TRIM(A453)),
  """"
)"),"#REF!")</f>
        <v>#REF!</v>
      </c>
      <c r="W453" s="240" t="str">
        <f t="shared" si="1"/>
        <v/>
      </c>
      <c r="X453" s="240" t="str">
        <f>IFERROR(__xludf.DUMMYFUNCTION("IFERROR(
  FILTER('CBK Students'!R:R, TRIM('CBK Students'!B:B) = TRIM(A453)),
  """"
)"),"#REF!")</f>
        <v>#REF!</v>
      </c>
      <c r="Y453" s="4" t="str">
        <f t="shared" si="2"/>
        <v/>
      </c>
      <c r="Z453" s="4" t="str">
        <f>IFERROR(__xludf.DUMMYFUNCTION("IFERROR(
  FILTER('CBK Students'!O:O, TRIM('CBK Students'!B:B) = TRIM(A453)),
  """"
)"),"#REF!")</f>
        <v>#REF!</v>
      </c>
      <c r="AA453" s="4" t="str">
        <f>IFERROR(__xludf.DUMMYFUNCTION("IFERROR(
  FILTER('CBK Students'!P:P, TRIM('CBK Students'!B:B) = TRIM(A453)),
  """"
)"),"#REF!")</f>
        <v>#REF!</v>
      </c>
      <c r="AB453" s="4" t="str">
        <f>IFERROR(__xludf.DUMMYFUNCTION("IFERROR(
  FILTER('CBK Students'!Q:Q, TRIM('CBK Students'!B:B) = TRIM(A453)),
  """"
)"),"#REF!")</f>
        <v>#REF!</v>
      </c>
    </row>
    <row r="454" ht="18.75" customHeight="1">
      <c r="T454" s="240" t="str">
        <f>IFERROR(__xludf.DUMMYFUNCTION("IFERROR(
  FILTER('CBK Students'!F:F, TRIM('CBK Students'!B:B) = TRIM(A454)),
  """"
)"),"#REF!")</f>
        <v>#REF!</v>
      </c>
      <c r="U454" s="240" t="str">
        <f>IFERROR(__xludf.DUMMYFUNCTION("IFERROR(
  FILTER('CBK Students'!H:H, TRIM('CBK Students'!B:B) = TRIM(A454)),
  """"
)"),"#REF!")</f>
        <v>#REF!</v>
      </c>
      <c r="V454" s="240" t="str">
        <f>IFERROR(__xludf.DUMMYFUNCTION("IFERROR(
  FILTER('CBK Students'!M:M, TRIM('CBK Students'!B:B) = TRIM(A454)),
  """"
)"),"#REF!")</f>
        <v>#REF!</v>
      </c>
      <c r="W454" s="240" t="str">
        <f t="shared" si="1"/>
        <v/>
      </c>
      <c r="X454" s="240" t="str">
        <f>IFERROR(__xludf.DUMMYFUNCTION("IFERROR(
  FILTER('CBK Students'!R:R, TRIM('CBK Students'!B:B) = TRIM(A454)),
  """"
)"),"#REF!")</f>
        <v>#REF!</v>
      </c>
      <c r="Y454" s="4" t="str">
        <f t="shared" si="2"/>
        <v/>
      </c>
      <c r="Z454" s="4" t="str">
        <f>IFERROR(__xludf.DUMMYFUNCTION("IFERROR(
  FILTER('CBK Students'!O:O, TRIM('CBK Students'!B:B) = TRIM(A454)),
  """"
)"),"#REF!")</f>
        <v>#REF!</v>
      </c>
      <c r="AA454" s="4" t="str">
        <f>IFERROR(__xludf.DUMMYFUNCTION("IFERROR(
  FILTER('CBK Students'!P:P, TRIM('CBK Students'!B:B) = TRIM(A454)),
  """"
)"),"#REF!")</f>
        <v>#REF!</v>
      </c>
      <c r="AB454" s="4" t="str">
        <f>IFERROR(__xludf.DUMMYFUNCTION("IFERROR(
  FILTER('CBK Students'!Q:Q, TRIM('CBK Students'!B:B) = TRIM(A454)),
  """"
)"),"#REF!")</f>
        <v>#REF!</v>
      </c>
    </row>
    <row r="455" ht="18.75" customHeight="1">
      <c r="T455" s="240" t="str">
        <f>IFERROR(__xludf.DUMMYFUNCTION("IFERROR(
  FILTER('CBK Students'!F:F, TRIM('CBK Students'!B:B) = TRIM(A455)),
  """"
)"),"#REF!")</f>
        <v>#REF!</v>
      </c>
      <c r="U455" s="240" t="str">
        <f>IFERROR(__xludf.DUMMYFUNCTION("IFERROR(
  FILTER('CBK Students'!H:H, TRIM('CBK Students'!B:B) = TRIM(A455)),
  """"
)"),"#REF!")</f>
        <v>#REF!</v>
      </c>
      <c r="V455" s="240" t="str">
        <f>IFERROR(__xludf.DUMMYFUNCTION("IFERROR(
  FILTER('CBK Students'!M:M, TRIM('CBK Students'!B:B) = TRIM(A455)),
  """"
)"),"#REF!")</f>
        <v>#REF!</v>
      </c>
      <c r="W455" s="240" t="str">
        <f t="shared" si="1"/>
        <v/>
      </c>
      <c r="X455" s="240" t="str">
        <f>IFERROR(__xludf.DUMMYFUNCTION("IFERROR(
  FILTER('CBK Students'!R:R, TRIM('CBK Students'!B:B) = TRIM(A455)),
  """"
)"),"#REF!")</f>
        <v>#REF!</v>
      </c>
      <c r="Y455" s="4" t="str">
        <f t="shared" si="2"/>
        <v/>
      </c>
      <c r="Z455" s="4" t="str">
        <f>IFERROR(__xludf.DUMMYFUNCTION("IFERROR(
  FILTER('CBK Students'!O:O, TRIM('CBK Students'!B:B) = TRIM(A455)),
  """"
)"),"#REF!")</f>
        <v>#REF!</v>
      </c>
      <c r="AA455" s="4" t="str">
        <f>IFERROR(__xludf.DUMMYFUNCTION("IFERROR(
  FILTER('CBK Students'!P:P, TRIM('CBK Students'!B:B) = TRIM(A455)),
  """"
)"),"#REF!")</f>
        <v>#REF!</v>
      </c>
      <c r="AB455" s="4" t="str">
        <f>IFERROR(__xludf.DUMMYFUNCTION("IFERROR(
  FILTER('CBK Students'!Q:Q, TRIM('CBK Students'!B:B) = TRIM(A455)),
  """"
)"),"#REF!")</f>
        <v>#REF!</v>
      </c>
    </row>
    <row r="456" ht="18.75" customHeight="1">
      <c r="T456" s="240" t="str">
        <f>IFERROR(__xludf.DUMMYFUNCTION("IFERROR(
  FILTER('CBK Students'!F:F, TRIM('CBK Students'!B:B) = TRIM(A456)),
  """"
)"),"#REF!")</f>
        <v>#REF!</v>
      </c>
      <c r="U456" s="240" t="str">
        <f>IFERROR(__xludf.DUMMYFUNCTION("IFERROR(
  FILTER('CBK Students'!H:H, TRIM('CBK Students'!B:B) = TRIM(A456)),
  """"
)"),"#REF!")</f>
        <v>#REF!</v>
      </c>
      <c r="V456" s="240" t="str">
        <f>IFERROR(__xludf.DUMMYFUNCTION("IFERROR(
  FILTER('CBK Students'!M:M, TRIM('CBK Students'!B:B) = TRIM(A456)),
  """"
)"),"#REF!")</f>
        <v>#REF!</v>
      </c>
      <c r="W456" s="240" t="str">
        <f t="shared" si="1"/>
        <v/>
      </c>
      <c r="X456" s="240" t="str">
        <f>IFERROR(__xludf.DUMMYFUNCTION("IFERROR(
  FILTER('CBK Students'!R:R, TRIM('CBK Students'!B:B) = TRIM(A456)),
  """"
)"),"#REF!")</f>
        <v>#REF!</v>
      </c>
      <c r="Y456" s="4" t="str">
        <f t="shared" si="2"/>
        <v/>
      </c>
      <c r="Z456" s="4" t="str">
        <f>IFERROR(__xludf.DUMMYFUNCTION("IFERROR(
  FILTER('CBK Students'!O:O, TRIM('CBK Students'!B:B) = TRIM(A456)),
  """"
)"),"#REF!")</f>
        <v>#REF!</v>
      </c>
      <c r="AA456" s="4" t="str">
        <f>IFERROR(__xludf.DUMMYFUNCTION("IFERROR(
  FILTER('CBK Students'!P:P, TRIM('CBK Students'!B:B) = TRIM(A456)),
  """"
)"),"#REF!")</f>
        <v>#REF!</v>
      </c>
      <c r="AB456" s="4" t="str">
        <f>IFERROR(__xludf.DUMMYFUNCTION("IFERROR(
  FILTER('CBK Students'!Q:Q, TRIM('CBK Students'!B:B) = TRIM(A456)),
  """"
)"),"#REF!")</f>
        <v>#REF!</v>
      </c>
    </row>
    <row r="457" ht="18.75" customHeight="1">
      <c r="T457" s="240" t="str">
        <f>IFERROR(__xludf.DUMMYFUNCTION("IFERROR(
  FILTER('CBK Students'!F:F, TRIM('CBK Students'!B:B) = TRIM(A457)),
  """"
)"),"#REF!")</f>
        <v>#REF!</v>
      </c>
      <c r="U457" s="240" t="str">
        <f>IFERROR(__xludf.DUMMYFUNCTION("IFERROR(
  FILTER('CBK Students'!H:H, TRIM('CBK Students'!B:B) = TRIM(A457)),
  """"
)"),"#REF!")</f>
        <v>#REF!</v>
      </c>
      <c r="V457" s="240" t="str">
        <f>IFERROR(__xludf.DUMMYFUNCTION("IFERROR(
  FILTER('CBK Students'!M:M, TRIM('CBK Students'!B:B) = TRIM(A457)),
  """"
)"),"#REF!")</f>
        <v>#REF!</v>
      </c>
      <c r="W457" s="240" t="str">
        <f t="shared" si="1"/>
        <v/>
      </c>
      <c r="X457" s="240" t="str">
        <f>IFERROR(__xludf.DUMMYFUNCTION("IFERROR(
  FILTER('CBK Students'!R:R, TRIM('CBK Students'!B:B) = TRIM(A457)),
  """"
)"),"#REF!")</f>
        <v>#REF!</v>
      </c>
      <c r="Y457" s="4" t="str">
        <f t="shared" si="2"/>
        <v/>
      </c>
      <c r="Z457" s="4" t="str">
        <f>IFERROR(__xludf.DUMMYFUNCTION("IFERROR(
  FILTER('CBK Students'!O:O, TRIM('CBK Students'!B:B) = TRIM(A457)),
  """"
)"),"#REF!")</f>
        <v>#REF!</v>
      </c>
      <c r="AA457" s="4" t="str">
        <f>IFERROR(__xludf.DUMMYFUNCTION("IFERROR(
  FILTER('CBK Students'!P:P, TRIM('CBK Students'!B:B) = TRIM(A457)),
  """"
)"),"#REF!")</f>
        <v>#REF!</v>
      </c>
      <c r="AB457" s="4" t="str">
        <f>IFERROR(__xludf.DUMMYFUNCTION("IFERROR(
  FILTER('CBK Students'!Q:Q, TRIM('CBK Students'!B:B) = TRIM(A457)),
  """"
)"),"#REF!")</f>
        <v>#REF!</v>
      </c>
    </row>
    <row r="458" ht="18.75" customHeight="1">
      <c r="T458" s="240" t="str">
        <f>IFERROR(__xludf.DUMMYFUNCTION("IFERROR(
  FILTER('CBK Students'!F:F, TRIM('CBK Students'!B:B) = TRIM(A458)),
  """"
)"),"#REF!")</f>
        <v>#REF!</v>
      </c>
      <c r="U458" s="240" t="str">
        <f>IFERROR(__xludf.DUMMYFUNCTION("IFERROR(
  FILTER('CBK Students'!H:H, TRIM('CBK Students'!B:B) = TRIM(A458)),
  """"
)"),"#REF!")</f>
        <v>#REF!</v>
      </c>
      <c r="V458" s="240" t="str">
        <f>IFERROR(__xludf.DUMMYFUNCTION("IFERROR(
  FILTER('CBK Students'!M:M, TRIM('CBK Students'!B:B) = TRIM(A458)),
  """"
)"),"#REF!")</f>
        <v>#REF!</v>
      </c>
      <c r="W458" s="240" t="str">
        <f t="shared" si="1"/>
        <v/>
      </c>
      <c r="X458" s="240" t="str">
        <f>IFERROR(__xludf.DUMMYFUNCTION("IFERROR(
  FILTER('CBK Students'!R:R, TRIM('CBK Students'!B:B) = TRIM(A458)),
  """"
)"),"#REF!")</f>
        <v>#REF!</v>
      </c>
      <c r="Y458" s="4" t="str">
        <f t="shared" si="2"/>
        <v/>
      </c>
      <c r="Z458" s="4" t="str">
        <f>IFERROR(__xludf.DUMMYFUNCTION("IFERROR(
  FILTER('CBK Students'!O:O, TRIM('CBK Students'!B:B) = TRIM(A458)),
  """"
)"),"#REF!")</f>
        <v>#REF!</v>
      </c>
      <c r="AA458" s="4" t="str">
        <f>IFERROR(__xludf.DUMMYFUNCTION("IFERROR(
  FILTER('CBK Students'!P:P, TRIM('CBK Students'!B:B) = TRIM(A458)),
  """"
)"),"#REF!")</f>
        <v>#REF!</v>
      </c>
      <c r="AB458" s="4" t="str">
        <f>IFERROR(__xludf.DUMMYFUNCTION("IFERROR(
  FILTER('CBK Students'!Q:Q, TRIM('CBK Students'!B:B) = TRIM(A458)),
  """"
)"),"#REF!")</f>
        <v>#REF!</v>
      </c>
    </row>
    <row r="459" ht="18.75" customHeight="1">
      <c r="T459" s="240" t="str">
        <f>IFERROR(__xludf.DUMMYFUNCTION("IFERROR(
  FILTER('CBK Students'!F:F, TRIM('CBK Students'!B:B) = TRIM(A459)),
  """"
)"),"#REF!")</f>
        <v>#REF!</v>
      </c>
      <c r="U459" s="240" t="str">
        <f>IFERROR(__xludf.DUMMYFUNCTION("IFERROR(
  FILTER('CBK Students'!H:H, TRIM('CBK Students'!B:B) = TRIM(A459)),
  """"
)"),"#REF!")</f>
        <v>#REF!</v>
      </c>
      <c r="V459" s="240" t="str">
        <f>IFERROR(__xludf.DUMMYFUNCTION("IFERROR(
  FILTER('CBK Students'!M:M, TRIM('CBK Students'!B:B) = TRIM(A459)),
  """"
)"),"#REF!")</f>
        <v>#REF!</v>
      </c>
      <c r="W459" s="240" t="str">
        <f t="shared" si="1"/>
        <v/>
      </c>
      <c r="X459" s="240" t="str">
        <f>IFERROR(__xludf.DUMMYFUNCTION("IFERROR(
  FILTER('CBK Students'!R:R, TRIM('CBK Students'!B:B) = TRIM(A459)),
  """"
)"),"#REF!")</f>
        <v>#REF!</v>
      </c>
      <c r="Y459" s="4" t="str">
        <f t="shared" si="2"/>
        <v/>
      </c>
      <c r="Z459" s="4" t="str">
        <f>IFERROR(__xludf.DUMMYFUNCTION("IFERROR(
  FILTER('CBK Students'!O:O, TRIM('CBK Students'!B:B) = TRIM(A459)),
  """"
)"),"#REF!")</f>
        <v>#REF!</v>
      </c>
      <c r="AA459" s="4" t="str">
        <f>IFERROR(__xludf.DUMMYFUNCTION("IFERROR(
  FILTER('CBK Students'!P:P, TRIM('CBK Students'!B:B) = TRIM(A459)),
  """"
)"),"#REF!")</f>
        <v>#REF!</v>
      </c>
      <c r="AB459" s="4" t="str">
        <f>IFERROR(__xludf.DUMMYFUNCTION("IFERROR(
  FILTER('CBK Students'!Q:Q, TRIM('CBK Students'!B:B) = TRIM(A459)),
  """"
)"),"#REF!")</f>
        <v>#REF!</v>
      </c>
    </row>
    <row r="460" ht="18.75" customHeight="1">
      <c r="T460" s="240" t="str">
        <f>IFERROR(__xludf.DUMMYFUNCTION("IFERROR(
  FILTER('CBK Students'!F:F, TRIM('CBK Students'!B:B) = TRIM(A460)),
  """"
)"),"#REF!")</f>
        <v>#REF!</v>
      </c>
      <c r="U460" s="240" t="str">
        <f>IFERROR(__xludf.DUMMYFUNCTION("IFERROR(
  FILTER('CBK Students'!H:H, TRIM('CBK Students'!B:B) = TRIM(A460)),
  """"
)"),"#REF!")</f>
        <v>#REF!</v>
      </c>
      <c r="V460" s="240" t="str">
        <f>IFERROR(__xludf.DUMMYFUNCTION("IFERROR(
  FILTER('CBK Students'!M:M, TRIM('CBK Students'!B:B) = TRIM(A460)),
  """"
)"),"#REF!")</f>
        <v>#REF!</v>
      </c>
      <c r="W460" s="240" t="str">
        <f t="shared" si="1"/>
        <v/>
      </c>
      <c r="X460" s="240" t="str">
        <f>IFERROR(__xludf.DUMMYFUNCTION("IFERROR(
  FILTER('CBK Students'!R:R, TRIM('CBK Students'!B:B) = TRIM(A460)),
  """"
)"),"#REF!")</f>
        <v>#REF!</v>
      </c>
      <c r="Y460" s="4" t="str">
        <f t="shared" si="2"/>
        <v/>
      </c>
      <c r="Z460" s="4" t="str">
        <f>IFERROR(__xludf.DUMMYFUNCTION("IFERROR(
  FILTER('CBK Students'!O:O, TRIM('CBK Students'!B:B) = TRIM(A460)),
  """"
)"),"#REF!")</f>
        <v>#REF!</v>
      </c>
      <c r="AA460" s="4" t="str">
        <f>IFERROR(__xludf.DUMMYFUNCTION("IFERROR(
  FILTER('CBK Students'!P:P, TRIM('CBK Students'!B:B) = TRIM(A460)),
  """"
)"),"#REF!")</f>
        <v>#REF!</v>
      </c>
      <c r="AB460" s="4" t="str">
        <f>IFERROR(__xludf.DUMMYFUNCTION("IFERROR(
  FILTER('CBK Students'!Q:Q, TRIM('CBK Students'!B:B) = TRIM(A460)),
  """"
)"),"#REF!")</f>
        <v>#REF!</v>
      </c>
    </row>
    <row r="461" ht="18.75" customHeight="1">
      <c r="T461" s="240" t="str">
        <f>IFERROR(__xludf.DUMMYFUNCTION("IFERROR(
  FILTER('CBK Students'!F:F, TRIM('CBK Students'!B:B) = TRIM(A461)),
  """"
)"),"#REF!")</f>
        <v>#REF!</v>
      </c>
      <c r="U461" s="240" t="str">
        <f>IFERROR(__xludf.DUMMYFUNCTION("IFERROR(
  FILTER('CBK Students'!H:H, TRIM('CBK Students'!B:B) = TRIM(A461)),
  """"
)"),"#REF!")</f>
        <v>#REF!</v>
      </c>
      <c r="V461" s="240" t="str">
        <f>IFERROR(__xludf.DUMMYFUNCTION("IFERROR(
  FILTER('CBK Students'!M:M, TRIM('CBK Students'!B:B) = TRIM(A461)),
  """"
)"),"#REF!")</f>
        <v>#REF!</v>
      </c>
      <c r="W461" s="240" t="str">
        <f t="shared" si="1"/>
        <v/>
      </c>
      <c r="X461" s="240" t="str">
        <f>IFERROR(__xludf.DUMMYFUNCTION("IFERROR(
  FILTER('CBK Students'!R:R, TRIM('CBK Students'!B:B) = TRIM(A461)),
  """"
)"),"#REF!")</f>
        <v>#REF!</v>
      </c>
      <c r="Y461" s="4" t="str">
        <f t="shared" si="2"/>
        <v/>
      </c>
      <c r="Z461" s="4" t="str">
        <f>IFERROR(__xludf.DUMMYFUNCTION("IFERROR(
  FILTER('CBK Students'!O:O, TRIM('CBK Students'!B:B) = TRIM(A461)),
  """"
)"),"#REF!")</f>
        <v>#REF!</v>
      </c>
      <c r="AA461" s="4" t="str">
        <f>IFERROR(__xludf.DUMMYFUNCTION("IFERROR(
  FILTER('CBK Students'!P:P, TRIM('CBK Students'!B:B) = TRIM(A461)),
  """"
)"),"#REF!")</f>
        <v>#REF!</v>
      </c>
      <c r="AB461" s="4" t="str">
        <f>IFERROR(__xludf.DUMMYFUNCTION("IFERROR(
  FILTER('CBK Students'!Q:Q, TRIM('CBK Students'!B:B) = TRIM(A461)),
  """"
)"),"#REF!")</f>
        <v>#REF!</v>
      </c>
    </row>
    <row r="462" ht="18.75" customHeight="1">
      <c r="T462" s="240" t="str">
        <f>IFERROR(__xludf.DUMMYFUNCTION("IFERROR(
  FILTER('CBK Students'!F:F, TRIM('CBK Students'!B:B) = TRIM(A462)),
  """"
)"),"#REF!")</f>
        <v>#REF!</v>
      </c>
      <c r="U462" s="240" t="str">
        <f>IFERROR(__xludf.DUMMYFUNCTION("IFERROR(
  FILTER('CBK Students'!H:H, TRIM('CBK Students'!B:B) = TRIM(A462)),
  """"
)"),"#REF!")</f>
        <v>#REF!</v>
      </c>
      <c r="V462" s="240" t="str">
        <f>IFERROR(__xludf.DUMMYFUNCTION("IFERROR(
  FILTER('CBK Students'!M:M, TRIM('CBK Students'!B:B) = TRIM(A462)),
  """"
)"),"#REF!")</f>
        <v>#REF!</v>
      </c>
      <c r="W462" s="240" t="str">
        <f t="shared" si="1"/>
        <v/>
      </c>
      <c r="X462" s="240" t="str">
        <f>IFERROR(__xludf.DUMMYFUNCTION("IFERROR(
  FILTER('CBK Students'!R:R, TRIM('CBK Students'!B:B) = TRIM(A462)),
  """"
)"),"#REF!")</f>
        <v>#REF!</v>
      </c>
      <c r="Y462" s="4" t="str">
        <f t="shared" si="2"/>
        <v/>
      </c>
      <c r="Z462" s="4" t="str">
        <f>IFERROR(__xludf.DUMMYFUNCTION("IFERROR(
  FILTER('CBK Students'!O:O, TRIM('CBK Students'!B:B) = TRIM(A462)),
  """"
)"),"#REF!")</f>
        <v>#REF!</v>
      </c>
      <c r="AA462" s="4" t="str">
        <f>IFERROR(__xludf.DUMMYFUNCTION("IFERROR(
  FILTER('CBK Students'!P:P, TRIM('CBK Students'!B:B) = TRIM(A462)),
  """"
)"),"#REF!")</f>
        <v>#REF!</v>
      </c>
      <c r="AB462" s="4" t="str">
        <f>IFERROR(__xludf.DUMMYFUNCTION("IFERROR(
  FILTER('CBK Students'!Q:Q, TRIM('CBK Students'!B:B) = TRIM(A462)),
  """"
)"),"#REF!")</f>
        <v>#REF!</v>
      </c>
    </row>
    <row r="463" ht="18.75" customHeight="1">
      <c r="T463" s="240" t="str">
        <f>IFERROR(__xludf.DUMMYFUNCTION("IFERROR(
  FILTER('CBK Students'!F:F, TRIM('CBK Students'!B:B) = TRIM(A463)),
  """"
)"),"#REF!")</f>
        <v>#REF!</v>
      </c>
      <c r="U463" s="240" t="str">
        <f>IFERROR(__xludf.DUMMYFUNCTION("IFERROR(
  FILTER('CBK Students'!H:H, TRIM('CBK Students'!B:B) = TRIM(A463)),
  """"
)"),"#REF!")</f>
        <v>#REF!</v>
      </c>
      <c r="V463" s="240" t="str">
        <f>IFERROR(__xludf.DUMMYFUNCTION("IFERROR(
  FILTER('CBK Students'!M:M, TRIM('CBK Students'!B:B) = TRIM(A463)),
  """"
)"),"#REF!")</f>
        <v>#REF!</v>
      </c>
      <c r="W463" s="240" t="str">
        <f t="shared" si="1"/>
        <v/>
      </c>
      <c r="X463" s="240" t="str">
        <f>IFERROR(__xludf.DUMMYFUNCTION("IFERROR(
  FILTER('CBK Students'!R:R, TRIM('CBK Students'!B:B) = TRIM(A463)),
  """"
)"),"#REF!")</f>
        <v>#REF!</v>
      </c>
      <c r="Y463" s="4" t="str">
        <f t="shared" si="2"/>
        <v/>
      </c>
      <c r="Z463" s="4" t="str">
        <f>IFERROR(__xludf.DUMMYFUNCTION("IFERROR(
  FILTER('CBK Students'!O:O, TRIM('CBK Students'!B:B) = TRIM(A463)),
  """"
)"),"#REF!")</f>
        <v>#REF!</v>
      </c>
      <c r="AA463" s="4" t="str">
        <f>IFERROR(__xludf.DUMMYFUNCTION("IFERROR(
  FILTER('CBK Students'!P:P, TRIM('CBK Students'!B:B) = TRIM(A463)),
  """"
)"),"#REF!")</f>
        <v>#REF!</v>
      </c>
      <c r="AB463" s="4" t="str">
        <f>IFERROR(__xludf.DUMMYFUNCTION("IFERROR(
  FILTER('CBK Students'!Q:Q, TRIM('CBK Students'!B:B) = TRIM(A463)),
  """"
)"),"#REF!")</f>
        <v>#REF!</v>
      </c>
    </row>
    <row r="464" ht="18.75" customHeight="1">
      <c r="T464" s="240" t="str">
        <f>IFERROR(__xludf.DUMMYFUNCTION("IFERROR(
  FILTER('CBK Students'!F:F, TRIM('CBK Students'!B:B) = TRIM(A464)),
  """"
)"),"#REF!")</f>
        <v>#REF!</v>
      </c>
      <c r="U464" s="240" t="str">
        <f>IFERROR(__xludf.DUMMYFUNCTION("IFERROR(
  FILTER('CBK Students'!H:H, TRIM('CBK Students'!B:B) = TRIM(A464)),
  """"
)"),"#REF!")</f>
        <v>#REF!</v>
      </c>
      <c r="V464" s="240" t="str">
        <f>IFERROR(__xludf.DUMMYFUNCTION("IFERROR(
  FILTER('CBK Students'!M:M, TRIM('CBK Students'!B:B) = TRIM(A464)),
  """"
)"),"#REF!")</f>
        <v>#REF!</v>
      </c>
      <c r="W464" s="240" t="str">
        <f t="shared" si="1"/>
        <v/>
      </c>
      <c r="X464" s="240" t="str">
        <f>IFERROR(__xludf.DUMMYFUNCTION("IFERROR(
  FILTER('CBK Students'!R:R, TRIM('CBK Students'!B:B) = TRIM(A464)),
  """"
)"),"#REF!")</f>
        <v>#REF!</v>
      </c>
      <c r="Y464" s="4" t="str">
        <f t="shared" si="2"/>
        <v/>
      </c>
      <c r="Z464" s="4" t="str">
        <f>IFERROR(__xludf.DUMMYFUNCTION("IFERROR(
  FILTER('CBK Students'!O:O, TRIM('CBK Students'!B:B) = TRIM(A464)),
  """"
)"),"#REF!")</f>
        <v>#REF!</v>
      </c>
      <c r="AA464" s="4" t="str">
        <f>IFERROR(__xludf.DUMMYFUNCTION("IFERROR(
  FILTER('CBK Students'!P:P, TRIM('CBK Students'!B:B) = TRIM(A464)),
  """"
)"),"#REF!")</f>
        <v>#REF!</v>
      </c>
      <c r="AB464" s="4" t="str">
        <f>IFERROR(__xludf.DUMMYFUNCTION("IFERROR(
  FILTER('CBK Students'!Q:Q, TRIM('CBK Students'!B:B) = TRIM(A464)),
  """"
)"),"#REF!")</f>
        <v>#REF!</v>
      </c>
    </row>
    <row r="465" ht="18.75" customHeight="1">
      <c r="T465" s="240" t="str">
        <f>IFERROR(__xludf.DUMMYFUNCTION("IFERROR(
  FILTER('CBK Students'!F:F, TRIM('CBK Students'!B:B) = TRIM(A465)),
  """"
)"),"#REF!")</f>
        <v>#REF!</v>
      </c>
      <c r="U465" s="240" t="str">
        <f>IFERROR(__xludf.DUMMYFUNCTION("IFERROR(
  FILTER('CBK Students'!H:H, TRIM('CBK Students'!B:B) = TRIM(A465)),
  """"
)"),"#REF!")</f>
        <v>#REF!</v>
      </c>
      <c r="V465" s="240" t="str">
        <f>IFERROR(__xludf.DUMMYFUNCTION("IFERROR(
  FILTER('CBK Students'!M:M, TRIM('CBK Students'!B:B) = TRIM(A465)),
  """"
)"),"#REF!")</f>
        <v>#REF!</v>
      </c>
      <c r="W465" s="240" t="str">
        <f t="shared" si="1"/>
        <v/>
      </c>
      <c r="X465" s="240" t="str">
        <f>IFERROR(__xludf.DUMMYFUNCTION("IFERROR(
  FILTER('CBK Students'!R:R, TRIM('CBK Students'!B:B) = TRIM(A465)),
  """"
)"),"#REF!")</f>
        <v>#REF!</v>
      </c>
      <c r="Y465" s="4" t="str">
        <f t="shared" si="2"/>
        <v/>
      </c>
      <c r="Z465" s="4" t="str">
        <f>IFERROR(__xludf.DUMMYFUNCTION("IFERROR(
  FILTER('CBK Students'!O:O, TRIM('CBK Students'!B:B) = TRIM(A465)),
  """"
)"),"#REF!")</f>
        <v>#REF!</v>
      </c>
      <c r="AA465" s="4" t="str">
        <f>IFERROR(__xludf.DUMMYFUNCTION("IFERROR(
  FILTER('CBK Students'!P:P, TRIM('CBK Students'!B:B) = TRIM(A465)),
  """"
)"),"#REF!")</f>
        <v>#REF!</v>
      </c>
      <c r="AB465" s="4" t="str">
        <f>IFERROR(__xludf.DUMMYFUNCTION("IFERROR(
  FILTER('CBK Students'!Q:Q, TRIM('CBK Students'!B:B) = TRIM(A465)),
  """"
)"),"#REF!")</f>
        <v>#REF!</v>
      </c>
    </row>
    <row r="466" ht="18.75" customHeight="1">
      <c r="T466" s="240" t="str">
        <f>IFERROR(__xludf.DUMMYFUNCTION("IFERROR(
  FILTER('CBK Students'!F:F, TRIM('CBK Students'!B:B) = TRIM(A466)),
  """"
)"),"#REF!")</f>
        <v>#REF!</v>
      </c>
      <c r="U466" s="240" t="str">
        <f>IFERROR(__xludf.DUMMYFUNCTION("IFERROR(
  FILTER('CBK Students'!H:H, TRIM('CBK Students'!B:B) = TRIM(A466)),
  """"
)"),"#REF!")</f>
        <v>#REF!</v>
      </c>
      <c r="V466" s="240" t="str">
        <f>IFERROR(__xludf.DUMMYFUNCTION("IFERROR(
  FILTER('CBK Students'!M:M, TRIM('CBK Students'!B:B) = TRIM(A466)),
  """"
)"),"#REF!")</f>
        <v>#REF!</v>
      </c>
      <c r="W466" s="240" t="str">
        <f t="shared" si="1"/>
        <v/>
      </c>
      <c r="X466" s="240" t="str">
        <f>IFERROR(__xludf.DUMMYFUNCTION("IFERROR(
  FILTER('CBK Students'!R:R, TRIM('CBK Students'!B:B) = TRIM(A466)),
  """"
)"),"#REF!")</f>
        <v>#REF!</v>
      </c>
      <c r="Y466" s="4" t="str">
        <f t="shared" si="2"/>
        <v/>
      </c>
      <c r="Z466" s="4" t="str">
        <f>IFERROR(__xludf.DUMMYFUNCTION("IFERROR(
  FILTER('CBK Students'!O:O, TRIM('CBK Students'!B:B) = TRIM(A466)),
  """"
)"),"#REF!")</f>
        <v>#REF!</v>
      </c>
      <c r="AA466" s="4" t="str">
        <f>IFERROR(__xludf.DUMMYFUNCTION("IFERROR(
  FILTER('CBK Students'!P:P, TRIM('CBK Students'!B:B) = TRIM(A466)),
  """"
)"),"#REF!")</f>
        <v>#REF!</v>
      </c>
      <c r="AB466" s="4" t="str">
        <f>IFERROR(__xludf.DUMMYFUNCTION("IFERROR(
  FILTER('CBK Students'!Q:Q, TRIM('CBK Students'!B:B) = TRIM(A466)),
  """"
)"),"#REF!")</f>
        <v>#REF!</v>
      </c>
    </row>
    <row r="467" ht="18.75" customHeight="1">
      <c r="T467" s="240" t="str">
        <f>IFERROR(__xludf.DUMMYFUNCTION("IFERROR(
  FILTER('CBK Students'!F:F, TRIM('CBK Students'!B:B) = TRIM(A467)),
  """"
)"),"#REF!")</f>
        <v>#REF!</v>
      </c>
      <c r="U467" s="240" t="str">
        <f>IFERROR(__xludf.DUMMYFUNCTION("IFERROR(
  FILTER('CBK Students'!H:H, TRIM('CBK Students'!B:B) = TRIM(A467)),
  """"
)"),"#REF!")</f>
        <v>#REF!</v>
      </c>
      <c r="V467" s="240" t="str">
        <f>IFERROR(__xludf.DUMMYFUNCTION("IFERROR(
  FILTER('CBK Students'!M:M, TRIM('CBK Students'!B:B) = TRIM(A467)),
  """"
)"),"#REF!")</f>
        <v>#REF!</v>
      </c>
      <c r="W467" s="240" t="str">
        <f t="shared" si="1"/>
        <v/>
      </c>
      <c r="X467" s="240" t="str">
        <f>IFERROR(__xludf.DUMMYFUNCTION("IFERROR(
  FILTER('CBK Students'!R:R, TRIM('CBK Students'!B:B) = TRIM(A467)),
  """"
)"),"#REF!")</f>
        <v>#REF!</v>
      </c>
      <c r="Y467" s="4" t="str">
        <f t="shared" si="2"/>
        <v/>
      </c>
      <c r="Z467" s="4" t="str">
        <f>IFERROR(__xludf.DUMMYFUNCTION("IFERROR(
  FILTER('CBK Students'!O:O, TRIM('CBK Students'!B:B) = TRIM(A467)),
  """"
)"),"#REF!")</f>
        <v>#REF!</v>
      </c>
      <c r="AA467" s="4" t="str">
        <f>IFERROR(__xludf.DUMMYFUNCTION("IFERROR(
  FILTER('CBK Students'!P:P, TRIM('CBK Students'!B:B) = TRIM(A467)),
  """"
)"),"#REF!")</f>
        <v>#REF!</v>
      </c>
      <c r="AB467" s="4" t="str">
        <f>IFERROR(__xludf.DUMMYFUNCTION("IFERROR(
  FILTER('CBK Students'!Q:Q, TRIM('CBK Students'!B:B) = TRIM(A467)),
  """"
)"),"#REF!")</f>
        <v>#REF!</v>
      </c>
    </row>
    <row r="468" ht="18.75" customHeight="1">
      <c r="T468" s="240" t="str">
        <f>IFERROR(__xludf.DUMMYFUNCTION("IFERROR(
  FILTER('CBK Students'!F:F, TRIM('CBK Students'!B:B) = TRIM(A468)),
  """"
)"),"#REF!")</f>
        <v>#REF!</v>
      </c>
      <c r="U468" s="240" t="str">
        <f>IFERROR(__xludf.DUMMYFUNCTION("IFERROR(
  FILTER('CBK Students'!H:H, TRIM('CBK Students'!B:B) = TRIM(A468)),
  """"
)"),"#REF!")</f>
        <v>#REF!</v>
      </c>
      <c r="V468" s="240" t="str">
        <f>IFERROR(__xludf.DUMMYFUNCTION("IFERROR(
  FILTER('CBK Students'!M:M, TRIM('CBK Students'!B:B) = TRIM(A468)),
  """"
)"),"#REF!")</f>
        <v>#REF!</v>
      </c>
      <c r="W468" s="240" t="str">
        <f t="shared" si="1"/>
        <v/>
      </c>
      <c r="X468" s="240" t="str">
        <f>IFERROR(__xludf.DUMMYFUNCTION("IFERROR(
  FILTER('CBK Students'!R:R, TRIM('CBK Students'!B:B) = TRIM(A468)),
  """"
)"),"#REF!")</f>
        <v>#REF!</v>
      </c>
      <c r="Y468" s="4" t="str">
        <f t="shared" si="2"/>
        <v/>
      </c>
      <c r="Z468" s="4" t="str">
        <f>IFERROR(__xludf.DUMMYFUNCTION("IFERROR(
  FILTER('CBK Students'!O:O, TRIM('CBK Students'!B:B) = TRIM(A468)),
  """"
)"),"#REF!")</f>
        <v>#REF!</v>
      </c>
      <c r="AA468" s="4" t="str">
        <f>IFERROR(__xludf.DUMMYFUNCTION("IFERROR(
  FILTER('CBK Students'!P:P, TRIM('CBK Students'!B:B) = TRIM(A468)),
  """"
)"),"#REF!")</f>
        <v>#REF!</v>
      </c>
      <c r="AB468" s="4" t="str">
        <f>IFERROR(__xludf.DUMMYFUNCTION("IFERROR(
  FILTER('CBK Students'!Q:Q, TRIM('CBK Students'!B:B) = TRIM(A468)),
  """"
)"),"#REF!")</f>
        <v>#REF!</v>
      </c>
    </row>
    <row r="469" ht="18.75" customHeight="1">
      <c r="T469" s="240" t="str">
        <f>IFERROR(__xludf.DUMMYFUNCTION("IFERROR(
  FILTER('CBK Students'!F:F, TRIM('CBK Students'!B:B) = TRIM(A469)),
  """"
)"),"#REF!")</f>
        <v>#REF!</v>
      </c>
      <c r="U469" s="240" t="str">
        <f>IFERROR(__xludf.DUMMYFUNCTION("IFERROR(
  FILTER('CBK Students'!H:H, TRIM('CBK Students'!B:B) = TRIM(A469)),
  """"
)"),"#REF!")</f>
        <v>#REF!</v>
      </c>
      <c r="V469" s="240" t="str">
        <f>IFERROR(__xludf.DUMMYFUNCTION("IFERROR(
  FILTER('CBK Students'!M:M, TRIM('CBK Students'!B:B) = TRIM(A469)),
  """"
)"),"#REF!")</f>
        <v>#REF!</v>
      </c>
      <c r="W469" s="240" t="str">
        <f t="shared" si="1"/>
        <v/>
      </c>
      <c r="X469" s="240" t="str">
        <f>IFERROR(__xludf.DUMMYFUNCTION("IFERROR(
  FILTER('CBK Students'!R:R, TRIM('CBK Students'!B:B) = TRIM(A469)),
  """"
)"),"#REF!")</f>
        <v>#REF!</v>
      </c>
      <c r="Y469" s="4" t="str">
        <f t="shared" si="2"/>
        <v/>
      </c>
      <c r="Z469" s="4" t="str">
        <f>IFERROR(__xludf.DUMMYFUNCTION("IFERROR(
  FILTER('CBK Students'!O:O, TRIM('CBK Students'!B:B) = TRIM(A469)),
  """"
)"),"#REF!")</f>
        <v>#REF!</v>
      </c>
      <c r="AA469" s="4" t="str">
        <f>IFERROR(__xludf.DUMMYFUNCTION("IFERROR(
  FILTER('CBK Students'!P:P, TRIM('CBK Students'!B:B) = TRIM(A469)),
  """"
)"),"#REF!")</f>
        <v>#REF!</v>
      </c>
      <c r="AB469" s="4" t="str">
        <f>IFERROR(__xludf.DUMMYFUNCTION("IFERROR(
  FILTER('CBK Students'!Q:Q, TRIM('CBK Students'!B:B) = TRIM(A469)),
  """"
)"),"#REF!")</f>
        <v>#REF!</v>
      </c>
    </row>
    <row r="470" ht="18.75" customHeight="1">
      <c r="T470" s="240" t="str">
        <f>IFERROR(__xludf.DUMMYFUNCTION("IFERROR(
  FILTER('CBK Students'!F:F, TRIM('CBK Students'!B:B) = TRIM(A470)),
  """"
)"),"#REF!")</f>
        <v>#REF!</v>
      </c>
      <c r="U470" s="240" t="str">
        <f>IFERROR(__xludf.DUMMYFUNCTION("IFERROR(
  FILTER('CBK Students'!H:H, TRIM('CBK Students'!B:B) = TRIM(A470)),
  """"
)"),"#REF!")</f>
        <v>#REF!</v>
      </c>
      <c r="V470" s="240" t="str">
        <f>IFERROR(__xludf.DUMMYFUNCTION("IFERROR(
  FILTER('CBK Students'!M:M, TRIM('CBK Students'!B:B) = TRIM(A470)),
  """"
)"),"#REF!")</f>
        <v>#REF!</v>
      </c>
      <c r="W470" s="240" t="str">
        <f t="shared" si="1"/>
        <v/>
      </c>
      <c r="X470" s="240" t="str">
        <f>IFERROR(__xludf.DUMMYFUNCTION("IFERROR(
  FILTER('CBK Students'!R:R, TRIM('CBK Students'!B:B) = TRIM(A470)),
  """"
)"),"#REF!")</f>
        <v>#REF!</v>
      </c>
      <c r="Y470" s="4" t="str">
        <f t="shared" si="2"/>
        <v/>
      </c>
      <c r="Z470" s="4" t="str">
        <f>IFERROR(__xludf.DUMMYFUNCTION("IFERROR(
  FILTER('CBK Students'!O:O, TRIM('CBK Students'!B:B) = TRIM(A470)),
  """"
)"),"#REF!")</f>
        <v>#REF!</v>
      </c>
      <c r="AA470" s="4" t="str">
        <f>IFERROR(__xludf.DUMMYFUNCTION("IFERROR(
  FILTER('CBK Students'!P:P, TRIM('CBK Students'!B:B) = TRIM(A470)),
  """"
)"),"#REF!")</f>
        <v>#REF!</v>
      </c>
      <c r="AB470" s="4" t="str">
        <f>IFERROR(__xludf.DUMMYFUNCTION("IFERROR(
  FILTER('CBK Students'!Q:Q, TRIM('CBK Students'!B:B) = TRIM(A470)),
  """"
)"),"#REF!")</f>
        <v>#REF!</v>
      </c>
    </row>
    <row r="471" ht="18.75" customHeight="1">
      <c r="T471" s="240" t="str">
        <f>IFERROR(__xludf.DUMMYFUNCTION("IFERROR(
  FILTER('CBK Students'!F:F, TRIM('CBK Students'!B:B) = TRIM(A471)),
  """"
)"),"#REF!")</f>
        <v>#REF!</v>
      </c>
      <c r="U471" s="240" t="str">
        <f>IFERROR(__xludf.DUMMYFUNCTION("IFERROR(
  FILTER('CBK Students'!H:H, TRIM('CBK Students'!B:B) = TRIM(A471)),
  """"
)"),"#REF!")</f>
        <v>#REF!</v>
      </c>
      <c r="V471" s="240" t="str">
        <f>IFERROR(__xludf.DUMMYFUNCTION("IFERROR(
  FILTER('CBK Students'!M:M, TRIM('CBK Students'!B:B) = TRIM(A471)),
  """"
)"),"#REF!")</f>
        <v>#REF!</v>
      </c>
      <c r="W471" s="240" t="str">
        <f t="shared" si="1"/>
        <v/>
      </c>
      <c r="X471" s="240" t="str">
        <f>IFERROR(__xludf.DUMMYFUNCTION("IFERROR(
  FILTER('CBK Students'!R:R, TRIM('CBK Students'!B:B) = TRIM(A471)),
  """"
)"),"#REF!")</f>
        <v>#REF!</v>
      </c>
      <c r="Y471" s="4" t="str">
        <f t="shared" si="2"/>
        <v/>
      </c>
      <c r="Z471" s="4" t="str">
        <f>IFERROR(__xludf.DUMMYFUNCTION("IFERROR(
  FILTER('CBK Students'!O:O, TRIM('CBK Students'!B:B) = TRIM(A471)),
  """"
)"),"#REF!")</f>
        <v>#REF!</v>
      </c>
      <c r="AA471" s="4" t="str">
        <f>IFERROR(__xludf.DUMMYFUNCTION("IFERROR(
  FILTER('CBK Students'!P:P, TRIM('CBK Students'!B:B) = TRIM(A471)),
  """"
)"),"#REF!")</f>
        <v>#REF!</v>
      </c>
      <c r="AB471" s="4" t="str">
        <f>IFERROR(__xludf.DUMMYFUNCTION("IFERROR(
  FILTER('CBK Students'!Q:Q, TRIM('CBK Students'!B:B) = TRIM(A471)),
  """"
)"),"#REF!")</f>
        <v>#REF!</v>
      </c>
    </row>
    <row r="472" ht="18.75" customHeight="1">
      <c r="T472" s="240" t="str">
        <f>IFERROR(__xludf.DUMMYFUNCTION("IFERROR(
  FILTER('CBK Students'!F:F, TRIM('CBK Students'!B:B) = TRIM(A472)),
  """"
)"),"#REF!")</f>
        <v>#REF!</v>
      </c>
      <c r="U472" s="240" t="str">
        <f>IFERROR(__xludf.DUMMYFUNCTION("IFERROR(
  FILTER('CBK Students'!H:H, TRIM('CBK Students'!B:B) = TRIM(A472)),
  """"
)"),"#REF!")</f>
        <v>#REF!</v>
      </c>
      <c r="V472" s="240" t="str">
        <f>IFERROR(__xludf.DUMMYFUNCTION("IFERROR(
  FILTER('CBK Students'!M:M, TRIM('CBK Students'!B:B) = TRIM(A472)),
  """"
)"),"#REF!")</f>
        <v>#REF!</v>
      </c>
      <c r="W472" s="240" t="str">
        <f t="shared" si="1"/>
        <v/>
      </c>
      <c r="X472" s="240" t="str">
        <f>IFERROR(__xludf.DUMMYFUNCTION("IFERROR(
  FILTER('CBK Students'!R:R, TRIM('CBK Students'!B:B) = TRIM(A472)),
  """"
)"),"#REF!")</f>
        <v>#REF!</v>
      </c>
      <c r="Y472" s="4" t="str">
        <f t="shared" si="2"/>
        <v/>
      </c>
      <c r="Z472" s="4" t="str">
        <f>IFERROR(__xludf.DUMMYFUNCTION("IFERROR(
  FILTER('CBK Students'!O:O, TRIM('CBK Students'!B:B) = TRIM(A472)),
  """"
)"),"#REF!")</f>
        <v>#REF!</v>
      </c>
      <c r="AA472" s="4" t="str">
        <f>IFERROR(__xludf.DUMMYFUNCTION("IFERROR(
  FILTER('CBK Students'!P:P, TRIM('CBK Students'!B:B) = TRIM(A472)),
  """"
)"),"#REF!")</f>
        <v>#REF!</v>
      </c>
      <c r="AB472" s="4" t="str">
        <f>IFERROR(__xludf.DUMMYFUNCTION("IFERROR(
  FILTER('CBK Students'!Q:Q, TRIM('CBK Students'!B:B) = TRIM(A472)),
  """"
)"),"#REF!")</f>
        <v>#REF!</v>
      </c>
    </row>
    <row r="473" ht="18.75" customHeight="1">
      <c r="T473" s="240" t="str">
        <f>IFERROR(__xludf.DUMMYFUNCTION("IFERROR(
  FILTER('CBK Students'!F:F, TRIM('CBK Students'!B:B) = TRIM(A473)),
  """"
)"),"#REF!")</f>
        <v>#REF!</v>
      </c>
      <c r="U473" s="240" t="str">
        <f>IFERROR(__xludf.DUMMYFUNCTION("IFERROR(
  FILTER('CBK Students'!H:H, TRIM('CBK Students'!B:B) = TRIM(A473)),
  """"
)"),"#REF!")</f>
        <v>#REF!</v>
      </c>
      <c r="V473" s="240" t="str">
        <f>IFERROR(__xludf.DUMMYFUNCTION("IFERROR(
  FILTER('CBK Students'!M:M, TRIM('CBK Students'!B:B) = TRIM(A473)),
  """"
)"),"#REF!")</f>
        <v>#REF!</v>
      </c>
      <c r="W473" s="240" t="str">
        <f t="shared" si="1"/>
        <v/>
      </c>
      <c r="X473" s="240" t="str">
        <f>IFERROR(__xludf.DUMMYFUNCTION("IFERROR(
  FILTER('CBK Students'!R:R, TRIM('CBK Students'!B:B) = TRIM(A473)),
  """"
)"),"#REF!")</f>
        <v>#REF!</v>
      </c>
      <c r="Y473" s="4" t="str">
        <f t="shared" si="2"/>
        <v/>
      </c>
      <c r="Z473" s="4" t="str">
        <f>IFERROR(__xludf.DUMMYFUNCTION("IFERROR(
  FILTER('CBK Students'!O:O, TRIM('CBK Students'!B:B) = TRIM(A473)),
  """"
)"),"#REF!")</f>
        <v>#REF!</v>
      </c>
      <c r="AA473" s="4" t="str">
        <f>IFERROR(__xludf.DUMMYFUNCTION("IFERROR(
  FILTER('CBK Students'!P:P, TRIM('CBK Students'!B:B) = TRIM(A473)),
  """"
)"),"#REF!")</f>
        <v>#REF!</v>
      </c>
      <c r="AB473" s="4" t="str">
        <f>IFERROR(__xludf.DUMMYFUNCTION("IFERROR(
  FILTER('CBK Students'!Q:Q, TRIM('CBK Students'!B:B) = TRIM(A473)),
  """"
)"),"#REF!")</f>
        <v>#REF!</v>
      </c>
    </row>
    <row r="474" ht="18.75" customHeight="1">
      <c r="T474" s="240" t="str">
        <f>IFERROR(__xludf.DUMMYFUNCTION("IFERROR(
  FILTER('CBK Students'!F:F, TRIM('CBK Students'!B:B) = TRIM(A474)),
  """"
)"),"#REF!")</f>
        <v>#REF!</v>
      </c>
      <c r="U474" s="240" t="str">
        <f>IFERROR(__xludf.DUMMYFUNCTION("IFERROR(
  FILTER('CBK Students'!H:H, TRIM('CBK Students'!B:B) = TRIM(A474)),
  """"
)"),"#REF!")</f>
        <v>#REF!</v>
      </c>
      <c r="V474" s="240" t="str">
        <f>IFERROR(__xludf.DUMMYFUNCTION("IFERROR(
  FILTER('CBK Students'!M:M, TRIM('CBK Students'!B:B) = TRIM(A474)),
  """"
)"),"#REF!")</f>
        <v>#REF!</v>
      </c>
      <c r="W474" s="240" t="str">
        <f t="shared" si="1"/>
        <v/>
      </c>
      <c r="X474" s="240" t="str">
        <f>IFERROR(__xludf.DUMMYFUNCTION("IFERROR(
  FILTER('CBK Students'!R:R, TRIM('CBK Students'!B:B) = TRIM(A474)),
  """"
)"),"#REF!")</f>
        <v>#REF!</v>
      </c>
      <c r="Y474" s="4" t="str">
        <f t="shared" si="2"/>
        <v/>
      </c>
      <c r="Z474" s="4" t="str">
        <f>IFERROR(__xludf.DUMMYFUNCTION("IFERROR(
  FILTER('CBK Students'!O:O, TRIM('CBK Students'!B:B) = TRIM(A474)),
  """"
)"),"#REF!")</f>
        <v>#REF!</v>
      </c>
      <c r="AA474" s="4" t="str">
        <f>IFERROR(__xludf.DUMMYFUNCTION("IFERROR(
  FILTER('CBK Students'!P:P, TRIM('CBK Students'!B:B) = TRIM(A474)),
  """"
)"),"#REF!")</f>
        <v>#REF!</v>
      </c>
      <c r="AB474" s="4" t="str">
        <f>IFERROR(__xludf.DUMMYFUNCTION("IFERROR(
  FILTER('CBK Students'!Q:Q, TRIM('CBK Students'!B:B) = TRIM(A474)),
  """"
)"),"#REF!")</f>
        <v>#REF!</v>
      </c>
    </row>
    <row r="475" ht="18.75" customHeight="1">
      <c r="T475" s="240" t="str">
        <f>IFERROR(__xludf.DUMMYFUNCTION("IFERROR(
  FILTER('CBK Students'!F:F, TRIM('CBK Students'!B:B) = TRIM(A475)),
  """"
)"),"#REF!")</f>
        <v>#REF!</v>
      </c>
      <c r="U475" s="240" t="str">
        <f>IFERROR(__xludf.DUMMYFUNCTION("IFERROR(
  FILTER('CBK Students'!H:H, TRIM('CBK Students'!B:B) = TRIM(A475)),
  """"
)"),"#REF!")</f>
        <v>#REF!</v>
      </c>
      <c r="V475" s="240" t="str">
        <f>IFERROR(__xludf.DUMMYFUNCTION("IFERROR(
  FILTER('CBK Students'!M:M, TRIM('CBK Students'!B:B) = TRIM(A475)),
  """"
)"),"#REF!")</f>
        <v>#REF!</v>
      </c>
      <c r="W475" s="240" t="str">
        <f t="shared" si="1"/>
        <v/>
      </c>
      <c r="X475" s="240" t="str">
        <f>IFERROR(__xludf.DUMMYFUNCTION("IFERROR(
  FILTER('CBK Students'!R:R, TRIM('CBK Students'!B:B) = TRIM(A475)),
  """"
)"),"#REF!")</f>
        <v>#REF!</v>
      </c>
      <c r="Y475" s="4" t="str">
        <f t="shared" si="2"/>
        <v/>
      </c>
      <c r="Z475" s="4" t="str">
        <f>IFERROR(__xludf.DUMMYFUNCTION("IFERROR(
  FILTER('CBK Students'!O:O, TRIM('CBK Students'!B:B) = TRIM(A475)),
  """"
)"),"#REF!")</f>
        <v>#REF!</v>
      </c>
      <c r="AA475" s="4" t="str">
        <f>IFERROR(__xludf.DUMMYFUNCTION("IFERROR(
  FILTER('CBK Students'!P:P, TRIM('CBK Students'!B:B) = TRIM(A475)),
  """"
)"),"#REF!")</f>
        <v>#REF!</v>
      </c>
      <c r="AB475" s="4" t="str">
        <f>IFERROR(__xludf.DUMMYFUNCTION("IFERROR(
  FILTER('CBK Students'!Q:Q, TRIM('CBK Students'!B:B) = TRIM(A475)),
  """"
)"),"#REF!")</f>
        <v>#REF!</v>
      </c>
    </row>
    <row r="476" ht="18.75" customHeight="1">
      <c r="T476" s="240" t="str">
        <f>IFERROR(__xludf.DUMMYFUNCTION("IFERROR(
  FILTER('CBK Students'!F:F, TRIM('CBK Students'!B:B) = TRIM(A476)),
  """"
)"),"#REF!")</f>
        <v>#REF!</v>
      </c>
      <c r="U476" s="240" t="str">
        <f>IFERROR(__xludf.DUMMYFUNCTION("IFERROR(
  FILTER('CBK Students'!H:H, TRIM('CBK Students'!B:B) = TRIM(A476)),
  """"
)"),"#REF!")</f>
        <v>#REF!</v>
      </c>
      <c r="V476" s="240" t="str">
        <f>IFERROR(__xludf.DUMMYFUNCTION("IFERROR(
  FILTER('CBK Students'!M:M, TRIM('CBK Students'!B:B) = TRIM(A476)),
  """"
)"),"#REF!")</f>
        <v>#REF!</v>
      </c>
      <c r="W476" s="240" t="str">
        <f t="shared" si="1"/>
        <v/>
      </c>
      <c r="X476" s="240" t="str">
        <f>IFERROR(__xludf.DUMMYFUNCTION("IFERROR(
  FILTER('CBK Students'!R:R, TRIM('CBK Students'!B:B) = TRIM(A476)),
  """"
)"),"#REF!")</f>
        <v>#REF!</v>
      </c>
      <c r="Y476" s="4" t="str">
        <f t="shared" si="2"/>
        <v/>
      </c>
      <c r="Z476" s="4" t="str">
        <f>IFERROR(__xludf.DUMMYFUNCTION("IFERROR(
  FILTER('CBK Students'!O:O, TRIM('CBK Students'!B:B) = TRIM(A476)),
  """"
)"),"#REF!")</f>
        <v>#REF!</v>
      </c>
      <c r="AA476" s="4" t="str">
        <f>IFERROR(__xludf.DUMMYFUNCTION("IFERROR(
  FILTER('CBK Students'!P:P, TRIM('CBK Students'!B:B) = TRIM(A476)),
  """"
)"),"#REF!")</f>
        <v>#REF!</v>
      </c>
      <c r="AB476" s="4" t="str">
        <f>IFERROR(__xludf.DUMMYFUNCTION("IFERROR(
  FILTER('CBK Students'!Q:Q, TRIM('CBK Students'!B:B) = TRIM(A476)),
  """"
)"),"#REF!")</f>
        <v>#REF!</v>
      </c>
    </row>
    <row r="477" ht="18.75" customHeight="1">
      <c r="T477" s="240" t="str">
        <f>IFERROR(__xludf.DUMMYFUNCTION("IFERROR(
  FILTER('CBK Students'!F:F, TRIM('CBK Students'!B:B) = TRIM(A477)),
  """"
)"),"#REF!")</f>
        <v>#REF!</v>
      </c>
      <c r="U477" s="240" t="str">
        <f>IFERROR(__xludf.DUMMYFUNCTION("IFERROR(
  FILTER('CBK Students'!H:H, TRIM('CBK Students'!B:B) = TRIM(A477)),
  """"
)"),"#REF!")</f>
        <v>#REF!</v>
      </c>
      <c r="V477" s="240" t="str">
        <f>IFERROR(__xludf.DUMMYFUNCTION("IFERROR(
  FILTER('CBK Students'!M:M, TRIM('CBK Students'!B:B) = TRIM(A477)),
  """"
)"),"#REF!")</f>
        <v>#REF!</v>
      </c>
      <c r="W477" s="240" t="str">
        <f t="shared" si="1"/>
        <v/>
      </c>
      <c r="X477" s="240" t="str">
        <f>IFERROR(__xludf.DUMMYFUNCTION("IFERROR(
  FILTER('CBK Students'!R:R, TRIM('CBK Students'!B:B) = TRIM(A477)),
  """"
)"),"#REF!")</f>
        <v>#REF!</v>
      </c>
      <c r="Y477" s="4" t="str">
        <f t="shared" si="2"/>
        <v/>
      </c>
      <c r="Z477" s="4" t="str">
        <f>IFERROR(__xludf.DUMMYFUNCTION("IFERROR(
  FILTER('CBK Students'!O:O, TRIM('CBK Students'!B:B) = TRIM(A477)),
  """"
)"),"#REF!")</f>
        <v>#REF!</v>
      </c>
      <c r="AA477" s="4" t="str">
        <f>IFERROR(__xludf.DUMMYFUNCTION("IFERROR(
  FILTER('CBK Students'!P:P, TRIM('CBK Students'!B:B) = TRIM(A477)),
  """"
)"),"#REF!")</f>
        <v>#REF!</v>
      </c>
      <c r="AB477" s="4" t="str">
        <f>IFERROR(__xludf.DUMMYFUNCTION("IFERROR(
  FILTER('CBK Students'!Q:Q, TRIM('CBK Students'!B:B) = TRIM(A477)),
  """"
)"),"#REF!")</f>
        <v>#REF!</v>
      </c>
    </row>
    <row r="478" ht="18.75" customHeight="1">
      <c r="T478" s="240" t="str">
        <f>IFERROR(__xludf.DUMMYFUNCTION("IFERROR(
  FILTER('CBK Students'!F:F, TRIM('CBK Students'!B:B) = TRIM(A478)),
  """"
)"),"#REF!")</f>
        <v>#REF!</v>
      </c>
      <c r="U478" s="240" t="str">
        <f>IFERROR(__xludf.DUMMYFUNCTION("IFERROR(
  FILTER('CBK Students'!H:H, TRIM('CBK Students'!B:B) = TRIM(A478)),
  """"
)"),"#REF!")</f>
        <v>#REF!</v>
      </c>
      <c r="V478" s="240" t="str">
        <f>IFERROR(__xludf.DUMMYFUNCTION("IFERROR(
  FILTER('CBK Students'!M:M, TRIM('CBK Students'!B:B) = TRIM(A478)),
  """"
)"),"#REF!")</f>
        <v>#REF!</v>
      </c>
      <c r="W478" s="240" t="str">
        <f t="shared" si="1"/>
        <v/>
      </c>
      <c r="X478" s="240" t="str">
        <f>IFERROR(__xludf.DUMMYFUNCTION("IFERROR(
  FILTER('CBK Students'!R:R, TRIM('CBK Students'!B:B) = TRIM(A478)),
  """"
)"),"#REF!")</f>
        <v>#REF!</v>
      </c>
      <c r="Y478" s="4" t="str">
        <f t="shared" si="2"/>
        <v/>
      </c>
      <c r="Z478" s="4" t="str">
        <f>IFERROR(__xludf.DUMMYFUNCTION("IFERROR(
  FILTER('CBK Students'!O:O, TRIM('CBK Students'!B:B) = TRIM(A478)),
  """"
)"),"#REF!")</f>
        <v>#REF!</v>
      </c>
      <c r="AA478" s="4" t="str">
        <f>IFERROR(__xludf.DUMMYFUNCTION("IFERROR(
  FILTER('CBK Students'!P:P, TRIM('CBK Students'!B:B) = TRIM(A478)),
  """"
)"),"#REF!")</f>
        <v>#REF!</v>
      </c>
      <c r="AB478" s="4" t="str">
        <f>IFERROR(__xludf.DUMMYFUNCTION("IFERROR(
  FILTER('CBK Students'!Q:Q, TRIM('CBK Students'!B:B) = TRIM(A478)),
  """"
)"),"#REF!")</f>
        <v>#REF!</v>
      </c>
    </row>
    <row r="479" ht="18.75" customHeight="1">
      <c r="T479" s="240" t="str">
        <f>IFERROR(__xludf.DUMMYFUNCTION("IFERROR(
  FILTER('CBK Students'!F:F, TRIM('CBK Students'!B:B) = TRIM(A479)),
  """"
)"),"#REF!")</f>
        <v>#REF!</v>
      </c>
      <c r="U479" s="240" t="str">
        <f>IFERROR(__xludf.DUMMYFUNCTION("IFERROR(
  FILTER('CBK Students'!H:H, TRIM('CBK Students'!B:B) = TRIM(A479)),
  """"
)"),"#REF!")</f>
        <v>#REF!</v>
      </c>
      <c r="V479" s="240" t="str">
        <f>IFERROR(__xludf.DUMMYFUNCTION("IFERROR(
  FILTER('CBK Students'!M:M, TRIM('CBK Students'!B:B) = TRIM(A479)),
  """"
)"),"#REF!")</f>
        <v>#REF!</v>
      </c>
      <c r="W479" s="240" t="str">
        <f t="shared" si="1"/>
        <v/>
      </c>
      <c r="X479" s="240" t="str">
        <f>IFERROR(__xludf.DUMMYFUNCTION("IFERROR(
  FILTER('CBK Students'!R:R, TRIM('CBK Students'!B:B) = TRIM(A479)),
  """"
)"),"#REF!")</f>
        <v>#REF!</v>
      </c>
      <c r="Y479" s="4" t="str">
        <f t="shared" si="2"/>
        <v/>
      </c>
      <c r="Z479" s="4" t="str">
        <f>IFERROR(__xludf.DUMMYFUNCTION("IFERROR(
  FILTER('CBK Students'!O:O, TRIM('CBK Students'!B:B) = TRIM(A479)),
  """"
)"),"#REF!")</f>
        <v>#REF!</v>
      </c>
      <c r="AA479" s="4" t="str">
        <f>IFERROR(__xludf.DUMMYFUNCTION("IFERROR(
  FILTER('CBK Students'!P:P, TRIM('CBK Students'!B:B) = TRIM(A479)),
  """"
)"),"#REF!")</f>
        <v>#REF!</v>
      </c>
      <c r="AB479" s="4" t="str">
        <f>IFERROR(__xludf.DUMMYFUNCTION("IFERROR(
  FILTER('CBK Students'!Q:Q, TRIM('CBK Students'!B:B) = TRIM(A479)),
  """"
)"),"#REF!")</f>
        <v>#REF!</v>
      </c>
    </row>
    <row r="480" ht="18.75" customHeight="1">
      <c r="T480" s="240" t="str">
        <f>IFERROR(__xludf.DUMMYFUNCTION("IFERROR(
  FILTER('CBK Students'!F:F, TRIM('CBK Students'!B:B) = TRIM(A480)),
  """"
)"),"#REF!")</f>
        <v>#REF!</v>
      </c>
      <c r="U480" s="240" t="str">
        <f>IFERROR(__xludf.DUMMYFUNCTION("IFERROR(
  FILTER('CBK Students'!H:H, TRIM('CBK Students'!B:B) = TRIM(A480)),
  """"
)"),"#REF!")</f>
        <v>#REF!</v>
      </c>
      <c r="V480" s="240" t="str">
        <f>IFERROR(__xludf.DUMMYFUNCTION("IFERROR(
  FILTER('CBK Students'!M:M, TRIM('CBK Students'!B:B) = TRIM(A480)),
  """"
)"),"#REF!")</f>
        <v>#REF!</v>
      </c>
      <c r="W480" s="240" t="str">
        <f t="shared" si="1"/>
        <v/>
      </c>
      <c r="X480" s="240" t="str">
        <f>IFERROR(__xludf.DUMMYFUNCTION("IFERROR(
  FILTER('CBK Students'!R:R, TRIM('CBK Students'!B:B) = TRIM(A480)),
  """"
)"),"#REF!")</f>
        <v>#REF!</v>
      </c>
      <c r="Y480" s="4" t="str">
        <f t="shared" si="2"/>
        <v/>
      </c>
      <c r="Z480" s="4" t="str">
        <f>IFERROR(__xludf.DUMMYFUNCTION("IFERROR(
  FILTER('CBK Students'!O:O, TRIM('CBK Students'!B:B) = TRIM(A480)),
  """"
)"),"#REF!")</f>
        <v>#REF!</v>
      </c>
      <c r="AA480" s="4" t="str">
        <f>IFERROR(__xludf.DUMMYFUNCTION("IFERROR(
  FILTER('CBK Students'!P:P, TRIM('CBK Students'!B:B) = TRIM(A480)),
  """"
)"),"#REF!")</f>
        <v>#REF!</v>
      </c>
      <c r="AB480" s="4" t="str">
        <f>IFERROR(__xludf.DUMMYFUNCTION("IFERROR(
  FILTER('CBK Students'!Q:Q, TRIM('CBK Students'!B:B) = TRIM(A480)),
  """"
)"),"#REF!")</f>
        <v>#REF!</v>
      </c>
    </row>
    <row r="481" ht="18.75" customHeight="1">
      <c r="T481" s="240" t="str">
        <f>IFERROR(__xludf.DUMMYFUNCTION("IFERROR(
  FILTER('CBK Students'!F:F, TRIM('CBK Students'!B:B) = TRIM(A481)),
  """"
)"),"#REF!")</f>
        <v>#REF!</v>
      </c>
      <c r="U481" s="240" t="str">
        <f>IFERROR(__xludf.DUMMYFUNCTION("IFERROR(
  FILTER('CBK Students'!H:H, TRIM('CBK Students'!B:B) = TRIM(A481)),
  """"
)"),"#REF!")</f>
        <v>#REF!</v>
      </c>
      <c r="V481" s="240" t="str">
        <f>IFERROR(__xludf.DUMMYFUNCTION("IFERROR(
  FILTER('CBK Students'!M:M, TRIM('CBK Students'!B:B) = TRIM(A481)),
  """"
)"),"#REF!")</f>
        <v>#REF!</v>
      </c>
      <c r="W481" s="240" t="str">
        <f t="shared" si="1"/>
        <v/>
      </c>
      <c r="X481" s="240" t="str">
        <f>IFERROR(__xludf.DUMMYFUNCTION("IFERROR(
  FILTER('CBK Students'!R:R, TRIM('CBK Students'!B:B) = TRIM(A481)),
  """"
)"),"#REF!")</f>
        <v>#REF!</v>
      </c>
      <c r="Y481" s="4" t="str">
        <f t="shared" si="2"/>
        <v/>
      </c>
      <c r="Z481" s="4" t="str">
        <f>IFERROR(__xludf.DUMMYFUNCTION("IFERROR(
  FILTER('CBK Students'!O:O, TRIM('CBK Students'!B:B) = TRIM(A481)),
  """"
)"),"#REF!")</f>
        <v>#REF!</v>
      </c>
      <c r="AA481" s="4" t="str">
        <f>IFERROR(__xludf.DUMMYFUNCTION("IFERROR(
  FILTER('CBK Students'!P:P, TRIM('CBK Students'!B:B) = TRIM(A481)),
  """"
)"),"#REF!")</f>
        <v>#REF!</v>
      </c>
      <c r="AB481" s="4" t="str">
        <f>IFERROR(__xludf.DUMMYFUNCTION("IFERROR(
  FILTER('CBK Students'!Q:Q, TRIM('CBK Students'!B:B) = TRIM(A481)),
  """"
)"),"#REF!")</f>
        <v>#REF!</v>
      </c>
    </row>
    <row r="482" ht="18.75" customHeight="1">
      <c r="T482" s="240" t="str">
        <f>IFERROR(__xludf.DUMMYFUNCTION("IFERROR(
  FILTER('CBK Students'!F:F, TRIM('CBK Students'!B:B) = TRIM(A482)),
  """"
)"),"#REF!")</f>
        <v>#REF!</v>
      </c>
      <c r="U482" s="240" t="str">
        <f>IFERROR(__xludf.DUMMYFUNCTION("IFERROR(
  FILTER('CBK Students'!H:H, TRIM('CBK Students'!B:B) = TRIM(A482)),
  """"
)"),"#REF!")</f>
        <v>#REF!</v>
      </c>
      <c r="V482" s="240" t="str">
        <f>IFERROR(__xludf.DUMMYFUNCTION("IFERROR(
  FILTER('CBK Students'!M:M, TRIM('CBK Students'!B:B) = TRIM(A482)),
  """"
)"),"#REF!")</f>
        <v>#REF!</v>
      </c>
      <c r="W482" s="240" t="str">
        <f t="shared" si="1"/>
        <v/>
      </c>
      <c r="X482" s="240" t="str">
        <f>IFERROR(__xludf.DUMMYFUNCTION("IFERROR(
  FILTER('CBK Students'!R:R, TRIM('CBK Students'!B:B) = TRIM(A482)),
  """"
)"),"#REF!")</f>
        <v>#REF!</v>
      </c>
      <c r="Y482" s="4" t="str">
        <f t="shared" si="2"/>
        <v/>
      </c>
      <c r="Z482" s="4" t="str">
        <f>IFERROR(__xludf.DUMMYFUNCTION("IFERROR(
  FILTER('CBK Students'!O:O, TRIM('CBK Students'!B:B) = TRIM(A482)),
  """"
)"),"#REF!")</f>
        <v>#REF!</v>
      </c>
      <c r="AA482" s="4" t="str">
        <f>IFERROR(__xludf.DUMMYFUNCTION("IFERROR(
  FILTER('CBK Students'!P:P, TRIM('CBK Students'!B:B) = TRIM(A482)),
  """"
)"),"#REF!")</f>
        <v>#REF!</v>
      </c>
      <c r="AB482" s="4" t="str">
        <f>IFERROR(__xludf.DUMMYFUNCTION("IFERROR(
  FILTER('CBK Students'!Q:Q, TRIM('CBK Students'!B:B) = TRIM(A482)),
  """"
)"),"#REF!")</f>
        <v>#REF!</v>
      </c>
    </row>
    <row r="483" ht="18.75" customHeight="1">
      <c r="T483" s="240" t="str">
        <f>IFERROR(__xludf.DUMMYFUNCTION("IFERROR(
  FILTER('CBK Students'!F:F, TRIM('CBK Students'!B:B) = TRIM(A483)),
  """"
)"),"#REF!")</f>
        <v>#REF!</v>
      </c>
      <c r="U483" s="240" t="str">
        <f>IFERROR(__xludf.DUMMYFUNCTION("IFERROR(
  FILTER('CBK Students'!H:H, TRIM('CBK Students'!B:B) = TRIM(A483)),
  """"
)"),"#REF!")</f>
        <v>#REF!</v>
      </c>
      <c r="V483" s="240" t="str">
        <f>IFERROR(__xludf.DUMMYFUNCTION("IFERROR(
  FILTER('CBK Students'!M:M, TRIM('CBK Students'!B:B) = TRIM(A483)),
  """"
)"),"#REF!")</f>
        <v>#REF!</v>
      </c>
      <c r="W483" s="240" t="str">
        <f t="shared" si="1"/>
        <v/>
      </c>
      <c r="X483" s="240" t="str">
        <f>IFERROR(__xludf.DUMMYFUNCTION("IFERROR(
  FILTER('CBK Students'!R:R, TRIM('CBK Students'!B:B) = TRIM(A483)),
  """"
)"),"#REF!")</f>
        <v>#REF!</v>
      </c>
      <c r="Y483" s="4" t="str">
        <f t="shared" si="2"/>
        <v/>
      </c>
      <c r="Z483" s="4" t="str">
        <f>IFERROR(__xludf.DUMMYFUNCTION("IFERROR(
  FILTER('CBK Students'!O:O, TRIM('CBK Students'!B:B) = TRIM(A483)),
  """"
)"),"#REF!")</f>
        <v>#REF!</v>
      </c>
      <c r="AA483" s="4" t="str">
        <f>IFERROR(__xludf.DUMMYFUNCTION("IFERROR(
  FILTER('CBK Students'!P:P, TRIM('CBK Students'!B:B) = TRIM(A483)),
  """"
)"),"#REF!")</f>
        <v>#REF!</v>
      </c>
      <c r="AB483" s="4" t="str">
        <f>IFERROR(__xludf.DUMMYFUNCTION("IFERROR(
  FILTER('CBK Students'!Q:Q, TRIM('CBK Students'!B:B) = TRIM(A483)),
  """"
)"),"#REF!")</f>
        <v>#REF!</v>
      </c>
    </row>
    <row r="484" ht="18.75" customHeight="1">
      <c r="T484" s="240" t="str">
        <f>IFERROR(__xludf.DUMMYFUNCTION("IFERROR(
  FILTER('CBK Students'!F:F, TRIM('CBK Students'!B:B) = TRIM(A484)),
  """"
)"),"#REF!")</f>
        <v>#REF!</v>
      </c>
      <c r="U484" s="240" t="str">
        <f>IFERROR(__xludf.DUMMYFUNCTION("IFERROR(
  FILTER('CBK Students'!H:H, TRIM('CBK Students'!B:B) = TRIM(A484)),
  """"
)"),"#REF!")</f>
        <v>#REF!</v>
      </c>
      <c r="V484" s="240" t="str">
        <f>IFERROR(__xludf.DUMMYFUNCTION("IFERROR(
  FILTER('CBK Students'!M:M, TRIM('CBK Students'!B:B) = TRIM(A484)),
  """"
)"),"#REF!")</f>
        <v>#REF!</v>
      </c>
      <c r="W484" s="240" t="str">
        <f t="shared" si="1"/>
        <v/>
      </c>
      <c r="X484" s="240" t="str">
        <f>IFERROR(__xludf.DUMMYFUNCTION("IFERROR(
  FILTER('CBK Students'!R:R, TRIM('CBK Students'!B:B) = TRIM(A484)),
  """"
)"),"#REF!")</f>
        <v>#REF!</v>
      </c>
      <c r="Y484" s="4" t="str">
        <f t="shared" si="2"/>
        <v/>
      </c>
      <c r="Z484" s="4" t="str">
        <f>IFERROR(__xludf.DUMMYFUNCTION("IFERROR(
  FILTER('CBK Students'!O:O, TRIM('CBK Students'!B:B) = TRIM(A484)),
  """"
)"),"#REF!")</f>
        <v>#REF!</v>
      </c>
      <c r="AA484" s="4" t="str">
        <f>IFERROR(__xludf.DUMMYFUNCTION("IFERROR(
  FILTER('CBK Students'!P:P, TRIM('CBK Students'!B:B) = TRIM(A484)),
  """"
)"),"#REF!")</f>
        <v>#REF!</v>
      </c>
      <c r="AB484" s="4" t="str">
        <f>IFERROR(__xludf.DUMMYFUNCTION("IFERROR(
  FILTER('CBK Students'!Q:Q, TRIM('CBK Students'!B:B) = TRIM(A484)),
  """"
)"),"#REF!")</f>
        <v>#REF!</v>
      </c>
    </row>
    <row r="485" ht="18.75" customHeight="1">
      <c r="T485" s="240" t="str">
        <f>IFERROR(__xludf.DUMMYFUNCTION("IFERROR(
  FILTER('CBK Students'!F:F, TRIM('CBK Students'!B:B) = TRIM(A485)),
  """"
)"),"#REF!")</f>
        <v>#REF!</v>
      </c>
      <c r="U485" s="240" t="str">
        <f>IFERROR(__xludf.DUMMYFUNCTION("IFERROR(
  FILTER('CBK Students'!H:H, TRIM('CBK Students'!B:B) = TRIM(A485)),
  """"
)"),"#REF!")</f>
        <v>#REF!</v>
      </c>
      <c r="V485" s="240" t="str">
        <f>IFERROR(__xludf.DUMMYFUNCTION("IFERROR(
  FILTER('CBK Students'!M:M, TRIM('CBK Students'!B:B) = TRIM(A485)),
  """"
)"),"#REF!")</f>
        <v>#REF!</v>
      </c>
      <c r="W485" s="240" t="str">
        <f t="shared" si="1"/>
        <v/>
      </c>
      <c r="X485" s="240" t="str">
        <f>IFERROR(__xludf.DUMMYFUNCTION("IFERROR(
  FILTER('CBK Students'!R:R, TRIM('CBK Students'!B:B) = TRIM(A485)),
  """"
)"),"#REF!")</f>
        <v>#REF!</v>
      </c>
      <c r="Y485" s="4" t="str">
        <f t="shared" si="2"/>
        <v/>
      </c>
      <c r="Z485" s="4" t="str">
        <f>IFERROR(__xludf.DUMMYFUNCTION("IFERROR(
  FILTER('CBK Students'!O:O, TRIM('CBK Students'!B:B) = TRIM(A485)),
  """"
)"),"#REF!")</f>
        <v>#REF!</v>
      </c>
      <c r="AA485" s="4" t="str">
        <f>IFERROR(__xludf.DUMMYFUNCTION("IFERROR(
  FILTER('CBK Students'!P:P, TRIM('CBK Students'!B:B) = TRIM(A485)),
  """"
)"),"#REF!")</f>
        <v>#REF!</v>
      </c>
      <c r="AB485" s="4" t="str">
        <f>IFERROR(__xludf.DUMMYFUNCTION("IFERROR(
  FILTER('CBK Students'!Q:Q, TRIM('CBK Students'!B:B) = TRIM(A485)),
  """"
)"),"#REF!")</f>
        <v>#REF!</v>
      </c>
    </row>
    <row r="486" ht="18.75" customHeight="1">
      <c r="T486" s="240" t="str">
        <f>IFERROR(__xludf.DUMMYFUNCTION("IFERROR(
  FILTER('CBK Students'!F:F, TRIM('CBK Students'!B:B) = TRIM(A486)),
  """"
)"),"#REF!")</f>
        <v>#REF!</v>
      </c>
      <c r="U486" s="240" t="str">
        <f>IFERROR(__xludf.DUMMYFUNCTION("IFERROR(
  FILTER('CBK Students'!H:H, TRIM('CBK Students'!B:B) = TRIM(A486)),
  """"
)"),"#REF!")</f>
        <v>#REF!</v>
      </c>
      <c r="V486" s="240" t="str">
        <f>IFERROR(__xludf.DUMMYFUNCTION("IFERROR(
  FILTER('CBK Students'!M:M, TRIM('CBK Students'!B:B) = TRIM(A486)),
  """"
)"),"#REF!")</f>
        <v>#REF!</v>
      </c>
      <c r="W486" s="240" t="str">
        <f t="shared" si="1"/>
        <v/>
      </c>
      <c r="X486" s="240" t="str">
        <f>IFERROR(__xludf.DUMMYFUNCTION("IFERROR(
  FILTER('CBK Students'!R:R, TRIM('CBK Students'!B:B) = TRIM(A486)),
  """"
)"),"#REF!")</f>
        <v>#REF!</v>
      </c>
      <c r="Y486" s="4" t="str">
        <f t="shared" si="2"/>
        <v/>
      </c>
      <c r="Z486" s="4" t="str">
        <f>IFERROR(__xludf.DUMMYFUNCTION("IFERROR(
  FILTER('CBK Students'!O:O, TRIM('CBK Students'!B:B) = TRIM(A486)),
  """"
)"),"#REF!")</f>
        <v>#REF!</v>
      </c>
      <c r="AA486" s="4" t="str">
        <f>IFERROR(__xludf.DUMMYFUNCTION("IFERROR(
  FILTER('CBK Students'!P:P, TRIM('CBK Students'!B:B) = TRIM(A486)),
  """"
)"),"#REF!")</f>
        <v>#REF!</v>
      </c>
      <c r="AB486" s="4" t="str">
        <f>IFERROR(__xludf.DUMMYFUNCTION("IFERROR(
  FILTER('CBK Students'!Q:Q, TRIM('CBK Students'!B:B) = TRIM(A486)),
  """"
)"),"#REF!")</f>
        <v>#REF!</v>
      </c>
    </row>
    <row r="487" ht="18.75" customHeight="1">
      <c r="T487" s="240" t="str">
        <f>IFERROR(__xludf.DUMMYFUNCTION("IFERROR(
  FILTER('CBK Students'!F:F, TRIM('CBK Students'!B:B) = TRIM(A487)),
  """"
)"),"#REF!")</f>
        <v>#REF!</v>
      </c>
      <c r="U487" s="240" t="str">
        <f>IFERROR(__xludf.DUMMYFUNCTION("IFERROR(
  FILTER('CBK Students'!H:H, TRIM('CBK Students'!B:B) = TRIM(A487)),
  """"
)"),"#REF!")</f>
        <v>#REF!</v>
      </c>
      <c r="V487" s="240" t="str">
        <f>IFERROR(__xludf.DUMMYFUNCTION("IFERROR(
  FILTER('CBK Students'!M:M, TRIM('CBK Students'!B:B) = TRIM(A487)),
  """"
)"),"#REF!")</f>
        <v>#REF!</v>
      </c>
      <c r="W487" s="240" t="str">
        <f t="shared" si="1"/>
        <v/>
      </c>
      <c r="X487" s="240" t="str">
        <f>IFERROR(__xludf.DUMMYFUNCTION("IFERROR(
  FILTER('CBK Students'!R:R, TRIM('CBK Students'!B:B) = TRIM(A487)),
  """"
)"),"#REF!")</f>
        <v>#REF!</v>
      </c>
      <c r="Y487" s="4" t="str">
        <f t="shared" si="2"/>
        <v/>
      </c>
      <c r="Z487" s="4" t="str">
        <f>IFERROR(__xludf.DUMMYFUNCTION("IFERROR(
  FILTER('CBK Students'!O:O, TRIM('CBK Students'!B:B) = TRIM(A487)),
  """"
)"),"#REF!")</f>
        <v>#REF!</v>
      </c>
      <c r="AA487" s="4" t="str">
        <f>IFERROR(__xludf.DUMMYFUNCTION("IFERROR(
  FILTER('CBK Students'!P:P, TRIM('CBK Students'!B:B) = TRIM(A487)),
  """"
)"),"#REF!")</f>
        <v>#REF!</v>
      </c>
      <c r="AB487" s="4" t="str">
        <f>IFERROR(__xludf.DUMMYFUNCTION("IFERROR(
  FILTER('CBK Students'!Q:Q, TRIM('CBK Students'!B:B) = TRIM(A487)),
  """"
)"),"#REF!")</f>
        <v>#REF!</v>
      </c>
    </row>
    <row r="488" ht="18.75" customHeight="1">
      <c r="T488" s="240" t="str">
        <f>IFERROR(__xludf.DUMMYFUNCTION("IFERROR(
  FILTER('CBK Students'!F:F, TRIM('CBK Students'!B:B) = TRIM(A488)),
  """"
)"),"#REF!")</f>
        <v>#REF!</v>
      </c>
      <c r="U488" s="240" t="str">
        <f>IFERROR(__xludf.DUMMYFUNCTION("IFERROR(
  FILTER('CBK Students'!H:H, TRIM('CBK Students'!B:B) = TRIM(A488)),
  """"
)"),"#REF!")</f>
        <v>#REF!</v>
      </c>
      <c r="V488" s="240" t="str">
        <f>IFERROR(__xludf.DUMMYFUNCTION("IFERROR(
  FILTER('CBK Students'!M:M, TRIM('CBK Students'!B:B) = TRIM(A488)),
  """"
)"),"#REF!")</f>
        <v>#REF!</v>
      </c>
      <c r="W488" s="240" t="str">
        <f t="shared" si="1"/>
        <v/>
      </c>
      <c r="X488" s="240" t="str">
        <f>IFERROR(__xludf.DUMMYFUNCTION("IFERROR(
  FILTER('CBK Students'!R:R, TRIM('CBK Students'!B:B) = TRIM(A488)),
  """"
)"),"#REF!")</f>
        <v>#REF!</v>
      </c>
      <c r="Y488" s="4" t="str">
        <f t="shared" si="2"/>
        <v/>
      </c>
      <c r="Z488" s="4" t="str">
        <f>IFERROR(__xludf.DUMMYFUNCTION("IFERROR(
  FILTER('CBK Students'!O:O, TRIM('CBK Students'!B:B) = TRIM(A488)),
  """"
)"),"#REF!")</f>
        <v>#REF!</v>
      </c>
      <c r="AA488" s="4" t="str">
        <f>IFERROR(__xludf.DUMMYFUNCTION("IFERROR(
  FILTER('CBK Students'!P:P, TRIM('CBK Students'!B:B) = TRIM(A488)),
  """"
)"),"#REF!")</f>
        <v>#REF!</v>
      </c>
      <c r="AB488" s="4" t="str">
        <f>IFERROR(__xludf.DUMMYFUNCTION("IFERROR(
  FILTER('CBK Students'!Q:Q, TRIM('CBK Students'!B:B) = TRIM(A488)),
  """"
)"),"#REF!")</f>
        <v>#REF!</v>
      </c>
    </row>
    <row r="489" ht="18.75" customHeight="1">
      <c r="T489" s="240" t="str">
        <f>IFERROR(__xludf.DUMMYFUNCTION("IFERROR(
  FILTER('CBK Students'!F:F, TRIM('CBK Students'!B:B) = TRIM(A489)),
  """"
)"),"#REF!")</f>
        <v>#REF!</v>
      </c>
      <c r="U489" s="240" t="str">
        <f>IFERROR(__xludf.DUMMYFUNCTION("IFERROR(
  FILTER('CBK Students'!H:H, TRIM('CBK Students'!B:B) = TRIM(A489)),
  """"
)"),"#REF!")</f>
        <v>#REF!</v>
      </c>
      <c r="V489" s="240" t="str">
        <f>IFERROR(__xludf.DUMMYFUNCTION("IFERROR(
  FILTER('CBK Students'!M:M, TRIM('CBK Students'!B:B) = TRIM(A489)),
  """"
)"),"#REF!")</f>
        <v>#REF!</v>
      </c>
      <c r="W489" s="240" t="str">
        <f t="shared" si="1"/>
        <v/>
      </c>
      <c r="X489" s="240" t="str">
        <f>IFERROR(__xludf.DUMMYFUNCTION("IFERROR(
  FILTER('CBK Students'!R:R, TRIM('CBK Students'!B:B) = TRIM(A489)),
  """"
)"),"#REF!")</f>
        <v>#REF!</v>
      </c>
      <c r="Y489" s="4" t="str">
        <f t="shared" si="2"/>
        <v/>
      </c>
      <c r="Z489" s="4" t="str">
        <f>IFERROR(__xludf.DUMMYFUNCTION("IFERROR(
  FILTER('CBK Students'!O:O, TRIM('CBK Students'!B:B) = TRIM(A489)),
  """"
)"),"#REF!")</f>
        <v>#REF!</v>
      </c>
      <c r="AA489" s="4" t="str">
        <f>IFERROR(__xludf.DUMMYFUNCTION("IFERROR(
  FILTER('CBK Students'!P:P, TRIM('CBK Students'!B:B) = TRIM(A489)),
  """"
)"),"#REF!")</f>
        <v>#REF!</v>
      </c>
      <c r="AB489" s="4" t="str">
        <f>IFERROR(__xludf.DUMMYFUNCTION("IFERROR(
  FILTER('CBK Students'!Q:Q, TRIM('CBK Students'!B:B) = TRIM(A489)),
  """"
)"),"#REF!")</f>
        <v>#REF!</v>
      </c>
    </row>
    <row r="490" ht="18.75" customHeight="1">
      <c r="T490" s="240" t="str">
        <f>IFERROR(__xludf.DUMMYFUNCTION("IFERROR(
  FILTER('CBK Students'!F:F, TRIM('CBK Students'!B:B) = TRIM(A490)),
  """"
)"),"#REF!")</f>
        <v>#REF!</v>
      </c>
      <c r="U490" s="240" t="str">
        <f>IFERROR(__xludf.DUMMYFUNCTION("IFERROR(
  FILTER('CBK Students'!H:H, TRIM('CBK Students'!B:B) = TRIM(A490)),
  """"
)"),"#REF!")</f>
        <v>#REF!</v>
      </c>
      <c r="V490" s="240" t="str">
        <f>IFERROR(__xludf.DUMMYFUNCTION("IFERROR(
  FILTER('CBK Students'!M:M, TRIM('CBK Students'!B:B) = TRIM(A490)),
  """"
)"),"#REF!")</f>
        <v>#REF!</v>
      </c>
      <c r="W490" s="240" t="str">
        <f t="shared" si="1"/>
        <v/>
      </c>
      <c r="X490" s="240" t="str">
        <f>IFERROR(__xludf.DUMMYFUNCTION("IFERROR(
  FILTER('CBK Students'!R:R, TRIM('CBK Students'!B:B) = TRIM(A490)),
  """"
)"),"#REF!")</f>
        <v>#REF!</v>
      </c>
      <c r="Y490" s="4" t="str">
        <f t="shared" si="2"/>
        <v/>
      </c>
      <c r="Z490" s="4" t="str">
        <f>IFERROR(__xludf.DUMMYFUNCTION("IFERROR(
  FILTER('CBK Students'!O:O, TRIM('CBK Students'!B:B) = TRIM(A490)),
  """"
)"),"#REF!")</f>
        <v>#REF!</v>
      </c>
      <c r="AA490" s="4" t="str">
        <f>IFERROR(__xludf.DUMMYFUNCTION("IFERROR(
  FILTER('CBK Students'!P:P, TRIM('CBK Students'!B:B) = TRIM(A490)),
  """"
)"),"#REF!")</f>
        <v>#REF!</v>
      </c>
      <c r="AB490" s="4" t="str">
        <f>IFERROR(__xludf.DUMMYFUNCTION("IFERROR(
  FILTER('CBK Students'!Q:Q, TRIM('CBK Students'!B:B) = TRIM(A490)),
  """"
)"),"#REF!")</f>
        <v>#REF!</v>
      </c>
    </row>
    <row r="491" ht="18.75" customHeight="1">
      <c r="T491" s="240" t="str">
        <f>IFERROR(__xludf.DUMMYFUNCTION("IFERROR(
  FILTER('CBK Students'!F:F, TRIM('CBK Students'!B:B) = TRIM(A491)),
  """"
)"),"#REF!")</f>
        <v>#REF!</v>
      </c>
      <c r="U491" s="240" t="str">
        <f>IFERROR(__xludf.DUMMYFUNCTION("IFERROR(
  FILTER('CBK Students'!H:H, TRIM('CBK Students'!B:B) = TRIM(A491)),
  """"
)"),"#REF!")</f>
        <v>#REF!</v>
      </c>
      <c r="V491" s="240" t="str">
        <f>IFERROR(__xludf.DUMMYFUNCTION("IFERROR(
  FILTER('CBK Students'!M:M, TRIM('CBK Students'!B:B) = TRIM(A491)),
  """"
)"),"#REF!")</f>
        <v>#REF!</v>
      </c>
      <c r="W491" s="240" t="str">
        <f t="shared" si="1"/>
        <v/>
      </c>
      <c r="X491" s="240" t="str">
        <f>IFERROR(__xludf.DUMMYFUNCTION("IFERROR(
  FILTER('CBK Students'!R:R, TRIM('CBK Students'!B:B) = TRIM(A491)),
  """"
)"),"#REF!")</f>
        <v>#REF!</v>
      </c>
      <c r="Y491" s="4" t="str">
        <f t="shared" si="2"/>
        <v/>
      </c>
      <c r="Z491" s="4" t="str">
        <f>IFERROR(__xludf.DUMMYFUNCTION("IFERROR(
  FILTER('CBK Students'!O:O, TRIM('CBK Students'!B:B) = TRIM(A491)),
  """"
)"),"#REF!")</f>
        <v>#REF!</v>
      </c>
      <c r="AA491" s="4" t="str">
        <f>IFERROR(__xludf.DUMMYFUNCTION("IFERROR(
  FILTER('CBK Students'!P:P, TRIM('CBK Students'!B:B) = TRIM(A491)),
  """"
)"),"#REF!")</f>
        <v>#REF!</v>
      </c>
      <c r="AB491" s="4" t="str">
        <f>IFERROR(__xludf.DUMMYFUNCTION("IFERROR(
  FILTER('CBK Students'!Q:Q, TRIM('CBK Students'!B:B) = TRIM(A491)),
  """"
)"),"#REF!")</f>
        <v>#REF!</v>
      </c>
    </row>
    <row r="492" ht="18.75" customHeight="1">
      <c r="T492" s="240" t="str">
        <f>IFERROR(__xludf.DUMMYFUNCTION("IFERROR(
  FILTER('CBK Students'!F:F, TRIM('CBK Students'!B:B) = TRIM(A492)),
  """"
)"),"#REF!")</f>
        <v>#REF!</v>
      </c>
      <c r="U492" s="240" t="str">
        <f>IFERROR(__xludf.DUMMYFUNCTION("IFERROR(
  FILTER('CBK Students'!H:H, TRIM('CBK Students'!B:B) = TRIM(A492)),
  """"
)"),"#REF!")</f>
        <v>#REF!</v>
      </c>
      <c r="V492" s="240" t="str">
        <f>IFERROR(__xludf.DUMMYFUNCTION("IFERROR(
  FILTER('CBK Students'!M:M, TRIM('CBK Students'!B:B) = TRIM(A492)),
  """"
)"),"#REF!")</f>
        <v>#REF!</v>
      </c>
      <c r="W492" s="240" t="str">
        <f t="shared" si="1"/>
        <v/>
      </c>
      <c r="X492" s="240" t="str">
        <f>IFERROR(__xludf.DUMMYFUNCTION("IFERROR(
  FILTER('CBK Students'!R:R, TRIM('CBK Students'!B:B) = TRIM(A492)),
  """"
)"),"#REF!")</f>
        <v>#REF!</v>
      </c>
      <c r="Y492" s="4" t="str">
        <f t="shared" si="2"/>
        <v/>
      </c>
      <c r="Z492" s="4" t="str">
        <f>IFERROR(__xludf.DUMMYFUNCTION("IFERROR(
  FILTER('CBK Students'!O:O, TRIM('CBK Students'!B:B) = TRIM(A492)),
  """"
)"),"#REF!")</f>
        <v>#REF!</v>
      </c>
      <c r="AA492" s="4" t="str">
        <f>IFERROR(__xludf.DUMMYFUNCTION("IFERROR(
  FILTER('CBK Students'!P:P, TRIM('CBK Students'!B:B) = TRIM(A492)),
  """"
)"),"#REF!")</f>
        <v>#REF!</v>
      </c>
      <c r="AB492" s="4" t="str">
        <f>IFERROR(__xludf.DUMMYFUNCTION("IFERROR(
  FILTER('CBK Students'!Q:Q, TRIM('CBK Students'!B:B) = TRIM(A492)),
  """"
)"),"#REF!")</f>
        <v>#REF!</v>
      </c>
    </row>
    <row r="493" ht="18.75" customHeight="1">
      <c r="T493" s="240" t="str">
        <f>IFERROR(__xludf.DUMMYFUNCTION("IFERROR(
  FILTER('CBK Students'!F:F, TRIM('CBK Students'!B:B) = TRIM(A493)),
  """"
)"),"#REF!")</f>
        <v>#REF!</v>
      </c>
      <c r="U493" s="240" t="str">
        <f>IFERROR(__xludf.DUMMYFUNCTION("IFERROR(
  FILTER('CBK Students'!H:H, TRIM('CBK Students'!B:B) = TRIM(A493)),
  """"
)"),"#REF!")</f>
        <v>#REF!</v>
      </c>
      <c r="V493" s="240" t="str">
        <f>IFERROR(__xludf.DUMMYFUNCTION("IFERROR(
  FILTER('CBK Students'!M:M, TRIM('CBK Students'!B:B) = TRIM(A493)),
  """"
)"),"#REF!")</f>
        <v>#REF!</v>
      </c>
      <c r="W493" s="240" t="str">
        <f t="shared" si="1"/>
        <v/>
      </c>
      <c r="X493" s="240" t="str">
        <f>IFERROR(__xludf.DUMMYFUNCTION("IFERROR(
  FILTER('CBK Students'!R:R, TRIM('CBK Students'!B:B) = TRIM(A493)),
  """"
)"),"#REF!")</f>
        <v>#REF!</v>
      </c>
      <c r="Y493" s="4" t="str">
        <f t="shared" si="2"/>
        <v/>
      </c>
      <c r="Z493" s="4" t="str">
        <f>IFERROR(__xludf.DUMMYFUNCTION("IFERROR(
  FILTER('CBK Students'!O:O, TRIM('CBK Students'!B:B) = TRIM(A493)),
  """"
)"),"#REF!")</f>
        <v>#REF!</v>
      </c>
      <c r="AA493" s="4" t="str">
        <f>IFERROR(__xludf.DUMMYFUNCTION("IFERROR(
  FILTER('CBK Students'!P:P, TRIM('CBK Students'!B:B) = TRIM(A493)),
  """"
)"),"#REF!")</f>
        <v>#REF!</v>
      </c>
      <c r="AB493" s="4" t="str">
        <f>IFERROR(__xludf.DUMMYFUNCTION("IFERROR(
  FILTER('CBK Students'!Q:Q, TRIM('CBK Students'!B:B) = TRIM(A493)),
  """"
)"),"#REF!")</f>
        <v>#REF!</v>
      </c>
    </row>
    <row r="494" ht="18.75" customHeight="1">
      <c r="T494" s="240" t="str">
        <f>IFERROR(__xludf.DUMMYFUNCTION("IFERROR(
  FILTER('CBK Students'!F:F, TRIM('CBK Students'!B:B) = TRIM(A494)),
  """"
)"),"#REF!")</f>
        <v>#REF!</v>
      </c>
      <c r="U494" s="240" t="str">
        <f>IFERROR(__xludf.DUMMYFUNCTION("IFERROR(
  FILTER('CBK Students'!H:H, TRIM('CBK Students'!B:B) = TRIM(A494)),
  """"
)"),"#REF!")</f>
        <v>#REF!</v>
      </c>
      <c r="V494" s="240" t="str">
        <f>IFERROR(__xludf.DUMMYFUNCTION("IFERROR(
  FILTER('CBK Students'!M:M, TRIM('CBK Students'!B:B) = TRIM(A494)),
  """"
)"),"#REF!")</f>
        <v>#REF!</v>
      </c>
      <c r="W494" s="240" t="str">
        <f t="shared" si="1"/>
        <v/>
      </c>
      <c r="X494" s="240" t="str">
        <f>IFERROR(__xludf.DUMMYFUNCTION("IFERROR(
  FILTER('CBK Students'!R:R, TRIM('CBK Students'!B:B) = TRIM(A494)),
  """"
)"),"#REF!")</f>
        <v>#REF!</v>
      </c>
      <c r="Y494" s="4" t="str">
        <f t="shared" si="2"/>
        <v/>
      </c>
      <c r="Z494" s="4" t="str">
        <f>IFERROR(__xludf.DUMMYFUNCTION("IFERROR(
  FILTER('CBK Students'!O:O, TRIM('CBK Students'!B:B) = TRIM(A494)),
  """"
)"),"#REF!")</f>
        <v>#REF!</v>
      </c>
      <c r="AA494" s="4" t="str">
        <f>IFERROR(__xludf.DUMMYFUNCTION("IFERROR(
  FILTER('CBK Students'!P:P, TRIM('CBK Students'!B:B) = TRIM(A494)),
  """"
)"),"#REF!")</f>
        <v>#REF!</v>
      </c>
      <c r="AB494" s="4" t="str">
        <f>IFERROR(__xludf.DUMMYFUNCTION("IFERROR(
  FILTER('CBK Students'!Q:Q, TRIM('CBK Students'!B:B) = TRIM(A494)),
  """"
)"),"#REF!")</f>
        <v>#REF!</v>
      </c>
    </row>
    <row r="495" ht="18.75" customHeight="1">
      <c r="T495" s="240" t="str">
        <f>IFERROR(__xludf.DUMMYFUNCTION("IFERROR(
  FILTER('CBK Students'!F:F, TRIM('CBK Students'!B:B) = TRIM(A495)),
  """"
)"),"#REF!")</f>
        <v>#REF!</v>
      </c>
      <c r="U495" s="240" t="str">
        <f>IFERROR(__xludf.DUMMYFUNCTION("IFERROR(
  FILTER('CBK Students'!H:H, TRIM('CBK Students'!B:B) = TRIM(A495)),
  """"
)"),"#REF!")</f>
        <v>#REF!</v>
      </c>
      <c r="V495" s="240" t="str">
        <f>IFERROR(__xludf.DUMMYFUNCTION("IFERROR(
  FILTER('CBK Students'!M:M, TRIM('CBK Students'!B:B) = TRIM(A495)),
  """"
)"),"#REF!")</f>
        <v>#REF!</v>
      </c>
      <c r="W495" s="240" t="str">
        <f t="shared" si="1"/>
        <v/>
      </c>
      <c r="X495" s="240" t="str">
        <f>IFERROR(__xludf.DUMMYFUNCTION("IFERROR(
  FILTER('CBK Students'!R:R, TRIM('CBK Students'!B:B) = TRIM(A495)),
  """"
)"),"#REF!")</f>
        <v>#REF!</v>
      </c>
      <c r="Y495" s="4" t="str">
        <f t="shared" si="2"/>
        <v/>
      </c>
      <c r="Z495" s="4" t="str">
        <f>IFERROR(__xludf.DUMMYFUNCTION("IFERROR(
  FILTER('CBK Students'!O:O, TRIM('CBK Students'!B:B) = TRIM(A495)),
  """"
)"),"#REF!")</f>
        <v>#REF!</v>
      </c>
      <c r="AA495" s="4" t="str">
        <f>IFERROR(__xludf.DUMMYFUNCTION("IFERROR(
  FILTER('CBK Students'!P:P, TRIM('CBK Students'!B:B) = TRIM(A495)),
  """"
)"),"#REF!")</f>
        <v>#REF!</v>
      </c>
      <c r="AB495" s="4" t="str">
        <f>IFERROR(__xludf.DUMMYFUNCTION("IFERROR(
  FILTER('CBK Students'!Q:Q, TRIM('CBK Students'!B:B) = TRIM(A495)),
  """"
)"),"#REF!")</f>
        <v>#REF!</v>
      </c>
    </row>
    <row r="496" ht="18.75" customHeight="1">
      <c r="T496" s="240" t="str">
        <f>IFERROR(__xludf.DUMMYFUNCTION("IFERROR(
  FILTER('CBK Students'!F:F, TRIM('CBK Students'!B:B) = TRIM(A496)),
  """"
)"),"#REF!")</f>
        <v>#REF!</v>
      </c>
      <c r="U496" s="240" t="str">
        <f>IFERROR(__xludf.DUMMYFUNCTION("IFERROR(
  FILTER('CBK Students'!H:H, TRIM('CBK Students'!B:B) = TRIM(A496)),
  """"
)"),"#REF!")</f>
        <v>#REF!</v>
      </c>
      <c r="V496" s="240" t="str">
        <f>IFERROR(__xludf.DUMMYFUNCTION("IFERROR(
  FILTER('CBK Students'!M:M, TRIM('CBK Students'!B:B) = TRIM(A496)),
  """"
)"),"#REF!")</f>
        <v>#REF!</v>
      </c>
      <c r="W496" s="240" t="str">
        <f t="shared" si="1"/>
        <v/>
      </c>
      <c r="X496" s="240" t="str">
        <f>IFERROR(__xludf.DUMMYFUNCTION("IFERROR(
  FILTER('CBK Students'!R:R, TRIM('CBK Students'!B:B) = TRIM(A496)),
  """"
)"),"#REF!")</f>
        <v>#REF!</v>
      </c>
      <c r="Y496" s="4" t="str">
        <f t="shared" si="2"/>
        <v/>
      </c>
      <c r="Z496" s="4" t="str">
        <f>IFERROR(__xludf.DUMMYFUNCTION("IFERROR(
  FILTER('CBK Students'!O:O, TRIM('CBK Students'!B:B) = TRIM(A496)),
  """"
)"),"#REF!")</f>
        <v>#REF!</v>
      </c>
      <c r="AA496" s="4" t="str">
        <f>IFERROR(__xludf.DUMMYFUNCTION("IFERROR(
  FILTER('CBK Students'!P:P, TRIM('CBK Students'!B:B) = TRIM(A496)),
  """"
)"),"#REF!")</f>
        <v>#REF!</v>
      </c>
      <c r="AB496" s="4" t="str">
        <f>IFERROR(__xludf.DUMMYFUNCTION("IFERROR(
  FILTER('CBK Students'!Q:Q, TRIM('CBK Students'!B:B) = TRIM(A496)),
  """"
)"),"#REF!")</f>
        <v>#REF!</v>
      </c>
    </row>
    <row r="497" ht="18.75" customHeight="1">
      <c r="T497" s="240" t="str">
        <f>IFERROR(__xludf.DUMMYFUNCTION("IFERROR(
  FILTER('CBK Students'!F:F, TRIM('CBK Students'!B:B) = TRIM(A497)),
  """"
)"),"#REF!")</f>
        <v>#REF!</v>
      </c>
      <c r="U497" s="240" t="str">
        <f>IFERROR(__xludf.DUMMYFUNCTION("IFERROR(
  FILTER('CBK Students'!H:H, TRIM('CBK Students'!B:B) = TRIM(A497)),
  """"
)"),"#REF!")</f>
        <v>#REF!</v>
      </c>
      <c r="V497" s="240" t="str">
        <f>IFERROR(__xludf.DUMMYFUNCTION("IFERROR(
  FILTER('CBK Students'!M:M, TRIM('CBK Students'!B:B) = TRIM(A497)),
  """"
)"),"#REF!")</f>
        <v>#REF!</v>
      </c>
      <c r="W497" s="240" t="str">
        <f t="shared" si="1"/>
        <v/>
      </c>
      <c r="X497" s="240" t="str">
        <f>IFERROR(__xludf.DUMMYFUNCTION("IFERROR(
  FILTER('CBK Students'!R:R, TRIM('CBK Students'!B:B) = TRIM(A497)),
  """"
)"),"#REF!")</f>
        <v>#REF!</v>
      </c>
      <c r="Y497" s="4" t="str">
        <f t="shared" si="2"/>
        <v/>
      </c>
      <c r="Z497" s="4" t="str">
        <f>IFERROR(__xludf.DUMMYFUNCTION("IFERROR(
  FILTER('CBK Students'!O:O, TRIM('CBK Students'!B:B) = TRIM(A497)),
  """"
)"),"#REF!")</f>
        <v>#REF!</v>
      </c>
      <c r="AA497" s="4" t="str">
        <f>IFERROR(__xludf.DUMMYFUNCTION("IFERROR(
  FILTER('CBK Students'!P:P, TRIM('CBK Students'!B:B) = TRIM(A497)),
  """"
)"),"#REF!")</f>
        <v>#REF!</v>
      </c>
      <c r="AB497" s="4" t="str">
        <f>IFERROR(__xludf.DUMMYFUNCTION("IFERROR(
  FILTER('CBK Students'!Q:Q, TRIM('CBK Students'!B:B) = TRIM(A497)),
  """"
)"),"#REF!")</f>
        <v>#REF!</v>
      </c>
    </row>
    <row r="498" ht="18.75" customHeight="1">
      <c r="T498" s="240" t="str">
        <f>IFERROR(__xludf.DUMMYFUNCTION("IFERROR(
  FILTER('CBK Students'!F:F, TRIM('CBK Students'!B:B) = TRIM(A498)),
  """"
)"),"#REF!")</f>
        <v>#REF!</v>
      </c>
      <c r="U498" s="240" t="str">
        <f>IFERROR(__xludf.DUMMYFUNCTION("IFERROR(
  FILTER('CBK Students'!H:H, TRIM('CBK Students'!B:B) = TRIM(A498)),
  """"
)"),"#REF!")</f>
        <v>#REF!</v>
      </c>
      <c r="V498" s="240" t="str">
        <f>IFERROR(__xludf.DUMMYFUNCTION("IFERROR(
  FILTER('CBK Students'!M:M, TRIM('CBK Students'!B:B) = TRIM(A498)),
  """"
)"),"#REF!")</f>
        <v>#REF!</v>
      </c>
      <c r="W498" s="240" t="str">
        <f t="shared" si="1"/>
        <v/>
      </c>
      <c r="X498" s="240" t="str">
        <f>IFERROR(__xludf.DUMMYFUNCTION("IFERROR(
  FILTER('CBK Students'!R:R, TRIM('CBK Students'!B:B) = TRIM(A498)),
  """"
)"),"#REF!")</f>
        <v>#REF!</v>
      </c>
      <c r="Y498" s="4" t="str">
        <f t="shared" si="2"/>
        <v/>
      </c>
      <c r="Z498" s="4" t="str">
        <f>IFERROR(__xludf.DUMMYFUNCTION("IFERROR(
  FILTER('CBK Students'!O:O, TRIM('CBK Students'!B:B) = TRIM(A498)),
  """"
)"),"#REF!")</f>
        <v>#REF!</v>
      </c>
      <c r="AA498" s="4" t="str">
        <f>IFERROR(__xludf.DUMMYFUNCTION("IFERROR(
  FILTER('CBK Students'!P:P, TRIM('CBK Students'!B:B) = TRIM(A498)),
  """"
)"),"#REF!")</f>
        <v>#REF!</v>
      </c>
      <c r="AB498" s="4" t="str">
        <f>IFERROR(__xludf.DUMMYFUNCTION("IFERROR(
  FILTER('CBK Students'!Q:Q, TRIM('CBK Students'!B:B) = TRIM(A498)),
  """"
)"),"#REF!")</f>
        <v>#REF!</v>
      </c>
    </row>
    <row r="499" ht="18.75" customHeight="1">
      <c r="T499" s="240" t="str">
        <f>IFERROR(__xludf.DUMMYFUNCTION("IFERROR(
  FILTER('CBK Students'!F:F, TRIM('CBK Students'!B:B) = TRIM(A499)),
  """"
)"),"#REF!")</f>
        <v>#REF!</v>
      </c>
      <c r="U499" s="240" t="str">
        <f>IFERROR(__xludf.DUMMYFUNCTION("IFERROR(
  FILTER('CBK Students'!H:H, TRIM('CBK Students'!B:B) = TRIM(A499)),
  """"
)"),"#REF!")</f>
        <v>#REF!</v>
      </c>
      <c r="V499" s="240" t="str">
        <f>IFERROR(__xludf.DUMMYFUNCTION("IFERROR(
  FILTER('CBK Students'!M:M, TRIM('CBK Students'!B:B) = TRIM(A499)),
  """"
)"),"#REF!")</f>
        <v>#REF!</v>
      </c>
      <c r="W499" s="240" t="str">
        <f t="shared" si="1"/>
        <v/>
      </c>
      <c r="X499" s="240" t="str">
        <f>IFERROR(__xludf.DUMMYFUNCTION("IFERROR(
  FILTER('CBK Students'!R:R, TRIM('CBK Students'!B:B) = TRIM(A499)),
  """"
)"),"#REF!")</f>
        <v>#REF!</v>
      </c>
      <c r="Y499" s="4" t="str">
        <f t="shared" si="2"/>
        <v/>
      </c>
      <c r="Z499" s="4" t="str">
        <f>IFERROR(__xludf.DUMMYFUNCTION("IFERROR(
  FILTER('CBK Students'!O:O, TRIM('CBK Students'!B:B) = TRIM(A499)),
  """"
)"),"#REF!")</f>
        <v>#REF!</v>
      </c>
      <c r="AA499" s="4" t="str">
        <f>IFERROR(__xludf.DUMMYFUNCTION("IFERROR(
  FILTER('CBK Students'!P:P, TRIM('CBK Students'!B:B) = TRIM(A499)),
  """"
)"),"#REF!")</f>
        <v>#REF!</v>
      </c>
      <c r="AB499" s="4" t="str">
        <f>IFERROR(__xludf.DUMMYFUNCTION("IFERROR(
  FILTER('CBK Students'!Q:Q, TRIM('CBK Students'!B:B) = TRIM(A499)),
  """"
)"),"#REF!")</f>
        <v>#REF!</v>
      </c>
    </row>
    <row r="500" ht="18.75" customHeight="1">
      <c r="T500" s="240" t="str">
        <f>IFERROR(__xludf.DUMMYFUNCTION("IFERROR(
  FILTER('CBK Students'!F:F, TRIM('CBK Students'!B:B) = TRIM(A500)),
  """"
)"),"#REF!")</f>
        <v>#REF!</v>
      </c>
      <c r="U500" s="240" t="str">
        <f>IFERROR(__xludf.DUMMYFUNCTION("IFERROR(
  FILTER('CBK Students'!H:H, TRIM('CBK Students'!B:B) = TRIM(A500)),
  """"
)"),"#REF!")</f>
        <v>#REF!</v>
      </c>
      <c r="V500" s="240" t="str">
        <f>IFERROR(__xludf.DUMMYFUNCTION("IFERROR(
  FILTER('CBK Students'!M:M, TRIM('CBK Students'!B:B) = TRIM(A500)),
  """"
)"),"#REF!")</f>
        <v>#REF!</v>
      </c>
      <c r="W500" s="240" t="str">
        <f t="shared" si="1"/>
        <v/>
      </c>
      <c r="X500" s="240" t="str">
        <f>IFERROR(__xludf.DUMMYFUNCTION("IFERROR(
  FILTER('CBK Students'!R:R, TRIM('CBK Students'!B:B) = TRIM(A500)),
  """"
)"),"#REF!")</f>
        <v>#REF!</v>
      </c>
      <c r="Y500" s="4" t="str">
        <f t="shared" si="2"/>
        <v/>
      </c>
      <c r="Z500" s="4" t="str">
        <f>IFERROR(__xludf.DUMMYFUNCTION("IFERROR(
  FILTER('CBK Students'!O:O, TRIM('CBK Students'!B:B) = TRIM(A500)),
  """"
)"),"#REF!")</f>
        <v>#REF!</v>
      </c>
      <c r="AA500" s="4" t="str">
        <f>IFERROR(__xludf.DUMMYFUNCTION("IFERROR(
  FILTER('CBK Students'!P:P, TRIM('CBK Students'!B:B) = TRIM(A500)),
  """"
)"),"#REF!")</f>
        <v>#REF!</v>
      </c>
      <c r="AB500" s="4" t="str">
        <f>IFERROR(__xludf.DUMMYFUNCTION("IFERROR(
  FILTER('CBK Students'!Q:Q, TRIM('CBK Students'!B:B) = TRIM(A500)),
  """"
)"),"#REF!")</f>
        <v>#REF!</v>
      </c>
    </row>
    <row r="501" ht="18.75" customHeight="1">
      <c r="T501" s="240" t="str">
        <f>IFERROR(__xludf.DUMMYFUNCTION("IFERROR(
  FILTER('CBK Students'!F:F, TRIM('CBK Students'!B:B) = TRIM(A501)),
  """"
)"),"#REF!")</f>
        <v>#REF!</v>
      </c>
      <c r="U501" s="240" t="str">
        <f>IFERROR(__xludf.DUMMYFUNCTION("IFERROR(
  FILTER('CBK Students'!H:H, TRIM('CBK Students'!B:B) = TRIM(A501)),
  """"
)"),"#REF!")</f>
        <v>#REF!</v>
      </c>
      <c r="V501" s="240" t="str">
        <f>IFERROR(__xludf.DUMMYFUNCTION("IFERROR(
  FILTER('CBK Students'!M:M, TRIM('CBK Students'!B:B) = TRIM(A501)),
  """"
)"),"#REF!")</f>
        <v>#REF!</v>
      </c>
      <c r="W501" s="240" t="str">
        <f t="shared" si="1"/>
        <v/>
      </c>
      <c r="X501" s="240" t="str">
        <f>IFERROR(__xludf.DUMMYFUNCTION("IFERROR(
  FILTER('CBK Students'!R:R, TRIM('CBK Students'!B:B) = TRIM(A501)),
  """"
)"),"#REF!")</f>
        <v>#REF!</v>
      </c>
      <c r="Y501" s="4" t="str">
        <f t="shared" si="2"/>
        <v/>
      </c>
      <c r="Z501" s="4" t="str">
        <f>IFERROR(__xludf.DUMMYFUNCTION("IFERROR(
  FILTER('CBK Students'!O:O, TRIM('CBK Students'!B:B) = TRIM(A501)),
  """"
)"),"#REF!")</f>
        <v>#REF!</v>
      </c>
      <c r="AA501" s="4" t="str">
        <f>IFERROR(__xludf.DUMMYFUNCTION("IFERROR(
  FILTER('CBK Students'!P:P, TRIM('CBK Students'!B:B) = TRIM(A501)),
  """"
)"),"#REF!")</f>
        <v>#REF!</v>
      </c>
      <c r="AB501" s="4" t="str">
        <f>IFERROR(__xludf.DUMMYFUNCTION("IFERROR(
  FILTER('CBK Students'!Q:Q, TRIM('CBK Students'!B:B) = TRIM(A501)),
  """"
)"),"#REF!")</f>
        <v>#REF!</v>
      </c>
    </row>
    <row r="502" ht="18.75" customHeight="1">
      <c r="T502" s="240" t="str">
        <f>IFERROR(__xludf.DUMMYFUNCTION("IFERROR(
  FILTER('CBK Students'!F:F, TRIM('CBK Students'!B:B) = TRIM(A502)),
  """"
)"),"#REF!")</f>
        <v>#REF!</v>
      </c>
      <c r="U502" s="240" t="str">
        <f>IFERROR(__xludf.DUMMYFUNCTION("IFERROR(
  FILTER('CBK Students'!H:H, TRIM('CBK Students'!B:B) = TRIM(A502)),
  """"
)"),"#REF!")</f>
        <v>#REF!</v>
      </c>
      <c r="V502" s="240" t="str">
        <f>IFERROR(__xludf.DUMMYFUNCTION("IFERROR(
  FILTER('CBK Students'!M:M, TRIM('CBK Students'!B:B) = TRIM(A502)),
  """"
)"),"#REF!")</f>
        <v>#REF!</v>
      </c>
      <c r="W502" s="240" t="str">
        <f t="shared" si="1"/>
        <v/>
      </c>
      <c r="X502" s="240" t="str">
        <f>IFERROR(__xludf.DUMMYFUNCTION("IFERROR(
  FILTER('CBK Students'!R:R, TRIM('CBK Students'!B:B) = TRIM(A502)),
  """"
)"),"#REF!")</f>
        <v>#REF!</v>
      </c>
      <c r="Y502" s="4" t="str">
        <f t="shared" si="2"/>
        <v/>
      </c>
      <c r="Z502" s="4" t="str">
        <f>IFERROR(__xludf.DUMMYFUNCTION("IFERROR(
  FILTER('CBK Students'!O:O, TRIM('CBK Students'!B:B) = TRIM(A502)),
  """"
)"),"#REF!")</f>
        <v>#REF!</v>
      </c>
      <c r="AA502" s="4" t="str">
        <f>IFERROR(__xludf.DUMMYFUNCTION("IFERROR(
  FILTER('CBK Students'!P:P, TRIM('CBK Students'!B:B) = TRIM(A502)),
  """"
)"),"#REF!")</f>
        <v>#REF!</v>
      </c>
      <c r="AB502" s="4" t="str">
        <f>IFERROR(__xludf.DUMMYFUNCTION("IFERROR(
  FILTER('CBK Students'!Q:Q, TRIM('CBK Students'!B:B) = TRIM(A502)),
  """"
)"),"#REF!")</f>
        <v>#REF!</v>
      </c>
    </row>
    <row r="503" ht="18.75" customHeight="1">
      <c r="T503" s="240" t="str">
        <f>IFERROR(__xludf.DUMMYFUNCTION("IFERROR(
  FILTER('CBK Students'!F:F, TRIM('CBK Students'!B:B) = TRIM(A503)),
  """"
)"),"#REF!")</f>
        <v>#REF!</v>
      </c>
      <c r="U503" s="240" t="str">
        <f>IFERROR(__xludf.DUMMYFUNCTION("IFERROR(
  FILTER('CBK Students'!H:H, TRIM('CBK Students'!B:B) = TRIM(A503)),
  """"
)"),"#REF!")</f>
        <v>#REF!</v>
      </c>
      <c r="V503" s="240" t="str">
        <f>IFERROR(__xludf.DUMMYFUNCTION("IFERROR(
  FILTER('CBK Students'!M:M, TRIM('CBK Students'!B:B) = TRIM(A503)),
  """"
)"),"#REF!")</f>
        <v>#REF!</v>
      </c>
      <c r="W503" s="240" t="str">
        <f t="shared" si="1"/>
        <v/>
      </c>
      <c r="X503" s="240" t="str">
        <f>IFERROR(__xludf.DUMMYFUNCTION("IFERROR(
  FILTER('CBK Students'!R:R, TRIM('CBK Students'!B:B) = TRIM(A503)),
  """"
)"),"#REF!")</f>
        <v>#REF!</v>
      </c>
      <c r="Y503" s="4" t="str">
        <f t="shared" si="2"/>
        <v/>
      </c>
      <c r="Z503" s="4" t="str">
        <f>IFERROR(__xludf.DUMMYFUNCTION("IFERROR(
  FILTER('CBK Students'!O:O, TRIM('CBK Students'!B:B) = TRIM(A503)),
  """"
)"),"#REF!")</f>
        <v>#REF!</v>
      </c>
      <c r="AA503" s="4" t="str">
        <f>IFERROR(__xludf.DUMMYFUNCTION("IFERROR(
  FILTER('CBK Students'!P:P, TRIM('CBK Students'!B:B) = TRIM(A503)),
  """"
)"),"#REF!")</f>
        <v>#REF!</v>
      </c>
      <c r="AB503" s="4" t="str">
        <f>IFERROR(__xludf.DUMMYFUNCTION("IFERROR(
  FILTER('CBK Students'!Q:Q, TRIM('CBK Students'!B:B) = TRIM(A503)),
  """"
)"),"#REF!")</f>
        <v>#REF!</v>
      </c>
    </row>
    <row r="504" ht="18.75" customHeight="1">
      <c r="T504" s="240" t="str">
        <f>IFERROR(__xludf.DUMMYFUNCTION("IFERROR(
  FILTER('CBK Students'!F:F, TRIM('CBK Students'!B:B) = TRIM(A504)),
  """"
)"),"#REF!")</f>
        <v>#REF!</v>
      </c>
      <c r="U504" s="240" t="str">
        <f>IFERROR(__xludf.DUMMYFUNCTION("IFERROR(
  FILTER('CBK Students'!H:H, TRIM('CBK Students'!B:B) = TRIM(A504)),
  """"
)"),"#REF!")</f>
        <v>#REF!</v>
      </c>
      <c r="V504" s="240" t="str">
        <f>IFERROR(__xludf.DUMMYFUNCTION("IFERROR(
  FILTER('CBK Students'!M:M, TRIM('CBK Students'!B:B) = TRIM(A504)),
  """"
)"),"#REF!")</f>
        <v>#REF!</v>
      </c>
      <c r="W504" s="240" t="str">
        <f t="shared" si="1"/>
        <v/>
      </c>
      <c r="X504" s="240" t="str">
        <f>IFERROR(__xludf.DUMMYFUNCTION("IFERROR(
  FILTER('CBK Students'!R:R, TRIM('CBK Students'!B:B) = TRIM(A504)),
  """"
)"),"#REF!")</f>
        <v>#REF!</v>
      </c>
      <c r="Y504" s="4" t="str">
        <f t="shared" si="2"/>
        <v/>
      </c>
      <c r="Z504" s="4" t="str">
        <f>IFERROR(__xludf.DUMMYFUNCTION("IFERROR(
  FILTER('CBK Students'!O:O, TRIM('CBK Students'!B:B) = TRIM(A504)),
  """"
)"),"#REF!")</f>
        <v>#REF!</v>
      </c>
      <c r="AA504" s="4" t="str">
        <f>IFERROR(__xludf.DUMMYFUNCTION("IFERROR(
  FILTER('CBK Students'!P:P, TRIM('CBK Students'!B:B) = TRIM(A504)),
  """"
)"),"#REF!")</f>
        <v>#REF!</v>
      </c>
      <c r="AB504" s="4" t="str">
        <f>IFERROR(__xludf.DUMMYFUNCTION("IFERROR(
  FILTER('CBK Students'!Q:Q, TRIM('CBK Students'!B:B) = TRIM(A504)),
  """"
)"),"#REF!")</f>
        <v>#REF!</v>
      </c>
    </row>
    <row r="505" ht="18.75" customHeight="1">
      <c r="T505" s="240" t="str">
        <f>IFERROR(__xludf.DUMMYFUNCTION("IFERROR(
  FILTER('CBK Students'!F:F, TRIM('CBK Students'!B:B) = TRIM(A505)),
  """"
)"),"#REF!")</f>
        <v>#REF!</v>
      </c>
      <c r="U505" s="240" t="str">
        <f>IFERROR(__xludf.DUMMYFUNCTION("IFERROR(
  FILTER('CBK Students'!H:H, TRIM('CBK Students'!B:B) = TRIM(A505)),
  """"
)"),"#REF!")</f>
        <v>#REF!</v>
      </c>
      <c r="V505" s="240" t="str">
        <f>IFERROR(__xludf.DUMMYFUNCTION("IFERROR(
  FILTER('CBK Students'!M:M, TRIM('CBK Students'!B:B) = TRIM(A505)),
  """"
)"),"#REF!")</f>
        <v>#REF!</v>
      </c>
      <c r="W505" s="240" t="str">
        <f t="shared" si="1"/>
        <v/>
      </c>
      <c r="X505" s="240" t="str">
        <f>IFERROR(__xludf.DUMMYFUNCTION("IFERROR(
  FILTER('CBK Students'!R:R, TRIM('CBK Students'!B:B) = TRIM(A505)),
  """"
)"),"#REF!")</f>
        <v>#REF!</v>
      </c>
      <c r="Y505" s="4" t="str">
        <f t="shared" si="2"/>
        <v/>
      </c>
      <c r="Z505" s="4" t="str">
        <f>IFERROR(__xludf.DUMMYFUNCTION("IFERROR(
  FILTER('CBK Students'!O:O, TRIM('CBK Students'!B:B) = TRIM(A505)),
  """"
)"),"#REF!")</f>
        <v>#REF!</v>
      </c>
      <c r="AA505" s="4" t="str">
        <f>IFERROR(__xludf.DUMMYFUNCTION("IFERROR(
  FILTER('CBK Students'!P:P, TRIM('CBK Students'!B:B) = TRIM(A505)),
  """"
)"),"#REF!")</f>
        <v>#REF!</v>
      </c>
      <c r="AB505" s="4" t="str">
        <f>IFERROR(__xludf.DUMMYFUNCTION("IFERROR(
  FILTER('CBK Students'!Q:Q, TRIM('CBK Students'!B:B) = TRIM(A505)),
  """"
)"),"#REF!")</f>
        <v>#REF!</v>
      </c>
    </row>
    <row r="506" ht="18.75" customHeight="1">
      <c r="T506" s="240" t="str">
        <f>IFERROR(__xludf.DUMMYFUNCTION("IFERROR(
  FILTER('CBK Students'!F:F, TRIM('CBK Students'!B:B) = TRIM(A506)),
  """"
)"),"#REF!")</f>
        <v>#REF!</v>
      </c>
      <c r="U506" s="240" t="str">
        <f>IFERROR(__xludf.DUMMYFUNCTION("IFERROR(
  FILTER('CBK Students'!H:H, TRIM('CBK Students'!B:B) = TRIM(A506)),
  """"
)"),"#REF!")</f>
        <v>#REF!</v>
      </c>
      <c r="V506" s="240" t="str">
        <f>IFERROR(__xludf.DUMMYFUNCTION("IFERROR(
  FILTER('CBK Students'!M:M, TRIM('CBK Students'!B:B) = TRIM(A506)),
  """"
)"),"#REF!")</f>
        <v>#REF!</v>
      </c>
      <c r="W506" s="240" t="str">
        <f t="shared" si="1"/>
        <v/>
      </c>
      <c r="X506" s="240" t="str">
        <f>IFERROR(__xludf.DUMMYFUNCTION("IFERROR(
  FILTER('CBK Students'!R:R, TRIM('CBK Students'!B:B) = TRIM(A506)),
  """"
)"),"#REF!")</f>
        <v>#REF!</v>
      </c>
      <c r="Y506" s="4" t="str">
        <f t="shared" si="2"/>
        <v/>
      </c>
      <c r="Z506" s="4" t="str">
        <f>IFERROR(__xludf.DUMMYFUNCTION("IFERROR(
  FILTER('CBK Students'!O:O, TRIM('CBK Students'!B:B) = TRIM(A506)),
  """"
)"),"#REF!")</f>
        <v>#REF!</v>
      </c>
      <c r="AA506" s="4" t="str">
        <f>IFERROR(__xludf.DUMMYFUNCTION("IFERROR(
  FILTER('CBK Students'!P:P, TRIM('CBK Students'!B:B) = TRIM(A506)),
  """"
)"),"#REF!")</f>
        <v>#REF!</v>
      </c>
      <c r="AB506" s="4" t="str">
        <f>IFERROR(__xludf.DUMMYFUNCTION("IFERROR(
  FILTER('CBK Students'!Q:Q, TRIM('CBK Students'!B:B) = TRIM(A506)),
  """"
)"),"#REF!")</f>
        <v>#REF!</v>
      </c>
    </row>
    <row r="507" ht="18.75" customHeight="1">
      <c r="T507" s="240" t="str">
        <f>IFERROR(__xludf.DUMMYFUNCTION("IFERROR(
  FILTER('CBK Students'!F:F, TRIM('CBK Students'!B:B) = TRIM(A507)),
  """"
)"),"#REF!")</f>
        <v>#REF!</v>
      </c>
      <c r="U507" s="240" t="str">
        <f>IFERROR(__xludf.DUMMYFUNCTION("IFERROR(
  FILTER('CBK Students'!H:H, TRIM('CBK Students'!B:B) = TRIM(A507)),
  """"
)"),"#REF!")</f>
        <v>#REF!</v>
      </c>
      <c r="V507" s="240" t="str">
        <f>IFERROR(__xludf.DUMMYFUNCTION("IFERROR(
  FILTER('CBK Students'!M:M, TRIM('CBK Students'!B:B) = TRIM(A507)),
  """"
)"),"#REF!")</f>
        <v>#REF!</v>
      </c>
      <c r="W507" s="240" t="str">
        <f t="shared" si="1"/>
        <v/>
      </c>
      <c r="X507" s="240" t="str">
        <f>IFERROR(__xludf.DUMMYFUNCTION("IFERROR(
  FILTER('CBK Students'!R:R, TRIM('CBK Students'!B:B) = TRIM(A507)),
  """"
)"),"#REF!")</f>
        <v>#REF!</v>
      </c>
      <c r="Y507" s="4" t="str">
        <f t="shared" si="2"/>
        <v/>
      </c>
      <c r="Z507" s="4" t="str">
        <f>IFERROR(__xludf.DUMMYFUNCTION("IFERROR(
  FILTER('CBK Students'!O:O, TRIM('CBK Students'!B:B) = TRIM(A507)),
  """"
)"),"#REF!")</f>
        <v>#REF!</v>
      </c>
      <c r="AA507" s="4" t="str">
        <f>IFERROR(__xludf.DUMMYFUNCTION("IFERROR(
  FILTER('CBK Students'!P:P, TRIM('CBK Students'!B:B) = TRIM(A507)),
  """"
)"),"#REF!")</f>
        <v>#REF!</v>
      </c>
      <c r="AB507" s="4" t="str">
        <f>IFERROR(__xludf.DUMMYFUNCTION("IFERROR(
  FILTER('CBK Students'!Q:Q, TRIM('CBK Students'!B:B) = TRIM(A507)),
  """"
)"),"#REF!")</f>
        <v>#REF!</v>
      </c>
    </row>
    <row r="508" ht="18.75" customHeight="1">
      <c r="T508" s="240" t="str">
        <f>IFERROR(__xludf.DUMMYFUNCTION("IFERROR(
  FILTER('CBK Students'!F:F, TRIM('CBK Students'!B:B) = TRIM(A508)),
  """"
)"),"#REF!")</f>
        <v>#REF!</v>
      </c>
      <c r="U508" s="240" t="str">
        <f>IFERROR(__xludf.DUMMYFUNCTION("IFERROR(
  FILTER('CBK Students'!H:H, TRIM('CBK Students'!B:B) = TRIM(A508)),
  """"
)"),"#REF!")</f>
        <v>#REF!</v>
      </c>
      <c r="V508" s="240" t="str">
        <f>IFERROR(__xludf.DUMMYFUNCTION("IFERROR(
  FILTER('CBK Students'!M:M, TRIM('CBK Students'!B:B) = TRIM(A508)),
  """"
)"),"#REF!")</f>
        <v>#REF!</v>
      </c>
      <c r="W508" s="240" t="str">
        <f t="shared" si="1"/>
        <v/>
      </c>
      <c r="X508" s="240" t="str">
        <f>IFERROR(__xludf.DUMMYFUNCTION("IFERROR(
  FILTER('CBK Students'!R:R, TRIM('CBK Students'!B:B) = TRIM(A508)),
  """"
)"),"#REF!")</f>
        <v>#REF!</v>
      </c>
      <c r="Y508" s="4" t="str">
        <f t="shared" si="2"/>
        <v/>
      </c>
      <c r="Z508" s="4" t="str">
        <f>IFERROR(__xludf.DUMMYFUNCTION("IFERROR(
  FILTER('CBK Students'!O:O, TRIM('CBK Students'!B:B) = TRIM(A508)),
  """"
)"),"#REF!")</f>
        <v>#REF!</v>
      </c>
      <c r="AA508" s="4" t="str">
        <f>IFERROR(__xludf.DUMMYFUNCTION("IFERROR(
  FILTER('CBK Students'!P:P, TRIM('CBK Students'!B:B) = TRIM(A508)),
  """"
)"),"#REF!")</f>
        <v>#REF!</v>
      </c>
      <c r="AB508" s="4" t="str">
        <f>IFERROR(__xludf.DUMMYFUNCTION("IFERROR(
  FILTER('CBK Students'!Q:Q, TRIM('CBK Students'!B:B) = TRIM(A508)),
  """"
)"),"#REF!")</f>
        <v>#REF!</v>
      </c>
    </row>
    <row r="509" ht="18.75" customHeight="1">
      <c r="T509" s="240" t="str">
        <f>IFERROR(__xludf.DUMMYFUNCTION("IFERROR(
  FILTER('CBK Students'!F:F, TRIM('CBK Students'!B:B) = TRIM(A509)),
  """"
)"),"#REF!")</f>
        <v>#REF!</v>
      </c>
      <c r="U509" s="240" t="str">
        <f>IFERROR(__xludf.DUMMYFUNCTION("IFERROR(
  FILTER('CBK Students'!H:H, TRIM('CBK Students'!B:B) = TRIM(A509)),
  """"
)"),"#REF!")</f>
        <v>#REF!</v>
      </c>
      <c r="V509" s="240" t="str">
        <f>IFERROR(__xludf.DUMMYFUNCTION("IFERROR(
  FILTER('CBK Students'!M:M, TRIM('CBK Students'!B:B) = TRIM(A509)),
  """"
)"),"#REF!")</f>
        <v>#REF!</v>
      </c>
      <c r="W509" s="240" t="str">
        <f t="shared" si="1"/>
        <v/>
      </c>
      <c r="X509" s="240" t="str">
        <f>IFERROR(__xludf.DUMMYFUNCTION("IFERROR(
  FILTER('CBK Students'!R:R, TRIM('CBK Students'!B:B) = TRIM(A509)),
  """"
)"),"#REF!")</f>
        <v>#REF!</v>
      </c>
      <c r="Y509" s="4" t="str">
        <f t="shared" si="2"/>
        <v/>
      </c>
      <c r="Z509" s="4" t="str">
        <f>IFERROR(__xludf.DUMMYFUNCTION("IFERROR(
  FILTER('CBK Students'!O:O, TRIM('CBK Students'!B:B) = TRIM(A509)),
  """"
)"),"#REF!")</f>
        <v>#REF!</v>
      </c>
      <c r="AA509" s="4" t="str">
        <f>IFERROR(__xludf.DUMMYFUNCTION("IFERROR(
  FILTER('CBK Students'!P:P, TRIM('CBK Students'!B:B) = TRIM(A509)),
  """"
)"),"#REF!")</f>
        <v>#REF!</v>
      </c>
      <c r="AB509" s="4" t="str">
        <f>IFERROR(__xludf.DUMMYFUNCTION("IFERROR(
  FILTER('CBK Students'!Q:Q, TRIM('CBK Students'!B:B) = TRIM(A509)),
  """"
)"),"#REF!")</f>
        <v>#REF!</v>
      </c>
    </row>
    <row r="510" ht="18.75" customHeight="1">
      <c r="T510" s="240" t="str">
        <f>IFERROR(__xludf.DUMMYFUNCTION("IFERROR(
  FILTER('CBK Students'!F:F, TRIM('CBK Students'!B:B) = TRIM(A510)),
  """"
)"),"#REF!")</f>
        <v>#REF!</v>
      </c>
      <c r="U510" s="240" t="str">
        <f>IFERROR(__xludf.DUMMYFUNCTION("IFERROR(
  FILTER('CBK Students'!H:H, TRIM('CBK Students'!B:B) = TRIM(A510)),
  """"
)"),"#REF!")</f>
        <v>#REF!</v>
      </c>
      <c r="V510" s="240" t="str">
        <f>IFERROR(__xludf.DUMMYFUNCTION("IFERROR(
  FILTER('CBK Students'!M:M, TRIM('CBK Students'!B:B) = TRIM(A510)),
  """"
)"),"#REF!")</f>
        <v>#REF!</v>
      </c>
      <c r="W510" s="240" t="str">
        <f t="shared" si="1"/>
        <v/>
      </c>
      <c r="X510" s="240" t="str">
        <f>IFERROR(__xludf.DUMMYFUNCTION("IFERROR(
  FILTER('CBK Students'!R:R, TRIM('CBK Students'!B:B) = TRIM(A510)),
  """"
)"),"#REF!")</f>
        <v>#REF!</v>
      </c>
      <c r="Y510" s="4" t="str">
        <f t="shared" si="2"/>
        <v/>
      </c>
      <c r="Z510" s="4" t="str">
        <f>IFERROR(__xludf.DUMMYFUNCTION("IFERROR(
  FILTER('CBK Students'!O:O, TRIM('CBK Students'!B:B) = TRIM(A510)),
  """"
)"),"#REF!")</f>
        <v>#REF!</v>
      </c>
      <c r="AA510" s="4" t="str">
        <f>IFERROR(__xludf.DUMMYFUNCTION("IFERROR(
  FILTER('CBK Students'!P:P, TRIM('CBK Students'!B:B) = TRIM(A510)),
  """"
)"),"#REF!")</f>
        <v>#REF!</v>
      </c>
      <c r="AB510" s="4" t="str">
        <f>IFERROR(__xludf.DUMMYFUNCTION("IFERROR(
  FILTER('CBK Students'!Q:Q, TRIM('CBK Students'!B:B) = TRIM(A510)),
  """"
)"),"#REF!")</f>
        <v>#REF!</v>
      </c>
    </row>
    <row r="511" ht="18.75" customHeight="1">
      <c r="T511" s="240" t="str">
        <f>IFERROR(__xludf.DUMMYFUNCTION("IFERROR(
  FILTER('CBK Students'!F:F, TRIM('CBK Students'!B:B) = TRIM(A511)),
  """"
)"),"#REF!")</f>
        <v>#REF!</v>
      </c>
      <c r="U511" s="240" t="str">
        <f>IFERROR(__xludf.DUMMYFUNCTION("IFERROR(
  FILTER('CBK Students'!H:H, TRIM('CBK Students'!B:B) = TRIM(A511)),
  """"
)"),"#REF!")</f>
        <v>#REF!</v>
      </c>
      <c r="V511" s="240" t="str">
        <f>IFERROR(__xludf.DUMMYFUNCTION("IFERROR(
  FILTER('CBK Students'!M:M, TRIM('CBK Students'!B:B) = TRIM(A511)),
  """"
)"),"#REF!")</f>
        <v>#REF!</v>
      </c>
      <c r="W511" s="240" t="str">
        <f t="shared" si="1"/>
        <v/>
      </c>
      <c r="X511" s="240" t="str">
        <f>IFERROR(__xludf.DUMMYFUNCTION("IFERROR(
  FILTER('CBK Students'!R:R, TRIM('CBK Students'!B:B) = TRIM(A511)),
  """"
)"),"#REF!")</f>
        <v>#REF!</v>
      </c>
      <c r="Y511" s="4" t="str">
        <f t="shared" si="2"/>
        <v/>
      </c>
      <c r="Z511" s="4" t="str">
        <f>IFERROR(__xludf.DUMMYFUNCTION("IFERROR(
  FILTER('CBK Students'!O:O, TRIM('CBK Students'!B:B) = TRIM(A511)),
  """"
)"),"#REF!")</f>
        <v>#REF!</v>
      </c>
      <c r="AA511" s="4" t="str">
        <f>IFERROR(__xludf.DUMMYFUNCTION("IFERROR(
  FILTER('CBK Students'!P:P, TRIM('CBK Students'!B:B) = TRIM(A511)),
  """"
)"),"#REF!")</f>
        <v>#REF!</v>
      </c>
      <c r="AB511" s="4" t="str">
        <f>IFERROR(__xludf.DUMMYFUNCTION("IFERROR(
  FILTER('CBK Students'!Q:Q, TRIM('CBK Students'!B:B) = TRIM(A511)),
  """"
)"),"#REF!")</f>
        <v>#REF!</v>
      </c>
    </row>
    <row r="512" ht="18.75" customHeight="1">
      <c r="T512" s="240" t="str">
        <f>IFERROR(__xludf.DUMMYFUNCTION("IFERROR(
  FILTER('CBK Students'!F:F, TRIM('CBK Students'!B:B) = TRIM(A512)),
  """"
)"),"#REF!")</f>
        <v>#REF!</v>
      </c>
      <c r="U512" s="240" t="str">
        <f>IFERROR(__xludf.DUMMYFUNCTION("IFERROR(
  FILTER('CBK Students'!H:H, TRIM('CBK Students'!B:B) = TRIM(A512)),
  """"
)"),"#REF!")</f>
        <v>#REF!</v>
      </c>
      <c r="V512" s="240" t="str">
        <f>IFERROR(__xludf.DUMMYFUNCTION("IFERROR(
  FILTER('CBK Students'!M:M, TRIM('CBK Students'!B:B) = TRIM(A512)),
  """"
)"),"#REF!")</f>
        <v>#REF!</v>
      </c>
      <c r="W512" s="240" t="str">
        <f t="shared" si="1"/>
        <v/>
      </c>
      <c r="X512" s="240" t="str">
        <f>IFERROR(__xludf.DUMMYFUNCTION("IFERROR(
  FILTER('CBK Students'!R:R, TRIM('CBK Students'!B:B) = TRIM(A512)),
  """"
)"),"#REF!")</f>
        <v>#REF!</v>
      </c>
      <c r="Y512" s="4" t="str">
        <f t="shared" si="2"/>
        <v/>
      </c>
      <c r="Z512" s="4" t="str">
        <f>IFERROR(__xludf.DUMMYFUNCTION("IFERROR(
  FILTER('CBK Students'!O:O, TRIM('CBK Students'!B:B) = TRIM(A512)),
  """"
)"),"#REF!")</f>
        <v>#REF!</v>
      </c>
      <c r="AA512" s="4" t="str">
        <f>IFERROR(__xludf.DUMMYFUNCTION("IFERROR(
  FILTER('CBK Students'!P:P, TRIM('CBK Students'!B:B) = TRIM(A512)),
  """"
)"),"#REF!")</f>
        <v>#REF!</v>
      </c>
      <c r="AB512" s="4" t="str">
        <f>IFERROR(__xludf.DUMMYFUNCTION("IFERROR(
  FILTER('CBK Students'!Q:Q, TRIM('CBK Students'!B:B) = TRIM(A512)),
  """"
)"),"#REF!")</f>
        <v>#REF!</v>
      </c>
    </row>
    <row r="513" ht="18.75" customHeight="1">
      <c r="T513" s="240" t="str">
        <f>IFERROR(__xludf.DUMMYFUNCTION("IFERROR(
  FILTER('CBK Students'!F:F, TRIM('CBK Students'!B:B) = TRIM(A513)),
  """"
)"),"#REF!")</f>
        <v>#REF!</v>
      </c>
      <c r="U513" s="240" t="str">
        <f>IFERROR(__xludf.DUMMYFUNCTION("IFERROR(
  FILTER('CBK Students'!H:H, TRIM('CBK Students'!B:B) = TRIM(A513)),
  """"
)"),"#REF!")</f>
        <v>#REF!</v>
      </c>
      <c r="V513" s="240" t="str">
        <f>IFERROR(__xludf.DUMMYFUNCTION("IFERROR(
  FILTER('CBK Students'!M:M, TRIM('CBK Students'!B:B) = TRIM(A513)),
  """"
)"),"#REF!")</f>
        <v>#REF!</v>
      </c>
      <c r="W513" s="240" t="str">
        <f t="shared" si="1"/>
        <v/>
      </c>
      <c r="X513" s="240" t="str">
        <f>IFERROR(__xludf.DUMMYFUNCTION("IFERROR(
  FILTER('CBK Students'!R:R, TRIM('CBK Students'!B:B) = TRIM(A513)),
  """"
)"),"#REF!")</f>
        <v>#REF!</v>
      </c>
      <c r="Y513" s="4" t="str">
        <f t="shared" si="2"/>
        <v/>
      </c>
      <c r="Z513" s="4" t="str">
        <f>IFERROR(__xludf.DUMMYFUNCTION("IFERROR(
  FILTER('CBK Students'!O:O, TRIM('CBK Students'!B:B) = TRIM(A513)),
  """"
)"),"#REF!")</f>
        <v>#REF!</v>
      </c>
      <c r="AA513" s="4" t="str">
        <f>IFERROR(__xludf.DUMMYFUNCTION("IFERROR(
  FILTER('CBK Students'!P:P, TRIM('CBK Students'!B:B) = TRIM(A513)),
  """"
)"),"#REF!")</f>
        <v>#REF!</v>
      </c>
      <c r="AB513" s="4" t="str">
        <f>IFERROR(__xludf.DUMMYFUNCTION("IFERROR(
  FILTER('CBK Students'!Q:Q, TRIM('CBK Students'!B:B) = TRIM(A513)),
  """"
)"),"#REF!")</f>
        <v>#REF!</v>
      </c>
    </row>
    <row r="514" ht="18.75" customHeight="1">
      <c r="T514" s="240" t="str">
        <f>IFERROR(__xludf.DUMMYFUNCTION("IFERROR(
  FILTER('CBK Students'!F:F, TRIM('CBK Students'!B:B) = TRIM(A514)),
  """"
)"),"#REF!")</f>
        <v>#REF!</v>
      </c>
      <c r="U514" s="240" t="str">
        <f>IFERROR(__xludf.DUMMYFUNCTION("IFERROR(
  FILTER('CBK Students'!H:H, TRIM('CBK Students'!B:B) = TRIM(A514)),
  """"
)"),"#REF!")</f>
        <v>#REF!</v>
      </c>
      <c r="V514" s="240" t="str">
        <f>IFERROR(__xludf.DUMMYFUNCTION("IFERROR(
  FILTER('CBK Students'!M:M, TRIM('CBK Students'!B:B) = TRIM(A514)),
  """"
)"),"#REF!")</f>
        <v>#REF!</v>
      </c>
      <c r="W514" s="240" t="str">
        <f t="shared" si="1"/>
        <v/>
      </c>
      <c r="X514" s="240" t="str">
        <f>IFERROR(__xludf.DUMMYFUNCTION("IFERROR(
  FILTER('CBK Students'!R:R, TRIM('CBK Students'!B:B) = TRIM(A514)),
  """"
)"),"#REF!")</f>
        <v>#REF!</v>
      </c>
      <c r="Y514" s="4" t="str">
        <f t="shared" si="2"/>
        <v/>
      </c>
      <c r="Z514" s="4" t="str">
        <f>IFERROR(__xludf.DUMMYFUNCTION("IFERROR(
  FILTER('CBK Students'!O:O, TRIM('CBK Students'!B:B) = TRIM(A514)),
  """"
)"),"#REF!")</f>
        <v>#REF!</v>
      </c>
      <c r="AA514" s="4" t="str">
        <f>IFERROR(__xludf.DUMMYFUNCTION("IFERROR(
  FILTER('CBK Students'!P:P, TRIM('CBK Students'!B:B) = TRIM(A514)),
  """"
)"),"#REF!")</f>
        <v>#REF!</v>
      </c>
      <c r="AB514" s="4" t="str">
        <f>IFERROR(__xludf.DUMMYFUNCTION("IFERROR(
  FILTER('CBK Students'!Q:Q, TRIM('CBK Students'!B:B) = TRIM(A514)),
  """"
)"),"#REF!")</f>
        <v>#REF!</v>
      </c>
    </row>
    <row r="515" ht="18.75" customHeight="1">
      <c r="T515" s="240" t="str">
        <f>IFERROR(__xludf.DUMMYFUNCTION("IFERROR(
  FILTER('CBK Students'!F:F, TRIM('CBK Students'!B:B) = TRIM(A515)),
  """"
)"),"#REF!")</f>
        <v>#REF!</v>
      </c>
      <c r="U515" s="240" t="str">
        <f>IFERROR(__xludf.DUMMYFUNCTION("IFERROR(
  FILTER('CBK Students'!H:H, TRIM('CBK Students'!B:B) = TRIM(A515)),
  """"
)"),"#REF!")</f>
        <v>#REF!</v>
      </c>
      <c r="V515" s="240" t="str">
        <f>IFERROR(__xludf.DUMMYFUNCTION("IFERROR(
  FILTER('CBK Students'!M:M, TRIM('CBK Students'!B:B) = TRIM(A515)),
  """"
)"),"#REF!")</f>
        <v>#REF!</v>
      </c>
      <c r="W515" s="240" t="str">
        <f t="shared" si="1"/>
        <v/>
      </c>
      <c r="X515" s="240" t="str">
        <f>IFERROR(__xludf.DUMMYFUNCTION("IFERROR(
  FILTER('CBK Students'!R:R, TRIM('CBK Students'!B:B) = TRIM(A515)),
  """"
)"),"#REF!")</f>
        <v>#REF!</v>
      </c>
      <c r="Y515" s="4" t="str">
        <f t="shared" si="2"/>
        <v/>
      </c>
      <c r="Z515" s="4" t="str">
        <f>IFERROR(__xludf.DUMMYFUNCTION("IFERROR(
  FILTER('CBK Students'!O:O, TRIM('CBK Students'!B:B) = TRIM(A515)),
  """"
)"),"#REF!")</f>
        <v>#REF!</v>
      </c>
      <c r="AA515" s="4" t="str">
        <f>IFERROR(__xludf.DUMMYFUNCTION("IFERROR(
  FILTER('CBK Students'!P:P, TRIM('CBK Students'!B:B) = TRIM(A515)),
  """"
)"),"#REF!")</f>
        <v>#REF!</v>
      </c>
      <c r="AB515" s="4" t="str">
        <f>IFERROR(__xludf.DUMMYFUNCTION("IFERROR(
  FILTER('CBK Students'!Q:Q, TRIM('CBK Students'!B:B) = TRIM(A515)),
  """"
)"),"#REF!")</f>
        <v>#REF!</v>
      </c>
    </row>
    <row r="516" ht="18.75" customHeight="1">
      <c r="T516" s="240" t="str">
        <f>IFERROR(__xludf.DUMMYFUNCTION("IFERROR(
  FILTER('CBK Students'!F:F, TRIM('CBK Students'!B:B) = TRIM(A516)),
  """"
)"),"#REF!")</f>
        <v>#REF!</v>
      </c>
      <c r="U516" s="240" t="str">
        <f>IFERROR(__xludf.DUMMYFUNCTION("IFERROR(
  FILTER('CBK Students'!H:H, TRIM('CBK Students'!B:B) = TRIM(A516)),
  """"
)"),"#REF!")</f>
        <v>#REF!</v>
      </c>
      <c r="V516" s="240" t="str">
        <f>IFERROR(__xludf.DUMMYFUNCTION("IFERROR(
  FILTER('CBK Students'!M:M, TRIM('CBK Students'!B:B) = TRIM(A516)),
  """"
)"),"#REF!")</f>
        <v>#REF!</v>
      </c>
      <c r="W516" s="240" t="str">
        <f t="shared" si="1"/>
        <v/>
      </c>
      <c r="X516" s="240" t="str">
        <f>IFERROR(__xludf.DUMMYFUNCTION("IFERROR(
  FILTER('CBK Students'!R:R, TRIM('CBK Students'!B:B) = TRIM(A516)),
  """"
)"),"#REF!")</f>
        <v>#REF!</v>
      </c>
      <c r="Y516" s="4" t="str">
        <f t="shared" si="2"/>
        <v/>
      </c>
      <c r="Z516" s="4" t="str">
        <f>IFERROR(__xludf.DUMMYFUNCTION("IFERROR(
  FILTER('CBK Students'!O:O, TRIM('CBK Students'!B:B) = TRIM(A516)),
  """"
)"),"#REF!")</f>
        <v>#REF!</v>
      </c>
      <c r="AA516" s="4" t="str">
        <f>IFERROR(__xludf.DUMMYFUNCTION("IFERROR(
  FILTER('CBK Students'!P:P, TRIM('CBK Students'!B:B) = TRIM(A516)),
  """"
)"),"#REF!")</f>
        <v>#REF!</v>
      </c>
      <c r="AB516" s="4" t="str">
        <f>IFERROR(__xludf.DUMMYFUNCTION("IFERROR(
  FILTER('CBK Students'!Q:Q, TRIM('CBK Students'!B:B) = TRIM(A516)),
  """"
)"),"#REF!")</f>
        <v>#REF!</v>
      </c>
    </row>
    <row r="517" ht="18.75" customHeight="1">
      <c r="T517" s="240" t="str">
        <f>IFERROR(__xludf.DUMMYFUNCTION("IFERROR(
  FILTER('CBK Students'!F:F, TRIM('CBK Students'!B:B) = TRIM(A517)),
  """"
)"),"#REF!")</f>
        <v>#REF!</v>
      </c>
      <c r="U517" s="240" t="str">
        <f>IFERROR(__xludf.DUMMYFUNCTION("IFERROR(
  FILTER('CBK Students'!H:H, TRIM('CBK Students'!B:B) = TRIM(A517)),
  """"
)"),"#REF!")</f>
        <v>#REF!</v>
      </c>
      <c r="V517" s="240" t="str">
        <f>IFERROR(__xludf.DUMMYFUNCTION("IFERROR(
  FILTER('CBK Students'!M:M, TRIM('CBK Students'!B:B) = TRIM(A517)),
  """"
)"),"#REF!")</f>
        <v>#REF!</v>
      </c>
      <c r="W517" s="240" t="str">
        <f t="shared" si="1"/>
        <v/>
      </c>
      <c r="X517" s="240" t="str">
        <f>IFERROR(__xludf.DUMMYFUNCTION("IFERROR(
  FILTER('CBK Students'!R:R, TRIM('CBK Students'!B:B) = TRIM(A517)),
  """"
)"),"#REF!")</f>
        <v>#REF!</v>
      </c>
      <c r="Y517" s="4" t="str">
        <f t="shared" si="2"/>
        <v/>
      </c>
      <c r="Z517" s="4" t="str">
        <f>IFERROR(__xludf.DUMMYFUNCTION("IFERROR(
  FILTER('CBK Students'!O:O, TRIM('CBK Students'!B:B) = TRIM(A517)),
  """"
)"),"#REF!")</f>
        <v>#REF!</v>
      </c>
      <c r="AA517" s="4" t="str">
        <f>IFERROR(__xludf.DUMMYFUNCTION("IFERROR(
  FILTER('CBK Students'!P:P, TRIM('CBK Students'!B:B) = TRIM(A517)),
  """"
)"),"#REF!")</f>
        <v>#REF!</v>
      </c>
      <c r="AB517" s="4" t="str">
        <f>IFERROR(__xludf.DUMMYFUNCTION("IFERROR(
  FILTER('CBK Students'!Q:Q, TRIM('CBK Students'!B:B) = TRIM(A517)),
  """"
)"),"#REF!")</f>
        <v>#REF!</v>
      </c>
    </row>
    <row r="518" ht="18.75" customHeight="1">
      <c r="T518" s="240" t="str">
        <f>IFERROR(__xludf.DUMMYFUNCTION("IFERROR(
  FILTER('CBK Students'!F:F, TRIM('CBK Students'!B:B) = TRIM(A518)),
  """"
)"),"#REF!")</f>
        <v>#REF!</v>
      </c>
      <c r="U518" s="240" t="str">
        <f>IFERROR(__xludf.DUMMYFUNCTION("IFERROR(
  FILTER('CBK Students'!H:H, TRIM('CBK Students'!B:B) = TRIM(A518)),
  """"
)"),"#REF!")</f>
        <v>#REF!</v>
      </c>
      <c r="V518" s="240" t="str">
        <f>IFERROR(__xludf.DUMMYFUNCTION("IFERROR(
  FILTER('CBK Students'!M:M, TRIM('CBK Students'!B:B) = TRIM(A518)),
  """"
)"),"#REF!")</f>
        <v>#REF!</v>
      </c>
      <c r="W518" s="240" t="str">
        <f t="shared" si="1"/>
        <v/>
      </c>
      <c r="X518" s="240" t="str">
        <f>IFERROR(__xludf.DUMMYFUNCTION("IFERROR(
  FILTER('CBK Students'!R:R, TRIM('CBK Students'!B:B) = TRIM(A518)),
  """"
)"),"#REF!")</f>
        <v>#REF!</v>
      </c>
      <c r="Y518" s="4" t="str">
        <f t="shared" si="2"/>
        <v/>
      </c>
      <c r="Z518" s="4" t="str">
        <f>IFERROR(__xludf.DUMMYFUNCTION("IFERROR(
  FILTER('CBK Students'!O:O, TRIM('CBK Students'!B:B) = TRIM(A518)),
  """"
)"),"#REF!")</f>
        <v>#REF!</v>
      </c>
      <c r="AA518" s="4" t="str">
        <f>IFERROR(__xludf.DUMMYFUNCTION("IFERROR(
  FILTER('CBK Students'!P:P, TRIM('CBK Students'!B:B) = TRIM(A518)),
  """"
)"),"#REF!")</f>
        <v>#REF!</v>
      </c>
      <c r="AB518" s="4" t="str">
        <f>IFERROR(__xludf.DUMMYFUNCTION("IFERROR(
  FILTER('CBK Students'!Q:Q, TRIM('CBK Students'!B:B) = TRIM(A518)),
  """"
)"),"#REF!")</f>
        <v>#REF!</v>
      </c>
    </row>
    <row r="519" ht="18.75" customHeight="1">
      <c r="T519" s="240" t="str">
        <f>IFERROR(__xludf.DUMMYFUNCTION("IFERROR(
  FILTER('CBK Students'!F:F, TRIM('CBK Students'!B:B) = TRIM(A519)),
  """"
)"),"#REF!")</f>
        <v>#REF!</v>
      </c>
      <c r="U519" s="240" t="str">
        <f>IFERROR(__xludf.DUMMYFUNCTION("IFERROR(
  FILTER('CBK Students'!H:H, TRIM('CBK Students'!B:B) = TRIM(A519)),
  """"
)"),"#REF!")</f>
        <v>#REF!</v>
      </c>
      <c r="V519" s="240" t="str">
        <f>IFERROR(__xludf.DUMMYFUNCTION("IFERROR(
  FILTER('CBK Students'!M:M, TRIM('CBK Students'!B:B) = TRIM(A519)),
  """"
)"),"#REF!")</f>
        <v>#REF!</v>
      </c>
      <c r="W519" s="240" t="str">
        <f t="shared" si="1"/>
        <v/>
      </c>
      <c r="X519" s="240" t="str">
        <f>IFERROR(__xludf.DUMMYFUNCTION("IFERROR(
  FILTER('CBK Students'!R:R, TRIM('CBK Students'!B:B) = TRIM(A519)),
  """"
)"),"#REF!")</f>
        <v>#REF!</v>
      </c>
      <c r="Y519" s="4" t="str">
        <f t="shared" si="2"/>
        <v/>
      </c>
      <c r="Z519" s="4" t="str">
        <f>IFERROR(__xludf.DUMMYFUNCTION("IFERROR(
  FILTER('CBK Students'!O:O, TRIM('CBK Students'!B:B) = TRIM(A519)),
  """"
)"),"#REF!")</f>
        <v>#REF!</v>
      </c>
      <c r="AA519" s="4" t="str">
        <f>IFERROR(__xludf.DUMMYFUNCTION("IFERROR(
  FILTER('CBK Students'!P:P, TRIM('CBK Students'!B:B) = TRIM(A519)),
  """"
)"),"#REF!")</f>
        <v>#REF!</v>
      </c>
      <c r="AB519" s="4" t="str">
        <f>IFERROR(__xludf.DUMMYFUNCTION("IFERROR(
  FILTER('CBK Students'!Q:Q, TRIM('CBK Students'!B:B) = TRIM(A519)),
  """"
)"),"#REF!")</f>
        <v>#REF!</v>
      </c>
    </row>
    <row r="520" ht="18.75" customHeight="1">
      <c r="T520" s="240" t="str">
        <f>IFERROR(__xludf.DUMMYFUNCTION("IFERROR(
  FILTER('CBK Students'!F:F, TRIM('CBK Students'!B:B) = TRIM(A520)),
  """"
)"),"#REF!")</f>
        <v>#REF!</v>
      </c>
      <c r="U520" s="240" t="str">
        <f>IFERROR(__xludf.DUMMYFUNCTION("IFERROR(
  FILTER('CBK Students'!H:H, TRIM('CBK Students'!B:B) = TRIM(A520)),
  """"
)"),"#REF!")</f>
        <v>#REF!</v>
      </c>
      <c r="V520" s="240" t="str">
        <f>IFERROR(__xludf.DUMMYFUNCTION("IFERROR(
  FILTER('CBK Students'!M:M, TRIM('CBK Students'!B:B) = TRIM(A520)),
  """"
)"),"#REF!")</f>
        <v>#REF!</v>
      </c>
      <c r="W520" s="240" t="str">
        <f t="shared" si="1"/>
        <v/>
      </c>
      <c r="X520" s="240" t="str">
        <f>IFERROR(__xludf.DUMMYFUNCTION("IFERROR(
  FILTER('CBK Students'!R:R, TRIM('CBK Students'!B:B) = TRIM(A520)),
  """"
)"),"#REF!")</f>
        <v>#REF!</v>
      </c>
      <c r="Y520" s="4" t="str">
        <f t="shared" si="2"/>
        <v/>
      </c>
      <c r="Z520" s="4" t="str">
        <f>IFERROR(__xludf.DUMMYFUNCTION("IFERROR(
  FILTER('CBK Students'!O:O, TRIM('CBK Students'!B:B) = TRIM(A520)),
  """"
)"),"#REF!")</f>
        <v>#REF!</v>
      </c>
      <c r="AA520" s="4" t="str">
        <f>IFERROR(__xludf.DUMMYFUNCTION("IFERROR(
  FILTER('CBK Students'!P:P, TRIM('CBK Students'!B:B) = TRIM(A520)),
  """"
)"),"#REF!")</f>
        <v>#REF!</v>
      </c>
      <c r="AB520" s="4" t="str">
        <f>IFERROR(__xludf.DUMMYFUNCTION("IFERROR(
  FILTER('CBK Students'!Q:Q, TRIM('CBK Students'!B:B) = TRIM(A520)),
  """"
)"),"#REF!")</f>
        <v>#REF!</v>
      </c>
    </row>
    <row r="521" ht="18.75" customHeight="1">
      <c r="T521" s="240" t="str">
        <f>IFERROR(__xludf.DUMMYFUNCTION("IFERROR(
  FILTER('CBK Students'!F:F, TRIM('CBK Students'!B:B) = TRIM(A521)),
  """"
)"),"#REF!")</f>
        <v>#REF!</v>
      </c>
      <c r="U521" s="240" t="str">
        <f>IFERROR(__xludf.DUMMYFUNCTION("IFERROR(
  FILTER('CBK Students'!H:H, TRIM('CBK Students'!B:B) = TRIM(A521)),
  """"
)"),"#REF!")</f>
        <v>#REF!</v>
      </c>
      <c r="V521" s="240" t="str">
        <f>IFERROR(__xludf.DUMMYFUNCTION("IFERROR(
  FILTER('CBK Students'!M:M, TRIM('CBK Students'!B:B) = TRIM(A521)),
  """"
)"),"#REF!")</f>
        <v>#REF!</v>
      </c>
      <c r="W521" s="240" t="str">
        <f t="shared" si="1"/>
        <v/>
      </c>
      <c r="X521" s="240" t="str">
        <f>IFERROR(__xludf.DUMMYFUNCTION("IFERROR(
  FILTER('CBK Students'!R:R, TRIM('CBK Students'!B:B) = TRIM(A521)),
  """"
)"),"#REF!")</f>
        <v>#REF!</v>
      </c>
      <c r="Y521" s="4" t="str">
        <f t="shared" si="2"/>
        <v/>
      </c>
      <c r="Z521" s="4" t="str">
        <f>IFERROR(__xludf.DUMMYFUNCTION("IFERROR(
  FILTER('CBK Students'!O:O, TRIM('CBK Students'!B:B) = TRIM(A521)),
  """"
)"),"#REF!")</f>
        <v>#REF!</v>
      </c>
      <c r="AA521" s="4" t="str">
        <f>IFERROR(__xludf.DUMMYFUNCTION("IFERROR(
  FILTER('CBK Students'!P:P, TRIM('CBK Students'!B:B) = TRIM(A521)),
  """"
)"),"#REF!")</f>
        <v>#REF!</v>
      </c>
      <c r="AB521" s="4" t="str">
        <f>IFERROR(__xludf.DUMMYFUNCTION("IFERROR(
  FILTER('CBK Students'!Q:Q, TRIM('CBK Students'!B:B) = TRIM(A521)),
  """"
)"),"#REF!")</f>
        <v>#REF!</v>
      </c>
    </row>
    <row r="522" ht="18.75" customHeight="1">
      <c r="T522" s="240" t="str">
        <f>IFERROR(__xludf.DUMMYFUNCTION("IFERROR(
  FILTER('CBK Students'!F:F, TRIM('CBK Students'!B:B) = TRIM(A522)),
  """"
)"),"#REF!")</f>
        <v>#REF!</v>
      </c>
      <c r="U522" s="240" t="str">
        <f>IFERROR(__xludf.DUMMYFUNCTION("IFERROR(
  FILTER('CBK Students'!H:H, TRIM('CBK Students'!B:B) = TRIM(A522)),
  """"
)"),"#REF!")</f>
        <v>#REF!</v>
      </c>
      <c r="V522" s="240" t="str">
        <f>IFERROR(__xludf.DUMMYFUNCTION("IFERROR(
  FILTER('CBK Students'!M:M, TRIM('CBK Students'!B:B) = TRIM(A522)),
  """"
)"),"#REF!")</f>
        <v>#REF!</v>
      </c>
      <c r="W522" s="240" t="str">
        <f t="shared" si="1"/>
        <v/>
      </c>
      <c r="X522" s="240" t="str">
        <f>IFERROR(__xludf.DUMMYFUNCTION("IFERROR(
  FILTER('CBK Students'!R:R, TRIM('CBK Students'!B:B) = TRIM(A522)),
  """"
)"),"#REF!")</f>
        <v>#REF!</v>
      </c>
      <c r="Y522" s="4" t="str">
        <f t="shared" si="2"/>
        <v/>
      </c>
      <c r="Z522" s="4" t="str">
        <f>IFERROR(__xludf.DUMMYFUNCTION("IFERROR(
  FILTER('CBK Students'!O:O, TRIM('CBK Students'!B:B) = TRIM(A522)),
  """"
)"),"#REF!")</f>
        <v>#REF!</v>
      </c>
      <c r="AA522" s="4" t="str">
        <f>IFERROR(__xludf.DUMMYFUNCTION("IFERROR(
  FILTER('CBK Students'!P:P, TRIM('CBK Students'!B:B) = TRIM(A522)),
  """"
)"),"#REF!")</f>
        <v>#REF!</v>
      </c>
      <c r="AB522" s="4" t="str">
        <f>IFERROR(__xludf.DUMMYFUNCTION("IFERROR(
  FILTER('CBK Students'!Q:Q, TRIM('CBK Students'!B:B) = TRIM(A522)),
  """"
)"),"#REF!")</f>
        <v>#REF!</v>
      </c>
    </row>
    <row r="523" ht="18.75" customHeight="1">
      <c r="T523" s="240" t="str">
        <f>IFERROR(__xludf.DUMMYFUNCTION("IFERROR(
  FILTER('CBK Students'!F:F, TRIM('CBK Students'!B:B) = TRIM(A523)),
  """"
)"),"#REF!")</f>
        <v>#REF!</v>
      </c>
      <c r="U523" s="240" t="str">
        <f>IFERROR(__xludf.DUMMYFUNCTION("IFERROR(
  FILTER('CBK Students'!H:H, TRIM('CBK Students'!B:B) = TRIM(A523)),
  """"
)"),"#REF!")</f>
        <v>#REF!</v>
      </c>
      <c r="V523" s="240" t="str">
        <f>IFERROR(__xludf.DUMMYFUNCTION("IFERROR(
  FILTER('CBK Students'!M:M, TRIM('CBK Students'!B:B) = TRIM(A523)),
  """"
)"),"#REF!")</f>
        <v>#REF!</v>
      </c>
      <c r="W523" s="240" t="str">
        <f t="shared" si="1"/>
        <v/>
      </c>
      <c r="X523" s="240" t="str">
        <f>IFERROR(__xludf.DUMMYFUNCTION("IFERROR(
  FILTER('CBK Students'!R:R, TRIM('CBK Students'!B:B) = TRIM(A523)),
  """"
)"),"#REF!")</f>
        <v>#REF!</v>
      </c>
      <c r="Y523" s="4" t="str">
        <f t="shared" si="2"/>
        <v/>
      </c>
      <c r="Z523" s="4" t="str">
        <f>IFERROR(__xludf.DUMMYFUNCTION("IFERROR(
  FILTER('CBK Students'!O:O, TRIM('CBK Students'!B:B) = TRIM(A523)),
  """"
)"),"#REF!")</f>
        <v>#REF!</v>
      </c>
      <c r="AA523" s="4" t="str">
        <f>IFERROR(__xludf.DUMMYFUNCTION("IFERROR(
  FILTER('CBK Students'!P:P, TRIM('CBK Students'!B:B) = TRIM(A523)),
  """"
)"),"#REF!")</f>
        <v>#REF!</v>
      </c>
      <c r="AB523" s="4" t="str">
        <f>IFERROR(__xludf.DUMMYFUNCTION("IFERROR(
  FILTER('CBK Students'!Q:Q, TRIM('CBK Students'!B:B) = TRIM(A523)),
  """"
)"),"#REF!")</f>
        <v>#REF!</v>
      </c>
    </row>
    <row r="524" ht="18.75" customHeight="1">
      <c r="T524" s="240" t="str">
        <f>IFERROR(__xludf.DUMMYFUNCTION("IFERROR(
  FILTER('CBK Students'!F:F, TRIM('CBK Students'!B:B) = TRIM(A524)),
  """"
)"),"#REF!")</f>
        <v>#REF!</v>
      </c>
      <c r="U524" s="240" t="str">
        <f>IFERROR(__xludf.DUMMYFUNCTION("IFERROR(
  FILTER('CBK Students'!H:H, TRIM('CBK Students'!B:B) = TRIM(A524)),
  """"
)"),"#REF!")</f>
        <v>#REF!</v>
      </c>
      <c r="V524" s="240" t="str">
        <f>IFERROR(__xludf.DUMMYFUNCTION("IFERROR(
  FILTER('CBK Students'!M:M, TRIM('CBK Students'!B:B) = TRIM(A524)),
  """"
)"),"#REF!")</f>
        <v>#REF!</v>
      </c>
      <c r="W524" s="240" t="str">
        <f t="shared" si="1"/>
        <v/>
      </c>
      <c r="X524" s="240" t="str">
        <f>IFERROR(__xludf.DUMMYFUNCTION("IFERROR(
  FILTER('CBK Students'!R:R, TRIM('CBK Students'!B:B) = TRIM(A524)),
  """"
)"),"#REF!")</f>
        <v>#REF!</v>
      </c>
      <c r="Y524" s="4" t="str">
        <f t="shared" si="2"/>
        <v/>
      </c>
      <c r="Z524" s="4" t="str">
        <f>IFERROR(__xludf.DUMMYFUNCTION("IFERROR(
  FILTER('CBK Students'!O:O, TRIM('CBK Students'!B:B) = TRIM(A524)),
  """"
)"),"#REF!")</f>
        <v>#REF!</v>
      </c>
      <c r="AA524" s="4" t="str">
        <f>IFERROR(__xludf.DUMMYFUNCTION("IFERROR(
  FILTER('CBK Students'!P:P, TRIM('CBK Students'!B:B) = TRIM(A524)),
  """"
)"),"#REF!")</f>
        <v>#REF!</v>
      </c>
      <c r="AB524" s="4" t="str">
        <f>IFERROR(__xludf.DUMMYFUNCTION("IFERROR(
  FILTER('CBK Students'!Q:Q, TRIM('CBK Students'!B:B) = TRIM(A524)),
  """"
)"),"#REF!")</f>
        <v>#REF!</v>
      </c>
    </row>
    <row r="525" ht="18.75" customHeight="1">
      <c r="T525" s="240" t="str">
        <f>IFERROR(__xludf.DUMMYFUNCTION("IFERROR(
  FILTER('CBK Students'!F:F, TRIM('CBK Students'!B:B) = TRIM(A525)),
  """"
)"),"#REF!")</f>
        <v>#REF!</v>
      </c>
      <c r="U525" s="240" t="str">
        <f>IFERROR(__xludf.DUMMYFUNCTION("IFERROR(
  FILTER('CBK Students'!H:H, TRIM('CBK Students'!B:B) = TRIM(A525)),
  """"
)"),"#REF!")</f>
        <v>#REF!</v>
      </c>
      <c r="V525" s="240" t="str">
        <f>IFERROR(__xludf.DUMMYFUNCTION("IFERROR(
  FILTER('CBK Students'!M:M, TRIM('CBK Students'!B:B) = TRIM(A525)),
  """"
)"),"#REF!")</f>
        <v>#REF!</v>
      </c>
      <c r="W525" s="240" t="str">
        <f t="shared" si="1"/>
        <v/>
      </c>
      <c r="X525" s="240" t="str">
        <f>IFERROR(__xludf.DUMMYFUNCTION("IFERROR(
  FILTER('CBK Students'!R:R, TRIM('CBK Students'!B:B) = TRIM(A525)),
  """"
)"),"#REF!")</f>
        <v>#REF!</v>
      </c>
      <c r="Y525" s="4" t="str">
        <f t="shared" si="2"/>
        <v/>
      </c>
      <c r="Z525" s="4" t="str">
        <f>IFERROR(__xludf.DUMMYFUNCTION("IFERROR(
  FILTER('CBK Students'!O:O, TRIM('CBK Students'!B:B) = TRIM(A525)),
  """"
)"),"#REF!")</f>
        <v>#REF!</v>
      </c>
      <c r="AA525" s="4" t="str">
        <f>IFERROR(__xludf.DUMMYFUNCTION("IFERROR(
  FILTER('CBK Students'!P:P, TRIM('CBK Students'!B:B) = TRIM(A525)),
  """"
)"),"#REF!")</f>
        <v>#REF!</v>
      </c>
      <c r="AB525" s="4" t="str">
        <f>IFERROR(__xludf.DUMMYFUNCTION("IFERROR(
  FILTER('CBK Students'!Q:Q, TRIM('CBK Students'!B:B) = TRIM(A525)),
  """"
)"),"#REF!")</f>
        <v>#REF!</v>
      </c>
    </row>
    <row r="526" ht="18.75" customHeight="1">
      <c r="T526" s="240" t="str">
        <f>IFERROR(__xludf.DUMMYFUNCTION("IFERROR(
  FILTER('CBK Students'!F:F, TRIM('CBK Students'!B:B) = TRIM(A526)),
  """"
)"),"#REF!")</f>
        <v>#REF!</v>
      </c>
      <c r="U526" s="240" t="str">
        <f>IFERROR(__xludf.DUMMYFUNCTION("IFERROR(
  FILTER('CBK Students'!H:H, TRIM('CBK Students'!B:B) = TRIM(A526)),
  """"
)"),"#REF!")</f>
        <v>#REF!</v>
      </c>
      <c r="V526" s="240" t="str">
        <f>IFERROR(__xludf.DUMMYFUNCTION("IFERROR(
  FILTER('CBK Students'!M:M, TRIM('CBK Students'!B:B) = TRIM(A526)),
  """"
)"),"#REF!")</f>
        <v>#REF!</v>
      </c>
      <c r="W526" s="240" t="str">
        <f t="shared" si="1"/>
        <v/>
      </c>
      <c r="X526" s="240" t="str">
        <f>IFERROR(__xludf.DUMMYFUNCTION("IFERROR(
  FILTER('CBK Students'!R:R, TRIM('CBK Students'!B:B) = TRIM(A526)),
  """"
)"),"#REF!")</f>
        <v>#REF!</v>
      </c>
      <c r="Y526" s="4" t="str">
        <f t="shared" si="2"/>
        <v/>
      </c>
      <c r="Z526" s="4" t="str">
        <f>IFERROR(__xludf.DUMMYFUNCTION("IFERROR(
  FILTER('CBK Students'!O:O, TRIM('CBK Students'!B:B) = TRIM(A526)),
  """"
)"),"#REF!")</f>
        <v>#REF!</v>
      </c>
      <c r="AA526" s="4" t="str">
        <f>IFERROR(__xludf.DUMMYFUNCTION("IFERROR(
  FILTER('CBK Students'!P:P, TRIM('CBK Students'!B:B) = TRIM(A526)),
  """"
)"),"#REF!")</f>
        <v>#REF!</v>
      </c>
      <c r="AB526" s="4" t="str">
        <f>IFERROR(__xludf.DUMMYFUNCTION("IFERROR(
  FILTER('CBK Students'!Q:Q, TRIM('CBK Students'!B:B) = TRIM(A526)),
  """"
)"),"#REF!")</f>
        <v>#REF!</v>
      </c>
    </row>
    <row r="527" ht="18.75" customHeight="1">
      <c r="T527" s="240" t="str">
        <f>IFERROR(__xludf.DUMMYFUNCTION("IFERROR(
  FILTER('CBK Students'!F:F, TRIM('CBK Students'!B:B) = TRIM(A527)),
  """"
)"),"#REF!")</f>
        <v>#REF!</v>
      </c>
      <c r="U527" s="240" t="str">
        <f>IFERROR(__xludf.DUMMYFUNCTION("IFERROR(
  FILTER('CBK Students'!H:H, TRIM('CBK Students'!B:B) = TRIM(A527)),
  """"
)"),"#REF!")</f>
        <v>#REF!</v>
      </c>
      <c r="V527" s="240" t="str">
        <f>IFERROR(__xludf.DUMMYFUNCTION("IFERROR(
  FILTER('CBK Students'!M:M, TRIM('CBK Students'!B:B) = TRIM(A527)),
  """"
)"),"#REF!")</f>
        <v>#REF!</v>
      </c>
      <c r="W527" s="240" t="str">
        <f t="shared" si="1"/>
        <v/>
      </c>
      <c r="X527" s="240" t="str">
        <f>IFERROR(__xludf.DUMMYFUNCTION("IFERROR(
  FILTER('CBK Students'!R:R, TRIM('CBK Students'!B:B) = TRIM(A527)),
  """"
)"),"#REF!")</f>
        <v>#REF!</v>
      </c>
      <c r="Y527" s="4" t="str">
        <f t="shared" si="2"/>
        <v/>
      </c>
      <c r="Z527" s="4" t="str">
        <f>IFERROR(__xludf.DUMMYFUNCTION("IFERROR(
  FILTER('CBK Students'!O:O, TRIM('CBK Students'!B:B) = TRIM(A527)),
  """"
)"),"#REF!")</f>
        <v>#REF!</v>
      </c>
      <c r="AA527" s="4" t="str">
        <f>IFERROR(__xludf.DUMMYFUNCTION("IFERROR(
  FILTER('CBK Students'!P:P, TRIM('CBK Students'!B:B) = TRIM(A527)),
  """"
)"),"#REF!")</f>
        <v>#REF!</v>
      </c>
      <c r="AB527" s="4" t="str">
        <f>IFERROR(__xludf.DUMMYFUNCTION("IFERROR(
  FILTER('CBK Students'!Q:Q, TRIM('CBK Students'!B:B) = TRIM(A527)),
  """"
)"),"#REF!")</f>
        <v>#REF!</v>
      </c>
    </row>
    <row r="528" ht="18.75" customHeight="1">
      <c r="T528" s="240" t="str">
        <f>IFERROR(__xludf.DUMMYFUNCTION("IFERROR(
  FILTER('CBK Students'!F:F, TRIM('CBK Students'!B:B) = TRIM(A528)),
  """"
)"),"#REF!")</f>
        <v>#REF!</v>
      </c>
      <c r="U528" s="240" t="str">
        <f>IFERROR(__xludf.DUMMYFUNCTION("IFERROR(
  FILTER('CBK Students'!H:H, TRIM('CBK Students'!B:B) = TRIM(A528)),
  """"
)"),"#REF!")</f>
        <v>#REF!</v>
      </c>
      <c r="V528" s="240" t="str">
        <f>IFERROR(__xludf.DUMMYFUNCTION("IFERROR(
  FILTER('CBK Students'!M:M, TRIM('CBK Students'!B:B) = TRIM(A528)),
  """"
)"),"#REF!")</f>
        <v>#REF!</v>
      </c>
      <c r="W528" s="240" t="str">
        <f t="shared" si="1"/>
        <v/>
      </c>
      <c r="X528" s="240" t="str">
        <f>IFERROR(__xludf.DUMMYFUNCTION("IFERROR(
  FILTER('CBK Students'!R:R, TRIM('CBK Students'!B:B) = TRIM(A528)),
  """"
)"),"#REF!")</f>
        <v>#REF!</v>
      </c>
      <c r="Y528" s="4" t="str">
        <f t="shared" si="2"/>
        <v/>
      </c>
      <c r="Z528" s="4" t="str">
        <f>IFERROR(__xludf.DUMMYFUNCTION("IFERROR(
  FILTER('CBK Students'!O:O, TRIM('CBK Students'!B:B) = TRIM(A528)),
  """"
)"),"#REF!")</f>
        <v>#REF!</v>
      </c>
      <c r="AA528" s="4" t="str">
        <f>IFERROR(__xludf.DUMMYFUNCTION("IFERROR(
  FILTER('CBK Students'!P:P, TRIM('CBK Students'!B:B) = TRIM(A528)),
  """"
)"),"#REF!")</f>
        <v>#REF!</v>
      </c>
      <c r="AB528" s="4" t="str">
        <f>IFERROR(__xludf.DUMMYFUNCTION("IFERROR(
  FILTER('CBK Students'!Q:Q, TRIM('CBK Students'!B:B) = TRIM(A528)),
  """"
)"),"#REF!")</f>
        <v>#REF!</v>
      </c>
    </row>
    <row r="529" ht="18.75" customHeight="1">
      <c r="T529" s="240" t="str">
        <f>IFERROR(__xludf.DUMMYFUNCTION("IFERROR(
  FILTER('CBK Students'!F:F, TRIM('CBK Students'!B:B) = TRIM(A529)),
  """"
)"),"#REF!")</f>
        <v>#REF!</v>
      </c>
      <c r="U529" s="240" t="str">
        <f>IFERROR(__xludf.DUMMYFUNCTION("IFERROR(
  FILTER('CBK Students'!H:H, TRIM('CBK Students'!B:B) = TRIM(A529)),
  """"
)"),"#REF!")</f>
        <v>#REF!</v>
      </c>
      <c r="V529" s="240" t="str">
        <f>IFERROR(__xludf.DUMMYFUNCTION("IFERROR(
  FILTER('CBK Students'!M:M, TRIM('CBK Students'!B:B) = TRIM(A529)),
  """"
)"),"#REF!")</f>
        <v>#REF!</v>
      </c>
      <c r="W529" s="240" t="str">
        <f t="shared" si="1"/>
        <v/>
      </c>
      <c r="X529" s="240" t="str">
        <f>IFERROR(__xludf.DUMMYFUNCTION("IFERROR(
  FILTER('CBK Students'!R:R, TRIM('CBK Students'!B:B) = TRIM(A529)),
  """"
)"),"#REF!")</f>
        <v>#REF!</v>
      </c>
      <c r="Y529" s="4" t="str">
        <f t="shared" si="2"/>
        <v/>
      </c>
      <c r="Z529" s="4" t="str">
        <f>IFERROR(__xludf.DUMMYFUNCTION("IFERROR(
  FILTER('CBK Students'!O:O, TRIM('CBK Students'!B:B) = TRIM(A529)),
  """"
)"),"#REF!")</f>
        <v>#REF!</v>
      </c>
      <c r="AA529" s="4" t="str">
        <f>IFERROR(__xludf.DUMMYFUNCTION("IFERROR(
  FILTER('CBK Students'!P:P, TRIM('CBK Students'!B:B) = TRIM(A529)),
  """"
)"),"#REF!")</f>
        <v>#REF!</v>
      </c>
      <c r="AB529" s="4" t="str">
        <f>IFERROR(__xludf.DUMMYFUNCTION("IFERROR(
  FILTER('CBK Students'!Q:Q, TRIM('CBK Students'!B:B) = TRIM(A529)),
  """"
)"),"#REF!")</f>
        <v>#REF!</v>
      </c>
    </row>
    <row r="530" ht="18.75" customHeight="1">
      <c r="T530" s="240" t="str">
        <f>IFERROR(__xludf.DUMMYFUNCTION("IFERROR(
  FILTER('CBK Students'!F:F, TRIM('CBK Students'!B:B) = TRIM(A530)),
  """"
)"),"#REF!")</f>
        <v>#REF!</v>
      </c>
      <c r="U530" s="240" t="str">
        <f>IFERROR(__xludf.DUMMYFUNCTION("IFERROR(
  FILTER('CBK Students'!H:H, TRIM('CBK Students'!B:B) = TRIM(A530)),
  """"
)"),"#REF!")</f>
        <v>#REF!</v>
      </c>
      <c r="V530" s="240" t="str">
        <f>IFERROR(__xludf.DUMMYFUNCTION("IFERROR(
  FILTER('CBK Students'!M:M, TRIM('CBK Students'!B:B) = TRIM(A530)),
  """"
)"),"#REF!")</f>
        <v>#REF!</v>
      </c>
      <c r="W530" s="240" t="str">
        <f t="shared" si="1"/>
        <v/>
      </c>
      <c r="X530" s="240" t="str">
        <f>IFERROR(__xludf.DUMMYFUNCTION("IFERROR(
  FILTER('CBK Students'!R:R, TRIM('CBK Students'!B:B) = TRIM(A530)),
  """"
)"),"#REF!")</f>
        <v>#REF!</v>
      </c>
      <c r="Y530" s="4" t="str">
        <f t="shared" si="2"/>
        <v/>
      </c>
      <c r="Z530" s="4" t="str">
        <f>IFERROR(__xludf.DUMMYFUNCTION("IFERROR(
  FILTER('CBK Students'!O:O, TRIM('CBK Students'!B:B) = TRIM(A530)),
  """"
)"),"#REF!")</f>
        <v>#REF!</v>
      </c>
      <c r="AA530" s="4" t="str">
        <f>IFERROR(__xludf.DUMMYFUNCTION("IFERROR(
  FILTER('CBK Students'!P:P, TRIM('CBK Students'!B:B) = TRIM(A530)),
  """"
)"),"#REF!")</f>
        <v>#REF!</v>
      </c>
      <c r="AB530" s="4" t="str">
        <f>IFERROR(__xludf.DUMMYFUNCTION("IFERROR(
  FILTER('CBK Students'!Q:Q, TRIM('CBK Students'!B:B) = TRIM(A530)),
  """"
)"),"#REF!")</f>
        <v>#REF!</v>
      </c>
    </row>
    <row r="531" ht="18.75" customHeight="1">
      <c r="T531" s="240" t="str">
        <f>IFERROR(__xludf.DUMMYFUNCTION("IFERROR(
  FILTER('CBK Students'!F:F, TRIM('CBK Students'!B:B) = TRIM(A531)),
  """"
)"),"#REF!")</f>
        <v>#REF!</v>
      </c>
      <c r="U531" s="240" t="str">
        <f>IFERROR(__xludf.DUMMYFUNCTION("IFERROR(
  FILTER('CBK Students'!H:H, TRIM('CBK Students'!B:B) = TRIM(A531)),
  """"
)"),"#REF!")</f>
        <v>#REF!</v>
      </c>
      <c r="V531" s="240" t="str">
        <f>IFERROR(__xludf.DUMMYFUNCTION("IFERROR(
  FILTER('CBK Students'!M:M, TRIM('CBK Students'!B:B) = TRIM(A531)),
  """"
)"),"#REF!")</f>
        <v>#REF!</v>
      </c>
      <c r="W531" s="240" t="str">
        <f t="shared" si="1"/>
        <v/>
      </c>
      <c r="X531" s="240" t="str">
        <f>IFERROR(__xludf.DUMMYFUNCTION("IFERROR(
  FILTER('CBK Students'!R:R, TRIM('CBK Students'!B:B) = TRIM(A531)),
  """"
)"),"#REF!")</f>
        <v>#REF!</v>
      </c>
      <c r="Y531" s="4" t="str">
        <f t="shared" si="2"/>
        <v/>
      </c>
      <c r="Z531" s="4" t="str">
        <f>IFERROR(__xludf.DUMMYFUNCTION("IFERROR(
  FILTER('CBK Students'!O:O, TRIM('CBK Students'!B:B) = TRIM(A531)),
  """"
)"),"#REF!")</f>
        <v>#REF!</v>
      </c>
      <c r="AA531" s="4" t="str">
        <f>IFERROR(__xludf.DUMMYFUNCTION("IFERROR(
  FILTER('CBK Students'!P:P, TRIM('CBK Students'!B:B) = TRIM(A531)),
  """"
)"),"#REF!")</f>
        <v>#REF!</v>
      </c>
      <c r="AB531" s="4" t="str">
        <f>IFERROR(__xludf.DUMMYFUNCTION("IFERROR(
  FILTER('CBK Students'!Q:Q, TRIM('CBK Students'!B:B) = TRIM(A531)),
  """"
)"),"#REF!")</f>
        <v>#REF!</v>
      </c>
    </row>
    <row r="532" ht="18.75" customHeight="1">
      <c r="T532" s="240" t="str">
        <f>IFERROR(__xludf.DUMMYFUNCTION("IFERROR(
  FILTER('CBK Students'!F:F, TRIM('CBK Students'!B:B) = TRIM(A532)),
  """"
)"),"#REF!")</f>
        <v>#REF!</v>
      </c>
      <c r="U532" s="240" t="str">
        <f>IFERROR(__xludf.DUMMYFUNCTION("IFERROR(
  FILTER('CBK Students'!H:H, TRIM('CBK Students'!B:B) = TRIM(A532)),
  """"
)"),"#REF!")</f>
        <v>#REF!</v>
      </c>
      <c r="V532" s="240" t="str">
        <f>IFERROR(__xludf.DUMMYFUNCTION("IFERROR(
  FILTER('CBK Students'!M:M, TRIM('CBK Students'!B:B) = TRIM(A532)),
  """"
)"),"#REF!")</f>
        <v>#REF!</v>
      </c>
      <c r="W532" s="240" t="str">
        <f t="shared" si="1"/>
        <v/>
      </c>
      <c r="X532" s="240" t="str">
        <f>IFERROR(__xludf.DUMMYFUNCTION("IFERROR(
  FILTER('CBK Students'!R:R, TRIM('CBK Students'!B:B) = TRIM(A532)),
  """"
)"),"#REF!")</f>
        <v>#REF!</v>
      </c>
      <c r="Y532" s="4" t="str">
        <f t="shared" si="2"/>
        <v/>
      </c>
      <c r="Z532" s="4" t="str">
        <f>IFERROR(__xludf.DUMMYFUNCTION("IFERROR(
  FILTER('CBK Students'!O:O, TRIM('CBK Students'!B:B) = TRIM(A532)),
  """"
)"),"#REF!")</f>
        <v>#REF!</v>
      </c>
      <c r="AA532" s="4" t="str">
        <f>IFERROR(__xludf.DUMMYFUNCTION("IFERROR(
  FILTER('CBK Students'!P:P, TRIM('CBK Students'!B:B) = TRIM(A532)),
  """"
)"),"#REF!")</f>
        <v>#REF!</v>
      </c>
      <c r="AB532" s="4" t="str">
        <f>IFERROR(__xludf.DUMMYFUNCTION("IFERROR(
  FILTER('CBK Students'!Q:Q, TRIM('CBK Students'!B:B) = TRIM(A532)),
  """"
)"),"#REF!")</f>
        <v>#REF!</v>
      </c>
    </row>
    <row r="533" ht="18.75" customHeight="1">
      <c r="T533" s="240" t="str">
        <f>IFERROR(__xludf.DUMMYFUNCTION("IFERROR(
  FILTER('CBK Students'!F:F, TRIM('CBK Students'!B:B) = TRIM(A533)),
  """"
)"),"#REF!")</f>
        <v>#REF!</v>
      </c>
      <c r="U533" s="240" t="str">
        <f>IFERROR(__xludf.DUMMYFUNCTION("IFERROR(
  FILTER('CBK Students'!H:H, TRIM('CBK Students'!B:B) = TRIM(A533)),
  """"
)"),"#REF!")</f>
        <v>#REF!</v>
      </c>
      <c r="V533" s="240" t="str">
        <f>IFERROR(__xludf.DUMMYFUNCTION("IFERROR(
  FILTER('CBK Students'!M:M, TRIM('CBK Students'!B:B) = TRIM(A533)),
  """"
)"),"#REF!")</f>
        <v>#REF!</v>
      </c>
      <c r="W533" s="240" t="str">
        <f t="shared" si="1"/>
        <v/>
      </c>
      <c r="X533" s="240" t="str">
        <f>IFERROR(__xludf.DUMMYFUNCTION("IFERROR(
  FILTER('CBK Students'!R:R, TRIM('CBK Students'!B:B) = TRIM(A533)),
  """"
)"),"#REF!")</f>
        <v>#REF!</v>
      </c>
      <c r="Y533" s="4" t="str">
        <f t="shared" si="2"/>
        <v/>
      </c>
      <c r="Z533" s="4" t="str">
        <f>IFERROR(__xludf.DUMMYFUNCTION("IFERROR(
  FILTER('CBK Students'!O:O, TRIM('CBK Students'!B:B) = TRIM(A533)),
  """"
)"),"#REF!")</f>
        <v>#REF!</v>
      </c>
      <c r="AA533" s="4" t="str">
        <f>IFERROR(__xludf.DUMMYFUNCTION("IFERROR(
  FILTER('CBK Students'!P:P, TRIM('CBK Students'!B:B) = TRIM(A533)),
  """"
)"),"#REF!")</f>
        <v>#REF!</v>
      </c>
      <c r="AB533" s="4" t="str">
        <f>IFERROR(__xludf.DUMMYFUNCTION("IFERROR(
  FILTER('CBK Students'!Q:Q, TRIM('CBK Students'!B:B) = TRIM(A533)),
  """"
)"),"#REF!")</f>
        <v>#REF!</v>
      </c>
    </row>
    <row r="534" ht="18.75" customHeight="1">
      <c r="T534" s="240" t="str">
        <f>IFERROR(__xludf.DUMMYFUNCTION("IFERROR(
  FILTER('CBK Students'!F:F, TRIM('CBK Students'!B:B) = TRIM(A534)),
  """"
)"),"#REF!")</f>
        <v>#REF!</v>
      </c>
      <c r="U534" s="240" t="str">
        <f>IFERROR(__xludf.DUMMYFUNCTION("IFERROR(
  FILTER('CBK Students'!H:H, TRIM('CBK Students'!B:B) = TRIM(A534)),
  """"
)"),"#REF!")</f>
        <v>#REF!</v>
      </c>
      <c r="V534" s="240" t="str">
        <f>IFERROR(__xludf.DUMMYFUNCTION("IFERROR(
  FILTER('CBK Students'!M:M, TRIM('CBK Students'!B:B) = TRIM(A534)),
  """"
)"),"#REF!")</f>
        <v>#REF!</v>
      </c>
      <c r="W534" s="240" t="str">
        <f t="shared" si="1"/>
        <v/>
      </c>
      <c r="X534" s="240" t="str">
        <f>IFERROR(__xludf.DUMMYFUNCTION("IFERROR(
  FILTER('CBK Students'!R:R, TRIM('CBK Students'!B:B) = TRIM(A534)),
  """"
)"),"#REF!")</f>
        <v>#REF!</v>
      </c>
      <c r="Y534" s="4" t="str">
        <f t="shared" si="2"/>
        <v/>
      </c>
      <c r="Z534" s="4" t="str">
        <f>IFERROR(__xludf.DUMMYFUNCTION("IFERROR(
  FILTER('CBK Students'!O:O, TRIM('CBK Students'!B:B) = TRIM(A534)),
  """"
)"),"#REF!")</f>
        <v>#REF!</v>
      </c>
      <c r="AA534" s="4" t="str">
        <f>IFERROR(__xludf.DUMMYFUNCTION("IFERROR(
  FILTER('CBK Students'!P:P, TRIM('CBK Students'!B:B) = TRIM(A534)),
  """"
)"),"#REF!")</f>
        <v>#REF!</v>
      </c>
      <c r="AB534" s="4" t="str">
        <f>IFERROR(__xludf.DUMMYFUNCTION("IFERROR(
  FILTER('CBK Students'!Q:Q, TRIM('CBK Students'!B:B) = TRIM(A534)),
  """"
)"),"#REF!")</f>
        <v>#REF!</v>
      </c>
    </row>
    <row r="535" ht="18.75" customHeight="1">
      <c r="T535" s="240" t="str">
        <f>IFERROR(__xludf.DUMMYFUNCTION("IFERROR(
  FILTER('CBK Students'!F:F, TRIM('CBK Students'!B:B) = TRIM(A535)),
  """"
)"),"#REF!")</f>
        <v>#REF!</v>
      </c>
      <c r="U535" s="240" t="str">
        <f>IFERROR(__xludf.DUMMYFUNCTION("IFERROR(
  FILTER('CBK Students'!H:H, TRIM('CBK Students'!B:B) = TRIM(A535)),
  """"
)"),"#REF!")</f>
        <v>#REF!</v>
      </c>
      <c r="V535" s="240" t="str">
        <f>IFERROR(__xludf.DUMMYFUNCTION("IFERROR(
  FILTER('CBK Students'!M:M, TRIM('CBK Students'!B:B) = TRIM(A535)),
  """"
)"),"#REF!")</f>
        <v>#REF!</v>
      </c>
      <c r="W535" s="240" t="str">
        <f t="shared" si="1"/>
        <v/>
      </c>
      <c r="X535" s="240" t="str">
        <f>IFERROR(__xludf.DUMMYFUNCTION("IFERROR(
  FILTER('CBK Students'!R:R, TRIM('CBK Students'!B:B) = TRIM(A535)),
  """"
)"),"#REF!")</f>
        <v>#REF!</v>
      </c>
      <c r="Y535" s="4" t="str">
        <f t="shared" si="2"/>
        <v/>
      </c>
      <c r="Z535" s="4" t="str">
        <f>IFERROR(__xludf.DUMMYFUNCTION("IFERROR(
  FILTER('CBK Students'!O:O, TRIM('CBK Students'!B:B) = TRIM(A535)),
  """"
)"),"#REF!")</f>
        <v>#REF!</v>
      </c>
      <c r="AA535" s="4" t="str">
        <f>IFERROR(__xludf.DUMMYFUNCTION("IFERROR(
  FILTER('CBK Students'!P:P, TRIM('CBK Students'!B:B) = TRIM(A535)),
  """"
)"),"#REF!")</f>
        <v>#REF!</v>
      </c>
      <c r="AB535" s="4" t="str">
        <f>IFERROR(__xludf.DUMMYFUNCTION("IFERROR(
  FILTER('CBK Students'!Q:Q, TRIM('CBK Students'!B:B) = TRIM(A535)),
  """"
)"),"#REF!")</f>
        <v>#REF!</v>
      </c>
    </row>
    <row r="536" ht="18.75" customHeight="1">
      <c r="T536" s="240" t="str">
        <f>IFERROR(__xludf.DUMMYFUNCTION("IFERROR(
  FILTER('CBK Students'!F:F, TRIM('CBK Students'!B:B) = TRIM(A536)),
  """"
)"),"#REF!")</f>
        <v>#REF!</v>
      </c>
      <c r="U536" s="240" t="str">
        <f>IFERROR(__xludf.DUMMYFUNCTION("IFERROR(
  FILTER('CBK Students'!H:H, TRIM('CBK Students'!B:B) = TRIM(A536)),
  """"
)"),"#REF!")</f>
        <v>#REF!</v>
      </c>
      <c r="V536" s="240" t="str">
        <f>IFERROR(__xludf.DUMMYFUNCTION("IFERROR(
  FILTER('CBK Students'!M:M, TRIM('CBK Students'!B:B) = TRIM(A536)),
  """"
)"),"#REF!")</f>
        <v>#REF!</v>
      </c>
      <c r="W536" s="240" t="str">
        <f t="shared" si="1"/>
        <v/>
      </c>
      <c r="X536" s="240" t="str">
        <f>IFERROR(__xludf.DUMMYFUNCTION("IFERROR(
  FILTER('CBK Students'!R:R, TRIM('CBK Students'!B:B) = TRIM(A536)),
  """"
)"),"#REF!")</f>
        <v>#REF!</v>
      </c>
      <c r="Y536" s="4" t="str">
        <f t="shared" si="2"/>
        <v/>
      </c>
      <c r="Z536" s="4" t="str">
        <f>IFERROR(__xludf.DUMMYFUNCTION("IFERROR(
  FILTER('CBK Students'!O:O, TRIM('CBK Students'!B:B) = TRIM(A536)),
  """"
)"),"#REF!")</f>
        <v>#REF!</v>
      </c>
      <c r="AA536" s="4" t="str">
        <f>IFERROR(__xludf.DUMMYFUNCTION("IFERROR(
  FILTER('CBK Students'!P:P, TRIM('CBK Students'!B:B) = TRIM(A536)),
  """"
)"),"#REF!")</f>
        <v>#REF!</v>
      </c>
      <c r="AB536" s="4" t="str">
        <f>IFERROR(__xludf.DUMMYFUNCTION("IFERROR(
  FILTER('CBK Students'!Q:Q, TRIM('CBK Students'!B:B) = TRIM(A536)),
  """"
)"),"#REF!")</f>
        <v>#REF!</v>
      </c>
    </row>
    <row r="537" ht="18.75" customHeight="1">
      <c r="T537" s="240" t="str">
        <f>IFERROR(__xludf.DUMMYFUNCTION("IFERROR(
  FILTER('CBK Students'!F:F, TRIM('CBK Students'!B:B) = TRIM(A537)),
  """"
)"),"#REF!")</f>
        <v>#REF!</v>
      </c>
      <c r="U537" s="240" t="str">
        <f>IFERROR(__xludf.DUMMYFUNCTION("IFERROR(
  FILTER('CBK Students'!H:H, TRIM('CBK Students'!B:B) = TRIM(A537)),
  """"
)"),"#REF!")</f>
        <v>#REF!</v>
      </c>
      <c r="V537" s="240" t="str">
        <f>IFERROR(__xludf.DUMMYFUNCTION("IFERROR(
  FILTER('CBK Students'!M:M, TRIM('CBK Students'!B:B) = TRIM(A537)),
  """"
)"),"#REF!")</f>
        <v>#REF!</v>
      </c>
      <c r="W537" s="240" t="str">
        <f t="shared" si="1"/>
        <v/>
      </c>
      <c r="X537" s="240" t="str">
        <f>IFERROR(__xludf.DUMMYFUNCTION("IFERROR(
  FILTER('CBK Students'!R:R, TRIM('CBK Students'!B:B) = TRIM(A537)),
  """"
)"),"#REF!")</f>
        <v>#REF!</v>
      </c>
      <c r="Y537" s="4" t="str">
        <f t="shared" si="2"/>
        <v/>
      </c>
      <c r="Z537" s="4" t="str">
        <f>IFERROR(__xludf.DUMMYFUNCTION("IFERROR(
  FILTER('CBK Students'!O:O, TRIM('CBK Students'!B:B) = TRIM(A537)),
  """"
)"),"#REF!")</f>
        <v>#REF!</v>
      </c>
      <c r="AA537" s="4" t="str">
        <f>IFERROR(__xludf.DUMMYFUNCTION("IFERROR(
  FILTER('CBK Students'!P:P, TRIM('CBK Students'!B:B) = TRIM(A537)),
  """"
)"),"#REF!")</f>
        <v>#REF!</v>
      </c>
      <c r="AB537" s="4" t="str">
        <f>IFERROR(__xludf.DUMMYFUNCTION("IFERROR(
  FILTER('CBK Students'!Q:Q, TRIM('CBK Students'!B:B) = TRIM(A537)),
  """"
)"),"#REF!")</f>
        <v>#REF!</v>
      </c>
    </row>
    <row r="538" ht="18.75" customHeight="1">
      <c r="T538" s="240" t="str">
        <f>IFERROR(__xludf.DUMMYFUNCTION("IFERROR(
  FILTER('CBK Students'!F:F, TRIM('CBK Students'!B:B) = TRIM(A538)),
  """"
)"),"#REF!")</f>
        <v>#REF!</v>
      </c>
      <c r="U538" s="240" t="str">
        <f>IFERROR(__xludf.DUMMYFUNCTION("IFERROR(
  FILTER('CBK Students'!H:H, TRIM('CBK Students'!B:B) = TRIM(A538)),
  """"
)"),"#REF!")</f>
        <v>#REF!</v>
      </c>
      <c r="V538" s="240" t="str">
        <f>IFERROR(__xludf.DUMMYFUNCTION("IFERROR(
  FILTER('CBK Students'!M:M, TRIM('CBK Students'!B:B) = TRIM(A538)),
  """"
)"),"#REF!")</f>
        <v>#REF!</v>
      </c>
      <c r="W538" s="240" t="str">
        <f t="shared" si="1"/>
        <v/>
      </c>
      <c r="X538" s="240" t="str">
        <f>IFERROR(__xludf.DUMMYFUNCTION("IFERROR(
  FILTER('CBK Students'!R:R, TRIM('CBK Students'!B:B) = TRIM(A538)),
  """"
)"),"#REF!")</f>
        <v>#REF!</v>
      </c>
      <c r="Y538" s="4" t="str">
        <f t="shared" si="2"/>
        <v/>
      </c>
      <c r="Z538" s="4" t="str">
        <f>IFERROR(__xludf.DUMMYFUNCTION("IFERROR(
  FILTER('CBK Students'!O:O, TRIM('CBK Students'!B:B) = TRIM(A538)),
  """"
)"),"#REF!")</f>
        <v>#REF!</v>
      </c>
      <c r="AA538" s="4" t="str">
        <f>IFERROR(__xludf.DUMMYFUNCTION("IFERROR(
  FILTER('CBK Students'!P:P, TRIM('CBK Students'!B:B) = TRIM(A538)),
  """"
)"),"#REF!")</f>
        <v>#REF!</v>
      </c>
      <c r="AB538" s="4" t="str">
        <f>IFERROR(__xludf.DUMMYFUNCTION("IFERROR(
  FILTER('CBK Students'!Q:Q, TRIM('CBK Students'!B:B) = TRIM(A538)),
  """"
)"),"#REF!")</f>
        <v>#REF!</v>
      </c>
    </row>
    <row r="539" ht="18.75" customHeight="1">
      <c r="T539" s="240" t="str">
        <f>IFERROR(__xludf.DUMMYFUNCTION("IFERROR(
  FILTER('CBK Students'!F:F, TRIM('CBK Students'!B:B) = TRIM(A539)),
  """"
)"),"#REF!")</f>
        <v>#REF!</v>
      </c>
      <c r="U539" s="240" t="str">
        <f>IFERROR(__xludf.DUMMYFUNCTION("IFERROR(
  FILTER('CBK Students'!H:H, TRIM('CBK Students'!B:B) = TRIM(A539)),
  """"
)"),"#REF!")</f>
        <v>#REF!</v>
      </c>
      <c r="V539" s="240" t="str">
        <f>IFERROR(__xludf.DUMMYFUNCTION("IFERROR(
  FILTER('CBK Students'!M:M, TRIM('CBK Students'!B:B) = TRIM(A539)),
  """"
)"),"#REF!")</f>
        <v>#REF!</v>
      </c>
      <c r="W539" s="240" t="str">
        <f t="shared" si="1"/>
        <v/>
      </c>
      <c r="X539" s="240" t="str">
        <f>IFERROR(__xludf.DUMMYFUNCTION("IFERROR(
  FILTER('CBK Students'!R:R, TRIM('CBK Students'!B:B) = TRIM(A539)),
  """"
)"),"#REF!")</f>
        <v>#REF!</v>
      </c>
      <c r="Y539" s="4" t="str">
        <f t="shared" si="2"/>
        <v/>
      </c>
      <c r="Z539" s="4" t="str">
        <f>IFERROR(__xludf.DUMMYFUNCTION("IFERROR(
  FILTER('CBK Students'!O:O, TRIM('CBK Students'!B:B) = TRIM(A539)),
  """"
)"),"#REF!")</f>
        <v>#REF!</v>
      </c>
      <c r="AA539" s="4" t="str">
        <f>IFERROR(__xludf.DUMMYFUNCTION("IFERROR(
  FILTER('CBK Students'!P:P, TRIM('CBK Students'!B:B) = TRIM(A539)),
  """"
)"),"#REF!")</f>
        <v>#REF!</v>
      </c>
      <c r="AB539" s="4" t="str">
        <f>IFERROR(__xludf.DUMMYFUNCTION("IFERROR(
  FILTER('CBK Students'!Q:Q, TRIM('CBK Students'!B:B) = TRIM(A539)),
  """"
)"),"#REF!")</f>
        <v>#REF!</v>
      </c>
    </row>
    <row r="540" ht="18.75" customHeight="1">
      <c r="T540" s="240" t="str">
        <f>IFERROR(__xludf.DUMMYFUNCTION("IFERROR(
  FILTER('CBK Students'!F:F, TRIM('CBK Students'!B:B) = TRIM(A540)),
  """"
)"),"#REF!")</f>
        <v>#REF!</v>
      </c>
      <c r="U540" s="240" t="str">
        <f>IFERROR(__xludf.DUMMYFUNCTION("IFERROR(
  FILTER('CBK Students'!H:H, TRIM('CBK Students'!B:B) = TRIM(A540)),
  """"
)"),"#REF!")</f>
        <v>#REF!</v>
      </c>
      <c r="V540" s="240" t="str">
        <f>IFERROR(__xludf.DUMMYFUNCTION("IFERROR(
  FILTER('CBK Students'!M:M, TRIM('CBK Students'!B:B) = TRIM(A540)),
  """"
)"),"#REF!")</f>
        <v>#REF!</v>
      </c>
      <c r="W540" s="240" t="str">
        <f t="shared" si="1"/>
        <v/>
      </c>
      <c r="X540" s="240" t="str">
        <f>IFERROR(__xludf.DUMMYFUNCTION("IFERROR(
  FILTER('CBK Students'!R:R, TRIM('CBK Students'!B:B) = TRIM(A540)),
  """"
)"),"#REF!")</f>
        <v>#REF!</v>
      </c>
      <c r="Y540" s="4" t="str">
        <f t="shared" si="2"/>
        <v/>
      </c>
      <c r="Z540" s="4" t="str">
        <f>IFERROR(__xludf.DUMMYFUNCTION("IFERROR(
  FILTER('CBK Students'!O:O, TRIM('CBK Students'!B:B) = TRIM(A540)),
  """"
)"),"#REF!")</f>
        <v>#REF!</v>
      </c>
      <c r="AA540" s="4" t="str">
        <f>IFERROR(__xludf.DUMMYFUNCTION("IFERROR(
  FILTER('CBK Students'!P:P, TRIM('CBK Students'!B:B) = TRIM(A540)),
  """"
)"),"#REF!")</f>
        <v>#REF!</v>
      </c>
      <c r="AB540" s="4" t="str">
        <f>IFERROR(__xludf.DUMMYFUNCTION("IFERROR(
  FILTER('CBK Students'!Q:Q, TRIM('CBK Students'!B:B) = TRIM(A540)),
  """"
)"),"#REF!")</f>
        <v>#REF!</v>
      </c>
    </row>
    <row r="541" ht="18.75" customHeight="1">
      <c r="T541" s="240" t="str">
        <f>IFERROR(__xludf.DUMMYFUNCTION("IFERROR(
  FILTER('CBK Students'!F:F, TRIM('CBK Students'!B:B) = TRIM(A541)),
  """"
)"),"#REF!")</f>
        <v>#REF!</v>
      </c>
      <c r="U541" s="240" t="str">
        <f>IFERROR(__xludf.DUMMYFUNCTION("IFERROR(
  FILTER('CBK Students'!H:H, TRIM('CBK Students'!B:B) = TRIM(A541)),
  """"
)"),"#REF!")</f>
        <v>#REF!</v>
      </c>
      <c r="V541" s="240" t="str">
        <f>IFERROR(__xludf.DUMMYFUNCTION("IFERROR(
  FILTER('CBK Students'!M:M, TRIM('CBK Students'!B:B) = TRIM(A541)),
  """"
)"),"#REF!")</f>
        <v>#REF!</v>
      </c>
      <c r="W541" s="240" t="str">
        <f t="shared" si="1"/>
        <v/>
      </c>
      <c r="X541" s="240" t="str">
        <f>IFERROR(__xludf.DUMMYFUNCTION("IFERROR(
  FILTER('CBK Students'!R:R, TRIM('CBK Students'!B:B) = TRIM(A541)),
  """"
)"),"#REF!")</f>
        <v>#REF!</v>
      </c>
      <c r="Y541" s="4" t="str">
        <f t="shared" si="2"/>
        <v/>
      </c>
      <c r="Z541" s="4" t="str">
        <f>IFERROR(__xludf.DUMMYFUNCTION("IFERROR(
  FILTER('CBK Students'!O:O, TRIM('CBK Students'!B:B) = TRIM(A541)),
  """"
)"),"#REF!")</f>
        <v>#REF!</v>
      </c>
      <c r="AA541" s="4" t="str">
        <f>IFERROR(__xludf.DUMMYFUNCTION("IFERROR(
  FILTER('CBK Students'!P:P, TRIM('CBK Students'!B:B) = TRIM(A541)),
  """"
)"),"#REF!")</f>
        <v>#REF!</v>
      </c>
      <c r="AB541" s="4" t="str">
        <f>IFERROR(__xludf.DUMMYFUNCTION("IFERROR(
  FILTER('CBK Students'!Q:Q, TRIM('CBK Students'!B:B) = TRIM(A541)),
  """"
)"),"#REF!")</f>
        <v>#REF!</v>
      </c>
    </row>
    <row r="542" ht="18.75" customHeight="1">
      <c r="T542" s="240" t="str">
        <f>IFERROR(__xludf.DUMMYFUNCTION("IFERROR(
  FILTER('CBK Students'!F:F, TRIM('CBK Students'!B:B) = TRIM(A542)),
  """"
)"),"#REF!")</f>
        <v>#REF!</v>
      </c>
      <c r="U542" s="240" t="str">
        <f>IFERROR(__xludf.DUMMYFUNCTION("IFERROR(
  FILTER('CBK Students'!H:H, TRIM('CBK Students'!B:B) = TRIM(A542)),
  """"
)"),"#REF!")</f>
        <v>#REF!</v>
      </c>
      <c r="V542" s="240" t="str">
        <f>IFERROR(__xludf.DUMMYFUNCTION("IFERROR(
  FILTER('CBK Students'!M:M, TRIM('CBK Students'!B:B) = TRIM(A542)),
  """"
)"),"#REF!")</f>
        <v>#REF!</v>
      </c>
      <c r="W542" s="240" t="str">
        <f t="shared" si="1"/>
        <v/>
      </c>
      <c r="X542" s="240" t="str">
        <f>IFERROR(__xludf.DUMMYFUNCTION("IFERROR(
  FILTER('CBK Students'!R:R, TRIM('CBK Students'!B:B) = TRIM(A542)),
  """"
)"),"#REF!")</f>
        <v>#REF!</v>
      </c>
      <c r="Y542" s="4" t="str">
        <f t="shared" si="2"/>
        <v/>
      </c>
      <c r="Z542" s="4" t="str">
        <f>IFERROR(__xludf.DUMMYFUNCTION("IFERROR(
  FILTER('CBK Students'!O:O, TRIM('CBK Students'!B:B) = TRIM(A542)),
  """"
)"),"#REF!")</f>
        <v>#REF!</v>
      </c>
      <c r="AA542" s="4" t="str">
        <f>IFERROR(__xludf.DUMMYFUNCTION("IFERROR(
  FILTER('CBK Students'!P:P, TRIM('CBK Students'!B:B) = TRIM(A542)),
  """"
)"),"#REF!")</f>
        <v>#REF!</v>
      </c>
      <c r="AB542" s="4" t="str">
        <f>IFERROR(__xludf.DUMMYFUNCTION("IFERROR(
  FILTER('CBK Students'!Q:Q, TRIM('CBK Students'!B:B) = TRIM(A542)),
  """"
)"),"#REF!")</f>
        <v>#REF!</v>
      </c>
    </row>
    <row r="543" ht="18.75" customHeight="1">
      <c r="T543" s="240" t="str">
        <f>IFERROR(__xludf.DUMMYFUNCTION("IFERROR(
  FILTER('CBK Students'!F:F, TRIM('CBK Students'!B:B) = TRIM(A543)),
  """"
)"),"#REF!")</f>
        <v>#REF!</v>
      </c>
      <c r="U543" s="240" t="str">
        <f>IFERROR(__xludf.DUMMYFUNCTION("IFERROR(
  FILTER('CBK Students'!H:H, TRIM('CBK Students'!B:B) = TRIM(A543)),
  """"
)"),"#REF!")</f>
        <v>#REF!</v>
      </c>
      <c r="V543" s="240" t="str">
        <f>IFERROR(__xludf.DUMMYFUNCTION("IFERROR(
  FILTER('CBK Students'!M:M, TRIM('CBK Students'!B:B) = TRIM(A543)),
  """"
)"),"#REF!")</f>
        <v>#REF!</v>
      </c>
      <c r="W543" s="240" t="str">
        <f t="shared" si="1"/>
        <v/>
      </c>
      <c r="X543" s="240" t="str">
        <f>IFERROR(__xludf.DUMMYFUNCTION("IFERROR(
  FILTER('CBK Students'!R:R, TRIM('CBK Students'!B:B) = TRIM(A543)),
  """"
)"),"#REF!")</f>
        <v>#REF!</v>
      </c>
      <c r="Y543" s="4" t="str">
        <f t="shared" si="2"/>
        <v/>
      </c>
      <c r="Z543" s="4" t="str">
        <f>IFERROR(__xludf.DUMMYFUNCTION("IFERROR(
  FILTER('CBK Students'!O:O, TRIM('CBK Students'!B:B) = TRIM(A543)),
  """"
)"),"#REF!")</f>
        <v>#REF!</v>
      </c>
      <c r="AA543" s="4" t="str">
        <f>IFERROR(__xludf.DUMMYFUNCTION("IFERROR(
  FILTER('CBK Students'!P:P, TRIM('CBK Students'!B:B) = TRIM(A543)),
  """"
)"),"#REF!")</f>
        <v>#REF!</v>
      </c>
      <c r="AB543" s="4" t="str">
        <f>IFERROR(__xludf.DUMMYFUNCTION("IFERROR(
  FILTER('CBK Students'!Q:Q, TRIM('CBK Students'!B:B) = TRIM(A543)),
  """"
)"),"#REF!")</f>
        <v>#REF!</v>
      </c>
    </row>
    <row r="544" ht="18.75" customHeight="1">
      <c r="T544" s="240" t="str">
        <f>IFERROR(__xludf.DUMMYFUNCTION("IFERROR(
  FILTER('CBK Students'!F:F, TRIM('CBK Students'!B:B) = TRIM(A544)),
  """"
)"),"#REF!")</f>
        <v>#REF!</v>
      </c>
      <c r="U544" s="240" t="str">
        <f>IFERROR(__xludf.DUMMYFUNCTION("IFERROR(
  FILTER('CBK Students'!H:H, TRIM('CBK Students'!B:B) = TRIM(A544)),
  """"
)"),"#REF!")</f>
        <v>#REF!</v>
      </c>
      <c r="V544" s="240" t="str">
        <f>IFERROR(__xludf.DUMMYFUNCTION("IFERROR(
  FILTER('CBK Students'!M:M, TRIM('CBK Students'!B:B) = TRIM(A544)),
  """"
)"),"#REF!")</f>
        <v>#REF!</v>
      </c>
      <c r="W544" s="240" t="str">
        <f t="shared" si="1"/>
        <v/>
      </c>
      <c r="X544" s="240" t="str">
        <f>IFERROR(__xludf.DUMMYFUNCTION("IFERROR(
  FILTER('CBK Students'!R:R, TRIM('CBK Students'!B:B) = TRIM(A544)),
  """"
)"),"#REF!")</f>
        <v>#REF!</v>
      </c>
      <c r="Y544" s="4" t="str">
        <f t="shared" si="2"/>
        <v/>
      </c>
      <c r="Z544" s="4" t="str">
        <f>IFERROR(__xludf.DUMMYFUNCTION("IFERROR(
  FILTER('CBK Students'!O:O, TRIM('CBK Students'!B:B) = TRIM(A544)),
  """"
)"),"#REF!")</f>
        <v>#REF!</v>
      </c>
      <c r="AA544" s="4" t="str">
        <f>IFERROR(__xludf.DUMMYFUNCTION("IFERROR(
  FILTER('CBK Students'!P:P, TRIM('CBK Students'!B:B) = TRIM(A544)),
  """"
)"),"#REF!")</f>
        <v>#REF!</v>
      </c>
      <c r="AB544" s="4" t="str">
        <f>IFERROR(__xludf.DUMMYFUNCTION("IFERROR(
  FILTER('CBK Students'!Q:Q, TRIM('CBK Students'!B:B) = TRIM(A544)),
  """"
)"),"#REF!")</f>
        <v>#REF!</v>
      </c>
    </row>
    <row r="545" ht="18.75" customHeight="1">
      <c r="T545" s="240" t="str">
        <f>IFERROR(__xludf.DUMMYFUNCTION("IFERROR(
  FILTER('CBK Students'!F:F, TRIM('CBK Students'!B:B) = TRIM(A545)),
  """"
)"),"#REF!")</f>
        <v>#REF!</v>
      </c>
      <c r="U545" s="240" t="str">
        <f>IFERROR(__xludf.DUMMYFUNCTION("IFERROR(
  FILTER('CBK Students'!H:H, TRIM('CBK Students'!B:B) = TRIM(A545)),
  """"
)"),"#REF!")</f>
        <v>#REF!</v>
      </c>
      <c r="V545" s="240" t="str">
        <f>IFERROR(__xludf.DUMMYFUNCTION("IFERROR(
  FILTER('CBK Students'!M:M, TRIM('CBK Students'!B:B) = TRIM(A545)),
  """"
)"),"#REF!")</f>
        <v>#REF!</v>
      </c>
      <c r="W545" s="240" t="str">
        <f t="shared" si="1"/>
        <v/>
      </c>
      <c r="X545" s="240" t="str">
        <f>IFERROR(__xludf.DUMMYFUNCTION("IFERROR(
  FILTER('CBK Students'!R:R, TRIM('CBK Students'!B:B) = TRIM(A545)),
  """"
)"),"#REF!")</f>
        <v>#REF!</v>
      </c>
      <c r="Y545" s="4" t="str">
        <f t="shared" si="2"/>
        <v/>
      </c>
      <c r="Z545" s="4" t="str">
        <f>IFERROR(__xludf.DUMMYFUNCTION("IFERROR(
  FILTER('CBK Students'!O:O, TRIM('CBK Students'!B:B) = TRIM(A545)),
  """"
)"),"#REF!")</f>
        <v>#REF!</v>
      </c>
      <c r="AA545" s="4" t="str">
        <f>IFERROR(__xludf.DUMMYFUNCTION("IFERROR(
  FILTER('CBK Students'!P:P, TRIM('CBK Students'!B:B) = TRIM(A545)),
  """"
)"),"#REF!")</f>
        <v>#REF!</v>
      </c>
      <c r="AB545" s="4" t="str">
        <f>IFERROR(__xludf.DUMMYFUNCTION("IFERROR(
  FILTER('CBK Students'!Q:Q, TRIM('CBK Students'!B:B) = TRIM(A545)),
  """"
)"),"#REF!")</f>
        <v>#REF!</v>
      </c>
    </row>
    <row r="546" ht="18.75" customHeight="1">
      <c r="T546" s="240" t="str">
        <f>IFERROR(__xludf.DUMMYFUNCTION("IFERROR(
  FILTER('CBK Students'!F:F, TRIM('CBK Students'!B:B) = TRIM(A546)),
  """"
)"),"#REF!")</f>
        <v>#REF!</v>
      </c>
      <c r="U546" s="240" t="str">
        <f>IFERROR(__xludf.DUMMYFUNCTION("IFERROR(
  FILTER('CBK Students'!H:H, TRIM('CBK Students'!B:B) = TRIM(A546)),
  """"
)"),"#REF!")</f>
        <v>#REF!</v>
      </c>
      <c r="V546" s="240" t="str">
        <f>IFERROR(__xludf.DUMMYFUNCTION("IFERROR(
  FILTER('CBK Students'!M:M, TRIM('CBK Students'!B:B) = TRIM(A546)),
  """"
)"),"#REF!")</f>
        <v>#REF!</v>
      </c>
      <c r="W546" s="240" t="str">
        <f t="shared" si="1"/>
        <v/>
      </c>
      <c r="X546" s="240" t="str">
        <f>IFERROR(__xludf.DUMMYFUNCTION("IFERROR(
  FILTER('CBK Students'!R:R, TRIM('CBK Students'!B:B) = TRIM(A546)),
  """"
)"),"#REF!")</f>
        <v>#REF!</v>
      </c>
      <c r="Y546" s="4" t="str">
        <f t="shared" si="2"/>
        <v/>
      </c>
      <c r="Z546" s="4" t="str">
        <f>IFERROR(__xludf.DUMMYFUNCTION("IFERROR(
  FILTER('CBK Students'!O:O, TRIM('CBK Students'!B:B) = TRIM(A546)),
  """"
)"),"#REF!")</f>
        <v>#REF!</v>
      </c>
      <c r="AA546" s="4" t="str">
        <f>IFERROR(__xludf.DUMMYFUNCTION("IFERROR(
  FILTER('CBK Students'!P:P, TRIM('CBK Students'!B:B) = TRIM(A546)),
  """"
)"),"#REF!")</f>
        <v>#REF!</v>
      </c>
      <c r="AB546" s="4" t="str">
        <f>IFERROR(__xludf.DUMMYFUNCTION("IFERROR(
  FILTER('CBK Students'!Q:Q, TRIM('CBK Students'!B:B) = TRIM(A546)),
  """"
)"),"#REF!")</f>
        <v>#REF!</v>
      </c>
    </row>
    <row r="547" ht="18.75" customHeight="1">
      <c r="T547" s="240" t="str">
        <f>IFERROR(__xludf.DUMMYFUNCTION("IFERROR(
  FILTER('CBK Students'!F:F, TRIM('CBK Students'!B:B) = TRIM(A547)),
  """"
)"),"#REF!")</f>
        <v>#REF!</v>
      </c>
      <c r="U547" s="240" t="str">
        <f>IFERROR(__xludf.DUMMYFUNCTION("IFERROR(
  FILTER('CBK Students'!H:H, TRIM('CBK Students'!B:B) = TRIM(A547)),
  """"
)"),"#REF!")</f>
        <v>#REF!</v>
      </c>
      <c r="V547" s="240" t="str">
        <f>IFERROR(__xludf.DUMMYFUNCTION("IFERROR(
  FILTER('CBK Students'!M:M, TRIM('CBK Students'!B:B) = TRIM(A547)),
  """"
)"),"#REF!")</f>
        <v>#REF!</v>
      </c>
      <c r="W547" s="240" t="str">
        <f t="shared" si="1"/>
        <v/>
      </c>
      <c r="X547" s="240" t="str">
        <f>IFERROR(__xludf.DUMMYFUNCTION("IFERROR(
  FILTER('CBK Students'!R:R, TRIM('CBK Students'!B:B) = TRIM(A547)),
  """"
)"),"#REF!")</f>
        <v>#REF!</v>
      </c>
      <c r="Y547" s="4" t="str">
        <f t="shared" si="2"/>
        <v/>
      </c>
      <c r="Z547" s="4" t="str">
        <f>IFERROR(__xludf.DUMMYFUNCTION("IFERROR(
  FILTER('CBK Students'!O:O, TRIM('CBK Students'!B:B) = TRIM(A547)),
  """"
)"),"#REF!")</f>
        <v>#REF!</v>
      </c>
      <c r="AA547" s="4" t="str">
        <f>IFERROR(__xludf.DUMMYFUNCTION("IFERROR(
  FILTER('CBK Students'!P:P, TRIM('CBK Students'!B:B) = TRIM(A547)),
  """"
)"),"#REF!")</f>
        <v>#REF!</v>
      </c>
      <c r="AB547" s="4" t="str">
        <f>IFERROR(__xludf.DUMMYFUNCTION("IFERROR(
  FILTER('CBK Students'!Q:Q, TRIM('CBK Students'!B:B) = TRIM(A547)),
  """"
)"),"#REF!")</f>
        <v>#REF!</v>
      </c>
    </row>
    <row r="548" ht="18.75" customHeight="1">
      <c r="T548" s="240" t="str">
        <f>IFERROR(__xludf.DUMMYFUNCTION("IFERROR(
  FILTER('CBK Students'!F:F, TRIM('CBK Students'!B:B) = TRIM(A548)),
  """"
)"),"#REF!")</f>
        <v>#REF!</v>
      </c>
      <c r="U548" s="240" t="str">
        <f>IFERROR(__xludf.DUMMYFUNCTION("IFERROR(
  FILTER('CBK Students'!H:H, TRIM('CBK Students'!B:B) = TRIM(A548)),
  """"
)"),"#REF!")</f>
        <v>#REF!</v>
      </c>
      <c r="V548" s="240" t="str">
        <f>IFERROR(__xludf.DUMMYFUNCTION("IFERROR(
  FILTER('CBK Students'!M:M, TRIM('CBK Students'!B:B) = TRIM(A548)),
  """"
)"),"#REF!")</f>
        <v>#REF!</v>
      </c>
      <c r="W548" s="240" t="str">
        <f t="shared" si="1"/>
        <v/>
      </c>
      <c r="X548" s="240" t="str">
        <f>IFERROR(__xludf.DUMMYFUNCTION("IFERROR(
  FILTER('CBK Students'!R:R, TRIM('CBK Students'!B:B) = TRIM(A548)),
  """"
)"),"#REF!")</f>
        <v>#REF!</v>
      </c>
      <c r="Y548" s="4" t="str">
        <f t="shared" si="2"/>
        <v/>
      </c>
      <c r="Z548" s="4" t="str">
        <f>IFERROR(__xludf.DUMMYFUNCTION("IFERROR(
  FILTER('CBK Students'!O:O, TRIM('CBK Students'!B:B) = TRIM(A548)),
  """"
)"),"#REF!")</f>
        <v>#REF!</v>
      </c>
      <c r="AA548" s="4" t="str">
        <f>IFERROR(__xludf.DUMMYFUNCTION("IFERROR(
  FILTER('CBK Students'!P:P, TRIM('CBK Students'!B:B) = TRIM(A548)),
  """"
)"),"#REF!")</f>
        <v>#REF!</v>
      </c>
      <c r="AB548" s="4" t="str">
        <f>IFERROR(__xludf.DUMMYFUNCTION("IFERROR(
  FILTER('CBK Students'!Q:Q, TRIM('CBK Students'!B:B) = TRIM(A548)),
  """"
)"),"#REF!")</f>
        <v>#REF!</v>
      </c>
    </row>
    <row r="549" ht="18.75" customHeight="1">
      <c r="T549" s="240" t="str">
        <f>IFERROR(__xludf.DUMMYFUNCTION("IFERROR(
  FILTER('CBK Students'!F:F, TRIM('CBK Students'!B:B) = TRIM(A549)),
  """"
)"),"#REF!")</f>
        <v>#REF!</v>
      </c>
      <c r="U549" s="240" t="str">
        <f>IFERROR(__xludf.DUMMYFUNCTION("IFERROR(
  FILTER('CBK Students'!H:H, TRIM('CBK Students'!B:B) = TRIM(A549)),
  """"
)"),"#REF!")</f>
        <v>#REF!</v>
      </c>
      <c r="V549" s="240" t="str">
        <f>IFERROR(__xludf.DUMMYFUNCTION("IFERROR(
  FILTER('CBK Students'!M:M, TRIM('CBK Students'!B:B) = TRIM(A549)),
  """"
)"),"#REF!")</f>
        <v>#REF!</v>
      </c>
      <c r="W549" s="240" t="str">
        <f t="shared" si="1"/>
        <v/>
      </c>
      <c r="X549" s="240" t="str">
        <f>IFERROR(__xludf.DUMMYFUNCTION("IFERROR(
  FILTER('CBK Students'!R:R, TRIM('CBK Students'!B:B) = TRIM(A549)),
  """"
)"),"#REF!")</f>
        <v>#REF!</v>
      </c>
      <c r="Y549" s="4" t="str">
        <f t="shared" si="2"/>
        <v/>
      </c>
      <c r="Z549" s="4" t="str">
        <f>IFERROR(__xludf.DUMMYFUNCTION("IFERROR(
  FILTER('CBK Students'!O:O, TRIM('CBK Students'!B:B) = TRIM(A549)),
  """"
)"),"#REF!")</f>
        <v>#REF!</v>
      </c>
      <c r="AA549" s="4" t="str">
        <f>IFERROR(__xludf.DUMMYFUNCTION("IFERROR(
  FILTER('CBK Students'!P:P, TRIM('CBK Students'!B:B) = TRIM(A549)),
  """"
)"),"#REF!")</f>
        <v>#REF!</v>
      </c>
      <c r="AB549" s="4" t="str">
        <f>IFERROR(__xludf.DUMMYFUNCTION("IFERROR(
  FILTER('CBK Students'!Q:Q, TRIM('CBK Students'!B:B) = TRIM(A549)),
  """"
)"),"#REF!")</f>
        <v>#REF!</v>
      </c>
    </row>
    <row r="550" ht="18.75" customHeight="1">
      <c r="T550" s="240" t="str">
        <f>IFERROR(__xludf.DUMMYFUNCTION("IFERROR(
  FILTER('CBK Students'!F:F, TRIM('CBK Students'!B:B) = TRIM(A550)),
  """"
)"),"#REF!")</f>
        <v>#REF!</v>
      </c>
      <c r="U550" s="240" t="str">
        <f>IFERROR(__xludf.DUMMYFUNCTION("IFERROR(
  FILTER('CBK Students'!H:H, TRIM('CBK Students'!B:B) = TRIM(A550)),
  """"
)"),"#REF!")</f>
        <v>#REF!</v>
      </c>
      <c r="V550" s="240" t="str">
        <f>IFERROR(__xludf.DUMMYFUNCTION("IFERROR(
  FILTER('CBK Students'!M:M, TRIM('CBK Students'!B:B) = TRIM(A550)),
  """"
)"),"#REF!")</f>
        <v>#REF!</v>
      </c>
      <c r="W550" s="240" t="str">
        <f t="shared" si="1"/>
        <v/>
      </c>
      <c r="X550" s="240" t="str">
        <f>IFERROR(__xludf.DUMMYFUNCTION("IFERROR(
  FILTER('CBK Students'!R:R, TRIM('CBK Students'!B:B) = TRIM(A550)),
  """"
)"),"#REF!")</f>
        <v>#REF!</v>
      </c>
      <c r="Y550" s="4" t="str">
        <f t="shared" si="2"/>
        <v/>
      </c>
      <c r="Z550" s="4" t="str">
        <f>IFERROR(__xludf.DUMMYFUNCTION("IFERROR(
  FILTER('CBK Students'!O:O, TRIM('CBK Students'!B:B) = TRIM(A550)),
  """"
)"),"#REF!")</f>
        <v>#REF!</v>
      </c>
      <c r="AA550" s="4" t="str">
        <f>IFERROR(__xludf.DUMMYFUNCTION("IFERROR(
  FILTER('CBK Students'!P:P, TRIM('CBK Students'!B:B) = TRIM(A550)),
  """"
)"),"#REF!")</f>
        <v>#REF!</v>
      </c>
      <c r="AB550" s="4" t="str">
        <f>IFERROR(__xludf.DUMMYFUNCTION("IFERROR(
  FILTER('CBK Students'!Q:Q, TRIM('CBK Students'!B:B) = TRIM(A550)),
  """"
)"),"#REF!")</f>
        <v>#REF!</v>
      </c>
    </row>
    <row r="551" ht="18.75" customHeight="1">
      <c r="T551" s="240" t="str">
        <f>IFERROR(__xludf.DUMMYFUNCTION("IFERROR(
  FILTER('CBK Students'!F:F, TRIM('CBK Students'!B:B) = TRIM(A551)),
  """"
)"),"#REF!")</f>
        <v>#REF!</v>
      </c>
      <c r="U551" s="240" t="str">
        <f>IFERROR(__xludf.DUMMYFUNCTION("IFERROR(
  FILTER('CBK Students'!H:H, TRIM('CBK Students'!B:B) = TRIM(A551)),
  """"
)"),"#REF!")</f>
        <v>#REF!</v>
      </c>
      <c r="V551" s="240" t="str">
        <f>IFERROR(__xludf.DUMMYFUNCTION("IFERROR(
  FILTER('CBK Students'!M:M, TRIM('CBK Students'!B:B) = TRIM(A551)),
  """"
)"),"#REF!")</f>
        <v>#REF!</v>
      </c>
      <c r="W551" s="240" t="str">
        <f t="shared" si="1"/>
        <v/>
      </c>
      <c r="X551" s="240" t="str">
        <f>IFERROR(__xludf.DUMMYFUNCTION("IFERROR(
  FILTER('CBK Students'!R:R, TRIM('CBK Students'!B:B) = TRIM(A551)),
  """"
)"),"#REF!")</f>
        <v>#REF!</v>
      </c>
      <c r="Y551" s="4" t="str">
        <f t="shared" si="2"/>
        <v/>
      </c>
      <c r="Z551" s="4" t="str">
        <f>IFERROR(__xludf.DUMMYFUNCTION("IFERROR(
  FILTER('CBK Students'!O:O, TRIM('CBK Students'!B:B) = TRIM(A551)),
  """"
)"),"#REF!")</f>
        <v>#REF!</v>
      </c>
      <c r="AA551" s="4" t="str">
        <f>IFERROR(__xludf.DUMMYFUNCTION("IFERROR(
  FILTER('CBK Students'!P:P, TRIM('CBK Students'!B:B) = TRIM(A551)),
  """"
)"),"#REF!")</f>
        <v>#REF!</v>
      </c>
      <c r="AB551" s="4" t="str">
        <f>IFERROR(__xludf.DUMMYFUNCTION("IFERROR(
  FILTER('CBK Students'!Q:Q, TRIM('CBK Students'!B:B) = TRIM(A551)),
  """"
)"),"#REF!")</f>
        <v>#REF!</v>
      </c>
    </row>
    <row r="552" ht="18.75" customHeight="1">
      <c r="T552" s="240" t="str">
        <f>IFERROR(__xludf.DUMMYFUNCTION("IFERROR(
  FILTER('CBK Students'!F:F, TRIM('CBK Students'!B:B) = TRIM(A552)),
  """"
)"),"#REF!")</f>
        <v>#REF!</v>
      </c>
      <c r="U552" s="240" t="str">
        <f>IFERROR(__xludf.DUMMYFUNCTION("IFERROR(
  FILTER('CBK Students'!H:H, TRIM('CBK Students'!B:B) = TRIM(A552)),
  """"
)"),"#REF!")</f>
        <v>#REF!</v>
      </c>
      <c r="V552" s="240" t="str">
        <f>IFERROR(__xludf.DUMMYFUNCTION("IFERROR(
  FILTER('CBK Students'!M:M, TRIM('CBK Students'!B:B) = TRIM(A552)),
  """"
)"),"#REF!")</f>
        <v>#REF!</v>
      </c>
      <c r="W552" s="240" t="str">
        <f t="shared" si="1"/>
        <v/>
      </c>
      <c r="X552" s="240" t="str">
        <f>IFERROR(__xludf.DUMMYFUNCTION("IFERROR(
  FILTER('CBK Students'!R:R, TRIM('CBK Students'!B:B) = TRIM(A552)),
  """"
)"),"#REF!")</f>
        <v>#REF!</v>
      </c>
      <c r="Y552" s="4" t="str">
        <f t="shared" si="2"/>
        <v/>
      </c>
      <c r="Z552" s="4" t="str">
        <f>IFERROR(__xludf.DUMMYFUNCTION("IFERROR(
  FILTER('CBK Students'!O:O, TRIM('CBK Students'!B:B) = TRIM(A552)),
  """"
)"),"#REF!")</f>
        <v>#REF!</v>
      </c>
      <c r="AA552" s="4" t="str">
        <f>IFERROR(__xludf.DUMMYFUNCTION("IFERROR(
  FILTER('CBK Students'!P:P, TRIM('CBK Students'!B:B) = TRIM(A552)),
  """"
)"),"#REF!")</f>
        <v>#REF!</v>
      </c>
      <c r="AB552" s="4" t="str">
        <f>IFERROR(__xludf.DUMMYFUNCTION("IFERROR(
  FILTER('CBK Students'!Q:Q, TRIM('CBK Students'!B:B) = TRIM(A552)),
  """"
)"),"#REF!")</f>
        <v>#REF!</v>
      </c>
    </row>
    <row r="553" ht="18.75" customHeight="1">
      <c r="T553" s="240" t="str">
        <f>IFERROR(__xludf.DUMMYFUNCTION("IFERROR(
  FILTER('CBK Students'!F:F, TRIM('CBK Students'!B:B) = TRIM(A553)),
  """"
)"),"#REF!")</f>
        <v>#REF!</v>
      </c>
      <c r="U553" s="240" t="str">
        <f>IFERROR(__xludf.DUMMYFUNCTION("IFERROR(
  FILTER('CBK Students'!H:H, TRIM('CBK Students'!B:B) = TRIM(A553)),
  """"
)"),"#REF!")</f>
        <v>#REF!</v>
      </c>
      <c r="V553" s="240" t="str">
        <f>IFERROR(__xludf.DUMMYFUNCTION("IFERROR(
  FILTER('CBK Students'!M:M, TRIM('CBK Students'!B:B) = TRIM(A553)),
  """"
)"),"#REF!")</f>
        <v>#REF!</v>
      </c>
      <c r="W553" s="240" t="str">
        <f t="shared" si="1"/>
        <v/>
      </c>
      <c r="X553" s="240" t="str">
        <f>IFERROR(__xludf.DUMMYFUNCTION("IFERROR(
  FILTER('CBK Students'!R:R, TRIM('CBK Students'!B:B) = TRIM(A553)),
  """"
)"),"#REF!")</f>
        <v>#REF!</v>
      </c>
      <c r="Y553" s="4" t="str">
        <f t="shared" si="2"/>
        <v/>
      </c>
      <c r="Z553" s="4" t="str">
        <f>IFERROR(__xludf.DUMMYFUNCTION("IFERROR(
  FILTER('CBK Students'!O:O, TRIM('CBK Students'!B:B) = TRIM(A553)),
  """"
)"),"#REF!")</f>
        <v>#REF!</v>
      </c>
      <c r="AA553" s="4" t="str">
        <f>IFERROR(__xludf.DUMMYFUNCTION("IFERROR(
  FILTER('CBK Students'!P:P, TRIM('CBK Students'!B:B) = TRIM(A553)),
  """"
)"),"#REF!")</f>
        <v>#REF!</v>
      </c>
      <c r="AB553" s="4" t="str">
        <f>IFERROR(__xludf.DUMMYFUNCTION("IFERROR(
  FILTER('CBK Students'!Q:Q, TRIM('CBK Students'!B:B) = TRIM(A553)),
  """"
)"),"#REF!")</f>
        <v>#REF!</v>
      </c>
    </row>
    <row r="554" ht="18.75" customHeight="1">
      <c r="T554" s="240" t="str">
        <f>IFERROR(__xludf.DUMMYFUNCTION("IFERROR(
  FILTER('CBK Students'!F:F, TRIM('CBK Students'!B:B) = TRIM(A554)),
  """"
)"),"#REF!")</f>
        <v>#REF!</v>
      </c>
      <c r="U554" s="240" t="str">
        <f>IFERROR(__xludf.DUMMYFUNCTION("IFERROR(
  FILTER('CBK Students'!H:H, TRIM('CBK Students'!B:B) = TRIM(A554)),
  """"
)"),"#REF!")</f>
        <v>#REF!</v>
      </c>
      <c r="V554" s="240" t="str">
        <f>IFERROR(__xludf.DUMMYFUNCTION("IFERROR(
  FILTER('CBK Students'!M:M, TRIM('CBK Students'!B:B) = TRIM(A554)),
  """"
)"),"#REF!")</f>
        <v>#REF!</v>
      </c>
      <c r="W554" s="240" t="str">
        <f t="shared" si="1"/>
        <v/>
      </c>
      <c r="X554" s="240" t="str">
        <f>IFERROR(__xludf.DUMMYFUNCTION("IFERROR(
  FILTER('CBK Students'!R:R, TRIM('CBK Students'!B:B) = TRIM(A554)),
  """"
)"),"#REF!")</f>
        <v>#REF!</v>
      </c>
      <c r="Y554" s="4" t="str">
        <f t="shared" si="2"/>
        <v/>
      </c>
      <c r="Z554" s="4" t="str">
        <f>IFERROR(__xludf.DUMMYFUNCTION("IFERROR(
  FILTER('CBK Students'!O:O, TRIM('CBK Students'!B:B) = TRIM(A554)),
  """"
)"),"#REF!")</f>
        <v>#REF!</v>
      </c>
      <c r="AA554" s="4" t="str">
        <f>IFERROR(__xludf.DUMMYFUNCTION("IFERROR(
  FILTER('CBK Students'!P:P, TRIM('CBK Students'!B:B) = TRIM(A554)),
  """"
)"),"#REF!")</f>
        <v>#REF!</v>
      </c>
      <c r="AB554" s="4" t="str">
        <f>IFERROR(__xludf.DUMMYFUNCTION("IFERROR(
  FILTER('CBK Students'!Q:Q, TRIM('CBK Students'!B:B) = TRIM(A554)),
  """"
)"),"#REF!")</f>
        <v>#REF!</v>
      </c>
    </row>
    <row r="555" ht="18.75" customHeight="1">
      <c r="T555" s="240" t="str">
        <f>IFERROR(__xludf.DUMMYFUNCTION("IFERROR(
  FILTER('CBK Students'!F:F, TRIM('CBK Students'!B:B) = TRIM(A555)),
  """"
)"),"#REF!")</f>
        <v>#REF!</v>
      </c>
      <c r="U555" s="240" t="str">
        <f>IFERROR(__xludf.DUMMYFUNCTION("IFERROR(
  FILTER('CBK Students'!H:H, TRIM('CBK Students'!B:B) = TRIM(A555)),
  """"
)"),"#REF!")</f>
        <v>#REF!</v>
      </c>
      <c r="V555" s="240" t="str">
        <f>IFERROR(__xludf.DUMMYFUNCTION("IFERROR(
  FILTER('CBK Students'!M:M, TRIM('CBK Students'!B:B) = TRIM(A555)),
  """"
)"),"#REF!")</f>
        <v>#REF!</v>
      </c>
      <c r="W555" s="240" t="str">
        <f t="shared" si="1"/>
        <v/>
      </c>
      <c r="X555" s="240" t="str">
        <f>IFERROR(__xludf.DUMMYFUNCTION("IFERROR(
  FILTER('CBK Students'!R:R, TRIM('CBK Students'!B:B) = TRIM(A555)),
  """"
)"),"#REF!")</f>
        <v>#REF!</v>
      </c>
      <c r="Y555" s="4" t="str">
        <f t="shared" si="2"/>
        <v/>
      </c>
      <c r="Z555" s="4" t="str">
        <f>IFERROR(__xludf.DUMMYFUNCTION("IFERROR(
  FILTER('CBK Students'!O:O, TRIM('CBK Students'!B:B) = TRIM(A555)),
  """"
)"),"#REF!")</f>
        <v>#REF!</v>
      </c>
      <c r="AA555" s="4" t="str">
        <f>IFERROR(__xludf.DUMMYFUNCTION("IFERROR(
  FILTER('CBK Students'!P:P, TRIM('CBK Students'!B:B) = TRIM(A555)),
  """"
)"),"#REF!")</f>
        <v>#REF!</v>
      </c>
      <c r="AB555" s="4" t="str">
        <f>IFERROR(__xludf.DUMMYFUNCTION("IFERROR(
  FILTER('CBK Students'!Q:Q, TRIM('CBK Students'!B:B) = TRIM(A555)),
  """"
)"),"#REF!")</f>
        <v>#REF!</v>
      </c>
    </row>
    <row r="556" ht="18.75" customHeight="1">
      <c r="T556" s="240" t="str">
        <f>IFERROR(__xludf.DUMMYFUNCTION("IFERROR(
  FILTER('CBK Students'!F:F, TRIM('CBK Students'!B:B) = TRIM(A556)),
  """"
)"),"#REF!")</f>
        <v>#REF!</v>
      </c>
      <c r="U556" s="240" t="str">
        <f>IFERROR(__xludf.DUMMYFUNCTION("IFERROR(
  FILTER('CBK Students'!H:H, TRIM('CBK Students'!B:B) = TRIM(A556)),
  """"
)"),"#REF!")</f>
        <v>#REF!</v>
      </c>
      <c r="V556" s="240" t="str">
        <f>IFERROR(__xludf.DUMMYFUNCTION("IFERROR(
  FILTER('CBK Students'!M:M, TRIM('CBK Students'!B:B) = TRIM(A556)),
  """"
)"),"#REF!")</f>
        <v>#REF!</v>
      </c>
      <c r="W556" s="240" t="str">
        <f t="shared" si="1"/>
        <v/>
      </c>
      <c r="X556" s="240" t="str">
        <f>IFERROR(__xludf.DUMMYFUNCTION("IFERROR(
  FILTER('CBK Students'!R:R, TRIM('CBK Students'!B:B) = TRIM(A556)),
  """"
)"),"#REF!")</f>
        <v>#REF!</v>
      </c>
      <c r="Y556" s="4" t="str">
        <f t="shared" si="2"/>
        <v/>
      </c>
      <c r="Z556" s="4" t="str">
        <f>IFERROR(__xludf.DUMMYFUNCTION("IFERROR(
  FILTER('CBK Students'!O:O, TRIM('CBK Students'!B:B) = TRIM(A556)),
  """"
)"),"#REF!")</f>
        <v>#REF!</v>
      </c>
      <c r="AA556" s="4" t="str">
        <f>IFERROR(__xludf.DUMMYFUNCTION("IFERROR(
  FILTER('CBK Students'!P:P, TRIM('CBK Students'!B:B) = TRIM(A556)),
  """"
)"),"#REF!")</f>
        <v>#REF!</v>
      </c>
      <c r="AB556" s="4" t="str">
        <f>IFERROR(__xludf.DUMMYFUNCTION("IFERROR(
  FILTER('CBK Students'!Q:Q, TRIM('CBK Students'!B:B) = TRIM(A556)),
  """"
)"),"#REF!")</f>
        <v>#REF!</v>
      </c>
    </row>
    <row r="557" ht="18.75" customHeight="1">
      <c r="T557" s="240" t="str">
        <f>IFERROR(__xludf.DUMMYFUNCTION("IFERROR(
  FILTER('CBK Students'!F:F, TRIM('CBK Students'!B:B) = TRIM(A557)),
  """"
)"),"#REF!")</f>
        <v>#REF!</v>
      </c>
      <c r="U557" s="240" t="str">
        <f>IFERROR(__xludf.DUMMYFUNCTION("IFERROR(
  FILTER('CBK Students'!H:H, TRIM('CBK Students'!B:B) = TRIM(A557)),
  """"
)"),"#REF!")</f>
        <v>#REF!</v>
      </c>
      <c r="V557" s="240" t="str">
        <f>IFERROR(__xludf.DUMMYFUNCTION("IFERROR(
  FILTER('CBK Students'!M:M, TRIM('CBK Students'!B:B) = TRIM(A557)),
  """"
)"),"#REF!")</f>
        <v>#REF!</v>
      </c>
      <c r="W557" s="240" t="str">
        <f t="shared" si="1"/>
        <v/>
      </c>
      <c r="X557" s="240" t="str">
        <f>IFERROR(__xludf.DUMMYFUNCTION("IFERROR(
  FILTER('CBK Students'!R:R, TRIM('CBK Students'!B:B) = TRIM(A557)),
  """"
)"),"#REF!")</f>
        <v>#REF!</v>
      </c>
      <c r="Y557" s="4" t="str">
        <f t="shared" si="2"/>
        <v/>
      </c>
      <c r="Z557" s="4" t="str">
        <f>IFERROR(__xludf.DUMMYFUNCTION("IFERROR(
  FILTER('CBK Students'!O:O, TRIM('CBK Students'!B:B) = TRIM(A557)),
  """"
)"),"#REF!")</f>
        <v>#REF!</v>
      </c>
      <c r="AA557" s="4" t="str">
        <f>IFERROR(__xludf.DUMMYFUNCTION("IFERROR(
  FILTER('CBK Students'!P:P, TRIM('CBK Students'!B:B) = TRIM(A557)),
  """"
)"),"#REF!")</f>
        <v>#REF!</v>
      </c>
      <c r="AB557" s="4" t="str">
        <f>IFERROR(__xludf.DUMMYFUNCTION("IFERROR(
  FILTER('CBK Students'!Q:Q, TRIM('CBK Students'!B:B) = TRIM(A557)),
  """"
)"),"#REF!")</f>
        <v>#REF!</v>
      </c>
    </row>
    <row r="558" ht="18.75" customHeight="1">
      <c r="T558" s="240" t="str">
        <f>IFERROR(__xludf.DUMMYFUNCTION("IFERROR(
  FILTER('CBK Students'!F:F, TRIM('CBK Students'!B:B) = TRIM(A558)),
  """"
)"),"#REF!")</f>
        <v>#REF!</v>
      </c>
      <c r="U558" s="240" t="str">
        <f>IFERROR(__xludf.DUMMYFUNCTION("IFERROR(
  FILTER('CBK Students'!H:H, TRIM('CBK Students'!B:B) = TRIM(A558)),
  """"
)"),"#REF!")</f>
        <v>#REF!</v>
      </c>
      <c r="V558" s="240" t="str">
        <f>IFERROR(__xludf.DUMMYFUNCTION("IFERROR(
  FILTER('CBK Students'!M:M, TRIM('CBK Students'!B:B) = TRIM(A558)),
  """"
)"),"#REF!")</f>
        <v>#REF!</v>
      </c>
      <c r="W558" s="240" t="str">
        <f t="shared" si="1"/>
        <v/>
      </c>
      <c r="X558" s="240" t="str">
        <f>IFERROR(__xludf.DUMMYFUNCTION("IFERROR(
  FILTER('CBK Students'!R:R, TRIM('CBK Students'!B:B) = TRIM(A558)),
  """"
)"),"#REF!")</f>
        <v>#REF!</v>
      </c>
      <c r="Y558" s="4" t="str">
        <f t="shared" si="2"/>
        <v/>
      </c>
      <c r="Z558" s="4" t="str">
        <f>IFERROR(__xludf.DUMMYFUNCTION("IFERROR(
  FILTER('CBK Students'!O:O, TRIM('CBK Students'!B:B) = TRIM(A558)),
  """"
)"),"#REF!")</f>
        <v>#REF!</v>
      </c>
      <c r="AA558" s="4" t="str">
        <f>IFERROR(__xludf.DUMMYFUNCTION("IFERROR(
  FILTER('CBK Students'!P:P, TRIM('CBK Students'!B:B) = TRIM(A558)),
  """"
)"),"#REF!")</f>
        <v>#REF!</v>
      </c>
      <c r="AB558" s="4" t="str">
        <f>IFERROR(__xludf.DUMMYFUNCTION("IFERROR(
  FILTER('CBK Students'!Q:Q, TRIM('CBK Students'!B:B) = TRIM(A558)),
  """"
)"),"#REF!")</f>
        <v>#REF!</v>
      </c>
    </row>
    <row r="559" ht="18.75" customHeight="1">
      <c r="T559" s="240" t="str">
        <f>IFERROR(__xludf.DUMMYFUNCTION("IFERROR(
  FILTER('CBK Students'!F:F, TRIM('CBK Students'!B:B) = TRIM(A559)),
  """"
)"),"#REF!")</f>
        <v>#REF!</v>
      </c>
      <c r="U559" s="240" t="str">
        <f>IFERROR(__xludf.DUMMYFUNCTION("IFERROR(
  FILTER('CBK Students'!H:H, TRIM('CBK Students'!B:B) = TRIM(A559)),
  """"
)"),"#REF!")</f>
        <v>#REF!</v>
      </c>
      <c r="V559" s="240" t="str">
        <f>IFERROR(__xludf.DUMMYFUNCTION("IFERROR(
  FILTER('CBK Students'!M:M, TRIM('CBK Students'!B:B) = TRIM(A559)),
  """"
)"),"#REF!")</f>
        <v>#REF!</v>
      </c>
      <c r="W559" s="240" t="str">
        <f t="shared" si="1"/>
        <v/>
      </c>
      <c r="X559" s="240" t="str">
        <f>IFERROR(__xludf.DUMMYFUNCTION("IFERROR(
  FILTER('CBK Students'!R:R, TRIM('CBK Students'!B:B) = TRIM(A559)),
  """"
)"),"#REF!")</f>
        <v>#REF!</v>
      </c>
      <c r="Y559" s="4" t="str">
        <f t="shared" si="2"/>
        <v/>
      </c>
      <c r="Z559" s="4" t="str">
        <f>IFERROR(__xludf.DUMMYFUNCTION("IFERROR(
  FILTER('CBK Students'!O:O, TRIM('CBK Students'!B:B) = TRIM(A559)),
  """"
)"),"#REF!")</f>
        <v>#REF!</v>
      </c>
      <c r="AA559" s="4" t="str">
        <f>IFERROR(__xludf.DUMMYFUNCTION("IFERROR(
  FILTER('CBK Students'!P:P, TRIM('CBK Students'!B:B) = TRIM(A559)),
  """"
)"),"#REF!")</f>
        <v>#REF!</v>
      </c>
      <c r="AB559" s="4" t="str">
        <f>IFERROR(__xludf.DUMMYFUNCTION("IFERROR(
  FILTER('CBK Students'!Q:Q, TRIM('CBK Students'!B:B) = TRIM(A559)),
  """"
)"),"#REF!")</f>
        <v>#REF!</v>
      </c>
    </row>
    <row r="560" ht="18.75" customHeight="1">
      <c r="T560" s="240" t="str">
        <f>IFERROR(__xludf.DUMMYFUNCTION("IFERROR(
  FILTER('CBK Students'!F:F, TRIM('CBK Students'!B:B) = TRIM(A560)),
  """"
)"),"#REF!")</f>
        <v>#REF!</v>
      </c>
      <c r="U560" s="240" t="str">
        <f>IFERROR(__xludf.DUMMYFUNCTION("IFERROR(
  FILTER('CBK Students'!H:H, TRIM('CBK Students'!B:B) = TRIM(A560)),
  """"
)"),"#REF!")</f>
        <v>#REF!</v>
      </c>
      <c r="V560" s="240" t="str">
        <f>IFERROR(__xludf.DUMMYFUNCTION("IFERROR(
  FILTER('CBK Students'!M:M, TRIM('CBK Students'!B:B) = TRIM(A560)),
  """"
)"),"#REF!")</f>
        <v>#REF!</v>
      </c>
      <c r="W560" s="240" t="str">
        <f t="shared" si="1"/>
        <v/>
      </c>
      <c r="X560" s="240" t="str">
        <f>IFERROR(__xludf.DUMMYFUNCTION("IFERROR(
  FILTER('CBK Students'!R:R, TRIM('CBK Students'!B:B) = TRIM(A560)),
  """"
)"),"#REF!")</f>
        <v>#REF!</v>
      </c>
      <c r="Y560" s="4" t="str">
        <f t="shared" si="2"/>
        <v/>
      </c>
      <c r="Z560" s="4" t="str">
        <f>IFERROR(__xludf.DUMMYFUNCTION("IFERROR(
  FILTER('CBK Students'!O:O, TRIM('CBK Students'!B:B) = TRIM(A560)),
  """"
)"),"#REF!")</f>
        <v>#REF!</v>
      </c>
      <c r="AA560" s="4" t="str">
        <f>IFERROR(__xludf.DUMMYFUNCTION("IFERROR(
  FILTER('CBK Students'!P:P, TRIM('CBK Students'!B:B) = TRIM(A560)),
  """"
)"),"#REF!")</f>
        <v>#REF!</v>
      </c>
      <c r="AB560" s="4" t="str">
        <f>IFERROR(__xludf.DUMMYFUNCTION("IFERROR(
  FILTER('CBK Students'!Q:Q, TRIM('CBK Students'!B:B) = TRIM(A560)),
  """"
)"),"#REF!")</f>
        <v>#REF!</v>
      </c>
    </row>
    <row r="561" ht="18.75" customHeight="1">
      <c r="T561" s="240" t="str">
        <f>IFERROR(__xludf.DUMMYFUNCTION("IFERROR(
  FILTER('CBK Students'!F:F, TRIM('CBK Students'!B:B) = TRIM(A561)),
  """"
)"),"#REF!")</f>
        <v>#REF!</v>
      </c>
      <c r="U561" s="240" t="str">
        <f>IFERROR(__xludf.DUMMYFUNCTION("IFERROR(
  FILTER('CBK Students'!H:H, TRIM('CBK Students'!B:B) = TRIM(A561)),
  """"
)"),"#REF!")</f>
        <v>#REF!</v>
      </c>
      <c r="V561" s="240" t="str">
        <f>IFERROR(__xludf.DUMMYFUNCTION("IFERROR(
  FILTER('CBK Students'!M:M, TRIM('CBK Students'!B:B) = TRIM(A561)),
  """"
)"),"#REF!")</f>
        <v>#REF!</v>
      </c>
      <c r="W561" s="240" t="str">
        <f t="shared" si="1"/>
        <v/>
      </c>
      <c r="X561" s="240" t="str">
        <f>IFERROR(__xludf.DUMMYFUNCTION("IFERROR(
  FILTER('CBK Students'!R:R, TRIM('CBK Students'!B:B) = TRIM(A561)),
  """"
)"),"#REF!")</f>
        <v>#REF!</v>
      </c>
      <c r="Y561" s="4" t="str">
        <f t="shared" si="2"/>
        <v/>
      </c>
      <c r="Z561" s="4" t="str">
        <f>IFERROR(__xludf.DUMMYFUNCTION("IFERROR(
  FILTER('CBK Students'!O:O, TRIM('CBK Students'!B:B) = TRIM(A561)),
  """"
)"),"#REF!")</f>
        <v>#REF!</v>
      </c>
      <c r="AA561" s="4" t="str">
        <f>IFERROR(__xludf.DUMMYFUNCTION("IFERROR(
  FILTER('CBK Students'!P:P, TRIM('CBK Students'!B:B) = TRIM(A561)),
  """"
)"),"#REF!")</f>
        <v>#REF!</v>
      </c>
      <c r="AB561" s="4" t="str">
        <f>IFERROR(__xludf.DUMMYFUNCTION("IFERROR(
  FILTER('CBK Students'!Q:Q, TRIM('CBK Students'!B:B) = TRIM(A561)),
  """"
)"),"#REF!")</f>
        <v>#REF!</v>
      </c>
    </row>
    <row r="562" ht="18.75" customHeight="1">
      <c r="T562" s="240" t="str">
        <f>IFERROR(__xludf.DUMMYFUNCTION("IFERROR(
  FILTER('CBK Students'!F:F, TRIM('CBK Students'!B:B) = TRIM(A562)),
  """"
)"),"#REF!")</f>
        <v>#REF!</v>
      </c>
      <c r="U562" s="240" t="str">
        <f>IFERROR(__xludf.DUMMYFUNCTION("IFERROR(
  FILTER('CBK Students'!H:H, TRIM('CBK Students'!B:B) = TRIM(A562)),
  """"
)"),"#REF!")</f>
        <v>#REF!</v>
      </c>
      <c r="V562" s="240" t="str">
        <f>IFERROR(__xludf.DUMMYFUNCTION("IFERROR(
  FILTER('CBK Students'!M:M, TRIM('CBK Students'!B:B) = TRIM(A562)),
  """"
)"),"#REF!")</f>
        <v>#REF!</v>
      </c>
      <c r="W562" s="240" t="str">
        <f t="shared" si="1"/>
        <v/>
      </c>
      <c r="X562" s="240" t="str">
        <f>IFERROR(__xludf.DUMMYFUNCTION("IFERROR(
  FILTER('CBK Students'!R:R, TRIM('CBK Students'!B:B) = TRIM(A562)),
  """"
)"),"#REF!")</f>
        <v>#REF!</v>
      </c>
      <c r="Y562" s="4" t="str">
        <f t="shared" si="2"/>
        <v/>
      </c>
      <c r="Z562" s="4" t="str">
        <f>IFERROR(__xludf.DUMMYFUNCTION("IFERROR(
  FILTER('CBK Students'!O:O, TRIM('CBK Students'!B:B) = TRIM(A562)),
  """"
)"),"#REF!")</f>
        <v>#REF!</v>
      </c>
      <c r="AA562" s="4" t="str">
        <f>IFERROR(__xludf.DUMMYFUNCTION("IFERROR(
  FILTER('CBK Students'!P:P, TRIM('CBK Students'!B:B) = TRIM(A562)),
  """"
)"),"#REF!")</f>
        <v>#REF!</v>
      </c>
      <c r="AB562" s="4" t="str">
        <f>IFERROR(__xludf.DUMMYFUNCTION("IFERROR(
  FILTER('CBK Students'!Q:Q, TRIM('CBK Students'!B:B) = TRIM(A562)),
  """"
)"),"#REF!")</f>
        <v>#REF!</v>
      </c>
    </row>
    <row r="563" ht="18.75" customHeight="1">
      <c r="T563" s="240" t="str">
        <f>IFERROR(__xludf.DUMMYFUNCTION("IFERROR(
  FILTER('CBK Students'!F:F, TRIM('CBK Students'!B:B) = TRIM(A563)),
  """"
)"),"#REF!")</f>
        <v>#REF!</v>
      </c>
      <c r="U563" s="240" t="str">
        <f>IFERROR(__xludf.DUMMYFUNCTION("IFERROR(
  FILTER('CBK Students'!H:H, TRIM('CBK Students'!B:B) = TRIM(A563)),
  """"
)"),"#REF!")</f>
        <v>#REF!</v>
      </c>
      <c r="V563" s="240" t="str">
        <f>IFERROR(__xludf.DUMMYFUNCTION("IFERROR(
  FILTER('CBK Students'!M:M, TRIM('CBK Students'!B:B) = TRIM(A563)),
  """"
)"),"#REF!")</f>
        <v>#REF!</v>
      </c>
      <c r="W563" s="240" t="str">
        <f t="shared" si="1"/>
        <v/>
      </c>
      <c r="X563" s="240" t="str">
        <f>IFERROR(__xludf.DUMMYFUNCTION("IFERROR(
  FILTER('CBK Students'!R:R, TRIM('CBK Students'!B:B) = TRIM(A563)),
  """"
)"),"#REF!")</f>
        <v>#REF!</v>
      </c>
      <c r="Y563" s="4" t="str">
        <f t="shared" si="2"/>
        <v/>
      </c>
      <c r="Z563" s="4" t="str">
        <f>IFERROR(__xludf.DUMMYFUNCTION("IFERROR(
  FILTER('CBK Students'!O:O, TRIM('CBK Students'!B:B) = TRIM(A563)),
  """"
)"),"#REF!")</f>
        <v>#REF!</v>
      </c>
      <c r="AA563" s="4" t="str">
        <f>IFERROR(__xludf.DUMMYFUNCTION("IFERROR(
  FILTER('CBK Students'!P:P, TRIM('CBK Students'!B:B) = TRIM(A563)),
  """"
)"),"#REF!")</f>
        <v>#REF!</v>
      </c>
      <c r="AB563" s="4" t="str">
        <f>IFERROR(__xludf.DUMMYFUNCTION("IFERROR(
  FILTER('CBK Students'!Q:Q, TRIM('CBK Students'!B:B) = TRIM(A563)),
  """"
)"),"#REF!")</f>
        <v>#REF!</v>
      </c>
    </row>
    <row r="564" ht="18.75" customHeight="1">
      <c r="T564" s="240" t="str">
        <f>IFERROR(__xludf.DUMMYFUNCTION("IFERROR(
  FILTER('CBK Students'!F:F, TRIM('CBK Students'!B:B) = TRIM(A564)),
  """"
)"),"#REF!")</f>
        <v>#REF!</v>
      </c>
      <c r="U564" s="240" t="str">
        <f>IFERROR(__xludf.DUMMYFUNCTION("IFERROR(
  FILTER('CBK Students'!H:H, TRIM('CBK Students'!B:B) = TRIM(A564)),
  """"
)"),"#REF!")</f>
        <v>#REF!</v>
      </c>
      <c r="V564" s="240" t="str">
        <f>IFERROR(__xludf.DUMMYFUNCTION("IFERROR(
  FILTER('CBK Students'!M:M, TRIM('CBK Students'!B:B) = TRIM(A564)),
  """"
)"),"#REF!")</f>
        <v>#REF!</v>
      </c>
      <c r="W564" s="240" t="str">
        <f t="shared" si="1"/>
        <v/>
      </c>
      <c r="X564" s="240" t="str">
        <f>IFERROR(__xludf.DUMMYFUNCTION("IFERROR(
  FILTER('CBK Students'!R:R, TRIM('CBK Students'!B:B) = TRIM(A564)),
  """"
)"),"#REF!")</f>
        <v>#REF!</v>
      </c>
      <c r="Y564" s="4" t="str">
        <f t="shared" si="2"/>
        <v/>
      </c>
      <c r="Z564" s="4" t="str">
        <f>IFERROR(__xludf.DUMMYFUNCTION("IFERROR(
  FILTER('CBK Students'!O:O, TRIM('CBK Students'!B:B) = TRIM(A564)),
  """"
)"),"#REF!")</f>
        <v>#REF!</v>
      </c>
      <c r="AA564" s="4" t="str">
        <f>IFERROR(__xludf.DUMMYFUNCTION("IFERROR(
  FILTER('CBK Students'!P:P, TRIM('CBK Students'!B:B) = TRIM(A564)),
  """"
)"),"#REF!")</f>
        <v>#REF!</v>
      </c>
      <c r="AB564" s="4" t="str">
        <f>IFERROR(__xludf.DUMMYFUNCTION("IFERROR(
  FILTER('CBK Students'!Q:Q, TRIM('CBK Students'!B:B) = TRIM(A564)),
  """"
)"),"#REF!")</f>
        <v>#REF!</v>
      </c>
    </row>
    <row r="565" ht="18.75" customHeight="1">
      <c r="T565" s="240" t="str">
        <f>IFERROR(__xludf.DUMMYFUNCTION("IFERROR(
  FILTER('CBK Students'!F:F, TRIM('CBK Students'!B:B) = TRIM(A565)),
  """"
)"),"#REF!")</f>
        <v>#REF!</v>
      </c>
      <c r="U565" s="240" t="str">
        <f>IFERROR(__xludf.DUMMYFUNCTION("IFERROR(
  FILTER('CBK Students'!H:H, TRIM('CBK Students'!B:B) = TRIM(A565)),
  """"
)"),"#REF!")</f>
        <v>#REF!</v>
      </c>
      <c r="V565" s="240" t="str">
        <f>IFERROR(__xludf.DUMMYFUNCTION("IFERROR(
  FILTER('CBK Students'!M:M, TRIM('CBK Students'!B:B) = TRIM(A565)),
  """"
)"),"#REF!")</f>
        <v>#REF!</v>
      </c>
      <c r="W565" s="240" t="str">
        <f t="shared" si="1"/>
        <v/>
      </c>
      <c r="X565" s="240" t="str">
        <f>IFERROR(__xludf.DUMMYFUNCTION("IFERROR(
  FILTER('CBK Students'!R:R, TRIM('CBK Students'!B:B) = TRIM(A565)),
  """"
)"),"#REF!")</f>
        <v>#REF!</v>
      </c>
      <c r="Y565" s="4" t="str">
        <f t="shared" si="2"/>
        <v/>
      </c>
      <c r="Z565" s="4" t="str">
        <f>IFERROR(__xludf.DUMMYFUNCTION("IFERROR(
  FILTER('CBK Students'!O:O, TRIM('CBK Students'!B:B) = TRIM(A565)),
  """"
)"),"#REF!")</f>
        <v>#REF!</v>
      </c>
      <c r="AA565" s="4" t="str">
        <f>IFERROR(__xludf.DUMMYFUNCTION("IFERROR(
  FILTER('CBK Students'!P:P, TRIM('CBK Students'!B:B) = TRIM(A565)),
  """"
)"),"#REF!")</f>
        <v>#REF!</v>
      </c>
      <c r="AB565" s="4" t="str">
        <f>IFERROR(__xludf.DUMMYFUNCTION("IFERROR(
  FILTER('CBK Students'!Q:Q, TRIM('CBK Students'!B:B) = TRIM(A565)),
  """"
)"),"#REF!")</f>
        <v>#REF!</v>
      </c>
    </row>
    <row r="566" ht="18.75" customHeight="1">
      <c r="T566" s="240" t="str">
        <f>IFERROR(__xludf.DUMMYFUNCTION("IFERROR(
  FILTER('CBK Students'!F:F, TRIM('CBK Students'!B:B) = TRIM(A566)),
  """"
)"),"#REF!")</f>
        <v>#REF!</v>
      </c>
      <c r="U566" s="240" t="str">
        <f>IFERROR(__xludf.DUMMYFUNCTION("IFERROR(
  FILTER('CBK Students'!H:H, TRIM('CBK Students'!B:B) = TRIM(A566)),
  """"
)"),"#REF!")</f>
        <v>#REF!</v>
      </c>
      <c r="V566" s="240" t="str">
        <f>IFERROR(__xludf.DUMMYFUNCTION("IFERROR(
  FILTER('CBK Students'!M:M, TRIM('CBK Students'!B:B) = TRIM(A566)),
  """"
)"),"#REF!")</f>
        <v>#REF!</v>
      </c>
      <c r="W566" s="240" t="str">
        <f t="shared" si="1"/>
        <v/>
      </c>
      <c r="X566" s="240" t="str">
        <f>IFERROR(__xludf.DUMMYFUNCTION("IFERROR(
  FILTER('CBK Students'!R:R, TRIM('CBK Students'!B:B) = TRIM(A566)),
  """"
)"),"#REF!")</f>
        <v>#REF!</v>
      </c>
      <c r="Y566" s="4" t="str">
        <f t="shared" si="2"/>
        <v/>
      </c>
      <c r="Z566" s="4" t="str">
        <f>IFERROR(__xludf.DUMMYFUNCTION("IFERROR(
  FILTER('CBK Students'!O:O, TRIM('CBK Students'!B:B) = TRIM(A566)),
  """"
)"),"#REF!")</f>
        <v>#REF!</v>
      </c>
      <c r="AA566" s="4" t="str">
        <f>IFERROR(__xludf.DUMMYFUNCTION("IFERROR(
  FILTER('CBK Students'!P:P, TRIM('CBK Students'!B:B) = TRIM(A566)),
  """"
)"),"#REF!")</f>
        <v>#REF!</v>
      </c>
      <c r="AB566" s="4" t="str">
        <f>IFERROR(__xludf.DUMMYFUNCTION("IFERROR(
  FILTER('CBK Students'!Q:Q, TRIM('CBK Students'!B:B) = TRIM(A566)),
  """"
)"),"#REF!")</f>
        <v>#REF!</v>
      </c>
    </row>
    <row r="567" ht="18.75" customHeight="1">
      <c r="T567" s="240" t="str">
        <f>IFERROR(__xludf.DUMMYFUNCTION("IFERROR(
  FILTER('CBK Students'!F:F, TRIM('CBK Students'!B:B) = TRIM(A567)),
  """"
)"),"#REF!")</f>
        <v>#REF!</v>
      </c>
      <c r="U567" s="240" t="str">
        <f>IFERROR(__xludf.DUMMYFUNCTION("IFERROR(
  FILTER('CBK Students'!H:H, TRIM('CBK Students'!B:B) = TRIM(A567)),
  """"
)"),"#REF!")</f>
        <v>#REF!</v>
      </c>
      <c r="V567" s="240" t="str">
        <f>IFERROR(__xludf.DUMMYFUNCTION("IFERROR(
  FILTER('CBK Students'!M:M, TRIM('CBK Students'!B:B) = TRIM(A567)),
  """"
)"),"#REF!")</f>
        <v>#REF!</v>
      </c>
      <c r="W567" s="240" t="str">
        <f t="shared" si="1"/>
        <v/>
      </c>
      <c r="X567" s="240" t="str">
        <f>IFERROR(__xludf.DUMMYFUNCTION("IFERROR(
  FILTER('CBK Students'!R:R, TRIM('CBK Students'!B:B) = TRIM(A567)),
  """"
)"),"#REF!")</f>
        <v>#REF!</v>
      </c>
      <c r="Y567" s="4" t="str">
        <f t="shared" si="2"/>
        <v/>
      </c>
      <c r="Z567" s="4" t="str">
        <f>IFERROR(__xludf.DUMMYFUNCTION("IFERROR(
  FILTER('CBK Students'!O:O, TRIM('CBK Students'!B:B) = TRIM(A567)),
  """"
)"),"#REF!")</f>
        <v>#REF!</v>
      </c>
      <c r="AA567" s="4" t="str">
        <f>IFERROR(__xludf.DUMMYFUNCTION("IFERROR(
  FILTER('CBK Students'!P:P, TRIM('CBK Students'!B:B) = TRIM(A567)),
  """"
)"),"#REF!")</f>
        <v>#REF!</v>
      </c>
      <c r="AB567" s="4" t="str">
        <f>IFERROR(__xludf.DUMMYFUNCTION("IFERROR(
  FILTER('CBK Students'!Q:Q, TRIM('CBK Students'!B:B) = TRIM(A567)),
  """"
)"),"#REF!")</f>
        <v>#REF!</v>
      </c>
    </row>
    <row r="568" ht="18.75" customHeight="1">
      <c r="T568" s="240" t="str">
        <f>IFERROR(__xludf.DUMMYFUNCTION("IFERROR(
  FILTER('CBK Students'!F:F, TRIM('CBK Students'!B:B) = TRIM(A568)),
  """"
)"),"#REF!")</f>
        <v>#REF!</v>
      </c>
      <c r="U568" s="240" t="str">
        <f>IFERROR(__xludf.DUMMYFUNCTION("IFERROR(
  FILTER('CBK Students'!H:H, TRIM('CBK Students'!B:B) = TRIM(A568)),
  """"
)"),"#REF!")</f>
        <v>#REF!</v>
      </c>
      <c r="V568" s="240" t="str">
        <f>IFERROR(__xludf.DUMMYFUNCTION("IFERROR(
  FILTER('CBK Students'!M:M, TRIM('CBK Students'!B:B) = TRIM(A568)),
  """"
)"),"#REF!")</f>
        <v>#REF!</v>
      </c>
      <c r="W568" s="240" t="str">
        <f t="shared" si="1"/>
        <v/>
      </c>
      <c r="X568" s="240" t="str">
        <f>IFERROR(__xludf.DUMMYFUNCTION("IFERROR(
  FILTER('CBK Students'!R:R, TRIM('CBK Students'!B:B) = TRIM(A568)),
  """"
)"),"#REF!")</f>
        <v>#REF!</v>
      </c>
      <c r="Y568" s="4" t="str">
        <f t="shared" si="2"/>
        <v/>
      </c>
      <c r="Z568" s="4" t="str">
        <f>IFERROR(__xludf.DUMMYFUNCTION("IFERROR(
  FILTER('CBK Students'!O:O, TRIM('CBK Students'!B:B) = TRIM(A568)),
  """"
)"),"#REF!")</f>
        <v>#REF!</v>
      </c>
      <c r="AA568" s="4" t="str">
        <f>IFERROR(__xludf.DUMMYFUNCTION("IFERROR(
  FILTER('CBK Students'!P:P, TRIM('CBK Students'!B:B) = TRIM(A568)),
  """"
)"),"#REF!")</f>
        <v>#REF!</v>
      </c>
      <c r="AB568" s="4" t="str">
        <f>IFERROR(__xludf.DUMMYFUNCTION("IFERROR(
  FILTER('CBK Students'!Q:Q, TRIM('CBK Students'!B:B) = TRIM(A568)),
  """"
)"),"#REF!")</f>
        <v>#REF!</v>
      </c>
    </row>
    <row r="569" ht="18.75" customHeight="1">
      <c r="T569" s="240" t="str">
        <f>IFERROR(__xludf.DUMMYFUNCTION("IFERROR(
  FILTER('CBK Students'!F:F, TRIM('CBK Students'!B:B) = TRIM(A569)),
  """"
)"),"#REF!")</f>
        <v>#REF!</v>
      </c>
      <c r="U569" s="240" t="str">
        <f>IFERROR(__xludf.DUMMYFUNCTION("IFERROR(
  FILTER('CBK Students'!H:H, TRIM('CBK Students'!B:B) = TRIM(A569)),
  """"
)"),"#REF!")</f>
        <v>#REF!</v>
      </c>
      <c r="V569" s="240" t="str">
        <f>IFERROR(__xludf.DUMMYFUNCTION("IFERROR(
  FILTER('CBK Students'!M:M, TRIM('CBK Students'!B:B) = TRIM(A569)),
  """"
)"),"#REF!")</f>
        <v>#REF!</v>
      </c>
      <c r="W569" s="240" t="str">
        <f t="shared" si="1"/>
        <v/>
      </c>
      <c r="X569" s="240" t="str">
        <f>IFERROR(__xludf.DUMMYFUNCTION("IFERROR(
  FILTER('CBK Students'!R:R, TRIM('CBK Students'!B:B) = TRIM(A569)),
  """"
)"),"#REF!")</f>
        <v>#REF!</v>
      </c>
      <c r="Y569" s="4" t="str">
        <f t="shared" si="2"/>
        <v/>
      </c>
      <c r="Z569" s="4" t="str">
        <f>IFERROR(__xludf.DUMMYFUNCTION("IFERROR(
  FILTER('CBK Students'!O:O, TRIM('CBK Students'!B:B) = TRIM(A569)),
  """"
)"),"#REF!")</f>
        <v>#REF!</v>
      </c>
      <c r="AA569" s="4" t="str">
        <f>IFERROR(__xludf.DUMMYFUNCTION("IFERROR(
  FILTER('CBK Students'!P:P, TRIM('CBK Students'!B:B) = TRIM(A569)),
  """"
)"),"#REF!")</f>
        <v>#REF!</v>
      </c>
      <c r="AB569" s="4" t="str">
        <f>IFERROR(__xludf.DUMMYFUNCTION("IFERROR(
  FILTER('CBK Students'!Q:Q, TRIM('CBK Students'!B:B) = TRIM(A569)),
  """"
)"),"#REF!")</f>
        <v>#REF!</v>
      </c>
    </row>
    <row r="570" ht="18.75" customHeight="1">
      <c r="T570" s="240" t="str">
        <f>IFERROR(__xludf.DUMMYFUNCTION("IFERROR(
  FILTER('CBK Students'!F:F, TRIM('CBK Students'!B:B) = TRIM(A570)),
  """"
)"),"#REF!")</f>
        <v>#REF!</v>
      </c>
      <c r="U570" s="240" t="str">
        <f>IFERROR(__xludf.DUMMYFUNCTION("IFERROR(
  FILTER('CBK Students'!H:H, TRIM('CBK Students'!B:B) = TRIM(A570)),
  """"
)"),"#REF!")</f>
        <v>#REF!</v>
      </c>
      <c r="V570" s="240" t="str">
        <f>IFERROR(__xludf.DUMMYFUNCTION("IFERROR(
  FILTER('CBK Students'!M:M, TRIM('CBK Students'!B:B) = TRIM(A570)),
  """"
)"),"#REF!")</f>
        <v>#REF!</v>
      </c>
      <c r="W570" s="240" t="str">
        <f t="shared" si="1"/>
        <v/>
      </c>
      <c r="X570" s="240" t="str">
        <f>IFERROR(__xludf.DUMMYFUNCTION("IFERROR(
  FILTER('CBK Students'!R:R, TRIM('CBK Students'!B:B) = TRIM(A570)),
  """"
)"),"#REF!")</f>
        <v>#REF!</v>
      </c>
      <c r="Y570" s="4" t="str">
        <f t="shared" si="2"/>
        <v/>
      </c>
      <c r="Z570" s="4" t="str">
        <f>IFERROR(__xludf.DUMMYFUNCTION("IFERROR(
  FILTER('CBK Students'!O:O, TRIM('CBK Students'!B:B) = TRIM(A570)),
  """"
)"),"#REF!")</f>
        <v>#REF!</v>
      </c>
      <c r="AA570" s="4" t="str">
        <f>IFERROR(__xludf.DUMMYFUNCTION("IFERROR(
  FILTER('CBK Students'!P:P, TRIM('CBK Students'!B:B) = TRIM(A570)),
  """"
)"),"#REF!")</f>
        <v>#REF!</v>
      </c>
      <c r="AB570" s="4" t="str">
        <f>IFERROR(__xludf.DUMMYFUNCTION("IFERROR(
  FILTER('CBK Students'!Q:Q, TRIM('CBK Students'!B:B) = TRIM(A570)),
  """"
)"),"#REF!")</f>
        <v>#REF!</v>
      </c>
    </row>
    <row r="571" ht="18.75" customHeight="1">
      <c r="T571" s="240" t="str">
        <f>IFERROR(__xludf.DUMMYFUNCTION("IFERROR(
  FILTER('CBK Students'!F:F, TRIM('CBK Students'!B:B) = TRIM(A571)),
  """"
)"),"#REF!")</f>
        <v>#REF!</v>
      </c>
      <c r="U571" s="240" t="str">
        <f>IFERROR(__xludf.DUMMYFUNCTION("IFERROR(
  FILTER('CBK Students'!H:H, TRIM('CBK Students'!B:B) = TRIM(A571)),
  """"
)"),"#REF!")</f>
        <v>#REF!</v>
      </c>
      <c r="V571" s="240" t="str">
        <f>IFERROR(__xludf.DUMMYFUNCTION("IFERROR(
  FILTER('CBK Students'!M:M, TRIM('CBK Students'!B:B) = TRIM(A571)),
  """"
)"),"#REF!")</f>
        <v>#REF!</v>
      </c>
      <c r="W571" s="240" t="str">
        <f t="shared" si="1"/>
        <v/>
      </c>
      <c r="X571" s="240" t="str">
        <f>IFERROR(__xludf.DUMMYFUNCTION("IFERROR(
  FILTER('CBK Students'!R:R, TRIM('CBK Students'!B:B) = TRIM(A571)),
  """"
)"),"#REF!")</f>
        <v>#REF!</v>
      </c>
      <c r="Y571" s="4" t="str">
        <f t="shared" si="2"/>
        <v/>
      </c>
      <c r="Z571" s="4" t="str">
        <f>IFERROR(__xludf.DUMMYFUNCTION("IFERROR(
  FILTER('CBK Students'!O:O, TRIM('CBK Students'!B:B) = TRIM(A571)),
  """"
)"),"#REF!")</f>
        <v>#REF!</v>
      </c>
      <c r="AA571" s="4" t="str">
        <f>IFERROR(__xludf.DUMMYFUNCTION("IFERROR(
  FILTER('CBK Students'!P:P, TRIM('CBK Students'!B:B) = TRIM(A571)),
  """"
)"),"#REF!")</f>
        <v>#REF!</v>
      </c>
      <c r="AB571" s="4" t="str">
        <f>IFERROR(__xludf.DUMMYFUNCTION("IFERROR(
  FILTER('CBK Students'!Q:Q, TRIM('CBK Students'!B:B) = TRIM(A571)),
  """"
)"),"#REF!")</f>
        <v>#REF!</v>
      </c>
    </row>
    <row r="572" ht="18.75" customHeight="1">
      <c r="T572" s="240" t="str">
        <f>IFERROR(__xludf.DUMMYFUNCTION("IFERROR(
  FILTER('CBK Students'!F:F, TRIM('CBK Students'!B:B) = TRIM(A572)),
  """"
)"),"#REF!")</f>
        <v>#REF!</v>
      </c>
      <c r="U572" s="240" t="str">
        <f>IFERROR(__xludf.DUMMYFUNCTION("IFERROR(
  FILTER('CBK Students'!H:H, TRIM('CBK Students'!B:B) = TRIM(A572)),
  """"
)"),"#REF!")</f>
        <v>#REF!</v>
      </c>
      <c r="V572" s="240" t="str">
        <f>IFERROR(__xludf.DUMMYFUNCTION("IFERROR(
  FILTER('CBK Students'!M:M, TRIM('CBK Students'!B:B) = TRIM(A572)),
  """"
)"),"#REF!")</f>
        <v>#REF!</v>
      </c>
      <c r="W572" s="240" t="str">
        <f t="shared" si="1"/>
        <v/>
      </c>
      <c r="X572" s="240" t="str">
        <f>IFERROR(__xludf.DUMMYFUNCTION("IFERROR(
  FILTER('CBK Students'!R:R, TRIM('CBK Students'!B:B) = TRIM(A572)),
  """"
)"),"#REF!")</f>
        <v>#REF!</v>
      </c>
      <c r="Y572" s="4" t="str">
        <f t="shared" si="2"/>
        <v/>
      </c>
      <c r="Z572" s="4" t="str">
        <f>IFERROR(__xludf.DUMMYFUNCTION("IFERROR(
  FILTER('CBK Students'!O:O, TRIM('CBK Students'!B:B) = TRIM(A572)),
  """"
)"),"#REF!")</f>
        <v>#REF!</v>
      </c>
      <c r="AA572" s="4" t="str">
        <f>IFERROR(__xludf.DUMMYFUNCTION("IFERROR(
  FILTER('CBK Students'!P:P, TRIM('CBK Students'!B:B) = TRIM(A572)),
  """"
)"),"#REF!")</f>
        <v>#REF!</v>
      </c>
      <c r="AB572" s="4" t="str">
        <f>IFERROR(__xludf.DUMMYFUNCTION("IFERROR(
  FILTER('CBK Students'!Q:Q, TRIM('CBK Students'!B:B) = TRIM(A572)),
  """"
)"),"#REF!")</f>
        <v>#REF!</v>
      </c>
    </row>
    <row r="573" ht="18.75" customHeight="1">
      <c r="T573" s="240" t="str">
        <f>IFERROR(__xludf.DUMMYFUNCTION("IFERROR(
  FILTER('CBK Students'!F:F, TRIM('CBK Students'!B:B) = TRIM(A573)),
  """"
)"),"#REF!")</f>
        <v>#REF!</v>
      </c>
      <c r="U573" s="240" t="str">
        <f>IFERROR(__xludf.DUMMYFUNCTION("IFERROR(
  FILTER('CBK Students'!H:H, TRIM('CBK Students'!B:B) = TRIM(A573)),
  """"
)"),"#REF!")</f>
        <v>#REF!</v>
      </c>
      <c r="V573" s="240" t="str">
        <f>IFERROR(__xludf.DUMMYFUNCTION("IFERROR(
  FILTER('CBK Students'!M:M, TRIM('CBK Students'!B:B) = TRIM(A573)),
  """"
)"),"#REF!")</f>
        <v>#REF!</v>
      </c>
      <c r="W573" s="240" t="str">
        <f t="shared" si="1"/>
        <v/>
      </c>
      <c r="X573" s="240" t="str">
        <f>IFERROR(__xludf.DUMMYFUNCTION("IFERROR(
  FILTER('CBK Students'!R:R, TRIM('CBK Students'!B:B) = TRIM(A573)),
  """"
)"),"#REF!")</f>
        <v>#REF!</v>
      </c>
      <c r="Y573" s="4" t="str">
        <f t="shared" si="2"/>
        <v/>
      </c>
      <c r="Z573" s="4" t="str">
        <f>IFERROR(__xludf.DUMMYFUNCTION("IFERROR(
  FILTER('CBK Students'!O:O, TRIM('CBK Students'!B:B) = TRIM(A573)),
  """"
)"),"#REF!")</f>
        <v>#REF!</v>
      </c>
      <c r="AA573" s="4" t="str">
        <f>IFERROR(__xludf.DUMMYFUNCTION("IFERROR(
  FILTER('CBK Students'!P:P, TRIM('CBK Students'!B:B) = TRIM(A573)),
  """"
)"),"#REF!")</f>
        <v>#REF!</v>
      </c>
      <c r="AB573" s="4" t="str">
        <f>IFERROR(__xludf.DUMMYFUNCTION("IFERROR(
  FILTER('CBK Students'!Q:Q, TRIM('CBK Students'!B:B) = TRIM(A573)),
  """"
)"),"#REF!")</f>
        <v>#REF!</v>
      </c>
    </row>
    <row r="574" ht="18.75" customHeight="1">
      <c r="T574" s="240" t="str">
        <f>IFERROR(__xludf.DUMMYFUNCTION("IFERROR(
  FILTER('CBK Students'!F:F, TRIM('CBK Students'!B:B) = TRIM(A574)),
  """"
)"),"#REF!")</f>
        <v>#REF!</v>
      </c>
      <c r="U574" s="240" t="str">
        <f>IFERROR(__xludf.DUMMYFUNCTION("IFERROR(
  FILTER('CBK Students'!H:H, TRIM('CBK Students'!B:B) = TRIM(A574)),
  """"
)"),"#REF!")</f>
        <v>#REF!</v>
      </c>
      <c r="V574" s="240" t="str">
        <f>IFERROR(__xludf.DUMMYFUNCTION("IFERROR(
  FILTER('CBK Students'!M:M, TRIM('CBK Students'!B:B) = TRIM(A574)),
  """"
)"),"#REF!")</f>
        <v>#REF!</v>
      </c>
      <c r="W574" s="240" t="str">
        <f t="shared" si="1"/>
        <v/>
      </c>
      <c r="X574" s="240" t="str">
        <f>IFERROR(__xludf.DUMMYFUNCTION("IFERROR(
  FILTER('CBK Students'!R:R, TRIM('CBK Students'!B:B) = TRIM(A574)),
  """"
)"),"#REF!")</f>
        <v>#REF!</v>
      </c>
      <c r="Y574" s="4" t="str">
        <f t="shared" si="2"/>
        <v/>
      </c>
      <c r="Z574" s="4" t="str">
        <f>IFERROR(__xludf.DUMMYFUNCTION("IFERROR(
  FILTER('CBK Students'!O:O, TRIM('CBK Students'!B:B) = TRIM(A574)),
  """"
)"),"#REF!")</f>
        <v>#REF!</v>
      </c>
      <c r="AA574" s="4" t="str">
        <f>IFERROR(__xludf.DUMMYFUNCTION("IFERROR(
  FILTER('CBK Students'!P:P, TRIM('CBK Students'!B:B) = TRIM(A574)),
  """"
)"),"#REF!")</f>
        <v>#REF!</v>
      </c>
      <c r="AB574" s="4" t="str">
        <f>IFERROR(__xludf.DUMMYFUNCTION("IFERROR(
  FILTER('CBK Students'!Q:Q, TRIM('CBK Students'!B:B) = TRIM(A574)),
  """"
)"),"#REF!")</f>
        <v>#REF!</v>
      </c>
    </row>
    <row r="575" ht="18.75" customHeight="1">
      <c r="T575" s="240" t="str">
        <f>IFERROR(__xludf.DUMMYFUNCTION("IFERROR(
  FILTER('CBK Students'!F:F, TRIM('CBK Students'!B:B) = TRIM(A575)),
  """"
)"),"#REF!")</f>
        <v>#REF!</v>
      </c>
      <c r="U575" s="240" t="str">
        <f>IFERROR(__xludf.DUMMYFUNCTION("IFERROR(
  FILTER('CBK Students'!H:H, TRIM('CBK Students'!B:B) = TRIM(A575)),
  """"
)"),"#REF!")</f>
        <v>#REF!</v>
      </c>
      <c r="V575" s="240" t="str">
        <f>IFERROR(__xludf.DUMMYFUNCTION("IFERROR(
  FILTER('CBK Students'!M:M, TRIM('CBK Students'!B:B) = TRIM(A575)),
  """"
)"),"#REF!")</f>
        <v>#REF!</v>
      </c>
      <c r="W575" s="240" t="str">
        <f t="shared" si="1"/>
        <v/>
      </c>
      <c r="X575" s="240" t="str">
        <f>IFERROR(__xludf.DUMMYFUNCTION("IFERROR(
  FILTER('CBK Students'!R:R, TRIM('CBK Students'!B:B) = TRIM(A575)),
  """"
)"),"#REF!")</f>
        <v>#REF!</v>
      </c>
      <c r="Y575" s="4" t="str">
        <f t="shared" si="2"/>
        <v/>
      </c>
      <c r="Z575" s="4" t="str">
        <f>IFERROR(__xludf.DUMMYFUNCTION("IFERROR(
  FILTER('CBK Students'!O:O, TRIM('CBK Students'!B:B) = TRIM(A575)),
  """"
)"),"#REF!")</f>
        <v>#REF!</v>
      </c>
      <c r="AA575" s="4" t="str">
        <f>IFERROR(__xludf.DUMMYFUNCTION("IFERROR(
  FILTER('CBK Students'!P:P, TRIM('CBK Students'!B:B) = TRIM(A575)),
  """"
)"),"#REF!")</f>
        <v>#REF!</v>
      </c>
      <c r="AB575" s="4" t="str">
        <f>IFERROR(__xludf.DUMMYFUNCTION("IFERROR(
  FILTER('CBK Students'!Q:Q, TRIM('CBK Students'!B:B) = TRIM(A575)),
  """"
)"),"#REF!")</f>
        <v>#REF!</v>
      </c>
    </row>
    <row r="576" ht="18.75" customHeight="1">
      <c r="T576" s="240" t="str">
        <f>IFERROR(__xludf.DUMMYFUNCTION("IFERROR(
  FILTER('CBK Students'!F:F, TRIM('CBK Students'!B:B) = TRIM(A576)),
  """"
)"),"#REF!")</f>
        <v>#REF!</v>
      </c>
      <c r="U576" s="240" t="str">
        <f>IFERROR(__xludf.DUMMYFUNCTION("IFERROR(
  FILTER('CBK Students'!H:H, TRIM('CBK Students'!B:B) = TRIM(A576)),
  """"
)"),"#REF!")</f>
        <v>#REF!</v>
      </c>
      <c r="V576" s="240" t="str">
        <f>IFERROR(__xludf.DUMMYFUNCTION("IFERROR(
  FILTER('CBK Students'!M:M, TRIM('CBK Students'!B:B) = TRIM(A576)),
  """"
)"),"#REF!")</f>
        <v>#REF!</v>
      </c>
      <c r="W576" s="240" t="str">
        <f t="shared" si="1"/>
        <v/>
      </c>
      <c r="X576" s="240" t="str">
        <f>IFERROR(__xludf.DUMMYFUNCTION("IFERROR(
  FILTER('CBK Students'!R:R, TRIM('CBK Students'!B:B) = TRIM(A576)),
  """"
)"),"#REF!")</f>
        <v>#REF!</v>
      </c>
      <c r="Y576" s="4" t="str">
        <f t="shared" si="2"/>
        <v/>
      </c>
      <c r="Z576" s="4" t="str">
        <f>IFERROR(__xludf.DUMMYFUNCTION("IFERROR(
  FILTER('CBK Students'!O:O, TRIM('CBK Students'!B:B) = TRIM(A576)),
  """"
)"),"#REF!")</f>
        <v>#REF!</v>
      </c>
      <c r="AA576" s="4" t="str">
        <f>IFERROR(__xludf.DUMMYFUNCTION("IFERROR(
  FILTER('CBK Students'!P:P, TRIM('CBK Students'!B:B) = TRIM(A576)),
  """"
)"),"#REF!")</f>
        <v>#REF!</v>
      </c>
      <c r="AB576" s="4" t="str">
        <f>IFERROR(__xludf.DUMMYFUNCTION("IFERROR(
  FILTER('CBK Students'!Q:Q, TRIM('CBK Students'!B:B) = TRIM(A576)),
  """"
)"),"#REF!")</f>
        <v>#REF!</v>
      </c>
    </row>
    <row r="577" ht="18.75" customHeight="1">
      <c r="T577" s="240" t="str">
        <f>IFERROR(__xludf.DUMMYFUNCTION("IFERROR(
  FILTER('CBK Students'!F:F, TRIM('CBK Students'!B:B) = TRIM(A577)),
  """"
)"),"#REF!")</f>
        <v>#REF!</v>
      </c>
      <c r="U577" s="240" t="str">
        <f>IFERROR(__xludf.DUMMYFUNCTION("IFERROR(
  FILTER('CBK Students'!H:H, TRIM('CBK Students'!B:B) = TRIM(A577)),
  """"
)"),"#REF!")</f>
        <v>#REF!</v>
      </c>
      <c r="V577" s="240" t="str">
        <f>IFERROR(__xludf.DUMMYFUNCTION("IFERROR(
  FILTER('CBK Students'!M:M, TRIM('CBK Students'!B:B) = TRIM(A577)),
  """"
)"),"#REF!")</f>
        <v>#REF!</v>
      </c>
      <c r="W577" s="240" t="str">
        <f t="shared" si="1"/>
        <v/>
      </c>
      <c r="X577" s="240" t="str">
        <f>IFERROR(__xludf.DUMMYFUNCTION("IFERROR(
  FILTER('CBK Students'!R:R, TRIM('CBK Students'!B:B) = TRIM(A577)),
  """"
)"),"#REF!")</f>
        <v>#REF!</v>
      </c>
      <c r="Y577" s="4" t="str">
        <f t="shared" si="2"/>
        <v/>
      </c>
      <c r="Z577" s="4" t="str">
        <f>IFERROR(__xludf.DUMMYFUNCTION("IFERROR(
  FILTER('CBK Students'!O:O, TRIM('CBK Students'!B:B) = TRIM(A577)),
  """"
)"),"#REF!")</f>
        <v>#REF!</v>
      </c>
      <c r="AA577" s="4" t="str">
        <f>IFERROR(__xludf.DUMMYFUNCTION("IFERROR(
  FILTER('CBK Students'!P:P, TRIM('CBK Students'!B:B) = TRIM(A577)),
  """"
)"),"#REF!")</f>
        <v>#REF!</v>
      </c>
      <c r="AB577" s="4" t="str">
        <f>IFERROR(__xludf.DUMMYFUNCTION("IFERROR(
  FILTER('CBK Students'!Q:Q, TRIM('CBK Students'!B:B) = TRIM(A577)),
  """"
)"),"#REF!")</f>
        <v>#REF!</v>
      </c>
    </row>
    <row r="578" ht="18.75" customHeight="1">
      <c r="T578" s="240" t="str">
        <f>IFERROR(__xludf.DUMMYFUNCTION("IFERROR(
  FILTER('CBK Students'!F:F, TRIM('CBK Students'!B:B) = TRIM(A578)),
  """"
)"),"#REF!")</f>
        <v>#REF!</v>
      </c>
      <c r="U578" s="240" t="str">
        <f>IFERROR(__xludf.DUMMYFUNCTION("IFERROR(
  FILTER('CBK Students'!H:H, TRIM('CBK Students'!B:B) = TRIM(A578)),
  """"
)"),"#REF!")</f>
        <v>#REF!</v>
      </c>
      <c r="V578" s="240" t="str">
        <f>IFERROR(__xludf.DUMMYFUNCTION("IFERROR(
  FILTER('CBK Students'!M:M, TRIM('CBK Students'!B:B) = TRIM(A578)),
  """"
)"),"#REF!")</f>
        <v>#REF!</v>
      </c>
      <c r="W578" s="240" t="str">
        <f t="shared" si="1"/>
        <v/>
      </c>
      <c r="X578" s="240" t="str">
        <f>IFERROR(__xludf.DUMMYFUNCTION("IFERROR(
  FILTER('CBK Students'!R:R, TRIM('CBK Students'!B:B) = TRIM(A578)),
  """"
)"),"#REF!")</f>
        <v>#REF!</v>
      </c>
      <c r="Y578" s="4" t="str">
        <f t="shared" si="2"/>
        <v/>
      </c>
      <c r="Z578" s="4" t="str">
        <f>IFERROR(__xludf.DUMMYFUNCTION("IFERROR(
  FILTER('CBK Students'!O:O, TRIM('CBK Students'!B:B) = TRIM(A578)),
  """"
)"),"#REF!")</f>
        <v>#REF!</v>
      </c>
      <c r="AA578" s="4" t="str">
        <f>IFERROR(__xludf.DUMMYFUNCTION("IFERROR(
  FILTER('CBK Students'!P:P, TRIM('CBK Students'!B:B) = TRIM(A578)),
  """"
)"),"#REF!")</f>
        <v>#REF!</v>
      </c>
      <c r="AB578" s="4" t="str">
        <f>IFERROR(__xludf.DUMMYFUNCTION("IFERROR(
  FILTER('CBK Students'!Q:Q, TRIM('CBK Students'!B:B) = TRIM(A578)),
  """"
)"),"#REF!")</f>
        <v>#REF!</v>
      </c>
    </row>
    <row r="579" ht="18.75" customHeight="1">
      <c r="T579" s="240" t="str">
        <f>IFERROR(__xludf.DUMMYFUNCTION("IFERROR(
  FILTER('CBK Students'!F:F, TRIM('CBK Students'!B:B) = TRIM(A579)),
  """"
)"),"#REF!")</f>
        <v>#REF!</v>
      </c>
      <c r="U579" s="240" t="str">
        <f>IFERROR(__xludf.DUMMYFUNCTION("IFERROR(
  FILTER('CBK Students'!H:H, TRIM('CBK Students'!B:B) = TRIM(A579)),
  """"
)"),"#REF!")</f>
        <v>#REF!</v>
      </c>
      <c r="V579" s="240" t="str">
        <f>IFERROR(__xludf.DUMMYFUNCTION("IFERROR(
  FILTER('CBK Students'!M:M, TRIM('CBK Students'!B:B) = TRIM(A579)),
  """"
)"),"#REF!")</f>
        <v>#REF!</v>
      </c>
      <c r="W579" s="240" t="str">
        <f t="shared" si="1"/>
        <v/>
      </c>
      <c r="X579" s="240" t="str">
        <f>IFERROR(__xludf.DUMMYFUNCTION("IFERROR(
  FILTER('CBK Students'!R:R, TRIM('CBK Students'!B:B) = TRIM(A579)),
  """"
)"),"#REF!")</f>
        <v>#REF!</v>
      </c>
      <c r="Y579" s="4" t="str">
        <f t="shared" si="2"/>
        <v/>
      </c>
      <c r="Z579" s="4" t="str">
        <f>IFERROR(__xludf.DUMMYFUNCTION("IFERROR(
  FILTER('CBK Students'!O:O, TRIM('CBK Students'!B:B) = TRIM(A579)),
  """"
)"),"#REF!")</f>
        <v>#REF!</v>
      </c>
      <c r="AA579" s="4" t="str">
        <f>IFERROR(__xludf.DUMMYFUNCTION("IFERROR(
  FILTER('CBK Students'!P:P, TRIM('CBK Students'!B:B) = TRIM(A579)),
  """"
)"),"#REF!")</f>
        <v>#REF!</v>
      </c>
      <c r="AB579" s="4" t="str">
        <f>IFERROR(__xludf.DUMMYFUNCTION("IFERROR(
  FILTER('CBK Students'!Q:Q, TRIM('CBK Students'!B:B) = TRIM(A579)),
  """"
)"),"#REF!")</f>
        <v>#REF!</v>
      </c>
    </row>
    <row r="580" ht="18.75" customHeight="1">
      <c r="T580" s="240" t="str">
        <f>IFERROR(__xludf.DUMMYFUNCTION("IFERROR(
  FILTER('CBK Students'!F:F, TRIM('CBK Students'!B:B) = TRIM(A580)),
  """"
)"),"#REF!")</f>
        <v>#REF!</v>
      </c>
      <c r="U580" s="240" t="str">
        <f>IFERROR(__xludf.DUMMYFUNCTION("IFERROR(
  FILTER('CBK Students'!H:H, TRIM('CBK Students'!B:B) = TRIM(A580)),
  """"
)"),"#REF!")</f>
        <v>#REF!</v>
      </c>
      <c r="V580" s="240" t="str">
        <f>IFERROR(__xludf.DUMMYFUNCTION("IFERROR(
  FILTER('CBK Students'!M:M, TRIM('CBK Students'!B:B) = TRIM(A580)),
  """"
)"),"#REF!")</f>
        <v>#REF!</v>
      </c>
      <c r="W580" s="240" t="str">
        <f t="shared" si="1"/>
        <v/>
      </c>
      <c r="X580" s="240" t="str">
        <f>IFERROR(__xludf.DUMMYFUNCTION("IFERROR(
  FILTER('CBK Students'!R:R, TRIM('CBK Students'!B:B) = TRIM(A580)),
  """"
)"),"#REF!")</f>
        <v>#REF!</v>
      </c>
      <c r="Y580" s="4" t="str">
        <f t="shared" si="2"/>
        <v/>
      </c>
      <c r="Z580" s="4" t="str">
        <f>IFERROR(__xludf.DUMMYFUNCTION("IFERROR(
  FILTER('CBK Students'!O:O, TRIM('CBK Students'!B:B) = TRIM(A580)),
  """"
)"),"#REF!")</f>
        <v>#REF!</v>
      </c>
      <c r="AA580" s="4" t="str">
        <f>IFERROR(__xludf.DUMMYFUNCTION("IFERROR(
  FILTER('CBK Students'!P:P, TRIM('CBK Students'!B:B) = TRIM(A580)),
  """"
)"),"#REF!")</f>
        <v>#REF!</v>
      </c>
      <c r="AB580" s="4" t="str">
        <f>IFERROR(__xludf.DUMMYFUNCTION("IFERROR(
  FILTER('CBK Students'!Q:Q, TRIM('CBK Students'!B:B) = TRIM(A580)),
  """"
)"),"#REF!")</f>
        <v>#REF!</v>
      </c>
    </row>
    <row r="581" ht="18.75" customHeight="1">
      <c r="T581" s="240" t="str">
        <f>IFERROR(__xludf.DUMMYFUNCTION("IFERROR(
  FILTER('CBK Students'!F:F, TRIM('CBK Students'!B:B) = TRIM(A581)),
  """"
)"),"#REF!")</f>
        <v>#REF!</v>
      </c>
      <c r="U581" s="240" t="str">
        <f>IFERROR(__xludf.DUMMYFUNCTION("IFERROR(
  FILTER('CBK Students'!H:H, TRIM('CBK Students'!B:B) = TRIM(A581)),
  """"
)"),"#REF!")</f>
        <v>#REF!</v>
      </c>
      <c r="V581" s="240" t="str">
        <f>IFERROR(__xludf.DUMMYFUNCTION("IFERROR(
  FILTER('CBK Students'!M:M, TRIM('CBK Students'!B:B) = TRIM(A581)),
  """"
)"),"#REF!")</f>
        <v>#REF!</v>
      </c>
      <c r="W581" s="240" t="str">
        <f t="shared" si="1"/>
        <v/>
      </c>
      <c r="X581" s="240" t="str">
        <f>IFERROR(__xludf.DUMMYFUNCTION("IFERROR(
  FILTER('CBK Students'!R:R, TRIM('CBK Students'!B:B) = TRIM(A581)),
  """"
)"),"#REF!")</f>
        <v>#REF!</v>
      </c>
      <c r="Y581" s="4" t="str">
        <f t="shared" si="2"/>
        <v/>
      </c>
      <c r="Z581" s="4" t="str">
        <f>IFERROR(__xludf.DUMMYFUNCTION("IFERROR(
  FILTER('CBK Students'!O:O, TRIM('CBK Students'!B:B) = TRIM(A581)),
  """"
)"),"#REF!")</f>
        <v>#REF!</v>
      </c>
      <c r="AA581" s="4" t="str">
        <f>IFERROR(__xludf.DUMMYFUNCTION("IFERROR(
  FILTER('CBK Students'!P:P, TRIM('CBK Students'!B:B) = TRIM(A581)),
  """"
)"),"#REF!")</f>
        <v>#REF!</v>
      </c>
      <c r="AB581" s="4" t="str">
        <f>IFERROR(__xludf.DUMMYFUNCTION("IFERROR(
  FILTER('CBK Students'!Q:Q, TRIM('CBK Students'!B:B) = TRIM(A581)),
  """"
)"),"#REF!")</f>
        <v>#REF!</v>
      </c>
    </row>
    <row r="582" ht="18.75" customHeight="1">
      <c r="T582" s="240" t="str">
        <f>IFERROR(__xludf.DUMMYFUNCTION("IFERROR(
  FILTER('CBK Students'!F:F, TRIM('CBK Students'!B:B) = TRIM(A582)),
  """"
)"),"#REF!")</f>
        <v>#REF!</v>
      </c>
      <c r="U582" s="240" t="str">
        <f>IFERROR(__xludf.DUMMYFUNCTION("IFERROR(
  FILTER('CBK Students'!H:H, TRIM('CBK Students'!B:B) = TRIM(A582)),
  """"
)"),"#REF!")</f>
        <v>#REF!</v>
      </c>
      <c r="V582" s="240" t="str">
        <f>IFERROR(__xludf.DUMMYFUNCTION("IFERROR(
  FILTER('CBK Students'!M:M, TRIM('CBK Students'!B:B) = TRIM(A582)),
  """"
)"),"#REF!")</f>
        <v>#REF!</v>
      </c>
      <c r="W582" s="240" t="str">
        <f t="shared" si="1"/>
        <v/>
      </c>
      <c r="X582" s="240" t="str">
        <f>IFERROR(__xludf.DUMMYFUNCTION("IFERROR(
  FILTER('CBK Students'!R:R, TRIM('CBK Students'!B:B) = TRIM(A582)),
  """"
)"),"#REF!")</f>
        <v>#REF!</v>
      </c>
      <c r="Y582" s="4" t="str">
        <f t="shared" si="2"/>
        <v/>
      </c>
      <c r="Z582" s="4" t="str">
        <f>IFERROR(__xludf.DUMMYFUNCTION("IFERROR(
  FILTER('CBK Students'!O:O, TRIM('CBK Students'!B:B) = TRIM(A582)),
  """"
)"),"#REF!")</f>
        <v>#REF!</v>
      </c>
      <c r="AA582" s="4" t="str">
        <f>IFERROR(__xludf.DUMMYFUNCTION("IFERROR(
  FILTER('CBK Students'!P:P, TRIM('CBK Students'!B:B) = TRIM(A582)),
  """"
)"),"#REF!")</f>
        <v>#REF!</v>
      </c>
      <c r="AB582" s="4" t="str">
        <f>IFERROR(__xludf.DUMMYFUNCTION("IFERROR(
  FILTER('CBK Students'!Q:Q, TRIM('CBK Students'!B:B) = TRIM(A582)),
  """"
)"),"#REF!")</f>
        <v>#REF!</v>
      </c>
    </row>
    <row r="583" ht="18.75" customHeight="1">
      <c r="T583" s="240" t="str">
        <f>IFERROR(__xludf.DUMMYFUNCTION("IFERROR(
  FILTER('CBK Students'!F:F, TRIM('CBK Students'!B:B) = TRIM(A583)),
  """"
)"),"#REF!")</f>
        <v>#REF!</v>
      </c>
      <c r="U583" s="240" t="str">
        <f>IFERROR(__xludf.DUMMYFUNCTION("IFERROR(
  FILTER('CBK Students'!H:H, TRIM('CBK Students'!B:B) = TRIM(A583)),
  """"
)"),"#REF!")</f>
        <v>#REF!</v>
      </c>
      <c r="V583" s="240" t="str">
        <f>IFERROR(__xludf.DUMMYFUNCTION("IFERROR(
  FILTER('CBK Students'!M:M, TRIM('CBK Students'!B:B) = TRIM(A583)),
  """"
)"),"#REF!")</f>
        <v>#REF!</v>
      </c>
      <c r="W583" s="240" t="str">
        <f t="shared" si="1"/>
        <v/>
      </c>
      <c r="X583" s="240" t="str">
        <f>IFERROR(__xludf.DUMMYFUNCTION("IFERROR(
  FILTER('CBK Students'!R:R, TRIM('CBK Students'!B:B) = TRIM(A583)),
  """"
)"),"#REF!")</f>
        <v>#REF!</v>
      </c>
      <c r="Y583" s="4" t="str">
        <f t="shared" si="2"/>
        <v/>
      </c>
      <c r="Z583" s="4" t="str">
        <f>IFERROR(__xludf.DUMMYFUNCTION("IFERROR(
  FILTER('CBK Students'!O:O, TRIM('CBK Students'!B:B) = TRIM(A583)),
  """"
)"),"#REF!")</f>
        <v>#REF!</v>
      </c>
      <c r="AA583" s="4" t="str">
        <f>IFERROR(__xludf.DUMMYFUNCTION("IFERROR(
  FILTER('CBK Students'!P:P, TRIM('CBK Students'!B:B) = TRIM(A583)),
  """"
)"),"#REF!")</f>
        <v>#REF!</v>
      </c>
      <c r="AB583" s="4" t="str">
        <f>IFERROR(__xludf.DUMMYFUNCTION("IFERROR(
  FILTER('CBK Students'!Q:Q, TRIM('CBK Students'!B:B) = TRIM(A583)),
  """"
)"),"#REF!")</f>
        <v>#REF!</v>
      </c>
    </row>
    <row r="584" ht="18.75" customHeight="1">
      <c r="T584" s="240" t="str">
        <f>IFERROR(__xludf.DUMMYFUNCTION("IFERROR(
  FILTER('CBK Students'!F:F, TRIM('CBK Students'!B:B) = TRIM(A584)),
  """"
)"),"#REF!")</f>
        <v>#REF!</v>
      </c>
      <c r="U584" s="240" t="str">
        <f>IFERROR(__xludf.DUMMYFUNCTION("IFERROR(
  FILTER('CBK Students'!H:H, TRIM('CBK Students'!B:B) = TRIM(A584)),
  """"
)"),"#REF!")</f>
        <v>#REF!</v>
      </c>
      <c r="V584" s="240" t="str">
        <f>IFERROR(__xludf.DUMMYFUNCTION("IFERROR(
  FILTER('CBK Students'!M:M, TRIM('CBK Students'!B:B) = TRIM(A584)),
  """"
)"),"#REF!")</f>
        <v>#REF!</v>
      </c>
      <c r="W584" s="240" t="str">
        <f t="shared" si="1"/>
        <v/>
      </c>
      <c r="X584" s="240" t="str">
        <f>IFERROR(__xludf.DUMMYFUNCTION("IFERROR(
  FILTER('CBK Students'!R:R, TRIM('CBK Students'!B:B) = TRIM(A584)),
  """"
)"),"#REF!")</f>
        <v>#REF!</v>
      </c>
      <c r="Y584" s="4" t="str">
        <f t="shared" si="2"/>
        <v/>
      </c>
      <c r="Z584" s="4" t="str">
        <f>IFERROR(__xludf.DUMMYFUNCTION("IFERROR(
  FILTER('CBK Students'!O:O, TRIM('CBK Students'!B:B) = TRIM(A584)),
  """"
)"),"#REF!")</f>
        <v>#REF!</v>
      </c>
      <c r="AA584" s="4" t="str">
        <f>IFERROR(__xludf.DUMMYFUNCTION("IFERROR(
  FILTER('CBK Students'!P:P, TRIM('CBK Students'!B:B) = TRIM(A584)),
  """"
)"),"#REF!")</f>
        <v>#REF!</v>
      </c>
      <c r="AB584" s="4" t="str">
        <f>IFERROR(__xludf.DUMMYFUNCTION("IFERROR(
  FILTER('CBK Students'!Q:Q, TRIM('CBK Students'!B:B) = TRIM(A584)),
  """"
)"),"#REF!")</f>
        <v>#REF!</v>
      </c>
    </row>
    <row r="585" ht="18.75" customHeight="1">
      <c r="T585" s="240" t="str">
        <f>IFERROR(__xludf.DUMMYFUNCTION("IFERROR(
  FILTER('CBK Students'!F:F, TRIM('CBK Students'!B:B) = TRIM(A585)),
  """"
)"),"#REF!")</f>
        <v>#REF!</v>
      </c>
      <c r="U585" s="240" t="str">
        <f>IFERROR(__xludf.DUMMYFUNCTION("IFERROR(
  FILTER('CBK Students'!H:H, TRIM('CBK Students'!B:B) = TRIM(A585)),
  """"
)"),"#REF!")</f>
        <v>#REF!</v>
      </c>
      <c r="V585" s="240" t="str">
        <f>IFERROR(__xludf.DUMMYFUNCTION("IFERROR(
  FILTER('CBK Students'!M:M, TRIM('CBK Students'!B:B) = TRIM(A585)),
  """"
)"),"#REF!")</f>
        <v>#REF!</v>
      </c>
      <c r="W585" s="240" t="str">
        <f t="shared" si="1"/>
        <v/>
      </c>
      <c r="X585" s="240" t="str">
        <f>IFERROR(__xludf.DUMMYFUNCTION("IFERROR(
  FILTER('CBK Students'!R:R, TRIM('CBK Students'!B:B) = TRIM(A585)),
  """"
)"),"#REF!")</f>
        <v>#REF!</v>
      </c>
      <c r="Y585" s="4" t="str">
        <f t="shared" si="2"/>
        <v/>
      </c>
      <c r="Z585" s="4" t="str">
        <f>IFERROR(__xludf.DUMMYFUNCTION("IFERROR(
  FILTER('CBK Students'!O:O, TRIM('CBK Students'!B:B) = TRIM(A585)),
  """"
)"),"#REF!")</f>
        <v>#REF!</v>
      </c>
      <c r="AA585" s="4" t="str">
        <f>IFERROR(__xludf.DUMMYFUNCTION("IFERROR(
  FILTER('CBK Students'!P:P, TRIM('CBK Students'!B:B) = TRIM(A585)),
  """"
)"),"#REF!")</f>
        <v>#REF!</v>
      </c>
      <c r="AB585" s="4" t="str">
        <f>IFERROR(__xludf.DUMMYFUNCTION("IFERROR(
  FILTER('CBK Students'!Q:Q, TRIM('CBK Students'!B:B) = TRIM(A585)),
  """"
)"),"#REF!")</f>
        <v>#REF!</v>
      </c>
    </row>
    <row r="586" ht="18.75" customHeight="1">
      <c r="T586" s="240" t="str">
        <f>IFERROR(__xludf.DUMMYFUNCTION("IFERROR(
  FILTER('CBK Students'!F:F, TRIM('CBK Students'!B:B) = TRIM(A586)),
  """"
)"),"#REF!")</f>
        <v>#REF!</v>
      </c>
      <c r="U586" s="240" t="str">
        <f>IFERROR(__xludf.DUMMYFUNCTION("IFERROR(
  FILTER('CBK Students'!H:H, TRIM('CBK Students'!B:B) = TRIM(A586)),
  """"
)"),"#REF!")</f>
        <v>#REF!</v>
      </c>
      <c r="V586" s="240" t="str">
        <f>IFERROR(__xludf.DUMMYFUNCTION("IFERROR(
  FILTER('CBK Students'!M:M, TRIM('CBK Students'!B:B) = TRIM(A586)),
  """"
)"),"#REF!")</f>
        <v>#REF!</v>
      </c>
      <c r="W586" s="240" t="str">
        <f t="shared" si="1"/>
        <v/>
      </c>
      <c r="X586" s="240" t="str">
        <f>IFERROR(__xludf.DUMMYFUNCTION("IFERROR(
  FILTER('CBK Students'!R:R, TRIM('CBK Students'!B:B) = TRIM(A586)),
  """"
)"),"#REF!")</f>
        <v>#REF!</v>
      </c>
      <c r="Y586" s="4" t="str">
        <f t="shared" si="2"/>
        <v/>
      </c>
      <c r="Z586" s="4" t="str">
        <f>IFERROR(__xludf.DUMMYFUNCTION("IFERROR(
  FILTER('CBK Students'!O:O, TRIM('CBK Students'!B:B) = TRIM(A586)),
  """"
)"),"#REF!")</f>
        <v>#REF!</v>
      </c>
      <c r="AA586" s="4" t="str">
        <f>IFERROR(__xludf.DUMMYFUNCTION("IFERROR(
  FILTER('CBK Students'!P:P, TRIM('CBK Students'!B:B) = TRIM(A586)),
  """"
)"),"#REF!")</f>
        <v>#REF!</v>
      </c>
      <c r="AB586" s="4" t="str">
        <f>IFERROR(__xludf.DUMMYFUNCTION("IFERROR(
  FILTER('CBK Students'!Q:Q, TRIM('CBK Students'!B:B) = TRIM(A586)),
  """"
)"),"#REF!")</f>
        <v>#REF!</v>
      </c>
    </row>
    <row r="587" ht="18.75" customHeight="1">
      <c r="T587" s="240" t="str">
        <f>IFERROR(__xludf.DUMMYFUNCTION("IFERROR(
  FILTER('CBK Students'!F:F, TRIM('CBK Students'!B:B) = TRIM(A587)),
  """"
)"),"#REF!")</f>
        <v>#REF!</v>
      </c>
      <c r="U587" s="240" t="str">
        <f>IFERROR(__xludf.DUMMYFUNCTION("IFERROR(
  FILTER('CBK Students'!H:H, TRIM('CBK Students'!B:B) = TRIM(A587)),
  """"
)"),"#REF!")</f>
        <v>#REF!</v>
      </c>
      <c r="V587" s="240" t="str">
        <f>IFERROR(__xludf.DUMMYFUNCTION("IFERROR(
  FILTER('CBK Students'!M:M, TRIM('CBK Students'!B:B) = TRIM(A587)),
  """"
)"),"#REF!")</f>
        <v>#REF!</v>
      </c>
      <c r="W587" s="240" t="str">
        <f t="shared" si="1"/>
        <v/>
      </c>
      <c r="X587" s="240" t="str">
        <f>IFERROR(__xludf.DUMMYFUNCTION("IFERROR(
  FILTER('CBK Students'!R:R, TRIM('CBK Students'!B:B) = TRIM(A587)),
  """"
)"),"#REF!")</f>
        <v>#REF!</v>
      </c>
      <c r="Y587" s="4" t="str">
        <f t="shared" si="2"/>
        <v/>
      </c>
      <c r="Z587" s="4" t="str">
        <f>IFERROR(__xludf.DUMMYFUNCTION("IFERROR(
  FILTER('CBK Students'!O:O, TRIM('CBK Students'!B:B) = TRIM(A587)),
  """"
)"),"#REF!")</f>
        <v>#REF!</v>
      </c>
      <c r="AA587" s="4" t="str">
        <f>IFERROR(__xludf.DUMMYFUNCTION("IFERROR(
  FILTER('CBK Students'!P:P, TRIM('CBK Students'!B:B) = TRIM(A587)),
  """"
)"),"#REF!")</f>
        <v>#REF!</v>
      </c>
      <c r="AB587" s="4" t="str">
        <f>IFERROR(__xludf.DUMMYFUNCTION("IFERROR(
  FILTER('CBK Students'!Q:Q, TRIM('CBK Students'!B:B) = TRIM(A587)),
  """"
)"),"#REF!")</f>
        <v>#REF!</v>
      </c>
    </row>
    <row r="588" ht="18.75" customHeight="1">
      <c r="T588" s="240" t="str">
        <f>IFERROR(__xludf.DUMMYFUNCTION("IFERROR(
  FILTER('CBK Students'!F:F, TRIM('CBK Students'!B:B) = TRIM(A588)),
  """"
)"),"#REF!")</f>
        <v>#REF!</v>
      </c>
      <c r="U588" s="240" t="str">
        <f>IFERROR(__xludf.DUMMYFUNCTION("IFERROR(
  FILTER('CBK Students'!H:H, TRIM('CBK Students'!B:B) = TRIM(A588)),
  """"
)"),"#REF!")</f>
        <v>#REF!</v>
      </c>
      <c r="V588" s="240" t="str">
        <f>IFERROR(__xludf.DUMMYFUNCTION("IFERROR(
  FILTER('CBK Students'!M:M, TRIM('CBK Students'!B:B) = TRIM(A588)),
  """"
)"),"#REF!")</f>
        <v>#REF!</v>
      </c>
      <c r="W588" s="240" t="str">
        <f t="shared" si="1"/>
        <v/>
      </c>
      <c r="X588" s="240" t="str">
        <f>IFERROR(__xludf.DUMMYFUNCTION("IFERROR(
  FILTER('CBK Students'!R:R, TRIM('CBK Students'!B:B) = TRIM(A588)),
  """"
)"),"#REF!")</f>
        <v>#REF!</v>
      </c>
      <c r="Y588" s="4" t="str">
        <f t="shared" si="2"/>
        <v/>
      </c>
      <c r="Z588" s="4" t="str">
        <f>IFERROR(__xludf.DUMMYFUNCTION("IFERROR(
  FILTER('CBK Students'!O:O, TRIM('CBK Students'!B:B) = TRIM(A588)),
  """"
)"),"#REF!")</f>
        <v>#REF!</v>
      </c>
      <c r="AA588" s="4" t="str">
        <f>IFERROR(__xludf.DUMMYFUNCTION("IFERROR(
  FILTER('CBK Students'!P:P, TRIM('CBK Students'!B:B) = TRIM(A588)),
  """"
)"),"#REF!")</f>
        <v>#REF!</v>
      </c>
      <c r="AB588" s="4" t="str">
        <f>IFERROR(__xludf.DUMMYFUNCTION("IFERROR(
  FILTER('CBK Students'!Q:Q, TRIM('CBK Students'!B:B) = TRIM(A588)),
  """"
)"),"#REF!")</f>
        <v>#REF!</v>
      </c>
    </row>
    <row r="589" ht="18.75" customHeight="1">
      <c r="T589" s="240" t="str">
        <f>IFERROR(__xludf.DUMMYFUNCTION("IFERROR(
  FILTER('CBK Students'!F:F, TRIM('CBK Students'!B:B) = TRIM(A589)),
  """"
)"),"#REF!")</f>
        <v>#REF!</v>
      </c>
      <c r="U589" s="240" t="str">
        <f>IFERROR(__xludf.DUMMYFUNCTION("IFERROR(
  FILTER('CBK Students'!H:H, TRIM('CBK Students'!B:B) = TRIM(A589)),
  """"
)"),"#REF!")</f>
        <v>#REF!</v>
      </c>
      <c r="V589" s="240" t="str">
        <f>IFERROR(__xludf.DUMMYFUNCTION("IFERROR(
  FILTER('CBK Students'!M:M, TRIM('CBK Students'!B:B) = TRIM(A589)),
  """"
)"),"#REF!")</f>
        <v>#REF!</v>
      </c>
      <c r="W589" s="240" t="str">
        <f t="shared" si="1"/>
        <v/>
      </c>
      <c r="X589" s="240" t="str">
        <f>IFERROR(__xludf.DUMMYFUNCTION("IFERROR(
  FILTER('CBK Students'!R:R, TRIM('CBK Students'!B:B) = TRIM(A589)),
  """"
)"),"#REF!")</f>
        <v>#REF!</v>
      </c>
      <c r="Y589" s="4" t="str">
        <f t="shared" si="2"/>
        <v/>
      </c>
      <c r="Z589" s="4" t="str">
        <f>IFERROR(__xludf.DUMMYFUNCTION("IFERROR(
  FILTER('CBK Students'!O:O, TRIM('CBK Students'!B:B) = TRIM(A589)),
  """"
)"),"#REF!")</f>
        <v>#REF!</v>
      </c>
      <c r="AA589" s="4" t="str">
        <f>IFERROR(__xludf.DUMMYFUNCTION("IFERROR(
  FILTER('CBK Students'!P:P, TRIM('CBK Students'!B:B) = TRIM(A589)),
  """"
)"),"#REF!")</f>
        <v>#REF!</v>
      </c>
      <c r="AB589" s="4" t="str">
        <f>IFERROR(__xludf.DUMMYFUNCTION("IFERROR(
  FILTER('CBK Students'!Q:Q, TRIM('CBK Students'!B:B) = TRIM(A589)),
  """"
)"),"#REF!")</f>
        <v>#REF!</v>
      </c>
    </row>
    <row r="590" ht="18.75" customHeight="1">
      <c r="T590" s="240" t="str">
        <f>IFERROR(__xludf.DUMMYFUNCTION("IFERROR(
  FILTER('CBK Students'!F:F, TRIM('CBK Students'!B:B) = TRIM(A590)),
  """"
)"),"#REF!")</f>
        <v>#REF!</v>
      </c>
      <c r="U590" s="240" t="str">
        <f>IFERROR(__xludf.DUMMYFUNCTION("IFERROR(
  FILTER('CBK Students'!H:H, TRIM('CBK Students'!B:B) = TRIM(A590)),
  """"
)"),"#REF!")</f>
        <v>#REF!</v>
      </c>
      <c r="V590" s="240" t="str">
        <f>IFERROR(__xludf.DUMMYFUNCTION("IFERROR(
  FILTER('CBK Students'!M:M, TRIM('CBK Students'!B:B) = TRIM(A590)),
  """"
)"),"#REF!")</f>
        <v>#REF!</v>
      </c>
      <c r="W590" s="240" t="str">
        <f t="shared" si="1"/>
        <v/>
      </c>
      <c r="X590" s="240" t="str">
        <f>IFERROR(__xludf.DUMMYFUNCTION("IFERROR(
  FILTER('CBK Students'!R:R, TRIM('CBK Students'!B:B) = TRIM(A590)),
  """"
)"),"#REF!")</f>
        <v>#REF!</v>
      </c>
      <c r="Y590" s="4" t="str">
        <f t="shared" si="2"/>
        <v/>
      </c>
      <c r="Z590" s="4" t="str">
        <f>IFERROR(__xludf.DUMMYFUNCTION("IFERROR(
  FILTER('CBK Students'!O:O, TRIM('CBK Students'!B:B) = TRIM(A590)),
  """"
)"),"#REF!")</f>
        <v>#REF!</v>
      </c>
      <c r="AA590" s="4" t="str">
        <f>IFERROR(__xludf.DUMMYFUNCTION("IFERROR(
  FILTER('CBK Students'!P:P, TRIM('CBK Students'!B:B) = TRIM(A590)),
  """"
)"),"#REF!")</f>
        <v>#REF!</v>
      </c>
      <c r="AB590" s="4" t="str">
        <f>IFERROR(__xludf.DUMMYFUNCTION("IFERROR(
  FILTER('CBK Students'!Q:Q, TRIM('CBK Students'!B:B) = TRIM(A590)),
  """"
)"),"#REF!")</f>
        <v>#REF!</v>
      </c>
    </row>
    <row r="591" ht="18.75" customHeight="1">
      <c r="T591" s="240" t="str">
        <f>IFERROR(__xludf.DUMMYFUNCTION("IFERROR(
  FILTER('CBK Students'!F:F, TRIM('CBK Students'!B:B) = TRIM(A591)),
  """"
)"),"#REF!")</f>
        <v>#REF!</v>
      </c>
      <c r="U591" s="240" t="str">
        <f>IFERROR(__xludf.DUMMYFUNCTION("IFERROR(
  FILTER('CBK Students'!H:H, TRIM('CBK Students'!B:B) = TRIM(A591)),
  """"
)"),"#REF!")</f>
        <v>#REF!</v>
      </c>
      <c r="V591" s="240" t="str">
        <f>IFERROR(__xludf.DUMMYFUNCTION("IFERROR(
  FILTER('CBK Students'!M:M, TRIM('CBK Students'!B:B) = TRIM(A591)),
  """"
)"),"#REF!")</f>
        <v>#REF!</v>
      </c>
      <c r="W591" s="240" t="str">
        <f t="shared" si="1"/>
        <v/>
      </c>
      <c r="X591" s="240" t="str">
        <f>IFERROR(__xludf.DUMMYFUNCTION("IFERROR(
  FILTER('CBK Students'!R:R, TRIM('CBK Students'!B:B) = TRIM(A591)),
  """"
)"),"#REF!")</f>
        <v>#REF!</v>
      </c>
      <c r="Y591" s="4" t="str">
        <f t="shared" si="2"/>
        <v/>
      </c>
      <c r="Z591" s="4" t="str">
        <f>IFERROR(__xludf.DUMMYFUNCTION("IFERROR(
  FILTER('CBK Students'!O:O, TRIM('CBK Students'!B:B) = TRIM(A591)),
  """"
)"),"#REF!")</f>
        <v>#REF!</v>
      </c>
      <c r="AA591" s="4" t="str">
        <f>IFERROR(__xludf.DUMMYFUNCTION("IFERROR(
  FILTER('CBK Students'!P:P, TRIM('CBK Students'!B:B) = TRIM(A591)),
  """"
)"),"#REF!")</f>
        <v>#REF!</v>
      </c>
      <c r="AB591" s="4" t="str">
        <f>IFERROR(__xludf.DUMMYFUNCTION("IFERROR(
  FILTER('CBK Students'!Q:Q, TRIM('CBK Students'!B:B) = TRIM(A591)),
  """"
)"),"#REF!")</f>
        <v>#REF!</v>
      </c>
    </row>
    <row r="592" ht="18.75" customHeight="1">
      <c r="T592" s="240" t="str">
        <f>IFERROR(__xludf.DUMMYFUNCTION("IFERROR(
  FILTER('CBK Students'!F:F, TRIM('CBK Students'!B:B) = TRIM(A592)),
  """"
)"),"#REF!")</f>
        <v>#REF!</v>
      </c>
      <c r="U592" s="240" t="str">
        <f>IFERROR(__xludf.DUMMYFUNCTION("IFERROR(
  FILTER('CBK Students'!H:H, TRIM('CBK Students'!B:B) = TRIM(A592)),
  """"
)"),"#REF!")</f>
        <v>#REF!</v>
      </c>
      <c r="V592" s="240" t="str">
        <f>IFERROR(__xludf.DUMMYFUNCTION("IFERROR(
  FILTER('CBK Students'!M:M, TRIM('CBK Students'!B:B) = TRIM(A592)),
  """"
)"),"#REF!")</f>
        <v>#REF!</v>
      </c>
      <c r="W592" s="240" t="str">
        <f t="shared" si="1"/>
        <v/>
      </c>
      <c r="X592" s="240" t="str">
        <f>IFERROR(__xludf.DUMMYFUNCTION("IFERROR(
  FILTER('CBK Students'!R:R, TRIM('CBK Students'!B:B) = TRIM(A592)),
  """"
)"),"#REF!")</f>
        <v>#REF!</v>
      </c>
      <c r="Y592" s="4" t="str">
        <f t="shared" si="2"/>
        <v/>
      </c>
      <c r="Z592" s="4" t="str">
        <f>IFERROR(__xludf.DUMMYFUNCTION("IFERROR(
  FILTER('CBK Students'!O:O, TRIM('CBK Students'!B:B) = TRIM(A592)),
  """"
)"),"#REF!")</f>
        <v>#REF!</v>
      </c>
      <c r="AA592" s="4" t="str">
        <f>IFERROR(__xludf.DUMMYFUNCTION("IFERROR(
  FILTER('CBK Students'!P:P, TRIM('CBK Students'!B:B) = TRIM(A592)),
  """"
)"),"#REF!")</f>
        <v>#REF!</v>
      </c>
      <c r="AB592" s="4" t="str">
        <f>IFERROR(__xludf.DUMMYFUNCTION("IFERROR(
  FILTER('CBK Students'!Q:Q, TRIM('CBK Students'!B:B) = TRIM(A592)),
  """"
)"),"#REF!")</f>
        <v>#REF!</v>
      </c>
    </row>
    <row r="593" ht="18.75" customHeight="1">
      <c r="T593" s="240" t="str">
        <f>IFERROR(__xludf.DUMMYFUNCTION("IFERROR(
  FILTER('CBK Students'!F:F, TRIM('CBK Students'!B:B) = TRIM(A593)),
  """"
)"),"#REF!")</f>
        <v>#REF!</v>
      </c>
      <c r="U593" s="240" t="str">
        <f>IFERROR(__xludf.DUMMYFUNCTION("IFERROR(
  FILTER('CBK Students'!H:H, TRIM('CBK Students'!B:B) = TRIM(A593)),
  """"
)"),"#REF!")</f>
        <v>#REF!</v>
      </c>
      <c r="V593" s="240" t="str">
        <f>IFERROR(__xludf.DUMMYFUNCTION("IFERROR(
  FILTER('CBK Students'!M:M, TRIM('CBK Students'!B:B) = TRIM(A593)),
  """"
)"),"#REF!")</f>
        <v>#REF!</v>
      </c>
      <c r="W593" s="240" t="str">
        <f t="shared" si="1"/>
        <v/>
      </c>
      <c r="X593" s="240" t="str">
        <f>IFERROR(__xludf.DUMMYFUNCTION("IFERROR(
  FILTER('CBK Students'!R:R, TRIM('CBK Students'!B:B) = TRIM(A593)),
  """"
)"),"#REF!")</f>
        <v>#REF!</v>
      </c>
      <c r="Y593" s="4" t="str">
        <f t="shared" si="2"/>
        <v/>
      </c>
      <c r="Z593" s="4" t="str">
        <f>IFERROR(__xludf.DUMMYFUNCTION("IFERROR(
  FILTER('CBK Students'!O:O, TRIM('CBK Students'!B:B) = TRIM(A593)),
  """"
)"),"#REF!")</f>
        <v>#REF!</v>
      </c>
      <c r="AA593" s="4" t="str">
        <f>IFERROR(__xludf.DUMMYFUNCTION("IFERROR(
  FILTER('CBK Students'!P:P, TRIM('CBK Students'!B:B) = TRIM(A593)),
  """"
)"),"#REF!")</f>
        <v>#REF!</v>
      </c>
      <c r="AB593" s="4" t="str">
        <f>IFERROR(__xludf.DUMMYFUNCTION("IFERROR(
  FILTER('CBK Students'!Q:Q, TRIM('CBK Students'!B:B) = TRIM(A593)),
  """"
)"),"#REF!")</f>
        <v>#REF!</v>
      </c>
    </row>
    <row r="594" ht="18.75" customHeight="1">
      <c r="T594" s="240" t="str">
        <f>IFERROR(__xludf.DUMMYFUNCTION("IFERROR(
  FILTER('CBK Students'!F:F, TRIM('CBK Students'!B:B) = TRIM(A594)),
  """"
)"),"#REF!")</f>
        <v>#REF!</v>
      </c>
      <c r="U594" s="240" t="str">
        <f>IFERROR(__xludf.DUMMYFUNCTION("IFERROR(
  FILTER('CBK Students'!H:H, TRIM('CBK Students'!B:B) = TRIM(A594)),
  """"
)"),"#REF!")</f>
        <v>#REF!</v>
      </c>
      <c r="V594" s="240" t="str">
        <f>IFERROR(__xludf.DUMMYFUNCTION("IFERROR(
  FILTER('CBK Students'!M:M, TRIM('CBK Students'!B:B) = TRIM(A594)),
  """"
)"),"#REF!")</f>
        <v>#REF!</v>
      </c>
      <c r="W594" s="240" t="str">
        <f t="shared" si="1"/>
        <v/>
      </c>
      <c r="X594" s="240" t="str">
        <f>IFERROR(__xludf.DUMMYFUNCTION("IFERROR(
  FILTER('CBK Students'!R:R, TRIM('CBK Students'!B:B) = TRIM(A594)),
  """"
)"),"#REF!")</f>
        <v>#REF!</v>
      </c>
      <c r="Y594" s="4" t="str">
        <f t="shared" si="2"/>
        <v/>
      </c>
      <c r="Z594" s="4" t="str">
        <f>IFERROR(__xludf.DUMMYFUNCTION("IFERROR(
  FILTER('CBK Students'!O:O, TRIM('CBK Students'!B:B) = TRIM(A594)),
  """"
)"),"#REF!")</f>
        <v>#REF!</v>
      </c>
      <c r="AA594" s="4" t="str">
        <f>IFERROR(__xludf.DUMMYFUNCTION("IFERROR(
  FILTER('CBK Students'!P:P, TRIM('CBK Students'!B:B) = TRIM(A594)),
  """"
)"),"#REF!")</f>
        <v>#REF!</v>
      </c>
      <c r="AB594" s="4" t="str">
        <f>IFERROR(__xludf.DUMMYFUNCTION("IFERROR(
  FILTER('CBK Students'!Q:Q, TRIM('CBK Students'!B:B) = TRIM(A594)),
  """"
)"),"#REF!")</f>
        <v>#REF!</v>
      </c>
    </row>
    <row r="595" ht="18.75" customHeight="1">
      <c r="T595" s="240" t="str">
        <f>IFERROR(__xludf.DUMMYFUNCTION("IFERROR(
  FILTER('CBK Students'!F:F, TRIM('CBK Students'!B:B) = TRIM(A595)),
  """"
)"),"#REF!")</f>
        <v>#REF!</v>
      </c>
      <c r="U595" s="240" t="str">
        <f>IFERROR(__xludf.DUMMYFUNCTION("IFERROR(
  FILTER('CBK Students'!H:H, TRIM('CBK Students'!B:B) = TRIM(A595)),
  """"
)"),"#REF!")</f>
        <v>#REF!</v>
      </c>
      <c r="V595" s="240" t="str">
        <f>IFERROR(__xludf.DUMMYFUNCTION("IFERROR(
  FILTER('CBK Students'!M:M, TRIM('CBK Students'!B:B) = TRIM(A595)),
  """"
)"),"#REF!")</f>
        <v>#REF!</v>
      </c>
      <c r="W595" s="240" t="str">
        <f t="shared" si="1"/>
        <v/>
      </c>
      <c r="X595" s="240" t="str">
        <f>IFERROR(__xludf.DUMMYFUNCTION("IFERROR(
  FILTER('CBK Students'!R:R, TRIM('CBK Students'!B:B) = TRIM(A595)),
  """"
)"),"#REF!")</f>
        <v>#REF!</v>
      </c>
      <c r="Y595" s="4" t="str">
        <f t="shared" si="2"/>
        <v/>
      </c>
      <c r="Z595" s="4" t="str">
        <f>IFERROR(__xludf.DUMMYFUNCTION("IFERROR(
  FILTER('CBK Students'!O:O, TRIM('CBK Students'!B:B) = TRIM(A595)),
  """"
)"),"#REF!")</f>
        <v>#REF!</v>
      </c>
      <c r="AA595" s="4" t="str">
        <f>IFERROR(__xludf.DUMMYFUNCTION("IFERROR(
  FILTER('CBK Students'!P:P, TRIM('CBK Students'!B:B) = TRIM(A595)),
  """"
)"),"#REF!")</f>
        <v>#REF!</v>
      </c>
      <c r="AB595" s="4" t="str">
        <f>IFERROR(__xludf.DUMMYFUNCTION("IFERROR(
  FILTER('CBK Students'!Q:Q, TRIM('CBK Students'!B:B) = TRIM(A595)),
  """"
)"),"#REF!")</f>
        <v>#REF!</v>
      </c>
    </row>
    <row r="596" ht="18.75" customHeight="1">
      <c r="T596" s="240" t="str">
        <f>IFERROR(__xludf.DUMMYFUNCTION("IFERROR(
  FILTER('CBK Students'!F:F, TRIM('CBK Students'!B:B) = TRIM(A596)),
  """"
)"),"#REF!")</f>
        <v>#REF!</v>
      </c>
      <c r="U596" s="240" t="str">
        <f>IFERROR(__xludf.DUMMYFUNCTION("IFERROR(
  FILTER('CBK Students'!H:H, TRIM('CBK Students'!B:B) = TRIM(A596)),
  """"
)"),"#REF!")</f>
        <v>#REF!</v>
      </c>
      <c r="V596" s="240" t="str">
        <f>IFERROR(__xludf.DUMMYFUNCTION("IFERROR(
  FILTER('CBK Students'!M:M, TRIM('CBK Students'!B:B) = TRIM(A596)),
  """"
)"),"#REF!")</f>
        <v>#REF!</v>
      </c>
      <c r="W596" s="240" t="str">
        <f t="shared" si="1"/>
        <v/>
      </c>
      <c r="X596" s="240" t="str">
        <f>IFERROR(__xludf.DUMMYFUNCTION("IFERROR(
  FILTER('CBK Students'!R:R, TRIM('CBK Students'!B:B) = TRIM(A596)),
  """"
)"),"#REF!")</f>
        <v>#REF!</v>
      </c>
      <c r="Y596" s="4" t="str">
        <f t="shared" si="2"/>
        <v/>
      </c>
      <c r="Z596" s="4" t="str">
        <f>IFERROR(__xludf.DUMMYFUNCTION("IFERROR(
  FILTER('CBK Students'!O:O, TRIM('CBK Students'!B:B) = TRIM(A596)),
  """"
)"),"#REF!")</f>
        <v>#REF!</v>
      </c>
      <c r="AA596" s="4" t="str">
        <f>IFERROR(__xludf.DUMMYFUNCTION("IFERROR(
  FILTER('CBK Students'!P:P, TRIM('CBK Students'!B:B) = TRIM(A596)),
  """"
)"),"#REF!")</f>
        <v>#REF!</v>
      </c>
      <c r="AB596" s="4" t="str">
        <f>IFERROR(__xludf.DUMMYFUNCTION("IFERROR(
  FILTER('CBK Students'!Q:Q, TRIM('CBK Students'!B:B) = TRIM(A596)),
  """"
)"),"#REF!")</f>
        <v>#REF!</v>
      </c>
    </row>
    <row r="597" ht="18.75" customHeight="1">
      <c r="T597" s="240" t="str">
        <f>IFERROR(__xludf.DUMMYFUNCTION("IFERROR(
  FILTER('CBK Students'!F:F, TRIM('CBK Students'!B:B) = TRIM(A597)),
  """"
)"),"#REF!")</f>
        <v>#REF!</v>
      </c>
      <c r="U597" s="240" t="str">
        <f>IFERROR(__xludf.DUMMYFUNCTION("IFERROR(
  FILTER('CBK Students'!H:H, TRIM('CBK Students'!B:B) = TRIM(A597)),
  """"
)"),"#REF!")</f>
        <v>#REF!</v>
      </c>
      <c r="V597" s="240" t="str">
        <f>IFERROR(__xludf.DUMMYFUNCTION("IFERROR(
  FILTER('CBK Students'!M:M, TRIM('CBK Students'!B:B) = TRIM(A597)),
  """"
)"),"#REF!")</f>
        <v>#REF!</v>
      </c>
      <c r="W597" s="240" t="str">
        <f t="shared" si="1"/>
        <v/>
      </c>
      <c r="X597" s="240" t="str">
        <f>IFERROR(__xludf.DUMMYFUNCTION("IFERROR(
  FILTER('CBK Students'!R:R, TRIM('CBK Students'!B:B) = TRIM(A597)),
  """"
)"),"#REF!")</f>
        <v>#REF!</v>
      </c>
      <c r="Y597" s="4" t="str">
        <f t="shared" si="2"/>
        <v/>
      </c>
      <c r="Z597" s="4" t="str">
        <f>IFERROR(__xludf.DUMMYFUNCTION("IFERROR(
  FILTER('CBK Students'!O:O, TRIM('CBK Students'!B:B) = TRIM(A597)),
  """"
)"),"#REF!")</f>
        <v>#REF!</v>
      </c>
      <c r="AA597" s="4" t="str">
        <f>IFERROR(__xludf.DUMMYFUNCTION("IFERROR(
  FILTER('CBK Students'!P:P, TRIM('CBK Students'!B:B) = TRIM(A597)),
  """"
)"),"#REF!")</f>
        <v>#REF!</v>
      </c>
      <c r="AB597" s="4" t="str">
        <f>IFERROR(__xludf.DUMMYFUNCTION("IFERROR(
  FILTER('CBK Students'!Q:Q, TRIM('CBK Students'!B:B) = TRIM(A597)),
  """"
)"),"#REF!")</f>
        <v>#REF!</v>
      </c>
    </row>
    <row r="598" ht="18.75" customHeight="1">
      <c r="T598" s="240" t="str">
        <f>IFERROR(__xludf.DUMMYFUNCTION("IFERROR(
  FILTER('CBK Students'!F:F, TRIM('CBK Students'!B:B) = TRIM(A598)),
  """"
)"),"#REF!")</f>
        <v>#REF!</v>
      </c>
      <c r="U598" s="240" t="str">
        <f>IFERROR(__xludf.DUMMYFUNCTION("IFERROR(
  FILTER('CBK Students'!H:H, TRIM('CBK Students'!B:B) = TRIM(A598)),
  """"
)"),"#REF!")</f>
        <v>#REF!</v>
      </c>
      <c r="V598" s="240" t="str">
        <f>IFERROR(__xludf.DUMMYFUNCTION("IFERROR(
  FILTER('CBK Students'!M:M, TRIM('CBK Students'!B:B) = TRIM(A598)),
  """"
)"),"#REF!")</f>
        <v>#REF!</v>
      </c>
      <c r="W598" s="240" t="str">
        <f t="shared" si="1"/>
        <v/>
      </c>
      <c r="X598" s="240" t="str">
        <f>IFERROR(__xludf.DUMMYFUNCTION("IFERROR(
  FILTER('CBK Students'!R:R, TRIM('CBK Students'!B:B) = TRIM(A598)),
  """"
)"),"#REF!")</f>
        <v>#REF!</v>
      </c>
      <c r="Y598" s="4" t="str">
        <f t="shared" si="2"/>
        <v/>
      </c>
      <c r="Z598" s="4" t="str">
        <f>IFERROR(__xludf.DUMMYFUNCTION("IFERROR(
  FILTER('CBK Students'!O:O, TRIM('CBK Students'!B:B) = TRIM(A598)),
  """"
)"),"#REF!")</f>
        <v>#REF!</v>
      </c>
      <c r="AA598" s="4" t="str">
        <f>IFERROR(__xludf.DUMMYFUNCTION("IFERROR(
  FILTER('CBK Students'!P:P, TRIM('CBK Students'!B:B) = TRIM(A598)),
  """"
)"),"#REF!")</f>
        <v>#REF!</v>
      </c>
      <c r="AB598" s="4" t="str">
        <f>IFERROR(__xludf.DUMMYFUNCTION("IFERROR(
  FILTER('CBK Students'!Q:Q, TRIM('CBK Students'!B:B) = TRIM(A598)),
  """"
)"),"#REF!")</f>
        <v>#REF!</v>
      </c>
    </row>
    <row r="599" ht="18.75" customHeight="1">
      <c r="T599" s="240" t="str">
        <f>IFERROR(__xludf.DUMMYFUNCTION("IFERROR(
  FILTER('CBK Students'!F:F, TRIM('CBK Students'!B:B) = TRIM(A599)),
  """"
)"),"#REF!")</f>
        <v>#REF!</v>
      </c>
      <c r="U599" s="240" t="str">
        <f>IFERROR(__xludf.DUMMYFUNCTION("IFERROR(
  FILTER('CBK Students'!H:H, TRIM('CBK Students'!B:B) = TRIM(A599)),
  """"
)"),"#REF!")</f>
        <v>#REF!</v>
      </c>
      <c r="V599" s="240" t="str">
        <f>IFERROR(__xludf.DUMMYFUNCTION("IFERROR(
  FILTER('CBK Students'!M:M, TRIM('CBK Students'!B:B) = TRIM(A599)),
  """"
)"),"#REF!")</f>
        <v>#REF!</v>
      </c>
      <c r="W599" s="240" t="str">
        <f t="shared" si="1"/>
        <v/>
      </c>
      <c r="X599" s="240" t="str">
        <f>IFERROR(__xludf.DUMMYFUNCTION("IFERROR(
  FILTER('CBK Students'!R:R, TRIM('CBK Students'!B:B) = TRIM(A599)),
  """"
)"),"#REF!")</f>
        <v>#REF!</v>
      </c>
      <c r="Y599" s="4" t="str">
        <f t="shared" si="2"/>
        <v/>
      </c>
      <c r="Z599" s="4" t="str">
        <f>IFERROR(__xludf.DUMMYFUNCTION("IFERROR(
  FILTER('CBK Students'!O:O, TRIM('CBK Students'!B:B) = TRIM(A599)),
  """"
)"),"#REF!")</f>
        <v>#REF!</v>
      </c>
      <c r="AA599" s="4" t="str">
        <f>IFERROR(__xludf.DUMMYFUNCTION("IFERROR(
  FILTER('CBK Students'!P:P, TRIM('CBK Students'!B:B) = TRIM(A599)),
  """"
)"),"#REF!")</f>
        <v>#REF!</v>
      </c>
      <c r="AB599" s="4" t="str">
        <f>IFERROR(__xludf.DUMMYFUNCTION("IFERROR(
  FILTER('CBK Students'!Q:Q, TRIM('CBK Students'!B:B) = TRIM(A599)),
  """"
)"),"#REF!")</f>
        <v>#REF!</v>
      </c>
    </row>
    <row r="600" ht="18.75" customHeight="1">
      <c r="T600" s="240" t="str">
        <f>IFERROR(__xludf.DUMMYFUNCTION("IFERROR(
  FILTER('CBK Students'!F:F, TRIM('CBK Students'!B:B) = TRIM(A600)),
  """"
)"),"#REF!")</f>
        <v>#REF!</v>
      </c>
      <c r="U600" s="240" t="str">
        <f>IFERROR(__xludf.DUMMYFUNCTION("IFERROR(
  FILTER('CBK Students'!H:H, TRIM('CBK Students'!B:B) = TRIM(A600)),
  """"
)"),"#REF!")</f>
        <v>#REF!</v>
      </c>
      <c r="V600" s="240" t="str">
        <f>IFERROR(__xludf.DUMMYFUNCTION("IFERROR(
  FILTER('CBK Students'!M:M, TRIM('CBK Students'!B:B) = TRIM(A600)),
  """"
)"),"#REF!")</f>
        <v>#REF!</v>
      </c>
      <c r="W600" s="240" t="str">
        <f t="shared" si="1"/>
        <v/>
      </c>
      <c r="X600" s="240" t="str">
        <f>IFERROR(__xludf.DUMMYFUNCTION("IFERROR(
  FILTER('CBK Students'!R:R, TRIM('CBK Students'!B:B) = TRIM(A600)),
  """"
)"),"#REF!")</f>
        <v>#REF!</v>
      </c>
      <c r="Y600" s="4" t="str">
        <f t="shared" si="2"/>
        <v/>
      </c>
      <c r="Z600" s="4" t="str">
        <f>IFERROR(__xludf.DUMMYFUNCTION("IFERROR(
  FILTER('CBK Students'!O:O, TRIM('CBK Students'!B:B) = TRIM(A600)),
  """"
)"),"#REF!")</f>
        <v>#REF!</v>
      </c>
      <c r="AA600" s="4" t="str">
        <f>IFERROR(__xludf.DUMMYFUNCTION("IFERROR(
  FILTER('CBK Students'!P:P, TRIM('CBK Students'!B:B) = TRIM(A600)),
  """"
)"),"#REF!")</f>
        <v>#REF!</v>
      </c>
      <c r="AB600" s="4" t="str">
        <f>IFERROR(__xludf.DUMMYFUNCTION("IFERROR(
  FILTER('CBK Students'!Q:Q, TRIM('CBK Students'!B:B) = TRIM(A600)),
  """"
)"),"#REF!")</f>
        <v>#REF!</v>
      </c>
    </row>
    <row r="601" ht="18.75" customHeight="1">
      <c r="T601" s="240" t="str">
        <f>IFERROR(__xludf.DUMMYFUNCTION("IFERROR(
  FILTER('CBK Students'!F:F, TRIM('CBK Students'!B:B) = TRIM(A601)),
  """"
)"),"#REF!")</f>
        <v>#REF!</v>
      </c>
      <c r="U601" s="240" t="str">
        <f>IFERROR(__xludf.DUMMYFUNCTION("IFERROR(
  FILTER('CBK Students'!H:H, TRIM('CBK Students'!B:B) = TRIM(A601)),
  """"
)"),"#REF!")</f>
        <v>#REF!</v>
      </c>
      <c r="V601" s="240" t="str">
        <f>IFERROR(__xludf.DUMMYFUNCTION("IFERROR(
  FILTER('CBK Students'!M:M, TRIM('CBK Students'!B:B) = TRIM(A601)),
  """"
)"),"#REF!")</f>
        <v>#REF!</v>
      </c>
      <c r="W601" s="240" t="str">
        <f t="shared" si="1"/>
        <v/>
      </c>
      <c r="X601" s="240" t="str">
        <f>IFERROR(__xludf.DUMMYFUNCTION("IFERROR(
  FILTER('CBK Students'!R:R, TRIM('CBK Students'!B:B) = TRIM(A601)),
  """"
)"),"#REF!")</f>
        <v>#REF!</v>
      </c>
      <c r="Y601" s="4" t="str">
        <f t="shared" si="2"/>
        <v/>
      </c>
      <c r="Z601" s="4" t="str">
        <f>IFERROR(__xludf.DUMMYFUNCTION("IFERROR(
  FILTER('CBK Students'!O:O, TRIM('CBK Students'!B:B) = TRIM(A601)),
  """"
)"),"#REF!")</f>
        <v>#REF!</v>
      </c>
      <c r="AA601" s="4" t="str">
        <f>IFERROR(__xludf.DUMMYFUNCTION("IFERROR(
  FILTER('CBK Students'!P:P, TRIM('CBK Students'!B:B) = TRIM(A601)),
  """"
)"),"#REF!")</f>
        <v>#REF!</v>
      </c>
      <c r="AB601" s="4" t="str">
        <f>IFERROR(__xludf.DUMMYFUNCTION("IFERROR(
  FILTER('CBK Students'!Q:Q, TRIM('CBK Students'!B:B) = TRIM(A601)),
  """"
)"),"#REF!")</f>
        <v>#REF!</v>
      </c>
    </row>
    <row r="602" ht="18.75" customHeight="1">
      <c r="T602" s="240" t="str">
        <f>IFERROR(__xludf.DUMMYFUNCTION("IFERROR(
  FILTER('CBK Students'!F:F, TRIM('CBK Students'!B:B) = TRIM(A602)),
  """"
)"),"#REF!")</f>
        <v>#REF!</v>
      </c>
      <c r="U602" s="240" t="str">
        <f>IFERROR(__xludf.DUMMYFUNCTION("IFERROR(
  FILTER('CBK Students'!H:H, TRIM('CBK Students'!B:B) = TRIM(A602)),
  """"
)"),"#REF!")</f>
        <v>#REF!</v>
      </c>
      <c r="V602" s="240" t="str">
        <f>IFERROR(__xludf.DUMMYFUNCTION("IFERROR(
  FILTER('CBK Students'!M:M, TRIM('CBK Students'!B:B) = TRIM(A602)),
  """"
)"),"#REF!")</f>
        <v>#REF!</v>
      </c>
      <c r="W602" s="240" t="str">
        <f t="shared" si="1"/>
        <v/>
      </c>
      <c r="X602" s="240" t="str">
        <f>IFERROR(__xludf.DUMMYFUNCTION("IFERROR(
  FILTER('CBK Students'!R:R, TRIM('CBK Students'!B:B) = TRIM(A602)),
  """"
)"),"#REF!")</f>
        <v>#REF!</v>
      </c>
      <c r="Y602" s="4" t="str">
        <f t="shared" si="2"/>
        <v/>
      </c>
      <c r="Z602" s="4" t="str">
        <f>IFERROR(__xludf.DUMMYFUNCTION("IFERROR(
  FILTER('CBK Students'!O:O, TRIM('CBK Students'!B:B) = TRIM(A602)),
  """"
)"),"#REF!")</f>
        <v>#REF!</v>
      </c>
      <c r="AA602" s="4" t="str">
        <f>IFERROR(__xludf.DUMMYFUNCTION("IFERROR(
  FILTER('CBK Students'!P:P, TRIM('CBK Students'!B:B) = TRIM(A602)),
  """"
)"),"#REF!")</f>
        <v>#REF!</v>
      </c>
      <c r="AB602" s="4" t="str">
        <f>IFERROR(__xludf.DUMMYFUNCTION("IFERROR(
  FILTER('CBK Students'!Q:Q, TRIM('CBK Students'!B:B) = TRIM(A602)),
  """"
)"),"#REF!")</f>
        <v>#REF!</v>
      </c>
    </row>
    <row r="603" ht="18.75" customHeight="1">
      <c r="T603" s="240" t="str">
        <f>IFERROR(__xludf.DUMMYFUNCTION("IFERROR(
  FILTER('CBK Students'!F:F, TRIM('CBK Students'!B:B) = TRIM(A603)),
  """"
)"),"#REF!")</f>
        <v>#REF!</v>
      </c>
      <c r="U603" s="240" t="str">
        <f>IFERROR(__xludf.DUMMYFUNCTION("IFERROR(
  FILTER('CBK Students'!H:H, TRIM('CBK Students'!B:B) = TRIM(A603)),
  """"
)"),"#REF!")</f>
        <v>#REF!</v>
      </c>
      <c r="V603" s="240" t="str">
        <f>IFERROR(__xludf.DUMMYFUNCTION("IFERROR(
  FILTER('CBK Students'!M:M, TRIM('CBK Students'!B:B) = TRIM(A603)),
  """"
)"),"#REF!")</f>
        <v>#REF!</v>
      </c>
      <c r="W603" s="240" t="str">
        <f t="shared" si="1"/>
        <v/>
      </c>
      <c r="X603" s="240" t="str">
        <f>IFERROR(__xludf.DUMMYFUNCTION("IFERROR(
  FILTER('CBK Students'!R:R, TRIM('CBK Students'!B:B) = TRIM(A603)),
  """"
)"),"#REF!")</f>
        <v>#REF!</v>
      </c>
      <c r="Y603" s="4" t="str">
        <f t="shared" si="2"/>
        <v/>
      </c>
      <c r="Z603" s="4" t="str">
        <f>IFERROR(__xludf.DUMMYFUNCTION("IFERROR(
  FILTER('CBK Students'!O:O, TRIM('CBK Students'!B:B) = TRIM(A603)),
  """"
)"),"#REF!")</f>
        <v>#REF!</v>
      </c>
      <c r="AA603" s="4" t="str">
        <f>IFERROR(__xludf.DUMMYFUNCTION("IFERROR(
  FILTER('CBK Students'!P:P, TRIM('CBK Students'!B:B) = TRIM(A603)),
  """"
)"),"#REF!")</f>
        <v>#REF!</v>
      </c>
      <c r="AB603" s="4" t="str">
        <f>IFERROR(__xludf.DUMMYFUNCTION("IFERROR(
  FILTER('CBK Students'!Q:Q, TRIM('CBK Students'!B:B) = TRIM(A603)),
  """"
)"),"#REF!")</f>
        <v>#REF!</v>
      </c>
    </row>
    <row r="604" ht="18.75" customHeight="1">
      <c r="T604" s="240" t="str">
        <f>IFERROR(__xludf.DUMMYFUNCTION("IFERROR(
  FILTER('CBK Students'!F:F, TRIM('CBK Students'!B:B) = TRIM(A604)),
  """"
)"),"#REF!")</f>
        <v>#REF!</v>
      </c>
      <c r="U604" s="240" t="str">
        <f>IFERROR(__xludf.DUMMYFUNCTION("IFERROR(
  FILTER('CBK Students'!H:H, TRIM('CBK Students'!B:B) = TRIM(A604)),
  """"
)"),"#REF!")</f>
        <v>#REF!</v>
      </c>
      <c r="V604" s="240" t="str">
        <f>IFERROR(__xludf.DUMMYFUNCTION("IFERROR(
  FILTER('CBK Students'!M:M, TRIM('CBK Students'!B:B) = TRIM(A604)),
  """"
)"),"#REF!")</f>
        <v>#REF!</v>
      </c>
      <c r="W604" s="240" t="str">
        <f t="shared" si="1"/>
        <v/>
      </c>
      <c r="X604" s="240" t="str">
        <f>IFERROR(__xludf.DUMMYFUNCTION("IFERROR(
  FILTER('CBK Students'!R:R, TRIM('CBK Students'!B:B) = TRIM(A604)),
  """"
)"),"#REF!")</f>
        <v>#REF!</v>
      </c>
      <c r="Y604" s="4" t="str">
        <f t="shared" si="2"/>
        <v/>
      </c>
      <c r="Z604" s="4" t="str">
        <f>IFERROR(__xludf.DUMMYFUNCTION("IFERROR(
  FILTER('CBK Students'!O:O, TRIM('CBK Students'!B:B) = TRIM(A604)),
  """"
)"),"#REF!")</f>
        <v>#REF!</v>
      </c>
      <c r="AA604" s="4" t="str">
        <f>IFERROR(__xludf.DUMMYFUNCTION("IFERROR(
  FILTER('CBK Students'!P:P, TRIM('CBK Students'!B:B) = TRIM(A604)),
  """"
)"),"#REF!")</f>
        <v>#REF!</v>
      </c>
      <c r="AB604" s="4" t="str">
        <f>IFERROR(__xludf.DUMMYFUNCTION("IFERROR(
  FILTER('CBK Students'!Q:Q, TRIM('CBK Students'!B:B) = TRIM(A604)),
  """"
)"),"#REF!")</f>
        <v>#REF!</v>
      </c>
    </row>
    <row r="605" ht="18.75" customHeight="1">
      <c r="T605" s="240" t="str">
        <f>IFERROR(__xludf.DUMMYFUNCTION("IFERROR(
  FILTER('CBK Students'!F:F, TRIM('CBK Students'!B:B) = TRIM(A605)),
  """"
)"),"#REF!")</f>
        <v>#REF!</v>
      </c>
      <c r="U605" s="240" t="str">
        <f>IFERROR(__xludf.DUMMYFUNCTION("IFERROR(
  FILTER('CBK Students'!H:H, TRIM('CBK Students'!B:B) = TRIM(A605)),
  """"
)"),"#REF!")</f>
        <v>#REF!</v>
      </c>
      <c r="V605" s="240" t="str">
        <f>IFERROR(__xludf.DUMMYFUNCTION("IFERROR(
  FILTER('CBK Students'!M:M, TRIM('CBK Students'!B:B) = TRIM(A605)),
  """"
)"),"#REF!")</f>
        <v>#REF!</v>
      </c>
      <c r="W605" s="240" t="str">
        <f t="shared" si="1"/>
        <v/>
      </c>
      <c r="X605" s="240" t="str">
        <f>IFERROR(__xludf.DUMMYFUNCTION("IFERROR(
  FILTER('CBK Students'!R:R, TRIM('CBK Students'!B:B) = TRIM(A605)),
  """"
)"),"#REF!")</f>
        <v>#REF!</v>
      </c>
      <c r="Y605" s="4" t="str">
        <f t="shared" si="2"/>
        <v/>
      </c>
      <c r="Z605" s="4" t="str">
        <f>IFERROR(__xludf.DUMMYFUNCTION("IFERROR(
  FILTER('CBK Students'!O:O, TRIM('CBK Students'!B:B) = TRIM(A605)),
  """"
)"),"#REF!")</f>
        <v>#REF!</v>
      </c>
      <c r="AA605" s="4" t="str">
        <f>IFERROR(__xludf.DUMMYFUNCTION("IFERROR(
  FILTER('CBK Students'!P:P, TRIM('CBK Students'!B:B) = TRIM(A605)),
  """"
)"),"#REF!")</f>
        <v>#REF!</v>
      </c>
      <c r="AB605" s="4" t="str">
        <f>IFERROR(__xludf.DUMMYFUNCTION("IFERROR(
  FILTER('CBK Students'!Q:Q, TRIM('CBK Students'!B:B) = TRIM(A605)),
  """"
)"),"#REF!")</f>
        <v>#REF!</v>
      </c>
    </row>
    <row r="606" ht="18.75" customHeight="1">
      <c r="T606" s="240" t="str">
        <f>IFERROR(__xludf.DUMMYFUNCTION("IFERROR(
  FILTER('CBK Students'!F:F, TRIM('CBK Students'!B:B) = TRIM(A606)),
  """"
)"),"#REF!")</f>
        <v>#REF!</v>
      </c>
      <c r="U606" s="240" t="str">
        <f>IFERROR(__xludf.DUMMYFUNCTION("IFERROR(
  FILTER('CBK Students'!H:H, TRIM('CBK Students'!B:B) = TRIM(A606)),
  """"
)"),"#REF!")</f>
        <v>#REF!</v>
      </c>
      <c r="V606" s="240" t="str">
        <f>IFERROR(__xludf.DUMMYFUNCTION("IFERROR(
  FILTER('CBK Students'!M:M, TRIM('CBK Students'!B:B) = TRIM(A606)),
  """"
)"),"#REF!")</f>
        <v>#REF!</v>
      </c>
      <c r="W606" s="240" t="str">
        <f t="shared" si="1"/>
        <v/>
      </c>
      <c r="X606" s="240" t="str">
        <f>IFERROR(__xludf.DUMMYFUNCTION("IFERROR(
  FILTER('CBK Students'!R:R, TRIM('CBK Students'!B:B) = TRIM(A606)),
  """"
)"),"#REF!")</f>
        <v>#REF!</v>
      </c>
      <c r="Y606" s="4" t="str">
        <f t="shared" si="2"/>
        <v/>
      </c>
      <c r="Z606" s="4" t="str">
        <f>IFERROR(__xludf.DUMMYFUNCTION("IFERROR(
  FILTER('CBK Students'!O:O, TRIM('CBK Students'!B:B) = TRIM(A606)),
  """"
)"),"#REF!")</f>
        <v>#REF!</v>
      </c>
      <c r="AA606" s="4" t="str">
        <f>IFERROR(__xludf.DUMMYFUNCTION("IFERROR(
  FILTER('CBK Students'!P:P, TRIM('CBK Students'!B:B) = TRIM(A606)),
  """"
)"),"#REF!")</f>
        <v>#REF!</v>
      </c>
      <c r="AB606" s="4" t="str">
        <f>IFERROR(__xludf.DUMMYFUNCTION("IFERROR(
  FILTER('CBK Students'!Q:Q, TRIM('CBK Students'!B:B) = TRIM(A606)),
  """"
)"),"#REF!")</f>
        <v>#REF!</v>
      </c>
    </row>
    <row r="607" ht="18.75" customHeight="1">
      <c r="T607" s="240" t="str">
        <f>IFERROR(__xludf.DUMMYFUNCTION("IFERROR(
  FILTER('CBK Students'!F:F, TRIM('CBK Students'!B:B) = TRIM(A607)),
  """"
)"),"#REF!")</f>
        <v>#REF!</v>
      </c>
      <c r="U607" s="240" t="str">
        <f>IFERROR(__xludf.DUMMYFUNCTION("IFERROR(
  FILTER('CBK Students'!H:H, TRIM('CBK Students'!B:B) = TRIM(A607)),
  """"
)"),"#REF!")</f>
        <v>#REF!</v>
      </c>
      <c r="V607" s="240" t="str">
        <f>IFERROR(__xludf.DUMMYFUNCTION("IFERROR(
  FILTER('CBK Students'!M:M, TRIM('CBK Students'!B:B) = TRIM(A607)),
  """"
)"),"#REF!")</f>
        <v>#REF!</v>
      </c>
      <c r="W607" s="240" t="str">
        <f t="shared" si="1"/>
        <v/>
      </c>
      <c r="X607" s="240" t="str">
        <f>IFERROR(__xludf.DUMMYFUNCTION("IFERROR(
  FILTER('CBK Students'!R:R, TRIM('CBK Students'!B:B) = TRIM(A607)),
  """"
)"),"#REF!")</f>
        <v>#REF!</v>
      </c>
      <c r="Y607" s="4" t="str">
        <f t="shared" si="2"/>
        <v/>
      </c>
      <c r="Z607" s="4" t="str">
        <f>IFERROR(__xludf.DUMMYFUNCTION("IFERROR(
  FILTER('CBK Students'!O:O, TRIM('CBK Students'!B:B) = TRIM(A607)),
  """"
)"),"#REF!")</f>
        <v>#REF!</v>
      </c>
      <c r="AA607" s="4" t="str">
        <f>IFERROR(__xludf.DUMMYFUNCTION("IFERROR(
  FILTER('CBK Students'!P:P, TRIM('CBK Students'!B:B) = TRIM(A607)),
  """"
)"),"#REF!")</f>
        <v>#REF!</v>
      </c>
      <c r="AB607" s="4" t="str">
        <f>IFERROR(__xludf.DUMMYFUNCTION("IFERROR(
  FILTER('CBK Students'!Q:Q, TRIM('CBK Students'!B:B) = TRIM(A607)),
  """"
)"),"#REF!")</f>
        <v>#REF!</v>
      </c>
    </row>
    <row r="608" ht="18.75" customHeight="1">
      <c r="T608" s="240" t="str">
        <f>IFERROR(__xludf.DUMMYFUNCTION("IFERROR(
  FILTER('CBK Students'!F:F, TRIM('CBK Students'!B:B) = TRIM(A608)),
  """"
)"),"#REF!")</f>
        <v>#REF!</v>
      </c>
      <c r="U608" s="240" t="str">
        <f>IFERROR(__xludf.DUMMYFUNCTION("IFERROR(
  FILTER('CBK Students'!H:H, TRIM('CBK Students'!B:B) = TRIM(A608)),
  """"
)"),"#REF!")</f>
        <v>#REF!</v>
      </c>
      <c r="V608" s="240" t="str">
        <f>IFERROR(__xludf.DUMMYFUNCTION("IFERROR(
  FILTER('CBK Students'!M:M, TRIM('CBK Students'!B:B) = TRIM(A608)),
  """"
)"),"#REF!")</f>
        <v>#REF!</v>
      </c>
      <c r="W608" s="240" t="str">
        <f t="shared" si="1"/>
        <v/>
      </c>
      <c r="X608" s="240" t="str">
        <f>IFERROR(__xludf.DUMMYFUNCTION("IFERROR(
  FILTER('CBK Students'!R:R, TRIM('CBK Students'!B:B) = TRIM(A608)),
  """"
)"),"#REF!")</f>
        <v>#REF!</v>
      </c>
      <c r="Y608" s="4" t="str">
        <f t="shared" si="2"/>
        <v/>
      </c>
      <c r="Z608" s="4" t="str">
        <f>IFERROR(__xludf.DUMMYFUNCTION("IFERROR(
  FILTER('CBK Students'!O:O, TRIM('CBK Students'!B:B) = TRIM(A608)),
  """"
)"),"#REF!")</f>
        <v>#REF!</v>
      </c>
      <c r="AA608" s="4" t="str">
        <f>IFERROR(__xludf.DUMMYFUNCTION("IFERROR(
  FILTER('CBK Students'!P:P, TRIM('CBK Students'!B:B) = TRIM(A608)),
  """"
)"),"#REF!")</f>
        <v>#REF!</v>
      </c>
      <c r="AB608" s="4" t="str">
        <f>IFERROR(__xludf.DUMMYFUNCTION("IFERROR(
  FILTER('CBK Students'!Q:Q, TRIM('CBK Students'!B:B) = TRIM(A608)),
  """"
)"),"#REF!")</f>
        <v>#REF!</v>
      </c>
    </row>
    <row r="609" ht="18.75" customHeight="1">
      <c r="T609" s="240" t="str">
        <f>IFERROR(__xludf.DUMMYFUNCTION("IFERROR(
  FILTER('CBK Students'!F:F, TRIM('CBK Students'!B:B) = TRIM(A609)),
  """"
)"),"#REF!")</f>
        <v>#REF!</v>
      </c>
      <c r="U609" s="240" t="str">
        <f>IFERROR(__xludf.DUMMYFUNCTION("IFERROR(
  FILTER('CBK Students'!H:H, TRIM('CBK Students'!B:B) = TRIM(A609)),
  """"
)"),"#REF!")</f>
        <v>#REF!</v>
      </c>
      <c r="V609" s="240" t="str">
        <f>IFERROR(__xludf.DUMMYFUNCTION("IFERROR(
  FILTER('CBK Students'!M:M, TRIM('CBK Students'!B:B) = TRIM(A609)),
  """"
)"),"#REF!")</f>
        <v>#REF!</v>
      </c>
      <c r="W609" s="240" t="str">
        <f t="shared" si="1"/>
        <v/>
      </c>
      <c r="X609" s="240" t="str">
        <f>IFERROR(__xludf.DUMMYFUNCTION("IFERROR(
  FILTER('CBK Students'!R:R, TRIM('CBK Students'!B:B) = TRIM(A609)),
  """"
)"),"#REF!")</f>
        <v>#REF!</v>
      </c>
      <c r="Y609" s="4" t="str">
        <f t="shared" si="2"/>
        <v/>
      </c>
      <c r="Z609" s="4" t="str">
        <f>IFERROR(__xludf.DUMMYFUNCTION("IFERROR(
  FILTER('CBK Students'!O:O, TRIM('CBK Students'!B:B) = TRIM(A609)),
  """"
)"),"#REF!")</f>
        <v>#REF!</v>
      </c>
      <c r="AA609" s="4" t="str">
        <f>IFERROR(__xludf.DUMMYFUNCTION("IFERROR(
  FILTER('CBK Students'!P:P, TRIM('CBK Students'!B:B) = TRIM(A609)),
  """"
)"),"#REF!")</f>
        <v>#REF!</v>
      </c>
      <c r="AB609" s="4" t="str">
        <f>IFERROR(__xludf.DUMMYFUNCTION("IFERROR(
  FILTER('CBK Students'!Q:Q, TRIM('CBK Students'!B:B) = TRIM(A609)),
  """"
)"),"#REF!")</f>
        <v>#REF!</v>
      </c>
    </row>
    <row r="610" ht="18.75" customHeight="1">
      <c r="T610" s="240" t="str">
        <f>IFERROR(__xludf.DUMMYFUNCTION("IFERROR(
  FILTER('CBK Students'!F:F, TRIM('CBK Students'!B:B) = TRIM(A610)),
  """"
)"),"#REF!")</f>
        <v>#REF!</v>
      </c>
      <c r="U610" s="240" t="str">
        <f>IFERROR(__xludf.DUMMYFUNCTION("IFERROR(
  FILTER('CBK Students'!H:H, TRIM('CBK Students'!B:B) = TRIM(A610)),
  """"
)"),"#REF!")</f>
        <v>#REF!</v>
      </c>
      <c r="V610" s="240" t="str">
        <f>IFERROR(__xludf.DUMMYFUNCTION("IFERROR(
  FILTER('CBK Students'!M:M, TRIM('CBK Students'!B:B) = TRIM(A610)),
  """"
)"),"#REF!")</f>
        <v>#REF!</v>
      </c>
      <c r="W610" s="240" t="str">
        <f t="shared" si="1"/>
        <v/>
      </c>
      <c r="X610" s="240" t="str">
        <f>IFERROR(__xludf.DUMMYFUNCTION("IFERROR(
  FILTER('CBK Students'!R:R, TRIM('CBK Students'!B:B) = TRIM(A610)),
  """"
)"),"#REF!")</f>
        <v>#REF!</v>
      </c>
      <c r="Y610" s="4" t="str">
        <f t="shared" si="2"/>
        <v/>
      </c>
      <c r="Z610" s="4" t="str">
        <f>IFERROR(__xludf.DUMMYFUNCTION("IFERROR(
  FILTER('CBK Students'!O:O, TRIM('CBK Students'!B:B) = TRIM(A610)),
  """"
)"),"#REF!")</f>
        <v>#REF!</v>
      </c>
      <c r="AA610" s="4" t="str">
        <f>IFERROR(__xludf.DUMMYFUNCTION("IFERROR(
  FILTER('CBK Students'!P:P, TRIM('CBK Students'!B:B) = TRIM(A610)),
  """"
)"),"#REF!")</f>
        <v>#REF!</v>
      </c>
      <c r="AB610" s="4" t="str">
        <f>IFERROR(__xludf.DUMMYFUNCTION("IFERROR(
  FILTER('CBK Students'!Q:Q, TRIM('CBK Students'!B:B) = TRIM(A610)),
  """"
)"),"#REF!")</f>
        <v>#REF!</v>
      </c>
    </row>
    <row r="611" ht="18.75" customHeight="1">
      <c r="T611" s="240" t="str">
        <f>IFERROR(__xludf.DUMMYFUNCTION("IFERROR(
  FILTER('CBK Students'!F:F, TRIM('CBK Students'!B:B) = TRIM(A611)),
  """"
)"),"#REF!")</f>
        <v>#REF!</v>
      </c>
      <c r="U611" s="240" t="str">
        <f>IFERROR(__xludf.DUMMYFUNCTION("IFERROR(
  FILTER('CBK Students'!H:H, TRIM('CBK Students'!B:B) = TRIM(A611)),
  """"
)"),"#REF!")</f>
        <v>#REF!</v>
      </c>
      <c r="V611" s="240" t="str">
        <f>IFERROR(__xludf.DUMMYFUNCTION("IFERROR(
  FILTER('CBK Students'!M:M, TRIM('CBK Students'!B:B) = TRIM(A611)),
  """"
)"),"#REF!")</f>
        <v>#REF!</v>
      </c>
      <c r="W611" s="240" t="str">
        <f t="shared" si="1"/>
        <v/>
      </c>
      <c r="X611" s="240" t="str">
        <f>IFERROR(__xludf.DUMMYFUNCTION("IFERROR(
  FILTER('CBK Students'!R:R, TRIM('CBK Students'!B:B) = TRIM(A611)),
  """"
)"),"#REF!")</f>
        <v>#REF!</v>
      </c>
      <c r="Y611" s="4" t="str">
        <f t="shared" si="2"/>
        <v/>
      </c>
      <c r="Z611" s="4" t="str">
        <f>IFERROR(__xludf.DUMMYFUNCTION("IFERROR(
  FILTER('CBK Students'!O:O, TRIM('CBK Students'!B:B) = TRIM(A611)),
  """"
)"),"#REF!")</f>
        <v>#REF!</v>
      </c>
      <c r="AA611" s="4" t="str">
        <f>IFERROR(__xludf.DUMMYFUNCTION("IFERROR(
  FILTER('CBK Students'!P:P, TRIM('CBK Students'!B:B) = TRIM(A611)),
  """"
)"),"#REF!")</f>
        <v>#REF!</v>
      </c>
      <c r="AB611" s="4" t="str">
        <f>IFERROR(__xludf.DUMMYFUNCTION("IFERROR(
  FILTER('CBK Students'!Q:Q, TRIM('CBK Students'!B:B) = TRIM(A611)),
  """"
)"),"#REF!")</f>
        <v>#REF!</v>
      </c>
    </row>
    <row r="612" ht="18.75" customHeight="1">
      <c r="T612" s="240" t="str">
        <f>IFERROR(__xludf.DUMMYFUNCTION("IFERROR(
  FILTER('CBK Students'!F:F, TRIM('CBK Students'!B:B) = TRIM(A612)),
  """"
)"),"#REF!")</f>
        <v>#REF!</v>
      </c>
      <c r="U612" s="240" t="str">
        <f>IFERROR(__xludf.DUMMYFUNCTION("IFERROR(
  FILTER('CBK Students'!H:H, TRIM('CBK Students'!B:B) = TRIM(A612)),
  """"
)"),"#REF!")</f>
        <v>#REF!</v>
      </c>
      <c r="V612" s="240" t="str">
        <f>IFERROR(__xludf.DUMMYFUNCTION("IFERROR(
  FILTER('CBK Students'!M:M, TRIM('CBK Students'!B:B) = TRIM(A612)),
  """"
)"),"#REF!")</f>
        <v>#REF!</v>
      </c>
      <c r="W612" s="240" t="str">
        <f t="shared" si="1"/>
        <v/>
      </c>
      <c r="X612" s="240" t="str">
        <f>IFERROR(__xludf.DUMMYFUNCTION("IFERROR(
  FILTER('CBK Students'!R:R, TRIM('CBK Students'!B:B) = TRIM(A612)),
  """"
)"),"#REF!")</f>
        <v>#REF!</v>
      </c>
      <c r="Y612" s="4" t="str">
        <f t="shared" si="2"/>
        <v/>
      </c>
      <c r="Z612" s="4" t="str">
        <f>IFERROR(__xludf.DUMMYFUNCTION("IFERROR(
  FILTER('CBK Students'!O:O, TRIM('CBK Students'!B:B) = TRIM(A612)),
  """"
)"),"#REF!")</f>
        <v>#REF!</v>
      </c>
      <c r="AA612" s="4" t="str">
        <f>IFERROR(__xludf.DUMMYFUNCTION("IFERROR(
  FILTER('CBK Students'!P:P, TRIM('CBK Students'!B:B) = TRIM(A612)),
  """"
)"),"#REF!")</f>
        <v>#REF!</v>
      </c>
      <c r="AB612" s="4" t="str">
        <f>IFERROR(__xludf.DUMMYFUNCTION("IFERROR(
  FILTER('CBK Students'!Q:Q, TRIM('CBK Students'!B:B) = TRIM(A612)),
  """"
)"),"#REF!")</f>
        <v>#REF!</v>
      </c>
    </row>
    <row r="613" ht="18.75" customHeight="1">
      <c r="T613" s="240" t="str">
        <f>IFERROR(__xludf.DUMMYFUNCTION("IFERROR(
  FILTER('CBK Students'!F:F, TRIM('CBK Students'!B:B) = TRIM(A613)),
  """"
)"),"#REF!")</f>
        <v>#REF!</v>
      </c>
      <c r="U613" s="240" t="str">
        <f>IFERROR(__xludf.DUMMYFUNCTION("IFERROR(
  FILTER('CBK Students'!H:H, TRIM('CBK Students'!B:B) = TRIM(A613)),
  """"
)"),"#REF!")</f>
        <v>#REF!</v>
      </c>
      <c r="V613" s="240" t="str">
        <f>IFERROR(__xludf.DUMMYFUNCTION("IFERROR(
  FILTER('CBK Students'!M:M, TRIM('CBK Students'!B:B) = TRIM(A613)),
  """"
)"),"#REF!")</f>
        <v>#REF!</v>
      </c>
      <c r="W613" s="240" t="str">
        <f t="shared" si="1"/>
        <v/>
      </c>
      <c r="X613" s="240" t="str">
        <f>IFERROR(__xludf.DUMMYFUNCTION("IFERROR(
  FILTER('CBK Students'!R:R, TRIM('CBK Students'!B:B) = TRIM(A613)),
  """"
)"),"#REF!")</f>
        <v>#REF!</v>
      </c>
      <c r="Y613" s="4" t="str">
        <f t="shared" si="2"/>
        <v/>
      </c>
      <c r="Z613" s="4" t="str">
        <f>IFERROR(__xludf.DUMMYFUNCTION("IFERROR(
  FILTER('CBK Students'!O:O, TRIM('CBK Students'!B:B) = TRIM(A613)),
  """"
)"),"#REF!")</f>
        <v>#REF!</v>
      </c>
      <c r="AA613" s="4" t="str">
        <f>IFERROR(__xludf.DUMMYFUNCTION("IFERROR(
  FILTER('CBK Students'!P:P, TRIM('CBK Students'!B:B) = TRIM(A613)),
  """"
)"),"#REF!")</f>
        <v>#REF!</v>
      </c>
      <c r="AB613" s="4" t="str">
        <f>IFERROR(__xludf.DUMMYFUNCTION("IFERROR(
  FILTER('CBK Students'!Q:Q, TRIM('CBK Students'!B:B) = TRIM(A613)),
  """"
)"),"#REF!")</f>
        <v>#REF!</v>
      </c>
    </row>
    <row r="614" ht="18.75" customHeight="1">
      <c r="T614" s="240" t="str">
        <f>IFERROR(__xludf.DUMMYFUNCTION("IFERROR(
  FILTER('CBK Students'!F:F, TRIM('CBK Students'!B:B) = TRIM(A614)),
  """"
)"),"#REF!")</f>
        <v>#REF!</v>
      </c>
      <c r="U614" s="240" t="str">
        <f>IFERROR(__xludf.DUMMYFUNCTION("IFERROR(
  FILTER('CBK Students'!H:H, TRIM('CBK Students'!B:B) = TRIM(A614)),
  """"
)"),"#REF!")</f>
        <v>#REF!</v>
      </c>
      <c r="V614" s="240" t="str">
        <f>IFERROR(__xludf.DUMMYFUNCTION("IFERROR(
  FILTER('CBK Students'!M:M, TRIM('CBK Students'!B:B) = TRIM(A614)),
  """"
)"),"#REF!")</f>
        <v>#REF!</v>
      </c>
      <c r="W614" s="240" t="str">
        <f t="shared" si="1"/>
        <v/>
      </c>
      <c r="X614" s="240" t="str">
        <f>IFERROR(__xludf.DUMMYFUNCTION("IFERROR(
  FILTER('CBK Students'!R:R, TRIM('CBK Students'!B:B) = TRIM(A614)),
  """"
)"),"#REF!")</f>
        <v>#REF!</v>
      </c>
      <c r="Y614" s="4" t="str">
        <f t="shared" si="2"/>
        <v/>
      </c>
      <c r="Z614" s="4" t="str">
        <f>IFERROR(__xludf.DUMMYFUNCTION("IFERROR(
  FILTER('CBK Students'!O:O, TRIM('CBK Students'!B:B) = TRIM(A614)),
  """"
)"),"#REF!")</f>
        <v>#REF!</v>
      </c>
      <c r="AA614" s="4" t="str">
        <f>IFERROR(__xludf.DUMMYFUNCTION("IFERROR(
  FILTER('CBK Students'!P:P, TRIM('CBK Students'!B:B) = TRIM(A614)),
  """"
)"),"#REF!")</f>
        <v>#REF!</v>
      </c>
      <c r="AB614" s="4" t="str">
        <f>IFERROR(__xludf.DUMMYFUNCTION("IFERROR(
  FILTER('CBK Students'!Q:Q, TRIM('CBK Students'!B:B) = TRIM(A614)),
  """"
)"),"#REF!")</f>
        <v>#REF!</v>
      </c>
    </row>
    <row r="615" ht="18.75" customHeight="1">
      <c r="T615" s="240" t="str">
        <f>IFERROR(__xludf.DUMMYFUNCTION("IFERROR(
  FILTER('CBK Students'!F:F, TRIM('CBK Students'!B:B) = TRIM(A615)),
  """"
)"),"#REF!")</f>
        <v>#REF!</v>
      </c>
      <c r="U615" s="240" t="str">
        <f>IFERROR(__xludf.DUMMYFUNCTION("IFERROR(
  FILTER('CBK Students'!H:H, TRIM('CBK Students'!B:B) = TRIM(A615)),
  """"
)"),"#REF!")</f>
        <v>#REF!</v>
      </c>
      <c r="V615" s="240" t="str">
        <f>IFERROR(__xludf.DUMMYFUNCTION("IFERROR(
  FILTER('CBK Students'!M:M, TRIM('CBK Students'!B:B) = TRIM(A615)),
  """"
)"),"#REF!")</f>
        <v>#REF!</v>
      </c>
      <c r="W615" s="240" t="str">
        <f t="shared" si="1"/>
        <v/>
      </c>
      <c r="X615" s="240" t="str">
        <f>IFERROR(__xludf.DUMMYFUNCTION("IFERROR(
  FILTER('CBK Students'!R:R, TRIM('CBK Students'!B:B) = TRIM(A615)),
  """"
)"),"#REF!")</f>
        <v>#REF!</v>
      </c>
      <c r="Y615" s="4" t="str">
        <f t="shared" si="2"/>
        <v/>
      </c>
      <c r="Z615" s="4" t="str">
        <f>IFERROR(__xludf.DUMMYFUNCTION("IFERROR(
  FILTER('CBK Students'!O:O, TRIM('CBK Students'!B:B) = TRIM(A615)),
  """"
)"),"#REF!")</f>
        <v>#REF!</v>
      </c>
      <c r="AA615" s="4" t="str">
        <f>IFERROR(__xludf.DUMMYFUNCTION("IFERROR(
  FILTER('CBK Students'!P:P, TRIM('CBK Students'!B:B) = TRIM(A615)),
  """"
)"),"#REF!")</f>
        <v>#REF!</v>
      </c>
      <c r="AB615" s="4" t="str">
        <f>IFERROR(__xludf.DUMMYFUNCTION("IFERROR(
  FILTER('CBK Students'!Q:Q, TRIM('CBK Students'!B:B) = TRIM(A615)),
  """"
)"),"#REF!")</f>
        <v>#REF!</v>
      </c>
    </row>
    <row r="616" ht="18.75" customHeight="1">
      <c r="T616" s="240" t="str">
        <f>IFERROR(__xludf.DUMMYFUNCTION("IFERROR(
  FILTER('CBK Students'!F:F, TRIM('CBK Students'!B:B) = TRIM(A616)),
  """"
)"),"#REF!")</f>
        <v>#REF!</v>
      </c>
      <c r="U616" s="240" t="str">
        <f>IFERROR(__xludf.DUMMYFUNCTION("IFERROR(
  FILTER('CBK Students'!H:H, TRIM('CBK Students'!B:B) = TRIM(A616)),
  """"
)"),"#REF!")</f>
        <v>#REF!</v>
      </c>
      <c r="V616" s="240" t="str">
        <f>IFERROR(__xludf.DUMMYFUNCTION("IFERROR(
  FILTER('CBK Students'!M:M, TRIM('CBK Students'!B:B) = TRIM(A616)),
  """"
)"),"#REF!")</f>
        <v>#REF!</v>
      </c>
      <c r="W616" s="240" t="str">
        <f t="shared" si="1"/>
        <v/>
      </c>
      <c r="X616" s="240" t="str">
        <f>IFERROR(__xludf.DUMMYFUNCTION("IFERROR(
  FILTER('CBK Students'!R:R, TRIM('CBK Students'!B:B) = TRIM(A616)),
  """"
)"),"#REF!")</f>
        <v>#REF!</v>
      </c>
      <c r="Y616" s="4" t="str">
        <f t="shared" si="2"/>
        <v/>
      </c>
      <c r="Z616" s="4" t="str">
        <f>IFERROR(__xludf.DUMMYFUNCTION("IFERROR(
  FILTER('CBK Students'!O:O, TRIM('CBK Students'!B:B) = TRIM(A616)),
  """"
)"),"#REF!")</f>
        <v>#REF!</v>
      </c>
      <c r="AA616" s="4" t="str">
        <f>IFERROR(__xludf.DUMMYFUNCTION("IFERROR(
  FILTER('CBK Students'!P:P, TRIM('CBK Students'!B:B) = TRIM(A616)),
  """"
)"),"#REF!")</f>
        <v>#REF!</v>
      </c>
      <c r="AB616" s="4" t="str">
        <f>IFERROR(__xludf.DUMMYFUNCTION("IFERROR(
  FILTER('CBK Students'!Q:Q, TRIM('CBK Students'!B:B) = TRIM(A616)),
  """"
)"),"#REF!")</f>
        <v>#REF!</v>
      </c>
    </row>
    <row r="617" ht="18.75" customHeight="1">
      <c r="T617" s="240" t="str">
        <f>IFERROR(__xludf.DUMMYFUNCTION("IFERROR(
  FILTER('CBK Students'!F:F, TRIM('CBK Students'!B:B) = TRIM(A617)),
  """"
)"),"#REF!")</f>
        <v>#REF!</v>
      </c>
      <c r="U617" s="240" t="str">
        <f>IFERROR(__xludf.DUMMYFUNCTION("IFERROR(
  FILTER('CBK Students'!H:H, TRIM('CBK Students'!B:B) = TRIM(A617)),
  """"
)"),"#REF!")</f>
        <v>#REF!</v>
      </c>
      <c r="V617" s="240" t="str">
        <f>IFERROR(__xludf.DUMMYFUNCTION("IFERROR(
  FILTER('CBK Students'!M:M, TRIM('CBK Students'!B:B) = TRIM(A617)),
  """"
)"),"#REF!")</f>
        <v>#REF!</v>
      </c>
      <c r="W617" s="240" t="str">
        <f t="shared" si="1"/>
        <v/>
      </c>
      <c r="X617" s="240" t="str">
        <f>IFERROR(__xludf.DUMMYFUNCTION("IFERROR(
  FILTER('CBK Students'!R:R, TRIM('CBK Students'!B:B) = TRIM(A617)),
  """"
)"),"#REF!")</f>
        <v>#REF!</v>
      </c>
      <c r="Y617" s="4" t="str">
        <f t="shared" si="2"/>
        <v/>
      </c>
      <c r="Z617" s="4" t="str">
        <f>IFERROR(__xludf.DUMMYFUNCTION("IFERROR(
  FILTER('CBK Students'!O:O, TRIM('CBK Students'!B:B) = TRIM(A617)),
  """"
)"),"#REF!")</f>
        <v>#REF!</v>
      </c>
      <c r="AA617" s="4" t="str">
        <f>IFERROR(__xludf.DUMMYFUNCTION("IFERROR(
  FILTER('CBK Students'!P:P, TRIM('CBK Students'!B:B) = TRIM(A617)),
  """"
)"),"#REF!")</f>
        <v>#REF!</v>
      </c>
      <c r="AB617" s="4" t="str">
        <f>IFERROR(__xludf.DUMMYFUNCTION("IFERROR(
  FILTER('CBK Students'!Q:Q, TRIM('CBK Students'!B:B) = TRIM(A617)),
  """"
)"),"#REF!")</f>
        <v>#REF!</v>
      </c>
    </row>
    <row r="618" ht="18.75" customHeight="1">
      <c r="T618" s="240" t="str">
        <f>IFERROR(__xludf.DUMMYFUNCTION("IFERROR(
  FILTER('CBK Students'!F:F, TRIM('CBK Students'!B:B) = TRIM(A618)),
  """"
)"),"#REF!")</f>
        <v>#REF!</v>
      </c>
      <c r="U618" s="240" t="str">
        <f>IFERROR(__xludf.DUMMYFUNCTION("IFERROR(
  FILTER('CBK Students'!H:H, TRIM('CBK Students'!B:B) = TRIM(A618)),
  """"
)"),"#REF!")</f>
        <v>#REF!</v>
      </c>
      <c r="V618" s="240" t="str">
        <f>IFERROR(__xludf.DUMMYFUNCTION("IFERROR(
  FILTER('CBK Students'!M:M, TRIM('CBK Students'!B:B) = TRIM(A618)),
  """"
)"),"#REF!")</f>
        <v>#REF!</v>
      </c>
      <c r="W618" s="240" t="str">
        <f t="shared" si="1"/>
        <v/>
      </c>
      <c r="X618" s="240" t="str">
        <f>IFERROR(__xludf.DUMMYFUNCTION("IFERROR(
  FILTER('CBK Students'!R:R, TRIM('CBK Students'!B:B) = TRIM(A618)),
  """"
)"),"#REF!")</f>
        <v>#REF!</v>
      </c>
      <c r="Y618" s="4" t="str">
        <f t="shared" si="2"/>
        <v/>
      </c>
      <c r="Z618" s="4" t="str">
        <f>IFERROR(__xludf.DUMMYFUNCTION("IFERROR(
  FILTER('CBK Students'!O:O, TRIM('CBK Students'!B:B) = TRIM(A618)),
  """"
)"),"#REF!")</f>
        <v>#REF!</v>
      </c>
      <c r="AA618" s="4" t="str">
        <f>IFERROR(__xludf.DUMMYFUNCTION("IFERROR(
  FILTER('CBK Students'!P:P, TRIM('CBK Students'!B:B) = TRIM(A618)),
  """"
)"),"#REF!")</f>
        <v>#REF!</v>
      </c>
      <c r="AB618" s="4" t="str">
        <f>IFERROR(__xludf.DUMMYFUNCTION("IFERROR(
  FILTER('CBK Students'!Q:Q, TRIM('CBK Students'!B:B) = TRIM(A618)),
  """"
)"),"#REF!")</f>
        <v>#REF!</v>
      </c>
    </row>
    <row r="619" ht="18.75" customHeight="1">
      <c r="T619" s="240" t="str">
        <f>IFERROR(__xludf.DUMMYFUNCTION("IFERROR(
  FILTER('CBK Students'!F:F, TRIM('CBK Students'!B:B) = TRIM(A619)),
  """"
)"),"#REF!")</f>
        <v>#REF!</v>
      </c>
      <c r="U619" s="240" t="str">
        <f>IFERROR(__xludf.DUMMYFUNCTION("IFERROR(
  FILTER('CBK Students'!H:H, TRIM('CBK Students'!B:B) = TRIM(A619)),
  """"
)"),"#REF!")</f>
        <v>#REF!</v>
      </c>
      <c r="V619" s="240" t="str">
        <f>IFERROR(__xludf.DUMMYFUNCTION("IFERROR(
  FILTER('CBK Students'!M:M, TRIM('CBK Students'!B:B) = TRIM(A619)),
  """"
)"),"#REF!")</f>
        <v>#REF!</v>
      </c>
      <c r="W619" s="240" t="str">
        <f t="shared" si="1"/>
        <v/>
      </c>
      <c r="X619" s="240" t="str">
        <f>IFERROR(__xludf.DUMMYFUNCTION("IFERROR(
  FILTER('CBK Students'!R:R, TRIM('CBK Students'!B:B) = TRIM(A619)),
  """"
)"),"#REF!")</f>
        <v>#REF!</v>
      </c>
      <c r="Y619" s="4" t="str">
        <f t="shared" si="2"/>
        <v/>
      </c>
      <c r="Z619" s="4" t="str">
        <f>IFERROR(__xludf.DUMMYFUNCTION("IFERROR(
  FILTER('CBK Students'!O:O, TRIM('CBK Students'!B:B) = TRIM(A619)),
  """"
)"),"#REF!")</f>
        <v>#REF!</v>
      </c>
      <c r="AA619" s="4" t="str">
        <f>IFERROR(__xludf.DUMMYFUNCTION("IFERROR(
  FILTER('CBK Students'!P:P, TRIM('CBK Students'!B:B) = TRIM(A619)),
  """"
)"),"#REF!")</f>
        <v>#REF!</v>
      </c>
      <c r="AB619" s="4" t="str">
        <f>IFERROR(__xludf.DUMMYFUNCTION("IFERROR(
  FILTER('CBK Students'!Q:Q, TRIM('CBK Students'!B:B) = TRIM(A619)),
  """"
)"),"#REF!")</f>
        <v>#REF!</v>
      </c>
    </row>
    <row r="620" ht="18.75" customHeight="1">
      <c r="T620" s="240" t="str">
        <f>IFERROR(__xludf.DUMMYFUNCTION("IFERROR(
  FILTER('CBK Students'!F:F, TRIM('CBK Students'!B:B) = TRIM(A620)),
  """"
)"),"#REF!")</f>
        <v>#REF!</v>
      </c>
      <c r="U620" s="240" t="str">
        <f>IFERROR(__xludf.DUMMYFUNCTION("IFERROR(
  FILTER('CBK Students'!H:H, TRIM('CBK Students'!B:B) = TRIM(A620)),
  """"
)"),"#REF!")</f>
        <v>#REF!</v>
      </c>
      <c r="V620" s="240" t="str">
        <f>IFERROR(__xludf.DUMMYFUNCTION("IFERROR(
  FILTER('CBK Students'!M:M, TRIM('CBK Students'!B:B) = TRIM(A620)),
  """"
)"),"#REF!")</f>
        <v>#REF!</v>
      </c>
      <c r="W620" s="240" t="str">
        <f t="shared" si="1"/>
        <v/>
      </c>
      <c r="X620" s="240" t="str">
        <f>IFERROR(__xludf.DUMMYFUNCTION("IFERROR(
  FILTER('CBK Students'!R:R, TRIM('CBK Students'!B:B) = TRIM(A620)),
  """"
)"),"#REF!")</f>
        <v>#REF!</v>
      </c>
      <c r="Y620" s="4" t="str">
        <f t="shared" si="2"/>
        <v/>
      </c>
      <c r="Z620" s="4" t="str">
        <f>IFERROR(__xludf.DUMMYFUNCTION("IFERROR(
  FILTER('CBK Students'!O:O, TRIM('CBK Students'!B:B) = TRIM(A620)),
  """"
)"),"#REF!")</f>
        <v>#REF!</v>
      </c>
      <c r="AA620" s="4" t="str">
        <f>IFERROR(__xludf.DUMMYFUNCTION("IFERROR(
  FILTER('CBK Students'!P:P, TRIM('CBK Students'!B:B) = TRIM(A620)),
  """"
)"),"#REF!")</f>
        <v>#REF!</v>
      </c>
      <c r="AB620" s="4" t="str">
        <f>IFERROR(__xludf.DUMMYFUNCTION("IFERROR(
  FILTER('CBK Students'!Q:Q, TRIM('CBK Students'!B:B) = TRIM(A620)),
  """"
)"),"#REF!")</f>
        <v>#REF!</v>
      </c>
    </row>
    <row r="621" ht="18.75" customHeight="1">
      <c r="T621" s="240" t="str">
        <f>IFERROR(__xludf.DUMMYFUNCTION("IFERROR(
  FILTER('CBK Students'!F:F, TRIM('CBK Students'!B:B) = TRIM(A621)),
  """"
)"),"#REF!")</f>
        <v>#REF!</v>
      </c>
      <c r="U621" s="240" t="str">
        <f>IFERROR(__xludf.DUMMYFUNCTION("IFERROR(
  FILTER('CBK Students'!H:H, TRIM('CBK Students'!B:B) = TRIM(A621)),
  """"
)"),"#REF!")</f>
        <v>#REF!</v>
      </c>
      <c r="V621" s="240" t="str">
        <f>IFERROR(__xludf.DUMMYFUNCTION("IFERROR(
  FILTER('CBK Students'!M:M, TRIM('CBK Students'!B:B) = TRIM(A621)),
  """"
)"),"#REF!")</f>
        <v>#REF!</v>
      </c>
      <c r="W621" s="240" t="str">
        <f t="shared" si="1"/>
        <v/>
      </c>
      <c r="X621" s="240" t="str">
        <f>IFERROR(__xludf.DUMMYFUNCTION("IFERROR(
  FILTER('CBK Students'!R:R, TRIM('CBK Students'!B:B) = TRIM(A621)),
  """"
)"),"#REF!")</f>
        <v>#REF!</v>
      </c>
      <c r="Y621" s="4" t="str">
        <f t="shared" si="2"/>
        <v/>
      </c>
      <c r="Z621" s="4" t="str">
        <f>IFERROR(__xludf.DUMMYFUNCTION("IFERROR(
  FILTER('CBK Students'!O:O, TRIM('CBK Students'!B:B) = TRIM(A621)),
  """"
)"),"#REF!")</f>
        <v>#REF!</v>
      </c>
      <c r="AA621" s="4" t="str">
        <f>IFERROR(__xludf.DUMMYFUNCTION("IFERROR(
  FILTER('CBK Students'!P:P, TRIM('CBK Students'!B:B) = TRIM(A621)),
  """"
)"),"#REF!")</f>
        <v>#REF!</v>
      </c>
      <c r="AB621" s="4" t="str">
        <f>IFERROR(__xludf.DUMMYFUNCTION("IFERROR(
  FILTER('CBK Students'!Q:Q, TRIM('CBK Students'!B:B) = TRIM(A621)),
  """"
)"),"#REF!")</f>
        <v>#REF!</v>
      </c>
    </row>
    <row r="622" ht="18.75" customHeight="1">
      <c r="T622" s="240" t="str">
        <f>IFERROR(__xludf.DUMMYFUNCTION("IFERROR(
  FILTER('CBK Students'!F:F, TRIM('CBK Students'!B:B) = TRIM(A622)),
  """"
)"),"#REF!")</f>
        <v>#REF!</v>
      </c>
      <c r="U622" s="240" t="str">
        <f>IFERROR(__xludf.DUMMYFUNCTION("IFERROR(
  FILTER('CBK Students'!H:H, TRIM('CBK Students'!B:B) = TRIM(A622)),
  """"
)"),"#REF!")</f>
        <v>#REF!</v>
      </c>
      <c r="V622" s="240" t="str">
        <f>IFERROR(__xludf.DUMMYFUNCTION("IFERROR(
  FILTER('CBK Students'!M:M, TRIM('CBK Students'!B:B) = TRIM(A622)),
  """"
)"),"#REF!")</f>
        <v>#REF!</v>
      </c>
      <c r="W622" s="240" t="str">
        <f t="shared" si="1"/>
        <v/>
      </c>
      <c r="X622" s="240" t="str">
        <f>IFERROR(__xludf.DUMMYFUNCTION("IFERROR(
  FILTER('CBK Students'!R:R, TRIM('CBK Students'!B:B) = TRIM(A622)),
  """"
)"),"#REF!")</f>
        <v>#REF!</v>
      </c>
      <c r="Y622" s="4" t="str">
        <f t="shared" si="2"/>
        <v/>
      </c>
      <c r="Z622" s="4" t="str">
        <f>IFERROR(__xludf.DUMMYFUNCTION("IFERROR(
  FILTER('CBK Students'!O:O, TRIM('CBK Students'!B:B) = TRIM(A622)),
  """"
)"),"#REF!")</f>
        <v>#REF!</v>
      </c>
      <c r="AA622" s="4" t="str">
        <f>IFERROR(__xludf.DUMMYFUNCTION("IFERROR(
  FILTER('CBK Students'!P:P, TRIM('CBK Students'!B:B) = TRIM(A622)),
  """"
)"),"#REF!")</f>
        <v>#REF!</v>
      </c>
      <c r="AB622" s="4" t="str">
        <f>IFERROR(__xludf.DUMMYFUNCTION("IFERROR(
  FILTER('CBK Students'!Q:Q, TRIM('CBK Students'!B:B) = TRIM(A622)),
  """"
)"),"#REF!")</f>
        <v>#REF!</v>
      </c>
    </row>
    <row r="623" ht="18.75" customHeight="1">
      <c r="T623" s="240" t="str">
        <f>IFERROR(__xludf.DUMMYFUNCTION("IFERROR(
  FILTER('CBK Students'!F:F, TRIM('CBK Students'!B:B) = TRIM(A623)),
  """"
)"),"#REF!")</f>
        <v>#REF!</v>
      </c>
      <c r="U623" s="240" t="str">
        <f>IFERROR(__xludf.DUMMYFUNCTION("IFERROR(
  FILTER('CBK Students'!H:H, TRIM('CBK Students'!B:B) = TRIM(A623)),
  """"
)"),"#REF!")</f>
        <v>#REF!</v>
      </c>
      <c r="V623" s="240" t="str">
        <f>IFERROR(__xludf.DUMMYFUNCTION("IFERROR(
  FILTER('CBK Students'!M:M, TRIM('CBK Students'!B:B) = TRIM(A623)),
  """"
)"),"#REF!")</f>
        <v>#REF!</v>
      </c>
      <c r="W623" s="240" t="str">
        <f t="shared" si="1"/>
        <v/>
      </c>
      <c r="X623" s="240" t="str">
        <f>IFERROR(__xludf.DUMMYFUNCTION("IFERROR(
  FILTER('CBK Students'!R:R, TRIM('CBK Students'!B:B) = TRIM(A623)),
  """"
)"),"#REF!")</f>
        <v>#REF!</v>
      </c>
      <c r="Y623" s="4" t="str">
        <f t="shared" si="2"/>
        <v/>
      </c>
      <c r="Z623" s="4" t="str">
        <f>IFERROR(__xludf.DUMMYFUNCTION("IFERROR(
  FILTER('CBK Students'!O:O, TRIM('CBK Students'!B:B) = TRIM(A623)),
  """"
)"),"#REF!")</f>
        <v>#REF!</v>
      </c>
      <c r="AA623" s="4" t="str">
        <f>IFERROR(__xludf.DUMMYFUNCTION("IFERROR(
  FILTER('CBK Students'!P:P, TRIM('CBK Students'!B:B) = TRIM(A623)),
  """"
)"),"#REF!")</f>
        <v>#REF!</v>
      </c>
      <c r="AB623" s="4" t="str">
        <f>IFERROR(__xludf.DUMMYFUNCTION("IFERROR(
  FILTER('CBK Students'!Q:Q, TRIM('CBK Students'!B:B) = TRIM(A623)),
  """"
)"),"#REF!")</f>
        <v>#REF!</v>
      </c>
    </row>
    <row r="624" ht="18.75" customHeight="1">
      <c r="T624" s="240" t="str">
        <f>IFERROR(__xludf.DUMMYFUNCTION("IFERROR(
  FILTER('CBK Students'!F:F, TRIM('CBK Students'!B:B) = TRIM(A624)),
  """"
)"),"#REF!")</f>
        <v>#REF!</v>
      </c>
      <c r="U624" s="240" t="str">
        <f>IFERROR(__xludf.DUMMYFUNCTION("IFERROR(
  FILTER('CBK Students'!H:H, TRIM('CBK Students'!B:B) = TRIM(A624)),
  """"
)"),"#REF!")</f>
        <v>#REF!</v>
      </c>
      <c r="V624" s="240" t="str">
        <f>IFERROR(__xludf.DUMMYFUNCTION("IFERROR(
  FILTER('CBK Students'!M:M, TRIM('CBK Students'!B:B) = TRIM(A624)),
  """"
)"),"#REF!")</f>
        <v>#REF!</v>
      </c>
      <c r="W624" s="240" t="str">
        <f t="shared" si="1"/>
        <v/>
      </c>
      <c r="X624" s="240" t="str">
        <f>IFERROR(__xludf.DUMMYFUNCTION("IFERROR(
  FILTER('CBK Students'!R:R, TRIM('CBK Students'!B:B) = TRIM(A624)),
  """"
)"),"#REF!")</f>
        <v>#REF!</v>
      </c>
      <c r="Y624" s="4" t="str">
        <f t="shared" si="2"/>
        <v/>
      </c>
      <c r="Z624" s="4" t="str">
        <f>IFERROR(__xludf.DUMMYFUNCTION("IFERROR(
  FILTER('CBK Students'!O:O, TRIM('CBK Students'!B:B) = TRIM(A624)),
  """"
)"),"#REF!")</f>
        <v>#REF!</v>
      </c>
      <c r="AA624" s="4" t="str">
        <f>IFERROR(__xludf.DUMMYFUNCTION("IFERROR(
  FILTER('CBK Students'!P:P, TRIM('CBK Students'!B:B) = TRIM(A624)),
  """"
)"),"#REF!")</f>
        <v>#REF!</v>
      </c>
      <c r="AB624" s="4" t="str">
        <f>IFERROR(__xludf.DUMMYFUNCTION("IFERROR(
  FILTER('CBK Students'!Q:Q, TRIM('CBK Students'!B:B) = TRIM(A624)),
  """"
)"),"#REF!")</f>
        <v>#REF!</v>
      </c>
    </row>
    <row r="625" ht="18.75" customHeight="1">
      <c r="T625" s="240" t="str">
        <f>IFERROR(__xludf.DUMMYFUNCTION("IFERROR(
  FILTER('CBK Students'!F:F, TRIM('CBK Students'!B:B) = TRIM(A625)),
  """"
)"),"#REF!")</f>
        <v>#REF!</v>
      </c>
      <c r="U625" s="240" t="str">
        <f>IFERROR(__xludf.DUMMYFUNCTION("IFERROR(
  FILTER('CBK Students'!H:H, TRIM('CBK Students'!B:B) = TRIM(A625)),
  """"
)"),"#REF!")</f>
        <v>#REF!</v>
      </c>
      <c r="V625" s="240" t="str">
        <f>IFERROR(__xludf.DUMMYFUNCTION("IFERROR(
  FILTER('CBK Students'!M:M, TRIM('CBK Students'!B:B) = TRIM(A625)),
  """"
)"),"#REF!")</f>
        <v>#REF!</v>
      </c>
      <c r="W625" s="240" t="str">
        <f t="shared" si="1"/>
        <v/>
      </c>
      <c r="X625" s="240" t="str">
        <f>IFERROR(__xludf.DUMMYFUNCTION("IFERROR(
  FILTER('CBK Students'!R:R, TRIM('CBK Students'!B:B) = TRIM(A625)),
  """"
)"),"#REF!")</f>
        <v>#REF!</v>
      </c>
      <c r="Y625" s="4" t="str">
        <f t="shared" si="2"/>
        <v/>
      </c>
      <c r="Z625" s="4" t="str">
        <f>IFERROR(__xludf.DUMMYFUNCTION("IFERROR(
  FILTER('CBK Students'!O:O, TRIM('CBK Students'!B:B) = TRIM(A625)),
  """"
)"),"#REF!")</f>
        <v>#REF!</v>
      </c>
      <c r="AA625" s="4" t="str">
        <f>IFERROR(__xludf.DUMMYFUNCTION("IFERROR(
  FILTER('CBK Students'!P:P, TRIM('CBK Students'!B:B) = TRIM(A625)),
  """"
)"),"#REF!")</f>
        <v>#REF!</v>
      </c>
      <c r="AB625" s="4" t="str">
        <f>IFERROR(__xludf.DUMMYFUNCTION("IFERROR(
  FILTER('CBK Students'!Q:Q, TRIM('CBK Students'!B:B) = TRIM(A625)),
  """"
)"),"#REF!")</f>
        <v>#REF!</v>
      </c>
    </row>
    <row r="626" ht="18.75" customHeight="1">
      <c r="T626" s="240" t="str">
        <f>IFERROR(__xludf.DUMMYFUNCTION("IFERROR(
  FILTER('CBK Students'!F:F, TRIM('CBK Students'!B:B) = TRIM(A626)),
  """"
)"),"#REF!")</f>
        <v>#REF!</v>
      </c>
      <c r="U626" s="240" t="str">
        <f>IFERROR(__xludf.DUMMYFUNCTION("IFERROR(
  FILTER('CBK Students'!H:H, TRIM('CBK Students'!B:B) = TRIM(A626)),
  """"
)"),"#REF!")</f>
        <v>#REF!</v>
      </c>
      <c r="V626" s="240" t="str">
        <f>IFERROR(__xludf.DUMMYFUNCTION("IFERROR(
  FILTER('CBK Students'!M:M, TRIM('CBK Students'!B:B) = TRIM(A626)),
  """"
)"),"#REF!")</f>
        <v>#REF!</v>
      </c>
      <c r="W626" s="240" t="str">
        <f t="shared" si="1"/>
        <v/>
      </c>
      <c r="X626" s="240" t="str">
        <f>IFERROR(__xludf.DUMMYFUNCTION("IFERROR(
  FILTER('CBK Students'!R:R, TRIM('CBK Students'!B:B) = TRIM(A626)),
  """"
)"),"#REF!")</f>
        <v>#REF!</v>
      </c>
      <c r="Y626" s="4" t="str">
        <f t="shared" si="2"/>
        <v/>
      </c>
      <c r="Z626" s="4" t="str">
        <f>IFERROR(__xludf.DUMMYFUNCTION("IFERROR(
  FILTER('CBK Students'!O:O, TRIM('CBK Students'!B:B) = TRIM(A626)),
  """"
)"),"#REF!")</f>
        <v>#REF!</v>
      </c>
      <c r="AA626" s="4" t="str">
        <f>IFERROR(__xludf.DUMMYFUNCTION("IFERROR(
  FILTER('CBK Students'!P:P, TRIM('CBK Students'!B:B) = TRIM(A626)),
  """"
)"),"#REF!")</f>
        <v>#REF!</v>
      </c>
      <c r="AB626" s="4" t="str">
        <f>IFERROR(__xludf.DUMMYFUNCTION("IFERROR(
  FILTER('CBK Students'!Q:Q, TRIM('CBK Students'!B:B) = TRIM(A626)),
  """"
)"),"#REF!")</f>
        <v>#REF!</v>
      </c>
    </row>
    <row r="627" ht="18.75" customHeight="1">
      <c r="T627" s="240" t="str">
        <f>IFERROR(__xludf.DUMMYFUNCTION("IFERROR(
  FILTER('CBK Students'!F:F, TRIM('CBK Students'!B:B) = TRIM(A627)),
  """"
)"),"#REF!")</f>
        <v>#REF!</v>
      </c>
      <c r="U627" s="240" t="str">
        <f>IFERROR(__xludf.DUMMYFUNCTION("IFERROR(
  FILTER('CBK Students'!H:H, TRIM('CBK Students'!B:B) = TRIM(A627)),
  """"
)"),"#REF!")</f>
        <v>#REF!</v>
      </c>
      <c r="V627" s="240" t="str">
        <f>IFERROR(__xludf.DUMMYFUNCTION("IFERROR(
  FILTER('CBK Students'!M:M, TRIM('CBK Students'!B:B) = TRIM(A627)),
  """"
)"),"#REF!")</f>
        <v>#REF!</v>
      </c>
      <c r="W627" s="240" t="str">
        <f t="shared" si="1"/>
        <v/>
      </c>
      <c r="X627" s="240" t="str">
        <f>IFERROR(__xludf.DUMMYFUNCTION("IFERROR(
  FILTER('CBK Students'!R:R, TRIM('CBK Students'!B:B) = TRIM(A627)),
  """"
)"),"#REF!")</f>
        <v>#REF!</v>
      </c>
      <c r="Y627" s="4" t="str">
        <f t="shared" si="2"/>
        <v/>
      </c>
      <c r="Z627" s="4" t="str">
        <f>IFERROR(__xludf.DUMMYFUNCTION("IFERROR(
  FILTER('CBK Students'!O:O, TRIM('CBK Students'!B:B) = TRIM(A627)),
  """"
)"),"#REF!")</f>
        <v>#REF!</v>
      </c>
      <c r="AA627" s="4" t="str">
        <f>IFERROR(__xludf.DUMMYFUNCTION("IFERROR(
  FILTER('CBK Students'!P:P, TRIM('CBK Students'!B:B) = TRIM(A627)),
  """"
)"),"#REF!")</f>
        <v>#REF!</v>
      </c>
      <c r="AB627" s="4" t="str">
        <f>IFERROR(__xludf.DUMMYFUNCTION("IFERROR(
  FILTER('CBK Students'!Q:Q, TRIM('CBK Students'!B:B) = TRIM(A627)),
  """"
)"),"#REF!")</f>
        <v>#REF!</v>
      </c>
    </row>
    <row r="628" ht="18.75" customHeight="1">
      <c r="T628" s="240" t="str">
        <f>IFERROR(__xludf.DUMMYFUNCTION("IFERROR(
  FILTER('CBK Students'!F:F, TRIM('CBK Students'!B:B) = TRIM(A628)),
  """"
)"),"#REF!")</f>
        <v>#REF!</v>
      </c>
      <c r="U628" s="240" t="str">
        <f>IFERROR(__xludf.DUMMYFUNCTION("IFERROR(
  FILTER('CBK Students'!H:H, TRIM('CBK Students'!B:B) = TRIM(A628)),
  """"
)"),"#REF!")</f>
        <v>#REF!</v>
      </c>
      <c r="V628" s="240" t="str">
        <f>IFERROR(__xludf.DUMMYFUNCTION("IFERROR(
  FILTER('CBK Students'!M:M, TRIM('CBK Students'!B:B) = TRIM(A628)),
  """"
)"),"#REF!")</f>
        <v>#REF!</v>
      </c>
      <c r="W628" s="240" t="str">
        <f t="shared" si="1"/>
        <v/>
      </c>
      <c r="X628" s="240" t="str">
        <f>IFERROR(__xludf.DUMMYFUNCTION("IFERROR(
  FILTER('CBK Students'!R:R, TRIM('CBK Students'!B:B) = TRIM(A628)),
  """"
)"),"#REF!")</f>
        <v>#REF!</v>
      </c>
      <c r="Y628" s="4" t="str">
        <f t="shared" si="2"/>
        <v/>
      </c>
      <c r="Z628" s="4" t="str">
        <f>IFERROR(__xludf.DUMMYFUNCTION("IFERROR(
  FILTER('CBK Students'!O:O, TRIM('CBK Students'!B:B) = TRIM(A628)),
  """"
)"),"#REF!")</f>
        <v>#REF!</v>
      </c>
      <c r="AA628" s="4" t="str">
        <f>IFERROR(__xludf.DUMMYFUNCTION("IFERROR(
  FILTER('CBK Students'!P:P, TRIM('CBK Students'!B:B) = TRIM(A628)),
  """"
)"),"#REF!")</f>
        <v>#REF!</v>
      </c>
      <c r="AB628" s="4" t="str">
        <f>IFERROR(__xludf.DUMMYFUNCTION("IFERROR(
  FILTER('CBK Students'!Q:Q, TRIM('CBK Students'!B:B) = TRIM(A628)),
  """"
)"),"#REF!")</f>
        <v>#REF!</v>
      </c>
    </row>
    <row r="629" ht="18.75" customHeight="1">
      <c r="T629" s="240" t="str">
        <f>IFERROR(__xludf.DUMMYFUNCTION("IFERROR(
  FILTER('CBK Students'!F:F, TRIM('CBK Students'!B:B) = TRIM(A629)),
  """"
)"),"#REF!")</f>
        <v>#REF!</v>
      </c>
      <c r="U629" s="240" t="str">
        <f>IFERROR(__xludf.DUMMYFUNCTION("IFERROR(
  FILTER('CBK Students'!H:H, TRIM('CBK Students'!B:B) = TRIM(A629)),
  """"
)"),"#REF!")</f>
        <v>#REF!</v>
      </c>
      <c r="V629" s="240" t="str">
        <f>IFERROR(__xludf.DUMMYFUNCTION("IFERROR(
  FILTER('CBK Students'!M:M, TRIM('CBK Students'!B:B) = TRIM(A629)),
  """"
)"),"#REF!")</f>
        <v>#REF!</v>
      </c>
      <c r="W629" s="240" t="str">
        <f t="shared" si="1"/>
        <v/>
      </c>
      <c r="X629" s="240" t="str">
        <f>IFERROR(__xludf.DUMMYFUNCTION("IFERROR(
  FILTER('CBK Students'!R:R, TRIM('CBK Students'!B:B) = TRIM(A629)),
  """"
)"),"#REF!")</f>
        <v>#REF!</v>
      </c>
      <c r="Y629" s="4" t="str">
        <f t="shared" si="2"/>
        <v/>
      </c>
      <c r="Z629" s="4" t="str">
        <f>IFERROR(__xludf.DUMMYFUNCTION("IFERROR(
  FILTER('CBK Students'!O:O, TRIM('CBK Students'!B:B) = TRIM(A629)),
  """"
)"),"#REF!")</f>
        <v>#REF!</v>
      </c>
      <c r="AA629" s="4" t="str">
        <f>IFERROR(__xludf.DUMMYFUNCTION("IFERROR(
  FILTER('CBK Students'!P:P, TRIM('CBK Students'!B:B) = TRIM(A629)),
  """"
)"),"#REF!")</f>
        <v>#REF!</v>
      </c>
      <c r="AB629" s="4" t="str">
        <f>IFERROR(__xludf.DUMMYFUNCTION("IFERROR(
  FILTER('CBK Students'!Q:Q, TRIM('CBK Students'!B:B) = TRIM(A629)),
  """"
)"),"#REF!")</f>
        <v>#REF!</v>
      </c>
    </row>
    <row r="630" ht="18.75" customHeight="1">
      <c r="T630" s="240" t="str">
        <f>IFERROR(__xludf.DUMMYFUNCTION("IFERROR(
  FILTER('CBK Students'!F:F, TRIM('CBK Students'!B:B) = TRIM(A630)),
  """"
)"),"#REF!")</f>
        <v>#REF!</v>
      </c>
      <c r="U630" s="240" t="str">
        <f>IFERROR(__xludf.DUMMYFUNCTION("IFERROR(
  FILTER('CBK Students'!H:H, TRIM('CBK Students'!B:B) = TRIM(A630)),
  """"
)"),"#REF!")</f>
        <v>#REF!</v>
      </c>
      <c r="V630" s="240" t="str">
        <f>IFERROR(__xludf.DUMMYFUNCTION("IFERROR(
  FILTER('CBK Students'!M:M, TRIM('CBK Students'!B:B) = TRIM(A630)),
  """"
)"),"#REF!")</f>
        <v>#REF!</v>
      </c>
      <c r="W630" s="240" t="str">
        <f t="shared" si="1"/>
        <v/>
      </c>
      <c r="X630" s="240" t="str">
        <f>IFERROR(__xludf.DUMMYFUNCTION("IFERROR(
  FILTER('CBK Students'!R:R, TRIM('CBK Students'!B:B) = TRIM(A630)),
  """"
)"),"#REF!")</f>
        <v>#REF!</v>
      </c>
      <c r="Y630" s="4" t="str">
        <f t="shared" si="2"/>
        <v/>
      </c>
      <c r="Z630" s="4" t="str">
        <f>IFERROR(__xludf.DUMMYFUNCTION("IFERROR(
  FILTER('CBK Students'!O:O, TRIM('CBK Students'!B:B) = TRIM(A630)),
  """"
)"),"#REF!")</f>
        <v>#REF!</v>
      </c>
      <c r="AA630" s="4" t="str">
        <f>IFERROR(__xludf.DUMMYFUNCTION("IFERROR(
  FILTER('CBK Students'!P:P, TRIM('CBK Students'!B:B) = TRIM(A630)),
  """"
)"),"#REF!")</f>
        <v>#REF!</v>
      </c>
      <c r="AB630" s="4" t="str">
        <f>IFERROR(__xludf.DUMMYFUNCTION("IFERROR(
  FILTER('CBK Students'!Q:Q, TRIM('CBK Students'!B:B) = TRIM(A630)),
  """"
)"),"#REF!")</f>
        <v>#REF!</v>
      </c>
    </row>
    <row r="631" ht="18.75" customHeight="1">
      <c r="T631" s="240" t="str">
        <f>IFERROR(__xludf.DUMMYFUNCTION("IFERROR(
  FILTER('CBK Students'!F:F, TRIM('CBK Students'!B:B) = TRIM(A631)),
  """"
)"),"#REF!")</f>
        <v>#REF!</v>
      </c>
      <c r="U631" s="240" t="str">
        <f>IFERROR(__xludf.DUMMYFUNCTION("IFERROR(
  FILTER('CBK Students'!H:H, TRIM('CBK Students'!B:B) = TRIM(A631)),
  """"
)"),"#REF!")</f>
        <v>#REF!</v>
      </c>
      <c r="V631" s="240" t="str">
        <f>IFERROR(__xludf.DUMMYFUNCTION("IFERROR(
  FILTER('CBK Students'!M:M, TRIM('CBK Students'!B:B) = TRIM(A631)),
  """"
)"),"#REF!")</f>
        <v>#REF!</v>
      </c>
      <c r="W631" s="240" t="str">
        <f t="shared" si="1"/>
        <v/>
      </c>
      <c r="X631" s="240" t="str">
        <f>IFERROR(__xludf.DUMMYFUNCTION("IFERROR(
  FILTER('CBK Students'!R:R, TRIM('CBK Students'!B:B) = TRIM(A631)),
  """"
)"),"#REF!")</f>
        <v>#REF!</v>
      </c>
      <c r="Y631" s="4" t="str">
        <f t="shared" si="2"/>
        <v/>
      </c>
      <c r="Z631" s="4" t="str">
        <f>IFERROR(__xludf.DUMMYFUNCTION("IFERROR(
  FILTER('CBK Students'!O:O, TRIM('CBK Students'!B:B) = TRIM(A631)),
  """"
)"),"#REF!")</f>
        <v>#REF!</v>
      </c>
      <c r="AA631" s="4" t="str">
        <f>IFERROR(__xludf.DUMMYFUNCTION("IFERROR(
  FILTER('CBK Students'!P:P, TRIM('CBK Students'!B:B) = TRIM(A631)),
  """"
)"),"#REF!")</f>
        <v>#REF!</v>
      </c>
      <c r="AB631" s="4" t="str">
        <f>IFERROR(__xludf.DUMMYFUNCTION("IFERROR(
  FILTER('CBK Students'!Q:Q, TRIM('CBK Students'!B:B) = TRIM(A631)),
  """"
)"),"#REF!")</f>
        <v>#REF!</v>
      </c>
    </row>
    <row r="632" ht="18.75" customHeight="1">
      <c r="T632" s="240" t="str">
        <f>IFERROR(__xludf.DUMMYFUNCTION("IFERROR(
  FILTER('CBK Students'!F:F, TRIM('CBK Students'!B:B) = TRIM(A632)),
  """"
)"),"#REF!")</f>
        <v>#REF!</v>
      </c>
      <c r="U632" s="240" t="str">
        <f>IFERROR(__xludf.DUMMYFUNCTION("IFERROR(
  FILTER('CBK Students'!H:H, TRIM('CBK Students'!B:B) = TRIM(A632)),
  """"
)"),"#REF!")</f>
        <v>#REF!</v>
      </c>
      <c r="V632" s="240" t="str">
        <f>IFERROR(__xludf.DUMMYFUNCTION("IFERROR(
  FILTER('CBK Students'!M:M, TRIM('CBK Students'!B:B) = TRIM(A632)),
  """"
)"),"#REF!")</f>
        <v>#REF!</v>
      </c>
      <c r="W632" s="240" t="str">
        <f t="shared" si="1"/>
        <v/>
      </c>
      <c r="X632" s="240" t="str">
        <f>IFERROR(__xludf.DUMMYFUNCTION("IFERROR(
  FILTER('CBK Students'!R:R, TRIM('CBK Students'!B:B) = TRIM(A632)),
  """"
)"),"#REF!")</f>
        <v>#REF!</v>
      </c>
      <c r="Y632" s="4" t="str">
        <f t="shared" si="2"/>
        <v/>
      </c>
      <c r="Z632" s="4" t="str">
        <f>IFERROR(__xludf.DUMMYFUNCTION("IFERROR(
  FILTER('CBK Students'!O:O, TRIM('CBK Students'!B:B) = TRIM(A632)),
  """"
)"),"#REF!")</f>
        <v>#REF!</v>
      </c>
      <c r="AA632" s="4" t="str">
        <f>IFERROR(__xludf.DUMMYFUNCTION("IFERROR(
  FILTER('CBK Students'!P:P, TRIM('CBK Students'!B:B) = TRIM(A632)),
  """"
)"),"#REF!")</f>
        <v>#REF!</v>
      </c>
      <c r="AB632" s="4" t="str">
        <f>IFERROR(__xludf.DUMMYFUNCTION("IFERROR(
  FILTER('CBK Students'!Q:Q, TRIM('CBK Students'!B:B) = TRIM(A632)),
  """"
)"),"#REF!")</f>
        <v>#REF!</v>
      </c>
    </row>
    <row r="633" ht="18.75" customHeight="1">
      <c r="T633" s="240" t="str">
        <f>IFERROR(__xludf.DUMMYFUNCTION("IFERROR(
  FILTER('CBK Students'!F:F, TRIM('CBK Students'!B:B) = TRIM(A633)),
  """"
)"),"#REF!")</f>
        <v>#REF!</v>
      </c>
      <c r="U633" s="240" t="str">
        <f>IFERROR(__xludf.DUMMYFUNCTION("IFERROR(
  FILTER('CBK Students'!H:H, TRIM('CBK Students'!B:B) = TRIM(A633)),
  """"
)"),"#REF!")</f>
        <v>#REF!</v>
      </c>
      <c r="V633" s="240" t="str">
        <f>IFERROR(__xludf.DUMMYFUNCTION("IFERROR(
  FILTER('CBK Students'!M:M, TRIM('CBK Students'!B:B) = TRIM(A633)),
  """"
)"),"#REF!")</f>
        <v>#REF!</v>
      </c>
      <c r="W633" s="240" t="str">
        <f t="shared" si="1"/>
        <v/>
      </c>
      <c r="X633" s="240" t="str">
        <f>IFERROR(__xludf.DUMMYFUNCTION("IFERROR(
  FILTER('CBK Students'!R:R, TRIM('CBK Students'!B:B) = TRIM(A633)),
  """"
)"),"#REF!")</f>
        <v>#REF!</v>
      </c>
      <c r="Y633" s="4" t="str">
        <f t="shared" si="2"/>
        <v/>
      </c>
      <c r="Z633" s="4" t="str">
        <f>IFERROR(__xludf.DUMMYFUNCTION("IFERROR(
  FILTER('CBK Students'!O:O, TRIM('CBK Students'!B:B) = TRIM(A633)),
  """"
)"),"#REF!")</f>
        <v>#REF!</v>
      </c>
      <c r="AA633" s="4" t="str">
        <f>IFERROR(__xludf.DUMMYFUNCTION("IFERROR(
  FILTER('CBK Students'!P:P, TRIM('CBK Students'!B:B) = TRIM(A633)),
  """"
)"),"#REF!")</f>
        <v>#REF!</v>
      </c>
      <c r="AB633" s="4" t="str">
        <f>IFERROR(__xludf.DUMMYFUNCTION("IFERROR(
  FILTER('CBK Students'!Q:Q, TRIM('CBK Students'!B:B) = TRIM(A633)),
  """"
)"),"#REF!")</f>
        <v>#REF!</v>
      </c>
    </row>
    <row r="634" ht="18.75" customHeight="1">
      <c r="T634" s="240" t="str">
        <f>IFERROR(__xludf.DUMMYFUNCTION("IFERROR(
  FILTER('CBK Students'!F:F, TRIM('CBK Students'!B:B) = TRIM(A634)),
  """"
)"),"#REF!")</f>
        <v>#REF!</v>
      </c>
      <c r="U634" s="240" t="str">
        <f>IFERROR(__xludf.DUMMYFUNCTION("IFERROR(
  FILTER('CBK Students'!H:H, TRIM('CBK Students'!B:B) = TRIM(A634)),
  """"
)"),"#REF!")</f>
        <v>#REF!</v>
      </c>
      <c r="V634" s="240" t="str">
        <f>IFERROR(__xludf.DUMMYFUNCTION("IFERROR(
  FILTER('CBK Students'!M:M, TRIM('CBK Students'!B:B) = TRIM(A634)),
  """"
)"),"#REF!")</f>
        <v>#REF!</v>
      </c>
      <c r="W634" s="240" t="str">
        <f t="shared" si="1"/>
        <v/>
      </c>
      <c r="X634" s="240" t="str">
        <f>IFERROR(__xludf.DUMMYFUNCTION("IFERROR(
  FILTER('CBK Students'!R:R, TRIM('CBK Students'!B:B) = TRIM(A634)),
  """"
)"),"#REF!")</f>
        <v>#REF!</v>
      </c>
      <c r="Y634" s="4" t="str">
        <f t="shared" si="2"/>
        <v/>
      </c>
      <c r="Z634" s="4" t="str">
        <f>IFERROR(__xludf.DUMMYFUNCTION("IFERROR(
  FILTER('CBK Students'!O:O, TRIM('CBK Students'!B:B) = TRIM(A634)),
  """"
)"),"#REF!")</f>
        <v>#REF!</v>
      </c>
      <c r="AA634" s="4" t="str">
        <f>IFERROR(__xludf.DUMMYFUNCTION("IFERROR(
  FILTER('CBK Students'!P:P, TRIM('CBK Students'!B:B) = TRIM(A634)),
  """"
)"),"#REF!")</f>
        <v>#REF!</v>
      </c>
      <c r="AB634" s="4" t="str">
        <f>IFERROR(__xludf.DUMMYFUNCTION("IFERROR(
  FILTER('CBK Students'!Q:Q, TRIM('CBK Students'!B:B) = TRIM(A634)),
  """"
)"),"#REF!")</f>
        <v>#REF!</v>
      </c>
    </row>
    <row r="635" ht="18.75" customHeight="1">
      <c r="T635" s="240" t="str">
        <f>IFERROR(__xludf.DUMMYFUNCTION("IFERROR(
  FILTER('CBK Students'!F:F, TRIM('CBK Students'!B:B) = TRIM(A635)),
  """"
)"),"#REF!")</f>
        <v>#REF!</v>
      </c>
      <c r="U635" s="240" t="str">
        <f>IFERROR(__xludf.DUMMYFUNCTION("IFERROR(
  FILTER('CBK Students'!H:H, TRIM('CBK Students'!B:B) = TRIM(A635)),
  """"
)"),"#REF!")</f>
        <v>#REF!</v>
      </c>
      <c r="V635" s="240" t="str">
        <f>IFERROR(__xludf.DUMMYFUNCTION("IFERROR(
  FILTER('CBK Students'!M:M, TRIM('CBK Students'!B:B) = TRIM(A635)),
  """"
)"),"#REF!")</f>
        <v>#REF!</v>
      </c>
      <c r="W635" s="240" t="str">
        <f t="shared" si="1"/>
        <v/>
      </c>
      <c r="X635" s="240" t="str">
        <f>IFERROR(__xludf.DUMMYFUNCTION("IFERROR(
  FILTER('CBK Students'!R:R, TRIM('CBK Students'!B:B) = TRIM(A635)),
  """"
)"),"#REF!")</f>
        <v>#REF!</v>
      </c>
      <c r="Y635" s="4" t="str">
        <f t="shared" si="2"/>
        <v/>
      </c>
      <c r="Z635" s="4" t="str">
        <f>IFERROR(__xludf.DUMMYFUNCTION("IFERROR(
  FILTER('CBK Students'!O:O, TRIM('CBK Students'!B:B) = TRIM(A635)),
  """"
)"),"#REF!")</f>
        <v>#REF!</v>
      </c>
      <c r="AA635" s="4" t="str">
        <f>IFERROR(__xludf.DUMMYFUNCTION("IFERROR(
  FILTER('CBK Students'!P:P, TRIM('CBK Students'!B:B) = TRIM(A635)),
  """"
)"),"#REF!")</f>
        <v>#REF!</v>
      </c>
      <c r="AB635" s="4" t="str">
        <f>IFERROR(__xludf.DUMMYFUNCTION("IFERROR(
  FILTER('CBK Students'!Q:Q, TRIM('CBK Students'!B:B) = TRIM(A635)),
  """"
)"),"#REF!")</f>
        <v>#REF!</v>
      </c>
    </row>
    <row r="636" ht="18.75" customHeight="1">
      <c r="T636" s="240" t="str">
        <f>IFERROR(__xludf.DUMMYFUNCTION("IFERROR(
  FILTER('CBK Students'!F:F, TRIM('CBK Students'!B:B) = TRIM(A636)),
  """"
)"),"#REF!")</f>
        <v>#REF!</v>
      </c>
      <c r="U636" s="240" t="str">
        <f>IFERROR(__xludf.DUMMYFUNCTION("IFERROR(
  FILTER('CBK Students'!H:H, TRIM('CBK Students'!B:B) = TRIM(A636)),
  """"
)"),"#REF!")</f>
        <v>#REF!</v>
      </c>
      <c r="V636" s="240" t="str">
        <f>IFERROR(__xludf.DUMMYFUNCTION("IFERROR(
  FILTER('CBK Students'!M:M, TRIM('CBK Students'!B:B) = TRIM(A636)),
  """"
)"),"#REF!")</f>
        <v>#REF!</v>
      </c>
      <c r="W636" s="240" t="str">
        <f t="shared" si="1"/>
        <v/>
      </c>
      <c r="X636" s="240" t="str">
        <f>IFERROR(__xludf.DUMMYFUNCTION("IFERROR(
  FILTER('CBK Students'!R:R, TRIM('CBK Students'!B:B) = TRIM(A636)),
  """"
)"),"#REF!")</f>
        <v>#REF!</v>
      </c>
      <c r="Y636" s="4" t="str">
        <f t="shared" si="2"/>
        <v/>
      </c>
      <c r="Z636" s="4" t="str">
        <f>IFERROR(__xludf.DUMMYFUNCTION("IFERROR(
  FILTER('CBK Students'!O:O, TRIM('CBK Students'!B:B) = TRIM(A636)),
  """"
)"),"#REF!")</f>
        <v>#REF!</v>
      </c>
      <c r="AA636" s="4" t="str">
        <f>IFERROR(__xludf.DUMMYFUNCTION("IFERROR(
  FILTER('CBK Students'!P:P, TRIM('CBK Students'!B:B) = TRIM(A636)),
  """"
)"),"#REF!")</f>
        <v>#REF!</v>
      </c>
      <c r="AB636" s="4" t="str">
        <f>IFERROR(__xludf.DUMMYFUNCTION("IFERROR(
  FILTER('CBK Students'!Q:Q, TRIM('CBK Students'!B:B) = TRIM(A636)),
  """"
)"),"#REF!")</f>
        <v>#REF!</v>
      </c>
    </row>
    <row r="637" ht="18.75" customHeight="1">
      <c r="T637" s="240" t="str">
        <f>IFERROR(__xludf.DUMMYFUNCTION("IFERROR(
  FILTER('CBK Students'!F:F, TRIM('CBK Students'!B:B) = TRIM(A637)),
  """"
)"),"#REF!")</f>
        <v>#REF!</v>
      </c>
      <c r="U637" s="240" t="str">
        <f>IFERROR(__xludf.DUMMYFUNCTION("IFERROR(
  FILTER('CBK Students'!H:H, TRIM('CBK Students'!B:B) = TRIM(A637)),
  """"
)"),"#REF!")</f>
        <v>#REF!</v>
      </c>
      <c r="V637" s="240" t="str">
        <f>IFERROR(__xludf.DUMMYFUNCTION("IFERROR(
  FILTER('CBK Students'!M:M, TRIM('CBK Students'!B:B) = TRIM(A637)),
  """"
)"),"#REF!")</f>
        <v>#REF!</v>
      </c>
      <c r="W637" s="240" t="str">
        <f t="shared" si="1"/>
        <v/>
      </c>
      <c r="X637" s="240" t="str">
        <f>IFERROR(__xludf.DUMMYFUNCTION("IFERROR(
  FILTER('CBK Students'!R:R, TRIM('CBK Students'!B:B) = TRIM(A637)),
  """"
)"),"#REF!")</f>
        <v>#REF!</v>
      </c>
      <c r="Y637" s="4" t="str">
        <f t="shared" si="2"/>
        <v/>
      </c>
      <c r="Z637" s="4" t="str">
        <f>IFERROR(__xludf.DUMMYFUNCTION("IFERROR(
  FILTER('CBK Students'!O:O, TRIM('CBK Students'!B:B) = TRIM(A637)),
  """"
)"),"#REF!")</f>
        <v>#REF!</v>
      </c>
      <c r="AA637" s="4" t="str">
        <f>IFERROR(__xludf.DUMMYFUNCTION("IFERROR(
  FILTER('CBK Students'!P:P, TRIM('CBK Students'!B:B) = TRIM(A637)),
  """"
)"),"#REF!")</f>
        <v>#REF!</v>
      </c>
      <c r="AB637" s="4" t="str">
        <f>IFERROR(__xludf.DUMMYFUNCTION("IFERROR(
  FILTER('CBK Students'!Q:Q, TRIM('CBK Students'!B:B) = TRIM(A637)),
  """"
)"),"#REF!")</f>
        <v>#REF!</v>
      </c>
    </row>
    <row r="638" ht="18.75" customHeight="1">
      <c r="T638" s="240" t="str">
        <f>IFERROR(__xludf.DUMMYFUNCTION("IFERROR(
  FILTER('CBK Students'!F:F, TRIM('CBK Students'!B:B) = TRIM(A638)),
  """"
)"),"#REF!")</f>
        <v>#REF!</v>
      </c>
      <c r="U638" s="240" t="str">
        <f>IFERROR(__xludf.DUMMYFUNCTION("IFERROR(
  FILTER('CBK Students'!H:H, TRIM('CBK Students'!B:B) = TRIM(A638)),
  """"
)"),"#REF!")</f>
        <v>#REF!</v>
      </c>
      <c r="V638" s="240" t="str">
        <f>IFERROR(__xludf.DUMMYFUNCTION("IFERROR(
  FILTER('CBK Students'!M:M, TRIM('CBK Students'!B:B) = TRIM(A638)),
  """"
)"),"#REF!")</f>
        <v>#REF!</v>
      </c>
      <c r="W638" s="240" t="str">
        <f t="shared" si="1"/>
        <v/>
      </c>
      <c r="X638" s="240" t="str">
        <f>IFERROR(__xludf.DUMMYFUNCTION("IFERROR(
  FILTER('CBK Students'!R:R, TRIM('CBK Students'!B:B) = TRIM(A638)),
  """"
)"),"#REF!")</f>
        <v>#REF!</v>
      </c>
      <c r="Y638" s="4" t="str">
        <f t="shared" si="2"/>
        <v/>
      </c>
      <c r="Z638" s="4" t="str">
        <f>IFERROR(__xludf.DUMMYFUNCTION("IFERROR(
  FILTER('CBK Students'!O:O, TRIM('CBK Students'!B:B) = TRIM(A638)),
  """"
)"),"#REF!")</f>
        <v>#REF!</v>
      </c>
      <c r="AA638" s="4" t="str">
        <f>IFERROR(__xludf.DUMMYFUNCTION("IFERROR(
  FILTER('CBK Students'!P:P, TRIM('CBK Students'!B:B) = TRIM(A638)),
  """"
)"),"#REF!")</f>
        <v>#REF!</v>
      </c>
      <c r="AB638" s="4" t="str">
        <f>IFERROR(__xludf.DUMMYFUNCTION("IFERROR(
  FILTER('CBK Students'!Q:Q, TRIM('CBK Students'!B:B) = TRIM(A638)),
  """"
)"),"#REF!")</f>
        <v>#REF!</v>
      </c>
    </row>
    <row r="639" ht="18.75" customHeight="1">
      <c r="T639" s="240" t="str">
        <f>IFERROR(__xludf.DUMMYFUNCTION("IFERROR(
  FILTER('CBK Students'!F:F, TRIM('CBK Students'!B:B) = TRIM(A639)),
  """"
)"),"#REF!")</f>
        <v>#REF!</v>
      </c>
      <c r="U639" s="240" t="str">
        <f>IFERROR(__xludf.DUMMYFUNCTION("IFERROR(
  FILTER('CBK Students'!H:H, TRIM('CBK Students'!B:B) = TRIM(A639)),
  """"
)"),"#REF!")</f>
        <v>#REF!</v>
      </c>
      <c r="V639" s="240" t="str">
        <f>IFERROR(__xludf.DUMMYFUNCTION("IFERROR(
  FILTER('CBK Students'!M:M, TRIM('CBK Students'!B:B) = TRIM(A639)),
  """"
)"),"#REF!")</f>
        <v>#REF!</v>
      </c>
      <c r="W639" s="240" t="str">
        <f t="shared" si="1"/>
        <v/>
      </c>
      <c r="X639" s="240" t="str">
        <f>IFERROR(__xludf.DUMMYFUNCTION("IFERROR(
  FILTER('CBK Students'!R:R, TRIM('CBK Students'!B:B) = TRIM(A639)),
  """"
)"),"#REF!")</f>
        <v>#REF!</v>
      </c>
      <c r="Y639" s="4" t="str">
        <f t="shared" si="2"/>
        <v/>
      </c>
      <c r="Z639" s="4" t="str">
        <f>IFERROR(__xludf.DUMMYFUNCTION("IFERROR(
  FILTER('CBK Students'!O:O, TRIM('CBK Students'!B:B) = TRIM(A639)),
  """"
)"),"#REF!")</f>
        <v>#REF!</v>
      </c>
      <c r="AA639" s="4" t="str">
        <f>IFERROR(__xludf.DUMMYFUNCTION("IFERROR(
  FILTER('CBK Students'!P:P, TRIM('CBK Students'!B:B) = TRIM(A639)),
  """"
)"),"#REF!")</f>
        <v>#REF!</v>
      </c>
      <c r="AB639" s="4" t="str">
        <f>IFERROR(__xludf.DUMMYFUNCTION("IFERROR(
  FILTER('CBK Students'!Q:Q, TRIM('CBK Students'!B:B) = TRIM(A639)),
  """"
)"),"#REF!")</f>
        <v>#REF!</v>
      </c>
    </row>
    <row r="640" ht="18.75" customHeight="1">
      <c r="T640" s="240" t="str">
        <f>IFERROR(__xludf.DUMMYFUNCTION("IFERROR(
  FILTER('CBK Students'!F:F, TRIM('CBK Students'!B:B) = TRIM(A640)),
  """"
)"),"#REF!")</f>
        <v>#REF!</v>
      </c>
      <c r="U640" s="240" t="str">
        <f>IFERROR(__xludf.DUMMYFUNCTION("IFERROR(
  FILTER('CBK Students'!H:H, TRIM('CBK Students'!B:B) = TRIM(A640)),
  """"
)"),"#REF!")</f>
        <v>#REF!</v>
      </c>
      <c r="V640" s="240" t="str">
        <f>IFERROR(__xludf.DUMMYFUNCTION("IFERROR(
  FILTER('CBK Students'!M:M, TRIM('CBK Students'!B:B) = TRIM(A640)),
  """"
)"),"#REF!")</f>
        <v>#REF!</v>
      </c>
      <c r="W640" s="240" t="str">
        <f t="shared" si="1"/>
        <v/>
      </c>
      <c r="X640" s="240" t="str">
        <f>IFERROR(__xludf.DUMMYFUNCTION("IFERROR(
  FILTER('CBK Students'!R:R, TRIM('CBK Students'!B:B) = TRIM(A640)),
  """"
)"),"#REF!")</f>
        <v>#REF!</v>
      </c>
      <c r="Y640" s="4" t="str">
        <f t="shared" si="2"/>
        <v/>
      </c>
      <c r="Z640" s="4" t="str">
        <f>IFERROR(__xludf.DUMMYFUNCTION("IFERROR(
  FILTER('CBK Students'!O:O, TRIM('CBK Students'!B:B) = TRIM(A640)),
  """"
)"),"#REF!")</f>
        <v>#REF!</v>
      </c>
      <c r="AA640" s="4" t="str">
        <f>IFERROR(__xludf.DUMMYFUNCTION("IFERROR(
  FILTER('CBK Students'!P:P, TRIM('CBK Students'!B:B) = TRIM(A640)),
  """"
)"),"#REF!")</f>
        <v>#REF!</v>
      </c>
      <c r="AB640" s="4" t="str">
        <f>IFERROR(__xludf.DUMMYFUNCTION("IFERROR(
  FILTER('CBK Students'!Q:Q, TRIM('CBK Students'!B:B) = TRIM(A640)),
  """"
)"),"#REF!")</f>
        <v>#REF!</v>
      </c>
    </row>
    <row r="641" ht="18.75" customHeight="1">
      <c r="T641" s="240" t="str">
        <f>IFERROR(__xludf.DUMMYFUNCTION("IFERROR(
  FILTER('CBK Students'!F:F, TRIM('CBK Students'!B:B) = TRIM(A641)),
  """"
)"),"#REF!")</f>
        <v>#REF!</v>
      </c>
      <c r="U641" s="240" t="str">
        <f>IFERROR(__xludf.DUMMYFUNCTION("IFERROR(
  FILTER('CBK Students'!H:H, TRIM('CBK Students'!B:B) = TRIM(A641)),
  """"
)"),"#REF!")</f>
        <v>#REF!</v>
      </c>
      <c r="V641" s="240" t="str">
        <f>IFERROR(__xludf.DUMMYFUNCTION("IFERROR(
  FILTER('CBK Students'!M:M, TRIM('CBK Students'!B:B) = TRIM(A641)),
  """"
)"),"#REF!")</f>
        <v>#REF!</v>
      </c>
      <c r="W641" s="240" t="str">
        <f t="shared" si="1"/>
        <v/>
      </c>
      <c r="X641" s="240" t="str">
        <f>IFERROR(__xludf.DUMMYFUNCTION("IFERROR(
  FILTER('CBK Students'!R:R, TRIM('CBK Students'!B:B) = TRIM(A641)),
  """"
)"),"#REF!")</f>
        <v>#REF!</v>
      </c>
      <c r="Y641" s="4" t="str">
        <f t="shared" si="2"/>
        <v/>
      </c>
      <c r="Z641" s="4" t="str">
        <f>IFERROR(__xludf.DUMMYFUNCTION("IFERROR(
  FILTER('CBK Students'!O:O, TRIM('CBK Students'!B:B) = TRIM(A641)),
  """"
)"),"#REF!")</f>
        <v>#REF!</v>
      </c>
      <c r="AA641" s="4" t="str">
        <f>IFERROR(__xludf.DUMMYFUNCTION("IFERROR(
  FILTER('CBK Students'!P:P, TRIM('CBK Students'!B:B) = TRIM(A641)),
  """"
)"),"#REF!")</f>
        <v>#REF!</v>
      </c>
      <c r="AB641" s="4" t="str">
        <f>IFERROR(__xludf.DUMMYFUNCTION("IFERROR(
  FILTER('CBK Students'!Q:Q, TRIM('CBK Students'!B:B) = TRIM(A641)),
  """"
)"),"#REF!")</f>
        <v>#REF!</v>
      </c>
    </row>
    <row r="642" ht="18.75" customHeight="1">
      <c r="T642" s="240" t="str">
        <f>IFERROR(__xludf.DUMMYFUNCTION("IFERROR(
  FILTER('CBK Students'!F:F, TRIM('CBK Students'!B:B) = TRIM(A642)),
  """"
)"),"#REF!")</f>
        <v>#REF!</v>
      </c>
      <c r="U642" s="240" t="str">
        <f>IFERROR(__xludf.DUMMYFUNCTION("IFERROR(
  FILTER('CBK Students'!H:H, TRIM('CBK Students'!B:B) = TRIM(A642)),
  """"
)"),"#REF!")</f>
        <v>#REF!</v>
      </c>
      <c r="V642" s="240" t="str">
        <f>IFERROR(__xludf.DUMMYFUNCTION("IFERROR(
  FILTER('CBK Students'!M:M, TRIM('CBK Students'!B:B) = TRIM(A642)),
  """"
)"),"#REF!")</f>
        <v>#REF!</v>
      </c>
      <c r="W642" s="240" t="str">
        <f t="shared" si="1"/>
        <v/>
      </c>
      <c r="X642" s="240" t="str">
        <f>IFERROR(__xludf.DUMMYFUNCTION("IFERROR(
  FILTER('CBK Students'!R:R, TRIM('CBK Students'!B:B) = TRIM(A642)),
  """"
)"),"#REF!")</f>
        <v>#REF!</v>
      </c>
      <c r="Y642" s="4" t="str">
        <f t="shared" si="2"/>
        <v/>
      </c>
      <c r="Z642" s="4" t="str">
        <f>IFERROR(__xludf.DUMMYFUNCTION("IFERROR(
  FILTER('CBK Students'!O:O, TRIM('CBK Students'!B:B) = TRIM(A642)),
  """"
)"),"#REF!")</f>
        <v>#REF!</v>
      </c>
      <c r="AA642" s="4" t="str">
        <f>IFERROR(__xludf.DUMMYFUNCTION("IFERROR(
  FILTER('CBK Students'!P:P, TRIM('CBK Students'!B:B) = TRIM(A642)),
  """"
)"),"#REF!")</f>
        <v>#REF!</v>
      </c>
      <c r="AB642" s="4" t="str">
        <f>IFERROR(__xludf.DUMMYFUNCTION("IFERROR(
  FILTER('CBK Students'!Q:Q, TRIM('CBK Students'!B:B) = TRIM(A642)),
  """"
)"),"#REF!")</f>
        <v>#REF!</v>
      </c>
    </row>
    <row r="643" ht="18.75" customHeight="1">
      <c r="T643" s="240" t="str">
        <f>IFERROR(__xludf.DUMMYFUNCTION("IFERROR(
  FILTER('CBK Students'!F:F, TRIM('CBK Students'!B:B) = TRIM(A643)),
  """"
)"),"#REF!")</f>
        <v>#REF!</v>
      </c>
      <c r="U643" s="240" t="str">
        <f>IFERROR(__xludf.DUMMYFUNCTION("IFERROR(
  FILTER('CBK Students'!H:H, TRIM('CBK Students'!B:B) = TRIM(A643)),
  """"
)"),"#REF!")</f>
        <v>#REF!</v>
      </c>
      <c r="V643" s="240" t="str">
        <f>IFERROR(__xludf.DUMMYFUNCTION("IFERROR(
  FILTER('CBK Students'!M:M, TRIM('CBK Students'!B:B) = TRIM(A643)),
  """"
)"),"#REF!")</f>
        <v>#REF!</v>
      </c>
      <c r="W643" s="240" t="str">
        <f t="shared" si="1"/>
        <v/>
      </c>
      <c r="X643" s="240" t="str">
        <f>IFERROR(__xludf.DUMMYFUNCTION("IFERROR(
  FILTER('CBK Students'!R:R, TRIM('CBK Students'!B:B) = TRIM(A643)),
  """"
)"),"#REF!")</f>
        <v>#REF!</v>
      </c>
      <c r="Y643" s="4" t="str">
        <f t="shared" si="2"/>
        <v/>
      </c>
      <c r="Z643" s="4" t="str">
        <f>IFERROR(__xludf.DUMMYFUNCTION("IFERROR(
  FILTER('CBK Students'!O:O, TRIM('CBK Students'!B:B) = TRIM(A643)),
  """"
)"),"#REF!")</f>
        <v>#REF!</v>
      </c>
      <c r="AA643" s="4" t="str">
        <f>IFERROR(__xludf.DUMMYFUNCTION("IFERROR(
  FILTER('CBK Students'!P:P, TRIM('CBK Students'!B:B) = TRIM(A643)),
  """"
)"),"#REF!")</f>
        <v>#REF!</v>
      </c>
      <c r="AB643" s="4" t="str">
        <f>IFERROR(__xludf.DUMMYFUNCTION("IFERROR(
  FILTER('CBK Students'!Q:Q, TRIM('CBK Students'!B:B) = TRIM(A643)),
  """"
)"),"#REF!")</f>
        <v>#REF!</v>
      </c>
    </row>
    <row r="644" ht="18.75" customHeight="1">
      <c r="T644" s="240" t="str">
        <f>IFERROR(__xludf.DUMMYFUNCTION("IFERROR(
  FILTER('CBK Students'!F:F, TRIM('CBK Students'!B:B) = TRIM(A644)),
  """"
)"),"#REF!")</f>
        <v>#REF!</v>
      </c>
      <c r="U644" s="240" t="str">
        <f>IFERROR(__xludf.DUMMYFUNCTION("IFERROR(
  FILTER('CBK Students'!H:H, TRIM('CBK Students'!B:B) = TRIM(A644)),
  """"
)"),"#REF!")</f>
        <v>#REF!</v>
      </c>
      <c r="V644" s="240" t="str">
        <f>IFERROR(__xludf.DUMMYFUNCTION("IFERROR(
  FILTER('CBK Students'!M:M, TRIM('CBK Students'!B:B) = TRIM(A644)),
  """"
)"),"#REF!")</f>
        <v>#REF!</v>
      </c>
      <c r="W644" s="240" t="str">
        <f t="shared" si="1"/>
        <v/>
      </c>
      <c r="X644" s="240" t="str">
        <f>IFERROR(__xludf.DUMMYFUNCTION("IFERROR(
  FILTER('CBK Students'!R:R, TRIM('CBK Students'!B:B) = TRIM(A644)),
  """"
)"),"#REF!")</f>
        <v>#REF!</v>
      </c>
      <c r="Y644" s="4" t="str">
        <f t="shared" si="2"/>
        <v/>
      </c>
      <c r="Z644" s="4" t="str">
        <f>IFERROR(__xludf.DUMMYFUNCTION("IFERROR(
  FILTER('CBK Students'!O:O, TRIM('CBK Students'!B:B) = TRIM(A644)),
  """"
)"),"#REF!")</f>
        <v>#REF!</v>
      </c>
      <c r="AA644" s="4" t="str">
        <f>IFERROR(__xludf.DUMMYFUNCTION("IFERROR(
  FILTER('CBK Students'!P:P, TRIM('CBK Students'!B:B) = TRIM(A644)),
  """"
)"),"#REF!")</f>
        <v>#REF!</v>
      </c>
      <c r="AB644" s="4" t="str">
        <f>IFERROR(__xludf.DUMMYFUNCTION("IFERROR(
  FILTER('CBK Students'!Q:Q, TRIM('CBK Students'!B:B) = TRIM(A644)),
  """"
)"),"#REF!")</f>
        <v>#REF!</v>
      </c>
    </row>
    <row r="645" ht="18.75" customHeight="1">
      <c r="T645" s="240" t="str">
        <f>IFERROR(__xludf.DUMMYFUNCTION("IFERROR(
  FILTER('CBK Students'!F:F, TRIM('CBK Students'!B:B) = TRIM(A645)),
  """"
)"),"#REF!")</f>
        <v>#REF!</v>
      </c>
      <c r="U645" s="240" t="str">
        <f>IFERROR(__xludf.DUMMYFUNCTION("IFERROR(
  FILTER('CBK Students'!H:H, TRIM('CBK Students'!B:B) = TRIM(A645)),
  """"
)"),"#REF!")</f>
        <v>#REF!</v>
      </c>
      <c r="V645" s="240" t="str">
        <f>IFERROR(__xludf.DUMMYFUNCTION("IFERROR(
  FILTER('CBK Students'!M:M, TRIM('CBK Students'!B:B) = TRIM(A645)),
  """"
)"),"#REF!")</f>
        <v>#REF!</v>
      </c>
      <c r="W645" s="240" t="str">
        <f t="shared" si="1"/>
        <v/>
      </c>
      <c r="X645" s="240" t="str">
        <f>IFERROR(__xludf.DUMMYFUNCTION("IFERROR(
  FILTER('CBK Students'!R:R, TRIM('CBK Students'!B:B) = TRIM(A645)),
  """"
)"),"#REF!")</f>
        <v>#REF!</v>
      </c>
      <c r="Y645" s="4" t="str">
        <f t="shared" si="2"/>
        <v/>
      </c>
      <c r="Z645" s="4" t="str">
        <f>IFERROR(__xludf.DUMMYFUNCTION("IFERROR(
  FILTER('CBK Students'!O:O, TRIM('CBK Students'!B:B) = TRIM(A645)),
  """"
)"),"#REF!")</f>
        <v>#REF!</v>
      </c>
      <c r="AA645" s="4" t="str">
        <f>IFERROR(__xludf.DUMMYFUNCTION("IFERROR(
  FILTER('CBK Students'!P:P, TRIM('CBK Students'!B:B) = TRIM(A645)),
  """"
)"),"#REF!")</f>
        <v>#REF!</v>
      </c>
      <c r="AB645" s="4" t="str">
        <f>IFERROR(__xludf.DUMMYFUNCTION("IFERROR(
  FILTER('CBK Students'!Q:Q, TRIM('CBK Students'!B:B) = TRIM(A645)),
  """"
)"),"#REF!")</f>
        <v>#REF!</v>
      </c>
    </row>
    <row r="646" ht="18.75" customHeight="1">
      <c r="T646" s="240" t="str">
        <f>IFERROR(__xludf.DUMMYFUNCTION("IFERROR(
  FILTER('CBK Students'!F:F, TRIM('CBK Students'!B:B) = TRIM(A646)),
  """"
)"),"#REF!")</f>
        <v>#REF!</v>
      </c>
      <c r="U646" s="240" t="str">
        <f>IFERROR(__xludf.DUMMYFUNCTION("IFERROR(
  FILTER('CBK Students'!H:H, TRIM('CBK Students'!B:B) = TRIM(A646)),
  """"
)"),"#REF!")</f>
        <v>#REF!</v>
      </c>
      <c r="V646" s="240" t="str">
        <f>IFERROR(__xludf.DUMMYFUNCTION("IFERROR(
  FILTER('CBK Students'!M:M, TRIM('CBK Students'!B:B) = TRIM(A646)),
  """"
)"),"#REF!")</f>
        <v>#REF!</v>
      </c>
      <c r="W646" s="240" t="str">
        <f t="shared" si="1"/>
        <v/>
      </c>
      <c r="X646" s="240" t="str">
        <f>IFERROR(__xludf.DUMMYFUNCTION("IFERROR(
  FILTER('CBK Students'!R:R, TRIM('CBK Students'!B:B) = TRIM(A646)),
  """"
)"),"#REF!")</f>
        <v>#REF!</v>
      </c>
      <c r="Y646" s="4" t="str">
        <f t="shared" si="2"/>
        <v/>
      </c>
      <c r="Z646" s="4" t="str">
        <f>IFERROR(__xludf.DUMMYFUNCTION("IFERROR(
  FILTER('CBK Students'!O:O, TRIM('CBK Students'!B:B) = TRIM(A646)),
  """"
)"),"#REF!")</f>
        <v>#REF!</v>
      </c>
      <c r="AA646" s="4" t="str">
        <f>IFERROR(__xludf.DUMMYFUNCTION("IFERROR(
  FILTER('CBK Students'!P:P, TRIM('CBK Students'!B:B) = TRIM(A646)),
  """"
)"),"#REF!")</f>
        <v>#REF!</v>
      </c>
      <c r="AB646" s="4" t="str">
        <f>IFERROR(__xludf.DUMMYFUNCTION("IFERROR(
  FILTER('CBK Students'!Q:Q, TRIM('CBK Students'!B:B) = TRIM(A646)),
  """"
)"),"#REF!")</f>
        <v>#REF!</v>
      </c>
    </row>
    <row r="647" ht="18.75" customHeight="1">
      <c r="T647" s="240" t="str">
        <f>IFERROR(__xludf.DUMMYFUNCTION("IFERROR(
  FILTER('CBK Students'!F:F, TRIM('CBK Students'!B:B) = TRIM(A647)),
  """"
)"),"#REF!")</f>
        <v>#REF!</v>
      </c>
      <c r="U647" s="240" t="str">
        <f>IFERROR(__xludf.DUMMYFUNCTION("IFERROR(
  FILTER('CBK Students'!H:H, TRIM('CBK Students'!B:B) = TRIM(A647)),
  """"
)"),"#REF!")</f>
        <v>#REF!</v>
      </c>
      <c r="V647" s="240" t="str">
        <f>IFERROR(__xludf.DUMMYFUNCTION("IFERROR(
  FILTER('CBK Students'!M:M, TRIM('CBK Students'!B:B) = TRIM(A647)),
  """"
)"),"#REF!")</f>
        <v>#REF!</v>
      </c>
      <c r="W647" s="240" t="str">
        <f t="shared" si="1"/>
        <v/>
      </c>
      <c r="X647" s="240" t="str">
        <f>IFERROR(__xludf.DUMMYFUNCTION("IFERROR(
  FILTER('CBK Students'!R:R, TRIM('CBK Students'!B:B) = TRIM(A647)),
  """"
)"),"#REF!")</f>
        <v>#REF!</v>
      </c>
      <c r="Y647" s="4" t="str">
        <f t="shared" si="2"/>
        <v/>
      </c>
      <c r="Z647" s="4" t="str">
        <f>IFERROR(__xludf.DUMMYFUNCTION("IFERROR(
  FILTER('CBK Students'!O:O, TRIM('CBK Students'!B:B) = TRIM(A647)),
  """"
)"),"#REF!")</f>
        <v>#REF!</v>
      </c>
      <c r="AA647" s="4" t="str">
        <f>IFERROR(__xludf.DUMMYFUNCTION("IFERROR(
  FILTER('CBK Students'!P:P, TRIM('CBK Students'!B:B) = TRIM(A647)),
  """"
)"),"#REF!")</f>
        <v>#REF!</v>
      </c>
      <c r="AB647" s="4" t="str">
        <f>IFERROR(__xludf.DUMMYFUNCTION("IFERROR(
  FILTER('CBK Students'!Q:Q, TRIM('CBK Students'!B:B) = TRIM(A647)),
  """"
)"),"#REF!")</f>
        <v>#REF!</v>
      </c>
    </row>
    <row r="648" ht="18.75" customHeight="1">
      <c r="T648" s="240" t="str">
        <f>IFERROR(__xludf.DUMMYFUNCTION("IFERROR(
  FILTER('CBK Students'!F:F, TRIM('CBK Students'!B:B) = TRIM(A648)),
  """"
)"),"#REF!")</f>
        <v>#REF!</v>
      </c>
      <c r="U648" s="240" t="str">
        <f>IFERROR(__xludf.DUMMYFUNCTION("IFERROR(
  FILTER('CBK Students'!H:H, TRIM('CBK Students'!B:B) = TRIM(A648)),
  """"
)"),"#REF!")</f>
        <v>#REF!</v>
      </c>
      <c r="V648" s="240" t="str">
        <f>IFERROR(__xludf.DUMMYFUNCTION("IFERROR(
  FILTER('CBK Students'!M:M, TRIM('CBK Students'!B:B) = TRIM(A648)),
  """"
)"),"#REF!")</f>
        <v>#REF!</v>
      </c>
      <c r="W648" s="240" t="str">
        <f t="shared" si="1"/>
        <v/>
      </c>
      <c r="X648" s="240" t="str">
        <f>IFERROR(__xludf.DUMMYFUNCTION("IFERROR(
  FILTER('CBK Students'!R:R, TRIM('CBK Students'!B:B) = TRIM(A648)),
  """"
)"),"#REF!")</f>
        <v>#REF!</v>
      </c>
      <c r="Y648" s="4" t="str">
        <f t="shared" si="2"/>
        <v/>
      </c>
      <c r="Z648" s="4" t="str">
        <f>IFERROR(__xludf.DUMMYFUNCTION("IFERROR(
  FILTER('CBK Students'!O:O, TRIM('CBK Students'!B:B) = TRIM(A648)),
  """"
)"),"#REF!")</f>
        <v>#REF!</v>
      </c>
      <c r="AA648" s="4" t="str">
        <f>IFERROR(__xludf.DUMMYFUNCTION("IFERROR(
  FILTER('CBK Students'!P:P, TRIM('CBK Students'!B:B) = TRIM(A648)),
  """"
)"),"#REF!")</f>
        <v>#REF!</v>
      </c>
      <c r="AB648" s="4" t="str">
        <f>IFERROR(__xludf.DUMMYFUNCTION("IFERROR(
  FILTER('CBK Students'!Q:Q, TRIM('CBK Students'!B:B) = TRIM(A648)),
  """"
)"),"#REF!")</f>
        <v>#REF!</v>
      </c>
    </row>
    <row r="649" ht="18.75" customHeight="1">
      <c r="T649" s="240" t="str">
        <f>IFERROR(__xludf.DUMMYFUNCTION("IFERROR(
  FILTER('CBK Students'!F:F, TRIM('CBK Students'!B:B) = TRIM(A649)),
  """"
)"),"#REF!")</f>
        <v>#REF!</v>
      </c>
      <c r="U649" s="240" t="str">
        <f>IFERROR(__xludf.DUMMYFUNCTION("IFERROR(
  FILTER('CBK Students'!H:H, TRIM('CBK Students'!B:B) = TRIM(A649)),
  """"
)"),"#REF!")</f>
        <v>#REF!</v>
      </c>
      <c r="V649" s="240" t="str">
        <f>IFERROR(__xludf.DUMMYFUNCTION("IFERROR(
  FILTER('CBK Students'!M:M, TRIM('CBK Students'!B:B) = TRIM(A649)),
  """"
)"),"#REF!")</f>
        <v>#REF!</v>
      </c>
      <c r="W649" s="240" t="str">
        <f t="shared" si="1"/>
        <v/>
      </c>
      <c r="X649" s="240" t="str">
        <f>IFERROR(__xludf.DUMMYFUNCTION("IFERROR(
  FILTER('CBK Students'!R:R, TRIM('CBK Students'!B:B) = TRIM(A649)),
  """"
)"),"#REF!")</f>
        <v>#REF!</v>
      </c>
      <c r="Y649" s="4" t="str">
        <f t="shared" si="2"/>
        <v/>
      </c>
      <c r="Z649" s="4" t="str">
        <f>IFERROR(__xludf.DUMMYFUNCTION("IFERROR(
  FILTER('CBK Students'!O:O, TRIM('CBK Students'!B:B) = TRIM(A649)),
  """"
)"),"#REF!")</f>
        <v>#REF!</v>
      </c>
      <c r="AA649" s="4" t="str">
        <f>IFERROR(__xludf.DUMMYFUNCTION("IFERROR(
  FILTER('CBK Students'!P:P, TRIM('CBK Students'!B:B) = TRIM(A649)),
  """"
)"),"#REF!")</f>
        <v>#REF!</v>
      </c>
      <c r="AB649" s="4" t="str">
        <f>IFERROR(__xludf.DUMMYFUNCTION("IFERROR(
  FILTER('CBK Students'!Q:Q, TRIM('CBK Students'!B:B) = TRIM(A649)),
  """"
)"),"#REF!")</f>
        <v>#REF!</v>
      </c>
    </row>
    <row r="650" ht="18.75" customHeight="1">
      <c r="T650" s="240" t="str">
        <f>IFERROR(__xludf.DUMMYFUNCTION("IFERROR(
  FILTER('CBK Students'!F:F, TRIM('CBK Students'!B:B) = TRIM(A650)),
  """"
)"),"#REF!")</f>
        <v>#REF!</v>
      </c>
      <c r="U650" s="240" t="str">
        <f>IFERROR(__xludf.DUMMYFUNCTION("IFERROR(
  FILTER('CBK Students'!H:H, TRIM('CBK Students'!B:B) = TRIM(A650)),
  """"
)"),"#REF!")</f>
        <v>#REF!</v>
      </c>
      <c r="V650" s="240" t="str">
        <f>IFERROR(__xludf.DUMMYFUNCTION("IFERROR(
  FILTER('CBK Students'!M:M, TRIM('CBK Students'!B:B) = TRIM(A650)),
  """"
)"),"#REF!")</f>
        <v>#REF!</v>
      </c>
      <c r="W650" s="240" t="str">
        <f t="shared" si="1"/>
        <v/>
      </c>
      <c r="X650" s="240" t="str">
        <f>IFERROR(__xludf.DUMMYFUNCTION("IFERROR(
  FILTER('CBK Students'!R:R, TRIM('CBK Students'!B:B) = TRIM(A650)),
  """"
)"),"#REF!")</f>
        <v>#REF!</v>
      </c>
      <c r="Y650" s="4" t="str">
        <f t="shared" si="2"/>
        <v/>
      </c>
      <c r="Z650" s="4" t="str">
        <f>IFERROR(__xludf.DUMMYFUNCTION("IFERROR(
  FILTER('CBK Students'!O:O, TRIM('CBK Students'!B:B) = TRIM(A650)),
  """"
)"),"#REF!")</f>
        <v>#REF!</v>
      </c>
      <c r="AA650" s="4" t="str">
        <f>IFERROR(__xludf.DUMMYFUNCTION("IFERROR(
  FILTER('CBK Students'!P:P, TRIM('CBK Students'!B:B) = TRIM(A650)),
  """"
)"),"#REF!")</f>
        <v>#REF!</v>
      </c>
      <c r="AB650" s="4" t="str">
        <f>IFERROR(__xludf.DUMMYFUNCTION("IFERROR(
  FILTER('CBK Students'!Q:Q, TRIM('CBK Students'!B:B) = TRIM(A650)),
  """"
)"),"#REF!")</f>
        <v>#REF!</v>
      </c>
    </row>
    <row r="651" ht="18.75" customHeight="1">
      <c r="T651" s="240" t="str">
        <f>IFERROR(__xludf.DUMMYFUNCTION("IFERROR(
  FILTER('CBK Students'!F:F, TRIM('CBK Students'!B:B) = TRIM(A651)),
  """"
)"),"#REF!")</f>
        <v>#REF!</v>
      </c>
      <c r="U651" s="240" t="str">
        <f>IFERROR(__xludf.DUMMYFUNCTION("IFERROR(
  FILTER('CBK Students'!H:H, TRIM('CBK Students'!B:B) = TRIM(A651)),
  """"
)"),"#REF!")</f>
        <v>#REF!</v>
      </c>
      <c r="V651" s="240" t="str">
        <f>IFERROR(__xludf.DUMMYFUNCTION("IFERROR(
  FILTER('CBK Students'!M:M, TRIM('CBK Students'!B:B) = TRIM(A651)),
  """"
)"),"#REF!")</f>
        <v>#REF!</v>
      </c>
      <c r="W651" s="240" t="str">
        <f t="shared" si="1"/>
        <v/>
      </c>
      <c r="X651" s="240" t="str">
        <f>IFERROR(__xludf.DUMMYFUNCTION("IFERROR(
  FILTER('CBK Students'!R:R, TRIM('CBK Students'!B:B) = TRIM(A651)),
  """"
)"),"#REF!")</f>
        <v>#REF!</v>
      </c>
      <c r="Y651" s="4" t="str">
        <f t="shared" si="2"/>
        <v/>
      </c>
      <c r="Z651" s="4" t="str">
        <f>IFERROR(__xludf.DUMMYFUNCTION("IFERROR(
  FILTER('CBK Students'!O:O, TRIM('CBK Students'!B:B) = TRIM(A651)),
  """"
)"),"#REF!")</f>
        <v>#REF!</v>
      </c>
      <c r="AA651" s="4" t="str">
        <f>IFERROR(__xludf.DUMMYFUNCTION("IFERROR(
  FILTER('CBK Students'!P:P, TRIM('CBK Students'!B:B) = TRIM(A651)),
  """"
)"),"#REF!")</f>
        <v>#REF!</v>
      </c>
      <c r="AB651" s="4" t="str">
        <f>IFERROR(__xludf.DUMMYFUNCTION("IFERROR(
  FILTER('CBK Students'!Q:Q, TRIM('CBK Students'!B:B) = TRIM(A651)),
  """"
)"),"#REF!")</f>
        <v>#REF!</v>
      </c>
    </row>
    <row r="652" ht="18.75" customHeight="1">
      <c r="T652" s="240" t="str">
        <f>IFERROR(__xludf.DUMMYFUNCTION("IFERROR(
  FILTER('CBK Students'!F:F, TRIM('CBK Students'!B:B) = TRIM(A652)),
  """"
)"),"#REF!")</f>
        <v>#REF!</v>
      </c>
      <c r="U652" s="240" t="str">
        <f>IFERROR(__xludf.DUMMYFUNCTION("IFERROR(
  FILTER('CBK Students'!H:H, TRIM('CBK Students'!B:B) = TRIM(A652)),
  """"
)"),"#REF!")</f>
        <v>#REF!</v>
      </c>
      <c r="V652" s="240" t="str">
        <f>IFERROR(__xludf.DUMMYFUNCTION("IFERROR(
  FILTER('CBK Students'!M:M, TRIM('CBK Students'!B:B) = TRIM(A652)),
  """"
)"),"#REF!")</f>
        <v>#REF!</v>
      </c>
      <c r="W652" s="240" t="str">
        <f t="shared" si="1"/>
        <v/>
      </c>
      <c r="X652" s="240" t="str">
        <f>IFERROR(__xludf.DUMMYFUNCTION("IFERROR(
  FILTER('CBK Students'!R:R, TRIM('CBK Students'!B:B) = TRIM(A652)),
  """"
)"),"#REF!")</f>
        <v>#REF!</v>
      </c>
      <c r="Y652" s="4" t="str">
        <f t="shared" si="2"/>
        <v/>
      </c>
      <c r="Z652" s="4" t="str">
        <f>IFERROR(__xludf.DUMMYFUNCTION("IFERROR(
  FILTER('CBK Students'!O:O, TRIM('CBK Students'!B:B) = TRIM(A652)),
  """"
)"),"#REF!")</f>
        <v>#REF!</v>
      </c>
      <c r="AA652" s="4" t="str">
        <f>IFERROR(__xludf.DUMMYFUNCTION("IFERROR(
  FILTER('CBK Students'!P:P, TRIM('CBK Students'!B:B) = TRIM(A652)),
  """"
)"),"#REF!")</f>
        <v>#REF!</v>
      </c>
      <c r="AB652" s="4" t="str">
        <f>IFERROR(__xludf.DUMMYFUNCTION("IFERROR(
  FILTER('CBK Students'!Q:Q, TRIM('CBK Students'!B:B) = TRIM(A652)),
  """"
)"),"#REF!")</f>
        <v>#REF!</v>
      </c>
    </row>
    <row r="653" ht="18.75" customHeight="1">
      <c r="T653" s="240" t="str">
        <f>IFERROR(__xludf.DUMMYFUNCTION("IFERROR(
  FILTER('CBK Students'!F:F, TRIM('CBK Students'!B:B) = TRIM(A653)),
  """"
)"),"#REF!")</f>
        <v>#REF!</v>
      </c>
      <c r="U653" s="240" t="str">
        <f>IFERROR(__xludf.DUMMYFUNCTION("IFERROR(
  FILTER('CBK Students'!H:H, TRIM('CBK Students'!B:B) = TRIM(A653)),
  """"
)"),"#REF!")</f>
        <v>#REF!</v>
      </c>
      <c r="V653" s="240" t="str">
        <f>IFERROR(__xludf.DUMMYFUNCTION("IFERROR(
  FILTER('CBK Students'!M:M, TRIM('CBK Students'!B:B) = TRIM(A653)),
  """"
)"),"#REF!")</f>
        <v>#REF!</v>
      </c>
      <c r="W653" s="240" t="str">
        <f t="shared" si="1"/>
        <v/>
      </c>
      <c r="X653" s="240" t="str">
        <f>IFERROR(__xludf.DUMMYFUNCTION("IFERROR(
  FILTER('CBK Students'!R:R, TRIM('CBK Students'!B:B) = TRIM(A653)),
  """"
)"),"#REF!")</f>
        <v>#REF!</v>
      </c>
      <c r="Y653" s="4" t="str">
        <f t="shared" si="2"/>
        <v/>
      </c>
      <c r="Z653" s="4" t="str">
        <f>IFERROR(__xludf.DUMMYFUNCTION("IFERROR(
  FILTER('CBK Students'!O:O, TRIM('CBK Students'!B:B) = TRIM(A653)),
  """"
)"),"#REF!")</f>
        <v>#REF!</v>
      </c>
      <c r="AA653" s="4" t="str">
        <f>IFERROR(__xludf.DUMMYFUNCTION("IFERROR(
  FILTER('CBK Students'!P:P, TRIM('CBK Students'!B:B) = TRIM(A653)),
  """"
)"),"#REF!")</f>
        <v>#REF!</v>
      </c>
      <c r="AB653" s="4" t="str">
        <f>IFERROR(__xludf.DUMMYFUNCTION("IFERROR(
  FILTER('CBK Students'!Q:Q, TRIM('CBK Students'!B:B) = TRIM(A653)),
  """"
)"),"#REF!")</f>
        <v>#REF!</v>
      </c>
    </row>
    <row r="654" ht="18.75" customHeight="1">
      <c r="T654" s="240" t="str">
        <f>IFERROR(__xludf.DUMMYFUNCTION("IFERROR(
  FILTER('CBK Students'!F:F, TRIM('CBK Students'!B:B) = TRIM(A654)),
  """"
)"),"#REF!")</f>
        <v>#REF!</v>
      </c>
      <c r="U654" s="240" t="str">
        <f>IFERROR(__xludf.DUMMYFUNCTION("IFERROR(
  FILTER('CBK Students'!H:H, TRIM('CBK Students'!B:B) = TRIM(A654)),
  """"
)"),"#REF!")</f>
        <v>#REF!</v>
      </c>
      <c r="V654" s="240" t="str">
        <f>IFERROR(__xludf.DUMMYFUNCTION("IFERROR(
  FILTER('CBK Students'!M:M, TRIM('CBK Students'!B:B) = TRIM(A654)),
  """"
)"),"#REF!")</f>
        <v>#REF!</v>
      </c>
      <c r="W654" s="240" t="str">
        <f t="shared" si="1"/>
        <v/>
      </c>
      <c r="X654" s="240" t="str">
        <f>IFERROR(__xludf.DUMMYFUNCTION("IFERROR(
  FILTER('CBK Students'!R:R, TRIM('CBK Students'!B:B) = TRIM(A654)),
  """"
)"),"#REF!")</f>
        <v>#REF!</v>
      </c>
      <c r="Y654" s="4" t="str">
        <f t="shared" si="2"/>
        <v/>
      </c>
      <c r="Z654" s="4" t="str">
        <f>IFERROR(__xludf.DUMMYFUNCTION("IFERROR(
  FILTER('CBK Students'!O:O, TRIM('CBK Students'!B:B) = TRIM(A654)),
  """"
)"),"#REF!")</f>
        <v>#REF!</v>
      </c>
      <c r="AA654" s="4" t="str">
        <f>IFERROR(__xludf.DUMMYFUNCTION("IFERROR(
  FILTER('CBK Students'!P:P, TRIM('CBK Students'!B:B) = TRIM(A654)),
  """"
)"),"#REF!")</f>
        <v>#REF!</v>
      </c>
      <c r="AB654" s="4" t="str">
        <f>IFERROR(__xludf.DUMMYFUNCTION("IFERROR(
  FILTER('CBK Students'!Q:Q, TRIM('CBK Students'!B:B) = TRIM(A654)),
  """"
)"),"#REF!")</f>
        <v>#REF!</v>
      </c>
    </row>
    <row r="655" ht="18.75" customHeight="1">
      <c r="T655" s="240" t="str">
        <f>IFERROR(__xludf.DUMMYFUNCTION("IFERROR(
  FILTER('CBK Students'!F:F, TRIM('CBK Students'!B:B) = TRIM(A655)),
  """"
)"),"#REF!")</f>
        <v>#REF!</v>
      </c>
      <c r="U655" s="240" t="str">
        <f>IFERROR(__xludf.DUMMYFUNCTION("IFERROR(
  FILTER('CBK Students'!H:H, TRIM('CBK Students'!B:B) = TRIM(A655)),
  """"
)"),"#REF!")</f>
        <v>#REF!</v>
      </c>
      <c r="V655" s="240" t="str">
        <f>IFERROR(__xludf.DUMMYFUNCTION("IFERROR(
  FILTER('CBK Students'!M:M, TRIM('CBK Students'!B:B) = TRIM(A655)),
  """"
)"),"#REF!")</f>
        <v>#REF!</v>
      </c>
      <c r="W655" s="240" t="str">
        <f t="shared" si="1"/>
        <v/>
      </c>
      <c r="X655" s="240" t="str">
        <f>IFERROR(__xludf.DUMMYFUNCTION("IFERROR(
  FILTER('CBK Students'!R:R, TRIM('CBK Students'!B:B) = TRIM(A655)),
  """"
)"),"#REF!")</f>
        <v>#REF!</v>
      </c>
      <c r="Y655" s="4" t="str">
        <f t="shared" si="2"/>
        <v/>
      </c>
      <c r="Z655" s="4" t="str">
        <f>IFERROR(__xludf.DUMMYFUNCTION("IFERROR(
  FILTER('CBK Students'!O:O, TRIM('CBK Students'!B:B) = TRIM(A655)),
  """"
)"),"#REF!")</f>
        <v>#REF!</v>
      </c>
      <c r="AA655" s="4" t="str">
        <f>IFERROR(__xludf.DUMMYFUNCTION("IFERROR(
  FILTER('CBK Students'!P:P, TRIM('CBK Students'!B:B) = TRIM(A655)),
  """"
)"),"#REF!")</f>
        <v>#REF!</v>
      </c>
      <c r="AB655" s="4" t="str">
        <f>IFERROR(__xludf.DUMMYFUNCTION("IFERROR(
  FILTER('CBK Students'!Q:Q, TRIM('CBK Students'!B:B) = TRIM(A655)),
  """"
)"),"#REF!")</f>
        <v>#REF!</v>
      </c>
    </row>
    <row r="656" ht="18.75" customHeight="1">
      <c r="T656" s="240" t="str">
        <f>IFERROR(__xludf.DUMMYFUNCTION("IFERROR(
  FILTER('CBK Students'!F:F, TRIM('CBK Students'!B:B) = TRIM(A656)),
  """"
)"),"#REF!")</f>
        <v>#REF!</v>
      </c>
      <c r="U656" s="240" t="str">
        <f>IFERROR(__xludf.DUMMYFUNCTION("IFERROR(
  FILTER('CBK Students'!H:H, TRIM('CBK Students'!B:B) = TRIM(A656)),
  """"
)"),"#REF!")</f>
        <v>#REF!</v>
      </c>
      <c r="V656" s="240" t="str">
        <f>IFERROR(__xludf.DUMMYFUNCTION("IFERROR(
  FILTER('CBK Students'!M:M, TRIM('CBK Students'!B:B) = TRIM(A656)),
  """"
)"),"#REF!")</f>
        <v>#REF!</v>
      </c>
      <c r="W656" s="240" t="str">
        <f t="shared" si="1"/>
        <v/>
      </c>
      <c r="X656" s="240" t="str">
        <f>IFERROR(__xludf.DUMMYFUNCTION("IFERROR(
  FILTER('CBK Students'!R:R, TRIM('CBK Students'!B:B) = TRIM(A656)),
  """"
)"),"#REF!")</f>
        <v>#REF!</v>
      </c>
      <c r="Y656" s="4" t="str">
        <f t="shared" si="2"/>
        <v/>
      </c>
      <c r="Z656" s="4" t="str">
        <f>IFERROR(__xludf.DUMMYFUNCTION("IFERROR(
  FILTER('CBK Students'!O:O, TRIM('CBK Students'!B:B) = TRIM(A656)),
  """"
)"),"#REF!")</f>
        <v>#REF!</v>
      </c>
      <c r="AA656" s="4" t="str">
        <f>IFERROR(__xludf.DUMMYFUNCTION("IFERROR(
  FILTER('CBK Students'!P:P, TRIM('CBK Students'!B:B) = TRIM(A656)),
  """"
)"),"#REF!")</f>
        <v>#REF!</v>
      </c>
      <c r="AB656" s="4" t="str">
        <f>IFERROR(__xludf.DUMMYFUNCTION("IFERROR(
  FILTER('CBK Students'!Q:Q, TRIM('CBK Students'!B:B) = TRIM(A656)),
  """"
)"),"#REF!")</f>
        <v>#REF!</v>
      </c>
    </row>
    <row r="657" ht="18.75" customHeight="1">
      <c r="T657" s="240" t="str">
        <f>IFERROR(__xludf.DUMMYFUNCTION("IFERROR(
  FILTER('CBK Students'!F:F, TRIM('CBK Students'!B:B) = TRIM(A657)),
  """"
)"),"#REF!")</f>
        <v>#REF!</v>
      </c>
      <c r="U657" s="240" t="str">
        <f>IFERROR(__xludf.DUMMYFUNCTION("IFERROR(
  FILTER('CBK Students'!H:H, TRIM('CBK Students'!B:B) = TRIM(A657)),
  """"
)"),"#REF!")</f>
        <v>#REF!</v>
      </c>
      <c r="V657" s="240" t="str">
        <f>IFERROR(__xludf.DUMMYFUNCTION("IFERROR(
  FILTER('CBK Students'!M:M, TRIM('CBK Students'!B:B) = TRIM(A657)),
  """"
)"),"#REF!")</f>
        <v>#REF!</v>
      </c>
      <c r="W657" s="240" t="str">
        <f t="shared" si="1"/>
        <v/>
      </c>
      <c r="X657" s="240" t="str">
        <f>IFERROR(__xludf.DUMMYFUNCTION("IFERROR(
  FILTER('CBK Students'!R:R, TRIM('CBK Students'!B:B) = TRIM(A657)),
  """"
)"),"#REF!")</f>
        <v>#REF!</v>
      </c>
      <c r="Y657" s="4" t="str">
        <f t="shared" si="2"/>
        <v/>
      </c>
      <c r="Z657" s="4" t="str">
        <f>IFERROR(__xludf.DUMMYFUNCTION("IFERROR(
  FILTER('CBK Students'!O:O, TRIM('CBK Students'!B:B) = TRIM(A657)),
  """"
)"),"#REF!")</f>
        <v>#REF!</v>
      </c>
      <c r="AA657" s="4" t="str">
        <f>IFERROR(__xludf.DUMMYFUNCTION("IFERROR(
  FILTER('CBK Students'!P:P, TRIM('CBK Students'!B:B) = TRIM(A657)),
  """"
)"),"#REF!")</f>
        <v>#REF!</v>
      </c>
      <c r="AB657" s="4" t="str">
        <f>IFERROR(__xludf.DUMMYFUNCTION("IFERROR(
  FILTER('CBK Students'!Q:Q, TRIM('CBK Students'!B:B) = TRIM(A657)),
  """"
)"),"#REF!")</f>
        <v>#REF!</v>
      </c>
    </row>
    <row r="658" ht="18.75" customHeight="1">
      <c r="T658" s="240" t="str">
        <f>IFERROR(__xludf.DUMMYFUNCTION("IFERROR(
  FILTER('CBK Students'!F:F, TRIM('CBK Students'!B:B) = TRIM(A658)),
  """"
)"),"#REF!")</f>
        <v>#REF!</v>
      </c>
      <c r="U658" s="240" t="str">
        <f>IFERROR(__xludf.DUMMYFUNCTION("IFERROR(
  FILTER('CBK Students'!H:H, TRIM('CBK Students'!B:B) = TRIM(A658)),
  """"
)"),"#REF!")</f>
        <v>#REF!</v>
      </c>
      <c r="V658" s="240" t="str">
        <f>IFERROR(__xludf.DUMMYFUNCTION("IFERROR(
  FILTER('CBK Students'!M:M, TRIM('CBK Students'!B:B) = TRIM(A658)),
  """"
)"),"#REF!")</f>
        <v>#REF!</v>
      </c>
      <c r="W658" s="240" t="str">
        <f t="shared" si="1"/>
        <v/>
      </c>
      <c r="X658" s="240" t="str">
        <f>IFERROR(__xludf.DUMMYFUNCTION("IFERROR(
  FILTER('CBK Students'!R:R, TRIM('CBK Students'!B:B) = TRIM(A658)),
  """"
)"),"#REF!")</f>
        <v>#REF!</v>
      </c>
      <c r="Y658" s="4" t="str">
        <f t="shared" si="2"/>
        <v/>
      </c>
      <c r="Z658" s="4" t="str">
        <f>IFERROR(__xludf.DUMMYFUNCTION("IFERROR(
  FILTER('CBK Students'!O:O, TRIM('CBK Students'!B:B) = TRIM(A658)),
  """"
)"),"#REF!")</f>
        <v>#REF!</v>
      </c>
      <c r="AA658" s="4" t="str">
        <f>IFERROR(__xludf.DUMMYFUNCTION("IFERROR(
  FILTER('CBK Students'!P:P, TRIM('CBK Students'!B:B) = TRIM(A658)),
  """"
)"),"#REF!")</f>
        <v>#REF!</v>
      </c>
      <c r="AB658" s="4" t="str">
        <f>IFERROR(__xludf.DUMMYFUNCTION("IFERROR(
  FILTER('CBK Students'!Q:Q, TRIM('CBK Students'!B:B) = TRIM(A658)),
  """"
)"),"#REF!")</f>
        <v>#REF!</v>
      </c>
    </row>
    <row r="659" ht="18.75" customHeight="1">
      <c r="T659" s="240" t="str">
        <f>IFERROR(__xludf.DUMMYFUNCTION("IFERROR(
  FILTER('CBK Students'!F:F, TRIM('CBK Students'!B:B) = TRIM(A659)),
  """"
)"),"#REF!")</f>
        <v>#REF!</v>
      </c>
      <c r="U659" s="240" t="str">
        <f>IFERROR(__xludf.DUMMYFUNCTION("IFERROR(
  FILTER('CBK Students'!H:H, TRIM('CBK Students'!B:B) = TRIM(A659)),
  """"
)"),"#REF!")</f>
        <v>#REF!</v>
      </c>
      <c r="V659" s="240" t="str">
        <f>IFERROR(__xludf.DUMMYFUNCTION("IFERROR(
  FILTER('CBK Students'!M:M, TRIM('CBK Students'!B:B) = TRIM(A659)),
  """"
)"),"#REF!")</f>
        <v>#REF!</v>
      </c>
      <c r="W659" s="240" t="str">
        <f t="shared" si="1"/>
        <v/>
      </c>
      <c r="X659" s="240" t="str">
        <f>IFERROR(__xludf.DUMMYFUNCTION("IFERROR(
  FILTER('CBK Students'!R:R, TRIM('CBK Students'!B:B) = TRIM(A659)),
  """"
)"),"#REF!")</f>
        <v>#REF!</v>
      </c>
      <c r="Y659" s="4" t="str">
        <f t="shared" si="2"/>
        <v/>
      </c>
      <c r="Z659" s="4" t="str">
        <f>IFERROR(__xludf.DUMMYFUNCTION("IFERROR(
  FILTER('CBK Students'!O:O, TRIM('CBK Students'!B:B) = TRIM(A659)),
  """"
)"),"#REF!")</f>
        <v>#REF!</v>
      </c>
      <c r="AA659" s="4" t="str">
        <f>IFERROR(__xludf.DUMMYFUNCTION("IFERROR(
  FILTER('CBK Students'!P:P, TRIM('CBK Students'!B:B) = TRIM(A659)),
  """"
)"),"#REF!")</f>
        <v>#REF!</v>
      </c>
      <c r="AB659" s="4" t="str">
        <f>IFERROR(__xludf.DUMMYFUNCTION("IFERROR(
  FILTER('CBK Students'!Q:Q, TRIM('CBK Students'!B:B) = TRIM(A659)),
  """"
)"),"#REF!")</f>
        <v>#REF!</v>
      </c>
    </row>
    <row r="660" ht="18.75" customHeight="1">
      <c r="T660" s="240" t="str">
        <f>IFERROR(__xludf.DUMMYFUNCTION("IFERROR(
  FILTER('CBK Students'!F:F, TRIM('CBK Students'!B:B) = TRIM(A660)),
  """"
)"),"#REF!")</f>
        <v>#REF!</v>
      </c>
      <c r="U660" s="240" t="str">
        <f>IFERROR(__xludf.DUMMYFUNCTION("IFERROR(
  FILTER('CBK Students'!H:H, TRIM('CBK Students'!B:B) = TRIM(A660)),
  """"
)"),"#REF!")</f>
        <v>#REF!</v>
      </c>
      <c r="V660" s="240" t="str">
        <f>IFERROR(__xludf.DUMMYFUNCTION("IFERROR(
  FILTER('CBK Students'!M:M, TRIM('CBK Students'!B:B) = TRIM(A660)),
  """"
)"),"#REF!")</f>
        <v>#REF!</v>
      </c>
      <c r="W660" s="240" t="str">
        <f t="shared" si="1"/>
        <v/>
      </c>
      <c r="X660" s="240" t="str">
        <f>IFERROR(__xludf.DUMMYFUNCTION("IFERROR(
  FILTER('CBK Students'!R:R, TRIM('CBK Students'!B:B) = TRIM(A660)),
  """"
)"),"#REF!")</f>
        <v>#REF!</v>
      </c>
      <c r="Y660" s="4" t="str">
        <f t="shared" si="2"/>
        <v/>
      </c>
      <c r="Z660" s="4" t="str">
        <f>IFERROR(__xludf.DUMMYFUNCTION("IFERROR(
  FILTER('CBK Students'!O:O, TRIM('CBK Students'!B:B) = TRIM(A660)),
  """"
)"),"#REF!")</f>
        <v>#REF!</v>
      </c>
      <c r="AA660" s="4" t="str">
        <f>IFERROR(__xludf.DUMMYFUNCTION("IFERROR(
  FILTER('CBK Students'!P:P, TRIM('CBK Students'!B:B) = TRIM(A660)),
  """"
)"),"#REF!")</f>
        <v>#REF!</v>
      </c>
      <c r="AB660" s="4" t="str">
        <f>IFERROR(__xludf.DUMMYFUNCTION("IFERROR(
  FILTER('CBK Students'!Q:Q, TRIM('CBK Students'!B:B) = TRIM(A660)),
  """"
)"),"#REF!")</f>
        <v>#REF!</v>
      </c>
    </row>
    <row r="661" ht="18.75" customHeight="1">
      <c r="T661" s="240" t="str">
        <f>IFERROR(__xludf.DUMMYFUNCTION("IFERROR(
  FILTER('CBK Students'!F:F, TRIM('CBK Students'!B:B) = TRIM(A661)),
  """"
)"),"#REF!")</f>
        <v>#REF!</v>
      </c>
      <c r="U661" s="240" t="str">
        <f>IFERROR(__xludf.DUMMYFUNCTION("IFERROR(
  FILTER('CBK Students'!H:H, TRIM('CBK Students'!B:B) = TRIM(A661)),
  """"
)"),"#REF!")</f>
        <v>#REF!</v>
      </c>
      <c r="V661" s="240" t="str">
        <f>IFERROR(__xludf.DUMMYFUNCTION("IFERROR(
  FILTER('CBK Students'!M:M, TRIM('CBK Students'!B:B) = TRIM(A661)),
  """"
)"),"#REF!")</f>
        <v>#REF!</v>
      </c>
      <c r="W661" s="240" t="str">
        <f t="shared" si="1"/>
        <v/>
      </c>
      <c r="X661" s="240" t="str">
        <f>IFERROR(__xludf.DUMMYFUNCTION("IFERROR(
  FILTER('CBK Students'!R:R, TRIM('CBK Students'!B:B) = TRIM(A661)),
  """"
)"),"#REF!")</f>
        <v>#REF!</v>
      </c>
      <c r="Y661" s="4" t="str">
        <f t="shared" si="2"/>
        <v/>
      </c>
      <c r="Z661" s="4" t="str">
        <f>IFERROR(__xludf.DUMMYFUNCTION("IFERROR(
  FILTER('CBK Students'!O:O, TRIM('CBK Students'!B:B) = TRIM(A661)),
  """"
)"),"#REF!")</f>
        <v>#REF!</v>
      </c>
      <c r="AA661" s="4" t="str">
        <f>IFERROR(__xludf.DUMMYFUNCTION("IFERROR(
  FILTER('CBK Students'!P:P, TRIM('CBK Students'!B:B) = TRIM(A661)),
  """"
)"),"#REF!")</f>
        <v>#REF!</v>
      </c>
      <c r="AB661" s="4" t="str">
        <f>IFERROR(__xludf.DUMMYFUNCTION("IFERROR(
  FILTER('CBK Students'!Q:Q, TRIM('CBK Students'!B:B) = TRIM(A661)),
  """"
)"),"#REF!")</f>
        <v>#REF!</v>
      </c>
    </row>
    <row r="662" ht="18.75" customHeight="1">
      <c r="T662" s="240" t="str">
        <f>IFERROR(__xludf.DUMMYFUNCTION("IFERROR(
  FILTER('CBK Students'!F:F, TRIM('CBK Students'!B:B) = TRIM(A662)),
  """"
)"),"#REF!")</f>
        <v>#REF!</v>
      </c>
      <c r="U662" s="240" t="str">
        <f>IFERROR(__xludf.DUMMYFUNCTION("IFERROR(
  FILTER('CBK Students'!H:H, TRIM('CBK Students'!B:B) = TRIM(A662)),
  """"
)"),"#REF!")</f>
        <v>#REF!</v>
      </c>
      <c r="V662" s="240" t="str">
        <f>IFERROR(__xludf.DUMMYFUNCTION("IFERROR(
  FILTER('CBK Students'!M:M, TRIM('CBK Students'!B:B) = TRIM(A662)),
  """"
)"),"#REF!")</f>
        <v>#REF!</v>
      </c>
      <c r="W662" s="240" t="str">
        <f t="shared" si="1"/>
        <v/>
      </c>
      <c r="X662" s="240" t="str">
        <f>IFERROR(__xludf.DUMMYFUNCTION("IFERROR(
  FILTER('CBK Students'!R:R, TRIM('CBK Students'!B:B) = TRIM(A662)),
  """"
)"),"#REF!")</f>
        <v>#REF!</v>
      </c>
      <c r="Y662" s="4" t="str">
        <f t="shared" si="2"/>
        <v/>
      </c>
      <c r="Z662" s="4" t="str">
        <f>IFERROR(__xludf.DUMMYFUNCTION("IFERROR(
  FILTER('CBK Students'!O:O, TRIM('CBK Students'!B:B) = TRIM(A662)),
  """"
)"),"#REF!")</f>
        <v>#REF!</v>
      </c>
      <c r="AA662" s="4" t="str">
        <f>IFERROR(__xludf.DUMMYFUNCTION("IFERROR(
  FILTER('CBK Students'!P:P, TRIM('CBK Students'!B:B) = TRIM(A662)),
  """"
)"),"#REF!")</f>
        <v>#REF!</v>
      </c>
      <c r="AB662" s="4" t="str">
        <f>IFERROR(__xludf.DUMMYFUNCTION("IFERROR(
  FILTER('CBK Students'!Q:Q, TRIM('CBK Students'!B:B) = TRIM(A662)),
  """"
)"),"#REF!")</f>
        <v>#REF!</v>
      </c>
    </row>
    <row r="663" ht="18.75" customHeight="1">
      <c r="T663" s="240" t="str">
        <f>IFERROR(__xludf.DUMMYFUNCTION("IFERROR(
  FILTER('CBK Students'!F:F, TRIM('CBK Students'!B:B) = TRIM(A663)),
  """"
)"),"#REF!")</f>
        <v>#REF!</v>
      </c>
      <c r="U663" s="240" t="str">
        <f>IFERROR(__xludf.DUMMYFUNCTION("IFERROR(
  FILTER('CBK Students'!H:H, TRIM('CBK Students'!B:B) = TRIM(A663)),
  """"
)"),"#REF!")</f>
        <v>#REF!</v>
      </c>
      <c r="V663" s="240" t="str">
        <f>IFERROR(__xludf.DUMMYFUNCTION("IFERROR(
  FILTER('CBK Students'!M:M, TRIM('CBK Students'!B:B) = TRIM(A663)),
  """"
)"),"#REF!")</f>
        <v>#REF!</v>
      </c>
      <c r="W663" s="240" t="str">
        <f t="shared" si="1"/>
        <v/>
      </c>
      <c r="X663" s="240" t="str">
        <f>IFERROR(__xludf.DUMMYFUNCTION("IFERROR(
  FILTER('CBK Students'!R:R, TRIM('CBK Students'!B:B) = TRIM(A663)),
  """"
)"),"#REF!")</f>
        <v>#REF!</v>
      </c>
      <c r="Y663" s="4" t="str">
        <f t="shared" si="2"/>
        <v/>
      </c>
      <c r="Z663" s="4" t="str">
        <f>IFERROR(__xludf.DUMMYFUNCTION("IFERROR(
  FILTER('CBK Students'!O:O, TRIM('CBK Students'!B:B) = TRIM(A663)),
  """"
)"),"#REF!")</f>
        <v>#REF!</v>
      </c>
      <c r="AA663" s="4" t="str">
        <f>IFERROR(__xludf.DUMMYFUNCTION("IFERROR(
  FILTER('CBK Students'!P:P, TRIM('CBK Students'!B:B) = TRIM(A663)),
  """"
)"),"#REF!")</f>
        <v>#REF!</v>
      </c>
      <c r="AB663" s="4" t="str">
        <f>IFERROR(__xludf.DUMMYFUNCTION("IFERROR(
  FILTER('CBK Students'!Q:Q, TRIM('CBK Students'!B:B) = TRIM(A663)),
  """"
)"),"#REF!")</f>
        <v>#REF!</v>
      </c>
    </row>
    <row r="664" ht="18.75" customHeight="1">
      <c r="T664" s="240" t="str">
        <f>IFERROR(__xludf.DUMMYFUNCTION("IFERROR(
  FILTER('CBK Students'!F:F, TRIM('CBK Students'!B:B) = TRIM(A664)),
  """"
)"),"#REF!")</f>
        <v>#REF!</v>
      </c>
      <c r="U664" s="240" t="str">
        <f>IFERROR(__xludf.DUMMYFUNCTION("IFERROR(
  FILTER('CBK Students'!H:H, TRIM('CBK Students'!B:B) = TRIM(A664)),
  """"
)"),"#REF!")</f>
        <v>#REF!</v>
      </c>
      <c r="V664" s="240" t="str">
        <f>IFERROR(__xludf.DUMMYFUNCTION("IFERROR(
  FILTER('CBK Students'!M:M, TRIM('CBK Students'!B:B) = TRIM(A664)),
  """"
)"),"#REF!")</f>
        <v>#REF!</v>
      </c>
      <c r="W664" s="240" t="str">
        <f t="shared" si="1"/>
        <v/>
      </c>
      <c r="X664" s="240" t="str">
        <f>IFERROR(__xludf.DUMMYFUNCTION("IFERROR(
  FILTER('CBK Students'!R:R, TRIM('CBK Students'!B:B) = TRIM(A664)),
  """"
)"),"#REF!")</f>
        <v>#REF!</v>
      </c>
      <c r="Y664" s="4" t="str">
        <f t="shared" si="2"/>
        <v/>
      </c>
      <c r="Z664" s="4" t="str">
        <f>IFERROR(__xludf.DUMMYFUNCTION("IFERROR(
  FILTER('CBK Students'!O:O, TRIM('CBK Students'!B:B) = TRIM(A664)),
  """"
)"),"#REF!")</f>
        <v>#REF!</v>
      </c>
      <c r="AA664" s="4" t="str">
        <f>IFERROR(__xludf.DUMMYFUNCTION("IFERROR(
  FILTER('CBK Students'!P:P, TRIM('CBK Students'!B:B) = TRIM(A664)),
  """"
)"),"#REF!")</f>
        <v>#REF!</v>
      </c>
      <c r="AB664" s="4" t="str">
        <f>IFERROR(__xludf.DUMMYFUNCTION("IFERROR(
  FILTER('CBK Students'!Q:Q, TRIM('CBK Students'!B:B) = TRIM(A664)),
  """"
)"),"#REF!")</f>
        <v>#REF!</v>
      </c>
    </row>
    <row r="665" ht="18.75" customHeight="1">
      <c r="T665" s="240" t="str">
        <f>IFERROR(__xludf.DUMMYFUNCTION("IFERROR(
  FILTER('CBK Students'!F:F, TRIM('CBK Students'!B:B) = TRIM(A665)),
  """"
)"),"#REF!")</f>
        <v>#REF!</v>
      </c>
      <c r="U665" s="240" t="str">
        <f>IFERROR(__xludf.DUMMYFUNCTION("IFERROR(
  FILTER('CBK Students'!H:H, TRIM('CBK Students'!B:B) = TRIM(A665)),
  """"
)"),"#REF!")</f>
        <v>#REF!</v>
      </c>
      <c r="V665" s="240" t="str">
        <f>IFERROR(__xludf.DUMMYFUNCTION("IFERROR(
  FILTER('CBK Students'!M:M, TRIM('CBK Students'!B:B) = TRIM(A665)),
  """"
)"),"#REF!")</f>
        <v>#REF!</v>
      </c>
      <c r="W665" s="240" t="str">
        <f t="shared" si="1"/>
        <v/>
      </c>
      <c r="X665" s="240" t="str">
        <f>IFERROR(__xludf.DUMMYFUNCTION("IFERROR(
  FILTER('CBK Students'!R:R, TRIM('CBK Students'!B:B) = TRIM(A665)),
  """"
)"),"#REF!")</f>
        <v>#REF!</v>
      </c>
      <c r="Y665" s="4" t="str">
        <f t="shared" si="2"/>
        <v/>
      </c>
      <c r="Z665" s="4" t="str">
        <f>IFERROR(__xludf.DUMMYFUNCTION("IFERROR(
  FILTER('CBK Students'!O:O, TRIM('CBK Students'!B:B) = TRIM(A665)),
  """"
)"),"#REF!")</f>
        <v>#REF!</v>
      </c>
      <c r="AA665" s="4" t="str">
        <f>IFERROR(__xludf.DUMMYFUNCTION("IFERROR(
  FILTER('CBK Students'!P:P, TRIM('CBK Students'!B:B) = TRIM(A665)),
  """"
)"),"#REF!")</f>
        <v>#REF!</v>
      </c>
      <c r="AB665" s="4" t="str">
        <f>IFERROR(__xludf.DUMMYFUNCTION("IFERROR(
  FILTER('CBK Students'!Q:Q, TRIM('CBK Students'!B:B) = TRIM(A665)),
  """"
)"),"#REF!")</f>
        <v>#REF!</v>
      </c>
    </row>
    <row r="666" ht="18.75" customHeight="1">
      <c r="T666" s="240" t="str">
        <f>IFERROR(__xludf.DUMMYFUNCTION("IFERROR(
  FILTER('CBK Students'!F:F, TRIM('CBK Students'!B:B) = TRIM(A666)),
  """"
)"),"#REF!")</f>
        <v>#REF!</v>
      </c>
      <c r="U666" s="240" t="str">
        <f>IFERROR(__xludf.DUMMYFUNCTION("IFERROR(
  FILTER('CBK Students'!H:H, TRIM('CBK Students'!B:B) = TRIM(A666)),
  """"
)"),"#REF!")</f>
        <v>#REF!</v>
      </c>
      <c r="V666" s="240" t="str">
        <f>IFERROR(__xludf.DUMMYFUNCTION("IFERROR(
  FILTER('CBK Students'!M:M, TRIM('CBK Students'!B:B) = TRIM(A666)),
  """"
)"),"#REF!")</f>
        <v>#REF!</v>
      </c>
      <c r="W666" s="240" t="str">
        <f t="shared" si="1"/>
        <v/>
      </c>
      <c r="X666" s="240" t="str">
        <f>IFERROR(__xludf.DUMMYFUNCTION("IFERROR(
  FILTER('CBK Students'!R:R, TRIM('CBK Students'!B:B) = TRIM(A666)),
  """"
)"),"#REF!")</f>
        <v>#REF!</v>
      </c>
      <c r="Y666" s="4" t="str">
        <f t="shared" si="2"/>
        <v/>
      </c>
      <c r="Z666" s="4" t="str">
        <f>IFERROR(__xludf.DUMMYFUNCTION("IFERROR(
  FILTER('CBK Students'!O:O, TRIM('CBK Students'!B:B) = TRIM(A666)),
  """"
)"),"#REF!")</f>
        <v>#REF!</v>
      </c>
      <c r="AA666" s="4" t="str">
        <f>IFERROR(__xludf.DUMMYFUNCTION("IFERROR(
  FILTER('CBK Students'!P:P, TRIM('CBK Students'!B:B) = TRIM(A666)),
  """"
)"),"#REF!")</f>
        <v>#REF!</v>
      </c>
      <c r="AB666" s="4" t="str">
        <f>IFERROR(__xludf.DUMMYFUNCTION("IFERROR(
  FILTER('CBK Students'!Q:Q, TRIM('CBK Students'!B:B) = TRIM(A666)),
  """"
)"),"#REF!")</f>
        <v>#REF!</v>
      </c>
    </row>
    <row r="667" ht="18.75" customHeight="1">
      <c r="T667" s="240" t="str">
        <f>IFERROR(__xludf.DUMMYFUNCTION("IFERROR(
  FILTER('CBK Students'!F:F, TRIM('CBK Students'!B:B) = TRIM(A667)),
  """"
)"),"#REF!")</f>
        <v>#REF!</v>
      </c>
      <c r="U667" s="240" t="str">
        <f>IFERROR(__xludf.DUMMYFUNCTION("IFERROR(
  FILTER('CBK Students'!H:H, TRIM('CBK Students'!B:B) = TRIM(A667)),
  """"
)"),"#REF!")</f>
        <v>#REF!</v>
      </c>
      <c r="V667" s="240" t="str">
        <f>IFERROR(__xludf.DUMMYFUNCTION("IFERROR(
  FILTER('CBK Students'!M:M, TRIM('CBK Students'!B:B) = TRIM(A667)),
  """"
)"),"#REF!")</f>
        <v>#REF!</v>
      </c>
      <c r="W667" s="240" t="str">
        <f t="shared" si="1"/>
        <v/>
      </c>
      <c r="X667" s="240" t="str">
        <f>IFERROR(__xludf.DUMMYFUNCTION("IFERROR(
  FILTER('CBK Students'!R:R, TRIM('CBK Students'!B:B) = TRIM(A667)),
  """"
)"),"#REF!")</f>
        <v>#REF!</v>
      </c>
      <c r="Y667" s="4" t="str">
        <f t="shared" si="2"/>
        <v/>
      </c>
      <c r="Z667" s="4" t="str">
        <f>IFERROR(__xludf.DUMMYFUNCTION("IFERROR(
  FILTER('CBK Students'!O:O, TRIM('CBK Students'!B:B) = TRIM(A667)),
  """"
)"),"#REF!")</f>
        <v>#REF!</v>
      </c>
      <c r="AA667" s="4" t="str">
        <f>IFERROR(__xludf.DUMMYFUNCTION("IFERROR(
  FILTER('CBK Students'!P:P, TRIM('CBK Students'!B:B) = TRIM(A667)),
  """"
)"),"#REF!")</f>
        <v>#REF!</v>
      </c>
      <c r="AB667" s="4" t="str">
        <f>IFERROR(__xludf.DUMMYFUNCTION("IFERROR(
  FILTER('CBK Students'!Q:Q, TRIM('CBK Students'!B:B) = TRIM(A667)),
  """"
)"),"#REF!")</f>
        <v>#REF!</v>
      </c>
    </row>
    <row r="668" ht="18.75" customHeight="1">
      <c r="T668" s="240" t="str">
        <f>IFERROR(__xludf.DUMMYFUNCTION("IFERROR(
  FILTER('CBK Students'!F:F, TRIM('CBK Students'!B:B) = TRIM(A668)),
  """"
)"),"#REF!")</f>
        <v>#REF!</v>
      </c>
      <c r="U668" s="240" t="str">
        <f>IFERROR(__xludf.DUMMYFUNCTION("IFERROR(
  FILTER('CBK Students'!H:H, TRIM('CBK Students'!B:B) = TRIM(A668)),
  """"
)"),"#REF!")</f>
        <v>#REF!</v>
      </c>
      <c r="V668" s="240" t="str">
        <f>IFERROR(__xludf.DUMMYFUNCTION("IFERROR(
  FILTER('CBK Students'!M:M, TRIM('CBK Students'!B:B) = TRIM(A668)),
  """"
)"),"#REF!")</f>
        <v>#REF!</v>
      </c>
      <c r="W668" s="240" t="str">
        <f t="shared" si="1"/>
        <v/>
      </c>
      <c r="X668" s="240" t="str">
        <f>IFERROR(__xludf.DUMMYFUNCTION("IFERROR(
  FILTER('CBK Students'!R:R, TRIM('CBK Students'!B:B) = TRIM(A668)),
  """"
)"),"#REF!")</f>
        <v>#REF!</v>
      </c>
      <c r="Y668" s="4" t="str">
        <f t="shared" si="2"/>
        <v/>
      </c>
      <c r="Z668" s="4" t="str">
        <f>IFERROR(__xludf.DUMMYFUNCTION("IFERROR(
  FILTER('CBK Students'!O:O, TRIM('CBK Students'!B:B) = TRIM(A668)),
  """"
)"),"#REF!")</f>
        <v>#REF!</v>
      </c>
      <c r="AA668" s="4" t="str">
        <f>IFERROR(__xludf.DUMMYFUNCTION("IFERROR(
  FILTER('CBK Students'!P:P, TRIM('CBK Students'!B:B) = TRIM(A668)),
  """"
)"),"#REF!")</f>
        <v>#REF!</v>
      </c>
      <c r="AB668" s="4" t="str">
        <f>IFERROR(__xludf.DUMMYFUNCTION("IFERROR(
  FILTER('CBK Students'!Q:Q, TRIM('CBK Students'!B:B) = TRIM(A668)),
  """"
)"),"#REF!")</f>
        <v>#REF!</v>
      </c>
    </row>
    <row r="669" ht="18.75" customHeight="1">
      <c r="T669" s="240" t="str">
        <f>IFERROR(__xludf.DUMMYFUNCTION("IFERROR(
  FILTER('CBK Students'!F:F, TRIM('CBK Students'!B:B) = TRIM(A669)),
  """"
)"),"#REF!")</f>
        <v>#REF!</v>
      </c>
      <c r="U669" s="240" t="str">
        <f>IFERROR(__xludf.DUMMYFUNCTION("IFERROR(
  FILTER('CBK Students'!H:H, TRIM('CBK Students'!B:B) = TRIM(A669)),
  """"
)"),"#REF!")</f>
        <v>#REF!</v>
      </c>
      <c r="V669" s="240" t="str">
        <f>IFERROR(__xludf.DUMMYFUNCTION("IFERROR(
  FILTER('CBK Students'!M:M, TRIM('CBK Students'!B:B) = TRIM(A669)),
  """"
)"),"#REF!")</f>
        <v>#REF!</v>
      </c>
      <c r="W669" s="240" t="str">
        <f t="shared" si="1"/>
        <v/>
      </c>
      <c r="X669" s="240" t="str">
        <f>IFERROR(__xludf.DUMMYFUNCTION("IFERROR(
  FILTER('CBK Students'!R:R, TRIM('CBK Students'!B:B) = TRIM(A669)),
  """"
)"),"#REF!")</f>
        <v>#REF!</v>
      </c>
      <c r="Y669" s="4" t="str">
        <f t="shared" si="2"/>
        <v/>
      </c>
      <c r="Z669" s="4" t="str">
        <f>IFERROR(__xludf.DUMMYFUNCTION("IFERROR(
  FILTER('CBK Students'!O:O, TRIM('CBK Students'!B:B) = TRIM(A669)),
  """"
)"),"#REF!")</f>
        <v>#REF!</v>
      </c>
      <c r="AA669" s="4" t="str">
        <f>IFERROR(__xludf.DUMMYFUNCTION("IFERROR(
  FILTER('CBK Students'!P:P, TRIM('CBK Students'!B:B) = TRIM(A669)),
  """"
)"),"#REF!")</f>
        <v>#REF!</v>
      </c>
      <c r="AB669" s="4" t="str">
        <f>IFERROR(__xludf.DUMMYFUNCTION("IFERROR(
  FILTER('CBK Students'!Q:Q, TRIM('CBK Students'!B:B) = TRIM(A669)),
  """"
)"),"#REF!")</f>
        <v>#REF!</v>
      </c>
    </row>
    <row r="670" ht="18.75" customHeight="1">
      <c r="T670" s="240" t="str">
        <f>IFERROR(__xludf.DUMMYFUNCTION("IFERROR(
  FILTER('CBK Students'!F:F, TRIM('CBK Students'!B:B) = TRIM(A670)),
  """"
)"),"#REF!")</f>
        <v>#REF!</v>
      </c>
      <c r="U670" s="240" t="str">
        <f>IFERROR(__xludf.DUMMYFUNCTION("IFERROR(
  FILTER('CBK Students'!H:H, TRIM('CBK Students'!B:B) = TRIM(A670)),
  """"
)"),"#REF!")</f>
        <v>#REF!</v>
      </c>
      <c r="V670" s="240" t="str">
        <f>IFERROR(__xludf.DUMMYFUNCTION("IFERROR(
  FILTER('CBK Students'!M:M, TRIM('CBK Students'!B:B) = TRIM(A670)),
  """"
)"),"#REF!")</f>
        <v>#REF!</v>
      </c>
      <c r="W670" s="240" t="str">
        <f t="shared" si="1"/>
        <v/>
      </c>
      <c r="X670" s="240" t="str">
        <f>IFERROR(__xludf.DUMMYFUNCTION("IFERROR(
  FILTER('CBK Students'!R:R, TRIM('CBK Students'!B:B) = TRIM(A670)),
  """"
)"),"#REF!")</f>
        <v>#REF!</v>
      </c>
      <c r="Y670" s="4" t="str">
        <f t="shared" si="2"/>
        <v/>
      </c>
      <c r="Z670" s="4" t="str">
        <f>IFERROR(__xludf.DUMMYFUNCTION("IFERROR(
  FILTER('CBK Students'!O:O, TRIM('CBK Students'!B:B) = TRIM(A670)),
  """"
)"),"#REF!")</f>
        <v>#REF!</v>
      </c>
      <c r="AA670" s="4" t="str">
        <f>IFERROR(__xludf.DUMMYFUNCTION("IFERROR(
  FILTER('CBK Students'!P:P, TRIM('CBK Students'!B:B) = TRIM(A670)),
  """"
)"),"#REF!")</f>
        <v>#REF!</v>
      </c>
      <c r="AB670" s="4" t="str">
        <f>IFERROR(__xludf.DUMMYFUNCTION("IFERROR(
  FILTER('CBK Students'!Q:Q, TRIM('CBK Students'!B:B) = TRIM(A670)),
  """"
)"),"#REF!")</f>
        <v>#REF!</v>
      </c>
    </row>
    <row r="671" ht="18.75" customHeight="1">
      <c r="T671" s="240" t="str">
        <f>IFERROR(__xludf.DUMMYFUNCTION("IFERROR(
  FILTER('CBK Students'!F:F, TRIM('CBK Students'!B:B) = TRIM(A671)),
  """"
)"),"#REF!")</f>
        <v>#REF!</v>
      </c>
      <c r="U671" s="240" t="str">
        <f>IFERROR(__xludf.DUMMYFUNCTION("IFERROR(
  FILTER('CBK Students'!H:H, TRIM('CBK Students'!B:B) = TRIM(A671)),
  """"
)"),"#REF!")</f>
        <v>#REF!</v>
      </c>
      <c r="V671" s="240" t="str">
        <f>IFERROR(__xludf.DUMMYFUNCTION("IFERROR(
  FILTER('CBK Students'!M:M, TRIM('CBK Students'!B:B) = TRIM(A671)),
  """"
)"),"#REF!")</f>
        <v>#REF!</v>
      </c>
      <c r="W671" s="240" t="str">
        <f t="shared" si="1"/>
        <v/>
      </c>
      <c r="X671" s="240" t="str">
        <f>IFERROR(__xludf.DUMMYFUNCTION("IFERROR(
  FILTER('CBK Students'!R:R, TRIM('CBK Students'!B:B) = TRIM(A671)),
  """"
)"),"#REF!")</f>
        <v>#REF!</v>
      </c>
      <c r="Y671" s="4" t="str">
        <f t="shared" si="2"/>
        <v/>
      </c>
      <c r="Z671" s="4" t="str">
        <f>IFERROR(__xludf.DUMMYFUNCTION("IFERROR(
  FILTER('CBK Students'!O:O, TRIM('CBK Students'!B:B) = TRIM(A671)),
  """"
)"),"#REF!")</f>
        <v>#REF!</v>
      </c>
      <c r="AA671" s="4" t="str">
        <f>IFERROR(__xludf.DUMMYFUNCTION("IFERROR(
  FILTER('CBK Students'!P:P, TRIM('CBK Students'!B:B) = TRIM(A671)),
  """"
)"),"#REF!")</f>
        <v>#REF!</v>
      </c>
      <c r="AB671" s="4" t="str">
        <f>IFERROR(__xludf.DUMMYFUNCTION("IFERROR(
  FILTER('CBK Students'!Q:Q, TRIM('CBK Students'!B:B) = TRIM(A671)),
  """"
)"),"#REF!")</f>
        <v>#REF!</v>
      </c>
    </row>
    <row r="672" ht="18.75" customHeight="1">
      <c r="T672" s="240" t="str">
        <f>IFERROR(__xludf.DUMMYFUNCTION("IFERROR(
  FILTER('CBK Students'!F:F, TRIM('CBK Students'!B:B) = TRIM(A672)),
  """"
)"),"#REF!")</f>
        <v>#REF!</v>
      </c>
      <c r="U672" s="240" t="str">
        <f>IFERROR(__xludf.DUMMYFUNCTION("IFERROR(
  FILTER('CBK Students'!H:H, TRIM('CBK Students'!B:B) = TRIM(A672)),
  """"
)"),"#REF!")</f>
        <v>#REF!</v>
      </c>
      <c r="V672" s="240" t="str">
        <f>IFERROR(__xludf.DUMMYFUNCTION("IFERROR(
  FILTER('CBK Students'!M:M, TRIM('CBK Students'!B:B) = TRIM(A672)),
  """"
)"),"#REF!")</f>
        <v>#REF!</v>
      </c>
      <c r="W672" s="240" t="str">
        <f t="shared" si="1"/>
        <v/>
      </c>
      <c r="X672" s="240" t="str">
        <f>IFERROR(__xludf.DUMMYFUNCTION("IFERROR(
  FILTER('CBK Students'!R:R, TRIM('CBK Students'!B:B) = TRIM(A672)),
  """"
)"),"#REF!")</f>
        <v>#REF!</v>
      </c>
      <c r="Y672" s="4" t="str">
        <f t="shared" si="2"/>
        <v/>
      </c>
      <c r="Z672" s="4" t="str">
        <f>IFERROR(__xludf.DUMMYFUNCTION("IFERROR(
  FILTER('CBK Students'!O:O, TRIM('CBK Students'!B:B) = TRIM(A672)),
  """"
)"),"#REF!")</f>
        <v>#REF!</v>
      </c>
      <c r="AA672" s="4" t="str">
        <f>IFERROR(__xludf.DUMMYFUNCTION("IFERROR(
  FILTER('CBK Students'!P:P, TRIM('CBK Students'!B:B) = TRIM(A672)),
  """"
)"),"#REF!")</f>
        <v>#REF!</v>
      </c>
      <c r="AB672" s="4" t="str">
        <f>IFERROR(__xludf.DUMMYFUNCTION("IFERROR(
  FILTER('CBK Students'!Q:Q, TRIM('CBK Students'!B:B) = TRIM(A672)),
  """"
)"),"#REF!")</f>
        <v>#REF!</v>
      </c>
    </row>
    <row r="673" ht="18.75" customHeight="1">
      <c r="T673" s="240" t="str">
        <f>IFERROR(__xludf.DUMMYFUNCTION("IFERROR(
  FILTER('CBK Students'!F:F, TRIM('CBK Students'!B:B) = TRIM(A673)),
  """"
)"),"#REF!")</f>
        <v>#REF!</v>
      </c>
      <c r="U673" s="240" t="str">
        <f>IFERROR(__xludf.DUMMYFUNCTION("IFERROR(
  FILTER('CBK Students'!H:H, TRIM('CBK Students'!B:B) = TRIM(A673)),
  """"
)"),"#REF!")</f>
        <v>#REF!</v>
      </c>
      <c r="V673" s="240" t="str">
        <f>IFERROR(__xludf.DUMMYFUNCTION("IFERROR(
  FILTER('CBK Students'!M:M, TRIM('CBK Students'!B:B) = TRIM(A673)),
  """"
)"),"#REF!")</f>
        <v>#REF!</v>
      </c>
      <c r="W673" s="240" t="str">
        <f t="shared" si="1"/>
        <v/>
      </c>
      <c r="X673" s="240" t="str">
        <f>IFERROR(__xludf.DUMMYFUNCTION("IFERROR(
  FILTER('CBK Students'!R:R, TRIM('CBK Students'!B:B) = TRIM(A673)),
  """"
)"),"#REF!")</f>
        <v>#REF!</v>
      </c>
      <c r="Y673" s="4" t="str">
        <f t="shared" si="2"/>
        <v/>
      </c>
      <c r="Z673" s="4" t="str">
        <f>IFERROR(__xludf.DUMMYFUNCTION("IFERROR(
  FILTER('CBK Students'!O:O, TRIM('CBK Students'!B:B) = TRIM(A673)),
  """"
)"),"#REF!")</f>
        <v>#REF!</v>
      </c>
      <c r="AA673" s="4" t="str">
        <f>IFERROR(__xludf.DUMMYFUNCTION("IFERROR(
  FILTER('CBK Students'!P:P, TRIM('CBK Students'!B:B) = TRIM(A673)),
  """"
)"),"#REF!")</f>
        <v>#REF!</v>
      </c>
      <c r="AB673" s="4" t="str">
        <f>IFERROR(__xludf.DUMMYFUNCTION("IFERROR(
  FILTER('CBK Students'!Q:Q, TRIM('CBK Students'!B:B) = TRIM(A673)),
  """"
)"),"#REF!")</f>
        <v>#REF!</v>
      </c>
    </row>
    <row r="674" ht="18.75" customHeight="1">
      <c r="T674" s="240" t="str">
        <f>IFERROR(__xludf.DUMMYFUNCTION("IFERROR(
  FILTER('CBK Students'!F:F, TRIM('CBK Students'!B:B) = TRIM(A674)),
  """"
)"),"#REF!")</f>
        <v>#REF!</v>
      </c>
      <c r="U674" s="240" t="str">
        <f>IFERROR(__xludf.DUMMYFUNCTION("IFERROR(
  FILTER('CBK Students'!H:H, TRIM('CBK Students'!B:B) = TRIM(A674)),
  """"
)"),"#REF!")</f>
        <v>#REF!</v>
      </c>
      <c r="V674" s="240" t="str">
        <f>IFERROR(__xludf.DUMMYFUNCTION("IFERROR(
  FILTER('CBK Students'!M:M, TRIM('CBK Students'!B:B) = TRIM(A674)),
  """"
)"),"#REF!")</f>
        <v>#REF!</v>
      </c>
      <c r="W674" s="240" t="str">
        <f t="shared" si="1"/>
        <v/>
      </c>
      <c r="X674" s="240" t="str">
        <f>IFERROR(__xludf.DUMMYFUNCTION("IFERROR(
  FILTER('CBK Students'!R:R, TRIM('CBK Students'!B:B) = TRIM(A674)),
  """"
)"),"#REF!")</f>
        <v>#REF!</v>
      </c>
      <c r="Y674" s="4" t="str">
        <f t="shared" si="2"/>
        <v/>
      </c>
      <c r="Z674" s="4" t="str">
        <f>IFERROR(__xludf.DUMMYFUNCTION("IFERROR(
  FILTER('CBK Students'!O:O, TRIM('CBK Students'!B:B) = TRIM(A674)),
  """"
)"),"#REF!")</f>
        <v>#REF!</v>
      </c>
      <c r="AA674" s="4" t="str">
        <f>IFERROR(__xludf.DUMMYFUNCTION("IFERROR(
  FILTER('CBK Students'!P:P, TRIM('CBK Students'!B:B) = TRIM(A674)),
  """"
)"),"#REF!")</f>
        <v>#REF!</v>
      </c>
      <c r="AB674" s="4" t="str">
        <f>IFERROR(__xludf.DUMMYFUNCTION("IFERROR(
  FILTER('CBK Students'!Q:Q, TRIM('CBK Students'!B:B) = TRIM(A674)),
  """"
)"),"#REF!")</f>
        <v>#REF!</v>
      </c>
    </row>
    <row r="675" ht="18.75" customHeight="1">
      <c r="T675" s="240" t="str">
        <f>IFERROR(__xludf.DUMMYFUNCTION("IFERROR(
  FILTER('CBK Students'!F:F, TRIM('CBK Students'!B:B) = TRIM(A675)),
  """"
)"),"#REF!")</f>
        <v>#REF!</v>
      </c>
      <c r="U675" s="240" t="str">
        <f>IFERROR(__xludf.DUMMYFUNCTION("IFERROR(
  FILTER('CBK Students'!H:H, TRIM('CBK Students'!B:B) = TRIM(A675)),
  """"
)"),"#REF!")</f>
        <v>#REF!</v>
      </c>
      <c r="V675" s="240" t="str">
        <f>IFERROR(__xludf.DUMMYFUNCTION("IFERROR(
  FILTER('CBK Students'!M:M, TRIM('CBK Students'!B:B) = TRIM(A675)),
  """"
)"),"#REF!")</f>
        <v>#REF!</v>
      </c>
      <c r="W675" s="240" t="str">
        <f t="shared" si="1"/>
        <v/>
      </c>
      <c r="X675" s="240" t="str">
        <f>IFERROR(__xludf.DUMMYFUNCTION("IFERROR(
  FILTER('CBK Students'!R:R, TRIM('CBK Students'!B:B) = TRIM(A675)),
  """"
)"),"#REF!")</f>
        <v>#REF!</v>
      </c>
      <c r="Y675" s="4" t="str">
        <f t="shared" si="2"/>
        <v/>
      </c>
      <c r="Z675" s="4" t="str">
        <f>IFERROR(__xludf.DUMMYFUNCTION("IFERROR(
  FILTER('CBK Students'!O:O, TRIM('CBK Students'!B:B) = TRIM(A675)),
  """"
)"),"#REF!")</f>
        <v>#REF!</v>
      </c>
      <c r="AA675" s="4" t="str">
        <f>IFERROR(__xludf.DUMMYFUNCTION("IFERROR(
  FILTER('CBK Students'!P:P, TRIM('CBK Students'!B:B) = TRIM(A675)),
  """"
)"),"#REF!")</f>
        <v>#REF!</v>
      </c>
      <c r="AB675" s="4" t="str">
        <f>IFERROR(__xludf.DUMMYFUNCTION("IFERROR(
  FILTER('CBK Students'!Q:Q, TRIM('CBK Students'!B:B) = TRIM(A675)),
  """"
)"),"#REF!")</f>
        <v>#REF!</v>
      </c>
    </row>
    <row r="676" ht="18.75" customHeight="1">
      <c r="T676" s="240" t="str">
        <f>IFERROR(__xludf.DUMMYFUNCTION("IFERROR(
  FILTER('CBK Students'!F:F, TRIM('CBK Students'!B:B) = TRIM(A676)),
  """"
)"),"#REF!")</f>
        <v>#REF!</v>
      </c>
      <c r="U676" s="240" t="str">
        <f>IFERROR(__xludf.DUMMYFUNCTION("IFERROR(
  FILTER('CBK Students'!H:H, TRIM('CBK Students'!B:B) = TRIM(A676)),
  """"
)"),"#REF!")</f>
        <v>#REF!</v>
      </c>
      <c r="V676" s="240" t="str">
        <f>IFERROR(__xludf.DUMMYFUNCTION("IFERROR(
  FILTER('CBK Students'!M:M, TRIM('CBK Students'!B:B) = TRIM(A676)),
  """"
)"),"#REF!")</f>
        <v>#REF!</v>
      </c>
      <c r="W676" s="240" t="str">
        <f t="shared" si="1"/>
        <v/>
      </c>
      <c r="X676" s="240" t="str">
        <f>IFERROR(__xludf.DUMMYFUNCTION("IFERROR(
  FILTER('CBK Students'!R:R, TRIM('CBK Students'!B:B) = TRIM(A676)),
  """"
)"),"#REF!")</f>
        <v>#REF!</v>
      </c>
      <c r="Y676" s="4" t="str">
        <f t="shared" si="2"/>
        <v/>
      </c>
      <c r="Z676" s="4" t="str">
        <f>IFERROR(__xludf.DUMMYFUNCTION("IFERROR(
  FILTER('CBK Students'!O:O, TRIM('CBK Students'!B:B) = TRIM(A676)),
  """"
)"),"#REF!")</f>
        <v>#REF!</v>
      </c>
      <c r="AA676" s="4" t="str">
        <f>IFERROR(__xludf.DUMMYFUNCTION("IFERROR(
  FILTER('CBK Students'!P:P, TRIM('CBK Students'!B:B) = TRIM(A676)),
  """"
)"),"#REF!")</f>
        <v>#REF!</v>
      </c>
      <c r="AB676" s="4" t="str">
        <f>IFERROR(__xludf.DUMMYFUNCTION("IFERROR(
  FILTER('CBK Students'!Q:Q, TRIM('CBK Students'!B:B) = TRIM(A676)),
  """"
)"),"#REF!")</f>
        <v>#REF!</v>
      </c>
    </row>
    <row r="677" ht="18.75" customHeight="1">
      <c r="T677" s="240" t="str">
        <f>IFERROR(__xludf.DUMMYFUNCTION("IFERROR(
  FILTER('CBK Students'!F:F, TRIM('CBK Students'!B:B) = TRIM(A677)),
  """"
)"),"#REF!")</f>
        <v>#REF!</v>
      </c>
      <c r="U677" s="240" t="str">
        <f>IFERROR(__xludf.DUMMYFUNCTION("IFERROR(
  FILTER('CBK Students'!H:H, TRIM('CBK Students'!B:B) = TRIM(A677)),
  """"
)"),"#REF!")</f>
        <v>#REF!</v>
      </c>
      <c r="V677" s="240" t="str">
        <f>IFERROR(__xludf.DUMMYFUNCTION("IFERROR(
  FILTER('CBK Students'!M:M, TRIM('CBK Students'!B:B) = TRIM(A677)),
  """"
)"),"#REF!")</f>
        <v>#REF!</v>
      </c>
      <c r="W677" s="240" t="str">
        <f t="shared" si="1"/>
        <v/>
      </c>
      <c r="X677" s="240" t="str">
        <f>IFERROR(__xludf.DUMMYFUNCTION("IFERROR(
  FILTER('CBK Students'!R:R, TRIM('CBK Students'!B:B) = TRIM(A677)),
  """"
)"),"#REF!")</f>
        <v>#REF!</v>
      </c>
      <c r="Y677" s="4" t="str">
        <f t="shared" si="2"/>
        <v/>
      </c>
      <c r="Z677" s="4" t="str">
        <f>IFERROR(__xludf.DUMMYFUNCTION("IFERROR(
  FILTER('CBK Students'!O:O, TRIM('CBK Students'!B:B) = TRIM(A677)),
  """"
)"),"#REF!")</f>
        <v>#REF!</v>
      </c>
      <c r="AA677" s="4" t="str">
        <f>IFERROR(__xludf.DUMMYFUNCTION("IFERROR(
  FILTER('CBK Students'!P:P, TRIM('CBK Students'!B:B) = TRIM(A677)),
  """"
)"),"#REF!")</f>
        <v>#REF!</v>
      </c>
      <c r="AB677" s="4" t="str">
        <f>IFERROR(__xludf.DUMMYFUNCTION("IFERROR(
  FILTER('CBK Students'!Q:Q, TRIM('CBK Students'!B:B) = TRIM(A677)),
  """"
)"),"#REF!")</f>
        <v>#REF!</v>
      </c>
    </row>
    <row r="678" ht="18.75" customHeight="1">
      <c r="T678" s="240" t="str">
        <f>IFERROR(__xludf.DUMMYFUNCTION("IFERROR(
  FILTER('CBK Students'!F:F, TRIM('CBK Students'!B:B) = TRIM(A678)),
  """"
)"),"#REF!")</f>
        <v>#REF!</v>
      </c>
      <c r="U678" s="240" t="str">
        <f>IFERROR(__xludf.DUMMYFUNCTION("IFERROR(
  FILTER('CBK Students'!H:H, TRIM('CBK Students'!B:B) = TRIM(A678)),
  """"
)"),"#REF!")</f>
        <v>#REF!</v>
      </c>
      <c r="V678" s="240" t="str">
        <f>IFERROR(__xludf.DUMMYFUNCTION("IFERROR(
  FILTER('CBK Students'!M:M, TRIM('CBK Students'!B:B) = TRIM(A678)),
  """"
)"),"#REF!")</f>
        <v>#REF!</v>
      </c>
      <c r="W678" s="240" t="str">
        <f t="shared" si="1"/>
        <v/>
      </c>
      <c r="X678" s="240" t="str">
        <f>IFERROR(__xludf.DUMMYFUNCTION("IFERROR(
  FILTER('CBK Students'!R:R, TRIM('CBK Students'!B:B) = TRIM(A678)),
  """"
)"),"#REF!")</f>
        <v>#REF!</v>
      </c>
      <c r="Y678" s="4" t="str">
        <f t="shared" si="2"/>
        <v/>
      </c>
      <c r="Z678" s="4" t="str">
        <f>IFERROR(__xludf.DUMMYFUNCTION("IFERROR(
  FILTER('CBK Students'!O:O, TRIM('CBK Students'!B:B) = TRIM(A678)),
  """"
)"),"#REF!")</f>
        <v>#REF!</v>
      </c>
      <c r="AA678" s="4" t="str">
        <f>IFERROR(__xludf.DUMMYFUNCTION("IFERROR(
  FILTER('CBK Students'!P:P, TRIM('CBK Students'!B:B) = TRIM(A678)),
  """"
)"),"#REF!")</f>
        <v>#REF!</v>
      </c>
      <c r="AB678" s="4" t="str">
        <f>IFERROR(__xludf.DUMMYFUNCTION("IFERROR(
  FILTER('CBK Students'!Q:Q, TRIM('CBK Students'!B:B) = TRIM(A678)),
  """"
)"),"#REF!")</f>
        <v>#REF!</v>
      </c>
    </row>
    <row r="679" ht="18.75" customHeight="1">
      <c r="T679" s="240" t="str">
        <f>IFERROR(__xludf.DUMMYFUNCTION("IFERROR(
  FILTER('CBK Students'!F:F, TRIM('CBK Students'!B:B) = TRIM(A679)),
  """"
)"),"#REF!")</f>
        <v>#REF!</v>
      </c>
      <c r="U679" s="240" t="str">
        <f>IFERROR(__xludf.DUMMYFUNCTION("IFERROR(
  FILTER('CBK Students'!H:H, TRIM('CBK Students'!B:B) = TRIM(A679)),
  """"
)"),"#REF!")</f>
        <v>#REF!</v>
      </c>
      <c r="V679" s="240" t="str">
        <f>IFERROR(__xludf.DUMMYFUNCTION("IFERROR(
  FILTER('CBK Students'!M:M, TRIM('CBK Students'!B:B) = TRIM(A679)),
  """"
)"),"#REF!")</f>
        <v>#REF!</v>
      </c>
      <c r="W679" s="240" t="str">
        <f t="shared" si="1"/>
        <v/>
      </c>
      <c r="X679" s="240" t="str">
        <f>IFERROR(__xludf.DUMMYFUNCTION("IFERROR(
  FILTER('CBK Students'!R:R, TRIM('CBK Students'!B:B) = TRIM(A679)),
  """"
)"),"#REF!")</f>
        <v>#REF!</v>
      </c>
      <c r="Y679" s="4" t="str">
        <f t="shared" si="2"/>
        <v/>
      </c>
      <c r="Z679" s="4" t="str">
        <f>IFERROR(__xludf.DUMMYFUNCTION("IFERROR(
  FILTER('CBK Students'!O:O, TRIM('CBK Students'!B:B) = TRIM(A679)),
  """"
)"),"#REF!")</f>
        <v>#REF!</v>
      </c>
      <c r="AA679" s="4" t="str">
        <f>IFERROR(__xludf.DUMMYFUNCTION("IFERROR(
  FILTER('CBK Students'!P:P, TRIM('CBK Students'!B:B) = TRIM(A679)),
  """"
)"),"#REF!")</f>
        <v>#REF!</v>
      </c>
      <c r="AB679" s="4" t="str">
        <f>IFERROR(__xludf.DUMMYFUNCTION("IFERROR(
  FILTER('CBK Students'!Q:Q, TRIM('CBK Students'!B:B) = TRIM(A679)),
  """"
)"),"#REF!")</f>
        <v>#REF!</v>
      </c>
    </row>
    <row r="680" ht="18.75" customHeight="1">
      <c r="T680" s="240" t="str">
        <f>IFERROR(__xludf.DUMMYFUNCTION("IFERROR(
  FILTER('CBK Students'!F:F, TRIM('CBK Students'!B:B) = TRIM(A680)),
  """"
)"),"#REF!")</f>
        <v>#REF!</v>
      </c>
      <c r="U680" s="240" t="str">
        <f>IFERROR(__xludf.DUMMYFUNCTION("IFERROR(
  FILTER('CBK Students'!H:H, TRIM('CBK Students'!B:B) = TRIM(A680)),
  """"
)"),"#REF!")</f>
        <v>#REF!</v>
      </c>
      <c r="V680" s="240" t="str">
        <f>IFERROR(__xludf.DUMMYFUNCTION("IFERROR(
  FILTER('CBK Students'!M:M, TRIM('CBK Students'!B:B) = TRIM(A680)),
  """"
)"),"#REF!")</f>
        <v>#REF!</v>
      </c>
      <c r="W680" s="240" t="str">
        <f t="shared" si="1"/>
        <v/>
      </c>
      <c r="X680" s="240" t="str">
        <f>IFERROR(__xludf.DUMMYFUNCTION("IFERROR(
  FILTER('CBK Students'!R:R, TRIM('CBK Students'!B:B) = TRIM(A680)),
  """"
)"),"#REF!")</f>
        <v>#REF!</v>
      </c>
      <c r="Y680" s="4" t="str">
        <f t="shared" si="2"/>
        <v/>
      </c>
      <c r="Z680" s="4" t="str">
        <f>IFERROR(__xludf.DUMMYFUNCTION("IFERROR(
  FILTER('CBK Students'!O:O, TRIM('CBK Students'!B:B) = TRIM(A680)),
  """"
)"),"#REF!")</f>
        <v>#REF!</v>
      </c>
      <c r="AA680" s="4" t="str">
        <f>IFERROR(__xludf.DUMMYFUNCTION("IFERROR(
  FILTER('CBK Students'!P:P, TRIM('CBK Students'!B:B) = TRIM(A680)),
  """"
)"),"#REF!")</f>
        <v>#REF!</v>
      </c>
      <c r="AB680" s="4" t="str">
        <f>IFERROR(__xludf.DUMMYFUNCTION("IFERROR(
  FILTER('CBK Students'!Q:Q, TRIM('CBK Students'!B:B) = TRIM(A680)),
  """"
)"),"#REF!")</f>
        <v>#REF!</v>
      </c>
    </row>
    <row r="681" ht="18.75" customHeight="1">
      <c r="T681" s="240" t="str">
        <f>IFERROR(__xludf.DUMMYFUNCTION("IFERROR(
  FILTER('CBK Students'!F:F, TRIM('CBK Students'!B:B) = TRIM(A681)),
  """"
)"),"#REF!")</f>
        <v>#REF!</v>
      </c>
      <c r="U681" s="240" t="str">
        <f>IFERROR(__xludf.DUMMYFUNCTION("IFERROR(
  FILTER('CBK Students'!H:H, TRIM('CBK Students'!B:B) = TRIM(A681)),
  """"
)"),"#REF!")</f>
        <v>#REF!</v>
      </c>
      <c r="V681" s="240" t="str">
        <f>IFERROR(__xludf.DUMMYFUNCTION("IFERROR(
  FILTER('CBK Students'!M:M, TRIM('CBK Students'!B:B) = TRIM(A681)),
  """"
)"),"#REF!")</f>
        <v>#REF!</v>
      </c>
      <c r="W681" s="240" t="str">
        <f t="shared" si="1"/>
        <v/>
      </c>
      <c r="X681" s="240" t="str">
        <f>IFERROR(__xludf.DUMMYFUNCTION("IFERROR(
  FILTER('CBK Students'!R:R, TRIM('CBK Students'!B:B) = TRIM(A681)),
  """"
)"),"#REF!")</f>
        <v>#REF!</v>
      </c>
      <c r="Y681" s="4" t="str">
        <f t="shared" si="2"/>
        <v/>
      </c>
      <c r="Z681" s="4" t="str">
        <f>IFERROR(__xludf.DUMMYFUNCTION("IFERROR(
  FILTER('CBK Students'!O:O, TRIM('CBK Students'!B:B) = TRIM(A681)),
  """"
)"),"#REF!")</f>
        <v>#REF!</v>
      </c>
      <c r="AA681" s="4" t="str">
        <f>IFERROR(__xludf.DUMMYFUNCTION("IFERROR(
  FILTER('CBK Students'!P:P, TRIM('CBK Students'!B:B) = TRIM(A681)),
  """"
)"),"#REF!")</f>
        <v>#REF!</v>
      </c>
      <c r="AB681" s="4" t="str">
        <f>IFERROR(__xludf.DUMMYFUNCTION("IFERROR(
  FILTER('CBK Students'!Q:Q, TRIM('CBK Students'!B:B) = TRIM(A681)),
  """"
)"),"#REF!")</f>
        <v>#REF!</v>
      </c>
    </row>
    <row r="682" ht="18.75" customHeight="1">
      <c r="T682" s="240" t="str">
        <f>IFERROR(__xludf.DUMMYFUNCTION("IFERROR(
  FILTER('CBK Students'!F:F, TRIM('CBK Students'!B:B) = TRIM(A682)),
  """"
)"),"#REF!")</f>
        <v>#REF!</v>
      </c>
      <c r="U682" s="240" t="str">
        <f>IFERROR(__xludf.DUMMYFUNCTION("IFERROR(
  FILTER('CBK Students'!H:H, TRIM('CBK Students'!B:B) = TRIM(A682)),
  """"
)"),"#REF!")</f>
        <v>#REF!</v>
      </c>
      <c r="V682" s="240" t="str">
        <f>IFERROR(__xludf.DUMMYFUNCTION("IFERROR(
  FILTER('CBK Students'!M:M, TRIM('CBK Students'!B:B) = TRIM(A682)),
  """"
)"),"#REF!")</f>
        <v>#REF!</v>
      </c>
      <c r="W682" s="240" t="str">
        <f t="shared" si="1"/>
        <v/>
      </c>
      <c r="X682" s="240" t="str">
        <f>IFERROR(__xludf.DUMMYFUNCTION("IFERROR(
  FILTER('CBK Students'!R:R, TRIM('CBK Students'!B:B) = TRIM(A682)),
  """"
)"),"#REF!")</f>
        <v>#REF!</v>
      </c>
      <c r="Y682" s="4" t="str">
        <f t="shared" si="2"/>
        <v/>
      </c>
      <c r="Z682" s="4" t="str">
        <f>IFERROR(__xludf.DUMMYFUNCTION("IFERROR(
  FILTER('CBK Students'!O:O, TRIM('CBK Students'!B:B) = TRIM(A682)),
  """"
)"),"#REF!")</f>
        <v>#REF!</v>
      </c>
      <c r="AA682" s="4" t="str">
        <f>IFERROR(__xludf.DUMMYFUNCTION("IFERROR(
  FILTER('CBK Students'!P:P, TRIM('CBK Students'!B:B) = TRIM(A682)),
  """"
)"),"#REF!")</f>
        <v>#REF!</v>
      </c>
      <c r="AB682" s="4" t="str">
        <f>IFERROR(__xludf.DUMMYFUNCTION("IFERROR(
  FILTER('CBK Students'!Q:Q, TRIM('CBK Students'!B:B) = TRIM(A682)),
  """"
)"),"#REF!")</f>
        <v>#REF!</v>
      </c>
    </row>
    <row r="683" ht="18.75" customHeight="1">
      <c r="T683" s="240" t="str">
        <f>IFERROR(__xludf.DUMMYFUNCTION("IFERROR(
  FILTER('CBK Students'!F:F, TRIM('CBK Students'!B:B) = TRIM(A683)),
  """"
)"),"#REF!")</f>
        <v>#REF!</v>
      </c>
      <c r="U683" s="240" t="str">
        <f>IFERROR(__xludf.DUMMYFUNCTION("IFERROR(
  FILTER('CBK Students'!H:H, TRIM('CBK Students'!B:B) = TRIM(A683)),
  """"
)"),"#REF!")</f>
        <v>#REF!</v>
      </c>
      <c r="V683" s="240" t="str">
        <f>IFERROR(__xludf.DUMMYFUNCTION("IFERROR(
  FILTER('CBK Students'!M:M, TRIM('CBK Students'!B:B) = TRIM(A683)),
  """"
)"),"#REF!")</f>
        <v>#REF!</v>
      </c>
      <c r="W683" s="240" t="str">
        <f t="shared" si="1"/>
        <v/>
      </c>
      <c r="X683" s="240" t="str">
        <f>IFERROR(__xludf.DUMMYFUNCTION("IFERROR(
  FILTER('CBK Students'!R:R, TRIM('CBK Students'!B:B) = TRIM(A683)),
  """"
)"),"#REF!")</f>
        <v>#REF!</v>
      </c>
      <c r="Y683" s="4" t="str">
        <f t="shared" si="2"/>
        <v/>
      </c>
      <c r="Z683" s="4" t="str">
        <f>IFERROR(__xludf.DUMMYFUNCTION("IFERROR(
  FILTER('CBK Students'!O:O, TRIM('CBK Students'!B:B) = TRIM(A683)),
  """"
)"),"#REF!")</f>
        <v>#REF!</v>
      </c>
      <c r="AA683" s="4" t="str">
        <f>IFERROR(__xludf.DUMMYFUNCTION("IFERROR(
  FILTER('CBK Students'!P:P, TRIM('CBK Students'!B:B) = TRIM(A683)),
  """"
)"),"#REF!")</f>
        <v>#REF!</v>
      </c>
      <c r="AB683" s="4" t="str">
        <f>IFERROR(__xludf.DUMMYFUNCTION("IFERROR(
  FILTER('CBK Students'!Q:Q, TRIM('CBK Students'!B:B) = TRIM(A683)),
  """"
)"),"#REF!")</f>
        <v>#REF!</v>
      </c>
    </row>
    <row r="684" ht="18.75" customHeight="1">
      <c r="T684" s="240" t="str">
        <f>IFERROR(__xludf.DUMMYFUNCTION("IFERROR(
  FILTER('CBK Students'!F:F, TRIM('CBK Students'!B:B) = TRIM(A684)),
  """"
)"),"#REF!")</f>
        <v>#REF!</v>
      </c>
      <c r="U684" s="240" t="str">
        <f>IFERROR(__xludf.DUMMYFUNCTION("IFERROR(
  FILTER('CBK Students'!H:H, TRIM('CBK Students'!B:B) = TRIM(A684)),
  """"
)"),"#REF!")</f>
        <v>#REF!</v>
      </c>
      <c r="V684" s="240" t="str">
        <f>IFERROR(__xludf.DUMMYFUNCTION("IFERROR(
  FILTER('CBK Students'!M:M, TRIM('CBK Students'!B:B) = TRIM(A684)),
  """"
)"),"#REF!")</f>
        <v>#REF!</v>
      </c>
      <c r="W684" s="240" t="str">
        <f t="shared" si="1"/>
        <v/>
      </c>
      <c r="X684" s="240" t="str">
        <f>IFERROR(__xludf.DUMMYFUNCTION("IFERROR(
  FILTER('CBK Students'!R:R, TRIM('CBK Students'!B:B) = TRIM(A684)),
  """"
)"),"#REF!")</f>
        <v>#REF!</v>
      </c>
      <c r="Y684" s="4" t="str">
        <f t="shared" si="2"/>
        <v/>
      </c>
      <c r="Z684" s="4" t="str">
        <f>IFERROR(__xludf.DUMMYFUNCTION("IFERROR(
  FILTER('CBK Students'!O:O, TRIM('CBK Students'!B:B) = TRIM(A684)),
  """"
)"),"#REF!")</f>
        <v>#REF!</v>
      </c>
      <c r="AA684" s="4" t="str">
        <f>IFERROR(__xludf.DUMMYFUNCTION("IFERROR(
  FILTER('CBK Students'!P:P, TRIM('CBK Students'!B:B) = TRIM(A684)),
  """"
)"),"#REF!")</f>
        <v>#REF!</v>
      </c>
      <c r="AB684" s="4" t="str">
        <f>IFERROR(__xludf.DUMMYFUNCTION("IFERROR(
  FILTER('CBK Students'!Q:Q, TRIM('CBK Students'!B:B) = TRIM(A684)),
  """"
)"),"#REF!")</f>
        <v>#REF!</v>
      </c>
    </row>
    <row r="685" ht="18.75" customHeight="1">
      <c r="T685" s="240" t="str">
        <f>IFERROR(__xludf.DUMMYFUNCTION("IFERROR(
  FILTER('CBK Students'!F:F, TRIM('CBK Students'!B:B) = TRIM(A685)),
  """"
)"),"#REF!")</f>
        <v>#REF!</v>
      </c>
      <c r="U685" s="240" t="str">
        <f>IFERROR(__xludf.DUMMYFUNCTION("IFERROR(
  FILTER('CBK Students'!H:H, TRIM('CBK Students'!B:B) = TRIM(A685)),
  """"
)"),"#REF!")</f>
        <v>#REF!</v>
      </c>
      <c r="V685" s="240" t="str">
        <f>IFERROR(__xludf.DUMMYFUNCTION("IFERROR(
  FILTER('CBK Students'!M:M, TRIM('CBK Students'!B:B) = TRIM(A685)),
  """"
)"),"#REF!")</f>
        <v>#REF!</v>
      </c>
      <c r="W685" s="240" t="str">
        <f t="shared" si="1"/>
        <v/>
      </c>
      <c r="X685" s="240" t="str">
        <f>IFERROR(__xludf.DUMMYFUNCTION("IFERROR(
  FILTER('CBK Students'!R:R, TRIM('CBK Students'!B:B) = TRIM(A685)),
  """"
)"),"#REF!")</f>
        <v>#REF!</v>
      </c>
      <c r="Y685" s="4" t="str">
        <f t="shared" si="2"/>
        <v/>
      </c>
      <c r="Z685" s="4" t="str">
        <f>IFERROR(__xludf.DUMMYFUNCTION("IFERROR(
  FILTER('CBK Students'!O:O, TRIM('CBK Students'!B:B) = TRIM(A685)),
  """"
)"),"#REF!")</f>
        <v>#REF!</v>
      </c>
      <c r="AA685" s="4" t="str">
        <f>IFERROR(__xludf.DUMMYFUNCTION("IFERROR(
  FILTER('CBK Students'!P:P, TRIM('CBK Students'!B:B) = TRIM(A685)),
  """"
)"),"#REF!")</f>
        <v>#REF!</v>
      </c>
      <c r="AB685" s="4" t="str">
        <f>IFERROR(__xludf.DUMMYFUNCTION("IFERROR(
  FILTER('CBK Students'!Q:Q, TRIM('CBK Students'!B:B) = TRIM(A685)),
  """"
)"),"#REF!")</f>
        <v>#REF!</v>
      </c>
    </row>
    <row r="686" ht="18.75" customHeight="1">
      <c r="T686" s="240" t="str">
        <f>IFERROR(__xludf.DUMMYFUNCTION("IFERROR(
  FILTER('CBK Students'!F:F, TRIM('CBK Students'!B:B) = TRIM(A686)),
  """"
)"),"#REF!")</f>
        <v>#REF!</v>
      </c>
      <c r="U686" s="240" t="str">
        <f>IFERROR(__xludf.DUMMYFUNCTION("IFERROR(
  FILTER('CBK Students'!H:H, TRIM('CBK Students'!B:B) = TRIM(A686)),
  """"
)"),"#REF!")</f>
        <v>#REF!</v>
      </c>
      <c r="V686" s="240" t="str">
        <f>IFERROR(__xludf.DUMMYFUNCTION("IFERROR(
  FILTER('CBK Students'!M:M, TRIM('CBK Students'!B:B) = TRIM(A686)),
  """"
)"),"#REF!")</f>
        <v>#REF!</v>
      </c>
      <c r="W686" s="240" t="str">
        <f t="shared" si="1"/>
        <v/>
      </c>
      <c r="X686" s="240" t="str">
        <f>IFERROR(__xludf.DUMMYFUNCTION("IFERROR(
  FILTER('CBK Students'!R:R, TRIM('CBK Students'!B:B) = TRIM(A686)),
  """"
)"),"#REF!")</f>
        <v>#REF!</v>
      </c>
      <c r="Y686" s="4" t="str">
        <f t="shared" si="2"/>
        <v/>
      </c>
      <c r="Z686" s="4" t="str">
        <f>IFERROR(__xludf.DUMMYFUNCTION("IFERROR(
  FILTER('CBK Students'!O:O, TRIM('CBK Students'!B:B) = TRIM(A686)),
  """"
)"),"#REF!")</f>
        <v>#REF!</v>
      </c>
      <c r="AA686" s="4" t="str">
        <f>IFERROR(__xludf.DUMMYFUNCTION("IFERROR(
  FILTER('CBK Students'!P:P, TRIM('CBK Students'!B:B) = TRIM(A686)),
  """"
)"),"#REF!")</f>
        <v>#REF!</v>
      </c>
      <c r="AB686" s="4" t="str">
        <f>IFERROR(__xludf.DUMMYFUNCTION("IFERROR(
  FILTER('CBK Students'!Q:Q, TRIM('CBK Students'!B:B) = TRIM(A686)),
  """"
)"),"#REF!")</f>
        <v>#REF!</v>
      </c>
    </row>
    <row r="687" ht="18.75" customHeight="1">
      <c r="T687" s="240" t="str">
        <f>IFERROR(__xludf.DUMMYFUNCTION("IFERROR(
  FILTER('CBK Students'!F:F, TRIM('CBK Students'!B:B) = TRIM(A687)),
  """"
)"),"#REF!")</f>
        <v>#REF!</v>
      </c>
      <c r="U687" s="240" t="str">
        <f>IFERROR(__xludf.DUMMYFUNCTION("IFERROR(
  FILTER('CBK Students'!H:H, TRIM('CBK Students'!B:B) = TRIM(A687)),
  """"
)"),"#REF!")</f>
        <v>#REF!</v>
      </c>
      <c r="V687" s="240" t="str">
        <f>IFERROR(__xludf.DUMMYFUNCTION("IFERROR(
  FILTER('CBK Students'!M:M, TRIM('CBK Students'!B:B) = TRIM(A687)),
  """"
)"),"#REF!")</f>
        <v>#REF!</v>
      </c>
      <c r="W687" s="240" t="str">
        <f t="shared" si="1"/>
        <v/>
      </c>
      <c r="X687" s="240" t="str">
        <f>IFERROR(__xludf.DUMMYFUNCTION("IFERROR(
  FILTER('CBK Students'!R:R, TRIM('CBK Students'!B:B) = TRIM(A687)),
  """"
)"),"#REF!")</f>
        <v>#REF!</v>
      </c>
      <c r="Y687" s="4" t="str">
        <f t="shared" si="2"/>
        <v/>
      </c>
      <c r="Z687" s="4" t="str">
        <f>IFERROR(__xludf.DUMMYFUNCTION("IFERROR(
  FILTER('CBK Students'!O:O, TRIM('CBK Students'!B:B) = TRIM(A687)),
  """"
)"),"#REF!")</f>
        <v>#REF!</v>
      </c>
      <c r="AA687" s="4" t="str">
        <f>IFERROR(__xludf.DUMMYFUNCTION("IFERROR(
  FILTER('CBK Students'!P:P, TRIM('CBK Students'!B:B) = TRIM(A687)),
  """"
)"),"#REF!")</f>
        <v>#REF!</v>
      </c>
      <c r="AB687" s="4" t="str">
        <f>IFERROR(__xludf.DUMMYFUNCTION("IFERROR(
  FILTER('CBK Students'!Q:Q, TRIM('CBK Students'!B:B) = TRIM(A687)),
  """"
)"),"#REF!")</f>
        <v>#REF!</v>
      </c>
    </row>
    <row r="688" ht="18.75" customHeight="1">
      <c r="T688" s="240" t="str">
        <f>IFERROR(__xludf.DUMMYFUNCTION("IFERROR(
  FILTER('CBK Students'!F:F, TRIM('CBK Students'!B:B) = TRIM(A688)),
  """"
)"),"#REF!")</f>
        <v>#REF!</v>
      </c>
      <c r="U688" s="240" t="str">
        <f>IFERROR(__xludf.DUMMYFUNCTION("IFERROR(
  FILTER('CBK Students'!H:H, TRIM('CBK Students'!B:B) = TRIM(A688)),
  """"
)"),"#REF!")</f>
        <v>#REF!</v>
      </c>
      <c r="V688" s="240" t="str">
        <f>IFERROR(__xludf.DUMMYFUNCTION("IFERROR(
  FILTER('CBK Students'!M:M, TRIM('CBK Students'!B:B) = TRIM(A688)),
  """"
)"),"#REF!")</f>
        <v>#REF!</v>
      </c>
      <c r="W688" s="240" t="str">
        <f t="shared" si="1"/>
        <v/>
      </c>
      <c r="X688" s="240" t="str">
        <f>IFERROR(__xludf.DUMMYFUNCTION("IFERROR(
  FILTER('CBK Students'!R:R, TRIM('CBK Students'!B:B) = TRIM(A688)),
  """"
)"),"#REF!")</f>
        <v>#REF!</v>
      </c>
      <c r="Y688" s="4" t="str">
        <f t="shared" si="2"/>
        <v/>
      </c>
      <c r="Z688" s="4" t="str">
        <f>IFERROR(__xludf.DUMMYFUNCTION("IFERROR(
  FILTER('CBK Students'!O:O, TRIM('CBK Students'!B:B) = TRIM(A688)),
  """"
)"),"#REF!")</f>
        <v>#REF!</v>
      </c>
      <c r="AA688" s="4" t="str">
        <f>IFERROR(__xludf.DUMMYFUNCTION("IFERROR(
  FILTER('CBK Students'!P:P, TRIM('CBK Students'!B:B) = TRIM(A688)),
  """"
)"),"#REF!")</f>
        <v>#REF!</v>
      </c>
      <c r="AB688" s="4" t="str">
        <f>IFERROR(__xludf.DUMMYFUNCTION("IFERROR(
  FILTER('CBK Students'!Q:Q, TRIM('CBK Students'!B:B) = TRIM(A688)),
  """"
)"),"#REF!")</f>
        <v>#REF!</v>
      </c>
    </row>
    <row r="689" ht="18.75" customHeight="1">
      <c r="T689" s="240" t="str">
        <f>IFERROR(__xludf.DUMMYFUNCTION("IFERROR(
  FILTER('CBK Students'!F:F, TRIM('CBK Students'!B:B) = TRIM(A689)),
  """"
)"),"#REF!")</f>
        <v>#REF!</v>
      </c>
      <c r="U689" s="240" t="str">
        <f>IFERROR(__xludf.DUMMYFUNCTION("IFERROR(
  FILTER('CBK Students'!H:H, TRIM('CBK Students'!B:B) = TRIM(A689)),
  """"
)"),"#REF!")</f>
        <v>#REF!</v>
      </c>
      <c r="V689" s="240" t="str">
        <f>IFERROR(__xludf.DUMMYFUNCTION("IFERROR(
  FILTER('CBK Students'!M:M, TRIM('CBK Students'!B:B) = TRIM(A689)),
  """"
)"),"#REF!")</f>
        <v>#REF!</v>
      </c>
      <c r="W689" s="240" t="str">
        <f t="shared" si="1"/>
        <v/>
      </c>
      <c r="X689" s="240" t="str">
        <f>IFERROR(__xludf.DUMMYFUNCTION("IFERROR(
  FILTER('CBK Students'!R:R, TRIM('CBK Students'!B:B) = TRIM(A689)),
  """"
)"),"#REF!")</f>
        <v>#REF!</v>
      </c>
      <c r="Y689" s="4" t="str">
        <f t="shared" si="2"/>
        <v/>
      </c>
      <c r="Z689" s="4" t="str">
        <f>IFERROR(__xludf.DUMMYFUNCTION("IFERROR(
  FILTER('CBK Students'!O:O, TRIM('CBK Students'!B:B) = TRIM(A689)),
  """"
)"),"#REF!")</f>
        <v>#REF!</v>
      </c>
      <c r="AA689" s="4" t="str">
        <f>IFERROR(__xludf.DUMMYFUNCTION("IFERROR(
  FILTER('CBK Students'!P:P, TRIM('CBK Students'!B:B) = TRIM(A689)),
  """"
)"),"#REF!")</f>
        <v>#REF!</v>
      </c>
      <c r="AB689" s="4" t="str">
        <f>IFERROR(__xludf.DUMMYFUNCTION("IFERROR(
  FILTER('CBK Students'!Q:Q, TRIM('CBK Students'!B:B) = TRIM(A689)),
  """"
)"),"#REF!")</f>
        <v>#REF!</v>
      </c>
    </row>
    <row r="690" ht="18.75" customHeight="1">
      <c r="T690" s="240" t="str">
        <f>IFERROR(__xludf.DUMMYFUNCTION("IFERROR(
  FILTER('CBK Students'!F:F, TRIM('CBK Students'!B:B) = TRIM(A690)),
  """"
)"),"#REF!")</f>
        <v>#REF!</v>
      </c>
      <c r="U690" s="240" t="str">
        <f>IFERROR(__xludf.DUMMYFUNCTION("IFERROR(
  FILTER('CBK Students'!H:H, TRIM('CBK Students'!B:B) = TRIM(A690)),
  """"
)"),"#REF!")</f>
        <v>#REF!</v>
      </c>
      <c r="V690" s="240" t="str">
        <f>IFERROR(__xludf.DUMMYFUNCTION("IFERROR(
  FILTER('CBK Students'!M:M, TRIM('CBK Students'!B:B) = TRIM(A690)),
  """"
)"),"#REF!")</f>
        <v>#REF!</v>
      </c>
      <c r="W690" s="240" t="str">
        <f t="shared" si="1"/>
        <v/>
      </c>
      <c r="X690" s="240" t="str">
        <f>IFERROR(__xludf.DUMMYFUNCTION("IFERROR(
  FILTER('CBK Students'!R:R, TRIM('CBK Students'!B:B) = TRIM(A690)),
  """"
)"),"#REF!")</f>
        <v>#REF!</v>
      </c>
      <c r="Y690" s="4" t="str">
        <f t="shared" si="2"/>
        <v/>
      </c>
      <c r="Z690" s="4" t="str">
        <f>IFERROR(__xludf.DUMMYFUNCTION("IFERROR(
  FILTER('CBK Students'!O:O, TRIM('CBK Students'!B:B) = TRIM(A690)),
  """"
)"),"#REF!")</f>
        <v>#REF!</v>
      </c>
      <c r="AA690" s="4" t="str">
        <f>IFERROR(__xludf.DUMMYFUNCTION("IFERROR(
  FILTER('CBK Students'!P:P, TRIM('CBK Students'!B:B) = TRIM(A690)),
  """"
)"),"#REF!")</f>
        <v>#REF!</v>
      </c>
      <c r="AB690" s="4" t="str">
        <f>IFERROR(__xludf.DUMMYFUNCTION("IFERROR(
  FILTER('CBK Students'!Q:Q, TRIM('CBK Students'!B:B) = TRIM(A690)),
  """"
)"),"#REF!")</f>
        <v>#REF!</v>
      </c>
    </row>
    <row r="691" ht="18.75" customHeight="1">
      <c r="T691" s="240" t="str">
        <f>IFERROR(__xludf.DUMMYFUNCTION("IFERROR(
  FILTER('CBK Students'!F:F, TRIM('CBK Students'!B:B) = TRIM(A691)),
  """"
)"),"#REF!")</f>
        <v>#REF!</v>
      </c>
      <c r="U691" s="240" t="str">
        <f>IFERROR(__xludf.DUMMYFUNCTION("IFERROR(
  FILTER('CBK Students'!H:H, TRIM('CBK Students'!B:B) = TRIM(A691)),
  """"
)"),"#REF!")</f>
        <v>#REF!</v>
      </c>
      <c r="V691" s="240" t="str">
        <f>IFERROR(__xludf.DUMMYFUNCTION("IFERROR(
  FILTER('CBK Students'!M:M, TRIM('CBK Students'!B:B) = TRIM(A691)),
  """"
)"),"#REF!")</f>
        <v>#REF!</v>
      </c>
      <c r="W691" s="240" t="str">
        <f t="shared" si="1"/>
        <v/>
      </c>
      <c r="X691" s="240" t="str">
        <f>IFERROR(__xludf.DUMMYFUNCTION("IFERROR(
  FILTER('CBK Students'!R:R, TRIM('CBK Students'!B:B) = TRIM(A691)),
  """"
)"),"#REF!")</f>
        <v>#REF!</v>
      </c>
      <c r="Y691" s="4" t="str">
        <f t="shared" si="2"/>
        <v/>
      </c>
      <c r="Z691" s="4" t="str">
        <f>IFERROR(__xludf.DUMMYFUNCTION("IFERROR(
  FILTER('CBK Students'!O:O, TRIM('CBK Students'!B:B) = TRIM(A691)),
  """"
)"),"#REF!")</f>
        <v>#REF!</v>
      </c>
      <c r="AA691" s="4" t="str">
        <f>IFERROR(__xludf.DUMMYFUNCTION("IFERROR(
  FILTER('CBK Students'!P:P, TRIM('CBK Students'!B:B) = TRIM(A691)),
  """"
)"),"#REF!")</f>
        <v>#REF!</v>
      </c>
      <c r="AB691" s="4" t="str">
        <f>IFERROR(__xludf.DUMMYFUNCTION("IFERROR(
  FILTER('CBK Students'!Q:Q, TRIM('CBK Students'!B:B) = TRIM(A691)),
  """"
)"),"#REF!")</f>
        <v>#REF!</v>
      </c>
    </row>
    <row r="692" ht="18.75" customHeight="1">
      <c r="T692" s="240" t="str">
        <f>IFERROR(__xludf.DUMMYFUNCTION("IFERROR(
  FILTER('CBK Students'!F:F, TRIM('CBK Students'!B:B) = TRIM(A692)),
  """"
)"),"#REF!")</f>
        <v>#REF!</v>
      </c>
      <c r="U692" s="240" t="str">
        <f>IFERROR(__xludf.DUMMYFUNCTION("IFERROR(
  FILTER('CBK Students'!H:H, TRIM('CBK Students'!B:B) = TRIM(A692)),
  """"
)"),"#REF!")</f>
        <v>#REF!</v>
      </c>
      <c r="V692" s="240" t="str">
        <f>IFERROR(__xludf.DUMMYFUNCTION("IFERROR(
  FILTER('CBK Students'!M:M, TRIM('CBK Students'!B:B) = TRIM(A692)),
  """"
)"),"#REF!")</f>
        <v>#REF!</v>
      </c>
      <c r="W692" s="240" t="str">
        <f t="shared" si="1"/>
        <v/>
      </c>
      <c r="X692" s="240" t="str">
        <f>IFERROR(__xludf.DUMMYFUNCTION("IFERROR(
  FILTER('CBK Students'!R:R, TRIM('CBK Students'!B:B) = TRIM(A692)),
  """"
)"),"#REF!")</f>
        <v>#REF!</v>
      </c>
      <c r="Y692" s="4" t="str">
        <f t="shared" si="2"/>
        <v/>
      </c>
      <c r="Z692" s="4" t="str">
        <f>IFERROR(__xludf.DUMMYFUNCTION("IFERROR(
  FILTER('CBK Students'!O:O, TRIM('CBK Students'!B:B) = TRIM(A692)),
  """"
)"),"#REF!")</f>
        <v>#REF!</v>
      </c>
      <c r="AA692" s="4" t="str">
        <f>IFERROR(__xludf.DUMMYFUNCTION("IFERROR(
  FILTER('CBK Students'!P:P, TRIM('CBK Students'!B:B) = TRIM(A692)),
  """"
)"),"#REF!")</f>
        <v>#REF!</v>
      </c>
      <c r="AB692" s="4" t="str">
        <f>IFERROR(__xludf.DUMMYFUNCTION("IFERROR(
  FILTER('CBK Students'!Q:Q, TRIM('CBK Students'!B:B) = TRIM(A692)),
  """"
)"),"#REF!")</f>
        <v>#REF!</v>
      </c>
    </row>
    <row r="693" ht="18.75" customHeight="1">
      <c r="T693" s="240" t="str">
        <f>IFERROR(__xludf.DUMMYFUNCTION("IFERROR(
  FILTER('CBK Students'!F:F, TRIM('CBK Students'!B:B) = TRIM(A693)),
  """"
)"),"#REF!")</f>
        <v>#REF!</v>
      </c>
      <c r="U693" s="240" t="str">
        <f>IFERROR(__xludf.DUMMYFUNCTION("IFERROR(
  FILTER('CBK Students'!H:H, TRIM('CBK Students'!B:B) = TRIM(A693)),
  """"
)"),"#REF!")</f>
        <v>#REF!</v>
      </c>
      <c r="V693" s="240" t="str">
        <f>IFERROR(__xludf.DUMMYFUNCTION("IFERROR(
  FILTER('CBK Students'!M:M, TRIM('CBK Students'!B:B) = TRIM(A693)),
  """"
)"),"#REF!")</f>
        <v>#REF!</v>
      </c>
      <c r="W693" s="240" t="str">
        <f t="shared" si="1"/>
        <v/>
      </c>
      <c r="X693" s="240" t="str">
        <f>IFERROR(__xludf.DUMMYFUNCTION("IFERROR(
  FILTER('CBK Students'!R:R, TRIM('CBK Students'!B:B) = TRIM(A693)),
  """"
)"),"#REF!")</f>
        <v>#REF!</v>
      </c>
      <c r="Y693" s="4" t="str">
        <f t="shared" si="2"/>
        <v/>
      </c>
      <c r="Z693" s="4" t="str">
        <f>IFERROR(__xludf.DUMMYFUNCTION("IFERROR(
  FILTER('CBK Students'!O:O, TRIM('CBK Students'!B:B) = TRIM(A693)),
  """"
)"),"#REF!")</f>
        <v>#REF!</v>
      </c>
      <c r="AA693" s="4" t="str">
        <f>IFERROR(__xludf.DUMMYFUNCTION("IFERROR(
  FILTER('CBK Students'!P:P, TRIM('CBK Students'!B:B) = TRIM(A693)),
  """"
)"),"#REF!")</f>
        <v>#REF!</v>
      </c>
      <c r="AB693" s="4" t="str">
        <f>IFERROR(__xludf.DUMMYFUNCTION("IFERROR(
  FILTER('CBK Students'!Q:Q, TRIM('CBK Students'!B:B) = TRIM(A693)),
  """"
)"),"#REF!")</f>
        <v>#REF!</v>
      </c>
    </row>
    <row r="694" ht="18.75" customHeight="1">
      <c r="T694" s="240" t="str">
        <f>IFERROR(__xludf.DUMMYFUNCTION("IFERROR(
  FILTER('CBK Students'!F:F, TRIM('CBK Students'!B:B) = TRIM(A694)),
  """"
)"),"#REF!")</f>
        <v>#REF!</v>
      </c>
      <c r="U694" s="240" t="str">
        <f>IFERROR(__xludf.DUMMYFUNCTION("IFERROR(
  FILTER('CBK Students'!H:H, TRIM('CBK Students'!B:B) = TRIM(A694)),
  """"
)"),"#REF!")</f>
        <v>#REF!</v>
      </c>
      <c r="V694" s="240" t="str">
        <f>IFERROR(__xludf.DUMMYFUNCTION("IFERROR(
  FILTER('CBK Students'!M:M, TRIM('CBK Students'!B:B) = TRIM(A694)),
  """"
)"),"#REF!")</f>
        <v>#REF!</v>
      </c>
      <c r="W694" s="240" t="str">
        <f t="shared" si="1"/>
        <v/>
      </c>
      <c r="X694" s="240" t="str">
        <f>IFERROR(__xludf.DUMMYFUNCTION("IFERROR(
  FILTER('CBK Students'!R:R, TRIM('CBK Students'!B:B) = TRIM(A694)),
  """"
)"),"#REF!")</f>
        <v>#REF!</v>
      </c>
      <c r="Y694" s="4" t="str">
        <f t="shared" si="2"/>
        <v/>
      </c>
      <c r="Z694" s="4" t="str">
        <f>IFERROR(__xludf.DUMMYFUNCTION("IFERROR(
  FILTER('CBK Students'!O:O, TRIM('CBK Students'!B:B) = TRIM(A694)),
  """"
)"),"#REF!")</f>
        <v>#REF!</v>
      </c>
      <c r="AA694" s="4" t="str">
        <f>IFERROR(__xludf.DUMMYFUNCTION("IFERROR(
  FILTER('CBK Students'!P:P, TRIM('CBK Students'!B:B) = TRIM(A694)),
  """"
)"),"#REF!")</f>
        <v>#REF!</v>
      </c>
      <c r="AB694" s="4" t="str">
        <f>IFERROR(__xludf.DUMMYFUNCTION("IFERROR(
  FILTER('CBK Students'!Q:Q, TRIM('CBK Students'!B:B) = TRIM(A694)),
  """"
)"),"#REF!")</f>
        <v>#REF!</v>
      </c>
    </row>
    <row r="695" ht="18.75" customHeight="1">
      <c r="T695" s="240" t="str">
        <f>IFERROR(__xludf.DUMMYFUNCTION("IFERROR(
  FILTER('CBK Students'!F:F, TRIM('CBK Students'!B:B) = TRIM(A695)),
  """"
)"),"#REF!")</f>
        <v>#REF!</v>
      </c>
      <c r="U695" s="240" t="str">
        <f>IFERROR(__xludf.DUMMYFUNCTION("IFERROR(
  FILTER('CBK Students'!H:H, TRIM('CBK Students'!B:B) = TRIM(A695)),
  """"
)"),"#REF!")</f>
        <v>#REF!</v>
      </c>
      <c r="V695" s="240" t="str">
        <f>IFERROR(__xludf.DUMMYFUNCTION("IFERROR(
  FILTER('CBK Students'!M:M, TRIM('CBK Students'!B:B) = TRIM(A695)),
  """"
)"),"#REF!")</f>
        <v>#REF!</v>
      </c>
      <c r="W695" s="240" t="str">
        <f t="shared" si="1"/>
        <v/>
      </c>
      <c r="X695" s="240" t="str">
        <f>IFERROR(__xludf.DUMMYFUNCTION("IFERROR(
  FILTER('CBK Students'!R:R, TRIM('CBK Students'!B:B) = TRIM(A695)),
  """"
)"),"#REF!")</f>
        <v>#REF!</v>
      </c>
      <c r="Y695" s="4" t="str">
        <f t="shared" si="2"/>
        <v/>
      </c>
      <c r="Z695" s="4" t="str">
        <f>IFERROR(__xludf.DUMMYFUNCTION("IFERROR(
  FILTER('CBK Students'!O:O, TRIM('CBK Students'!B:B) = TRIM(A695)),
  """"
)"),"#REF!")</f>
        <v>#REF!</v>
      </c>
      <c r="AA695" s="4" t="str">
        <f>IFERROR(__xludf.DUMMYFUNCTION("IFERROR(
  FILTER('CBK Students'!P:P, TRIM('CBK Students'!B:B) = TRIM(A695)),
  """"
)"),"#REF!")</f>
        <v>#REF!</v>
      </c>
      <c r="AB695" s="4" t="str">
        <f>IFERROR(__xludf.DUMMYFUNCTION("IFERROR(
  FILTER('CBK Students'!Q:Q, TRIM('CBK Students'!B:B) = TRIM(A695)),
  """"
)"),"#REF!")</f>
        <v>#REF!</v>
      </c>
    </row>
    <row r="696" ht="18.75" customHeight="1">
      <c r="T696" s="240" t="str">
        <f>IFERROR(__xludf.DUMMYFUNCTION("IFERROR(
  FILTER('CBK Students'!F:F, TRIM('CBK Students'!B:B) = TRIM(A696)),
  """"
)"),"#REF!")</f>
        <v>#REF!</v>
      </c>
      <c r="U696" s="240" t="str">
        <f>IFERROR(__xludf.DUMMYFUNCTION("IFERROR(
  FILTER('CBK Students'!H:H, TRIM('CBK Students'!B:B) = TRIM(A696)),
  """"
)"),"#REF!")</f>
        <v>#REF!</v>
      </c>
      <c r="V696" s="240" t="str">
        <f>IFERROR(__xludf.DUMMYFUNCTION("IFERROR(
  FILTER('CBK Students'!M:M, TRIM('CBK Students'!B:B) = TRIM(A696)),
  """"
)"),"#REF!")</f>
        <v>#REF!</v>
      </c>
      <c r="W696" s="240" t="str">
        <f t="shared" si="1"/>
        <v/>
      </c>
      <c r="X696" s="240" t="str">
        <f>IFERROR(__xludf.DUMMYFUNCTION("IFERROR(
  FILTER('CBK Students'!R:R, TRIM('CBK Students'!B:B) = TRIM(A696)),
  """"
)"),"#REF!")</f>
        <v>#REF!</v>
      </c>
      <c r="Y696" s="4" t="str">
        <f t="shared" si="2"/>
        <v/>
      </c>
      <c r="Z696" s="4" t="str">
        <f>IFERROR(__xludf.DUMMYFUNCTION("IFERROR(
  FILTER('CBK Students'!O:O, TRIM('CBK Students'!B:B) = TRIM(A696)),
  """"
)"),"#REF!")</f>
        <v>#REF!</v>
      </c>
      <c r="AA696" s="4" t="str">
        <f>IFERROR(__xludf.DUMMYFUNCTION("IFERROR(
  FILTER('CBK Students'!P:P, TRIM('CBK Students'!B:B) = TRIM(A696)),
  """"
)"),"#REF!")</f>
        <v>#REF!</v>
      </c>
      <c r="AB696" s="4" t="str">
        <f>IFERROR(__xludf.DUMMYFUNCTION("IFERROR(
  FILTER('CBK Students'!Q:Q, TRIM('CBK Students'!B:B) = TRIM(A696)),
  """"
)"),"#REF!")</f>
        <v>#REF!</v>
      </c>
    </row>
    <row r="697" ht="18.75" customHeight="1">
      <c r="T697" s="240" t="str">
        <f>IFERROR(__xludf.DUMMYFUNCTION("IFERROR(
  FILTER('CBK Students'!F:F, TRIM('CBK Students'!B:B) = TRIM(A697)),
  """"
)"),"#REF!")</f>
        <v>#REF!</v>
      </c>
      <c r="U697" s="240" t="str">
        <f>IFERROR(__xludf.DUMMYFUNCTION("IFERROR(
  FILTER('CBK Students'!H:H, TRIM('CBK Students'!B:B) = TRIM(A697)),
  """"
)"),"#REF!")</f>
        <v>#REF!</v>
      </c>
      <c r="V697" s="240" t="str">
        <f>IFERROR(__xludf.DUMMYFUNCTION("IFERROR(
  FILTER('CBK Students'!M:M, TRIM('CBK Students'!B:B) = TRIM(A697)),
  """"
)"),"#REF!")</f>
        <v>#REF!</v>
      </c>
      <c r="W697" s="240" t="str">
        <f t="shared" si="1"/>
        <v/>
      </c>
      <c r="X697" s="240" t="str">
        <f>IFERROR(__xludf.DUMMYFUNCTION("IFERROR(
  FILTER('CBK Students'!R:R, TRIM('CBK Students'!B:B) = TRIM(A697)),
  """"
)"),"#REF!")</f>
        <v>#REF!</v>
      </c>
      <c r="Y697" s="4" t="str">
        <f t="shared" si="2"/>
        <v/>
      </c>
      <c r="Z697" s="4" t="str">
        <f>IFERROR(__xludf.DUMMYFUNCTION("IFERROR(
  FILTER('CBK Students'!O:O, TRIM('CBK Students'!B:B) = TRIM(A697)),
  """"
)"),"#REF!")</f>
        <v>#REF!</v>
      </c>
      <c r="AA697" s="4" t="str">
        <f>IFERROR(__xludf.DUMMYFUNCTION("IFERROR(
  FILTER('CBK Students'!P:P, TRIM('CBK Students'!B:B) = TRIM(A697)),
  """"
)"),"#REF!")</f>
        <v>#REF!</v>
      </c>
      <c r="AB697" s="4" t="str">
        <f>IFERROR(__xludf.DUMMYFUNCTION("IFERROR(
  FILTER('CBK Students'!Q:Q, TRIM('CBK Students'!B:B) = TRIM(A697)),
  """"
)"),"#REF!")</f>
        <v>#REF!</v>
      </c>
    </row>
    <row r="698" ht="18.75" customHeight="1">
      <c r="T698" s="240" t="str">
        <f>IFERROR(__xludf.DUMMYFUNCTION("IFERROR(
  FILTER('CBK Students'!F:F, TRIM('CBK Students'!B:B) = TRIM(A698)),
  """"
)"),"#REF!")</f>
        <v>#REF!</v>
      </c>
      <c r="U698" s="240" t="str">
        <f>IFERROR(__xludf.DUMMYFUNCTION("IFERROR(
  FILTER('CBK Students'!H:H, TRIM('CBK Students'!B:B) = TRIM(A698)),
  """"
)"),"#REF!")</f>
        <v>#REF!</v>
      </c>
      <c r="V698" s="240" t="str">
        <f>IFERROR(__xludf.DUMMYFUNCTION("IFERROR(
  FILTER('CBK Students'!M:M, TRIM('CBK Students'!B:B) = TRIM(A698)),
  """"
)"),"#REF!")</f>
        <v>#REF!</v>
      </c>
      <c r="W698" s="240" t="str">
        <f t="shared" si="1"/>
        <v/>
      </c>
      <c r="X698" s="240" t="str">
        <f>IFERROR(__xludf.DUMMYFUNCTION("IFERROR(
  FILTER('CBK Students'!R:R, TRIM('CBK Students'!B:B) = TRIM(A698)),
  """"
)"),"#REF!")</f>
        <v>#REF!</v>
      </c>
      <c r="Y698" s="4" t="str">
        <f t="shared" si="2"/>
        <v/>
      </c>
      <c r="Z698" s="4" t="str">
        <f>IFERROR(__xludf.DUMMYFUNCTION("IFERROR(
  FILTER('CBK Students'!O:O, TRIM('CBK Students'!B:B) = TRIM(A698)),
  """"
)"),"#REF!")</f>
        <v>#REF!</v>
      </c>
      <c r="AA698" s="4" t="str">
        <f>IFERROR(__xludf.DUMMYFUNCTION("IFERROR(
  FILTER('CBK Students'!P:P, TRIM('CBK Students'!B:B) = TRIM(A698)),
  """"
)"),"#REF!")</f>
        <v>#REF!</v>
      </c>
      <c r="AB698" s="4" t="str">
        <f>IFERROR(__xludf.DUMMYFUNCTION("IFERROR(
  FILTER('CBK Students'!Q:Q, TRIM('CBK Students'!B:B) = TRIM(A698)),
  """"
)"),"#REF!")</f>
        <v>#REF!</v>
      </c>
    </row>
    <row r="699" ht="18.75" customHeight="1">
      <c r="T699" s="240" t="str">
        <f>IFERROR(__xludf.DUMMYFUNCTION("IFERROR(
  FILTER('CBK Students'!F:F, TRIM('CBK Students'!B:B) = TRIM(A699)),
  """"
)"),"#REF!")</f>
        <v>#REF!</v>
      </c>
      <c r="U699" s="240" t="str">
        <f>IFERROR(__xludf.DUMMYFUNCTION("IFERROR(
  FILTER('CBK Students'!H:H, TRIM('CBK Students'!B:B) = TRIM(A699)),
  """"
)"),"#REF!")</f>
        <v>#REF!</v>
      </c>
      <c r="V699" s="240" t="str">
        <f>IFERROR(__xludf.DUMMYFUNCTION("IFERROR(
  FILTER('CBK Students'!M:M, TRIM('CBK Students'!B:B) = TRIM(A699)),
  """"
)"),"#REF!")</f>
        <v>#REF!</v>
      </c>
      <c r="W699" s="240" t="str">
        <f t="shared" si="1"/>
        <v/>
      </c>
      <c r="X699" s="240" t="str">
        <f>IFERROR(__xludf.DUMMYFUNCTION("IFERROR(
  FILTER('CBK Students'!R:R, TRIM('CBK Students'!B:B) = TRIM(A699)),
  """"
)"),"#REF!")</f>
        <v>#REF!</v>
      </c>
      <c r="Y699" s="4" t="str">
        <f t="shared" si="2"/>
        <v/>
      </c>
      <c r="Z699" s="4" t="str">
        <f>IFERROR(__xludf.DUMMYFUNCTION("IFERROR(
  FILTER('CBK Students'!O:O, TRIM('CBK Students'!B:B) = TRIM(A699)),
  """"
)"),"#REF!")</f>
        <v>#REF!</v>
      </c>
      <c r="AA699" s="4" t="str">
        <f>IFERROR(__xludf.DUMMYFUNCTION("IFERROR(
  FILTER('CBK Students'!P:P, TRIM('CBK Students'!B:B) = TRIM(A699)),
  """"
)"),"#REF!")</f>
        <v>#REF!</v>
      </c>
      <c r="AB699" s="4" t="str">
        <f>IFERROR(__xludf.DUMMYFUNCTION("IFERROR(
  FILTER('CBK Students'!Q:Q, TRIM('CBK Students'!B:B) = TRIM(A699)),
  """"
)"),"#REF!")</f>
        <v>#REF!</v>
      </c>
    </row>
    <row r="700" ht="18.75" customHeight="1">
      <c r="T700" s="240" t="str">
        <f>IFERROR(__xludf.DUMMYFUNCTION("IFERROR(
  FILTER('CBK Students'!F:F, TRIM('CBK Students'!B:B) = TRIM(A700)),
  """"
)"),"#REF!")</f>
        <v>#REF!</v>
      </c>
      <c r="U700" s="240" t="str">
        <f>IFERROR(__xludf.DUMMYFUNCTION("IFERROR(
  FILTER('CBK Students'!H:H, TRIM('CBK Students'!B:B) = TRIM(A700)),
  """"
)"),"#REF!")</f>
        <v>#REF!</v>
      </c>
      <c r="V700" s="240" t="str">
        <f>IFERROR(__xludf.DUMMYFUNCTION("IFERROR(
  FILTER('CBK Students'!M:M, TRIM('CBK Students'!B:B) = TRIM(A700)),
  """"
)"),"#REF!")</f>
        <v>#REF!</v>
      </c>
      <c r="W700" s="240" t="str">
        <f t="shared" si="1"/>
        <v/>
      </c>
      <c r="X700" s="240" t="str">
        <f>IFERROR(__xludf.DUMMYFUNCTION("IFERROR(
  FILTER('CBK Students'!R:R, TRIM('CBK Students'!B:B) = TRIM(A700)),
  """"
)"),"#REF!")</f>
        <v>#REF!</v>
      </c>
      <c r="Y700" s="4" t="str">
        <f t="shared" si="2"/>
        <v/>
      </c>
      <c r="Z700" s="4" t="str">
        <f>IFERROR(__xludf.DUMMYFUNCTION("IFERROR(
  FILTER('CBK Students'!O:O, TRIM('CBK Students'!B:B) = TRIM(A700)),
  """"
)"),"#REF!")</f>
        <v>#REF!</v>
      </c>
      <c r="AA700" s="4" t="str">
        <f>IFERROR(__xludf.DUMMYFUNCTION("IFERROR(
  FILTER('CBK Students'!P:P, TRIM('CBK Students'!B:B) = TRIM(A700)),
  """"
)"),"#REF!")</f>
        <v>#REF!</v>
      </c>
      <c r="AB700" s="4" t="str">
        <f>IFERROR(__xludf.DUMMYFUNCTION("IFERROR(
  FILTER('CBK Students'!Q:Q, TRIM('CBK Students'!B:B) = TRIM(A700)),
  """"
)"),"#REF!")</f>
        <v>#REF!</v>
      </c>
    </row>
    <row r="701" ht="18.75" customHeight="1">
      <c r="T701" s="240" t="str">
        <f>IFERROR(__xludf.DUMMYFUNCTION("IFERROR(
  FILTER('CBK Students'!F:F, TRIM('CBK Students'!B:B) = TRIM(A701)),
  """"
)"),"#REF!")</f>
        <v>#REF!</v>
      </c>
      <c r="U701" s="240" t="str">
        <f>IFERROR(__xludf.DUMMYFUNCTION("IFERROR(
  FILTER('CBK Students'!H:H, TRIM('CBK Students'!B:B) = TRIM(A701)),
  """"
)"),"#REF!")</f>
        <v>#REF!</v>
      </c>
      <c r="V701" s="240" t="str">
        <f>IFERROR(__xludf.DUMMYFUNCTION("IFERROR(
  FILTER('CBK Students'!M:M, TRIM('CBK Students'!B:B) = TRIM(A701)),
  """"
)"),"#REF!")</f>
        <v>#REF!</v>
      </c>
      <c r="W701" s="240" t="str">
        <f t="shared" si="1"/>
        <v/>
      </c>
      <c r="X701" s="240" t="str">
        <f>IFERROR(__xludf.DUMMYFUNCTION("IFERROR(
  FILTER('CBK Students'!R:R, TRIM('CBK Students'!B:B) = TRIM(A701)),
  """"
)"),"#REF!")</f>
        <v>#REF!</v>
      </c>
      <c r="Y701" s="4" t="str">
        <f t="shared" si="2"/>
        <v/>
      </c>
      <c r="Z701" s="4" t="str">
        <f>IFERROR(__xludf.DUMMYFUNCTION("IFERROR(
  FILTER('CBK Students'!O:O, TRIM('CBK Students'!B:B) = TRIM(A701)),
  """"
)"),"#REF!")</f>
        <v>#REF!</v>
      </c>
      <c r="AA701" s="4" t="str">
        <f>IFERROR(__xludf.DUMMYFUNCTION("IFERROR(
  FILTER('CBK Students'!P:P, TRIM('CBK Students'!B:B) = TRIM(A701)),
  """"
)"),"#REF!")</f>
        <v>#REF!</v>
      </c>
      <c r="AB701" s="4" t="str">
        <f>IFERROR(__xludf.DUMMYFUNCTION("IFERROR(
  FILTER('CBK Students'!Q:Q, TRIM('CBK Students'!B:B) = TRIM(A701)),
  """"
)"),"#REF!")</f>
        <v>#REF!</v>
      </c>
    </row>
    <row r="702" ht="18.75" customHeight="1">
      <c r="T702" s="240" t="str">
        <f>IFERROR(__xludf.DUMMYFUNCTION("IFERROR(
  FILTER('CBK Students'!F:F, TRIM('CBK Students'!B:B) = TRIM(A702)),
  """"
)"),"#REF!")</f>
        <v>#REF!</v>
      </c>
      <c r="U702" s="240" t="str">
        <f>IFERROR(__xludf.DUMMYFUNCTION("IFERROR(
  FILTER('CBK Students'!H:H, TRIM('CBK Students'!B:B) = TRIM(A702)),
  """"
)"),"#REF!")</f>
        <v>#REF!</v>
      </c>
      <c r="V702" s="240" t="str">
        <f>IFERROR(__xludf.DUMMYFUNCTION("IFERROR(
  FILTER('CBK Students'!M:M, TRIM('CBK Students'!B:B) = TRIM(A702)),
  """"
)"),"#REF!")</f>
        <v>#REF!</v>
      </c>
      <c r="W702" s="240" t="str">
        <f t="shared" si="1"/>
        <v/>
      </c>
      <c r="X702" s="240" t="str">
        <f>IFERROR(__xludf.DUMMYFUNCTION("IFERROR(
  FILTER('CBK Students'!R:R, TRIM('CBK Students'!B:B) = TRIM(A702)),
  """"
)"),"#REF!")</f>
        <v>#REF!</v>
      </c>
      <c r="Y702" s="4" t="str">
        <f t="shared" si="2"/>
        <v/>
      </c>
      <c r="Z702" s="4" t="str">
        <f>IFERROR(__xludf.DUMMYFUNCTION("IFERROR(
  FILTER('CBK Students'!O:O, TRIM('CBK Students'!B:B) = TRIM(A702)),
  """"
)"),"#REF!")</f>
        <v>#REF!</v>
      </c>
      <c r="AA702" s="4" t="str">
        <f>IFERROR(__xludf.DUMMYFUNCTION("IFERROR(
  FILTER('CBK Students'!P:P, TRIM('CBK Students'!B:B) = TRIM(A702)),
  """"
)"),"#REF!")</f>
        <v>#REF!</v>
      </c>
      <c r="AB702" s="4" t="str">
        <f>IFERROR(__xludf.DUMMYFUNCTION("IFERROR(
  FILTER('CBK Students'!Q:Q, TRIM('CBK Students'!B:B) = TRIM(A702)),
  """"
)"),"#REF!")</f>
        <v>#REF!</v>
      </c>
    </row>
    <row r="703" ht="18.75" customHeight="1">
      <c r="T703" s="240" t="str">
        <f>IFERROR(__xludf.DUMMYFUNCTION("IFERROR(
  FILTER('CBK Students'!F:F, TRIM('CBK Students'!B:B) = TRIM(A703)),
  """"
)"),"#REF!")</f>
        <v>#REF!</v>
      </c>
      <c r="U703" s="240" t="str">
        <f>IFERROR(__xludf.DUMMYFUNCTION("IFERROR(
  FILTER('CBK Students'!H:H, TRIM('CBK Students'!B:B) = TRIM(A703)),
  """"
)"),"#REF!")</f>
        <v>#REF!</v>
      </c>
      <c r="V703" s="240" t="str">
        <f>IFERROR(__xludf.DUMMYFUNCTION("IFERROR(
  FILTER('CBK Students'!M:M, TRIM('CBK Students'!B:B) = TRIM(A703)),
  """"
)"),"#REF!")</f>
        <v>#REF!</v>
      </c>
      <c r="W703" s="240" t="str">
        <f t="shared" si="1"/>
        <v/>
      </c>
      <c r="X703" s="240" t="str">
        <f>IFERROR(__xludf.DUMMYFUNCTION("IFERROR(
  FILTER('CBK Students'!R:R, TRIM('CBK Students'!B:B) = TRIM(A703)),
  """"
)"),"#REF!")</f>
        <v>#REF!</v>
      </c>
      <c r="Y703" s="4" t="str">
        <f t="shared" si="2"/>
        <v/>
      </c>
      <c r="Z703" s="4" t="str">
        <f>IFERROR(__xludf.DUMMYFUNCTION("IFERROR(
  FILTER('CBK Students'!O:O, TRIM('CBK Students'!B:B) = TRIM(A703)),
  """"
)"),"#REF!")</f>
        <v>#REF!</v>
      </c>
      <c r="AA703" s="4" t="str">
        <f>IFERROR(__xludf.DUMMYFUNCTION("IFERROR(
  FILTER('CBK Students'!P:P, TRIM('CBK Students'!B:B) = TRIM(A703)),
  """"
)"),"#REF!")</f>
        <v>#REF!</v>
      </c>
      <c r="AB703" s="4" t="str">
        <f>IFERROR(__xludf.DUMMYFUNCTION("IFERROR(
  FILTER('CBK Students'!Q:Q, TRIM('CBK Students'!B:B) = TRIM(A703)),
  """"
)"),"#REF!")</f>
        <v>#REF!</v>
      </c>
    </row>
    <row r="704" ht="18.75" customHeight="1">
      <c r="T704" s="240" t="str">
        <f>IFERROR(__xludf.DUMMYFUNCTION("IFERROR(
  FILTER('CBK Students'!F:F, TRIM('CBK Students'!B:B) = TRIM(A704)),
  """"
)"),"#REF!")</f>
        <v>#REF!</v>
      </c>
      <c r="U704" s="240" t="str">
        <f>IFERROR(__xludf.DUMMYFUNCTION("IFERROR(
  FILTER('CBK Students'!H:H, TRIM('CBK Students'!B:B) = TRIM(A704)),
  """"
)"),"#REF!")</f>
        <v>#REF!</v>
      </c>
      <c r="V704" s="240" t="str">
        <f>IFERROR(__xludf.DUMMYFUNCTION("IFERROR(
  FILTER('CBK Students'!M:M, TRIM('CBK Students'!B:B) = TRIM(A704)),
  """"
)"),"#REF!")</f>
        <v>#REF!</v>
      </c>
      <c r="W704" s="240" t="str">
        <f t="shared" si="1"/>
        <v/>
      </c>
      <c r="X704" s="240" t="str">
        <f>IFERROR(__xludf.DUMMYFUNCTION("IFERROR(
  FILTER('CBK Students'!R:R, TRIM('CBK Students'!B:B) = TRIM(A704)),
  """"
)"),"#REF!")</f>
        <v>#REF!</v>
      </c>
      <c r="Y704" s="4" t="str">
        <f t="shared" si="2"/>
        <v/>
      </c>
      <c r="Z704" s="4" t="str">
        <f>IFERROR(__xludf.DUMMYFUNCTION("IFERROR(
  FILTER('CBK Students'!O:O, TRIM('CBK Students'!B:B) = TRIM(A704)),
  """"
)"),"#REF!")</f>
        <v>#REF!</v>
      </c>
      <c r="AA704" s="4" t="str">
        <f>IFERROR(__xludf.DUMMYFUNCTION("IFERROR(
  FILTER('CBK Students'!P:P, TRIM('CBK Students'!B:B) = TRIM(A704)),
  """"
)"),"#REF!")</f>
        <v>#REF!</v>
      </c>
      <c r="AB704" s="4" t="str">
        <f>IFERROR(__xludf.DUMMYFUNCTION("IFERROR(
  FILTER('CBK Students'!Q:Q, TRIM('CBK Students'!B:B) = TRIM(A704)),
  """"
)"),"#REF!")</f>
        <v>#REF!</v>
      </c>
    </row>
    <row r="705" ht="18.75" customHeight="1">
      <c r="T705" s="240" t="str">
        <f>IFERROR(__xludf.DUMMYFUNCTION("IFERROR(
  FILTER('CBK Students'!F:F, TRIM('CBK Students'!B:B) = TRIM(A705)),
  """"
)"),"#REF!")</f>
        <v>#REF!</v>
      </c>
      <c r="U705" s="240" t="str">
        <f>IFERROR(__xludf.DUMMYFUNCTION("IFERROR(
  FILTER('CBK Students'!H:H, TRIM('CBK Students'!B:B) = TRIM(A705)),
  """"
)"),"#REF!")</f>
        <v>#REF!</v>
      </c>
      <c r="V705" s="240" t="str">
        <f>IFERROR(__xludf.DUMMYFUNCTION("IFERROR(
  FILTER('CBK Students'!M:M, TRIM('CBK Students'!B:B) = TRIM(A705)),
  """"
)"),"#REF!")</f>
        <v>#REF!</v>
      </c>
      <c r="W705" s="240" t="str">
        <f t="shared" si="1"/>
        <v/>
      </c>
      <c r="X705" s="240" t="str">
        <f>IFERROR(__xludf.DUMMYFUNCTION("IFERROR(
  FILTER('CBK Students'!R:R, TRIM('CBK Students'!B:B) = TRIM(A705)),
  """"
)"),"#REF!")</f>
        <v>#REF!</v>
      </c>
      <c r="Y705" s="4" t="str">
        <f t="shared" si="2"/>
        <v/>
      </c>
      <c r="Z705" s="4" t="str">
        <f>IFERROR(__xludf.DUMMYFUNCTION("IFERROR(
  FILTER('CBK Students'!O:O, TRIM('CBK Students'!B:B) = TRIM(A705)),
  """"
)"),"#REF!")</f>
        <v>#REF!</v>
      </c>
      <c r="AA705" s="4" t="str">
        <f>IFERROR(__xludf.DUMMYFUNCTION("IFERROR(
  FILTER('CBK Students'!P:P, TRIM('CBK Students'!B:B) = TRIM(A705)),
  """"
)"),"#REF!")</f>
        <v>#REF!</v>
      </c>
      <c r="AB705" s="4" t="str">
        <f>IFERROR(__xludf.DUMMYFUNCTION("IFERROR(
  FILTER('CBK Students'!Q:Q, TRIM('CBK Students'!B:B) = TRIM(A705)),
  """"
)"),"#REF!")</f>
        <v>#REF!</v>
      </c>
    </row>
    <row r="706" ht="18.75" customHeight="1">
      <c r="T706" s="240" t="str">
        <f>IFERROR(__xludf.DUMMYFUNCTION("IFERROR(
  FILTER('CBK Students'!F:F, TRIM('CBK Students'!B:B) = TRIM(A706)),
  """"
)"),"#REF!")</f>
        <v>#REF!</v>
      </c>
      <c r="U706" s="240" t="str">
        <f>IFERROR(__xludf.DUMMYFUNCTION("IFERROR(
  FILTER('CBK Students'!H:H, TRIM('CBK Students'!B:B) = TRIM(A706)),
  """"
)"),"#REF!")</f>
        <v>#REF!</v>
      </c>
      <c r="V706" s="240" t="str">
        <f>IFERROR(__xludf.DUMMYFUNCTION("IFERROR(
  FILTER('CBK Students'!M:M, TRIM('CBK Students'!B:B) = TRIM(A706)),
  """"
)"),"#REF!")</f>
        <v>#REF!</v>
      </c>
      <c r="W706" s="240" t="str">
        <f t="shared" si="1"/>
        <v/>
      </c>
      <c r="X706" s="240" t="str">
        <f>IFERROR(__xludf.DUMMYFUNCTION("IFERROR(
  FILTER('CBK Students'!R:R, TRIM('CBK Students'!B:B) = TRIM(A706)),
  """"
)"),"#REF!")</f>
        <v>#REF!</v>
      </c>
      <c r="Y706" s="4" t="str">
        <f t="shared" si="2"/>
        <v/>
      </c>
      <c r="Z706" s="4" t="str">
        <f>IFERROR(__xludf.DUMMYFUNCTION("IFERROR(
  FILTER('CBK Students'!O:O, TRIM('CBK Students'!B:B) = TRIM(A706)),
  """"
)"),"#REF!")</f>
        <v>#REF!</v>
      </c>
      <c r="AA706" s="4" t="str">
        <f>IFERROR(__xludf.DUMMYFUNCTION("IFERROR(
  FILTER('CBK Students'!P:P, TRIM('CBK Students'!B:B) = TRIM(A706)),
  """"
)"),"#REF!")</f>
        <v>#REF!</v>
      </c>
      <c r="AB706" s="4" t="str">
        <f>IFERROR(__xludf.DUMMYFUNCTION("IFERROR(
  FILTER('CBK Students'!Q:Q, TRIM('CBK Students'!B:B) = TRIM(A706)),
  """"
)"),"#REF!")</f>
        <v>#REF!</v>
      </c>
    </row>
    <row r="707" ht="18.75" customHeight="1">
      <c r="T707" s="240" t="str">
        <f>IFERROR(__xludf.DUMMYFUNCTION("IFERROR(
  FILTER('CBK Students'!F:F, TRIM('CBK Students'!B:B) = TRIM(A707)),
  """"
)"),"#REF!")</f>
        <v>#REF!</v>
      </c>
      <c r="U707" s="240" t="str">
        <f>IFERROR(__xludf.DUMMYFUNCTION("IFERROR(
  FILTER('CBK Students'!H:H, TRIM('CBK Students'!B:B) = TRIM(A707)),
  """"
)"),"#REF!")</f>
        <v>#REF!</v>
      </c>
      <c r="V707" s="240" t="str">
        <f>IFERROR(__xludf.DUMMYFUNCTION("IFERROR(
  FILTER('CBK Students'!M:M, TRIM('CBK Students'!B:B) = TRIM(A707)),
  """"
)"),"#REF!")</f>
        <v>#REF!</v>
      </c>
      <c r="W707" s="240" t="str">
        <f t="shared" si="1"/>
        <v/>
      </c>
      <c r="X707" s="240" t="str">
        <f>IFERROR(__xludf.DUMMYFUNCTION("IFERROR(
  FILTER('CBK Students'!R:R, TRIM('CBK Students'!B:B) = TRIM(A707)),
  """"
)"),"#REF!")</f>
        <v>#REF!</v>
      </c>
      <c r="Y707" s="4" t="str">
        <f t="shared" si="2"/>
        <v/>
      </c>
      <c r="Z707" s="4" t="str">
        <f>IFERROR(__xludf.DUMMYFUNCTION("IFERROR(
  FILTER('CBK Students'!O:O, TRIM('CBK Students'!B:B) = TRIM(A707)),
  """"
)"),"#REF!")</f>
        <v>#REF!</v>
      </c>
      <c r="AA707" s="4" t="str">
        <f>IFERROR(__xludf.DUMMYFUNCTION("IFERROR(
  FILTER('CBK Students'!P:P, TRIM('CBK Students'!B:B) = TRIM(A707)),
  """"
)"),"#REF!")</f>
        <v>#REF!</v>
      </c>
      <c r="AB707" s="4" t="str">
        <f>IFERROR(__xludf.DUMMYFUNCTION("IFERROR(
  FILTER('CBK Students'!Q:Q, TRIM('CBK Students'!B:B) = TRIM(A707)),
  """"
)"),"#REF!")</f>
        <v>#REF!</v>
      </c>
    </row>
    <row r="708" ht="18.75" customHeight="1">
      <c r="T708" s="240" t="str">
        <f>IFERROR(__xludf.DUMMYFUNCTION("IFERROR(
  FILTER('CBK Students'!F:F, TRIM('CBK Students'!B:B) = TRIM(A708)),
  """"
)"),"#REF!")</f>
        <v>#REF!</v>
      </c>
      <c r="U708" s="240" t="str">
        <f>IFERROR(__xludf.DUMMYFUNCTION("IFERROR(
  FILTER('CBK Students'!H:H, TRIM('CBK Students'!B:B) = TRIM(A708)),
  """"
)"),"#REF!")</f>
        <v>#REF!</v>
      </c>
      <c r="V708" s="240" t="str">
        <f>IFERROR(__xludf.DUMMYFUNCTION("IFERROR(
  FILTER('CBK Students'!M:M, TRIM('CBK Students'!B:B) = TRIM(A708)),
  """"
)"),"#REF!")</f>
        <v>#REF!</v>
      </c>
      <c r="W708" s="240" t="str">
        <f t="shared" si="1"/>
        <v/>
      </c>
      <c r="X708" s="240" t="str">
        <f>IFERROR(__xludf.DUMMYFUNCTION("IFERROR(
  FILTER('CBK Students'!R:R, TRIM('CBK Students'!B:B) = TRIM(A708)),
  """"
)"),"#REF!")</f>
        <v>#REF!</v>
      </c>
      <c r="Y708" s="4" t="str">
        <f t="shared" si="2"/>
        <v/>
      </c>
      <c r="Z708" s="4" t="str">
        <f>IFERROR(__xludf.DUMMYFUNCTION("IFERROR(
  FILTER('CBK Students'!O:O, TRIM('CBK Students'!B:B) = TRIM(A708)),
  """"
)"),"#REF!")</f>
        <v>#REF!</v>
      </c>
      <c r="AA708" s="4" t="str">
        <f>IFERROR(__xludf.DUMMYFUNCTION("IFERROR(
  FILTER('CBK Students'!P:P, TRIM('CBK Students'!B:B) = TRIM(A708)),
  """"
)"),"#REF!")</f>
        <v>#REF!</v>
      </c>
      <c r="AB708" s="4" t="str">
        <f>IFERROR(__xludf.DUMMYFUNCTION("IFERROR(
  FILTER('CBK Students'!Q:Q, TRIM('CBK Students'!B:B) = TRIM(A708)),
  """"
)"),"#REF!")</f>
        <v>#REF!</v>
      </c>
    </row>
    <row r="709" ht="18.75" customHeight="1">
      <c r="T709" s="240" t="str">
        <f>IFERROR(__xludf.DUMMYFUNCTION("IFERROR(
  FILTER('CBK Students'!F:F, TRIM('CBK Students'!B:B) = TRIM(A709)),
  """"
)"),"#REF!")</f>
        <v>#REF!</v>
      </c>
      <c r="U709" s="240" t="str">
        <f>IFERROR(__xludf.DUMMYFUNCTION("IFERROR(
  FILTER('CBK Students'!H:H, TRIM('CBK Students'!B:B) = TRIM(A709)),
  """"
)"),"#REF!")</f>
        <v>#REF!</v>
      </c>
      <c r="V709" s="240" t="str">
        <f>IFERROR(__xludf.DUMMYFUNCTION("IFERROR(
  FILTER('CBK Students'!M:M, TRIM('CBK Students'!B:B) = TRIM(A709)),
  """"
)"),"#REF!")</f>
        <v>#REF!</v>
      </c>
      <c r="W709" s="240" t="str">
        <f t="shared" si="1"/>
        <v/>
      </c>
      <c r="X709" s="240" t="str">
        <f>IFERROR(__xludf.DUMMYFUNCTION("IFERROR(
  FILTER('CBK Students'!R:R, TRIM('CBK Students'!B:B) = TRIM(A709)),
  """"
)"),"#REF!")</f>
        <v>#REF!</v>
      </c>
      <c r="Y709" s="4" t="str">
        <f t="shared" si="2"/>
        <v/>
      </c>
      <c r="Z709" s="4" t="str">
        <f>IFERROR(__xludf.DUMMYFUNCTION("IFERROR(
  FILTER('CBK Students'!O:O, TRIM('CBK Students'!B:B) = TRIM(A709)),
  """"
)"),"#REF!")</f>
        <v>#REF!</v>
      </c>
      <c r="AA709" s="4" t="str">
        <f>IFERROR(__xludf.DUMMYFUNCTION("IFERROR(
  FILTER('CBK Students'!P:P, TRIM('CBK Students'!B:B) = TRIM(A709)),
  """"
)"),"#REF!")</f>
        <v>#REF!</v>
      </c>
      <c r="AB709" s="4" t="str">
        <f>IFERROR(__xludf.DUMMYFUNCTION("IFERROR(
  FILTER('CBK Students'!Q:Q, TRIM('CBK Students'!B:B) = TRIM(A709)),
  """"
)"),"#REF!")</f>
        <v>#REF!</v>
      </c>
    </row>
    <row r="710" ht="18.75" customHeight="1">
      <c r="T710" s="240" t="str">
        <f>IFERROR(__xludf.DUMMYFUNCTION("IFERROR(
  FILTER('CBK Students'!F:F, TRIM('CBK Students'!B:B) = TRIM(A710)),
  """"
)"),"#REF!")</f>
        <v>#REF!</v>
      </c>
      <c r="U710" s="240" t="str">
        <f>IFERROR(__xludf.DUMMYFUNCTION("IFERROR(
  FILTER('CBK Students'!H:H, TRIM('CBK Students'!B:B) = TRIM(A710)),
  """"
)"),"#REF!")</f>
        <v>#REF!</v>
      </c>
      <c r="V710" s="240" t="str">
        <f>IFERROR(__xludf.DUMMYFUNCTION("IFERROR(
  FILTER('CBK Students'!M:M, TRIM('CBK Students'!B:B) = TRIM(A710)),
  """"
)"),"#REF!")</f>
        <v>#REF!</v>
      </c>
      <c r="W710" s="240" t="str">
        <f t="shared" si="1"/>
        <v/>
      </c>
      <c r="X710" s="240" t="str">
        <f>IFERROR(__xludf.DUMMYFUNCTION("IFERROR(
  FILTER('CBK Students'!R:R, TRIM('CBK Students'!B:B) = TRIM(A710)),
  """"
)"),"#REF!")</f>
        <v>#REF!</v>
      </c>
      <c r="Y710" s="4" t="str">
        <f t="shared" si="2"/>
        <v/>
      </c>
      <c r="Z710" s="4" t="str">
        <f>IFERROR(__xludf.DUMMYFUNCTION("IFERROR(
  FILTER('CBK Students'!O:O, TRIM('CBK Students'!B:B) = TRIM(A710)),
  """"
)"),"#REF!")</f>
        <v>#REF!</v>
      </c>
      <c r="AA710" s="4" t="str">
        <f>IFERROR(__xludf.DUMMYFUNCTION("IFERROR(
  FILTER('CBK Students'!P:P, TRIM('CBK Students'!B:B) = TRIM(A710)),
  """"
)"),"#REF!")</f>
        <v>#REF!</v>
      </c>
      <c r="AB710" s="4" t="str">
        <f>IFERROR(__xludf.DUMMYFUNCTION("IFERROR(
  FILTER('CBK Students'!Q:Q, TRIM('CBK Students'!B:B) = TRIM(A710)),
  """"
)"),"#REF!")</f>
        <v>#REF!</v>
      </c>
    </row>
    <row r="711" ht="18.75" customHeight="1">
      <c r="T711" s="240" t="str">
        <f>IFERROR(__xludf.DUMMYFUNCTION("IFERROR(
  FILTER('CBK Students'!F:F, TRIM('CBK Students'!B:B) = TRIM(A711)),
  """"
)"),"#REF!")</f>
        <v>#REF!</v>
      </c>
      <c r="U711" s="240" t="str">
        <f>IFERROR(__xludf.DUMMYFUNCTION("IFERROR(
  FILTER('CBK Students'!H:H, TRIM('CBK Students'!B:B) = TRIM(A711)),
  """"
)"),"#REF!")</f>
        <v>#REF!</v>
      </c>
      <c r="V711" s="240" t="str">
        <f>IFERROR(__xludf.DUMMYFUNCTION("IFERROR(
  FILTER('CBK Students'!M:M, TRIM('CBK Students'!B:B) = TRIM(A711)),
  """"
)"),"#REF!")</f>
        <v>#REF!</v>
      </c>
      <c r="W711" s="240" t="str">
        <f t="shared" si="1"/>
        <v/>
      </c>
      <c r="X711" s="240" t="str">
        <f>IFERROR(__xludf.DUMMYFUNCTION("IFERROR(
  FILTER('CBK Students'!R:R, TRIM('CBK Students'!B:B) = TRIM(A711)),
  """"
)"),"#REF!")</f>
        <v>#REF!</v>
      </c>
      <c r="Y711" s="4" t="str">
        <f t="shared" si="2"/>
        <v/>
      </c>
      <c r="Z711" s="4" t="str">
        <f>IFERROR(__xludf.DUMMYFUNCTION("IFERROR(
  FILTER('CBK Students'!O:O, TRIM('CBK Students'!B:B) = TRIM(A711)),
  """"
)"),"#REF!")</f>
        <v>#REF!</v>
      </c>
      <c r="AA711" s="4" t="str">
        <f>IFERROR(__xludf.DUMMYFUNCTION("IFERROR(
  FILTER('CBK Students'!P:P, TRIM('CBK Students'!B:B) = TRIM(A711)),
  """"
)"),"#REF!")</f>
        <v>#REF!</v>
      </c>
      <c r="AB711" s="4" t="str">
        <f>IFERROR(__xludf.DUMMYFUNCTION("IFERROR(
  FILTER('CBK Students'!Q:Q, TRIM('CBK Students'!B:B) = TRIM(A711)),
  """"
)"),"#REF!")</f>
        <v>#REF!</v>
      </c>
    </row>
    <row r="712" ht="18.75" customHeight="1">
      <c r="T712" s="240" t="str">
        <f>IFERROR(__xludf.DUMMYFUNCTION("IFERROR(
  FILTER('CBK Students'!F:F, TRIM('CBK Students'!B:B) = TRIM(A712)),
  """"
)"),"#REF!")</f>
        <v>#REF!</v>
      </c>
      <c r="U712" s="240" t="str">
        <f>IFERROR(__xludf.DUMMYFUNCTION("IFERROR(
  FILTER('CBK Students'!H:H, TRIM('CBK Students'!B:B) = TRIM(A712)),
  """"
)"),"#REF!")</f>
        <v>#REF!</v>
      </c>
      <c r="V712" s="240" t="str">
        <f>IFERROR(__xludf.DUMMYFUNCTION("IFERROR(
  FILTER('CBK Students'!M:M, TRIM('CBK Students'!B:B) = TRIM(A712)),
  """"
)"),"#REF!")</f>
        <v>#REF!</v>
      </c>
      <c r="W712" s="240" t="str">
        <f t="shared" si="1"/>
        <v/>
      </c>
      <c r="X712" s="240" t="str">
        <f>IFERROR(__xludf.DUMMYFUNCTION("IFERROR(
  FILTER('CBK Students'!R:R, TRIM('CBK Students'!B:B) = TRIM(A712)),
  """"
)"),"#REF!")</f>
        <v>#REF!</v>
      </c>
      <c r="Y712" s="4" t="str">
        <f t="shared" si="2"/>
        <v/>
      </c>
      <c r="Z712" s="4" t="str">
        <f>IFERROR(__xludf.DUMMYFUNCTION("IFERROR(
  FILTER('CBK Students'!O:O, TRIM('CBK Students'!B:B) = TRIM(A712)),
  """"
)"),"#REF!")</f>
        <v>#REF!</v>
      </c>
      <c r="AA712" s="4" t="str">
        <f>IFERROR(__xludf.DUMMYFUNCTION("IFERROR(
  FILTER('CBK Students'!P:P, TRIM('CBK Students'!B:B) = TRIM(A712)),
  """"
)"),"#REF!")</f>
        <v>#REF!</v>
      </c>
      <c r="AB712" s="4" t="str">
        <f>IFERROR(__xludf.DUMMYFUNCTION("IFERROR(
  FILTER('CBK Students'!Q:Q, TRIM('CBK Students'!B:B) = TRIM(A712)),
  """"
)"),"#REF!")</f>
        <v>#REF!</v>
      </c>
    </row>
    <row r="713" ht="18.75" customHeight="1">
      <c r="T713" s="240" t="str">
        <f>IFERROR(__xludf.DUMMYFUNCTION("IFERROR(
  FILTER('CBK Students'!F:F, TRIM('CBK Students'!B:B) = TRIM(A713)),
  """"
)"),"#REF!")</f>
        <v>#REF!</v>
      </c>
      <c r="U713" s="240" t="str">
        <f>IFERROR(__xludf.DUMMYFUNCTION("IFERROR(
  FILTER('CBK Students'!H:H, TRIM('CBK Students'!B:B) = TRIM(A713)),
  """"
)"),"#REF!")</f>
        <v>#REF!</v>
      </c>
      <c r="V713" s="240" t="str">
        <f>IFERROR(__xludf.DUMMYFUNCTION("IFERROR(
  FILTER('CBK Students'!M:M, TRIM('CBK Students'!B:B) = TRIM(A713)),
  """"
)"),"#REF!")</f>
        <v>#REF!</v>
      </c>
      <c r="W713" s="240" t="str">
        <f t="shared" si="1"/>
        <v/>
      </c>
      <c r="X713" s="240" t="str">
        <f>IFERROR(__xludf.DUMMYFUNCTION("IFERROR(
  FILTER('CBK Students'!R:R, TRIM('CBK Students'!B:B) = TRIM(A713)),
  """"
)"),"#REF!")</f>
        <v>#REF!</v>
      </c>
      <c r="Y713" s="4" t="str">
        <f t="shared" si="2"/>
        <v/>
      </c>
      <c r="Z713" s="4" t="str">
        <f>IFERROR(__xludf.DUMMYFUNCTION("IFERROR(
  FILTER('CBK Students'!O:O, TRIM('CBK Students'!B:B) = TRIM(A713)),
  """"
)"),"#REF!")</f>
        <v>#REF!</v>
      </c>
      <c r="AA713" s="4" t="str">
        <f>IFERROR(__xludf.DUMMYFUNCTION("IFERROR(
  FILTER('CBK Students'!P:P, TRIM('CBK Students'!B:B) = TRIM(A713)),
  """"
)"),"#REF!")</f>
        <v>#REF!</v>
      </c>
      <c r="AB713" s="4" t="str">
        <f>IFERROR(__xludf.DUMMYFUNCTION("IFERROR(
  FILTER('CBK Students'!Q:Q, TRIM('CBK Students'!B:B) = TRIM(A713)),
  """"
)"),"#REF!")</f>
        <v>#REF!</v>
      </c>
    </row>
    <row r="714" ht="18.75" customHeight="1">
      <c r="T714" s="240" t="str">
        <f>IFERROR(__xludf.DUMMYFUNCTION("IFERROR(
  FILTER('CBK Students'!F:F, TRIM('CBK Students'!B:B) = TRIM(A714)),
  """"
)"),"#REF!")</f>
        <v>#REF!</v>
      </c>
      <c r="U714" s="240" t="str">
        <f>IFERROR(__xludf.DUMMYFUNCTION("IFERROR(
  FILTER('CBK Students'!H:H, TRIM('CBK Students'!B:B) = TRIM(A714)),
  """"
)"),"#REF!")</f>
        <v>#REF!</v>
      </c>
      <c r="V714" s="240" t="str">
        <f>IFERROR(__xludf.DUMMYFUNCTION("IFERROR(
  FILTER('CBK Students'!M:M, TRIM('CBK Students'!B:B) = TRIM(A714)),
  """"
)"),"#REF!")</f>
        <v>#REF!</v>
      </c>
      <c r="W714" s="240" t="str">
        <f t="shared" si="1"/>
        <v/>
      </c>
      <c r="X714" s="240" t="str">
        <f>IFERROR(__xludf.DUMMYFUNCTION("IFERROR(
  FILTER('CBK Students'!R:R, TRIM('CBK Students'!B:B) = TRIM(A714)),
  """"
)"),"#REF!")</f>
        <v>#REF!</v>
      </c>
      <c r="Y714" s="4" t="str">
        <f t="shared" si="2"/>
        <v/>
      </c>
      <c r="Z714" s="4" t="str">
        <f>IFERROR(__xludf.DUMMYFUNCTION("IFERROR(
  FILTER('CBK Students'!O:O, TRIM('CBK Students'!B:B) = TRIM(A714)),
  """"
)"),"#REF!")</f>
        <v>#REF!</v>
      </c>
      <c r="AA714" s="4" t="str">
        <f>IFERROR(__xludf.DUMMYFUNCTION("IFERROR(
  FILTER('CBK Students'!P:P, TRIM('CBK Students'!B:B) = TRIM(A714)),
  """"
)"),"#REF!")</f>
        <v>#REF!</v>
      </c>
      <c r="AB714" s="4" t="str">
        <f>IFERROR(__xludf.DUMMYFUNCTION("IFERROR(
  FILTER('CBK Students'!Q:Q, TRIM('CBK Students'!B:B) = TRIM(A714)),
  """"
)"),"#REF!")</f>
        <v>#REF!</v>
      </c>
    </row>
    <row r="715" ht="18.75" customHeight="1">
      <c r="T715" s="240" t="str">
        <f>IFERROR(__xludf.DUMMYFUNCTION("IFERROR(
  FILTER('CBK Students'!F:F, TRIM('CBK Students'!B:B) = TRIM(A715)),
  """"
)"),"#REF!")</f>
        <v>#REF!</v>
      </c>
      <c r="U715" s="240" t="str">
        <f>IFERROR(__xludf.DUMMYFUNCTION("IFERROR(
  FILTER('CBK Students'!H:H, TRIM('CBK Students'!B:B) = TRIM(A715)),
  """"
)"),"#REF!")</f>
        <v>#REF!</v>
      </c>
      <c r="V715" s="240" t="str">
        <f>IFERROR(__xludf.DUMMYFUNCTION("IFERROR(
  FILTER('CBK Students'!M:M, TRIM('CBK Students'!B:B) = TRIM(A715)),
  """"
)"),"#REF!")</f>
        <v>#REF!</v>
      </c>
      <c r="W715" s="240" t="str">
        <f t="shared" si="1"/>
        <v/>
      </c>
      <c r="X715" s="240" t="str">
        <f>IFERROR(__xludf.DUMMYFUNCTION("IFERROR(
  FILTER('CBK Students'!R:R, TRIM('CBK Students'!B:B) = TRIM(A715)),
  """"
)"),"#REF!")</f>
        <v>#REF!</v>
      </c>
      <c r="Y715" s="4" t="str">
        <f t="shared" si="2"/>
        <v/>
      </c>
      <c r="Z715" s="4" t="str">
        <f>IFERROR(__xludf.DUMMYFUNCTION("IFERROR(
  FILTER('CBK Students'!O:O, TRIM('CBK Students'!B:B) = TRIM(A715)),
  """"
)"),"#REF!")</f>
        <v>#REF!</v>
      </c>
      <c r="AA715" s="4" t="str">
        <f>IFERROR(__xludf.DUMMYFUNCTION("IFERROR(
  FILTER('CBK Students'!P:P, TRIM('CBK Students'!B:B) = TRIM(A715)),
  """"
)"),"#REF!")</f>
        <v>#REF!</v>
      </c>
      <c r="AB715" s="4" t="str">
        <f>IFERROR(__xludf.DUMMYFUNCTION("IFERROR(
  FILTER('CBK Students'!Q:Q, TRIM('CBK Students'!B:B) = TRIM(A715)),
  """"
)"),"#REF!")</f>
        <v>#REF!</v>
      </c>
    </row>
    <row r="716" ht="18.75" customHeight="1">
      <c r="T716" s="240" t="str">
        <f>IFERROR(__xludf.DUMMYFUNCTION("IFERROR(
  FILTER('CBK Students'!F:F, TRIM('CBK Students'!B:B) = TRIM(A716)),
  """"
)"),"#REF!")</f>
        <v>#REF!</v>
      </c>
      <c r="U716" s="240" t="str">
        <f>IFERROR(__xludf.DUMMYFUNCTION("IFERROR(
  FILTER('CBK Students'!H:H, TRIM('CBK Students'!B:B) = TRIM(A716)),
  """"
)"),"#REF!")</f>
        <v>#REF!</v>
      </c>
      <c r="V716" s="240" t="str">
        <f>IFERROR(__xludf.DUMMYFUNCTION("IFERROR(
  FILTER('CBK Students'!M:M, TRIM('CBK Students'!B:B) = TRIM(A716)),
  """"
)"),"#REF!")</f>
        <v>#REF!</v>
      </c>
      <c r="W716" s="240" t="str">
        <f t="shared" si="1"/>
        <v/>
      </c>
      <c r="X716" s="240" t="str">
        <f>IFERROR(__xludf.DUMMYFUNCTION("IFERROR(
  FILTER('CBK Students'!R:R, TRIM('CBK Students'!B:B) = TRIM(A716)),
  """"
)"),"#REF!")</f>
        <v>#REF!</v>
      </c>
      <c r="Y716" s="4" t="str">
        <f t="shared" si="2"/>
        <v/>
      </c>
      <c r="Z716" s="4" t="str">
        <f>IFERROR(__xludf.DUMMYFUNCTION("IFERROR(
  FILTER('CBK Students'!O:O, TRIM('CBK Students'!B:B) = TRIM(A716)),
  """"
)"),"#REF!")</f>
        <v>#REF!</v>
      </c>
      <c r="AA716" s="4" t="str">
        <f>IFERROR(__xludf.DUMMYFUNCTION("IFERROR(
  FILTER('CBK Students'!P:P, TRIM('CBK Students'!B:B) = TRIM(A716)),
  """"
)"),"#REF!")</f>
        <v>#REF!</v>
      </c>
      <c r="AB716" s="4" t="str">
        <f>IFERROR(__xludf.DUMMYFUNCTION("IFERROR(
  FILTER('CBK Students'!Q:Q, TRIM('CBK Students'!B:B) = TRIM(A716)),
  """"
)"),"#REF!")</f>
        <v>#REF!</v>
      </c>
    </row>
    <row r="717" ht="18.75" customHeight="1">
      <c r="T717" s="240" t="str">
        <f>IFERROR(__xludf.DUMMYFUNCTION("IFERROR(
  FILTER('CBK Students'!F:F, TRIM('CBK Students'!B:B) = TRIM(A717)),
  """"
)"),"#REF!")</f>
        <v>#REF!</v>
      </c>
      <c r="U717" s="240" t="str">
        <f>IFERROR(__xludf.DUMMYFUNCTION("IFERROR(
  FILTER('CBK Students'!H:H, TRIM('CBK Students'!B:B) = TRIM(A717)),
  """"
)"),"#REF!")</f>
        <v>#REF!</v>
      </c>
      <c r="V717" s="240" t="str">
        <f>IFERROR(__xludf.DUMMYFUNCTION("IFERROR(
  FILTER('CBK Students'!M:M, TRIM('CBK Students'!B:B) = TRIM(A717)),
  """"
)"),"#REF!")</f>
        <v>#REF!</v>
      </c>
      <c r="W717" s="240" t="str">
        <f t="shared" si="1"/>
        <v/>
      </c>
      <c r="X717" s="240" t="str">
        <f>IFERROR(__xludf.DUMMYFUNCTION("IFERROR(
  FILTER('CBK Students'!R:R, TRIM('CBK Students'!B:B) = TRIM(A717)),
  """"
)"),"#REF!")</f>
        <v>#REF!</v>
      </c>
      <c r="Y717" s="4" t="str">
        <f t="shared" si="2"/>
        <v/>
      </c>
      <c r="Z717" s="4" t="str">
        <f>IFERROR(__xludf.DUMMYFUNCTION("IFERROR(
  FILTER('CBK Students'!O:O, TRIM('CBK Students'!B:B) = TRIM(A717)),
  """"
)"),"#REF!")</f>
        <v>#REF!</v>
      </c>
      <c r="AA717" s="4" t="str">
        <f>IFERROR(__xludf.DUMMYFUNCTION("IFERROR(
  FILTER('CBK Students'!P:P, TRIM('CBK Students'!B:B) = TRIM(A717)),
  """"
)"),"#REF!")</f>
        <v>#REF!</v>
      </c>
      <c r="AB717" s="4" t="str">
        <f>IFERROR(__xludf.DUMMYFUNCTION("IFERROR(
  FILTER('CBK Students'!Q:Q, TRIM('CBK Students'!B:B) = TRIM(A717)),
  """"
)"),"#REF!")</f>
        <v>#REF!</v>
      </c>
    </row>
    <row r="718" ht="18.75" customHeight="1">
      <c r="T718" s="240" t="str">
        <f>IFERROR(__xludf.DUMMYFUNCTION("IFERROR(
  FILTER('CBK Students'!F:F, TRIM('CBK Students'!B:B) = TRIM(A718)),
  """"
)"),"#REF!")</f>
        <v>#REF!</v>
      </c>
      <c r="U718" s="240" t="str">
        <f>IFERROR(__xludf.DUMMYFUNCTION("IFERROR(
  FILTER('CBK Students'!H:H, TRIM('CBK Students'!B:B) = TRIM(A718)),
  """"
)"),"#REF!")</f>
        <v>#REF!</v>
      </c>
      <c r="V718" s="240" t="str">
        <f>IFERROR(__xludf.DUMMYFUNCTION("IFERROR(
  FILTER('CBK Students'!M:M, TRIM('CBK Students'!B:B) = TRIM(A718)),
  """"
)"),"#REF!")</f>
        <v>#REF!</v>
      </c>
      <c r="W718" s="240" t="str">
        <f t="shared" si="1"/>
        <v/>
      </c>
      <c r="X718" s="240" t="str">
        <f>IFERROR(__xludf.DUMMYFUNCTION("IFERROR(
  FILTER('CBK Students'!R:R, TRIM('CBK Students'!B:B) = TRIM(A718)),
  """"
)"),"#REF!")</f>
        <v>#REF!</v>
      </c>
      <c r="Y718" s="4" t="str">
        <f t="shared" si="2"/>
        <v/>
      </c>
      <c r="Z718" s="4" t="str">
        <f>IFERROR(__xludf.DUMMYFUNCTION("IFERROR(
  FILTER('CBK Students'!O:O, TRIM('CBK Students'!B:B) = TRIM(A718)),
  """"
)"),"#REF!")</f>
        <v>#REF!</v>
      </c>
      <c r="AA718" s="4" t="str">
        <f>IFERROR(__xludf.DUMMYFUNCTION("IFERROR(
  FILTER('CBK Students'!P:P, TRIM('CBK Students'!B:B) = TRIM(A718)),
  """"
)"),"#REF!")</f>
        <v>#REF!</v>
      </c>
      <c r="AB718" s="4" t="str">
        <f>IFERROR(__xludf.DUMMYFUNCTION("IFERROR(
  FILTER('CBK Students'!Q:Q, TRIM('CBK Students'!B:B) = TRIM(A718)),
  """"
)"),"#REF!")</f>
        <v>#REF!</v>
      </c>
    </row>
    <row r="719" ht="18.75" customHeight="1">
      <c r="T719" s="240" t="str">
        <f>IFERROR(__xludf.DUMMYFUNCTION("IFERROR(
  FILTER('CBK Students'!F:F, TRIM('CBK Students'!B:B) = TRIM(A719)),
  """"
)"),"#REF!")</f>
        <v>#REF!</v>
      </c>
      <c r="U719" s="240" t="str">
        <f>IFERROR(__xludf.DUMMYFUNCTION("IFERROR(
  FILTER('CBK Students'!H:H, TRIM('CBK Students'!B:B) = TRIM(A719)),
  """"
)"),"#REF!")</f>
        <v>#REF!</v>
      </c>
      <c r="V719" s="240" t="str">
        <f>IFERROR(__xludf.DUMMYFUNCTION("IFERROR(
  FILTER('CBK Students'!M:M, TRIM('CBK Students'!B:B) = TRIM(A719)),
  """"
)"),"#REF!")</f>
        <v>#REF!</v>
      </c>
      <c r="W719" s="240" t="str">
        <f t="shared" si="1"/>
        <v/>
      </c>
      <c r="X719" s="240" t="str">
        <f>IFERROR(__xludf.DUMMYFUNCTION("IFERROR(
  FILTER('CBK Students'!R:R, TRIM('CBK Students'!B:B) = TRIM(A719)),
  """"
)"),"#REF!")</f>
        <v>#REF!</v>
      </c>
      <c r="Y719" s="4" t="str">
        <f t="shared" si="2"/>
        <v/>
      </c>
      <c r="Z719" s="4" t="str">
        <f>IFERROR(__xludf.DUMMYFUNCTION("IFERROR(
  FILTER('CBK Students'!O:O, TRIM('CBK Students'!B:B) = TRIM(A719)),
  """"
)"),"#REF!")</f>
        <v>#REF!</v>
      </c>
      <c r="AA719" s="4" t="str">
        <f>IFERROR(__xludf.DUMMYFUNCTION("IFERROR(
  FILTER('CBK Students'!P:P, TRIM('CBK Students'!B:B) = TRIM(A719)),
  """"
)"),"#REF!")</f>
        <v>#REF!</v>
      </c>
      <c r="AB719" s="4" t="str">
        <f>IFERROR(__xludf.DUMMYFUNCTION("IFERROR(
  FILTER('CBK Students'!Q:Q, TRIM('CBK Students'!B:B) = TRIM(A719)),
  """"
)"),"#REF!")</f>
        <v>#REF!</v>
      </c>
    </row>
    <row r="720" ht="18.75" customHeight="1">
      <c r="T720" s="240" t="str">
        <f>IFERROR(__xludf.DUMMYFUNCTION("IFERROR(
  FILTER('CBK Students'!F:F, TRIM('CBK Students'!B:B) = TRIM(A720)),
  """"
)"),"#REF!")</f>
        <v>#REF!</v>
      </c>
      <c r="U720" s="240" t="str">
        <f>IFERROR(__xludf.DUMMYFUNCTION("IFERROR(
  FILTER('CBK Students'!H:H, TRIM('CBK Students'!B:B) = TRIM(A720)),
  """"
)"),"#REF!")</f>
        <v>#REF!</v>
      </c>
      <c r="V720" s="240" t="str">
        <f>IFERROR(__xludf.DUMMYFUNCTION("IFERROR(
  FILTER('CBK Students'!M:M, TRIM('CBK Students'!B:B) = TRIM(A720)),
  """"
)"),"#REF!")</f>
        <v>#REF!</v>
      </c>
      <c r="W720" s="240" t="str">
        <f t="shared" si="1"/>
        <v/>
      </c>
      <c r="X720" s="240" t="str">
        <f>IFERROR(__xludf.DUMMYFUNCTION("IFERROR(
  FILTER('CBK Students'!R:R, TRIM('CBK Students'!B:B) = TRIM(A720)),
  """"
)"),"#REF!")</f>
        <v>#REF!</v>
      </c>
      <c r="Y720" s="4" t="str">
        <f t="shared" si="2"/>
        <v/>
      </c>
      <c r="Z720" s="4" t="str">
        <f>IFERROR(__xludf.DUMMYFUNCTION("IFERROR(
  FILTER('CBK Students'!O:O, TRIM('CBK Students'!B:B) = TRIM(A720)),
  """"
)"),"#REF!")</f>
        <v>#REF!</v>
      </c>
      <c r="AA720" s="4" t="str">
        <f>IFERROR(__xludf.DUMMYFUNCTION("IFERROR(
  FILTER('CBK Students'!P:P, TRIM('CBK Students'!B:B) = TRIM(A720)),
  """"
)"),"#REF!")</f>
        <v>#REF!</v>
      </c>
      <c r="AB720" s="4" t="str">
        <f>IFERROR(__xludf.DUMMYFUNCTION("IFERROR(
  FILTER('CBK Students'!Q:Q, TRIM('CBK Students'!B:B) = TRIM(A720)),
  """"
)"),"#REF!")</f>
        <v>#REF!</v>
      </c>
    </row>
    <row r="721" ht="18.75" customHeight="1">
      <c r="T721" s="240" t="str">
        <f>IFERROR(__xludf.DUMMYFUNCTION("IFERROR(
  FILTER('CBK Students'!F:F, TRIM('CBK Students'!B:B) = TRIM(A721)),
  """"
)"),"#REF!")</f>
        <v>#REF!</v>
      </c>
      <c r="U721" s="240" t="str">
        <f>IFERROR(__xludf.DUMMYFUNCTION("IFERROR(
  FILTER('CBK Students'!H:H, TRIM('CBK Students'!B:B) = TRIM(A721)),
  """"
)"),"#REF!")</f>
        <v>#REF!</v>
      </c>
      <c r="V721" s="240" t="str">
        <f>IFERROR(__xludf.DUMMYFUNCTION("IFERROR(
  FILTER('CBK Students'!M:M, TRIM('CBK Students'!B:B) = TRIM(A721)),
  """"
)"),"#REF!")</f>
        <v>#REF!</v>
      </c>
      <c r="W721" s="240" t="str">
        <f t="shared" si="1"/>
        <v/>
      </c>
      <c r="X721" s="240" t="str">
        <f>IFERROR(__xludf.DUMMYFUNCTION("IFERROR(
  FILTER('CBK Students'!R:R, TRIM('CBK Students'!B:B) = TRIM(A721)),
  """"
)"),"#REF!")</f>
        <v>#REF!</v>
      </c>
      <c r="Y721" s="4" t="str">
        <f t="shared" si="2"/>
        <v/>
      </c>
      <c r="Z721" s="4" t="str">
        <f>IFERROR(__xludf.DUMMYFUNCTION("IFERROR(
  FILTER('CBK Students'!O:O, TRIM('CBK Students'!B:B) = TRIM(A721)),
  """"
)"),"#REF!")</f>
        <v>#REF!</v>
      </c>
      <c r="AA721" s="4" t="str">
        <f>IFERROR(__xludf.DUMMYFUNCTION("IFERROR(
  FILTER('CBK Students'!P:P, TRIM('CBK Students'!B:B) = TRIM(A721)),
  """"
)"),"#REF!")</f>
        <v>#REF!</v>
      </c>
      <c r="AB721" s="4" t="str">
        <f>IFERROR(__xludf.DUMMYFUNCTION("IFERROR(
  FILTER('CBK Students'!Q:Q, TRIM('CBK Students'!B:B) = TRIM(A721)),
  """"
)"),"#REF!")</f>
        <v>#REF!</v>
      </c>
    </row>
    <row r="722" ht="18.75" customHeight="1">
      <c r="T722" s="240" t="str">
        <f>IFERROR(__xludf.DUMMYFUNCTION("IFERROR(
  FILTER('CBK Students'!F:F, TRIM('CBK Students'!B:B) = TRIM(A722)),
  """"
)"),"#REF!")</f>
        <v>#REF!</v>
      </c>
      <c r="U722" s="240" t="str">
        <f>IFERROR(__xludf.DUMMYFUNCTION("IFERROR(
  FILTER('CBK Students'!H:H, TRIM('CBK Students'!B:B) = TRIM(A722)),
  """"
)"),"#REF!")</f>
        <v>#REF!</v>
      </c>
      <c r="V722" s="240" t="str">
        <f>IFERROR(__xludf.DUMMYFUNCTION("IFERROR(
  FILTER('CBK Students'!M:M, TRIM('CBK Students'!B:B) = TRIM(A722)),
  """"
)"),"#REF!")</f>
        <v>#REF!</v>
      </c>
      <c r="W722" s="240" t="str">
        <f t="shared" si="1"/>
        <v/>
      </c>
      <c r="X722" s="240" t="str">
        <f>IFERROR(__xludf.DUMMYFUNCTION("IFERROR(
  FILTER('CBK Students'!R:R, TRIM('CBK Students'!B:B) = TRIM(A722)),
  """"
)"),"#REF!")</f>
        <v>#REF!</v>
      </c>
      <c r="Y722" s="4" t="str">
        <f t="shared" si="2"/>
        <v/>
      </c>
      <c r="Z722" s="4" t="str">
        <f>IFERROR(__xludf.DUMMYFUNCTION("IFERROR(
  FILTER('CBK Students'!O:O, TRIM('CBK Students'!B:B) = TRIM(A722)),
  """"
)"),"#REF!")</f>
        <v>#REF!</v>
      </c>
      <c r="AA722" s="4" t="str">
        <f>IFERROR(__xludf.DUMMYFUNCTION("IFERROR(
  FILTER('CBK Students'!P:P, TRIM('CBK Students'!B:B) = TRIM(A722)),
  """"
)"),"#REF!")</f>
        <v>#REF!</v>
      </c>
      <c r="AB722" s="4" t="str">
        <f>IFERROR(__xludf.DUMMYFUNCTION("IFERROR(
  FILTER('CBK Students'!Q:Q, TRIM('CBK Students'!B:B) = TRIM(A722)),
  """"
)"),"#REF!")</f>
        <v>#REF!</v>
      </c>
    </row>
    <row r="723" ht="18.75" customHeight="1">
      <c r="T723" s="240" t="str">
        <f>IFERROR(__xludf.DUMMYFUNCTION("IFERROR(
  FILTER('CBK Students'!F:F, TRIM('CBK Students'!B:B) = TRIM(A723)),
  """"
)"),"#REF!")</f>
        <v>#REF!</v>
      </c>
      <c r="U723" s="240" t="str">
        <f>IFERROR(__xludf.DUMMYFUNCTION("IFERROR(
  FILTER('CBK Students'!H:H, TRIM('CBK Students'!B:B) = TRIM(A723)),
  """"
)"),"#REF!")</f>
        <v>#REF!</v>
      </c>
      <c r="V723" s="240" t="str">
        <f>IFERROR(__xludf.DUMMYFUNCTION("IFERROR(
  FILTER('CBK Students'!M:M, TRIM('CBK Students'!B:B) = TRIM(A723)),
  """"
)"),"#REF!")</f>
        <v>#REF!</v>
      </c>
      <c r="W723" s="240" t="str">
        <f t="shared" si="1"/>
        <v/>
      </c>
      <c r="X723" s="240" t="str">
        <f>IFERROR(__xludf.DUMMYFUNCTION("IFERROR(
  FILTER('CBK Students'!R:R, TRIM('CBK Students'!B:B) = TRIM(A723)),
  """"
)"),"#REF!")</f>
        <v>#REF!</v>
      </c>
      <c r="Y723" s="4" t="str">
        <f t="shared" si="2"/>
        <v/>
      </c>
      <c r="Z723" s="4" t="str">
        <f>IFERROR(__xludf.DUMMYFUNCTION("IFERROR(
  FILTER('CBK Students'!O:O, TRIM('CBK Students'!B:B) = TRIM(A723)),
  """"
)"),"#REF!")</f>
        <v>#REF!</v>
      </c>
      <c r="AA723" s="4" t="str">
        <f>IFERROR(__xludf.DUMMYFUNCTION("IFERROR(
  FILTER('CBK Students'!P:P, TRIM('CBK Students'!B:B) = TRIM(A723)),
  """"
)"),"#REF!")</f>
        <v>#REF!</v>
      </c>
      <c r="AB723" s="4" t="str">
        <f>IFERROR(__xludf.DUMMYFUNCTION("IFERROR(
  FILTER('CBK Students'!Q:Q, TRIM('CBK Students'!B:B) = TRIM(A723)),
  """"
)"),"#REF!")</f>
        <v>#REF!</v>
      </c>
    </row>
    <row r="724" ht="18.75" customHeight="1">
      <c r="T724" s="240" t="str">
        <f>IFERROR(__xludf.DUMMYFUNCTION("IFERROR(
  FILTER('CBK Students'!F:F, TRIM('CBK Students'!B:B) = TRIM(A724)),
  """"
)"),"#REF!")</f>
        <v>#REF!</v>
      </c>
      <c r="U724" s="240" t="str">
        <f>IFERROR(__xludf.DUMMYFUNCTION("IFERROR(
  FILTER('CBK Students'!H:H, TRIM('CBK Students'!B:B) = TRIM(A724)),
  """"
)"),"#REF!")</f>
        <v>#REF!</v>
      </c>
      <c r="V724" s="240" t="str">
        <f>IFERROR(__xludf.DUMMYFUNCTION("IFERROR(
  FILTER('CBK Students'!M:M, TRIM('CBK Students'!B:B) = TRIM(A724)),
  """"
)"),"#REF!")</f>
        <v>#REF!</v>
      </c>
      <c r="W724" s="240" t="str">
        <f t="shared" si="1"/>
        <v/>
      </c>
      <c r="X724" s="240" t="str">
        <f>IFERROR(__xludf.DUMMYFUNCTION("IFERROR(
  FILTER('CBK Students'!R:R, TRIM('CBK Students'!B:B) = TRIM(A724)),
  """"
)"),"#REF!")</f>
        <v>#REF!</v>
      </c>
      <c r="Y724" s="4" t="str">
        <f t="shared" si="2"/>
        <v/>
      </c>
      <c r="Z724" s="4" t="str">
        <f>IFERROR(__xludf.DUMMYFUNCTION("IFERROR(
  FILTER('CBK Students'!O:O, TRIM('CBK Students'!B:B) = TRIM(A724)),
  """"
)"),"#REF!")</f>
        <v>#REF!</v>
      </c>
      <c r="AA724" s="4" t="str">
        <f>IFERROR(__xludf.DUMMYFUNCTION("IFERROR(
  FILTER('CBK Students'!P:P, TRIM('CBK Students'!B:B) = TRIM(A724)),
  """"
)"),"#REF!")</f>
        <v>#REF!</v>
      </c>
      <c r="AB724" s="4" t="str">
        <f>IFERROR(__xludf.DUMMYFUNCTION("IFERROR(
  FILTER('CBK Students'!Q:Q, TRIM('CBK Students'!B:B) = TRIM(A724)),
  """"
)"),"#REF!")</f>
        <v>#REF!</v>
      </c>
    </row>
    <row r="725" ht="18.75" customHeight="1">
      <c r="T725" s="240" t="str">
        <f>IFERROR(__xludf.DUMMYFUNCTION("IFERROR(
  FILTER('CBK Students'!F:F, TRIM('CBK Students'!B:B) = TRIM(A725)),
  """"
)"),"#REF!")</f>
        <v>#REF!</v>
      </c>
      <c r="U725" s="240" t="str">
        <f>IFERROR(__xludf.DUMMYFUNCTION("IFERROR(
  FILTER('CBK Students'!H:H, TRIM('CBK Students'!B:B) = TRIM(A725)),
  """"
)"),"#REF!")</f>
        <v>#REF!</v>
      </c>
      <c r="V725" s="240" t="str">
        <f>IFERROR(__xludf.DUMMYFUNCTION("IFERROR(
  FILTER('CBK Students'!M:M, TRIM('CBK Students'!B:B) = TRIM(A725)),
  """"
)"),"#REF!")</f>
        <v>#REF!</v>
      </c>
      <c r="W725" s="240" t="str">
        <f t="shared" si="1"/>
        <v/>
      </c>
      <c r="X725" s="240" t="str">
        <f>IFERROR(__xludf.DUMMYFUNCTION("IFERROR(
  FILTER('CBK Students'!R:R, TRIM('CBK Students'!B:B) = TRIM(A725)),
  """"
)"),"#REF!")</f>
        <v>#REF!</v>
      </c>
      <c r="Y725" s="4" t="str">
        <f t="shared" si="2"/>
        <v/>
      </c>
      <c r="Z725" s="4" t="str">
        <f>IFERROR(__xludf.DUMMYFUNCTION("IFERROR(
  FILTER('CBK Students'!O:O, TRIM('CBK Students'!B:B) = TRIM(A725)),
  """"
)"),"#REF!")</f>
        <v>#REF!</v>
      </c>
      <c r="AA725" s="4" t="str">
        <f>IFERROR(__xludf.DUMMYFUNCTION("IFERROR(
  FILTER('CBK Students'!P:P, TRIM('CBK Students'!B:B) = TRIM(A725)),
  """"
)"),"#REF!")</f>
        <v>#REF!</v>
      </c>
      <c r="AB725" s="4" t="str">
        <f>IFERROR(__xludf.DUMMYFUNCTION("IFERROR(
  FILTER('CBK Students'!Q:Q, TRIM('CBK Students'!B:B) = TRIM(A725)),
  """"
)"),"#REF!")</f>
        <v>#REF!</v>
      </c>
    </row>
    <row r="726" ht="18.75" customHeight="1">
      <c r="T726" s="240" t="str">
        <f>IFERROR(__xludf.DUMMYFUNCTION("IFERROR(
  FILTER('CBK Students'!F:F, TRIM('CBK Students'!B:B) = TRIM(A726)),
  """"
)"),"#REF!")</f>
        <v>#REF!</v>
      </c>
      <c r="U726" s="240" t="str">
        <f>IFERROR(__xludf.DUMMYFUNCTION("IFERROR(
  FILTER('CBK Students'!H:H, TRIM('CBK Students'!B:B) = TRIM(A726)),
  """"
)"),"#REF!")</f>
        <v>#REF!</v>
      </c>
      <c r="V726" s="240" t="str">
        <f>IFERROR(__xludf.DUMMYFUNCTION("IFERROR(
  FILTER('CBK Students'!M:M, TRIM('CBK Students'!B:B) = TRIM(A726)),
  """"
)"),"#REF!")</f>
        <v>#REF!</v>
      </c>
      <c r="W726" s="240" t="str">
        <f t="shared" si="1"/>
        <v/>
      </c>
      <c r="X726" s="240" t="str">
        <f>IFERROR(__xludf.DUMMYFUNCTION("IFERROR(
  FILTER('CBK Students'!R:R, TRIM('CBK Students'!B:B) = TRIM(A726)),
  """"
)"),"#REF!")</f>
        <v>#REF!</v>
      </c>
      <c r="Y726" s="4" t="str">
        <f t="shared" si="2"/>
        <v/>
      </c>
      <c r="Z726" s="4" t="str">
        <f>IFERROR(__xludf.DUMMYFUNCTION("IFERROR(
  FILTER('CBK Students'!O:O, TRIM('CBK Students'!B:B) = TRIM(A726)),
  """"
)"),"#REF!")</f>
        <v>#REF!</v>
      </c>
      <c r="AA726" s="4" t="str">
        <f>IFERROR(__xludf.DUMMYFUNCTION("IFERROR(
  FILTER('CBK Students'!P:P, TRIM('CBK Students'!B:B) = TRIM(A726)),
  """"
)"),"#REF!")</f>
        <v>#REF!</v>
      </c>
      <c r="AB726" s="4" t="str">
        <f>IFERROR(__xludf.DUMMYFUNCTION("IFERROR(
  FILTER('CBK Students'!Q:Q, TRIM('CBK Students'!B:B) = TRIM(A726)),
  """"
)"),"#REF!")</f>
        <v>#REF!</v>
      </c>
    </row>
    <row r="727" ht="18.75" customHeight="1">
      <c r="T727" s="240" t="str">
        <f>IFERROR(__xludf.DUMMYFUNCTION("IFERROR(
  FILTER('CBK Students'!F:F, TRIM('CBK Students'!B:B) = TRIM(A727)),
  """"
)"),"#REF!")</f>
        <v>#REF!</v>
      </c>
      <c r="U727" s="240" t="str">
        <f>IFERROR(__xludf.DUMMYFUNCTION("IFERROR(
  FILTER('CBK Students'!H:H, TRIM('CBK Students'!B:B) = TRIM(A727)),
  """"
)"),"#REF!")</f>
        <v>#REF!</v>
      </c>
      <c r="V727" s="240" t="str">
        <f>IFERROR(__xludf.DUMMYFUNCTION("IFERROR(
  FILTER('CBK Students'!M:M, TRIM('CBK Students'!B:B) = TRIM(A727)),
  """"
)"),"#REF!")</f>
        <v>#REF!</v>
      </c>
      <c r="W727" s="240" t="str">
        <f t="shared" si="1"/>
        <v/>
      </c>
      <c r="X727" s="240" t="str">
        <f>IFERROR(__xludf.DUMMYFUNCTION("IFERROR(
  FILTER('CBK Students'!R:R, TRIM('CBK Students'!B:B) = TRIM(A727)),
  """"
)"),"#REF!")</f>
        <v>#REF!</v>
      </c>
      <c r="Y727" s="4" t="str">
        <f t="shared" si="2"/>
        <v/>
      </c>
      <c r="Z727" s="4" t="str">
        <f>IFERROR(__xludf.DUMMYFUNCTION("IFERROR(
  FILTER('CBK Students'!O:O, TRIM('CBK Students'!B:B) = TRIM(A727)),
  """"
)"),"#REF!")</f>
        <v>#REF!</v>
      </c>
      <c r="AA727" s="4" t="str">
        <f>IFERROR(__xludf.DUMMYFUNCTION("IFERROR(
  FILTER('CBK Students'!P:P, TRIM('CBK Students'!B:B) = TRIM(A727)),
  """"
)"),"#REF!")</f>
        <v>#REF!</v>
      </c>
      <c r="AB727" s="4" t="str">
        <f>IFERROR(__xludf.DUMMYFUNCTION("IFERROR(
  FILTER('CBK Students'!Q:Q, TRIM('CBK Students'!B:B) = TRIM(A727)),
  """"
)"),"#REF!")</f>
        <v>#REF!</v>
      </c>
    </row>
    <row r="728" ht="18.75" customHeight="1">
      <c r="T728" s="240" t="str">
        <f>IFERROR(__xludf.DUMMYFUNCTION("IFERROR(
  FILTER('CBK Students'!F:F, TRIM('CBK Students'!B:B) = TRIM(A728)),
  """"
)"),"#REF!")</f>
        <v>#REF!</v>
      </c>
      <c r="U728" s="240" t="str">
        <f>IFERROR(__xludf.DUMMYFUNCTION("IFERROR(
  FILTER('CBK Students'!H:H, TRIM('CBK Students'!B:B) = TRIM(A728)),
  """"
)"),"#REF!")</f>
        <v>#REF!</v>
      </c>
      <c r="V728" s="240" t="str">
        <f>IFERROR(__xludf.DUMMYFUNCTION("IFERROR(
  FILTER('CBK Students'!M:M, TRIM('CBK Students'!B:B) = TRIM(A728)),
  """"
)"),"#REF!")</f>
        <v>#REF!</v>
      </c>
      <c r="W728" s="240" t="str">
        <f t="shared" si="1"/>
        <v/>
      </c>
      <c r="X728" s="240" t="str">
        <f>IFERROR(__xludf.DUMMYFUNCTION("IFERROR(
  FILTER('CBK Students'!R:R, TRIM('CBK Students'!B:B) = TRIM(A728)),
  """"
)"),"#REF!")</f>
        <v>#REF!</v>
      </c>
      <c r="Y728" s="4" t="str">
        <f t="shared" si="2"/>
        <v/>
      </c>
      <c r="Z728" s="4" t="str">
        <f>IFERROR(__xludf.DUMMYFUNCTION("IFERROR(
  FILTER('CBK Students'!O:O, TRIM('CBK Students'!B:B) = TRIM(A728)),
  """"
)"),"#REF!")</f>
        <v>#REF!</v>
      </c>
      <c r="AA728" s="4" t="str">
        <f>IFERROR(__xludf.DUMMYFUNCTION("IFERROR(
  FILTER('CBK Students'!P:P, TRIM('CBK Students'!B:B) = TRIM(A728)),
  """"
)"),"#REF!")</f>
        <v>#REF!</v>
      </c>
      <c r="AB728" s="4" t="str">
        <f>IFERROR(__xludf.DUMMYFUNCTION("IFERROR(
  FILTER('CBK Students'!Q:Q, TRIM('CBK Students'!B:B) = TRIM(A728)),
  """"
)"),"#REF!")</f>
        <v>#REF!</v>
      </c>
    </row>
    <row r="729" ht="18.75" customHeight="1">
      <c r="T729" s="240" t="str">
        <f>IFERROR(__xludf.DUMMYFUNCTION("IFERROR(
  FILTER('CBK Students'!F:F, TRIM('CBK Students'!B:B) = TRIM(A729)),
  """"
)"),"#REF!")</f>
        <v>#REF!</v>
      </c>
      <c r="U729" s="240" t="str">
        <f>IFERROR(__xludf.DUMMYFUNCTION("IFERROR(
  FILTER('CBK Students'!H:H, TRIM('CBK Students'!B:B) = TRIM(A729)),
  """"
)"),"#REF!")</f>
        <v>#REF!</v>
      </c>
      <c r="V729" s="240" t="str">
        <f>IFERROR(__xludf.DUMMYFUNCTION("IFERROR(
  FILTER('CBK Students'!M:M, TRIM('CBK Students'!B:B) = TRIM(A729)),
  """"
)"),"#REF!")</f>
        <v>#REF!</v>
      </c>
      <c r="W729" s="240" t="str">
        <f t="shared" si="1"/>
        <v/>
      </c>
      <c r="X729" s="240" t="str">
        <f>IFERROR(__xludf.DUMMYFUNCTION("IFERROR(
  FILTER('CBK Students'!R:R, TRIM('CBK Students'!B:B) = TRIM(A729)),
  """"
)"),"#REF!")</f>
        <v>#REF!</v>
      </c>
      <c r="Y729" s="4" t="str">
        <f t="shared" si="2"/>
        <v/>
      </c>
      <c r="Z729" s="4" t="str">
        <f>IFERROR(__xludf.DUMMYFUNCTION("IFERROR(
  FILTER('CBK Students'!O:O, TRIM('CBK Students'!B:B) = TRIM(A729)),
  """"
)"),"#REF!")</f>
        <v>#REF!</v>
      </c>
      <c r="AA729" s="4" t="str">
        <f>IFERROR(__xludf.DUMMYFUNCTION("IFERROR(
  FILTER('CBK Students'!P:P, TRIM('CBK Students'!B:B) = TRIM(A729)),
  """"
)"),"#REF!")</f>
        <v>#REF!</v>
      </c>
      <c r="AB729" s="4" t="str">
        <f>IFERROR(__xludf.DUMMYFUNCTION("IFERROR(
  FILTER('CBK Students'!Q:Q, TRIM('CBK Students'!B:B) = TRIM(A729)),
  """"
)"),"#REF!")</f>
        <v>#REF!</v>
      </c>
    </row>
    <row r="730" ht="18.75" customHeight="1">
      <c r="T730" s="240" t="str">
        <f>IFERROR(__xludf.DUMMYFUNCTION("IFERROR(
  FILTER('CBK Students'!F:F, TRIM('CBK Students'!B:B) = TRIM(A730)),
  """"
)"),"#REF!")</f>
        <v>#REF!</v>
      </c>
      <c r="U730" s="240" t="str">
        <f>IFERROR(__xludf.DUMMYFUNCTION("IFERROR(
  FILTER('CBK Students'!H:H, TRIM('CBK Students'!B:B) = TRIM(A730)),
  """"
)"),"#REF!")</f>
        <v>#REF!</v>
      </c>
      <c r="V730" s="240" t="str">
        <f>IFERROR(__xludf.DUMMYFUNCTION("IFERROR(
  FILTER('CBK Students'!M:M, TRIM('CBK Students'!B:B) = TRIM(A730)),
  """"
)"),"#REF!")</f>
        <v>#REF!</v>
      </c>
      <c r="W730" s="240" t="str">
        <f t="shared" si="1"/>
        <v/>
      </c>
      <c r="X730" s="240" t="str">
        <f>IFERROR(__xludf.DUMMYFUNCTION("IFERROR(
  FILTER('CBK Students'!R:R, TRIM('CBK Students'!B:B) = TRIM(A730)),
  """"
)"),"#REF!")</f>
        <v>#REF!</v>
      </c>
      <c r="Y730" s="4" t="str">
        <f t="shared" si="2"/>
        <v/>
      </c>
      <c r="Z730" s="4" t="str">
        <f>IFERROR(__xludf.DUMMYFUNCTION("IFERROR(
  FILTER('CBK Students'!O:O, TRIM('CBK Students'!B:B) = TRIM(A730)),
  """"
)"),"#REF!")</f>
        <v>#REF!</v>
      </c>
      <c r="AA730" s="4" t="str">
        <f>IFERROR(__xludf.DUMMYFUNCTION("IFERROR(
  FILTER('CBK Students'!P:P, TRIM('CBK Students'!B:B) = TRIM(A730)),
  """"
)"),"#REF!")</f>
        <v>#REF!</v>
      </c>
      <c r="AB730" s="4" t="str">
        <f>IFERROR(__xludf.DUMMYFUNCTION("IFERROR(
  FILTER('CBK Students'!Q:Q, TRIM('CBK Students'!B:B) = TRIM(A730)),
  """"
)"),"#REF!")</f>
        <v>#REF!</v>
      </c>
    </row>
    <row r="731" ht="18.75" customHeight="1">
      <c r="T731" s="240" t="str">
        <f>IFERROR(__xludf.DUMMYFUNCTION("IFERROR(
  FILTER('CBK Students'!F:F, TRIM('CBK Students'!B:B) = TRIM(A731)),
  """"
)"),"#REF!")</f>
        <v>#REF!</v>
      </c>
      <c r="U731" s="240" t="str">
        <f>IFERROR(__xludf.DUMMYFUNCTION("IFERROR(
  FILTER('CBK Students'!H:H, TRIM('CBK Students'!B:B) = TRIM(A731)),
  """"
)"),"#REF!")</f>
        <v>#REF!</v>
      </c>
      <c r="V731" s="240" t="str">
        <f>IFERROR(__xludf.DUMMYFUNCTION("IFERROR(
  FILTER('CBK Students'!M:M, TRIM('CBK Students'!B:B) = TRIM(A731)),
  """"
)"),"#REF!")</f>
        <v>#REF!</v>
      </c>
      <c r="W731" s="240" t="str">
        <f t="shared" si="1"/>
        <v/>
      </c>
      <c r="X731" s="240" t="str">
        <f>IFERROR(__xludf.DUMMYFUNCTION("IFERROR(
  FILTER('CBK Students'!R:R, TRIM('CBK Students'!B:B) = TRIM(A731)),
  """"
)"),"#REF!")</f>
        <v>#REF!</v>
      </c>
      <c r="Y731" s="4" t="str">
        <f t="shared" si="2"/>
        <v/>
      </c>
      <c r="Z731" s="4" t="str">
        <f>IFERROR(__xludf.DUMMYFUNCTION("IFERROR(
  FILTER('CBK Students'!O:O, TRIM('CBK Students'!B:B) = TRIM(A731)),
  """"
)"),"#REF!")</f>
        <v>#REF!</v>
      </c>
      <c r="AA731" s="4" t="str">
        <f>IFERROR(__xludf.DUMMYFUNCTION("IFERROR(
  FILTER('CBK Students'!P:P, TRIM('CBK Students'!B:B) = TRIM(A731)),
  """"
)"),"#REF!")</f>
        <v>#REF!</v>
      </c>
      <c r="AB731" s="4" t="str">
        <f>IFERROR(__xludf.DUMMYFUNCTION("IFERROR(
  FILTER('CBK Students'!Q:Q, TRIM('CBK Students'!B:B) = TRIM(A731)),
  """"
)"),"#REF!")</f>
        <v>#REF!</v>
      </c>
    </row>
    <row r="732" ht="18.75" customHeight="1">
      <c r="T732" s="240" t="str">
        <f>IFERROR(__xludf.DUMMYFUNCTION("IFERROR(
  FILTER('CBK Students'!F:F, TRIM('CBK Students'!B:B) = TRIM(A732)),
  """"
)"),"#REF!")</f>
        <v>#REF!</v>
      </c>
      <c r="U732" s="240" t="str">
        <f>IFERROR(__xludf.DUMMYFUNCTION("IFERROR(
  FILTER('CBK Students'!H:H, TRIM('CBK Students'!B:B) = TRIM(A732)),
  """"
)"),"#REF!")</f>
        <v>#REF!</v>
      </c>
      <c r="V732" s="240" t="str">
        <f>IFERROR(__xludf.DUMMYFUNCTION("IFERROR(
  FILTER('CBK Students'!M:M, TRIM('CBK Students'!B:B) = TRIM(A732)),
  """"
)"),"#REF!")</f>
        <v>#REF!</v>
      </c>
      <c r="W732" s="240" t="str">
        <f t="shared" si="1"/>
        <v/>
      </c>
      <c r="X732" s="240" t="str">
        <f>IFERROR(__xludf.DUMMYFUNCTION("IFERROR(
  FILTER('CBK Students'!R:R, TRIM('CBK Students'!B:B) = TRIM(A732)),
  """"
)"),"#REF!")</f>
        <v>#REF!</v>
      </c>
      <c r="Y732" s="4" t="str">
        <f t="shared" si="2"/>
        <v/>
      </c>
      <c r="Z732" s="4" t="str">
        <f>IFERROR(__xludf.DUMMYFUNCTION("IFERROR(
  FILTER('CBK Students'!O:O, TRIM('CBK Students'!B:B) = TRIM(A732)),
  """"
)"),"#REF!")</f>
        <v>#REF!</v>
      </c>
      <c r="AA732" s="4" t="str">
        <f>IFERROR(__xludf.DUMMYFUNCTION("IFERROR(
  FILTER('CBK Students'!P:P, TRIM('CBK Students'!B:B) = TRIM(A732)),
  """"
)"),"#REF!")</f>
        <v>#REF!</v>
      </c>
      <c r="AB732" s="4" t="str">
        <f>IFERROR(__xludf.DUMMYFUNCTION("IFERROR(
  FILTER('CBK Students'!Q:Q, TRIM('CBK Students'!B:B) = TRIM(A732)),
  """"
)"),"#REF!")</f>
        <v>#REF!</v>
      </c>
    </row>
    <row r="733" ht="18.75" customHeight="1">
      <c r="T733" s="240" t="str">
        <f>IFERROR(__xludf.DUMMYFUNCTION("IFERROR(
  FILTER('CBK Students'!F:F, TRIM('CBK Students'!B:B) = TRIM(A733)),
  """"
)"),"#REF!")</f>
        <v>#REF!</v>
      </c>
      <c r="U733" s="240" t="str">
        <f>IFERROR(__xludf.DUMMYFUNCTION("IFERROR(
  FILTER('CBK Students'!H:H, TRIM('CBK Students'!B:B) = TRIM(A733)),
  """"
)"),"#REF!")</f>
        <v>#REF!</v>
      </c>
      <c r="V733" s="240" t="str">
        <f>IFERROR(__xludf.DUMMYFUNCTION("IFERROR(
  FILTER('CBK Students'!M:M, TRIM('CBK Students'!B:B) = TRIM(A733)),
  """"
)"),"#REF!")</f>
        <v>#REF!</v>
      </c>
      <c r="W733" s="240" t="str">
        <f t="shared" si="1"/>
        <v/>
      </c>
      <c r="X733" s="240" t="str">
        <f>IFERROR(__xludf.DUMMYFUNCTION("IFERROR(
  FILTER('CBK Students'!R:R, TRIM('CBK Students'!B:B) = TRIM(A733)),
  """"
)"),"#REF!")</f>
        <v>#REF!</v>
      </c>
      <c r="Y733" s="4" t="str">
        <f t="shared" si="2"/>
        <v/>
      </c>
      <c r="Z733" s="4" t="str">
        <f>IFERROR(__xludf.DUMMYFUNCTION("IFERROR(
  FILTER('CBK Students'!O:O, TRIM('CBK Students'!B:B) = TRIM(A733)),
  """"
)"),"#REF!")</f>
        <v>#REF!</v>
      </c>
      <c r="AA733" s="4" t="str">
        <f>IFERROR(__xludf.DUMMYFUNCTION("IFERROR(
  FILTER('CBK Students'!P:P, TRIM('CBK Students'!B:B) = TRIM(A733)),
  """"
)"),"#REF!")</f>
        <v>#REF!</v>
      </c>
      <c r="AB733" s="4" t="str">
        <f>IFERROR(__xludf.DUMMYFUNCTION("IFERROR(
  FILTER('CBK Students'!Q:Q, TRIM('CBK Students'!B:B) = TRIM(A733)),
  """"
)"),"#REF!")</f>
        <v>#REF!</v>
      </c>
    </row>
    <row r="734" ht="18.75" customHeight="1">
      <c r="T734" s="240" t="str">
        <f>IFERROR(__xludf.DUMMYFUNCTION("IFERROR(
  FILTER('CBK Students'!F:F, TRIM('CBK Students'!B:B) = TRIM(A734)),
  """"
)"),"#REF!")</f>
        <v>#REF!</v>
      </c>
      <c r="U734" s="240" t="str">
        <f>IFERROR(__xludf.DUMMYFUNCTION("IFERROR(
  FILTER('CBK Students'!H:H, TRIM('CBK Students'!B:B) = TRIM(A734)),
  """"
)"),"#REF!")</f>
        <v>#REF!</v>
      </c>
      <c r="V734" s="240" t="str">
        <f>IFERROR(__xludf.DUMMYFUNCTION("IFERROR(
  FILTER('CBK Students'!M:M, TRIM('CBK Students'!B:B) = TRIM(A734)),
  """"
)"),"#REF!")</f>
        <v>#REF!</v>
      </c>
      <c r="W734" s="240" t="str">
        <f t="shared" si="1"/>
        <v/>
      </c>
      <c r="X734" s="240" t="str">
        <f>IFERROR(__xludf.DUMMYFUNCTION("IFERROR(
  FILTER('CBK Students'!R:R, TRIM('CBK Students'!B:B) = TRIM(A734)),
  """"
)"),"#REF!")</f>
        <v>#REF!</v>
      </c>
      <c r="Y734" s="4" t="str">
        <f t="shared" si="2"/>
        <v/>
      </c>
      <c r="Z734" s="4" t="str">
        <f>IFERROR(__xludf.DUMMYFUNCTION("IFERROR(
  FILTER('CBK Students'!O:O, TRIM('CBK Students'!B:B) = TRIM(A734)),
  """"
)"),"#REF!")</f>
        <v>#REF!</v>
      </c>
      <c r="AA734" s="4" t="str">
        <f>IFERROR(__xludf.DUMMYFUNCTION("IFERROR(
  FILTER('CBK Students'!P:P, TRIM('CBK Students'!B:B) = TRIM(A734)),
  """"
)"),"#REF!")</f>
        <v>#REF!</v>
      </c>
      <c r="AB734" s="4" t="str">
        <f>IFERROR(__xludf.DUMMYFUNCTION("IFERROR(
  FILTER('CBK Students'!Q:Q, TRIM('CBK Students'!B:B) = TRIM(A734)),
  """"
)"),"#REF!")</f>
        <v>#REF!</v>
      </c>
    </row>
    <row r="735" ht="18.75" customHeight="1">
      <c r="T735" s="240" t="str">
        <f>IFERROR(__xludf.DUMMYFUNCTION("IFERROR(
  FILTER('CBK Students'!F:F, TRIM('CBK Students'!B:B) = TRIM(A735)),
  """"
)"),"#REF!")</f>
        <v>#REF!</v>
      </c>
      <c r="U735" s="240" t="str">
        <f>IFERROR(__xludf.DUMMYFUNCTION("IFERROR(
  FILTER('CBK Students'!H:H, TRIM('CBK Students'!B:B) = TRIM(A735)),
  """"
)"),"#REF!")</f>
        <v>#REF!</v>
      </c>
      <c r="V735" s="240" t="str">
        <f>IFERROR(__xludf.DUMMYFUNCTION("IFERROR(
  FILTER('CBK Students'!M:M, TRIM('CBK Students'!B:B) = TRIM(A735)),
  """"
)"),"#REF!")</f>
        <v>#REF!</v>
      </c>
      <c r="W735" s="240" t="str">
        <f t="shared" si="1"/>
        <v/>
      </c>
      <c r="X735" s="240" t="str">
        <f>IFERROR(__xludf.DUMMYFUNCTION("IFERROR(
  FILTER('CBK Students'!R:R, TRIM('CBK Students'!B:B) = TRIM(A735)),
  """"
)"),"#REF!")</f>
        <v>#REF!</v>
      </c>
      <c r="Y735" s="4" t="str">
        <f t="shared" si="2"/>
        <v/>
      </c>
      <c r="Z735" s="4" t="str">
        <f>IFERROR(__xludf.DUMMYFUNCTION("IFERROR(
  FILTER('CBK Students'!O:O, TRIM('CBK Students'!B:B) = TRIM(A735)),
  """"
)"),"#REF!")</f>
        <v>#REF!</v>
      </c>
      <c r="AA735" s="4" t="str">
        <f>IFERROR(__xludf.DUMMYFUNCTION("IFERROR(
  FILTER('CBK Students'!P:P, TRIM('CBK Students'!B:B) = TRIM(A735)),
  """"
)"),"#REF!")</f>
        <v>#REF!</v>
      </c>
      <c r="AB735" s="4" t="str">
        <f>IFERROR(__xludf.DUMMYFUNCTION("IFERROR(
  FILTER('CBK Students'!Q:Q, TRIM('CBK Students'!B:B) = TRIM(A735)),
  """"
)"),"#REF!")</f>
        <v>#REF!</v>
      </c>
    </row>
    <row r="736" ht="18.75" customHeight="1">
      <c r="T736" s="240" t="str">
        <f>IFERROR(__xludf.DUMMYFUNCTION("IFERROR(
  FILTER('CBK Students'!F:F, TRIM('CBK Students'!B:B) = TRIM(A736)),
  """"
)"),"#REF!")</f>
        <v>#REF!</v>
      </c>
      <c r="U736" s="240" t="str">
        <f>IFERROR(__xludf.DUMMYFUNCTION("IFERROR(
  FILTER('CBK Students'!H:H, TRIM('CBK Students'!B:B) = TRIM(A736)),
  """"
)"),"#REF!")</f>
        <v>#REF!</v>
      </c>
      <c r="V736" s="240" t="str">
        <f>IFERROR(__xludf.DUMMYFUNCTION("IFERROR(
  FILTER('CBK Students'!M:M, TRIM('CBK Students'!B:B) = TRIM(A736)),
  """"
)"),"#REF!")</f>
        <v>#REF!</v>
      </c>
      <c r="W736" s="240" t="str">
        <f t="shared" si="1"/>
        <v/>
      </c>
      <c r="X736" s="240" t="str">
        <f>IFERROR(__xludf.DUMMYFUNCTION("IFERROR(
  FILTER('CBK Students'!R:R, TRIM('CBK Students'!B:B) = TRIM(A736)),
  """"
)"),"#REF!")</f>
        <v>#REF!</v>
      </c>
      <c r="Y736" s="4" t="str">
        <f t="shared" si="2"/>
        <v/>
      </c>
      <c r="Z736" s="4" t="str">
        <f>IFERROR(__xludf.DUMMYFUNCTION("IFERROR(
  FILTER('CBK Students'!O:O, TRIM('CBK Students'!B:B) = TRIM(A736)),
  """"
)"),"#REF!")</f>
        <v>#REF!</v>
      </c>
      <c r="AA736" s="4" t="str">
        <f>IFERROR(__xludf.DUMMYFUNCTION("IFERROR(
  FILTER('CBK Students'!P:P, TRIM('CBK Students'!B:B) = TRIM(A736)),
  """"
)"),"#REF!")</f>
        <v>#REF!</v>
      </c>
      <c r="AB736" s="4" t="str">
        <f>IFERROR(__xludf.DUMMYFUNCTION("IFERROR(
  FILTER('CBK Students'!Q:Q, TRIM('CBK Students'!B:B) = TRIM(A736)),
  """"
)"),"#REF!")</f>
        <v>#REF!</v>
      </c>
    </row>
    <row r="737" ht="18.75" customHeight="1">
      <c r="T737" s="240" t="str">
        <f>IFERROR(__xludf.DUMMYFUNCTION("IFERROR(
  FILTER('CBK Students'!F:F, TRIM('CBK Students'!B:B) = TRIM(A737)),
  """"
)"),"#REF!")</f>
        <v>#REF!</v>
      </c>
      <c r="U737" s="240" t="str">
        <f>IFERROR(__xludf.DUMMYFUNCTION("IFERROR(
  FILTER('CBK Students'!H:H, TRIM('CBK Students'!B:B) = TRIM(A737)),
  """"
)"),"#REF!")</f>
        <v>#REF!</v>
      </c>
      <c r="V737" s="240" t="str">
        <f>IFERROR(__xludf.DUMMYFUNCTION("IFERROR(
  FILTER('CBK Students'!M:M, TRIM('CBK Students'!B:B) = TRIM(A737)),
  """"
)"),"#REF!")</f>
        <v>#REF!</v>
      </c>
      <c r="W737" s="240" t="str">
        <f t="shared" si="1"/>
        <v/>
      </c>
      <c r="X737" s="240" t="str">
        <f>IFERROR(__xludf.DUMMYFUNCTION("IFERROR(
  FILTER('CBK Students'!R:R, TRIM('CBK Students'!B:B) = TRIM(A737)),
  """"
)"),"#REF!")</f>
        <v>#REF!</v>
      </c>
      <c r="Y737" s="4" t="str">
        <f t="shared" si="2"/>
        <v/>
      </c>
      <c r="Z737" s="4" t="str">
        <f>IFERROR(__xludf.DUMMYFUNCTION("IFERROR(
  FILTER('CBK Students'!O:O, TRIM('CBK Students'!B:B) = TRIM(A737)),
  """"
)"),"#REF!")</f>
        <v>#REF!</v>
      </c>
      <c r="AA737" s="4" t="str">
        <f>IFERROR(__xludf.DUMMYFUNCTION("IFERROR(
  FILTER('CBK Students'!P:P, TRIM('CBK Students'!B:B) = TRIM(A737)),
  """"
)"),"#REF!")</f>
        <v>#REF!</v>
      </c>
      <c r="AB737" s="4" t="str">
        <f>IFERROR(__xludf.DUMMYFUNCTION("IFERROR(
  FILTER('CBK Students'!Q:Q, TRIM('CBK Students'!B:B) = TRIM(A737)),
  """"
)"),"#REF!")</f>
        <v>#REF!</v>
      </c>
    </row>
    <row r="738" ht="18.75" customHeight="1">
      <c r="T738" s="240" t="str">
        <f>IFERROR(__xludf.DUMMYFUNCTION("IFERROR(
  FILTER('CBK Students'!F:F, TRIM('CBK Students'!B:B) = TRIM(A738)),
  """"
)"),"#REF!")</f>
        <v>#REF!</v>
      </c>
      <c r="U738" s="240" t="str">
        <f>IFERROR(__xludf.DUMMYFUNCTION("IFERROR(
  FILTER('CBK Students'!H:H, TRIM('CBK Students'!B:B) = TRIM(A738)),
  """"
)"),"#REF!")</f>
        <v>#REF!</v>
      </c>
      <c r="V738" s="240" t="str">
        <f>IFERROR(__xludf.DUMMYFUNCTION("IFERROR(
  FILTER('CBK Students'!M:M, TRIM('CBK Students'!B:B) = TRIM(A738)),
  """"
)"),"#REF!")</f>
        <v>#REF!</v>
      </c>
      <c r="W738" s="240" t="str">
        <f t="shared" si="1"/>
        <v/>
      </c>
      <c r="X738" s="240" t="str">
        <f>IFERROR(__xludf.DUMMYFUNCTION("IFERROR(
  FILTER('CBK Students'!R:R, TRIM('CBK Students'!B:B) = TRIM(A738)),
  """"
)"),"#REF!")</f>
        <v>#REF!</v>
      </c>
      <c r="Y738" s="4" t="str">
        <f t="shared" si="2"/>
        <v/>
      </c>
      <c r="Z738" s="4" t="str">
        <f>IFERROR(__xludf.DUMMYFUNCTION("IFERROR(
  FILTER('CBK Students'!O:O, TRIM('CBK Students'!B:B) = TRIM(A738)),
  """"
)"),"#REF!")</f>
        <v>#REF!</v>
      </c>
      <c r="AA738" s="4" t="str">
        <f>IFERROR(__xludf.DUMMYFUNCTION("IFERROR(
  FILTER('CBK Students'!P:P, TRIM('CBK Students'!B:B) = TRIM(A738)),
  """"
)"),"#REF!")</f>
        <v>#REF!</v>
      </c>
      <c r="AB738" s="4" t="str">
        <f>IFERROR(__xludf.DUMMYFUNCTION("IFERROR(
  FILTER('CBK Students'!Q:Q, TRIM('CBK Students'!B:B) = TRIM(A738)),
  """"
)"),"#REF!")</f>
        <v>#REF!</v>
      </c>
    </row>
    <row r="739" ht="18.75" customHeight="1">
      <c r="T739" s="240" t="str">
        <f>IFERROR(__xludf.DUMMYFUNCTION("IFERROR(
  FILTER('CBK Students'!F:F, TRIM('CBK Students'!B:B) = TRIM(A739)),
  """"
)"),"#REF!")</f>
        <v>#REF!</v>
      </c>
      <c r="U739" s="240" t="str">
        <f>IFERROR(__xludf.DUMMYFUNCTION("IFERROR(
  FILTER('CBK Students'!H:H, TRIM('CBK Students'!B:B) = TRIM(A739)),
  """"
)"),"#REF!")</f>
        <v>#REF!</v>
      </c>
      <c r="V739" s="240" t="str">
        <f>IFERROR(__xludf.DUMMYFUNCTION("IFERROR(
  FILTER('CBK Students'!M:M, TRIM('CBK Students'!B:B) = TRIM(A739)),
  """"
)"),"#REF!")</f>
        <v>#REF!</v>
      </c>
      <c r="W739" s="240" t="str">
        <f t="shared" si="1"/>
        <v/>
      </c>
      <c r="X739" s="240" t="str">
        <f>IFERROR(__xludf.DUMMYFUNCTION("IFERROR(
  FILTER('CBK Students'!R:R, TRIM('CBK Students'!B:B) = TRIM(A739)),
  """"
)"),"#REF!")</f>
        <v>#REF!</v>
      </c>
      <c r="Y739" s="4" t="str">
        <f t="shared" si="2"/>
        <v/>
      </c>
      <c r="Z739" s="4" t="str">
        <f>IFERROR(__xludf.DUMMYFUNCTION("IFERROR(
  FILTER('CBK Students'!O:O, TRIM('CBK Students'!B:B) = TRIM(A739)),
  """"
)"),"#REF!")</f>
        <v>#REF!</v>
      </c>
      <c r="AA739" s="4" t="str">
        <f>IFERROR(__xludf.DUMMYFUNCTION("IFERROR(
  FILTER('CBK Students'!P:P, TRIM('CBK Students'!B:B) = TRIM(A739)),
  """"
)"),"#REF!")</f>
        <v>#REF!</v>
      </c>
      <c r="AB739" s="4" t="str">
        <f>IFERROR(__xludf.DUMMYFUNCTION("IFERROR(
  FILTER('CBK Students'!Q:Q, TRIM('CBK Students'!B:B) = TRIM(A739)),
  """"
)"),"#REF!")</f>
        <v>#REF!</v>
      </c>
    </row>
    <row r="740" ht="18.75" customHeight="1">
      <c r="T740" s="240" t="str">
        <f>IFERROR(__xludf.DUMMYFUNCTION("IFERROR(
  FILTER('CBK Students'!F:F, TRIM('CBK Students'!B:B) = TRIM(A740)),
  """"
)"),"#REF!")</f>
        <v>#REF!</v>
      </c>
      <c r="U740" s="240" t="str">
        <f>IFERROR(__xludf.DUMMYFUNCTION("IFERROR(
  FILTER('CBK Students'!H:H, TRIM('CBK Students'!B:B) = TRIM(A740)),
  """"
)"),"#REF!")</f>
        <v>#REF!</v>
      </c>
      <c r="V740" s="240" t="str">
        <f>IFERROR(__xludf.DUMMYFUNCTION("IFERROR(
  FILTER('CBK Students'!M:M, TRIM('CBK Students'!B:B) = TRIM(A740)),
  """"
)"),"#REF!")</f>
        <v>#REF!</v>
      </c>
      <c r="W740" s="240" t="str">
        <f t="shared" si="1"/>
        <v/>
      </c>
      <c r="X740" s="240" t="str">
        <f>IFERROR(__xludf.DUMMYFUNCTION("IFERROR(
  FILTER('CBK Students'!R:R, TRIM('CBK Students'!B:B) = TRIM(A740)),
  """"
)"),"#REF!")</f>
        <v>#REF!</v>
      </c>
      <c r="Y740" s="4" t="str">
        <f t="shared" si="2"/>
        <v/>
      </c>
      <c r="Z740" s="4" t="str">
        <f>IFERROR(__xludf.DUMMYFUNCTION("IFERROR(
  FILTER('CBK Students'!O:O, TRIM('CBK Students'!B:B) = TRIM(A740)),
  """"
)"),"#REF!")</f>
        <v>#REF!</v>
      </c>
      <c r="AA740" s="4" t="str">
        <f>IFERROR(__xludf.DUMMYFUNCTION("IFERROR(
  FILTER('CBK Students'!P:P, TRIM('CBK Students'!B:B) = TRIM(A740)),
  """"
)"),"#REF!")</f>
        <v>#REF!</v>
      </c>
      <c r="AB740" s="4" t="str">
        <f>IFERROR(__xludf.DUMMYFUNCTION("IFERROR(
  FILTER('CBK Students'!Q:Q, TRIM('CBK Students'!B:B) = TRIM(A740)),
  """"
)"),"#REF!")</f>
        <v>#REF!</v>
      </c>
    </row>
    <row r="741" ht="18.75" customHeight="1">
      <c r="T741" s="240" t="str">
        <f>IFERROR(__xludf.DUMMYFUNCTION("IFERROR(
  FILTER('CBK Students'!F:F, TRIM('CBK Students'!B:B) = TRIM(A741)),
  """"
)"),"#REF!")</f>
        <v>#REF!</v>
      </c>
      <c r="U741" s="240" t="str">
        <f>IFERROR(__xludf.DUMMYFUNCTION("IFERROR(
  FILTER('CBK Students'!H:H, TRIM('CBK Students'!B:B) = TRIM(A741)),
  """"
)"),"#REF!")</f>
        <v>#REF!</v>
      </c>
      <c r="V741" s="240" t="str">
        <f>IFERROR(__xludf.DUMMYFUNCTION("IFERROR(
  FILTER('CBK Students'!M:M, TRIM('CBK Students'!B:B) = TRIM(A741)),
  """"
)"),"#REF!")</f>
        <v>#REF!</v>
      </c>
      <c r="W741" s="240" t="str">
        <f t="shared" si="1"/>
        <v/>
      </c>
      <c r="X741" s="240" t="str">
        <f>IFERROR(__xludf.DUMMYFUNCTION("IFERROR(
  FILTER('CBK Students'!R:R, TRIM('CBK Students'!B:B) = TRIM(A741)),
  """"
)"),"#REF!")</f>
        <v>#REF!</v>
      </c>
      <c r="Y741" s="4" t="str">
        <f t="shared" si="2"/>
        <v/>
      </c>
      <c r="Z741" s="4" t="str">
        <f>IFERROR(__xludf.DUMMYFUNCTION("IFERROR(
  FILTER('CBK Students'!O:O, TRIM('CBK Students'!B:B) = TRIM(A741)),
  """"
)"),"#REF!")</f>
        <v>#REF!</v>
      </c>
      <c r="AA741" s="4" t="str">
        <f>IFERROR(__xludf.DUMMYFUNCTION("IFERROR(
  FILTER('CBK Students'!P:P, TRIM('CBK Students'!B:B) = TRIM(A741)),
  """"
)"),"#REF!")</f>
        <v>#REF!</v>
      </c>
      <c r="AB741" s="4" t="str">
        <f>IFERROR(__xludf.DUMMYFUNCTION("IFERROR(
  FILTER('CBK Students'!Q:Q, TRIM('CBK Students'!B:B) = TRIM(A741)),
  """"
)"),"#REF!")</f>
        <v>#REF!</v>
      </c>
    </row>
    <row r="742" ht="18.75" customHeight="1">
      <c r="T742" s="240" t="str">
        <f>IFERROR(__xludf.DUMMYFUNCTION("IFERROR(
  FILTER('CBK Students'!F:F, TRIM('CBK Students'!B:B) = TRIM(A742)),
  """"
)"),"#REF!")</f>
        <v>#REF!</v>
      </c>
      <c r="U742" s="240" t="str">
        <f>IFERROR(__xludf.DUMMYFUNCTION("IFERROR(
  FILTER('CBK Students'!H:H, TRIM('CBK Students'!B:B) = TRIM(A742)),
  """"
)"),"#REF!")</f>
        <v>#REF!</v>
      </c>
      <c r="V742" s="240" t="str">
        <f>IFERROR(__xludf.DUMMYFUNCTION("IFERROR(
  FILTER('CBK Students'!M:M, TRIM('CBK Students'!B:B) = TRIM(A742)),
  """"
)"),"#REF!")</f>
        <v>#REF!</v>
      </c>
      <c r="W742" s="240" t="str">
        <f t="shared" si="1"/>
        <v/>
      </c>
      <c r="X742" s="240" t="str">
        <f>IFERROR(__xludf.DUMMYFUNCTION("IFERROR(
  FILTER('CBK Students'!R:R, TRIM('CBK Students'!B:B) = TRIM(A742)),
  """"
)"),"#REF!")</f>
        <v>#REF!</v>
      </c>
      <c r="Y742" s="4" t="str">
        <f t="shared" si="2"/>
        <v/>
      </c>
      <c r="Z742" s="4" t="str">
        <f>IFERROR(__xludf.DUMMYFUNCTION("IFERROR(
  FILTER('CBK Students'!O:O, TRIM('CBK Students'!B:B) = TRIM(A742)),
  """"
)"),"#REF!")</f>
        <v>#REF!</v>
      </c>
      <c r="AA742" s="4" t="str">
        <f>IFERROR(__xludf.DUMMYFUNCTION("IFERROR(
  FILTER('CBK Students'!P:P, TRIM('CBK Students'!B:B) = TRIM(A742)),
  """"
)"),"#REF!")</f>
        <v>#REF!</v>
      </c>
      <c r="AB742" s="4" t="str">
        <f>IFERROR(__xludf.DUMMYFUNCTION("IFERROR(
  FILTER('CBK Students'!Q:Q, TRIM('CBK Students'!B:B) = TRIM(A742)),
  """"
)"),"#REF!")</f>
        <v>#REF!</v>
      </c>
    </row>
    <row r="743" ht="18.75" customHeight="1">
      <c r="T743" s="240" t="str">
        <f>IFERROR(__xludf.DUMMYFUNCTION("IFERROR(
  FILTER('CBK Students'!F:F, TRIM('CBK Students'!B:B) = TRIM(A743)),
  """"
)"),"#REF!")</f>
        <v>#REF!</v>
      </c>
      <c r="U743" s="240" t="str">
        <f>IFERROR(__xludf.DUMMYFUNCTION("IFERROR(
  FILTER('CBK Students'!H:H, TRIM('CBK Students'!B:B) = TRIM(A743)),
  """"
)"),"#REF!")</f>
        <v>#REF!</v>
      </c>
      <c r="V743" s="240" t="str">
        <f>IFERROR(__xludf.DUMMYFUNCTION("IFERROR(
  FILTER('CBK Students'!M:M, TRIM('CBK Students'!B:B) = TRIM(A743)),
  """"
)"),"#REF!")</f>
        <v>#REF!</v>
      </c>
      <c r="W743" s="240" t="str">
        <f t="shared" si="1"/>
        <v/>
      </c>
      <c r="X743" s="240" t="str">
        <f>IFERROR(__xludf.DUMMYFUNCTION("IFERROR(
  FILTER('CBK Students'!R:R, TRIM('CBK Students'!B:B) = TRIM(A743)),
  """"
)"),"#REF!")</f>
        <v>#REF!</v>
      </c>
      <c r="Y743" s="4" t="str">
        <f t="shared" si="2"/>
        <v/>
      </c>
      <c r="Z743" s="4" t="str">
        <f>IFERROR(__xludf.DUMMYFUNCTION("IFERROR(
  FILTER('CBK Students'!O:O, TRIM('CBK Students'!B:B) = TRIM(A743)),
  """"
)"),"#REF!")</f>
        <v>#REF!</v>
      </c>
      <c r="AA743" s="4" t="str">
        <f>IFERROR(__xludf.DUMMYFUNCTION("IFERROR(
  FILTER('CBK Students'!P:P, TRIM('CBK Students'!B:B) = TRIM(A743)),
  """"
)"),"#REF!")</f>
        <v>#REF!</v>
      </c>
      <c r="AB743" s="4" t="str">
        <f>IFERROR(__xludf.DUMMYFUNCTION("IFERROR(
  FILTER('CBK Students'!Q:Q, TRIM('CBK Students'!B:B) = TRIM(A743)),
  """"
)"),"#REF!")</f>
        <v>#REF!</v>
      </c>
    </row>
    <row r="744" ht="18.75" customHeight="1">
      <c r="T744" s="240" t="str">
        <f>IFERROR(__xludf.DUMMYFUNCTION("IFERROR(
  FILTER('CBK Students'!F:F, TRIM('CBK Students'!B:B) = TRIM(A744)),
  """"
)"),"#REF!")</f>
        <v>#REF!</v>
      </c>
      <c r="U744" s="240" t="str">
        <f>IFERROR(__xludf.DUMMYFUNCTION("IFERROR(
  FILTER('CBK Students'!H:H, TRIM('CBK Students'!B:B) = TRIM(A744)),
  """"
)"),"#REF!")</f>
        <v>#REF!</v>
      </c>
      <c r="V744" s="240" t="str">
        <f>IFERROR(__xludf.DUMMYFUNCTION("IFERROR(
  FILTER('CBK Students'!M:M, TRIM('CBK Students'!B:B) = TRIM(A744)),
  """"
)"),"#REF!")</f>
        <v>#REF!</v>
      </c>
      <c r="W744" s="240" t="str">
        <f t="shared" si="1"/>
        <v/>
      </c>
      <c r="X744" s="240" t="str">
        <f>IFERROR(__xludf.DUMMYFUNCTION("IFERROR(
  FILTER('CBK Students'!R:R, TRIM('CBK Students'!B:B) = TRIM(A744)),
  """"
)"),"#REF!")</f>
        <v>#REF!</v>
      </c>
      <c r="Y744" s="4" t="str">
        <f t="shared" si="2"/>
        <v/>
      </c>
      <c r="Z744" s="4" t="str">
        <f>IFERROR(__xludf.DUMMYFUNCTION("IFERROR(
  FILTER('CBK Students'!O:O, TRIM('CBK Students'!B:B) = TRIM(A744)),
  """"
)"),"#REF!")</f>
        <v>#REF!</v>
      </c>
      <c r="AA744" s="4" t="str">
        <f>IFERROR(__xludf.DUMMYFUNCTION("IFERROR(
  FILTER('CBK Students'!P:P, TRIM('CBK Students'!B:B) = TRIM(A744)),
  """"
)"),"#REF!")</f>
        <v>#REF!</v>
      </c>
      <c r="AB744" s="4" t="str">
        <f>IFERROR(__xludf.DUMMYFUNCTION("IFERROR(
  FILTER('CBK Students'!Q:Q, TRIM('CBK Students'!B:B) = TRIM(A744)),
  """"
)"),"#REF!")</f>
        <v>#REF!</v>
      </c>
    </row>
    <row r="745" ht="18.75" customHeight="1">
      <c r="T745" s="240" t="str">
        <f>IFERROR(__xludf.DUMMYFUNCTION("IFERROR(
  FILTER('CBK Students'!F:F, TRIM('CBK Students'!B:B) = TRIM(A745)),
  """"
)"),"#REF!")</f>
        <v>#REF!</v>
      </c>
      <c r="U745" s="240" t="str">
        <f>IFERROR(__xludf.DUMMYFUNCTION("IFERROR(
  FILTER('CBK Students'!H:H, TRIM('CBK Students'!B:B) = TRIM(A745)),
  """"
)"),"#REF!")</f>
        <v>#REF!</v>
      </c>
      <c r="V745" s="240" t="str">
        <f>IFERROR(__xludf.DUMMYFUNCTION("IFERROR(
  FILTER('CBK Students'!M:M, TRIM('CBK Students'!B:B) = TRIM(A745)),
  """"
)"),"#REF!")</f>
        <v>#REF!</v>
      </c>
      <c r="W745" s="240" t="str">
        <f t="shared" si="1"/>
        <v/>
      </c>
      <c r="X745" s="240" t="str">
        <f>IFERROR(__xludf.DUMMYFUNCTION("IFERROR(
  FILTER('CBK Students'!R:R, TRIM('CBK Students'!B:B) = TRIM(A745)),
  """"
)"),"#REF!")</f>
        <v>#REF!</v>
      </c>
      <c r="Y745" s="4" t="str">
        <f t="shared" si="2"/>
        <v/>
      </c>
      <c r="Z745" s="4" t="str">
        <f>IFERROR(__xludf.DUMMYFUNCTION("IFERROR(
  FILTER('CBK Students'!O:O, TRIM('CBK Students'!B:B) = TRIM(A745)),
  """"
)"),"#REF!")</f>
        <v>#REF!</v>
      </c>
      <c r="AA745" s="4" t="str">
        <f>IFERROR(__xludf.DUMMYFUNCTION("IFERROR(
  FILTER('CBK Students'!P:P, TRIM('CBK Students'!B:B) = TRIM(A745)),
  """"
)"),"#REF!")</f>
        <v>#REF!</v>
      </c>
      <c r="AB745" s="4" t="str">
        <f>IFERROR(__xludf.DUMMYFUNCTION("IFERROR(
  FILTER('CBK Students'!Q:Q, TRIM('CBK Students'!B:B) = TRIM(A745)),
  """"
)"),"#REF!")</f>
        <v>#REF!</v>
      </c>
    </row>
    <row r="746" ht="18.75" customHeight="1">
      <c r="T746" s="240" t="str">
        <f>IFERROR(__xludf.DUMMYFUNCTION("IFERROR(
  FILTER('CBK Students'!F:F, TRIM('CBK Students'!B:B) = TRIM(A746)),
  """"
)"),"#REF!")</f>
        <v>#REF!</v>
      </c>
      <c r="U746" s="240" t="str">
        <f>IFERROR(__xludf.DUMMYFUNCTION("IFERROR(
  FILTER('CBK Students'!H:H, TRIM('CBK Students'!B:B) = TRIM(A746)),
  """"
)"),"#REF!")</f>
        <v>#REF!</v>
      </c>
      <c r="V746" s="240" t="str">
        <f>IFERROR(__xludf.DUMMYFUNCTION("IFERROR(
  FILTER('CBK Students'!M:M, TRIM('CBK Students'!B:B) = TRIM(A746)),
  """"
)"),"#REF!")</f>
        <v>#REF!</v>
      </c>
      <c r="W746" s="240" t="str">
        <f t="shared" si="1"/>
        <v/>
      </c>
      <c r="X746" s="240" t="str">
        <f>IFERROR(__xludf.DUMMYFUNCTION("IFERROR(
  FILTER('CBK Students'!R:R, TRIM('CBK Students'!B:B) = TRIM(A746)),
  """"
)"),"#REF!")</f>
        <v>#REF!</v>
      </c>
      <c r="Y746" s="4" t="str">
        <f t="shared" si="2"/>
        <v/>
      </c>
      <c r="Z746" s="4" t="str">
        <f>IFERROR(__xludf.DUMMYFUNCTION("IFERROR(
  FILTER('CBK Students'!O:O, TRIM('CBK Students'!B:B) = TRIM(A746)),
  """"
)"),"#REF!")</f>
        <v>#REF!</v>
      </c>
      <c r="AA746" s="4" t="str">
        <f>IFERROR(__xludf.DUMMYFUNCTION("IFERROR(
  FILTER('CBK Students'!P:P, TRIM('CBK Students'!B:B) = TRIM(A746)),
  """"
)"),"#REF!")</f>
        <v>#REF!</v>
      </c>
      <c r="AB746" s="4" t="str">
        <f>IFERROR(__xludf.DUMMYFUNCTION("IFERROR(
  FILTER('CBK Students'!Q:Q, TRIM('CBK Students'!B:B) = TRIM(A746)),
  """"
)"),"#REF!")</f>
        <v>#REF!</v>
      </c>
    </row>
    <row r="747" ht="18.75" customHeight="1">
      <c r="T747" s="240" t="str">
        <f>IFERROR(__xludf.DUMMYFUNCTION("IFERROR(
  FILTER('CBK Students'!F:F, TRIM('CBK Students'!B:B) = TRIM(A747)),
  """"
)"),"#REF!")</f>
        <v>#REF!</v>
      </c>
      <c r="U747" s="240" t="str">
        <f>IFERROR(__xludf.DUMMYFUNCTION("IFERROR(
  FILTER('CBK Students'!H:H, TRIM('CBK Students'!B:B) = TRIM(A747)),
  """"
)"),"#REF!")</f>
        <v>#REF!</v>
      </c>
      <c r="V747" s="240" t="str">
        <f>IFERROR(__xludf.DUMMYFUNCTION("IFERROR(
  FILTER('CBK Students'!M:M, TRIM('CBK Students'!B:B) = TRIM(A747)),
  """"
)"),"#REF!")</f>
        <v>#REF!</v>
      </c>
      <c r="W747" s="240" t="str">
        <f t="shared" si="1"/>
        <v/>
      </c>
      <c r="X747" s="240" t="str">
        <f>IFERROR(__xludf.DUMMYFUNCTION("IFERROR(
  FILTER('CBK Students'!R:R, TRIM('CBK Students'!B:B) = TRIM(A747)),
  """"
)"),"#REF!")</f>
        <v>#REF!</v>
      </c>
      <c r="Y747" s="4" t="str">
        <f t="shared" si="2"/>
        <v/>
      </c>
      <c r="Z747" s="4" t="str">
        <f>IFERROR(__xludf.DUMMYFUNCTION("IFERROR(
  FILTER('CBK Students'!O:O, TRIM('CBK Students'!B:B) = TRIM(A747)),
  """"
)"),"#REF!")</f>
        <v>#REF!</v>
      </c>
      <c r="AA747" s="4" t="str">
        <f>IFERROR(__xludf.DUMMYFUNCTION("IFERROR(
  FILTER('CBK Students'!P:P, TRIM('CBK Students'!B:B) = TRIM(A747)),
  """"
)"),"#REF!")</f>
        <v>#REF!</v>
      </c>
      <c r="AB747" s="4" t="str">
        <f>IFERROR(__xludf.DUMMYFUNCTION("IFERROR(
  FILTER('CBK Students'!Q:Q, TRIM('CBK Students'!B:B) = TRIM(A747)),
  """"
)"),"#REF!")</f>
        <v>#REF!</v>
      </c>
    </row>
    <row r="748" ht="18.75" customHeight="1">
      <c r="T748" s="240" t="str">
        <f>IFERROR(__xludf.DUMMYFUNCTION("IFERROR(
  FILTER('CBK Students'!F:F, TRIM('CBK Students'!B:B) = TRIM(A748)),
  """"
)"),"#REF!")</f>
        <v>#REF!</v>
      </c>
      <c r="U748" s="240" t="str">
        <f>IFERROR(__xludf.DUMMYFUNCTION("IFERROR(
  FILTER('CBK Students'!H:H, TRIM('CBK Students'!B:B) = TRIM(A748)),
  """"
)"),"#REF!")</f>
        <v>#REF!</v>
      </c>
      <c r="V748" s="240" t="str">
        <f>IFERROR(__xludf.DUMMYFUNCTION("IFERROR(
  FILTER('CBK Students'!M:M, TRIM('CBK Students'!B:B) = TRIM(A748)),
  """"
)"),"#REF!")</f>
        <v>#REF!</v>
      </c>
      <c r="W748" s="240" t="str">
        <f t="shared" si="1"/>
        <v/>
      </c>
      <c r="X748" s="240" t="str">
        <f>IFERROR(__xludf.DUMMYFUNCTION("IFERROR(
  FILTER('CBK Students'!R:R, TRIM('CBK Students'!B:B) = TRIM(A748)),
  """"
)"),"#REF!")</f>
        <v>#REF!</v>
      </c>
      <c r="Y748" s="4" t="str">
        <f t="shared" si="2"/>
        <v/>
      </c>
      <c r="Z748" s="4" t="str">
        <f>IFERROR(__xludf.DUMMYFUNCTION("IFERROR(
  FILTER('CBK Students'!O:O, TRIM('CBK Students'!B:B) = TRIM(A748)),
  """"
)"),"#REF!")</f>
        <v>#REF!</v>
      </c>
      <c r="AA748" s="4" t="str">
        <f>IFERROR(__xludf.DUMMYFUNCTION("IFERROR(
  FILTER('CBK Students'!P:P, TRIM('CBK Students'!B:B) = TRIM(A748)),
  """"
)"),"#REF!")</f>
        <v>#REF!</v>
      </c>
      <c r="AB748" s="4" t="str">
        <f>IFERROR(__xludf.DUMMYFUNCTION("IFERROR(
  FILTER('CBK Students'!Q:Q, TRIM('CBK Students'!B:B) = TRIM(A748)),
  """"
)"),"#REF!")</f>
        <v>#REF!</v>
      </c>
    </row>
    <row r="749" ht="18.75" customHeight="1">
      <c r="T749" s="240" t="str">
        <f>IFERROR(__xludf.DUMMYFUNCTION("IFERROR(
  FILTER('CBK Students'!F:F, TRIM('CBK Students'!B:B) = TRIM(A749)),
  """"
)"),"#REF!")</f>
        <v>#REF!</v>
      </c>
      <c r="U749" s="240" t="str">
        <f>IFERROR(__xludf.DUMMYFUNCTION("IFERROR(
  FILTER('CBK Students'!H:H, TRIM('CBK Students'!B:B) = TRIM(A749)),
  """"
)"),"#REF!")</f>
        <v>#REF!</v>
      </c>
      <c r="V749" s="240" t="str">
        <f>IFERROR(__xludf.DUMMYFUNCTION("IFERROR(
  FILTER('CBK Students'!M:M, TRIM('CBK Students'!B:B) = TRIM(A749)),
  """"
)"),"#REF!")</f>
        <v>#REF!</v>
      </c>
      <c r="W749" s="240" t="str">
        <f t="shared" si="1"/>
        <v/>
      </c>
      <c r="X749" s="240" t="str">
        <f>IFERROR(__xludf.DUMMYFUNCTION("IFERROR(
  FILTER('CBK Students'!R:R, TRIM('CBK Students'!B:B) = TRIM(A749)),
  """"
)"),"#REF!")</f>
        <v>#REF!</v>
      </c>
      <c r="Y749" s="4" t="str">
        <f t="shared" si="2"/>
        <v/>
      </c>
      <c r="Z749" s="4" t="str">
        <f>IFERROR(__xludf.DUMMYFUNCTION("IFERROR(
  FILTER('CBK Students'!O:O, TRIM('CBK Students'!B:B) = TRIM(A749)),
  """"
)"),"#REF!")</f>
        <v>#REF!</v>
      </c>
      <c r="AA749" s="4" t="str">
        <f>IFERROR(__xludf.DUMMYFUNCTION("IFERROR(
  FILTER('CBK Students'!P:P, TRIM('CBK Students'!B:B) = TRIM(A749)),
  """"
)"),"#REF!")</f>
        <v>#REF!</v>
      </c>
      <c r="AB749" s="4" t="str">
        <f>IFERROR(__xludf.DUMMYFUNCTION("IFERROR(
  FILTER('CBK Students'!Q:Q, TRIM('CBK Students'!B:B) = TRIM(A749)),
  """"
)"),"#REF!")</f>
        <v>#REF!</v>
      </c>
    </row>
    <row r="750" ht="18.75" customHeight="1">
      <c r="T750" s="240" t="str">
        <f>IFERROR(__xludf.DUMMYFUNCTION("IFERROR(
  FILTER('CBK Students'!F:F, TRIM('CBK Students'!B:B) = TRIM(A750)),
  """"
)"),"#REF!")</f>
        <v>#REF!</v>
      </c>
      <c r="U750" s="240" t="str">
        <f>IFERROR(__xludf.DUMMYFUNCTION("IFERROR(
  FILTER('CBK Students'!H:H, TRIM('CBK Students'!B:B) = TRIM(A750)),
  """"
)"),"#REF!")</f>
        <v>#REF!</v>
      </c>
      <c r="V750" s="240" t="str">
        <f>IFERROR(__xludf.DUMMYFUNCTION("IFERROR(
  FILTER('CBK Students'!M:M, TRIM('CBK Students'!B:B) = TRIM(A750)),
  """"
)"),"#REF!")</f>
        <v>#REF!</v>
      </c>
      <c r="W750" s="240" t="str">
        <f t="shared" si="1"/>
        <v/>
      </c>
      <c r="X750" s="240" t="str">
        <f>IFERROR(__xludf.DUMMYFUNCTION("IFERROR(
  FILTER('CBK Students'!R:R, TRIM('CBK Students'!B:B) = TRIM(A750)),
  """"
)"),"#REF!")</f>
        <v>#REF!</v>
      </c>
      <c r="Y750" s="4" t="str">
        <f t="shared" si="2"/>
        <v/>
      </c>
      <c r="Z750" s="4" t="str">
        <f>IFERROR(__xludf.DUMMYFUNCTION("IFERROR(
  FILTER('CBK Students'!O:O, TRIM('CBK Students'!B:B) = TRIM(A750)),
  """"
)"),"#REF!")</f>
        <v>#REF!</v>
      </c>
      <c r="AA750" s="4" t="str">
        <f>IFERROR(__xludf.DUMMYFUNCTION("IFERROR(
  FILTER('CBK Students'!P:P, TRIM('CBK Students'!B:B) = TRIM(A750)),
  """"
)"),"#REF!")</f>
        <v>#REF!</v>
      </c>
      <c r="AB750" s="4" t="str">
        <f>IFERROR(__xludf.DUMMYFUNCTION("IFERROR(
  FILTER('CBK Students'!Q:Q, TRIM('CBK Students'!B:B) = TRIM(A750)),
  """"
)"),"#REF!")</f>
        <v>#REF!</v>
      </c>
    </row>
    <row r="751" ht="18.75" customHeight="1">
      <c r="T751" s="240" t="str">
        <f>IFERROR(__xludf.DUMMYFUNCTION("IFERROR(
  FILTER('CBK Students'!F:F, TRIM('CBK Students'!B:B) = TRIM(A751)),
  """"
)"),"#REF!")</f>
        <v>#REF!</v>
      </c>
      <c r="U751" s="240" t="str">
        <f>IFERROR(__xludf.DUMMYFUNCTION("IFERROR(
  FILTER('CBK Students'!H:H, TRIM('CBK Students'!B:B) = TRIM(A751)),
  """"
)"),"#REF!")</f>
        <v>#REF!</v>
      </c>
      <c r="V751" s="240" t="str">
        <f>IFERROR(__xludf.DUMMYFUNCTION("IFERROR(
  FILTER('CBK Students'!M:M, TRIM('CBK Students'!B:B) = TRIM(A751)),
  """"
)"),"#REF!")</f>
        <v>#REF!</v>
      </c>
      <c r="W751" s="240" t="str">
        <f t="shared" si="1"/>
        <v/>
      </c>
      <c r="X751" s="240" t="str">
        <f>IFERROR(__xludf.DUMMYFUNCTION("IFERROR(
  FILTER('CBK Students'!R:R, TRIM('CBK Students'!B:B) = TRIM(A751)),
  """"
)"),"#REF!")</f>
        <v>#REF!</v>
      </c>
      <c r="Y751" s="4" t="str">
        <f t="shared" si="2"/>
        <v/>
      </c>
      <c r="Z751" s="4" t="str">
        <f>IFERROR(__xludf.DUMMYFUNCTION("IFERROR(
  FILTER('CBK Students'!O:O, TRIM('CBK Students'!B:B) = TRIM(A751)),
  """"
)"),"#REF!")</f>
        <v>#REF!</v>
      </c>
      <c r="AA751" s="4" t="str">
        <f>IFERROR(__xludf.DUMMYFUNCTION("IFERROR(
  FILTER('CBK Students'!P:P, TRIM('CBK Students'!B:B) = TRIM(A751)),
  """"
)"),"#REF!")</f>
        <v>#REF!</v>
      </c>
      <c r="AB751" s="4" t="str">
        <f>IFERROR(__xludf.DUMMYFUNCTION("IFERROR(
  FILTER('CBK Students'!Q:Q, TRIM('CBK Students'!B:B) = TRIM(A751)),
  """"
)"),"#REF!")</f>
        <v>#REF!</v>
      </c>
    </row>
    <row r="752" ht="18.75" customHeight="1">
      <c r="T752" s="240" t="str">
        <f>IFERROR(__xludf.DUMMYFUNCTION("IFERROR(
  FILTER('CBK Students'!F:F, TRIM('CBK Students'!B:B) = TRIM(A752)),
  """"
)"),"#REF!")</f>
        <v>#REF!</v>
      </c>
      <c r="U752" s="240" t="str">
        <f>IFERROR(__xludf.DUMMYFUNCTION("IFERROR(
  FILTER('CBK Students'!H:H, TRIM('CBK Students'!B:B) = TRIM(A752)),
  """"
)"),"#REF!")</f>
        <v>#REF!</v>
      </c>
      <c r="V752" s="240" t="str">
        <f>IFERROR(__xludf.DUMMYFUNCTION("IFERROR(
  FILTER('CBK Students'!M:M, TRIM('CBK Students'!B:B) = TRIM(A752)),
  """"
)"),"#REF!")</f>
        <v>#REF!</v>
      </c>
      <c r="W752" s="240" t="str">
        <f t="shared" si="1"/>
        <v/>
      </c>
      <c r="X752" s="240" t="str">
        <f>IFERROR(__xludf.DUMMYFUNCTION("IFERROR(
  FILTER('CBK Students'!R:R, TRIM('CBK Students'!B:B) = TRIM(A752)),
  """"
)"),"#REF!")</f>
        <v>#REF!</v>
      </c>
      <c r="Y752" s="4" t="str">
        <f t="shared" si="2"/>
        <v/>
      </c>
      <c r="Z752" s="4" t="str">
        <f>IFERROR(__xludf.DUMMYFUNCTION("IFERROR(
  FILTER('CBK Students'!O:O, TRIM('CBK Students'!B:B) = TRIM(A752)),
  """"
)"),"#REF!")</f>
        <v>#REF!</v>
      </c>
      <c r="AA752" s="4" t="str">
        <f>IFERROR(__xludf.DUMMYFUNCTION("IFERROR(
  FILTER('CBK Students'!P:P, TRIM('CBK Students'!B:B) = TRIM(A752)),
  """"
)"),"#REF!")</f>
        <v>#REF!</v>
      </c>
      <c r="AB752" s="4" t="str">
        <f>IFERROR(__xludf.DUMMYFUNCTION("IFERROR(
  FILTER('CBK Students'!Q:Q, TRIM('CBK Students'!B:B) = TRIM(A752)),
  """"
)"),"#REF!")</f>
        <v>#REF!</v>
      </c>
    </row>
    <row r="753" ht="18.75" customHeight="1">
      <c r="T753" s="240" t="str">
        <f>IFERROR(__xludf.DUMMYFUNCTION("IFERROR(
  FILTER('CBK Students'!F:F, TRIM('CBK Students'!B:B) = TRIM(A753)),
  """"
)"),"#REF!")</f>
        <v>#REF!</v>
      </c>
      <c r="U753" s="240" t="str">
        <f>IFERROR(__xludf.DUMMYFUNCTION("IFERROR(
  FILTER('CBK Students'!H:H, TRIM('CBK Students'!B:B) = TRIM(A753)),
  """"
)"),"#REF!")</f>
        <v>#REF!</v>
      </c>
      <c r="V753" s="240" t="str">
        <f>IFERROR(__xludf.DUMMYFUNCTION("IFERROR(
  FILTER('CBK Students'!M:M, TRIM('CBK Students'!B:B) = TRIM(A753)),
  """"
)"),"#REF!")</f>
        <v>#REF!</v>
      </c>
      <c r="W753" s="240" t="str">
        <f t="shared" si="1"/>
        <v/>
      </c>
      <c r="X753" s="240" t="str">
        <f>IFERROR(__xludf.DUMMYFUNCTION("IFERROR(
  FILTER('CBK Students'!R:R, TRIM('CBK Students'!B:B) = TRIM(A753)),
  """"
)"),"#REF!")</f>
        <v>#REF!</v>
      </c>
      <c r="Y753" s="4" t="str">
        <f t="shared" si="2"/>
        <v/>
      </c>
      <c r="Z753" s="4" t="str">
        <f>IFERROR(__xludf.DUMMYFUNCTION("IFERROR(
  FILTER('CBK Students'!O:O, TRIM('CBK Students'!B:B) = TRIM(A753)),
  """"
)"),"#REF!")</f>
        <v>#REF!</v>
      </c>
      <c r="AA753" s="4" t="str">
        <f>IFERROR(__xludf.DUMMYFUNCTION("IFERROR(
  FILTER('CBK Students'!P:P, TRIM('CBK Students'!B:B) = TRIM(A753)),
  """"
)"),"#REF!")</f>
        <v>#REF!</v>
      </c>
      <c r="AB753" s="4" t="str">
        <f>IFERROR(__xludf.DUMMYFUNCTION("IFERROR(
  FILTER('CBK Students'!Q:Q, TRIM('CBK Students'!B:B) = TRIM(A753)),
  """"
)"),"#REF!")</f>
        <v>#REF!</v>
      </c>
    </row>
    <row r="754" ht="18.75" customHeight="1">
      <c r="T754" s="240" t="str">
        <f>IFERROR(__xludf.DUMMYFUNCTION("IFERROR(
  FILTER('CBK Students'!F:F, TRIM('CBK Students'!B:B) = TRIM(A754)),
  """"
)"),"#REF!")</f>
        <v>#REF!</v>
      </c>
      <c r="U754" s="240" t="str">
        <f>IFERROR(__xludf.DUMMYFUNCTION("IFERROR(
  FILTER('CBK Students'!H:H, TRIM('CBK Students'!B:B) = TRIM(A754)),
  """"
)"),"#REF!")</f>
        <v>#REF!</v>
      </c>
      <c r="V754" s="240" t="str">
        <f>IFERROR(__xludf.DUMMYFUNCTION("IFERROR(
  FILTER('CBK Students'!M:M, TRIM('CBK Students'!B:B) = TRIM(A754)),
  """"
)"),"#REF!")</f>
        <v>#REF!</v>
      </c>
      <c r="W754" s="240" t="str">
        <f t="shared" si="1"/>
        <v/>
      </c>
      <c r="X754" s="240" t="str">
        <f>IFERROR(__xludf.DUMMYFUNCTION("IFERROR(
  FILTER('CBK Students'!R:R, TRIM('CBK Students'!B:B) = TRIM(A754)),
  """"
)"),"#REF!")</f>
        <v>#REF!</v>
      </c>
      <c r="Y754" s="4" t="str">
        <f t="shared" si="2"/>
        <v/>
      </c>
      <c r="Z754" s="4" t="str">
        <f>IFERROR(__xludf.DUMMYFUNCTION("IFERROR(
  FILTER('CBK Students'!O:O, TRIM('CBK Students'!B:B) = TRIM(A754)),
  """"
)"),"#REF!")</f>
        <v>#REF!</v>
      </c>
      <c r="AA754" s="4" t="str">
        <f>IFERROR(__xludf.DUMMYFUNCTION("IFERROR(
  FILTER('CBK Students'!P:P, TRIM('CBK Students'!B:B) = TRIM(A754)),
  """"
)"),"#REF!")</f>
        <v>#REF!</v>
      </c>
      <c r="AB754" s="4" t="str">
        <f>IFERROR(__xludf.DUMMYFUNCTION("IFERROR(
  FILTER('CBK Students'!Q:Q, TRIM('CBK Students'!B:B) = TRIM(A754)),
  """"
)"),"#REF!")</f>
        <v>#REF!</v>
      </c>
    </row>
    <row r="755" ht="18.75" customHeight="1">
      <c r="T755" s="240" t="str">
        <f>IFERROR(__xludf.DUMMYFUNCTION("IFERROR(
  FILTER('CBK Students'!F:F, TRIM('CBK Students'!B:B) = TRIM(A755)),
  """"
)"),"#REF!")</f>
        <v>#REF!</v>
      </c>
      <c r="U755" s="240" t="str">
        <f>IFERROR(__xludf.DUMMYFUNCTION("IFERROR(
  FILTER('CBK Students'!H:H, TRIM('CBK Students'!B:B) = TRIM(A755)),
  """"
)"),"#REF!")</f>
        <v>#REF!</v>
      </c>
      <c r="V755" s="240" t="str">
        <f>IFERROR(__xludf.DUMMYFUNCTION("IFERROR(
  FILTER('CBK Students'!M:M, TRIM('CBK Students'!B:B) = TRIM(A755)),
  """"
)"),"#REF!")</f>
        <v>#REF!</v>
      </c>
      <c r="W755" s="240" t="str">
        <f t="shared" si="1"/>
        <v/>
      </c>
      <c r="X755" s="240" t="str">
        <f>IFERROR(__xludf.DUMMYFUNCTION("IFERROR(
  FILTER('CBK Students'!R:R, TRIM('CBK Students'!B:B) = TRIM(A755)),
  """"
)"),"#REF!")</f>
        <v>#REF!</v>
      </c>
      <c r="Y755" s="4" t="str">
        <f t="shared" si="2"/>
        <v/>
      </c>
      <c r="Z755" s="4" t="str">
        <f>IFERROR(__xludf.DUMMYFUNCTION("IFERROR(
  FILTER('CBK Students'!O:O, TRIM('CBK Students'!B:B) = TRIM(A755)),
  """"
)"),"#REF!")</f>
        <v>#REF!</v>
      </c>
      <c r="AA755" s="4" t="str">
        <f>IFERROR(__xludf.DUMMYFUNCTION("IFERROR(
  FILTER('CBK Students'!P:P, TRIM('CBK Students'!B:B) = TRIM(A755)),
  """"
)"),"#REF!")</f>
        <v>#REF!</v>
      </c>
      <c r="AB755" s="4" t="str">
        <f>IFERROR(__xludf.DUMMYFUNCTION("IFERROR(
  FILTER('CBK Students'!Q:Q, TRIM('CBK Students'!B:B) = TRIM(A755)),
  """"
)"),"#REF!")</f>
        <v>#REF!</v>
      </c>
    </row>
    <row r="756" ht="18.75" customHeight="1">
      <c r="T756" s="240" t="str">
        <f>IFERROR(__xludf.DUMMYFUNCTION("IFERROR(
  FILTER('CBK Students'!F:F, TRIM('CBK Students'!B:B) = TRIM(A756)),
  """"
)"),"#REF!")</f>
        <v>#REF!</v>
      </c>
      <c r="U756" s="240" t="str">
        <f>IFERROR(__xludf.DUMMYFUNCTION("IFERROR(
  FILTER('CBK Students'!H:H, TRIM('CBK Students'!B:B) = TRIM(A756)),
  """"
)"),"#REF!")</f>
        <v>#REF!</v>
      </c>
      <c r="V756" s="240" t="str">
        <f>IFERROR(__xludf.DUMMYFUNCTION("IFERROR(
  FILTER('CBK Students'!M:M, TRIM('CBK Students'!B:B) = TRIM(A756)),
  """"
)"),"#REF!")</f>
        <v>#REF!</v>
      </c>
      <c r="W756" s="240" t="str">
        <f t="shared" si="1"/>
        <v/>
      </c>
      <c r="X756" s="240" t="str">
        <f>IFERROR(__xludf.DUMMYFUNCTION("IFERROR(
  FILTER('CBK Students'!R:R, TRIM('CBK Students'!B:B) = TRIM(A756)),
  """"
)"),"#REF!")</f>
        <v>#REF!</v>
      </c>
      <c r="Y756" s="4" t="str">
        <f t="shared" si="2"/>
        <v/>
      </c>
      <c r="Z756" s="4" t="str">
        <f>IFERROR(__xludf.DUMMYFUNCTION("IFERROR(
  FILTER('CBK Students'!O:O, TRIM('CBK Students'!B:B) = TRIM(A756)),
  """"
)"),"#REF!")</f>
        <v>#REF!</v>
      </c>
      <c r="AA756" s="4" t="str">
        <f>IFERROR(__xludf.DUMMYFUNCTION("IFERROR(
  FILTER('CBK Students'!P:P, TRIM('CBK Students'!B:B) = TRIM(A756)),
  """"
)"),"#REF!")</f>
        <v>#REF!</v>
      </c>
      <c r="AB756" s="4" t="str">
        <f>IFERROR(__xludf.DUMMYFUNCTION("IFERROR(
  FILTER('CBK Students'!Q:Q, TRIM('CBK Students'!B:B) = TRIM(A756)),
  """"
)"),"#REF!")</f>
        <v>#REF!</v>
      </c>
    </row>
    <row r="757" ht="18.75" customHeight="1">
      <c r="T757" s="240" t="str">
        <f>IFERROR(__xludf.DUMMYFUNCTION("IFERROR(
  FILTER('CBK Students'!F:F, TRIM('CBK Students'!B:B) = TRIM(A757)),
  """"
)"),"#REF!")</f>
        <v>#REF!</v>
      </c>
      <c r="U757" s="240" t="str">
        <f>IFERROR(__xludf.DUMMYFUNCTION("IFERROR(
  FILTER('CBK Students'!H:H, TRIM('CBK Students'!B:B) = TRIM(A757)),
  """"
)"),"#REF!")</f>
        <v>#REF!</v>
      </c>
      <c r="V757" s="240" t="str">
        <f>IFERROR(__xludf.DUMMYFUNCTION("IFERROR(
  FILTER('CBK Students'!M:M, TRIM('CBK Students'!B:B) = TRIM(A757)),
  """"
)"),"#REF!")</f>
        <v>#REF!</v>
      </c>
      <c r="W757" s="240" t="str">
        <f t="shared" si="1"/>
        <v/>
      </c>
      <c r="X757" s="240" t="str">
        <f>IFERROR(__xludf.DUMMYFUNCTION("IFERROR(
  FILTER('CBK Students'!R:R, TRIM('CBK Students'!B:B) = TRIM(A757)),
  """"
)"),"#REF!")</f>
        <v>#REF!</v>
      </c>
      <c r="Y757" s="4" t="str">
        <f t="shared" si="2"/>
        <v/>
      </c>
      <c r="Z757" s="4" t="str">
        <f>IFERROR(__xludf.DUMMYFUNCTION("IFERROR(
  FILTER('CBK Students'!O:O, TRIM('CBK Students'!B:B) = TRIM(A757)),
  """"
)"),"#REF!")</f>
        <v>#REF!</v>
      </c>
      <c r="AA757" s="4" t="str">
        <f>IFERROR(__xludf.DUMMYFUNCTION("IFERROR(
  FILTER('CBK Students'!P:P, TRIM('CBK Students'!B:B) = TRIM(A757)),
  """"
)"),"#REF!")</f>
        <v>#REF!</v>
      </c>
      <c r="AB757" s="4" t="str">
        <f>IFERROR(__xludf.DUMMYFUNCTION("IFERROR(
  FILTER('CBK Students'!Q:Q, TRIM('CBK Students'!B:B) = TRIM(A757)),
  """"
)"),"#REF!")</f>
        <v>#REF!</v>
      </c>
    </row>
    <row r="758" ht="18.75" customHeight="1">
      <c r="T758" s="240" t="str">
        <f>IFERROR(__xludf.DUMMYFUNCTION("IFERROR(
  FILTER('CBK Students'!F:F, TRIM('CBK Students'!B:B) = TRIM(A758)),
  """"
)"),"#REF!")</f>
        <v>#REF!</v>
      </c>
      <c r="U758" s="240" t="str">
        <f>IFERROR(__xludf.DUMMYFUNCTION("IFERROR(
  FILTER('CBK Students'!H:H, TRIM('CBK Students'!B:B) = TRIM(A758)),
  """"
)"),"#REF!")</f>
        <v>#REF!</v>
      </c>
      <c r="V758" s="240" t="str">
        <f>IFERROR(__xludf.DUMMYFUNCTION("IFERROR(
  FILTER('CBK Students'!M:M, TRIM('CBK Students'!B:B) = TRIM(A758)),
  """"
)"),"#REF!")</f>
        <v>#REF!</v>
      </c>
      <c r="W758" s="240" t="str">
        <f t="shared" si="1"/>
        <v/>
      </c>
      <c r="X758" s="240" t="str">
        <f>IFERROR(__xludf.DUMMYFUNCTION("IFERROR(
  FILTER('CBK Students'!R:R, TRIM('CBK Students'!B:B) = TRIM(A758)),
  """"
)"),"#REF!")</f>
        <v>#REF!</v>
      </c>
      <c r="Y758" s="4" t="str">
        <f t="shared" si="2"/>
        <v/>
      </c>
      <c r="Z758" s="4" t="str">
        <f>IFERROR(__xludf.DUMMYFUNCTION("IFERROR(
  FILTER('CBK Students'!O:O, TRIM('CBK Students'!B:B) = TRIM(A758)),
  """"
)"),"#REF!")</f>
        <v>#REF!</v>
      </c>
      <c r="AA758" s="4" t="str">
        <f>IFERROR(__xludf.DUMMYFUNCTION("IFERROR(
  FILTER('CBK Students'!P:P, TRIM('CBK Students'!B:B) = TRIM(A758)),
  """"
)"),"#REF!")</f>
        <v>#REF!</v>
      </c>
      <c r="AB758" s="4" t="str">
        <f>IFERROR(__xludf.DUMMYFUNCTION("IFERROR(
  FILTER('CBK Students'!Q:Q, TRIM('CBK Students'!B:B) = TRIM(A758)),
  """"
)"),"#REF!")</f>
        <v>#REF!</v>
      </c>
    </row>
    <row r="759" ht="18.75" customHeight="1">
      <c r="T759" s="240" t="str">
        <f>IFERROR(__xludf.DUMMYFUNCTION("IFERROR(
  FILTER('CBK Students'!F:F, TRIM('CBK Students'!B:B) = TRIM(A759)),
  """"
)"),"#REF!")</f>
        <v>#REF!</v>
      </c>
      <c r="U759" s="240" t="str">
        <f>IFERROR(__xludf.DUMMYFUNCTION("IFERROR(
  FILTER('CBK Students'!H:H, TRIM('CBK Students'!B:B) = TRIM(A759)),
  """"
)"),"#REF!")</f>
        <v>#REF!</v>
      </c>
      <c r="V759" s="240" t="str">
        <f>IFERROR(__xludf.DUMMYFUNCTION("IFERROR(
  FILTER('CBK Students'!M:M, TRIM('CBK Students'!B:B) = TRIM(A759)),
  """"
)"),"#REF!")</f>
        <v>#REF!</v>
      </c>
      <c r="W759" s="240" t="str">
        <f t="shared" si="1"/>
        <v/>
      </c>
      <c r="X759" s="240" t="str">
        <f>IFERROR(__xludf.DUMMYFUNCTION("IFERROR(
  FILTER('CBK Students'!R:R, TRIM('CBK Students'!B:B) = TRIM(A759)),
  """"
)"),"#REF!")</f>
        <v>#REF!</v>
      </c>
      <c r="Y759" s="4" t="str">
        <f t="shared" si="2"/>
        <v/>
      </c>
      <c r="Z759" s="4" t="str">
        <f>IFERROR(__xludf.DUMMYFUNCTION("IFERROR(
  FILTER('CBK Students'!O:O, TRIM('CBK Students'!B:B) = TRIM(A759)),
  """"
)"),"#REF!")</f>
        <v>#REF!</v>
      </c>
      <c r="AA759" s="4" t="str">
        <f>IFERROR(__xludf.DUMMYFUNCTION("IFERROR(
  FILTER('CBK Students'!P:P, TRIM('CBK Students'!B:B) = TRIM(A759)),
  """"
)"),"#REF!")</f>
        <v>#REF!</v>
      </c>
      <c r="AB759" s="4" t="str">
        <f>IFERROR(__xludf.DUMMYFUNCTION("IFERROR(
  FILTER('CBK Students'!Q:Q, TRIM('CBK Students'!B:B) = TRIM(A759)),
  """"
)"),"#REF!")</f>
        <v>#REF!</v>
      </c>
    </row>
    <row r="760" ht="18.75" customHeight="1">
      <c r="T760" s="240" t="str">
        <f>IFERROR(__xludf.DUMMYFUNCTION("IFERROR(
  FILTER('CBK Students'!F:F, TRIM('CBK Students'!B:B) = TRIM(A760)),
  """"
)"),"#REF!")</f>
        <v>#REF!</v>
      </c>
      <c r="U760" s="240" t="str">
        <f>IFERROR(__xludf.DUMMYFUNCTION("IFERROR(
  FILTER('CBK Students'!H:H, TRIM('CBK Students'!B:B) = TRIM(A760)),
  """"
)"),"#REF!")</f>
        <v>#REF!</v>
      </c>
      <c r="V760" s="240" t="str">
        <f>IFERROR(__xludf.DUMMYFUNCTION("IFERROR(
  FILTER('CBK Students'!M:M, TRIM('CBK Students'!B:B) = TRIM(A760)),
  """"
)"),"#REF!")</f>
        <v>#REF!</v>
      </c>
      <c r="W760" s="240" t="str">
        <f t="shared" si="1"/>
        <v/>
      </c>
      <c r="X760" s="240" t="str">
        <f>IFERROR(__xludf.DUMMYFUNCTION("IFERROR(
  FILTER('CBK Students'!R:R, TRIM('CBK Students'!B:B) = TRIM(A760)),
  """"
)"),"#REF!")</f>
        <v>#REF!</v>
      </c>
      <c r="Y760" s="4" t="str">
        <f t="shared" si="2"/>
        <v/>
      </c>
      <c r="Z760" s="4" t="str">
        <f>IFERROR(__xludf.DUMMYFUNCTION("IFERROR(
  FILTER('CBK Students'!O:O, TRIM('CBK Students'!B:B) = TRIM(A760)),
  """"
)"),"#REF!")</f>
        <v>#REF!</v>
      </c>
      <c r="AA760" s="4" t="str">
        <f>IFERROR(__xludf.DUMMYFUNCTION("IFERROR(
  FILTER('CBK Students'!P:P, TRIM('CBK Students'!B:B) = TRIM(A760)),
  """"
)"),"#REF!")</f>
        <v>#REF!</v>
      </c>
      <c r="AB760" s="4" t="str">
        <f>IFERROR(__xludf.DUMMYFUNCTION("IFERROR(
  FILTER('CBK Students'!Q:Q, TRIM('CBK Students'!B:B) = TRIM(A760)),
  """"
)"),"#REF!")</f>
        <v>#REF!</v>
      </c>
    </row>
    <row r="761" ht="18.75" customHeight="1">
      <c r="T761" s="240" t="str">
        <f>IFERROR(__xludf.DUMMYFUNCTION("IFERROR(
  FILTER('CBK Students'!F:F, TRIM('CBK Students'!B:B) = TRIM(A761)),
  """"
)"),"#REF!")</f>
        <v>#REF!</v>
      </c>
      <c r="U761" s="240" t="str">
        <f>IFERROR(__xludf.DUMMYFUNCTION("IFERROR(
  FILTER('CBK Students'!H:H, TRIM('CBK Students'!B:B) = TRIM(A761)),
  """"
)"),"#REF!")</f>
        <v>#REF!</v>
      </c>
      <c r="V761" s="240" t="str">
        <f>IFERROR(__xludf.DUMMYFUNCTION("IFERROR(
  FILTER('CBK Students'!M:M, TRIM('CBK Students'!B:B) = TRIM(A761)),
  """"
)"),"#REF!")</f>
        <v>#REF!</v>
      </c>
      <c r="W761" s="240" t="str">
        <f t="shared" si="1"/>
        <v/>
      </c>
      <c r="X761" s="240" t="str">
        <f>IFERROR(__xludf.DUMMYFUNCTION("IFERROR(
  FILTER('CBK Students'!R:R, TRIM('CBK Students'!B:B) = TRIM(A761)),
  """"
)"),"#REF!")</f>
        <v>#REF!</v>
      </c>
      <c r="Y761" s="4" t="str">
        <f t="shared" si="2"/>
        <v/>
      </c>
      <c r="Z761" s="4" t="str">
        <f>IFERROR(__xludf.DUMMYFUNCTION("IFERROR(
  FILTER('CBK Students'!O:O, TRIM('CBK Students'!B:B) = TRIM(A761)),
  """"
)"),"#REF!")</f>
        <v>#REF!</v>
      </c>
      <c r="AA761" s="4" t="str">
        <f>IFERROR(__xludf.DUMMYFUNCTION("IFERROR(
  FILTER('CBK Students'!P:P, TRIM('CBK Students'!B:B) = TRIM(A761)),
  """"
)"),"#REF!")</f>
        <v>#REF!</v>
      </c>
      <c r="AB761" s="4" t="str">
        <f>IFERROR(__xludf.DUMMYFUNCTION("IFERROR(
  FILTER('CBK Students'!Q:Q, TRIM('CBK Students'!B:B) = TRIM(A761)),
  """"
)"),"#REF!")</f>
        <v>#REF!</v>
      </c>
    </row>
    <row r="762" ht="18.75" customHeight="1">
      <c r="T762" s="240" t="str">
        <f>IFERROR(__xludf.DUMMYFUNCTION("IFERROR(
  FILTER('CBK Students'!F:F, TRIM('CBK Students'!B:B) = TRIM(A762)),
  """"
)"),"#REF!")</f>
        <v>#REF!</v>
      </c>
      <c r="U762" s="240" t="str">
        <f>IFERROR(__xludf.DUMMYFUNCTION("IFERROR(
  FILTER('CBK Students'!H:H, TRIM('CBK Students'!B:B) = TRIM(A762)),
  """"
)"),"#REF!")</f>
        <v>#REF!</v>
      </c>
      <c r="V762" s="240" t="str">
        <f>IFERROR(__xludf.DUMMYFUNCTION("IFERROR(
  FILTER('CBK Students'!M:M, TRIM('CBK Students'!B:B) = TRIM(A762)),
  """"
)"),"#REF!")</f>
        <v>#REF!</v>
      </c>
      <c r="W762" s="240" t="str">
        <f t="shared" si="1"/>
        <v/>
      </c>
      <c r="X762" s="240" t="str">
        <f>IFERROR(__xludf.DUMMYFUNCTION("IFERROR(
  FILTER('CBK Students'!R:R, TRIM('CBK Students'!B:B) = TRIM(A762)),
  """"
)"),"#REF!")</f>
        <v>#REF!</v>
      </c>
      <c r="Y762" s="4" t="str">
        <f t="shared" si="2"/>
        <v/>
      </c>
      <c r="Z762" s="4" t="str">
        <f>IFERROR(__xludf.DUMMYFUNCTION("IFERROR(
  FILTER('CBK Students'!O:O, TRIM('CBK Students'!B:B) = TRIM(A762)),
  """"
)"),"#REF!")</f>
        <v>#REF!</v>
      </c>
      <c r="AA762" s="4" t="str">
        <f>IFERROR(__xludf.DUMMYFUNCTION("IFERROR(
  FILTER('CBK Students'!P:P, TRIM('CBK Students'!B:B) = TRIM(A762)),
  """"
)"),"#REF!")</f>
        <v>#REF!</v>
      </c>
      <c r="AB762" s="4" t="str">
        <f>IFERROR(__xludf.DUMMYFUNCTION("IFERROR(
  FILTER('CBK Students'!Q:Q, TRIM('CBK Students'!B:B) = TRIM(A762)),
  """"
)"),"#REF!")</f>
        <v>#REF!</v>
      </c>
    </row>
    <row r="763" ht="18.75" customHeight="1">
      <c r="T763" s="240" t="str">
        <f>IFERROR(__xludf.DUMMYFUNCTION("IFERROR(
  FILTER('CBK Students'!F:F, TRIM('CBK Students'!B:B) = TRIM(A763)),
  """"
)"),"#REF!")</f>
        <v>#REF!</v>
      </c>
      <c r="U763" s="240" t="str">
        <f>IFERROR(__xludf.DUMMYFUNCTION("IFERROR(
  FILTER('CBK Students'!H:H, TRIM('CBK Students'!B:B) = TRIM(A763)),
  """"
)"),"#REF!")</f>
        <v>#REF!</v>
      </c>
      <c r="V763" s="240" t="str">
        <f>IFERROR(__xludf.DUMMYFUNCTION("IFERROR(
  FILTER('CBK Students'!M:M, TRIM('CBK Students'!B:B) = TRIM(A763)),
  """"
)"),"#REF!")</f>
        <v>#REF!</v>
      </c>
      <c r="W763" s="240" t="str">
        <f t="shared" si="1"/>
        <v/>
      </c>
      <c r="X763" s="240" t="str">
        <f>IFERROR(__xludf.DUMMYFUNCTION("IFERROR(
  FILTER('CBK Students'!R:R, TRIM('CBK Students'!B:B) = TRIM(A763)),
  """"
)"),"#REF!")</f>
        <v>#REF!</v>
      </c>
      <c r="Y763" s="4" t="str">
        <f t="shared" si="2"/>
        <v/>
      </c>
      <c r="Z763" s="4" t="str">
        <f>IFERROR(__xludf.DUMMYFUNCTION("IFERROR(
  FILTER('CBK Students'!O:O, TRIM('CBK Students'!B:B) = TRIM(A763)),
  """"
)"),"#REF!")</f>
        <v>#REF!</v>
      </c>
      <c r="AA763" s="4" t="str">
        <f>IFERROR(__xludf.DUMMYFUNCTION("IFERROR(
  FILTER('CBK Students'!P:P, TRIM('CBK Students'!B:B) = TRIM(A763)),
  """"
)"),"#REF!")</f>
        <v>#REF!</v>
      </c>
      <c r="AB763" s="4" t="str">
        <f>IFERROR(__xludf.DUMMYFUNCTION("IFERROR(
  FILTER('CBK Students'!Q:Q, TRIM('CBK Students'!B:B) = TRIM(A763)),
  """"
)"),"#REF!")</f>
        <v>#REF!</v>
      </c>
    </row>
    <row r="764" ht="18.75" customHeight="1">
      <c r="T764" s="240" t="str">
        <f>IFERROR(__xludf.DUMMYFUNCTION("IFERROR(
  FILTER('CBK Students'!F:F, TRIM('CBK Students'!B:B) = TRIM(A764)),
  """"
)"),"#REF!")</f>
        <v>#REF!</v>
      </c>
      <c r="U764" s="240" t="str">
        <f>IFERROR(__xludf.DUMMYFUNCTION("IFERROR(
  FILTER('CBK Students'!H:H, TRIM('CBK Students'!B:B) = TRIM(A764)),
  """"
)"),"#REF!")</f>
        <v>#REF!</v>
      </c>
      <c r="V764" s="240" t="str">
        <f>IFERROR(__xludf.DUMMYFUNCTION("IFERROR(
  FILTER('CBK Students'!M:M, TRIM('CBK Students'!B:B) = TRIM(A764)),
  """"
)"),"#REF!")</f>
        <v>#REF!</v>
      </c>
      <c r="W764" s="240" t="str">
        <f t="shared" si="1"/>
        <v/>
      </c>
      <c r="X764" s="240" t="str">
        <f>IFERROR(__xludf.DUMMYFUNCTION("IFERROR(
  FILTER('CBK Students'!R:R, TRIM('CBK Students'!B:B) = TRIM(A764)),
  """"
)"),"#REF!")</f>
        <v>#REF!</v>
      </c>
      <c r="Y764" s="4" t="str">
        <f t="shared" si="2"/>
        <v/>
      </c>
      <c r="Z764" s="4" t="str">
        <f>IFERROR(__xludf.DUMMYFUNCTION("IFERROR(
  FILTER('CBK Students'!O:O, TRIM('CBK Students'!B:B) = TRIM(A764)),
  """"
)"),"#REF!")</f>
        <v>#REF!</v>
      </c>
      <c r="AA764" s="4" t="str">
        <f>IFERROR(__xludf.DUMMYFUNCTION("IFERROR(
  FILTER('CBK Students'!P:P, TRIM('CBK Students'!B:B) = TRIM(A764)),
  """"
)"),"#REF!")</f>
        <v>#REF!</v>
      </c>
      <c r="AB764" s="4" t="str">
        <f>IFERROR(__xludf.DUMMYFUNCTION("IFERROR(
  FILTER('CBK Students'!Q:Q, TRIM('CBK Students'!B:B) = TRIM(A764)),
  """"
)"),"#REF!")</f>
        <v>#REF!</v>
      </c>
    </row>
    <row r="765" ht="18.75" customHeight="1">
      <c r="T765" s="240" t="str">
        <f>IFERROR(__xludf.DUMMYFUNCTION("IFERROR(
  FILTER('CBK Students'!F:F, TRIM('CBK Students'!B:B) = TRIM(A765)),
  """"
)"),"#REF!")</f>
        <v>#REF!</v>
      </c>
      <c r="U765" s="240" t="str">
        <f>IFERROR(__xludf.DUMMYFUNCTION("IFERROR(
  FILTER('CBK Students'!H:H, TRIM('CBK Students'!B:B) = TRIM(A765)),
  """"
)"),"#REF!")</f>
        <v>#REF!</v>
      </c>
      <c r="V765" s="240" t="str">
        <f>IFERROR(__xludf.DUMMYFUNCTION("IFERROR(
  FILTER('CBK Students'!M:M, TRIM('CBK Students'!B:B) = TRIM(A765)),
  """"
)"),"#REF!")</f>
        <v>#REF!</v>
      </c>
      <c r="W765" s="240" t="str">
        <f t="shared" si="1"/>
        <v/>
      </c>
      <c r="X765" s="240" t="str">
        <f>IFERROR(__xludf.DUMMYFUNCTION("IFERROR(
  FILTER('CBK Students'!R:R, TRIM('CBK Students'!B:B) = TRIM(A765)),
  """"
)"),"#REF!")</f>
        <v>#REF!</v>
      </c>
      <c r="Y765" s="4" t="str">
        <f t="shared" si="2"/>
        <v/>
      </c>
      <c r="Z765" s="4" t="str">
        <f>IFERROR(__xludf.DUMMYFUNCTION("IFERROR(
  FILTER('CBK Students'!O:O, TRIM('CBK Students'!B:B) = TRIM(A765)),
  """"
)"),"#REF!")</f>
        <v>#REF!</v>
      </c>
      <c r="AA765" s="4" t="str">
        <f>IFERROR(__xludf.DUMMYFUNCTION("IFERROR(
  FILTER('CBK Students'!P:P, TRIM('CBK Students'!B:B) = TRIM(A765)),
  """"
)"),"#REF!")</f>
        <v>#REF!</v>
      </c>
      <c r="AB765" s="4" t="str">
        <f>IFERROR(__xludf.DUMMYFUNCTION("IFERROR(
  FILTER('CBK Students'!Q:Q, TRIM('CBK Students'!B:B) = TRIM(A765)),
  """"
)"),"#REF!")</f>
        <v>#REF!</v>
      </c>
    </row>
    <row r="766" ht="18.75" customHeight="1">
      <c r="T766" s="240" t="str">
        <f>IFERROR(__xludf.DUMMYFUNCTION("IFERROR(
  FILTER('CBK Students'!F:F, TRIM('CBK Students'!B:B) = TRIM(A766)),
  """"
)"),"#REF!")</f>
        <v>#REF!</v>
      </c>
      <c r="U766" s="240" t="str">
        <f>IFERROR(__xludf.DUMMYFUNCTION("IFERROR(
  FILTER('CBK Students'!H:H, TRIM('CBK Students'!B:B) = TRIM(A766)),
  """"
)"),"#REF!")</f>
        <v>#REF!</v>
      </c>
      <c r="V766" s="240" t="str">
        <f>IFERROR(__xludf.DUMMYFUNCTION("IFERROR(
  FILTER('CBK Students'!M:M, TRIM('CBK Students'!B:B) = TRIM(A766)),
  """"
)"),"#REF!")</f>
        <v>#REF!</v>
      </c>
      <c r="W766" s="240" t="str">
        <f t="shared" si="1"/>
        <v/>
      </c>
      <c r="X766" s="240" t="str">
        <f>IFERROR(__xludf.DUMMYFUNCTION("IFERROR(
  FILTER('CBK Students'!R:R, TRIM('CBK Students'!B:B) = TRIM(A766)),
  """"
)"),"#REF!")</f>
        <v>#REF!</v>
      </c>
      <c r="Y766" s="4" t="str">
        <f t="shared" si="2"/>
        <v/>
      </c>
      <c r="Z766" s="4" t="str">
        <f>IFERROR(__xludf.DUMMYFUNCTION("IFERROR(
  FILTER('CBK Students'!O:O, TRIM('CBK Students'!B:B) = TRIM(A766)),
  """"
)"),"#REF!")</f>
        <v>#REF!</v>
      </c>
      <c r="AA766" s="4" t="str">
        <f>IFERROR(__xludf.DUMMYFUNCTION("IFERROR(
  FILTER('CBK Students'!P:P, TRIM('CBK Students'!B:B) = TRIM(A766)),
  """"
)"),"#REF!")</f>
        <v>#REF!</v>
      </c>
      <c r="AB766" s="4" t="str">
        <f>IFERROR(__xludf.DUMMYFUNCTION("IFERROR(
  FILTER('CBK Students'!Q:Q, TRIM('CBK Students'!B:B) = TRIM(A766)),
  """"
)"),"#REF!")</f>
        <v>#REF!</v>
      </c>
    </row>
    <row r="767" ht="18.75" customHeight="1">
      <c r="T767" s="240" t="str">
        <f>IFERROR(__xludf.DUMMYFUNCTION("IFERROR(
  FILTER('CBK Students'!F:F, TRIM('CBK Students'!B:B) = TRIM(A767)),
  """"
)"),"#REF!")</f>
        <v>#REF!</v>
      </c>
      <c r="U767" s="240" t="str">
        <f>IFERROR(__xludf.DUMMYFUNCTION("IFERROR(
  FILTER('CBK Students'!H:H, TRIM('CBK Students'!B:B) = TRIM(A767)),
  """"
)"),"#REF!")</f>
        <v>#REF!</v>
      </c>
      <c r="V767" s="240" t="str">
        <f>IFERROR(__xludf.DUMMYFUNCTION("IFERROR(
  FILTER('CBK Students'!M:M, TRIM('CBK Students'!B:B) = TRIM(A767)),
  """"
)"),"#REF!")</f>
        <v>#REF!</v>
      </c>
      <c r="W767" s="240" t="str">
        <f t="shared" si="1"/>
        <v/>
      </c>
      <c r="X767" s="240" t="str">
        <f>IFERROR(__xludf.DUMMYFUNCTION("IFERROR(
  FILTER('CBK Students'!R:R, TRIM('CBK Students'!B:B) = TRIM(A767)),
  """"
)"),"#REF!")</f>
        <v>#REF!</v>
      </c>
      <c r="Y767" s="4" t="str">
        <f t="shared" si="2"/>
        <v/>
      </c>
      <c r="Z767" s="4" t="str">
        <f>IFERROR(__xludf.DUMMYFUNCTION("IFERROR(
  FILTER('CBK Students'!O:O, TRIM('CBK Students'!B:B) = TRIM(A767)),
  """"
)"),"#REF!")</f>
        <v>#REF!</v>
      </c>
      <c r="AA767" s="4" t="str">
        <f>IFERROR(__xludf.DUMMYFUNCTION("IFERROR(
  FILTER('CBK Students'!P:P, TRIM('CBK Students'!B:B) = TRIM(A767)),
  """"
)"),"#REF!")</f>
        <v>#REF!</v>
      </c>
      <c r="AB767" s="4" t="str">
        <f>IFERROR(__xludf.DUMMYFUNCTION("IFERROR(
  FILTER('CBK Students'!Q:Q, TRIM('CBK Students'!B:B) = TRIM(A767)),
  """"
)"),"#REF!")</f>
        <v>#REF!</v>
      </c>
    </row>
    <row r="768" ht="18.75" customHeight="1">
      <c r="T768" s="240" t="str">
        <f>IFERROR(__xludf.DUMMYFUNCTION("IFERROR(
  FILTER('CBK Students'!F:F, TRIM('CBK Students'!B:B) = TRIM(A768)),
  """"
)"),"#REF!")</f>
        <v>#REF!</v>
      </c>
      <c r="U768" s="240" t="str">
        <f>IFERROR(__xludf.DUMMYFUNCTION("IFERROR(
  FILTER('CBK Students'!H:H, TRIM('CBK Students'!B:B) = TRIM(A768)),
  """"
)"),"#REF!")</f>
        <v>#REF!</v>
      </c>
      <c r="V768" s="240" t="str">
        <f>IFERROR(__xludf.DUMMYFUNCTION("IFERROR(
  FILTER('CBK Students'!M:M, TRIM('CBK Students'!B:B) = TRIM(A768)),
  """"
)"),"#REF!")</f>
        <v>#REF!</v>
      </c>
      <c r="W768" s="240" t="str">
        <f t="shared" si="1"/>
        <v/>
      </c>
      <c r="X768" s="240" t="str">
        <f>IFERROR(__xludf.DUMMYFUNCTION("IFERROR(
  FILTER('CBK Students'!R:R, TRIM('CBK Students'!B:B) = TRIM(A768)),
  """"
)"),"#REF!")</f>
        <v>#REF!</v>
      </c>
      <c r="Y768" s="4" t="str">
        <f t="shared" si="2"/>
        <v/>
      </c>
      <c r="Z768" s="4" t="str">
        <f>IFERROR(__xludf.DUMMYFUNCTION("IFERROR(
  FILTER('CBK Students'!O:O, TRIM('CBK Students'!B:B) = TRIM(A768)),
  """"
)"),"#REF!")</f>
        <v>#REF!</v>
      </c>
      <c r="AA768" s="4" t="str">
        <f>IFERROR(__xludf.DUMMYFUNCTION("IFERROR(
  FILTER('CBK Students'!P:P, TRIM('CBK Students'!B:B) = TRIM(A768)),
  """"
)"),"#REF!")</f>
        <v>#REF!</v>
      </c>
      <c r="AB768" s="4" t="str">
        <f>IFERROR(__xludf.DUMMYFUNCTION("IFERROR(
  FILTER('CBK Students'!Q:Q, TRIM('CBK Students'!B:B) = TRIM(A768)),
  """"
)"),"#REF!")</f>
        <v>#REF!</v>
      </c>
    </row>
    <row r="769" ht="18.75" customHeight="1">
      <c r="T769" s="240" t="str">
        <f>IFERROR(__xludf.DUMMYFUNCTION("IFERROR(
  FILTER('CBK Students'!F:F, TRIM('CBK Students'!B:B) = TRIM(A769)),
  """"
)"),"#REF!")</f>
        <v>#REF!</v>
      </c>
      <c r="U769" s="240" t="str">
        <f>IFERROR(__xludf.DUMMYFUNCTION("IFERROR(
  FILTER('CBK Students'!H:H, TRIM('CBK Students'!B:B) = TRIM(A769)),
  """"
)"),"#REF!")</f>
        <v>#REF!</v>
      </c>
      <c r="V769" s="240" t="str">
        <f>IFERROR(__xludf.DUMMYFUNCTION("IFERROR(
  FILTER('CBK Students'!M:M, TRIM('CBK Students'!B:B) = TRIM(A769)),
  """"
)"),"#REF!")</f>
        <v>#REF!</v>
      </c>
      <c r="W769" s="240" t="str">
        <f t="shared" si="1"/>
        <v/>
      </c>
      <c r="X769" s="240" t="str">
        <f>IFERROR(__xludf.DUMMYFUNCTION("IFERROR(
  FILTER('CBK Students'!R:R, TRIM('CBK Students'!B:B) = TRIM(A769)),
  """"
)"),"#REF!")</f>
        <v>#REF!</v>
      </c>
      <c r="Y769" s="4" t="str">
        <f t="shared" si="2"/>
        <v/>
      </c>
      <c r="Z769" s="4" t="str">
        <f>IFERROR(__xludf.DUMMYFUNCTION("IFERROR(
  FILTER('CBK Students'!O:O, TRIM('CBK Students'!B:B) = TRIM(A769)),
  """"
)"),"#REF!")</f>
        <v>#REF!</v>
      </c>
      <c r="AA769" s="4" t="str">
        <f>IFERROR(__xludf.DUMMYFUNCTION("IFERROR(
  FILTER('CBK Students'!P:P, TRIM('CBK Students'!B:B) = TRIM(A769)),
  """"
)"),"#REF!")</f>
        <v>#REF!</v>
      </c>
      <c r="AB769" s="4" t="str">
        <f>IFERROR(__xludf.DUMMYFUNCTION("IFERROR(
  FILTER('CBK Students'!Q:Q, TRIM('CBK Students'!B:B) = TRIM(A769)),
  """"
)"),"#REF!")</f>
        <v>#REF!</v>
      </c>
    </row>
    <row r="770" ht="18.75" customHeight="1">
      <c r="T770" s="240" t="str">
        <f>IFERROR(__xludf.DUMMYFUNCTION("IFERROR(
  FILTER('CBK Students'!F:F, TRIM('CBK Students'!B:B) = TRIM(A770)),
  """"
)"),"#REF!")</f>
        <v>#REF!</v>
      </c>
      <c r="U770" s="240" t="str">
        <f>IFERROR(__xludf.DUMMYFUNCTION("IFERROR(
  FILTER('CBK Students'!H:H, TRIM('CBK Students'!B:B) = TRIM(A770)),
  """"
)"),"#REF!")</f>
        <v>#REF!</v>
      </c>
      <c r="V770" s="240" t="str">
        <f>IFERROR(__xludf.DUMMYFUNCTION("IFERROR(
  FILTER('CBK Students'!M:M, TRIM('CBK Students'!B:B) = TRIM(A770)),
  """"
)"),"#REF!")</f>
        <v>#REF!</v>
      </c>
      <c r="W770" s="240" t="str">
        <f t="shared" si="1"/>
        <v/>
      </c>
      <c r="X770" s="240" t="str">
        <f>IFERROR(__xludf.DUMMYFUNCTION("IFERROR(
  FILTER('CBK Students'!R:R, TRIM('CBK Students'!B:B) = TRIM(A770)),
  """"
)"),"#REF!")</f>
        <v>#REF!</v>
      </c>
      <c r="Y770" s="4" t="str">
        <f t="shared" si="2"/>
        <v/>
      </c>
      <c r="Z770" s="4" t="str">
        <f>IFERROR(__xludf.DUMMYFUNCTION("IFERROR(
  FILTER('CBK Students'!O:O, TRIM('CBK Students'!B:B) = TRIM(A770)),
  """"
)"),"#REF!")</f>
        <v>#REF!</v>
      </c>
      <c r="AA770" s="4" t="str">
        <f>IFERROR(__xludf.DUMMYFUNCTION("IFERROR(
  FILTER('CBK Students'!P:P, TRIM('CBK Students'!B:B) = TRIM(A770)),
  """"
)"),"#REF!")</f>
        <v>#REF!</v>
      </c>
      <c r="AB770" s="4" t="str">
        <f>IFERROR(__xludf.DUMMYFUNCTION("IFERROR(
  FILTER('CBK Students'!Q:Q, TRIM('CBK Students'!B:B) = TRIM(A770)),
  """"
)"),"#REF!")</f>
        <v>#REF!</v>
      </c>
    </row>
    <row r="771" ht="18.75" customHeight="1">
      <c r="T771" s="240" t="str">
        <f>IFERROR(__xludf.DUMMYFUNCTION("IFERROR(
  FILTER('CBK Students'!F:F, TRIM('CBK Students'!B:B) = TRIM(A771)),
  """"
)"),"#REF!")</f>
        <v>#REF!</v>
      </c>
      <c r="U771" s="240" t="str">
        <f>IFERROR(__xludf.DUMMYFUNCTION("IFERROR(
  FILTER('CBK Students'!H:H, TRIM('CBK Students'!B:B) = TRIM(A771)),
  """"
)"),"#REF!")</f>
        <v>#REF!</v>
      </c>
      <c r="V771" s="240" t="str">
        <f>IFERROR(__xludf.DUMMYFUNCTION("IFERROR(
  FILTER('CBK Students'!M:M, TRIM('CBK Students'!B:B) = TRIM(A771)),
  """"
)"),"#REF!")</f>
        <v>#REF!</v>
      </c>
      <c r="W771" s="240" t="str">
        <f t="shared" si="1"/>
        <v/>
      </c>
      <c r="X771" s="240" t="str">
        <f>IFERROR(__xludf.DUMMYFUNCTION("IFERROR(
  FILTER('CBK Students'!R:R, TRIM('CBK Students'!B:B) = TRIM(A771)),
  """"
)"),"#REF!")</f>
        <v>#REF!</v>
      </c>
      <c r="Y771" s="4" t="str">
        <f t="shared" si="2"/>
        <v/>
      </c>
      <c r="Z771" s="4" t="str">
        <f>IFERROR(__xludf.DUMMYFUNCTION("IFERROR(
  FILTER('CBK Students'!O:O, TRIM('CBK Students'!B:B) = TRIM(A771)),
  """"
)"),"#REF!")</f>
        <v>#REF!</v>
      </c>
      <c r="AA771" s="4" t="str">
        <f>IFERROR(__xludf.DUMMYFUNCTION("IFERROR(
  FILTER('CBK Students'!P:P, TRIM('CBK Students'!B:B) = TRIM(A771)),
  """"
)"),"#REF!")</f>
        <v>#REF!</v>
      </c>
      <c r="AB771" s="4" t="str">
        <f>IFERROR(__xludf.DUMMYFUNCTION("IFERROR(
  FILTER('CBK Students'!Q:Q, TRIM('CBK Students'!B:B) = TRIM(A771)),
  """"
)"),"#REF!")</f>
        <v>#REF!</v>
      </c>
    </row>
    <row r="772" ht="18.75" customHeight="1">
      <c r="T772" s="240" t="str">
        <f>IFERROR(__xludf.DUMMYFUNCTION("IFERROR(
  FILTER('CBK Students'!F:F, TRIM('CBK Students'!B:B) = TRIM(A772)),
  """"
)"),"#REF!")</f>
        <v>#REF!</v>
      </c>
      <c r="U772" s="240" t="str">
        <f>IFERROR(__xludf.DUMMYFUNCTION("IFERROR(
  FILTER('CBK Students'!H:H, TRIM('CBK Students'!B:B) = TRIM(A772)),
  """"
)"),"#REF!")</f>
        <v>#REF!</v>
      </c>
      <c r="V772" s="240" t="str">
        <f>IFERROR(__xludf.DUMMYFUNCTION("IFERROR(
  FILTER('CBK Students'!M:M, TRIM('CBK Students'!B:B) = TRIM(A772)),
  """"
)"),"#REF!")</f>
        <v>#REF!</v>
      </c>
      <c r="W772" s="240" t="str">
        <f t="shared" si="1"/>
        <v/>
      </c>
      <c r="X772" s="240" t="str">
        <f>IFERROR(__xludf.DUMMYFUNCTION("IFERROR(
  FILTER('CBK Students'!R:R, TRIM('CBK Students'!B:B) = TRIM(A772)),
  """"
)"),"#REF!")</f>
        <v>#REF!</v>
      </c>
      <c r="Y772" s="4" t="str">
        <f t="shared" si="2"/>
        <v/>
      </c>
      <c r="Z772" s="4" t="str">
        <f>IFERROR(__xludf.DUMMYFUNCTION("IFERROR(
  FILTER('CBK Students'!O:O, TRIM('CBK Students'!B:B) = TRIM(A772)),
  """"
)"),"#REF!")</f>
        <v>#REF!</v>
      </c>
      <c r="AA772" s="4" t="str">
        <f>IFERROR(__xludf.DUMMYFUNCTION("IFERROR(
  FILTER('CBK Students'!P:P, TRIM('CBK Students'!B:B) = TRIM(A772)),
  """"
)"),"#REF!")</f>
        <v>#REF!</v>
      </c>
      <c r="AB772" s="4" t="str">
        <f>IFERROR(__xludf.DUMMYFUNCTION("IFERROR(
  FILTER('CBK Students'!Q:Q, TRIM('CBK Students'!B:B) = TRIM(A772)),
  """"
)"),"#REF!")</f>
        <v>#REF!</v>
      </c>
    </row>
    <row r="773" ht="18.75" customHeight="1">
      <c r="T773" s="240" t="str">
        <f>IFERROR(__xludf.DUMMYFUNCTION("IFERROR(
  FILTER('CBK Students'!F:F, TRIM('CBK Students'!B:B) = TRIM(A773)),
  """"
)"),"#REF!")</f>
        <v>#REF!</v>
      </c>
      <c r="U773" s="240" t="str">
        <f>IFERROR(__xludf.DUMMYFUNCTION("IFERROR(
  FILTER('CBK Students'!H:H, TRIM('CBK Students'!B:B) = TRIM(A773)),
  """"
)"),"#REF!")</f>
        <v>#REF!</v>
      </c>
      <c r="V773" s="240" t="str">
        <f>IFERROR(__xludf.DUMMYFUNCTION("IFERROR(
  FILTER('CBK Students'!M:M, TRIM('CBK Students'!B:B) = TRIM(A773)),
  """"
)"),"#REF!")</f>
        <v>#REF!</v>
      </c>
      <c r="W773" s="240" t="str">
        <f t="shared" si="1"/>
        <v/>
      </c>
      <c r="X773" s="240" t="str">
        <f>IFERROR(__xludf.DUMMYFUNCTION("IFERROR(
  FILTER('CBK Students'!R:R, TRIM('CBK Students'!B:B) = TRIM(A773)),
  """"
)"),"#REF!")</f>
        <v>#REF!</v>
      </c>
      <c r="Y773" s="4" t="str">
        <f t="shared" si="2"/>
        <v/>
      </c>
      <c r="Z773" s="4" t="str">
        <f>IFERROR(__xludf.DUMMYFUNCTION("IFERROR(
  FILTER('CBK Students'!O:O, TRIM('CBK Students'!B:B) = TRIM(A773)),
  """"
)"),"#REF!")</f>
        <v>#REF!</v>
      </c>
      <c r="AA773" s="4" t="str">
        <f>IFERROR(__xludf.DUMMYFUNCTION("IFERROR(
  FILTER('CBK Students'!P:P, TRIM('CBK Students'!B:B) = TRIM(A773)),
  """"
)"),"#REF!")</f>
        <v>#REF!</v>
      </c>
      <c r="AB773" s="4" t="str">
        <f>IFERROR(__xludf.DUMMYFUNCTION("IFERROR(
  FILTER('CBK Students'!Q:Q, TRIM('CBK Students'!B:B) = TRIM(A773)),
  """"
)"),"#REF!")</f>
        <v>#REF!</v>
      </c>
    </row>
    <row r="774" ht="18.75" customHeight="1">
      <c r="T774" s="240" t="str">
        <f>IFERROR(__xludf.DUMMYFUNCTION("IFERROR(
  FILTER('CBK Students'!F:F, TRIM('CBK Students'!B:B) = TRIM(A774)),
  """"
)"),"#REF!")</f>
        <v>#REF!</v>
      </c>
      <c r="U774" s="240" t="str">
        <f>IFERROR(__xludf.DUMMYFUNCTION("IFERROR(
  FILTER('CBK Students'!H:H, TRIM('CBK Students'!B:B) = TRIM(A774)),
  """"
)"),"#REF!")</f>
        <v>#REF!</v>
      </c>
      <c r="V774" s="240" t="str">
        <f>IFERROR(__xludf.DUMMYFUNCTION("IFERROR(
  FILTER('CBK Students'!M:M, TRIM('CBK Students'!B:B) = TRIM(A774)),
  """"
)"),"#REF!")</f>
        <v>#REF!</v>
      </c>
      <c r="W774" s="240" t="str">
        <f t="shared" si="1"/>
        <v/>
      </c>
      <c r="X774" s="240" t="str">
        <f>IFERROR(__xludf.DUMMYFUNCTION("IFERROR(
  FILTER('CBK Students'!R:R, TRIM('CBK Students'!B:B) = TRIM(A774)),
  """"
)"),"#REF!")</f>
        <v>#REF!</v>
      </c>
      <c r="Y774" s="4" t="str">
        <f t="shared" si="2"/>
        <v/>
      </c>
      <c r="Z774" s="4" t="str">
        <f>IFERROR(__xludf.DUMMYFUNCTION("IFERROR(
  FILTER('CBK Students'!O:O, TRIM('CBK Students'!B:B) = TRIM(A774)),
  """"
)"),"#REF!")</f>
        <v>#REF!</v>
      </c>
      <c r="AA774" s="4" t="str">
        <f>IFERROR(__xludf.DUMMYFUNCTION("IFERROR(
  FILTER('CBK Students'!P:P, TRIM('CBK Students'!B:B) = TRIM(A774)),
  """"
)"),"#REF!")</f>
        <v>#REF!</v>
      </c>
      <c r="AB774" s="4" t="str">
        <f>IFERROR(__xludf.DUMMYFUNCTION("IFERROR(
  FILTER('CBK Students'!Q:Q, TRIM('CBK Students'!B:B) = TRIM(A774)),
  """"
)"),"#REF!")</f>
        <v>#REF!</v>
      </c>
    </row>
    <row r="775" ht="18.75" customHeight="1">
      <c r="T775" s="240" t="str">
        <f>IFERROR(__xludf.DUMMYFUNCTION("IFERROR(
  FILTER('CBK Students'!F:F, TRIM('CBK Students'!B:B) = TRIM(A775)),
  """"
)"),"#REF!")</f>
        <v>#REF!</v>
      </c>
      <c r="U775" s="240" t="str">
        <f>IFERROR(__xludf.DUMMYFUNCTION("IFERROR(
  FILTER('CBK Students'!H:H, TRIM('CBK Students'!B:B) = TRIM(A775)),
  """"
)"),"#REF!")</f>
        <v>#REF!</v>
      </c>
      <c r="V775" s="240" t="str">
        <f>IFERROR(__xludf.DUMMYFUNCTION("IFERROR(
  FILTER('CBK Students'!M:M, TRIM('CBK Students'!B:B) = TRIM(A775)),
  """"
)"),"#REF!")</f>
        <v>#REF!</v>
      </c>
      <c r="W775" s="240" t="str">
        <f t="shared" si="1"/>
        <v/>
      </c>
      <c r="X775" s="240" t="str">
        <f>IFERROR(__xludf.DUMMYFUNCTION("IFERROR(
  FILTER('CBK Students'!R:R, TRIM('CBK Students'!B:B) = TRIM(A775)),
  """"
)"),"#REF!")</f>
        <v>#REF!</v>
      </c>
      <c r="Y775" s="4" t="str">
        <f t="shared" si="2"/>
        <v/>
      </c>
      <c r="Z775" s="4" t="str">
        <f>IFERROR(__xludf.DUMMYFUNCTION("IFERROR(
  FILTER('CBK Students'!O:O, TRIM('CBK Students'!B:B) = TRIM(A775)),
  """"
)"),"#REF!")</f>
        <v>#REF!</v>
      </c>
      <c r="AA775" s="4" t="str">
        <f>IFERROR(__xludf.DUMMYFUNCTION("IFERROR(
  FILTER('CBK Students'!P:P, TRIM('CBK Students'!B:B) = TRIM(A775)),
  """"
)"),"#REF!")</f>
        <v>#REF!</v>
      </c>
      <c r="AB775" s="4" t="str">
        <f>IFERROR(__xludf.DUMMYFUNCTION("IFERROR(
  FILTER('CBK Students'!Q:Q, TRIM('CBK Students'!B:B) = TRIM(A775)),
  """"
)"),"#REF!")</f>
        <v>#REF!</v>
      </c>
    </row>
    <row r="776" ht="18.75" customHeight="1">
      <c r="T776" s="240" t="str">
        <f>IFERROR(__xludf.DUMMYFUNCTION("IFERROR(
  FILTER('CBK Students'!F:F, TRIM('CBK Students'!B:B) = TRIM(A776)),
  """"
)"),"#REF!")</f>
        <v>#REF!</v>
      </c>
      <c r="U776" s="240" t="str">
        <f>IFERROR(__xludf.DUMMYFUNCTION("IFERROR(
  FILTER('CBK Students'!H:H, TRIM('CBK Students'!B:B) = TRIM(A776)),
  """"
)"),"#REF!")</f>
        <v>#REF!</v>
      </c>
      <c r="V776" s="240" t="str">
        <f>IFERROR(__xludf.DUMMYFUNCTION("IFERROR(
  FILTER('CBK Students'!M:M, TRIM('CBK Students'!B:B) = TRIM(A776)),
  """"
)"),"#REF!")</f>
        <v>#REF!</v>
      </c>
      <c r="W776" s="240" t="str">
        <f t="shared" si="1"/>
        <v/>
      </c>
      <c r="X776" s="240" t="str">
        <f>IFERROR(__xludf.DUMMYFUNCTION("IFERROR(
  FILTER('CBK Students'!R:R, TRIM('CBK Students'!B:B) = TRIM(A776)),
  """"
)"),"#REF!")</f>
        <v>#REF!</v>
      </c>
      <c r="Y776" s="4" t="str">
        <f t="shared" si="2"/>
        <v/>
      </c>
      <c r="Z776" s="4" t="str">
        <f>IFERROR(__xludf.DUMMYFUNCTION("IFERROR(
  FILTER('CBK Students'!O:O, TRIM('CBK Students'!B:B) = TRIM(A776)),
  """"
)"),"#REF!")</f>
        <v>#REF!</v>
      </c>
      <c r="AA776" s="4" t="str">
        <f>IFERROR(__xludf.DUMMYFUNCTION("IFERROR(
  FILTER('CBK Students'!P:P, TRIM('CBK Students'!B:B) = TRIM(A776)),
  """"
)"),"#REF!")</f>
        <v>#REF!</v>
      </c>
      <c r="AB776" s="4" t="str">
        <f>IFERROR(__xludf.DUMMYFUNCTION("IFERROR(
  FILTER('CBK Students'!Q:Q, TRIM('CBK Students'!B:B) = TRIM(A776)),
  """"
)"),"#REF!")</f>
        <v>#REF!</v>
      </c>
    </row>
    <row r="777" ht="18.75" customHeight="1">
      <c r="T777" s="240" t="str">
        <f>IFERROR(__xludf.DUMMYFUNCTION("IFERROR(
  FILTER('CBK Students'!F:F, TRIM('CBK Students'!B:B) = TRIM(A777)),
  """"
)"),"#REF!")</f>
        <v>#REF!</v>
      </c>
      <c r="U777" s="240" t="str">
        <f>IFERROR(__xludf.DUMMYFUNCTION("IFERROR(
  FILTER('CBK Students'!H:H, TRIM('CBK Students'!B:B) = TRIM(A777)),
  """"
)"),"#REF!")</f>
        <v>#REF!</v>
      </c>
      <c r="V777" s="240" t="str">
        <f>IFERROR(__xludf.DUMMYFUNCTION("IFERROR(
  FILTER('CBK Students'!M:M, TRIM('CBK Students'!B:B) = TRIM(A777)),
  """"
)"),"#REF!")</f>
        <v>#REF!</v>
      </c>
      <c r="W777" s="240" t="str">
        <f t="shared" si="1"/>
        <v/>
      </c>
      <c r="X777" s="240" t="str">
        <f>IFERROR(__xludf.DUMMYFUNCTION("IFERROR(
  FILTER('CBK Students'!R:R, TRIM('CBK Students'!B:B) = TRIM(A777)),
  """"
)"),"#REF!")</f>
        <v>#REF!</v>
      </c>
      <c r="Y777" s="4" t="str">
        <f t="shared" si="2"/>
        <v/>
      </c>
      <c r="Z777" s="4" t="str">
        <f>IFERROR(__xludf.DUMMYFUNCTION("IFERROR(
  FILTER('CBK Students'!O:O, TRIM('CBK Students'!B:B) = TRIM(A777)),
  """"
)"),"#REF!")</f>
        <v>#REF!</v>
      </c>
      <c r="AA777" s="4" t="str">
        <f>IFERROR(__xludf.DUMMYFUNCTION("IFERROR(
  FILTER('CBK Students'!P:P, TRIM('CBK Students'!B:B) = TRIM(A777)),
  """"
)"),"#REF!")</f>
        <v>#REF!</v>
      </c>
      <c r="AB777" s="4" t="str">
        <f>IFERROR(__xludf.DUMMYFUNCTION("IFERROR(
  FILTER('CBK Students'!Q:Q, TRIM('CBK Students'!B:B) = TRIM(A777)),
  """"
)"),"#REF!")</f>
        <v>#REF!</v>
      </c>
    </row>
    <row r="778" ht="18.75" customHeight="1">
      <c r="T778" s="240" t="str">
        <f>IFERROR(__xludf.DUMMYFUNCTION("IFERROR(
  FILTER('CBK Students'!F:F, TRIM('CBK Students'!B:B) = TRIM(A778)),
  """"
)"),"#REF!")</f>
        <v>#REF!</v>
      </c>
      <c r="U778" s="240" t="str">
        <f>IFERROR(__xludf.DUMMYFUNCTION("IFERROR(
  FILTER('CBK Students'!H:H, TRIM('CBK Students'!B:B) = TRIM(A778)),
  """"
)"),"#REF!")</f>
        <v>#REF!</v>
      </c>
      <c r="V778" s="240" t="str">
        <f>IFERROR(__xludf.DUMMYFUNCTION("IFERROR(
  FILTER('CBK Students'!M:M, TRIM('CBK Students'!B:B) = TRIM(A778)),
  """"
)"),"#REF!")</f>
        <v>#REF!</v>
      </c>
      <c r="W778" s="240" t="str">
        <f t="shared" si="1"/>
        <v/>
      </c>
      <c r="X778" s="240" t="str">
        <f>IFERROR(__xludf.DUMMYFUNCTION("IFERROR(
  FILTER('CBK Students'!R:R, TRIM('CBK Students'!B:B) = TRIM(A778)),
  """"
)"),"#REF!")</f>
        <v>#REF!</v>
      </c>
      <c r="Y778" s="4" t="str">
        <f t="shared" si="2"/>
        <v/>
      </c>
      <c r="Z778" s="4" t="str">
        <f>IFERROR(__xludf.DUMMYFUNCTION("IFERROR(
  FILTER('CBK Students'!O:O, TRIM('CBK Students'!B:B) = TRIM(A778)),
  """"
)"),"#REF!")</f>
        <v>#REF!</v>
      </c>
      <c r="AA778" s="4" t="str">
        <f>IFERROR(__xludf.DUMMYFUNCTION("IFERROR(
  FILTER('CBK Students'!P:P, TRIM('CBK Students'!B:B) = TRIM(A778)),
  """"
)"),"#REF!")</f>
        <v>#REF!</v>
      </c>
      <c r="AB778" s="4" t="str">
        <f>IFERROR(__xludf.DUMMYFUNCTION("IFERROR(
  FILTER('CBK Students'!Q:Q, TRIM('CBK Students'!B:B) = TRIM(A778)),
  """"
)"),"#REF!")</f>
        <v>#REF!</v>
      </c>
    </row>
    <row r="779" ht="18.75" customHeight="1">
      <c r="T779" s="240" t="str">
        <f>IFERROR(__xludf.DUMMYFUNCTION("IFERROR(
  FILTER('CBK Students'!F:F, TRIM('CBK Students'!B:B) = TRIM(A779)),
  """"
)"),"#REF!")</f>
        <v>#REF!</v>
      </c>
      <c r="U779" s="240" t="str">
        <f>IFERROR(__xludf.DUMMYFUNCTION("IFERROR(
  FILTER('CBK Students'!H:H, TRIM('CBK Students'!B:B) = TRIM(A779)),
  """"
)"),"#REF!")</f>
        <v>#REF!</v>
      </c>
      <c r="V779" s="240" t="str">
        <f>IFERROR(__xludf.DUMMYFUNCTION("IFERROR(
  FILTER('CBK Students'!M:M, TRIM('CBK Students'!B:B) = TRIM(A779)),
  """"
)"),"#REF!")</f>
        <v>#REF!</v>
      </c>
      <c r="W779" s="240" t="str">
        <f t="shared" si="1"/>
        <v/>
      </c>
      <c r="X779" s="240" t="str">
        <f>IFERROR(__xludf.DUMMYFUNCTION("IFERROR(
  FILTER('CBK Students'!R:R, TRIM('CBK Students'!B:B) = TRIM(A779)),
  """"
)"),"#REF!")</f>
        <v>#REF!</v>
      </c>
      <c r="Y779" s="4" t="str">
        <f t="shared" si="2"/>
        <v/>
      </c>
      <c r="Z779" s="4" t="str">
        <f>IFERROR(__xludf.DUMMYFUNCTION("IFERROR(
  FILTER('CBK Students'!O:O, TRIM('CBK Students'!B:B) = TRIM(A779)),
  """"
)"),"#REF!")</f>
        <v>#REF!</v>
      </c>
      <c r="AA779" s="4" t="str">
        <f>IFERROR(__xludf.DUMMYFUNCTION("IFERROR(
  FILTER('CBK Students'!P:P, TRIM('CBK Students'!B:B) = TRIM(A779)),
  """"
)"),"#REF!")</f>
        <v>#REF!</v>
      </c>
      <c r="AB779" s="4" t="str">
        <f>IFERROR(__xludf.DUMMYFUNCTION("IFERROR(
  FILTER('CBK Students'!Q:Q, TRIM('CBK Students'!B:B) = TRIM(A779)),
  """"
)"),"#REF!")</f>
        <v>#REF!</v>
      </c>
    </row>
    <row r="780" ht="18.75" customHeight="1">
      <c r="T780" s="240" t="str">
        <f>IFERROR(__xludf.DUMMYFUNCTION("IFERROR(
  FILTER('CBK Students'!F:F, TRIM('CBK Students'!B:B) = TRIM(A780)),
  """"
)"),"#REF!")</f>
        <v>#REF!</v>
      </c>
      <c r="U780" s="240" t="str">
        <f>IFERROR(__xludf.DUMMYFUNCTION("IFERROR(
  FILTER('CBK Students'!H:H, TRIM('CBK Students'!B:B) = TRIM(A780)),
  """"
)"),"#REF!")</f>
        <v>#REF!</v>
      </c>
      <c r="V780" s="240" t="str">
        <f>IFERROR(__xludf.DUMMYFUNCTION("IFERROR(
  FILTER('CBK Students'!M:M, TRIM('CBK Students'!B:B) = TRIM(A780)),
  """"
)"),"#REF!")</f>
        <v>#REF!</v>
      </c>
      <c r="W780" s="240" t="str">
        <f t="shared" si="1"/>
        <v/>
      </c>
      <c r="X780" s="240" t="str">
        <f>IFERROR(__xludf.DUMMYFUNCTION("IFERROR(
  FILTER('CBK Students'!R:R, TRIM('CBK Students'!B:B) = TRIM(A780)),
  """"
)"),"#REF!")</f>
        <v>#REF!</v>
      </c>
      <c r="Y780" s="4" t="str">
        <f t="shared" si="2"/>
        <v/>
      </c>
      <c r="Z780" s="4" t="str">
        <f>IFERROR(__xludf.DUMMYFUNCTION("IFERROR(
  FILTER('CBK Students'!O:O, TRIM('CBK Students'!B:B) = TRIM(A780)),
  """"
)"),"#REF!")</f>
        <v>#REF!</v>
      </c>
      <c r="AA780" s="4" t="str">
        <f>IFERROR(__xludf.DUMMYFUNCTION("IFERROR(
  FILTER('CBK Students'!P:P, TRIM('CBK Students'!B:B) = TRIM(A780)),
  """"
)"),"#REF!")</f>
        <v>#REF!</v>
      </c>
      <c r="AB780" s="4" t="str">
        <f>IFERROR(__xludf.DUMMYFUNCTION("IFERROR(
  FILTER('CBK Students'!Q:Q, TRIM('CBK Students'!B:B) = TRIM(A780)),
  """"
)"),"#REF!")</f>
        <v>#REF!</v>
      </c>
    </row>
    <row r="781" ht="18.75" customHeight="1">
      <c r="T781" s="240" t="str">
        <f>IFERROR(__xludf.DUMMYFUNCTION("IFERROR(
  FILTER('CBK Students'!F:F, TRIM('CBK Students'!B:B) = TRIM(A781)),
  """"
)"),"#REF!")</f>
        <v>#REF!</v>
      </c>
      <c r="U781" s="240" t="str">
        <f>IFERROR(__xludf.DUMMYFUNCTION("IFERROR(
  FILTER('CBK Students'!H:H, TRIM('CBK Students'!B:B) = TRIM(A781)),
  """"
)"),"#REF!")</f>
        <v>#REF!</v>
      </c>
      <c r="V781" s="240" t="str">
        <f>IFERROR(__xludf.DUMMYFUNCTION("IFERROR(
  FILTER('CBK Students'!M:M, TRIM('CBK Students'!B:B) = TRIM(A781)),
  """"
)"),"#REF!")</f>
        <v>#REF!</v>
      </c>
      <c r="W781" s="240" t="str">
        <f t="shared" si="1"/>
        <v/>
      </c>
      <c r="X781" s="240" t="str">
        <f>IFERROR(__xludf.DUMMYFUNCTION("IFERROR(
  FILTER('CBK Students'!R:R, TRIM('CBK Students'!B:B) = TRIM(A781)),
  """"
)"),"#REF!")</f>
        <v>#REF!</v>
      </c>
      <c r="Y781" s="4" t="str">
        <f t="shared" si="2"/>
        <v/>
      </c>
      <c r="Z781" s="4" t="str">
        <f>IFERROR(__xludf.DUMMYFUNCTION("IFERROR(
  FILTER('CBK Students'!O:O, TRIM('CBK Students'!B:B) = TRIM(A781)),
  """"
)"),"#REF!")</f>
        <v>#REF!</v>
      </c>
      <c r="AA781" s="4" t="str">
        <f>IFERROR(__xludf.DUMMYFUNCTION("IFERROR(
  FILTER('CBK Students'!P:P, TRIM('CBK Students'!B:B) = TRIM(A781)),
  """"
)"),"#REF!")</f>
        <v>#REF!</v>
      </c>
      <c r="AB781" s="4" t="str">
        <f>IFERROR(__xludf.DUMMYFUNCTION("IFERROR(
  FILTER('CBK Students'!Q:Q, TRIM('CBK Students'!B:B) = TRIM(A781)),
  """"
)"),"#REF!")</f>
        <v>#REF!</v>
      </c>
    </row>
    <row r="782" ht="18.75" customHeight="1">
      <c r="T782" s="240" t="str">
        <f>IFERROR(__xludf.DUMMYFUNCTION("IFERROR(
  FILTER('CBK Students'!F:F, TRIM('CBK Students'!B:B) = TRIM(A782)),
  """"
)"),"#REF!")</f>
        <v>#REF!</v>
      </c>
      <c r="U782" s="240" t="str">
        <f>IFERROR(__xludf.DUMMYFUNCTION("IFERROR(
  FILTER('CBK Students'!H:H, TRIM('CBK Students'!B:B) = TRIM(A782)),
  """"
)"),"#REF!")</f>
        <v>#REF!</v>
      </c>
      <c r="V782" s="240" t="str">
        <f>IFERROR(__xludf.DUMMYFUNCTION("IFERROR(
  FILTER('CBK Students'!M:M, TRIM('CBK Students'!B:B) = TRIM(A782)),
  """"
)"),"#REF!")</f>
        <v>#REF!</v>
      </c>
      <c r="W782" s="240" t="str">
        <f t="shared" si="1"/>
        <v/>
      </c>
      <c r="X782" s="240" t="str">
        <f>IFERROR(__xludf.DUMMYFUNCTION("IFERROR(
  FILTER('CBK Students'!R:R, TRIM('CBK Students'!B:B) = TRIM(A782)),
  """"
)"),"#REF!")</f>
        <v>#REF!</v>
      </c>
      <c r="Y782" s="4" t="str">
        <f t="shared" si="2"/>
        <v/>
      </c>
      <c r="Z782" s="4" t="str">
        <f>IFERROR(__xludf.DUMMYFUNCTION("IFERROR(
  FILTER('CBK Students'!O:O, TRIM('CBK Students'!B:B) = TRIM(A782)),
  """"
)"),"#REF!")</f>
        <v>#REF!</v>
      </c>
      <c r="AA782" s="4" t="str">
        <f>IFERROR(__xludf.DUMMYFUNCTION("IFERROR(
  FILTER('CBK Students'!P:P, TRIM('CBK Students'!B:B) = TRIM(A782)),
  """"
)"),"#REF!")</f>
        <v>#REF!</v>
      </c>
      <c r="AB782" s="4" t="str">
        <f>IFERROR(__xludf.DUMMYFUNCTION("IFERROR(
  FILTER('CBK Students'!Q:Q, TRIM('CBK Students'!B:B) = TRIM(A782)),
  """"
)"),"#REF!")</f>
        <v>#REF!</v>
      </c>
    </row>
    <row r="783" ht="18.75" customHeight="1">
      <c r="T783" s="240" t="str">
        <f>IFERROR(__xludf.DUMMYFUNCTION("IFERROR(
  FILTER('CBK Students'!F:F, TRIM('CBK Students'!B:B) = TRIM(A783)),
  """"
)"),"#REF!")</f>
        <v>#REF!</v>
      </c>
      <c r="U783" s="240" t="str">
        <f>IFERROR(__xludf.DUMMYFUNCTION("IFERROR(
  FILTER('CBK Students'!H:H, TRIM('CBK Students'!B:B) = TRIM(A783)),
  """"
)"),"#REF!")</f>
        <v>#REF!</v>
      </c>
      <c r="V783" s="240" t="str">
        <f>IFERROR(__xludf.DUMMYFUNCTION("IFERROR(
  FILTER('CBK Students'!M:M, TRIM('CBK Students'!B:B) = TRIM(A783)),
  """"
)"),"#REF!")</f>
        <v>#REF!</v>
      </c>
      <c r="W783" s="240" t="str">
        <f t="shared" si="1"/>
        <v/>
      </c>
      <c r="X783" s="240" t="str">
        <f>IFERROR(__xludf.DUMMYFUNCTION("IFERROR(
  FILTER('CBK Students'!R:R, TRIM('CBK Students'!B:B) = TRIM(A783)),
  """"
)"),"#REF!")</f>
        <v>#REF!</v>
      </c>
      <c r="Y783" s="4" t="str">
        <f t="shared" si="2"/>
        <v/>
      </c>
      <c r="Z783" s="4" t="str">
        <f>IFERROR(__xludf.DUMMYFUNCTION("IFERROR(
  FILTER('CBK Students'!O:O, TRIM('CBK Students'!B:B) = TRIM(A783)),
  """"
)"),"#REF!")</f>
        <v>#REF!</v>
      </c>
      <c r="AA783" s="4" t="str">
        <f>IFERROR(__xludf.DUMMYFUNCTION("IFERROR(
  FILTER('CBK Students'!P:P, TRIM('CBK Students'!B:B) = TRIM(A783)),
  """"
)"),"#REF!")</f>
        <v>#REF!</v>
      </c>
      <c r="AB783" s="4" t="str">
        <f>IFERROR(__xludf.DUMMYFUNCTION("IFERROR(
  FILTER('CBK Students'!Q:Q, TRIM('CBK Students'!B:B) = TRIM(A783)),
  """"
)"),"#REF!")</f>
        <v>#REF!</v>
      </c>
    </row>
    <row r="784" ht="18.75" customHeight="1">
      <c r="T784" s="240" t="str">
        <f>IFERROR(__xludf.DUMMYFUNCTION("IFERROR(
  FILTER('CBK Students'!F:F, TRIM('CBK Students'!B:B) = TRIM(A784)),
  """"
)"),"#REF!")</f>
        <v>#REF!</v>
      </c>
      <c r="U784" s="240" t="str">
        <f>IFERROR(__xludf.DUMMYFUNCTION("IFERROR(
  FILTER('CBK Students'!H:H, TRIM('CBK Students'!B:B) = TRIM(A784)),
  """"
)"),"#REF!")</f>
        <v>#REF!</v>
      </c>
      <c r="V784" s="240" t="str">
        <f>IFERROR(__xludf.DUMMYFUNCTION("IFERROR(
  FILTER('CBK Students'!M:M, TRIM('CBK Students'!B:B) = TRIM(A784)),
  """"
)"),"#REF!")</f>
        <v>#REF!</v>
      </c>
      <c r="W784" s="240" t="str">
        <f t="shared" si="1"/>
        <v/>
      </c>
      <c r="X784" s="240" t="str">
        <f>IFERROR(__xludf.DUMMYFUNCTION("IFERROR(
  FILTER('CBK Students'!R:R, TRIM('CBK Students'!B:B) = TRIM(A784)),
  """"
)"),"#REF!")</f>
        <v>#REF!</v>
      </c>
      <c r="Y784" s="4" t="str">
        <f t="shared" si="2"/>
        <v/>
      </c>
      <c r="Z784" s="4" t="str">
        <f>IFERROR(__xludf.DUMMYFUNCTION("IFERROR(
  FILTER('CBK Students'!O:O, TRIM('CBK Students'!B:B) = TRIM(A784)),
  """"
)"),"#REF!")</f>
        <v>#REF!</v>
      </c>
      <c r="AA784" s="4" t="str">
        <f>IFERROR(__xludf.DUMMYFUNCTION("IFERROR(
  FILTER('CBK Students'!P:P, TRIM('CBK Students'!B:B) = TRIM(A784)),
  """"
)"),"#REF!")</f>
        <v>#REF!</v>
      </c>
      <c r="AB784" s="4" t="str">
        <f>IFERROR(__xludf.DUMMYFUNCTION("IFERROR(
  FILTER('CBK Students'!Q:Q, TRIM('CBK Students'!B:B) = TRIM(A784)),
  """"
)"),"#REF!")</f>
        <v>#REF!</v>
      </c>
    </row>
    <row r="785" ht="18.75" customHeight="1">
      <c r="T785" s="240" t="str">
        <f>IFERROR(__xludf.DUMMYFUNCTION("IFERROR(
  FILTER('CBK Students'!F:F, TRIM('CBK Students'!B:B) = TRIM(A785)),
  """"
)"),"#REF!")</f>
        <v>#REF!</v>
      </c>
      <c r="U785" s="240" t="str">
        <f>IFERROR(__xludf.DUMMYFUNCTION("IFERROR(
  FILTER('CBK Students'!H:H, TRIM('CBK Students'!B:B) = TRIM(A785)),
  """"
)"),"#REF!")</f>
        <v>#REF!</v>
      </c>
      <c r="V785" s="240" t="str">
        <f>IFERROR(__xludf.DUMMYFUNCTION("IFERROR(
  FILTER('CBK Students'!M:M, TRIM('CBK Students'!B:B) = TRIM(A785)),
  """"
)"),"#REF!")</f>
        <v>#REF!</v>
      </c>
      <c r="W785" s="240" t="str">
        <f t="shared" si="1"/>
        <v/>
      </c>
      <c r="X785" s="240" t="str">
        <f>IFERROR(__xludf.DUMMYFUNCTION("IFERROR(
  FILTER('CBK Students'!R:R, TRIM('CBK Students'!B:B) = TRIM(A785)),
  """"
)"),"#REF!")</f>
        <v>#REF!</v>
      </c>
      <c r="Y785" s="4" t="str">
        <f t="shared" si="2"/>
        <v/>
      </c>
      <c r="Z785" s="4" t="str">
        <f>IFERROR(__xludf.DUMMYFUNCTION("IFERROR(
  FILTER('CBK Students'!O:O, TRIM('CBK Students'!B:B) = TRIM(A785)),
  """"
)"),"#REF!")</f>
        <v>#REF!</v>
      </c>
      <c r="AA785" s="4" t="str">
        <f>IFERROR(__xludf.DUMMYFUNCTION("IFERROR(
  FILTER('CBK Students'!P:P, TRIM('CBK Students'!B:B) = TRIM(A785)),
  """"
)"),"#REF!")</f>
        <v>#REF!</v>
      </c>
      <c r="AB785" s="4" t="str">
        <f>IFERROR(__xludf.DUMMYFUNCTION("IFERROR(
  FILTER('CBK Students'!Q:Q, TRIM('CBK Students'!B:B) = TRIM(A785)),
  """"
)"),"#REF!")</f>
        <v>#REF!</v>
      </c>
    </row>
    <row r="786" ht="18.75" customHeight="1">
      <c r="T786" s="240" t="str">
        <f>IFERROR(__xludf.DUMMYFUNCTION("IFERROR(
  FILTER('CBK Students'!F:F, TRIM('CBK Students'!B:B) = TRIM(A786)),
  """"
)"),"#REF!")</f>
        <v>#REF!</v>
      </c>
      <c r="U786" s="240" t="str">
        <f>IFERROR(__xludf.DUMMYFUNCTION("IFERROR(
  FILTER('CBK Students'!H:H, TRIM('CBK Students'!B:B) = TRIM(A786)),
  """"
)"),"#REF!")</f>
        <v>#REF!</v>
      </c>
      <c r="V786" s="240" t="str">
        <f>IFERROR(__xludf.DUMMYFUNCTION("IFERROR(
  FILTER('CBK Students'!M:M, TRIM('CBK Students'!B:B) = TRIM(A786)),
  """"
)"),"#REF!")</f>
        <v>#REF!</v>
      </c>
      <c r="W786" s="240" t="str">
        <f t="shared" si="1"/>
        <v/>
      </c>
      <c r="X786" s="240" t="str">
        <f>IFERROR(__xludf.DUMMYFUNCTION("IFERROR(
  FILTER('CBK Students'!R:R, TRIM('CBK Students'!B:B) = TRIM(A786)),
  """"
)"),"#REF!")</f>
        <v>#REF!</v>
      </c>
      <c r="Y786" s="4" t="str">
        <f t="shared" si="2"/>
        <v/>
      </c>
      <c r="Z786" s="4" t="str">
        <f>IFERROR(__xludf.DUMMYFUNCTION("IFERROR(
  FILTER('CBK Students'!O:O, TRIM('CBK Students'!B:B) = TRIM(A786)),
  """"
)"),"#REF!")</f>
        <v>#REF!</v>
      </c>
      <c r="AA786" s="4" t="str">
        <f>IFERROR(__xludf.DUMMYFUNCTION("IFERROR(
  FILTER('CBK Students'!P:P, TRIM('CBK Students'!B:B) = TRIM(A786)),
  """"
)"),"#REF!")</f>
        <v>#REF!</v>
      </c>
      <c r="AB786" s="4" t="str">
        <f>IFERROR(__xludf.DUMMYFUNCTION("IFERROR(
  FILTER('CBK Students'!Q:Q, TRIM('CBK Students'!B:B) = TRIM(A786)),
  """"
)"),"#REF!")</f>
        <v>#REF!</v>
      </c>
    </row>
    <row r="787" ht="18.75" customHeight="1">
      <c r="T787" s="240" t="str">
        <f>IFERROR(__xludf.DUMMYFUNCTION("IFERROR(
  FILTER('CBK Students'!F:F, TRIM('CBK Students'!B:B) = TRIM(A787)),
  """"
)"),"#REF!")</f>
        <v>#REF!</v>
      </c>
      <c r="U787" s="240" t="str">
        <f>IFERROR(__xludf.DUMMYFUNCTION("IFERROR(
  FILTER('CBK Students'!H:H, TRIM('CBK Students'!B:B) = TRIM(A787)),
  """"
)"),"#REF!")</f>
        <v>#REF!</v>
      </c>
      <c r="V787" s="240" t="str">
        <f>IFERROR(__xludf.DUMMYFUNCTION("IFERROR(
  FILTER('CBK Students'!M:M, TRIM('CBK Students'!B:B) = TRIM(A787)),
  """"
)"),"#REF!")</f>
        <v>#REF!</v>
      </c>
      <c r="W787" s="240" t="str">
        <f t="shared" si="1"/>
        <v/>
      </c>
      <c r="X787" s="240" t="str">
        <f>IFERROR(__xludf.DUMMYFUNCTION("IFERROR(
  FILTER('CBK Students'!R:R, TRIM('CBK Students'!B:B) = TRIM(A787)),
  """"
)"),"#REF!")</f>
        <v>#REF!</v>
      </c>
      <c r="Y787" s="4" t="str">
        <f t="shared" si="2"/>
        <v/>
      </c>
      <c r="Z787" s="4" t="str">
        <f>IFERROR(__xludf.DUMMYFUNCTION("IFERROR(
  FILTER('CBK Students'!O:O, TRIM('CBK Students'!B:B) = TRIM(A787)),
  """"
)"),"#REF!")</f>
        <v>#REF!</v>
      </c>
      <c r="AA787" s="4" t="str">
        <f>IFERROR(__xludf.DUMMYFUNCTION("IFERROR(
  FILTER('CBK Students'!P:P, TRIM('CBK Students'!B:B) = TRIM(A787)),
  """"
)"),"#REF!")</f>
        <v>#REF!</v>
      </c>
      <c r="AB787" s="4" t="str">
        <f>IFERROR(__xludf.DUMMYFUNCTION("IFERROR(
  FILTER('CBK Students'!Q:Q, TRIM('CBK Students'!B:B) = TRIM(A787)),
  """"
)"),"#REF!")</f>
        <v>#REF!</v>
      </c>
    </row>
    <row r="788" ht="18.75" customHeight="1">
      <c r="T788" s="240" t="str">
        <f>IFERROR(__xludf.DUMMYFUNCTION("IFERROR(
  FILTER('CBK Students'!F:F, TRIM('CBK Students'!B:B) = TRIM(A788)),
  """"
)"),"#REF!")</f>
        <v>#REF!</v>
      </c>
      <c r="U788" s="240" t="str">
        <f>IFERROR(__xludf.DUMMYFUNCTION("IFERROR(
  FILTER('CBK Students'!H:H, TRIM('CBK Students'!B:B) = TRIM(A788)),
  """"
)"),"#REF!")</f>
        <v>#REF!</v>
      </c>
      <c r="V788" s="240" t="str">
        <f>IFERROR(__xludf.DUMMYFUNCTION("IFERROR(
  FILTER('CBK Students'!M:M, TRIM('CBK Students'!B:B) = TRIM(A788)),
  """"
)"),"#REF!")</f>
        <v>#REF!</v>
      </c>
      <c r="W788" s="240" t="str">
        <f t="shared" si="1"/>
        <v/>
      </c>
      <c r="X788" s="240" t="str">
        <f>IFERROR(__xludf.DUMMYFUNCTION("IFERROR(
  FILTER('CBK Students'!R:R, TRIM('CBK Students'!B:B) = TRIM(A788)),
  """"
)"),"#REF!")</f>
        <v>#REF!</v>
      </c>
      <c r="Y788" s="4" t="str">
        <f t="shared" si="2"/>
        <v/>
      </c>
      <c r="Z788" s="4" t="str">
        <f>IFERROR(__xludf.DUMMYFUNCTION("IFERROR(
  FILTER('CBK Students'!O:O, TRIM('CBK Students'!B:B) = TRIM(A788)),
  """"
)"),"#REF!")</f>
        <v>#REF!</v>
      </c>
      <c r="AA788" s="4" t="str">
        <f>IFERROR(__xludf.DUMMYFUNCTION("IFERROR(
  FILTER('CBK Students'!P:P, TRIM('CBK Students'!B:B) = TRIM(A788)),
  """"
)"),"#REF!")</f>
        <v>#REF!</v>
      </c>
      <c r="AB788" s="4" t="str">
        <f>IFERROR(__xludf.DUMMYFUNCTION("IFERROR(
  FILTER('CBK Students'!Q:Q, TRIM('CBK Students'!B:B) = TRIM(A788)),
  """"
)"),"#REF!")</f>
        <v>#REF!</v>
      </c>
    </row>
    <row r="789" ht="18.75" customHeight="1">
      <c r="T789" s="240" t="str">
        <f>IFERROR(__xludf.DUMMYFUNCTION("IFERROR(
  FILTER('CBK Students'!F:F, TRIM('CBK Students'!B:B) = TRIM(A789)),
  """"
)"),"#REF!")</f>
        <v>#REF!</v>
      </c>
      <c r="U789" s="240" t="str">
        <f>IFERROR(__xludf.DUMMYFUNCTION("IFERROR(
  FILTER('CBK Students'!H:H, TRIM('CBK Students'!B:B) = TRIM(A789)),
  """"
)"),"#REF!")</f>
        <v>#REF!</v>
      </c>
      <c r="V789" s="240" t="str">
        <f>IFERROR(__xludf.DUMMYFUNCTION("IFERROR(
  FILTER('CBK Students'!M:M, TRIM('CBK Students'!B:B) = TRIM(A789)),
  """"
)"),"#REF!")</f>
        <v>#REF!</v>
      </c>
      <c r="W789" s="240" t="str">
        <f t="shared" si="1"/>
        <v/>
      </c>
      <c r="X789" s="240" t="str">
        <f>IFERROR(__xludf.DUMMYFUNCTION("IFERROR(
  FILTER('CBK Students'!R:R, TRIM('CBK Students'!B:B) = TRIM(A789)),
  """"
)"),"#REF!")</f>
        <v>#REF!</v>
      </c>
      <c r="Y789" s="4" t="str">
        <f t="shared" si="2"/>
        <v/>
      </c>
      <c r="Z789" s="4" t="str">
        <f>IFERROR(__xludf.DUMMYFUNCTION("IFERROR(
  FILTER('CBK Students'!O:O, TRIM('CBK Students'!B:B) = TRIM(A789)),
  """"
)"),"#REF!")</f>
        <v>#REF!</v>
      </c>
      <c r="AA789" s="4" t="str">
        <f>IFERROR(__xludf.DUMMYFUNCTION("IFERROR(
  FILTER('CBK Students'!P:P, TRIM('CBK Students'!B:B) = TRIM(A789)),
  """"
)"),"#REF!")</f>
        <v>#REF!</v>
      </c>
      <c r="AB789" s="4" t="str">
        <f>IFERROR(__xludf.DUMMYFUNCTION("IFERROR(
  FILTER('CBK Students'!Q:Q, TRIM('CBK Students'!B:B) = TRIM(A789)),
  """"
)"),"#REF!")</f>
        <v>#REF!</v>
      </c>
    </row>
    <row r="790" ht="18.75" customHeight="1">
      <c r="T790" s="240" t="str">
        <f>IFERROR(__xludf.DUMMYFUNCTION("IFERROR(
  FILTER('CBK Students'!F:F, TRIM('CBK Students'!B:B) = TRIM(A790)),
  """"
)"),"#REF!")</f>
        <v>#REF!</v>
      </c>
      <c r="U790" s="240" t="str">
        <f>IFERROR(__xludf.DUMMYFUNCTION("IFERROR(
  FILTER('CBK Students'!H:H, TRIM('CBK Students'!B:B) = TRIM(A790)),
  """"
)"),"#REF!")</f>
        <v>#REF!</v>
      </c>
      <c r="V790" s="240" t="str">
        <f>IFERROR(__xludf.DUMMYFUNCTION("IFERROR(
  FILTER('CBK Students'!M:M, TRIM('CBK Students'!B:B) = TRIM(A790)),
  """"
)"),"#REF!")</f>
        <v>#REF!</v>
      </c>
      <c r="W790" s="240" t="str">
        <f t="shared" si="1"/>
        <v/>
      </c>
      <c r="X790" s="240" t="str">
        <f>IFERROR(__xludf.DUMMYFUNCTION("IFERROR(
  FILTER('CBK Students'!R:R, TRIM('CBK Students'!B:B) = TRIM(A790)),
  """"
)"),"#REF!")</f>
        <v>#REF!</v>
      </c>
      <c r="Y790" s="4" t="str">
        <f t="shared" si="2"/>
        <v/>
      </c>
      <c r="Z790" s="4" t="str">
        <f>IFERROR(__xludf.DUMMYFUNCTION("IFERROR(
  FILTER('CBK Students'!O:O, TRIM('CBK Students'!B:B) = TRIM(A790)),
  """"
)"),"#REF!")</f>
        <v>#REF!</v>
      </c>
      <c r="AA790" s="4" t="str">
        <f>IFERROR(__xludf.DUMMYFUNCTION("IFERROR(
  FILTER('CBK Students'!P:P, TRIM('CBK Students'!B:B) = TRIM(A790)),
  """"
)"),"#REF!")</f>
        <v>#REF!</v>
      </c>
      <c r="AB790" s="4" t="str">
        <f>IFERROR(__xludf.DUMMYFUNCTION("IFERROR(
  FILTER('CBK Students'!Q:Q, TRIM('CBK Students'!B:B) = TRIM(A790)),
  """"
)"),"#REF!")</f>
        <v>#REF!</v>
      </c>
    </row>
    <row r="791" ht="18.75" customHeight="1">
      <c r="T791" s="240" t="str">
        <f>IFERROR(__xludf.DUMMYFUNCTION("IFERROR(
  FILTER('CBK Students'!F:F, TRIM('CBK Students'!B:B) = TRIM(A791)),
  """"
)"),"#REF!")</f>
        <v>#REF!</v>
      </c>
      <c r="U791" s="240" t="str">
        <f>IFERROR(__xludf.DUMMYFUNCTION("IFERROR(
  FILTER('CBK Students'!H:H, TRIM('CBK Students'!B:B) = TRIM(A791)),
  """"
)"),"#REF!")</f>
        <v>#REF!</v>
      </c>
      <c r="V791" s="240" t="str">
        <f>IFERROR(__xludf.DUMMYFUNCTION("IFERROR(
  FILTER('CBK Students'!M:M, TRIM('CBK Students'!B:B) = TRIM(A791)),
  """"
)"),"#REF!")</f>
        <v>#REF!</v>
      </c>
      <c r="W791" s="240" t="str">
        <f t="shared" si="1"/>
        <v/>
      </c>
      <c r="X791" s="240" t="str">
        <f>IFERROR(__xludf.DUMMYFUNCTION("IFERROR(
  FILTER('CBK Students'!R:R, TRIM('CBK Students'!B:B) = TRIM(A791)),
  """"
)"),"#REF!")</f>
        <v>#REF!</v>
      </c>
      <c r="Y791" s="4" t="str">
        <f t="shared" si="2"/>
        <v/>
      </c>
      <c r="Z791" s="4" t="str">
        <f>IFERROR(__xludf.DUMMYFUNCTION("IFERROR(
  FILTER('CBK Students'!O:O, TRIM('CBK Students'!B:B) = TRIM(A791)),
  """"
)"),"#REF!")</f>
        <v>#REF!</v>
      </c>
      <c r="AA791" s="4" t="str">
        <f>IFERROR(__xludf.DUMMYFUNCTION("IFERROR(
  FILTER('CBK Students'!P:P, TRIM('CBK Students'!B:B) = TRIM(A791)),
  """"
)"),"#REF!")</f>
        <v>#REF!</v>
      </c>
      <c r="AB791" s="4" t="str">
        <f>IFERROR(__xludf.DUMMYFUNCTION("IFERROR(
  FILTER('CBK Students'!Q:Q, TRIM('CBK Students'!B:B) = TRIM(A791)),
  """"
)"),"#REF!")</f>
        <v>#REF!</v>
      </c>
    </row>
    <row r="792" ht="18.75" customHeight="1">
      <c r="T792" s="240" t="str">
        <f>IFERROR(__xludf.DUMMYFUNCTION("IFERROR(
  FILTER('CBK Students'!F:F, TRIM('CBK Students'!B:B) = TRIM(A792)),
  """"
)"),"#REF!")</f>
        <v>#REF!</v>
      </c>
      <c r="U792" s="240" t="str">
        <f>IFERROR(__xludf.DUMMYFUNCTION("IFERROR(
  FILTER('CBK Students'!H:H, TRIM('CBK Students'!B:B) = TRIM(A792)),
  """"
)"),"#REF!")</f>
        <v>#REF!</v>
      </c>
      <c r="V792" s="240" t="str">
        <f>IFERROR(__xludf.DUMMYFUNCTION("IFERROR(
  FILTER('CBK Students'!M:M, TRIM('CBK Students'!B:B) = TRIM(A792)),
  """"
)"),"#REF!")</f>
        <v>#REF!</v>
      </c>
      <c r="W792" s="240" t="str">
        <f t="shared" si="1"/>
        <v/>
      </c>
      <c r="X792" s="240" t="str">
        <f>IFERROR(__xludf.DUMMYFUNCTION("IFERROR(
  FILTER('CBK Students'!R:R, TRIM('CBK Students'!B:B) = TRIM(A792)),
  """"
)"),"#REF!")</f>
        <v>#REF!</v>
      </c>
      <c r="Y792" s="4" t="str">
        <f t="shared" si="2"/>
        <v/>
      </c>
      <c r="Z792" s="4" t="str">
        <f>IFERROR(__xludf.DUMMYFUNCTION("IFERROR(
  FILTER('CBK Students'!O:O, TRIM('CBK Students'!B:B) = TRIM(A792)),
  """"
)"),"#REF!")</f>
        <v>#REF!</v>
      </c>
      <c r="AA792" s="4" t="str">
        <f>IFERROR(__xludf.DUMMYFUNCTION("IFERROR(
  FILTER('CBK Students'!P:P, TRIM('CBK Students'!B:B) = TRIM(A792)),
  """"
)"),"#REF!")</f>
        <v>#REF!</v>
      </c>
      <c r="AB792" s="4" t="str">
        <f>IFERROR(__xludf.DUMMYFUNCTION("IFERROR(
  FILTER('CBK Students'!Q:Q, TRIM('CBK Students'!B:B) = TRIM(A792)),
  """"
)"),"#REF!")</f>
        <v>#REF!</v>
      </c>
    </row>
    <row r="793" ht="18.75" customHeight="1">
      <c r="T793" s="240" t="str">
        <f>IFERROR(__xludf.DUMMYFUNCTION("IFERROR(
  FILTER('CBK Students'!F:F, TRIM('CBK Students'!B:B) = TRIM(A793)),
  """"
)"),"#REF!")</f>
        <v>#REF!</v>
      </c>
      <c r="U793" s="240" t="str">
        <f>IFERROR(__xludf.DUMMYFUNCTION("IFERROR(
  FILTER('CBK Students'!H:H, TRIM('CBK Students'!B:B) = TRIM(A793)),
  """"
)"),"#REF!")</f>
        <v>#REF!</v>
      </c>
      <c r="V793" s="240" t="str">
        <f>IFERROR(__xludf.DUMMYFUNCTION("IFERROR(
  FILTER('CBK Students'!M:M, TRIM('CBK Students'!B:B) = TRIM(A793)),
  """"
)"),"#REF!")</f>
        <v>#REF!</v>
      </c>
      <c r="W793" s="240" t="str">
        <f t="shared" si="1"/>
        <v/>
      </c>
      <c r="X793" s="240" t="str">
        <f>IFERROR(__xludf.DUMMYFUNCTION("IFERROR(
  FILTER('CBK Students'!R:R, TRIM('CBK Students'!B:B) = TRIM(A793)),
  """"
)"),"#REF!")</f>
        <v>#REF!</v>
      </c>
      <c r="Y793" s="4" t="str">
        <f t="shared" si="2"/>
        <v/>
      </c>
      <c r="Z793" s="4" t="str">
        <f>IFERROR(__xludf.DUMMYFUNCTION("IFERROR(
  FILTER('CBK Students'!O:O, TRIM('CBK Students'!B:B) = TRIM(A793)),
  """"
)"),"#REF!")</f>
        <v>#REF!</v>
      </c>
      <c r="AA793" s="4" t="str">
        <f>IFERROR(__xludf.DUMMYFUNCTION("IFERROR(
  FILTER('CBK Students'!P:P, TRIM('CBK Students'!B:B) = TRIM(A793)),
  """"
)"),"#REF!")</f>
        <v>#REF!</v>
      </c>
      <c r="AB793" s="4" t="str">
        <f>IFERROR(__xludf.DUMMYFUNCTION("IFERROR(
  FILTER('CBK Students'!Q:Q, TRIM('CBK Students'!B:B) = TRIM(A793)),
  """"
)"),"#REF!")</f>
        <v>#REF!</v>
      </c>
    </row>
    <row r="794" ht="18.75" customHeight="1">
      <c r="T794" s="240" t="str">
        <f>IFERROR(__xludf.DUMMYFUNCTION("IFERROR(
  FILTER('CBK Students'!F:F, TRIM('CBK Students'!B:B) = TRIM(A794)),
  """"
)"),"#REF!")</f>
        <v>#REF!</v>
      </c>
      <c r="U794" s="240" t="str">
        <f>IFERROR(__xludf.DUMMYFUNCTION("IFERROR(
  FILTER('CBK Students'!H:H, TRIM('CBK Students'!B:B) = TRIM(A794)),
  """"
)"),"#REF!")</f>
        <v>#REF!</v>
      </c>
      <c r="V794" s="240" t="str">
        <f>IFERROR(__xludf.DUMMYFUNCTION("IFERROR(
  FILTER('CBK Students'!M:M, TRIM('CBK Students'!B:B) = TRIM(A794)),
  """"
)"),"#REF!")</f>
        <v>#REF!</v>
      </c>
      <c r="W794" s="240" t="str">
        <f t="shared" si="1"/>
        <v/>
      </c>
      <c r="X794" s="240" t="str">
        <f>IFERROR(__xludf.DUMMYFUNCTION("IFERROR(
  FILTER('CBK Students'!R:R, TRIM('CBK Students'!B:B) = TRIM(A794)),
  """"
)"),"#REF!")</f>
        <v>#REF!</v>
      </c>
      <c r="Y794" s="4" t="str">
        <f t="shared" si="2"/>
        <v/>
      </c>
      <c r="Z794" s="4" t="str">
        <f>IFERROR(__xludf.DUMMYFUNCTION("IFERROR(
  FILTER('CBK Students'!O:O, TRIM('CBK Students'!B:B) = TRIM(A794)),
  """"
)"),"#REF!")</f>
        <v>#REF!</v>
      </c>
      <c r="AA794" s="4" t="str">
        <f>IFERROR(__xludf.DUMMYFUNCTION("IFERROR(
  FILTER('CBK Students'!P:P, TRIM('CBK Students'!B:B) = TRIM(A794)),
  """"
)"),"#REF!")</f>
        <v>#REF!</v>
      </c>
      <c r="AB794" s="4" t="str">
        <f>IFERROR(__xludf.DUMMYFUNCTION("IFERROR(
  FILTER('CBK Students'!Q:Q, TRIM('CBK Students'!B:B) = TRIM(A794)),
  """"
)"),"#REF!")</f>
        <v>#REF!</v>
      </c>
    </row>
    <row r="795" ht="18.75" customHeight="1">
      <c r="T795" s="240" t="str">
        <f>IFERROR(__xludf.DUMMYFUNCTION("IFERROR(
  FILTER('CBK Students'!F:F, TRIM('CBK Students'!B:B) = TRIM(A795)),
  """"
)"),"#REF!")</f>
        <v>#REF!</v>
      </c>
      <c r="U795" s="240" t="str">
        <f>IFERROR(__xludf.DUMMYFUNCTION("IFERROR(
  FILTER('CBK Students'!H:H, TRIM('CBK Students'!B:B) = TRIM(A795)),
  """"
)"),"#REF!")</f>
        <v>#REF!</v>
      </c>
      <c r="V795" s="240" t="str">
        <f>IFERROR(__xludf.DUMMYFUNCTION("IFERROR(
  FILTER('CBK Students'!M:M, TRIM('CBK Students'!B:B) = TRIM(A795)),
  """"
)"),"#REF!")</f>
        <v>#REF!</v>
      </c>
      <c r="W795" s="240" t="str">
        <f t="shared" si="1"/>
        <v/>
      </c>
      <c r="X795" s="240" t="str">
        <f>IFERROR(__xludf.DUMMYFUNCTION("IFERROR(
  FILTER('CBK Students'!R:R, TRIM('CBK Students'!B:B) = TRIM(A795)),
  """"
)"),"#REF!")</f>
        <v>#REF!</v>
      </c>
      <c r="Y795" s="4" t="str">
        <f t="shared" si="2"/>
        <v/>
      </c>
      <c r="Z795" s="4" t="str">
        <f>IFERROR(__xludf.DUMMYFUNCTION("IFERROR(
  FILTER('CBK Students'!O:O, TRIM('CBK Students'!B:B) = TRIM(A795)),
  """"
)"),"#REF!")</f>
        <v>#REF!</v>
      </c>
      <c r="AA795" s="4" t="str">
        <f>IFERROR(__xludf.DUMMYFUNCTION("IFERROR(
  FILTER('CBK Students'!P:P, TRIM('CBK Students'!B:B) = TRIM(A795)),
  """"
)"),"#REF!")</f>
        <v>#REF!</v>
      </c>
      <c r="AB795" s="4" t="str">
        <f>IFERROR(__xludf.DUMMYFUNCTION("IFERROR(
  FILTER('CBK Students'!Q:Q, TRIM('CBK Students'!B:B) = TRIM(A795)),
  """"
)"),"#REF!")</f>
        <v>#REF!</v>
      </c>
    </row>
    <row r="796" ht="18.75" customHeight="1">
      <c r="T796" s="240" t="str">
        <f>IFERROR(__xludf.DUMMYFUNCTION("IFERROR(
  FILTER('CBK Students'!F:F, TRIM('CBK Students'!B:B) = TRIM(A796)),
  """"
)"),"#REF!")</f>
        <v>#REF!</v>
      </c>
      <c r="U796" s="240" t="str">
        <f>IFERROR(__xludf.DUMMYFUNCTION("IFERROR(
  FILTER('CBK Students'!H:H, TRIM('CBK Students'!B:B) = TRIM(A796)),
  """"
)"),"#REF!")</f>
        <v>#REF!</v>
      </c>
      <c r="V796" s="240" t="str">
        <f>IFERROR(__xludf.DUMMYFUNCTION("IFERROR(
  FILTER('CBK Students'!M:M, TRIM('CBK Students'!B:B) = TRIM(A796)),
  """"
)"),"#REF!")</f>
        <v>#REF!</v>
      </c>
      <c r="W796" s="240" t="str">
        <f t="shared" si="1"/>
        <v/>
      </c>
      <c r="X796" s="240" t="str">
        <f>IFERROR(__xludf.DUMMYFUNCTION("IFERROR(
  FILTER('CBK Students'!R:R, TRIM('CBK Students'!B:B) = TRIM(A796)),
  """"
)"),"#REF!")</f>
        <v>#REF!</v>
      </c>
      <c r="Y796" s="4" t="str">
        <f t="shared" si="2"/>
        <v/>
      </c>
      <c r="Z796" s="4" t="str">
        <f>IFERROR(__xludf.DUMMYFUNCTION("IFERROR(
  FILTER('CBK Students'!O:O, TRIM('CBK Students'!B:B) = TRIM(A796)),
  """"
)"),"#REF!")</f>
        <v>#REF!</v>
      </c>
      <c r="AA796" s="4" t="str">
        <f>IFERROR(__xludf.DUMMYFUNCTION("IFERROR(
  FILTER('CBK Students'!P:P, TRIM('CBK Students'!B:B) = TRIM(A796)),
  """"
)"),"#REF!")</f>
        <v>#REF!</v>
      </c>
      <c r="AB796" s="4" t="str">
        <f>IFERROR(__xludf.DUMMYFUNCTION("IFERROR(
  FILTER('CBK Students'!Q:Q, TRIM('CBK Students'!B:B) = TRIM(A796)),
  """"
)"),"#REF!")</f>
        <v>#REF!</v>
      </c>
    </row>
    <row r="797" ht="18.75" customHeight="1">
      <c r="T797" s="240" t="str">
        <f>IFERROR(__xludf.DUMMYFUNCTION("IFERROR(
  FILTER('CBK Students'!F:F, TRIM('CBK Students'!B:B) = TRIM(A797)),
  """"
)"),"#REF!")</f>
        <v>#REF!</v>
      </c>
      <c r="U797" s="240" t="str">
        <f>IFERROR(__xludf.DUMMYFUNCTION("IFERROR(
  FILTER('CBK Students'!H:H, TRIM('CBK Students'!B:B) = TRIM(A797)),
  """"
)"),"#REF!")</f>
        <v>#REF!</v>
      </c>
      <c r="V797" s="240" t="str">
        <f>IFERROR(__xludf.DUMMYFUNCTION("IFERROR(
  FILTER('CBK Students'!M:M, TRIM('CBK Students'!B:B) = TRIM(A797)),
  """"
)"),"#REF!")</f>
        <v>#REF!</v>
      </c>
      <c r="W797" s="240" t="str">
        <f t="shared" si="1"/>
        <v/>
      </c>
      <c r="X797" s="240" t="str">
        <f>IFERROR(__xludf.DUMMYFUNCTION("IFERROR(
  FILTER('CBK Students'!R:R, TRIM('CBK Students'!B:B) = TRIM(A797)),
  """"
)"),"#REF!")</f>
        <v>#REF!</v>
      </c>
      <c r="Y797" s="4" t="str">
        <f t="shared" si="2"/>
        <v/>
      </c>
      <c r="Z797" s="4" t="str">
        <f>IFERROR(__xludf.DUMMYFUNCTION("IFERROR(
  FILTER('CBK Students'!O:O, TRIM('CBK Students'!B:B) = TRIM(A797)),
  """"
)"),"#REF!")</f>
        <v>#REF!</v>
      </c>
      <c r="AA797" s="4" t="str">
        <f>IFERROR(__xludf.DUMMYFUNCTION("IFERROR(
  FILTER('CBK Students'!P:P, TRIM('CBK Students'!B:B) = TRIM(A797)),
  """"
)"),"#REF!")</f>
        <v>#REF!</v>
      </c>
      <c r="AB797" s="4" t="str">
        <f>IFERROR(__xludf.DUMMYFUNCTION("IFERROR(
  FILTER('CBK Students'!Q:Q, TRIM('CBK Students'!B:B) = TRIM(A797)),
  """"
)"),"#REF!")</f>
        <v>#REF!</v>
      </c>
    </row>
    <row r="798" ht="18.75" customHeight="1">
      <c r="T798" s="240" t="str">
        <f>IFERROR(__xludf.DUMMYFUNCTION("IFERROR(
  FILTER('CBK Students'!F:F, TRIM('CBK Students'!B:B) = TRIM(A798)),
  """"
)"),"#REF!")</f>
        <v>#REF!</v>
      </c>
      <c r="U798" s="240" t="str">
        <f>IFERROR(__xludf.DUMMYFUNCTION("IFERROR(
  FILTER('CBK Students'!H:H, TRIM('CBK Students'!B:B) = TRIM(A798)),
  """"
)"),"#REF!")</f>
        <v>#REF!</v>
      </c>
      <c r="V798" s="240" t="str">
        <f>IFERROR(__xludf.DUMMYFUNCTION("IFERROR(
  FILTER('CBK Students'!M:M, TRIM('CBK Students'!B:B) = TRIM(A798)),
  """"
)"),"#REF!")</f>
        <v>#REF!</v>
      </c>
      <c r="W798" s="240" t="str">
        <f t="shared" si="1"/>
        <v/>
      </c>
      <c r="X798" s="240" t="str">
        <f>IFERROR(__xludf.DUMMYFUNCTION("IFERROR(
  FILTER('CBK Students'!R:R, TRIM('CBK Students'!B:B) = TRIM(A798)),
  """"
)"),"#REF!")</f>
        <v>#REF!</v>
      </c>
      <c r="Y798" s="4" t="str">
        <f t="shared" si="2"/>
        <v/>
      </c>
      <c r="Z798" s="4" t="str">
        <f>IFERROR(__xludf.DUMMYFUNCTION("IFERROR(
  FILTER('CBK Students'!O:O, TRIM('CBK Students'!B:B) = TRIM(A798)),
  """"
)"),"#REF!")</f>
        <v>#REF!</v>
      </c>
      <c r="AA798" s="4" t="str">
        <f>IFERROR(__xludf.DUMMYFUNCTION("IFERROR(
  FILTER('CBK Students'!P:P, TRIM('CBK Students'!B:B) = TRIM(A798)),
  """"
)"),"#REF!")</f>
        <v>#REF!</v>
      </c>
      <c r="AB798" s="4" t="str">
        <f>IFERROR(__xludf.DUMMYFUNCTION("IFERROR(
  FILTER('CBK Students'!Q:Q, TRIM('CBK Students'!B:B) = TRIM(A798)),
  """"
)"),"#REF!")</f>
        <v>#REF!</v>
      </c>
    </row>
    <row r="799" ht="18.75" customHeight="1">
      <c r="T799" s="240" t="str">
        <f>IFERROR(__xludf.DUMMYFUNCTION("IFERROR(
  FILTER('CBK Students'!F:F, TRIM('CBK Students'!B:B) = TRIM(A799)),
  """"
)"),"#REF!")</f>
        <v>#REF!</v>
      </c>
      <c r="U799" s="240" t="str">
        <f>IFERROR(__xludf.DUMMYFUNCTION("IFERROR(
  FILTER('CBK Students'!H:H, TRIM('CBK Students'!B:B) = TRIM(A799)),
  """"
)"),"#REF!")</f>
        <v>#REF!</v>
      </c>
      <c r="V799" s="240" t="str">
        <f>IFERROR(__xludf.DUMMYFUNCTION("IFERROR(
  FILTER('CBK Students'!M:M, TRIM('CBK Students'!B:B) = TRIM(A799)),
  """"
)"),"#REF!")</f>
        <v>#REF!</v>
      </c>
      <c r="W799" s="240" t="str">
        <f t="shared" si="1"/>
        <v/>
      </c>
      <c r="X799" s="240" t="str">
        <f>IFERROR(__xludf.DUMMYFUNCTION("IFERROR(
  FILTER('CBK Students'!R:R, TRIM('CBK Students'!B:B) = TRIM(A799)),
  """"
)"),"#REF!")</f>
        <v>#REF!</v>
      </c>
      <c r="Y799" s="4" t="str">
        <f t="shared" si="2"/>
        <v/>
      </c>
      <c r="Z799" s="4" t="str">
        <f>IFERROR(__xludf.DUMMYFUNCTION("IFERROR(
  FILTER('CBK Students'!O:O, TRIM('CBK Students'!B:B) = TRIM(A799)),
  """"
)"),"#REF!")</f>
        <v>#REF!</v>
      </c>
      <c r="AA799" s="4" t="str">
        <f>IFERROR(__xludf.DUMMYFUNCTION("IFERROR(
  FILTER('CBK Students'!P:P, TRIM('CBK Students'!B:B) = TRIM(A799)),
  """"
)"),"#REF!")</f>
        <v>#REF!</v>
      </c>
      <c r="AB799" s="4" t="str">
        <f>IFERROR(__xludf.DUMMYFUNCTION("IFERROR(
  FILTER('CBK Students'!Q:Q, TRIM('CBK Students'!B:B) = TRIM(A799)),
  """"
)"),"#REF!")</f>
        <v>#REF!</v>
      </c>
    </row>
    <row r="800" ht="18.75" customHeight="1">
      <c r="T800" s="240" t="str">
        <f>IFERROR(__xludf.DUMMYFUNCTION("IFERROR(
  FILTER('CBK Students'!F:F, TRIM('CBK Students'!B:B) = TRIM(A800)),
  """"
)"),"#REF!")</f>
        <v>#REF!</v>
      </c>
      <c r="U800" s="240" t="str">
        <f>IFERROR(__xludf.DUMMYFUNCTION("IFERROR(
  FILTER('CBK Students'!H:H, TRIM('CBK Students'!B:B) = TRIM(A800)),
  """"
)"),"#REF!")</f>
        <v>#REF!</v>
      </c>
      <c r="V800" s="240" t="str">
        <f>IFERROR(__xludf.DUMMYFUNCTION("IFERROR(
  FILTER('CBK Students'!M:M, TRIM('CBK Students'!B:B) = TRIM(A800)),
  """"
)"),"#REF!")</f>
        <v>#REF!</v>
      </c>
      <c r="W800" s="240" t="str">
        <f t="shared" si="1"/>
        <v/>
      </c>
      <c r="X800" s="240" t="str">
        <f>IFERROR(__xludf.DUMMYFUNCTION("IFERROR(
  FILTER('CBK Students'!R:R, TRIM('CBK Students'!B:B) = TRIM(A800)),
  """"
)"),"#REF!")</f>
        <v>#REF!</v>
      </c>
      <c r="Y800" s="4" t="str">
        <f t="shared" si="2"/>
        <v/>
      </c>
      <c r="Z800" s="4" t="str">
        <f>IFERROR(__xludf.DUMMYFUNCTION("IFERROR(
  FILTER('CBK Students'!O:O, TRIM('CBK Students'!B:B) = TRIM(A800)),
  """"
)"),"#REF!")</f>
        <v>#REF!</v>
      </c>
      <c r="AA800" s="4" t="str">
        <f>IFERROR(__xludf.DUMMYFUNCTION("IFERROR(
  FILTER('CBK Students'!P:P, TRIM('CBK Students'!B:B) = TRIM(A800)),
  """"
)"),"#REF!")</f>
        <v>#REF!</v>
      </c>
      <c r="AB800" s="4" t="str">
        <f>IFERROR(__xludf.DUMMYFUNCTION("IFERROR(
  FILTER('CBK Students'!Q:Q, TRIM('CBK Students'!B:B) = TRIM(A800)),
  """"
)"),"#REF!")</f>
        <v>#REF!</v>
      </c>
    </row>
    <row r="801" ht="18.75" customHeight="1">
      <c r="T801" s="240" t="str">
        <f>IFERROR(__xludf.DUMMYFUNCTION("IFERROR(
  FILTER('CBK Students'!F:F, TRIM('CBK Students'!B:B) = TRIM(A801)),
  """"
)"),"#REF!")</f>
        <v>#REF!</v>
      </c>
      <c r="U801" s="240" t="str">
        <f>IFERROR(__xludf.DUMMYFUNCTION("IFERROR(
  FILTER('CBK Students'!H:H, TRIM('CBK Students'!B:B) = TRIM(A801)),
  """"
)"),"#REF!")</f>
        <v>#REF!</v>
      </c>
      <c r="V801" s="240" t="str">
        <f>IFERROR(__xludf.DUMMYFUNCTION("IFERROR(
  FILTER('CBK Students'!M:M, TRIM('CBK Students'!B:B) = TRIM(A801)),
  """"
)"),"#REF!")</f>
        <v>#REF!</v>
      </c>
      <c r="W801" s="240" t="str">
        <f t="shared" si="1"/>
        <v/>
      </c>
      <c r="X801" s="240" t="str">
        <f>IFERROR(__xludf.DUMMYFUNCTION("IFERROR(
  FILTER('CBK Students'!R:R, TRIM('CBK Students'!B:B) = TRIM(A801)),
  """"
)"),"#REF!")</f>
        <v>#REF!</v>
      </c>
      <c r="Y801" s="4" t="str">
        <f t="shared" si="2"/>
        <v/>
      </c>
      <c r="Z801" s="4" t="str">
        <f>IFERROR(__xludf.DUMMYFUNCTION("IFERROR(
  FILTER('CBK Students'!O:O, TRIM('CBK Students'!B:B) = TRIM(A801)),
  """"
)"),"#REF!")</f>
        <v>#REF!</v>
      </c>
      <c r="AA801" s="4" t="str">
        <f>IFERROR(__xludf.DUMMYFUNCTION("IFERROR(
  FILTER('CBK Students'!P:P, TRIM('CBK Students'!B:B) = TRIM(A801)),
  """"
)"),"#REF!")</f>
        <v>#REF!</v>
      </c>
      <c r="AB801" s="4" t="str">
        <f>IFERROR(__xludf.DUMMYFUNCTION("IFERROR(
  FILTER('CBK Students'!Q:Q, TRIM('CBK Students'!B:B) = TRIM(A801)),
  """"
)"),"#REF!")</f>
        <v>#REF!</v>
      </c>
    </row>
    <row r="802" ht="18.75" customHeight="1">
      <c r="T802" s="240" t="str">
        <f>IFERROR(__xludf.DUMMYFUNCTION("IFERROR(
  FILTER('CBK Students'!F:F, TRIM('CBK Students'!B:B) = TRIM(A802)),
  """"
)"),"#REF!")</f>
        <v>#REF!</v>
      </c>
      <c r="U802" s="240" t="str">
        <f>IFERROR(__xludf.DUMMYFUNCTION("IFERROR(
  FILTER('CBK Students'!H:H, TRIM('CBK Students'!B:B) = TRIM(A802)),
  """"
)"),"#REF!")</f>
        <v>#REF!</v>
      </c>
      <c r="V802" s="240" t="str">
        <f>IFERROR(__xludf.DUMMYFUNCTION("IFERROR(
  FILTER('CBK Students'!M:M, TRIM('CBK Students'!B:B) = TRIM(A802)),
  """"
)"),"#REF!")</f>
        <v>#REF!</v>
      </c>
      <c r="W802" s="240" t="str">
        <f t="shared" si="1"/>
        <v/>
      </c>
      <c r="X802" s="240" t="str">
        <f>IFERROR(__xludf.DUMMYFUNCTION("IFERROR(
  FILTER('CBK Students'!R:R, TRIM('CBK Students'!B:B) = TRIM(A802)),
  """"
)"),"#REF!")</f>
        <v>#REF!</v>
      </c>
      <c r="Y802" s="4" t="str">
        <f t="shared" si="2"/>
        <v/>
      </c>
      <c r="Z802" s="4" t="str">
        <f>IFERROR(__xludf.DUMMYFUNCTION("IFERROR(
  FILTER('CBK Students'!O:O, TRIM('CBK Students'!B:B) = TRIM(A802)),
  """"
)"),"#REF!")</f>
        <v>#REF!</v>
      </c>
      <c r="AA802" s="4" t="str">
        <f>IFERROR(__xludf.DUMMYFUNCTION("IFERROR(
  FILTER('CBK Students'!P:P, TRIM('CBK Students'!B:B) = TRIM(A802)),
  """"
)"),"#REF!")</f>
        <v>#REF!</v>
      </c>
      <c r="AB802" s="4" t="str">
        <f>IFERROR(__xludf.DUMMYFUNCTION("IFERROR(
  FILTER('CBK Students'!Q:Q, TRIM('CBK Students'!B:B) = TRIM(A802)),
  """"
)"),"#REF!")</f>
        <v>#REF!</v>
      </c>
    </row>
    <row r="803" ht="18.75" customHeight="1">
      <c r="T803" s="240" t="str">
        <f>IFERROR(__xludf.DUMMYFUNCTION("IFERROR(
  FILTER('CBK Students'!F:F, TRIM('CBK Students'!B:B) = TRIM(A803)),
  """"
)"),"#REF!")</f>
        <v>#REF!</v>
      </c>
      <c r="U803" s="240" t="str">
        <f>IFERROR(__xludf.DUMMYFUNCTION("IFERROR(
  FILTER('CBK Students'!H:H, TRIM('CBK Students'!B:B) = TRIM(A803)),
  """"
)"),"#REF!")</f>
        <v>#REF!</v>
      </c>
      <c r="V803" s="240" t="str">
        <f>IFERROR(__xludf.DUMMYFUNCTION("IFERROR(
  FILTER('CBK Students'!M:M, TRIM('CBK Students'!B:B) = TRIM(A803)),
  """"
)"),"#REF!")</f>
        <v>#REF!</v>
      </c>
      <c r="W803" s="240" t="str">
        <f t="shared" si="1"/>
        <v/>
      </c>
      <c r="X803" s="240" t="str">
        <f>IFERROR(__xludf.DUMMYFUNCTION("IFERROR(
  FILTER('CBK Students'!R:R, TRIM('CBK Students'!B:B) = TRIM(A803)),
  """"
)"),"#REF!")</f>
        <v>#REF!</v>
      </c>
      <c r="Y803" s="4" t="str">
        <f t="shared" si="2"/>
        <v/>
      </c>
      <c r="Z803" s="4" t="str">
        <f>IFERROR(__xludf.DUMMYFUNCTION("IFERROR(
  FILTER('CBK Students'!O:O, TRIM('CBK Students'!B:B) = TRIM(A803)),
  """"
)"),"#REF!")</f>
        <v>#REF!</v>
      </c>
      <c r="AA803" s="4" t="str">
        <f>IFERROR(__xludf.DUMMYFUNCTION("IFERROR(
  FILTER('CBK Students'!P:P, TRIM('CBK Students'!B:B) = TRIM(A803)),
  """"
)"),"#REF!")</f>
        <v>#REF!</v>
      </c>
      <c r="AB803" s="4" t="str">
        <f>IFERROR(__xludf.DUMMYFUNCTION("IFERROR(
  FILTER('CBK Students'!Q:Q, TRIM('CBK Students'!B:B) = TRIM(A803)),
  """"
)"),"#REF!")</f>
        <v>#REF!</v>
      </c>
    </row>
    <row r="804" ht="18.75" customHeight="1">
      <c r="T804" s="240" t="str">
        <f>IFERROR(__xludf.DUMMYFUNCTION("IFERROR(
  FILTER('CBK Students'!F:F, TRIM('CBK Students'!B:B) = TRIM(A804)),
  """"
)"),"#REF!")</f>
        <v>#REF!</v>
      </c>
      <c r="U804" s="240" t="str">
        <f>IFERROR(__xludf.DUMMYFUNCTION("IFERROR(
  FILTER('CBK Students'!H:H, TRIM('CBK Students'!B:B) = TRIM(A804)),
  """"
)"),"#REF!")</f>
        <v>#REF!</v>
      </c>
      <c r="V804" s="240" t="str">
        <f>IFERROR(__xludf.DUMMYFUNCTION("IFERROR(
  FILTER('CBK Students'!M:M, TRIM('CBK Students'!B:B) = TRIM(A804)),
  """"
)"),"#REF!")</f>
        <v>#REF!</v>
      </c>
      <c r="W804" s="240" t="str">
        <f t="shared" si="1"/>
        <v/>
      </c>
      <c r="X804" s="240" t="str">
        <f>IFERROR(__xludf.DUMMYFUNCTION("IFERROR(
  FILTER('CBK Students'!R:R, TRIM('CBK Students'!B:B) = TRIM(A804)),
  """"
)"),"#REF!")</f>
        <v>#REF!</v>
      </c>
      <c r="Y804" s="4" t="str">
        <f t="shared" si="2"/>
        <v/>
      </c>
      <c r="Z804" s="4" t="str">
        <f>IFERROR(__xludf.DUMMYFUNCTION("IFERROR(
  FILTER('CBK Students'!O:O, TRIM('CBK Students'!B:B) = TRIM(A804)),
  """"
)"),"#REF!")</f>
        <v>#REF!</v>
      </c>
      <c r="AA804" s="4" t="str">
        <f>IFERROR(__xludf.DUMMYFUNCTION("IFERROR(
  FILTER('CBK Students'!P:P, TRIM('CBK Students'!B:B) = TRIM(A804)),
  """"
)"),"#REF!")</f>
        <v>#REF!</v>
      </c>
      <c r="AB804" s="4" t="str">
        <f>IFERROR(__xludf.DUMMYFUNCTION("IFERROR(
  FILTER('CBK Students'!Q:Q, TRIM('CBK Students'!B:B) = TRIM(A804)),
  """"
)"),"#REF!")</f>
        <v>#REF!</v>
      </c>
    </row>
    <row r="805" ht="18.75" customHeight="1">
      <c r="T805" s="240" t="str">
        <f>IFERROR(__xludf.DUMMYFUNCTION("IFERROR(
  FILTER('CBK Students'!F:F, TRIM('CBK Students'!B:B) = TRIM(A805)),
  """"
)"),"#REF!")</f>
        <v>#REF!</v>
      </c>
      <c r="U805" s="240" t="str">
        <f>IFERROR(__xludf.DUMMYFUNCTION("IFERROR(
  FILTER('CBK Students'!H:H, TRIM('CBK Students'!B:B) = TRIM(A805)),
  """"
)"),"#REF!")</f>
        <v>#REF!</v>
      </c>
      <c r="V805" s="240" t="str">
        <f>IFERROR(__xludf.DUMMYFUNCTION("IFERROR(
  FILTER('CBK Students'!M:M, TRIM('CBK Students'!B:B) = TRIM(A805)),
  """"
)"),"#REF!")</f>
        <v>#REF!</v>
      </c>
      <c r="W805" s="240" t="str">
        <f t="shared" si="1"/>
        <v/>
      </c>
      <c r="X805" s="240" t="str">
        <f>IFERROR(__xludf.DUMMYFUNCTION("IFERROR(
  FILTER('CBK Students'!R:R, TRIM('CBK Students'!B:B) = TRIM(A805)),
  """"
)"),"#REF!")</f>
        <v>#REF!</v>
      </c>
      <c r="Y805" s="4" t="str">
        <f t="shared" si="2"/>
        <v/>
      </c>
      <c r="Z805" s="4" t="str">
        <f>IFERROR(__xludf.DUMMYFUNCTION("IFERROR(
  FILTER('CBK Students'!O:O, TRIM('CBK Students'!B:B) = TRIM(A805)),
  """"
)"),"#REF!")</f>
        <v>#REF!</v>
      </c>
      <c r="AA805" s="4" t="str">
        <f>IFERROR(__xludf.DUMMYFUNCTION("IFERROR(
  FILTER('CBK Students'!P:P, TRIM('CBK Students'!B:B) = TRIM(A805)),
  """"
)"),"#REF!")</f>
        <v>#REF!</v>
      </c>
      <c r="AB805" s="4" t="str">
        <f>IFERROR(__xludf.DUMMYFUNCTION("IFERROR(
  FILTER('CBK Students'!Q:Q, TRIM('CBK Students'!B:B) = TRIM(A805)),
  """"
)"),"#REF!")</f>
        <v>#REF!</v>
      </c>
    </row>
    <row r="806" ht="18.75" customHeight="1">
      <c r="T806" s="240" t="str">
        <f>IFERROR(__xludf.DUMMYFUNCTION("IFERROR(
  FILTER('CBK Students'!F:F, TRIM('CBK Students'!B:B) = TRIM(A806)),
  """"
)"),"#REF!")</f>
        <v>#REF!</v>
      </c>
      <c r="U806" s="240" t="str">
        <f>IFERROR(__xludf.DUMMYFUNCTION("IFERROR(
  FILTER('CBK Students'!H:H, TRIM('CBK Students'!B:B) = TRIM(A806)),
  """"
)"),"#REF!")</f>
        <v>#REF!</v>
      </c>
      <c r="V806" s="240" t="str">
        <f>IFERROR(__xludf.DUMMYFUNCTION("IFERROR(
  FILTER('CBK Students'!M:M, TRIM('CBK Students'!B:B) = TRIM(A806)),
  """"
)"),"#REF!")</f>
        <v>#REF!</v>
      </c>
      <c r="W806" s="240" t="str">
        <f t="shared" si="1"/>
        <v/>
      </c>
      <c r="X806" s="240" t="str">
        <f>IFERROR(__xludf.DUMMYFUNCTION("IFERROR(
  FILTER('CBK Students'!R:R, TRIM('CBK Students'!B:B) = TRIM(A806)),
  """"
)"),"#REF!")</f>
        <v>#REF!</v>
      </c>
      <c r="Y806" s="4" t="str">
        <f t="shared" si="2"/>
        <v/>
      </c>
      <c r="Z806" s="4" t="str">
        <f>IFERROR(__xludf.DUMMYFUNCTION("IFERROR(
  FILTER('CBK Students'!O:O, TRIM('CBK Students'!B:B) = TRIM(A806)),
  """"
)"),"#REF!")</f>
        <v>#REF!</v>
      </c>
      <c r="AA806" s="4" t="str">
        <f>IFERROR(__xludf.DUMMYFUNCTION("IFERROR(
  FILTER('CBK Students'!P:P, TRIM('CBK Students'!B:B) = TRIM(A806)),
  """"
)"),"#REF!")</f>
        <v>#REF!</v>
      </c>
      <c r="AB806" s="4" t="str">
        <f>IFERROR(__xludf.DUMMYFUNCTION("IFERROR(
  FILTER('CBK Students'!Q:Q, TRIM('CBK Students'!B:B) = TRIM(A806)),
  """"
)"),"#REF!")</f>
        <v>#REF!</v>
      </c>
    </row>
    <row r="807" ht="18.75" customHeight="1">
      <c r="T807" s="240" t="str">
        <f>IFERROR(__xludf.DUMMYFUNCTION("IFERROR(
  FILTER('CBK Students'!F:F, TRIM('CBK Students'!B:B) = TRIM(A807)),
  """"
)"),"#REF!")</f>
        <v>#REF!</v>
      </c>
      <c r="U807" s="240" t="str">
        <f>IFERROR(__xludf.DUMMYFUNCTION("IFERROR(
  FILTER('CBK Students'!H:H, TRIM('CBK Students'!B:B) = TRIM(A807)),
  """"
)"),"#REF!")</f>
        <v>#REF!</v>
      </c>
      <c r="V807" s="240" t="str">
        <f>IFERROR(__xludf.DUMMYFUNCTION("IFERROR(
  FILTER('CBK Students'!M:M, TRIM('CBK Students'!B:B) = TRIM(A807)),
  """"
)"),"#REF!")</f>
        <v>#REF!</v>
      </c>
      <c r="W807" s="240" t="str">
        <f t="shared" si="1"/>
        <v/>
      </c>
      <c r="X807" s="240" t="str">
        <f>IFERROR(__xludf.DUMMYFUNCTION("IFERROR(
  FILTER('CBK Students'!R:R, TRIM('CBK Students'!B:B) = TRIM(A807)),
  """"
)"),"#REF!")</f>
        <v>#REF!</v>
      </c>
      <c r="Y807" s="4" t="str">
        <f t="shared" si="2"/>
        <v/>
      </c>
      <c r="Z807" s="4" t="str">
        <f>IFERROR(__xludf.DUMMYFUNCTION("IFERROR(
  FILTER('CBK Students'!O:O, TRIM('CBK Students'!B:B) = TRIM(A807)),
  """"
)"),"#REF!")</f>
        <v>#REF!</v>
      </c>
      <c r="AA807" s="4" t="str">
        <f>IFERROR(__xludf.DUMMYFUNCTION("IFERROR(
  FILTER('CBK Students'!P:P, TRIM('CBK Students'!B:B) = TRIM(A807)),
  """"
)"),"#REF!")</f>
        <v>#REF!</v>
      </c>
      <c r="AB807" s="4" t="str">
        <f>IFERROR(__xludf.DUMMYFUNCTION("IFERROR(
  FILTER('CBK Students'!Q:Q, TRIM('CBK Students'!B:B) = TRIM(A807)),
  """"
)"),"#REF!")</f>
        <v>#REF!</v>
      </c>
    </row>
    <row r="808" ht="18.75" customHeight="1">
      <c r="T808" s="240" t="str">
        <f>IFERROR(__xludf.DUMMYFUNCTION("IFERROR(
  FILTER('CBK Students'!F:F, TRIM('CBK Students'!B:B) = TRIM(A808)),
  """"
)"),"#REF!")</f>
        <v>#REF!</v>
      </c>
      <c r="U808" s="240" t="str">
        <f>IFERROR(__xludf.DUMMYFUNCTION("IFERROR(
  FILTER('CBK Students'!H:H, TRIM('CBK Students'!B:B) = TRIM(A808)),
  """"
)"),"#REF!")</f>
        <v>#REF!</v>
      </c>
      <c r="V808" s="240" t="str">
        <f>IFERROR(__xludf.DUMMYFUNCTION("IFERROR(
  FILTER('CBK Students'!M:M, TRIM('CBK Students'!B:B) = TRIM(A808)),
  """"
)"),"#REF!")</f>
        <v>#REF!</v>
      </c>
      <c r="W808" s="240" t="str">
        <f t="shared" si="1"/>
        <v/>
      </c>
      <c r="X808" s="240" t="str">
        <f>IFERROR(__xludf.DUMMYFUNCTION("IFERROR(
  FILTER('CBK Students'!R:R, TRIM('CBK Students'!B:B) = TRIM(A808)),
  """"
)"),"#REF!")</f>
        <v>#REF!</v>
      </c>
      <c r="Y808" s="4" t="str">
        <f t="shared" si="2"/>
        <v/>
      </c>
      <c r="Z808" s="4" t="str">
        <f>IFERROR(__xludf.DUMMYFUNCTION("IFERROR(
  FILTER('CBK Students'!O:O, TRIM('CBK Students'!B:B) = TRIM(A808)),
  """"
)"),"#REF!")</f>
        <v>#REF!</v>
      </c>
      <c r="AA808" s="4" t="str">
        <f>IFERROR(__xludf.DUMMYFUNCTION("IFERROR(
  FILTER('CBK Students'!P:P, TRIM('CBK Students'!B:B) = TRIM(A808)),
  """"
)"),"#REF!")</f>
        <v>#REF!</v>
      </c>
      <c r="AB808" s="4" t="str">
        <f>IFERROR(__xludf.DUMMYFUNCTION("IFERROR(
  FILTER('CBK Students'!Q:Q, TRIM('CBK Students'!B:B) = TRIM(A808)),
  """"
)"),"#REF!")</f>
        <v>#REF!</v>
      </c>
    </row>
    <row r="809" ht="18.75" customHeight="1">
      <c r="T809" s="240" t="str">
        <f>IFERROR(__xludf.DUMMYFUNCTION("IFERROR(
  FILTER('CBK Students'!F:F, TRIM('CBK Students'!B:B) = TRIM(A809)),
  """"
)"),"#REF!")</f>
        <v>#REF!</v>
      </c>
      <c r="U809" s="240" t="str">
        <f>IFERROR(__xludf.DUMMYFUNCTION("IFERROR(
  FILTER('CBK Students'!H:H, TRIM('CBK Students'!B:B) = TRIM(A809)),
  """"
)"),"#REF!")</f>
        <v>#REF!</v>
      </c>
      <c r="V809" s="240" t="str">
        <f>IFERROR(__xludf.DUMMYFUNCTION("IFERROR(
  FILTER('CBK Students'!M:M, TRIM('CBK Students'!B:B) = TRIM(A809)),
  """"
)"),"#REF!")</f>
        <v>#REF!</v>
      </c>
      <c r="W809" s="240" t="str">
        <f t="shared" si="1"/>
        <v/>
      </c>
      <c r="X809" s="240" t="str">
        <f>IFERROR(__xludf.DUMMYFUNCTION("IFERROR(
  FILTER('CBK Students'!R:R, TRIM('CBK Students'!B:B) = TRIM(A809)),
  """"
)"),"#REF!")</f>
        <v>#REF!</v>
      </c>
      <c r="Y809" s="4" t="str">
        <f t="shared" si="2"/>
        <v/>
      </c>
      <c r="Z809" s="4" t="str">
        <f>IFERROR(__xludf.DUMMYFUNCTION("IFERROR(
  FILTER('CBK Students'!O:O, TRIM('CBK Students'!B:B) = TRIM(A809)),
  """"
)"),"#REF!")</f>
        <v>#REF!</v>
      </c>
      <c r="AA809" s="4" t="str">
        <f>IFERROR(__xludf.DUMMYFUNCTION("IFERROR(
  FILTER('CBK Students'!P:P, TRIM('CBK Students'!B:B) = TRIM(A809)),
  """"
)"),"#REF!")</f>
        <v>#REF!</v>
      </c>
      <c r="AB809" s="4" t="str">
        <f>IFERROR(__xludf.DUMMYFUNCTION("IFERROR(
  FILTER('CBK Students'!Q:Q, TRIM('CBK Students'!B:B) = TRIM(A809)),
  """"
)"),"#REF!")</f>
        <v>#REF!</v>
      </c>
    </row>
    <row r="810" ht="18.75" customHeight="1">
      <c r="T810" s="240" t="str">
        <f>IFERROR(__xludf.DUMMYFUNCTION("IFERROR(
  FILTER('CBK Students'!F:F, TRIM('CBK Students'!B:B) = TRIM(A810)),
  """"
)"),"#REF!")</f>
        <v>#REF!</v>
      </c>
      <c r="U810" s="240" t="str">
        <f>IFERROR(__xludf.DUMMYFUNCTION("IFERROR(
  FILTER('CBK Students'!H:H, TRIM('CBK Students'!B:B) = TRIM(A810)),
  """"
)"),"#REF!")</f>
        <v>#REF!</v>
      </c>
      <c r="V810" s="240" t="str">
        <f>IFERROR(__xludf.DUMMYFUNCTION("IFERROR(
  FILTER('CBK Students'!M:M, TRIM('CBK Students'!B:B) = TRIM(A810)),
  """"
)"),"#REF!")</f>
        <v>#REF!</v>
      </c>
      <c r="W810" s="240" t="str">
        <f t="shared" si="1"/>
        <v/>
      </c>
      <c r="X810" s="240" t="str">
        <f>IFERROR(__xludf.DUMMYFUNCTION("IFERROR(
  FILTER('CBK Students'!R:R, TRIM('CBK Students'!B:B) = TRIM(A810)),
  """"
)"),"#REF!")</f>
        <v>#REF!</v>
      </c>
      <c r="Y810" s="4" t="str">
        <f t="shared" si="2"/>
        <v/>
      </c>
      <c r="Z810" s="4" t="str">
        <f>IFERROR(__xludf.DUMMYFUNCTION("IFERROR(
  FILTER('CBK Students'!O:O, TRIM('CBK Students'!B:B) = TRIM(A810)),
  """"
)"),"#REF!")</f>
        <v>#REF!</v>
      </c>
      <c r="AA810" s="4" t="str">
        <f>IFERROR(__xludf.DUMMYFUNCTION("IFERROR(
  FILTER('CBK Students'!P:P, TRIM('CBK Students'!B:B) = TRIM(A810)),
  """"
)"),"#REF!")</f>
        <v>#REF!</v>
      </c>
      <c r="AB810" s="4" t="str">
        <f>IFERROR(__xludf.DUMMYFUNCTION("IFERROR(
  FILTER('CBK Students'!Q:Q, TRIM('CBK Students'!B:B) = TRIM(A810)),
  """"
)"),"#REF!")</f>
        <v>#REF!</v>
      </c>
    </row>
    <row r="811" ht="18.75" customHeight="1">
      <c r="T811" s="240" t="str">
        <f>IFERROR(__xludf.DUMMYFUNCTION("IFERROR(
  FILTER('CBK Students'!F:F, TRIM('CBK Students'!B:B) = TRIM(A811)),
  """"
)"),"#REF!")</f>
        <v>#REF!</v>
      </c>
      <c r="U811" s="240" t="str">
        <f>IFERROR(__xludf.DUMMYFUNCTION("IFERROR(
  FILTER('CBK Students'!H:H, TRIM('CBK Students'!B:B) = TRIM(A811)),
  """"
)"),"#REF!")</f>
        <v>#REF!</v>
      </c>
      <c r="V811" s="240" t="str">
        <f>IFERROR(__xludf.DUMMYFUNCTION("IFERROR(
  FILTER('CBK Students'!M:M, TRIM('CBK Students'!B:B) = TRIM(A811)),
  """"
)"),"#REF!")</f>
        <v>#REF!</v>
      </c>
      <c r="W811" s="240" t="str">
        <f t="shared" si="1"/>
        <v/>
      </c>
      <c r="X811" s="240" t="str">
        <f>IFERROR(__xludf.DUMMYFUNCTION("IFERROR(
  FILTER('CBK Students'!R:R, TRIM('CBK Students'!B:B) = TRIM(A811)),
  """"
)"),"#REF!")</f>
        <v>#REF!</v>
      </c>
      <c r="Y811" s="4" t="str">
        <f t="shared" si="2"/>
        <v/>
      </c>
      <c r="Z811" s="4" t="str">
        <f>IFERROR(__xludf.DUMMYFUNCTION("IFERROR(
  FILTER('CBK Students'!O:O, TRIM('CBK Students'!B:B) = TRIM(A811)),
  """"
)"),"#REF!")</f>
        <v>#REF!</v>
      </c>
      <c r="AA811" s="4" t="str">
        <f>IFERROR(__xludf.DUMMYFUNCTION("IFERROR(
  FILTER('CBK Students'!P:P, TRIM('CBK Students'!B:B) = TRIM(A811)),
  """"
)"),"#REF!")</f>
        <v>#REF!</v>
      </c>
      <c r="AB811" s="4" t="str">
        <f>IFERROR(__xludf.DUMMYFUNCTION("IFERROR(
  FILTER('CBK Students'!Q:Q, TRIM('CBK Students'!B:B) = TRIM(A811)),
  """"
)"),"#REF!")</f>
        <v>#REF!</v>
      </c>
    </row>
    <row r="812" ht="18.75" customHeight="1">
      <c r="T812" s="240" t="str">
        <f>IFERROR(__xludf.DUMMYFUNCTION("IFERROR(
  FILTER('CBK Students'!F:F, TRIM('CBK Students'!B:B) = TRIM(A812)),
  """"
)"),"#REF!")</f>
        <v>#REF!</v>
      </c>
      <c r="U812" s="240" t="str">
        <f>IFERROR(__xludf.DUMMYFUNCTION("IFERROR(
  FILTER('CBK Students'!H:H, TRIM('CBK Students'!B:B) = TRIM(A812)),
  """"
)"),"#REF!")</f>
        <v>#REF!</v>
      </c>
      <c r="V812" s="240" t="str">
        <f>IFERROR(__xludf.DUMMYFUNCTION("IFERROR(
  FILTER('CBK Students'!M:M, TRIM('CBK Students'!B:B) = TRIM(A812)),
  """"
)"),"#REF!")</f>
        <v>#REF!</v>
      </c>
      <c r="W812" s="240" t="str">
        <f t="shared" si="1"/>
        <v/>
      </c>
      <c r="X812" s="240" t="str">
        <f>IFERROR(__xludf.DUMMYFUNCTION("IFERROR(
  FILTER('CBK Students'!R:R, TRIM('CBK Students'!B:B) = TRIM(A812)),
  """"
)"),"#REF!")</f>
        <v>#REF!</v>
      </c>
      <c r="Y812" s="4" t="str">
        <f t="shared" si="2"/>
        <v/>
      </c>
      <c r="Z812" s="4" t="str">
        <f>IFERROR(__xludf.DUMMYFUNCTION("IFERROR(
  FILTER('CBK Students'!O:O, TRIM('CBK Students'!B:B) = TRIM(A812)),
  """"
)"),"#REF!")</f>
        <v>#REF!</v>
      </c>
      <c r="AA812" s="4" t="str">
        <f>IFERROR(__xludf.DUMMYFUNCTION("IFERROR(
  FILTER('CBK Students'!P:P, TRIM('CBK Students'!B:B) = TRIM(A812)),
  """"
)"),"#REF!")</f>
        <v>#REF!</v>
      </c>
      <c r="AB812" s="4" t="str">
        <f>IFERROR(__xludf.DUMMYFUNCTION("IFERROR(
  FILTER('CBK Students'!Q:Q, TRIM('CBK Students'!B:B) = TRIM(A812)),
  """"
)"),"#REF!")</f>
        <v>#REF!</v>
      </c>
    </row>
    <row r="813" ht="18.75" customHeight="1">
      <c r="T813" s="240" t="str">
        <f>IFERROR(__xludf.DUMMYFUNCTION("IFERROR(
  FILTER('CBK Students'!F:F, TRIM('CBK Students'!B:B) = TRIM(A813)),
  """"
)"),"#REF!")</f>
        <v>#REF!</v>
      </c>
      <c r="U813" s="240" t="str">
        <f>IFERROR(__xludf.DUMMYFUNCTION("IFERROR(
  FILTER('CBK Students'!H:H, TRIM('CBK Students'!B:B) = TRIM(A813)),
  """"
)"),"#REF!")</f>
        <v>#REF!</v>
      </c>
      <c r="V813" s="240" t="str">
        <f>IFERROR(__xludf.DUMMYFUNCTION("IFERROR(
  FILTER('CBK Students'!M:M, TRIM('CBK Students'!B:B) = TRIM(A813)),
  """"
)"),"#REF!")</f>
        <v>#REF!</v>
      </c>
      <c r="W813" s="240" t="str">
        <f t="shared" si="1"/>
        <v/>
      </c>
      <c r="X813" s="240" t="str">
        <f>IFERROR(__xludf.DUMMYFUNCTION("IFERROR(
  FILTER('CBK Students'!R:R, TRIM('CBK Students'!B:B) = TRIM(A813)),
  """"
)"),"#REF!")</f>
        <v>#REF!</v>
      </c>
      <c r="Y813" s="4" t="str">
        <f t="shared" si="2"/>
        <v/>
      </c>
      <c r="Z813" s="4" t="str">
        <f>IFERROR(__xludf.DUMMYFUNCTION("IFERROR(
  FILTER('CBK Students'!O:O, TRIM('CBK Students'!B:B) = TRIM(A813)),
  """"
)"),"#REF!")</f>
        <v>#REF!</v>
      </c>
      <c r="AA813" s="4" t="str">
        <f>IFERROR(__xludf.DUMMYFUNCTION("IFERROR(
  FILTER('CBK Students'!P:P, TRIM('CBK Students'!B:B) = TRIM(A813)),
  """"
)"),"#REF!")</f>
        <v>#REF!</v>
      </c>
      <c r="AB813" s="4" t="str">
        <f>IFERROR(__xludf.DUMMYFUNCTION("IFERROR(
  FILTER('CBK Students'!Q:Q, TRIM('CBK Students'!B:B) = TRIM(A813)),
  """"
)"),"#REF!")</f>
        <v>#REF!</v>
      </c>
    </row>
    <row r="814" ht="18.75" customHeight="1">
      <c r="T814" s="240" t="str">
        <f>IFERROR(__xludf.DUMMYFUNCTION("IFERROR(
  FILTER('CBK Students'!F:F, TRIM('CBK Students'!B:B) = TRIM(A814)),
  """"
)"),"#REF!")</f>
        <v>#REF!</v>
      </c>
      <c r="U814" s="240" t="str">
        <f>IFERROR(__xludf.DUMMYFUNCTION("IFERROR(
  FILTER('CBK Students'!H:H, TRIM('CBK Students'!B:B) = TRIM(A814)),
  """"
)"),"#REF!")</f>
        <v>#REF!</v>
      </c>
      <c r="V814" s="240" t="str">
        <f>IFERROR(__xludf.DUMMYFUNCTION("IFERROR(
  FILTER('CBK Students'!M:M, TRIM('CBK Students'!B:B) = TRIM(A814)),
  """"
)"),"#REF!")</f>
        <v>#REF!</v>
      </c>
      <c r="W814" s="240" t="str">
        <f t="shared" si="1"/>
        <v/>
      </c>
      <c r="X814" s="240" t="str">
        <f>IFERROR(__xludf.DUMMYFUNCTION("IFERROR(
  FILTER('CBK Students'!R:R, TRIM('CBK Students'!B:B) = TRIM(A814)),
  """"
)"),"#REF!")</f>
        <v>#REF!</v>
      </c>
      <c r="Y814" s="4" t="str">
        <f t="shared" si="2"/>
        <v/>
      </c>
      <c r="Z814" s="4" t="str">
        <f>IFERROR(__xludf.DUMMYFUNCTION("IFERROR(
  FILTER('CBK Students'!O:O, TRIM('CBK Students'!B:B) = TRIM(A814)),
  """"
)"),"#REF!")</f>
        <v>#REF!</v>
      </c>
      <c r="AA814" s="4" t="str">
        <f>IFERROR(__xludf.DUMMYFUNCTION("IFERROR(
  FILTER('CBK Students'!P:P, TRIM('CBK Students'!B:B) = TRIM(A814)),
  """"
)"),"#REF!")</f>
        <v>#REF!</v>
      </c>
      <c r="AB814" s="4" t="str">
        <f>IFERROR(__xludf.DUMMYFUNCTION("IFERROR(
  FILTER('CBK Students'!Q:Q, TRIM('CBK Students'!B:B) = TRIM(A814)),
  """"
)"),"#REF!")</f>
        <v>#REF!</v>
      </c>
    </row>
    <row r="815" ht="18.75" customHeight="1">
      <c r="T815" s="240" t="str">
        <f>IFERROR(__xludf.DUMMYFUNCTION("IFERROR(
  FILTER('CBK Students'!F:F, TRIM('CBK Students'!B:B) = TRIM(A815)),
  """"
)"),"#REF!")</f>
        <v>#REF!</v>
      </c>
      <c r="U815" s="240" t="str">
        <f>IFERROR(__xludf.DUMMYFUNCTION("IFERROR(
  FILTER('CBK Students'!H:H, TRIM('CBK Students'!B:B) = TRIM(A815)),
  """"
)"),"#REF!")</f>
        <v>#REF!</v>
      </c>
      <c r="V815" s="240" t="str">
        <f>IFERROR(__xludf.DUMMYFUNCTION("IFERROR(
  FILTER('CBK Students'!M:M, TRIM('CBK Students'!B:B) = TRIM(A815)),
  """"
)"),"#REF!")</f>
        <v>#REF!</v>
      </c>
      <c r="W815" s="240" t="str">
        <f t="shared" si="1"/>
        <v/>
      </c>
      <c r="X815" s="240" t="str">
        <f>IFERROR(__xludf.DUMMYFUNCTION("IFERROR(
  FILTER('CBK Students'!R:R, TRIM('CBK Students'!B:B) = TRIM(A815)),
  """"
)"),"#REF!")</f>
        <v>#REF!</v>
      </c>
      <c r="Y815" s="4" t="str">
        <f t="shared" si="2"/>
        <v/>
      </c>
      <c r="Z815" s="4" t="str">
        <f>IFERROR(__xludf.DUMMYFUNCTION("IFERROR(
  FILTER('CBK Students'!O:O, TRIM('CBK Students'!B:B) = TRIM(A815)),
  """"
)"),"#REF!")</f>
        <v>#REF!</v>
      </c>
      <c r="AA815" s="4" t="str">
        <f>IFERROR(__xludf.DUMMYFUNCTION("IFERROR(
  FILTER('CBK Students'!P:P, TRIM('CBK Students'!B:B) = TRIM(A815)),
  """"
)"),"#REF!")</f>
        <v>#REF!</v>
      </c>
      <c r="AB815" s="4" t="str">
        <f>IFERROR(__xludf.DUMMYFUNCTION("IFERROR(
  FILTER('CBK Students'!Q:Q, TRIM('CBK Students'!B:B) = TRIM(A815)),
  """"
)"),"#REF!")</f>
        <v>#REF!</v>
      </c>
    </row>
    <row r="816" ht="18.75" customHeight="1">
      <c r="T816" s="240" t="str">
        <f>IFERROR(__xludf.DUMMYFUNCTION("IFERROR(
  FILTER('CBK Students'!F:F, TRIM('CBK Students'!B:B) = TRIM(A816)),
  """"
)"),"#REF!")</f>
        <v>#REF!</v>
      </c>
      <c r="U816" s="240" t="str">
        <f>IFERROR(__xludf.DUMMYFUNCTION("IFERROR(
  FILTER('CBK Students'!H:H, TRIM('CBK Students'!B:B) = TRIM(A816)),
  """"
)"),"#REF!")</f>
        <v>#REF!</v>
      </c>
      <c r="V816" s="240" t="str">
        <f>IFERROR(__xludf.DUMMYFUNCTION("IFERROR(
  FILTER('CBK Students'!M:M, TRIM('CBK Students'!B:B) = TRIM(A816)),
  """"
)"),"#REF!")</f>
        <v>#REF!</v>
      </c>
      <c r="W816" s="240" t="str">
        <f t="shared" si="1"/>
        <v/>
      </c>
      <c r="X816" s="240" t="str">
        <f>IFERROR(__xludf.DUMMYFUNCTION("IFERROR(
  FILTER('CBK Students'!R:R, TRIM('CBK Students'!B:B) = TRIM(A816)),
  """"
)"),"#REF!")</f>
        <v>#REF!</v>
      </c>
      <c r="Y816" s="4" t="str">
        <f t="shared" si="2"/>
        <v/>
      </c>
      <c r="Z816" s="4" t="str">
        <f>IFERROR(__xludf.DUMMYFUNCTION("IFERROR(
  FILTER('CBK Students'!O:O, TRIM('CBK Students'!B:B) = TRIM(A816)),
  """"
)"),"#REF!")</f>
        <v>#REF!</v>
      </c>
      <c r="AA816" s="4" t="str">
        <f>IFERROR(__xludf.DUMMYFUNCTION("IFERROR(
  FILTER('CBK Students'!P:P, TRIM('CBK Students'!B:B) = TRIM(A816)),
  """"
)"),"#REF!")</f>
        <v>#REF!</v>
      </c>
      <c r="AB816" s="4" t="str">
        <f>IFERROR(__xludf.DUMMYFUNCTION("IFERROR(
  FILTER('CBK Students'!Q:Q, TRIM('CBK Students'!B:B) = TRIM(A816)),
  """"
)"),"#REF!")</f>
        <v>#REF!</v>
      </c>
    </row>
    <row r="817" ht="18.75" customHeight="1">
      <c r="T817" s="240" t="str">
        <f>IFERROR(__xludf.DUMMYFUNCTION("IFERROR(
  FILTER('CBK Students'!F:F, TRIM('CBK Students'!B:B) = TRIM(A817)),
  """"
)"),"#REF!")</f>
        <v>#REF!</v>
      </c>
      <c r="U817" s="240" t="str">
        <f>IFERROR(__xludf.DUMMYFUNCTION("IFERROR(
  FILTER('CBK Students'!H:H, TRIM('CBK Students'!B:B) = TRIM(A817)),
  """"
)"),"#REF!")</f>
        <v>#REF!</v>
      </c>
      <c r="V817" s="240" t="str">
        <f>IFERROR(__xludf.DUMMYFUNCTION("IFERROR(
  FILTER('CBK Students'!M:M, TRIM('CBK Students'!B:B) = TRIM(A817)),
  """"
)"),"#REF!")</f>
        <v>#REF!</v>
      </c>
      <c r="W817" s="240" t="str">
        <f t="shared" si="1"/>
        <v/>
      </c>
      <c r="X817" s="240" t="str">
        <f>IFERROR(__xludf.DUMMYFUNCTION("IFERROR(
  FILTER('CBK Students'!R:R, TRIM('CBK Students'!B:B) = TRIM(A817)),
  """"
)"),"#REF!")</f>
        <v>#REF!</v>
      </c>
      <c r="Y817" s="4" t="str">
        <f t="shared" si="2"/>
        <v/>
      </c>
      <c r="Z817" s="4" t="str">
        <f>IFERROR(__xludf.DUMMYFUNCTION("IFERROR(
  FILTER('CBK Students'!O:O, TRIM('CBK Students'!B:B) = TRIM(A817)),
  """"
)"),"#REF!")</f>
        <v>#REF!</v>
      </c>
      <c r="AA817" s="4" t="str">
        <f>IFERROR(__xludf.DUMMYFUNCTION("IFERROR(
  FILTER('CBK Students'!P:P, TRIM('CBK Students'!B:B) = TRIM(A817)),
  """"
)"),"#REF!")</f>
        <v>#REF!</v>
      </c>
      <c r="AB817" s="4" t="str">
        <f>IFERROR(__xludf.DUMMYFUNCTION("IFERROR(
  FILTER('CBK Students'!Q:Q, TRIM('CBK Students'!B:B) = TRIM(A817)),
  """"
)"),"#REF!")</f>
        <v>#REF!</v>
      </c>
    </row>
    <row r="818" ht="18.75" customHeight="1">
      <c r="T818" s="240" t="str">
        <f>IFERROR(__xludf.DUMMYFUNCTION("IFERROR(
  FILTER('CBK Students'!F:F, TRIM('CBK Students'!B:B) = TRIM(A818)),
  """"
)"),"#REF!")</f>
        <v>#REF!</v>
      </c>
      <c r="U818" s="240" t="str">
        <f>IFERROR(__xludf.DUMMYFUNCTION("IFERROR(
  FILTER('CBK Students'!H:H, TRIM('CBK Students'!B:B) = TRIM(A818)),
  """"
)"),"#REF!")</f>
        <v>#REF!</v>
      </c>
      <c r="V818" s="240" t="str">
        <f>IFERROR(__xludf.DUMMYFUNCTION("IFERROR(
  FILTER('CBK Students'!M:M, TRIM('CBK Students'!B:B) = TRIM(A818)),
  """"
)"),"#REF!")</f>
        <v>#REF!</v>
      </c>
      <c r="W818" s="240" t="str">
        <f t="shared" si="1"/>
        <v/>
      </c>
      <c r="X818" s="240" t="str">
        <f>IFERROR(__xludf.DUMMYFUNCTION("IFERROR(
  FILTER('CBK Students'!R:R, TRIM('CBK Students'!B:B) = TRIM(A818)),
  """"
)"),"#REF!")</f>
        <v>#REF!</v>
      </c>
      <c r="Y818" s="4" t="str">
        <f t="shared" si="2"/>
        <v/>
      </c>
      <c r="Z818" s="4" t="str">
        <f>IFERROR(__xludf.DUMMYFUNCTION("IFERROR(
  FILTER('CBK Students'!O:O, TRIM('CBK Students'!B:B) = TRIM(A818)),
  """"
)"),"#REF!")</f>
        <v>#REF!</v>
      </c>
      <c r="AA818" s="4" t="str">
        <f>IFERROR(__xludf.DUMMYFUNCTION("IFERROR(
  FILTER('CBK Students'!P:P, TRIM('CBK Students'!B:B) = TRIM(A818)),
  """"
)"),"#REF!")</f>
        <v>#REF!</v>
      </c>
      <c r="AB818" s="4" t="str">
        <f>IFERROR(__xludf.DUMMYFUNCTION("IFERROR(
  FILTER('CBK Students'!Q:Q, TRIM('CBK Students'!B:B) = TRIM(A818)),
  """"
)"),"#REF!")</f>
        <v>#REF!</v>
      </c>
    </row>
    <row r="819" ht="18.75" customHeight="1">
      <c r="T819" s="240" t="str">
        <f>IFERROR(__xludf.DUMMYFUNCTION("IFERROR(
  FILTER('CBK Students'!F:F, TRIM('CBK Students'!B:B) = TRIM(A819)),
  """"
)"),"#REF!")</f>
        <v>#REF!</v>
      </c>
      <c r="U819" s="240" t="str">
        <f>IFERROR(__xludf.DUMMYFUNCTION("IFERROR(
  FILTER('CBK Students'!H:H, TRIM('CBK Students'!B:B) = TRIM(A819)),
  """"
)"),"#REF!")</f>
        <v>#REF!</v>
      </c>
      <c r="V819" s="240" t="str">
        <f>IFERROR(__xludf.DUMMYFUNCTION("IFERROR(
  FILTER('CBK Students'!M:M, TRIM('CBK Students'!B:B) = TRIM(A819)),
  """"
)"),"#REF!")</f>
        <v>#REF!</v>
      </c>
      <c r="W819" s="240" t="str">
        <f t="shared" si="1"/>
        <v/>
      </c>
      <c r="X819" s="240" t="str">
        <f>IFERROR(__xludf.DUMMYFUNCTION("IFERROR(
  FILTER('CBK Students'!R:R, TRIM('CBK Students'!B:B) = TRIM(A819)),
  """"
)"),"#REF!")</f>
        <v>#REF!</v>
      </c>
      <c r="Y819" s="4" t="str">
        <f t="shared" si="2"/>
        <v/>
      </c>
      <c r="Z819" s="4" t="str">
        <f>IFERROR(__xludf.DUMMYFUNCTION("IFERROR(
  FILTER('CBK Students'!O:O, TRIM('CBK Students'!B:B) = TRIM(A819)),
  """"
)"),"#REF!")</f>
        <v>#REF!</v>
      </c>
      <c r="AA819" s="4" t="str">
        <f>IFERROR(__xludf.DUMMYFUNCTION("IFERROR(
  FILTER('CBK Students'!P:P, TRIM('CBK Students'!B:B) = TRIM(A819)),
  """"
)"),"#REF!")</f>
        <v>#REF!</v>
      </c>
      <c r="AB819" s="4" t="str">
        <f>IFERROR(__xludf.DUMMYFUNCTION("IFERROR(
  FILTER('CBK Students'!Q:Q, TRIM('CBK Students'!B:B) = TRIM(A819)),
  """"
)"),"#REF!")</f>
        <v>#REF!</v>
      </c>
    </row>
    <row r="820" ht="18.75" customHeight="1">
      <c r="T820" s="240" t="str">
        <f>IFERROR(__xludf.DUMMYFUNCTION("IFERROR(
  FILTER('CBK Students'!F:F, TRIM('CBK Students'!B:B) = TRIM(A820)),
  """"
)"),"#REF!")</f>
        <v>#REF!</v>
      </c>
      <c r="U820" s="240" t="str">
        <f>IFERROR(__xludf.DUMMYFUNCTION("IFERROR(
  FILTER('CBK Students'!H:H, TRIM('CBK Students'!B:B) = TRIM(A820)),
  """"
)"),"#REF!")</f>
        <v>#REF!</v>
      </c>
      <c r="V820" s="240" t="str">
        <f>IFERROR(__xludf.DUMMYFUNCTION("IFERROR(
  FILTER('CBK Students'!M:M, TRIM('CBK Students'!B:B) = TRIM(A820)),
  """"
)"),"#REF!")</f>
        <v>#REF!</v>
      </c>
      <c r="W820" s="240" t="str">
        <f t="shared" si="1"/>
        <v/>
      </c>
      <c r="X820" s="240" t="str">
        <f>IFERROR(__xludf.DUMMYFUNCTION("IFERROR(
  FILTER('CBK Students'!R:R, TRIM('CBK Students'!B:B) = TRIM(A820)),
  """"
)"),"#REF!")</f>
        <v>#REF!</v>
      </c>
      <c r="Y820" s="4" t="str">
        <f t="shared" si="2"/>
        <v/>
      </c>
      <c r="Z820" s="4" t="str">
        <f>IFERROR(__xludf.DUMMYFUNCTION("IFERROR(
  FILTER('CBK Students'!O:O, TRIM('CBK Students'!B:B) = TRIM(A820)),
  """"
)"),"#REF!")</f>
        <v>#REF!</v>
      </c>
      <c r="AA820" s="4" t="str">
        <f>IFERROR(__xludf.DUMMYFUNCTION("IFERROR(
  FILTER('CBK Students'!P:P, TRIM('CBK Students'!B:B) = TRIM(A820)),
  """"
)"),"#REF!")</f>
        <v>#REF!</v>
      </c>
      <c r="AB820" s="4" t="str">
        <f>IFERROR(__xludf.DUMMYFUNCTION("IFERROR(
  FILTER('CBK Students'!Q:Q, TRIM('CBK Students'!B:B) = TRIM(A820)),
  """"
)"),"#REF!")</f>
        <v>#REF!</v>
      </c>
    </row>
    <row r="821" ht="18.75" customHeight="1">
      <c r="T821" s="240" t="str">
        <f>IFERROR(__xludf.DUMMYFUNCTION("IFERROR(
  FILTER('CBK Students'!F:F, TRIM('CBK Students'!B:B) = TRIM(A821)),
  """"
)"),"#REF!")</f>
        <v>#REF!</v>
      </c>
      <c r="U821" s="240" t="str">
        <f>IFERROR(__xludf.DUMMYFUNCTION("IFERROR(
  FILTER('CBK Students'!H:H, TRIM('CBK Students'!B:B) = TRIM(A821)),
  """"
)"),"#REF!")</f>
        <v>#REF!</v>
      </c>
      <c r="V821" s="240" t="str">
        <f>IFERROR(__xludf.DUMMYFUNCTION("IFERROR(
  FILTER('CBK Students'!M:M, TRIM('CBK Students'!B:B) = TRIM(A821)),
  """"
)"),"#REF!")</f>
        <v>#REF!</v>
      </c>
      <c r="W821" s="240" t="str">
        <f t="shared" si="1"/>
        <v/>
      </c>
      <c r="X821" s="240" t="str">
        <f>IFERROR(__xludf.DUMMYFUNCTION("IFERROR(
  FILTER('CBK Students'!R:R, TRIM('CBK Students'!B:B) = TRIM(A821)),
  """"
)"),"#REF!")</f>
        <v>#REF!</v>
      </c>
      <c r="Y821" s="4" t="str">
        <f t="shared" si="2"/>
        <v/>
      </c>
      <c r="Z821" s="4" t="str">
        <f>IFERROR(__xludf.DUMMYFUNCTION("IFERROR(
  FILTER('CBK Students'!O:O, TRIM('CBK Students'!B:B) = TRIM(A821)),
  """"
)"),"#REF!")</f>
        <v>#REF!</v>
      </c>
      <c r="AA821" s="4" t="str">
        <f>IFERROR(__xludf.DUMMYFUNCTION("IFERROR(
  FILTER('CBK Students'!P:P, TRIM('CBK Students'!B:B) = TRIM(A821)),
  """"
)"),"#REF!")</f>
        <v>#REF!</v>
      </c>
      <c r="AB821" s="4" t="str">
        <f>IFERROR(__xludf.DUMMYFUNCTION("IFERROR(
  FILTER('CBK Students'!Q:Q, TRIM('CBK Students'!B:B) = TRIM(A821)),
  """"
)"),"#REF!")</f>
        <v>#REF!</v>
      </c>
    </row>
    <row r="822" ht="18.75" customHeight="1">
      <c r="T822" s="240" t="str">
        <f>IFERROR(__xludf.DUMMYFUNCTION("IFERROR(
  FILTER('CBK Students'!F:F, TRIM('CBK Students'!B:B) = TRIM(A822)),
  """"
)"),"#REF!")</f>
        <v>#REF!</v>
      </c>
      <c r="U822" s="240" t="str">
        <f>IFERROR(__xludf.DUMMYFUNCTION("IFERROR(
  FILTER('CBK Students'!H:H, TRIM('CBK Students'!B:B) = TRIM(A822)),
  """"
)"),"#REF!")</f>
        <v>#REF!</v>
      </c>
      <c r="V822" s="240" t="str">
        <f>IFERROR(__xludf.DUMMYFUNCTION("IFERROR(
  FILTER('CBK Students'!M:M, TRIM('CBK Students'!B:B) = TRIM(A822)),
  """"
)"),"#REF!")</f>
        <v>#REF!</v>
      </c>
      <c r="W822" s="240" t="str">
        <f t="shared" si="1"/>
        <v/>
      </c>
      <c r="X822" s="240" t="str">
        <f>IFERROR(__xludf.DUMMYFUNCTION("IFERROR(
  FILTER('CBK Students'!R:R, TRIM('CBK Students'!B:B) = TRIM(A822)),
  """"
)"),"#REF!")</f>
        <v>#REF!</v>
      </c>
      <c r="Y822" s="4" t="str">
        <f t="shared" si="2"/>
        <v/>
      </c>
      <c r="Z822" s="4" t="str">
        <f>IFERROR(__xludf.DUMMYFUNCTION("IFERROR(
  FILTER('CBK Students'!O:O, TRIM('CBK Students'!B:B) = TRIM(A822)),
  """"
)"),"#REF!")</f>
        <v>#REF!</v>
      </c>
      <c r="AA822" s="4" t="str">
        <f>IFERROR(__xludf.DUMMYFUNCTION("IFERROR(
  FILTER('CBK Students'!P:P, TRIM('CBK Students'!B:B) = TRIM(A822)),
  """"
)"),"#REF!")</f>
        <v>#REF!</v>
      </c>
      <c r="AB822" s="4" t="str">
        <f>IFERROR(__xludf.DUMMYFUNCTION("IFERROR(
  FILTER('CBK Students'!Q:Q, TRIM('CBK Students'!B:B) = TRIM(A822)),
  """"
)"),"#REF!")</f>
        <v>#REF!</v>
      </c>
    </row>
    <row r="823" ht="18.75" customHeight="1">
      <c r="T823" s="240" t="str">
        <f>IFERROR(__xludf.DUMMYFUNCTION("IFERROR(
  FILTER('CBK Students'!F:F, TRIM('CBK Students'!B:B) = TRIM(A823)),
  """"
)"),"#REF!")</f>
        <v>#REF!</v>
      </c>
      <c r="U823" s="240" t="str">
        <f>IFERROR(__xludf.DUMMYFUNCTION("IFERROR(
  FILTER('CBK Students'!H:H, TRIM('CBK Students'!B:B) = TRIM(A823)),
  """"
)"),"#REF!")</f>
        <v>#REF!</v>
      </c>
      <c r="V823" s="240" t="str">
        <f>IFERROR(__xludf.DUMMYFUNCTION("IFERROR(
  FILTER('CBK Students'!M:M, TRIM('CBK Students'!B:B) = TRIM(A823)),
  """"
)"),"#REF!")</f>
        <v>#REF!</v>
      </c>
      <c r="W823" s="240" t="str">
        <f t="shared" si="1"/>
        <v/>
      </c>
      <c r="X823" s="240" t="str">
        <f>IFERROR(__xludf.DUMMYFUNCTION("IFERROR(
  FILTER('CBK Students'!R:R, TRIM('CBK Students'!B:B) = TRIM(A823)),
  """"
)"),"#REF!")</f>
        <v>#REF!</v>
      </c>
      <c r="Y823" s="4" t="str">
        <f t="shared" si="2"/>
        <v/>
      </c>
      <c r="Z823" s="4" t="str">
        <f>IFERROR(__xludf.DUMMYFUNCTION("IFERROR(
  FILTER('CBK Students'!O:O, TRIM('CBK Students'!B:B) = TRIM(A823)),
  """"
)"),"#REF!")</f>
        <v>#REF!</v>
      </c>
      <c r="AA823" s="4" t="str">
        <f>IFERROR(__xludf.DUMMYFUNCTION("IFERROR(
  FILTER('CBK Students'!P:P, TRIM('CBK Students'!B:B) = TRIM(A823)),
  """"
)"),"#REF!")</f>
        <v>#REF!</v>
      </c>
      <c r="AB823" s="4" t="str">
        <f>IFERROR(__xludf.DUMMYFUNCTION("IFERROR(
  FILTER('CBK Students'!Q:Q, TRIM('CBK Students'!B:B) = TRIM(A823)),
  """"
)"),"#REF!")</f>
        <v>#REF!</v>
      </c>
    </row>
    <row r="824" ht="18.75" customHeight="1">
      <c r="T824" s="240" t="str">
        <f>IFERROR(__xludf.DUMMYFUNCTION("IFERROR(
  FILTER('CBK Students'!F:F, TRIM('CBK Students'!B:B) = TRIM(A824)),
  """"
)"),"#REF!")</f>
        <v>#REF!</v>
      </c>
      <c r="U824" s="240" t="str">
        <f>IFERROR(__xludf.DUMMYFUNCTION("IFERROR(
  FILTER('CBK Students'!H:H, TRIM('CBK Students'!B:B) = TRIM(A824)),
  """"
)"),"#REF!")</f>
        <v>#REF!</v>
      </c>
      <c r="V824" s="240" t="str">
        <f>IFERROR(__xludf.DUMMYFUNCTION("IFERROR(
  FILTER('CBK Students'!M:M, TRIM('CBK Students'!B:B) = TRIM(A824)),
  """"
)"),"#REF!")</f>
        <v>#REF!</v>
      </c>
      <c r="W824" s="240" t="str">
        <f t="shared" si="1"/>
        <v/>
      </c>
      <c r="X824" s="240" t="str">
        <f>IFERROR(__xludf.DUMMYFUNCTION("IFERROR(
  FILTER('CBK Students'!R:R, TRIM('CBK Students'!B:B) = TRIM(A824)),
  """"
)"),"#REF!")</f>
        <v>#REF!</v>
      </c>
      <c r="Y824" s="4" t="str">
        <f t="shared" si="2"/>
        <v/>
      </c>
      <c r="Z824" s="4" t="str">
        <f>IFERROR(__xludf.DUMMYFUNCTION("IFERROR(
  FILTER('CBK Students'!O:O, TRIM('CBK Students'!B:B) = TRIM(A824)),
  """"
)"),"#REF!")</f>
        <v>#REF!</v>
      </c>
      <c r="AA824" s="4" t="str">
        <f>IFERROR(__xludf.DUMMYFUNCTION("IFERROR(
  FILTER('CBK Students'!P:P, TRIM('CBK Students'!B:B) = TRIM(A824)),
  """"
)"),"#REF!")</f>
        <v>#REF!</v>
      </c>
      <c r="AB824" s="4" t="str">
        <f>IFERROR(__xludf.DUMMYFUNCTION("IFERROR(
  FILTER('CBK Students'!Q:Q, TRIM('CBK Students'!B:B) = TRIM(A824)),
  """"
)"),"#REF!")</f>
        <v>#REF!</v>
      </c>
    </row>
    <row r="825" ht="18.75" customHeight="1">
      <c r="T825" s="240" t="str">
        <f>IFERROR(__xludf.DUMMYFUNCTION("IFERROR(
  FILTER('CBK Students'!F:F, TRIM('CBK Students'!B:B) = TRIM(A825)),
  """"
)"),"#REF!")</f>
        <v>#REF!</v>
      </c>
      <c r="U825" s="240" t="str">
        <f>IFERROR(__xludf.DUMMYFUNCTION("IFERROR(
  FILTER('CBK Students'!H:H, TRIM('CBK Students'!B:B) = TRIM(A825)),
  """"
)"),"#REF!")</f>
        <v>#REF!</v>
      </c>
      <c r="V825" s="240" t="str">
        <f>IFERROR(__xludf.DUMMYFUNCTION("IFERROR(
  FILTER('CBK Students'!M:M, TRIM('CBK Students'!B:B) = TRIM(A825)),
  """"
)"),"#REF!")</f>
        <v>#REF!</v>
      </c>
      <c r="W825" s="240" t="str">
        <f t="shared" si="1"/>
        <v/>
      </c>
      <c r="X825" s="240" t="str">
        <f>IFERROR(__xludf.DUMMYFUNCTION("IFERROR(
  FILTER('CBK Students'!R:R, TRIM('CBK Students'!B:B) = TRIM(A825)),
  """"
)"),"#REF!")</f>
        <v>#REF!</v>
      </c>
      <c r="Y825" s="4" t="str">
        <f t="shared" si="2"/>
        <v/>
      </c>
      <c r="Z825" s="4" t="str">
        <f>IFERROR(__xludf.DUMMYFUNCTION("IFERROR(
  FILTER('CBK Students'!O:O, TRIM('CBK Students'!B:B) = TRIM(A825)),
  """"
)"),"#REF!")</f>
        <v>#REF!</v>
      </c>
      <c r="AA825" s="4" t="str">
        <f>IFERROR(__xludf.DUMMYFUNCTION("IFERROR(
  FILTER('CBK Students'!P:P, TRIM('CBK Students'!B:B) = TRIM(A825)),
  """"
)"),"#REF!")</f>
        <v>#REF!</v>
      </c>
      <c r="AB825" s="4" t="str">
        <f>IFERROR(__xludf.DUMMYFUNCTION("IFERROR(
  FILTER('CBK Students'!Q:Q, TRIM('CBK Students'!B:B) = TRIM(A825)),
  """"
)"),"#REF!")</f>
        <v>#REF!</v>
      </c>
    </row>
    <row r="826" ht="18.75" customHeight="1">
      <c r="T826" s="240" t="str">
        <f>IFERROR(__xludf.DUMMYFUNCTION("IFERROR(
  FILTER('CBK Students'!F:F, TRIM('CBK Students'!B:B) = TRIM(A826)),
  """"
)"),"#REF!")</f>
        <v>#REF!</v>
      </c>
      <c r="U826" s="240" t="str">
        <f>IFERROR(__xludf.DUMMYFUNCTION("IFERROR(
  FILTER('CBK Students'!H:H, TRIM('CBK Students'!B:B) = TRIM(A826)),
  """"
)"),"#REF!")</f>
        <v>#REF!</v>
      </c>
      <c r="V826" s="240" t="str">
        <f>IFERROR(__xludf.DUMMYFUNCTION("IFERROR(
  FILTER('CBK Students'!M:M, TRIM('CBK Students'!B:B) = TRIM(A826)),
  """"
)"),"#REF!")</f>
        <v>#REF!</v>
      </c>
      <c r="W826" s="240" t="str">
        <f t="shared" si="1"/>
        <v/>
      </c>
      <c r="X826" s="240" t="str">
        <f>IFERROR(__xludf.DUMMYFUNCTION("IFERROR(
  FILTER('CBK Students'!R:R, TRIM('CBK Students'!B:B) = TRIM(A826)),
  """"
)"),"#REF!")</f>
        <v>#REF!</v>
      </c>
      <c r="Y826" s="4" t="str">
        <f t="shared" si="2"/>
        <v/>
      </c>
      <c r="Z826" s="4" t="str">
        <f>IFERROR(__xludf.DUMMYFUNCTION("IFERROR(
  FILTER('CBK Students'!O:O, TRIM('CBK Students'!B:B) = TRIM(A826)),
  """"
)"),"#REF!")</f>
        <v>#REF!</v>
      </c>
      <c r="AA826" s="4" t="str">
        <f>IFERROR(__xludf.DUMMYFUNCTION("IFERROR(
  FILTER('CBK Students'!P:P, TRIM('CBK Students'!B:B) = TRIM(A826)),
  """"
)"),"#REF!")</f>
        <v>#REF!</v>
      </c>
      <c r="AB826" s="4" t="str">
        <f>IFERROR(__xludf.DUMMYFUNCTION("IFERROR(
  FILTER('CBK Students'!Q:Q, TRIM('CBK Students'!B:B) = TRIM(A826)),
  """"
)"),"#REF!")</f>
        <v>#REF!</v>
      </c>
    </row>
    <row r="827" ht="18.75" customHeight="1">
      <c r="T827" s="240" t="str">
        <f>IFERROR(__xludf.DUMMYFUNCTION("IFERROR(
  FILTER('CBK Students'!F:F, TRIM('CBK Students'!B:B) = TRIM(A827)),
  """"
)"),"#REF!")</f>
        <v>#REF!</v>
      </c>
      <c r="U827" s="240" t="str">
        <f>IFERROR(__xludf.DUMMYFUNCTION("IFERROR(
  FILTER('CBK Students'!H:H, TRIM('CBK Students'!B:B) = TRIM(A827)),
  """"
)"),"#REF!")</f>
        <v>#REF!</v>
      </c>
      <c r="V827" s="240" t="str">
        <f>IFERROR(__xludf.DUMMYFUNCTION("IFERROR(
  FILTER('CBK Students'!M:M, TRIM('CBK Students'!B:B) = TRIM(A827)),
  """"
)"),"#REF!")</f>
        <v>#REF!</v>
      </c>
      <c r="W827" s="240" t="str">
        <f t="shared" si="1"/>
        <v/>
      </c>
      <c r="X827" s="240" t="str">
        <f>IFERROR(__xludf.DUMMYFUNCTION("IFERROR(
  FILTER('CBK Students'!R:R, TRIM('CBK Students'!B:B) = TRIM(A827)),
  """"
)"),"#REF!")</f>
        <v>#REF!</v>
      </c>
      <c r="Y827" s="4" t="str">
        <f t="shared" si="2"/>
        <v/>
      </c>
      <c r="Z827" s="4" t="str">
        <f>IFERROR(__xludf.DUMMYFUNCTION("IFERROR(
  FILTER('CBK Students'!O:O, TRIM('CBK Students'!B:B) = TRIM(A827)),
  """"
)"),"#REF!")</f>
        <v>#REF!</v>
      </c>
      <c r="AA827" s="4" t="str">
        <f>IFERROR(__xludf.DUMMYFUNCTION("IFERROR(
  FILTER('CBK Students'!P:P, TRIM('CBK Students'!B:B) = TRIM(A827)),
  """"
)"),"#REF!")</f>
        <v>#REF!</v>
      </c>
      <c r="AB827" s="4" t="str">
        <f>IFERROR(__xludf.DUMMYFUNCTION("IFERROR(
  FILTER('CBK Students'!Q:Q, TRIM('CBK Students'!B:B) = TRIM(A827)),
  """"
)"),"#REF!")</f>
        <v>#REF!</v>
      </c>
    </row>
    <row r="828" ht="18.75" customHeight="1">
      <c r="T828" s="240" t="str">
        <f>IFERROR(__xludf.DUMMYFUNCTION("IFERROR(
  FILTER('CBK Students'!F:F, TRIM('CBK Students'!B:B) = TRIM(A828)),
  """"
)"),"#REF!")</f>
        <v>#REF!</v>
      </c>
      <c r="U828" s="240" t="str">
        <f>IFERROR(__xludf.DUMMYFUNCTION("IFERROR(
  FILTER('CBK Students'!H:H, TRIM('CBK Students'!B:B) = TRIM(A828)),
  """"
)"),"#REF!")</f>
        <v>#REF!</v>
      </c>
      <c r="V828" s="240" t="str">
        <f>IFERROR(__xludf.DUMMYFUNCTION("IFERROR(
  FILTER('CBK Students'!M:M, TRIM('CBK Students'!B:B) = TRIM(A828)),
  """"
)"),"#REF!")</f>
        <v>#REF!</v>
      </c>
      <c r="W828" s="240" t="str">
        <f t="shared" si="1"/>
        <v/>
      </c>
      <c r="X828" s="240" t="str">
        <f>IFERROR(__xludf.DUMMYFUNCTION("IFERROR(
  FILTER('CBK Students'!R:R, TRIM('CBK Students'!B:B) = TRIM(A828)),
  """"
)"),"#REF!")</f>
        <v>#REF!</v>
      </c>
      <c r="Y828" s="4" t="str">
        <f t="shared" si="2"/>
        <v/>
      </c>
      <c r="Z828" s="4" t="str">
        <f>IFERROR(__xludf.DUMMYFUNCTION("IFERROR(
  FILTER('CBK Students'!O:O, TRIM('CBK Students'!B:B) = TRIM(A828)),
  """"
)"),"#REF!")</f>
        <v>#REF!</v>
      </c>
      <c r="AA828" s="4" t="str">
        <f>IFERROR(__xludf.DUMMYFUNCTION("IFERROR(
  FILTER('CBK Students'!P:P, TRIM('CBK Students'!B:B) = TRIM(A828)),
  """"
)"),"#REF!")</f>
        <v>#REF!</v>
      </c>
      <c r="AB828" s="4" t="str">
        <f>IFERROR(__xludf.DUMMYFUNCTION("IFERROR(
  FILTER('CBK Students'!Q:Q, TRIM('CBK Students'!B:B) = TRIM(A828)),
  """"
)"),"#REF!")</f>
        <v>#REF!</v>
      </c>
    </row>
    <row r="829" ht="18.75" customHeight="1">
      <c r="T829" s="240" t="str">
        <f>IFERROR(__xludf.DUMMYFUNCTION("IFERROR(
  FILTER('CBK Students'!F:F, TRIM('CBK Students'!B:B) = TRIM(A829)),
  """"
)"),"#REF!")</f>
        <v>#REF!</v>
      </c>
      <c r="U829" s="240" t="str">
        <f>IFERROR(__xludf.DUMMYFUNCTION("IFERROR(
  FILTER('CBK Students'!H:H, TRIM('CBK Students'!B:B) = TRIM(A829)),
  """"
)"),"#REF!")</f>
        <v>#REF!</v>
      </c>
      <c r="V829" s="240" t="str">
        <f>IFERROR(__xludf.DUMMYFUNCTION("IFERROR(
  FILTER('CBK Students'!M:M, TRIM('CBK Students'!B:B) = TRIM(A829)),
  """"
)"),"#REF!")</f>
        <v>#REF!</v>
      </c>
      <c r="W829" s="240" t="str">
        <f t="shared" si="1"/>
        <v/>
      </c>
      <c r="X829" s="240" t="str">
        <f>IFERROR(__xludf.DUMMYFUNCTION("IFERROR(
  FILTER('CBK Students'!R:R, TRIM('CBK Students'!B:B) = TRIM(A829)),
  """"
)"),"#REF!")</f>
        <v>#REF!</v>
      </c>
      <c r="Y829" s="4" t="str">
        <f t="shared" si="2"/>
        <v/>
      </c>
      <c r="Z829" s="4" t="str">
        <f>IFERROR(__xludf.DUMMYFUNCTION("IFERROR(
  FILTER('CBK Students'!O:O, TRIM('CBK Students'!B:B) = TRIM(A829)),
  """"
)"),"#REF!")</f>
        <v>#REF!</v>
      </c>
      <c r="AA829" s="4" t="str">
        <f>IFERROR(__xludf.DUMMYFUNCTION("IFERROR(
  FILTER('CBK Students'!P:P, TRIM('CBK Students'!B:B) = TRIM(A829)),
  """"
)"),"#REF!")</f>
        <v>#REF!</v>
      </c>
      <c r="AB829" s="4" t="str">
        <f>IFERROR(__xludf.DUMMYFUNCTION("IFERROR(
  FILTER('CBK Students'!Q:Q, TRIM('CBK Students'!B:B) = TRIM(A829)),
  """"
)"),"#REF!")</f>
        <v>#REF!</v>
      </c>
    </row>
    <row r="830" ht="18.75" customHeight="1">
      <c r="T830" s="240" t="str">
        <f>IFERROR(__xludf.DUMMYFUNCTION("IFERROR(
  FILTER('CBK Students'!F:F, TRIM('CBK Students'!B:B) = TRIM(A830)),
  """"
)"),"#REF!")</f>
        <v>#REF!</v>
      </c>
      <c r="U830" s="240" t="str">
        <f>IFERROR(__xludf.DUMMYFUNCTION("IFERROR(
  FILTER('CBK Students'!H:H, TRIM('CBK Students'!B:B) = TRIM(A830)),
  """"
)"),"#REF!")</f>
        <v>#REF!</v>
      </c>
      <c r="V830" s="240" t="str">
        <f>IFERROR(__xludf.DUMMYFUNCTION("IFERROR(
  FILTER('CBK Students'!M:M, TRIM('CBK Students'!B:B) = TRIM(A830)),
  """"
)"),"#REF!")</f>
        <v>#REF!</v>
      </c>
      <c r="W830" s="240" t="str">
        <f t="shared" si="1"/>
        <v/>
      </c>
      <c r="X830" s="240" t="str">
        <f>IFERROR(__xludf.DUMMYFUNCTION("IFERROR(
  FILTER('CBK Students'!R:R, TRIM('CBK Students'!B:B) = TRIM(A830)),
  """"
)"),"#REF!")</f>
        <v>#REF!</v>
      </c>
      <c r="Y830" s="4" t="str">
        <f t="shared" si="2"/>
        <v/>
      </c>
      <c r="Z830" s="4" t="str">
        <f>IFERROR(__xludf.DUMMYFUNCTION("IFERROR(
  FILTER('CBK Students'!O:O, TRIM('CBK Students'!B:B) = TRIM(A830)),
  """"
)"),"#REF!")</f>
        <v>#REF!</v>
      </c>
      <c r="AA830" s="4" t="str">
        <f>IFERROR(__xludf.DUMMYFUNCTION("IFERROR(
  FILTER('CBK Students'!P:P, TRIM('CBK Students'!B:B) = TRIM(A830)),
  """"
)"),"#REF!")</f>
        <v>#REF!</v>
      </c>
      <c r="AB830" s="4" t="str">
        <f>IFERROR(__xludf.DUMMYFUNCTION("IFERROR(
  FILTER('CBK Students'!Q:Q, TRIM('CBK Students'!B:B) = TRIM(A830)),
  """"
)"),"#REF!")</f>
        <v>#REF!</v>
      </c>
    </row>
    <row r="831" ht="18.75" customHeight="1">
      <c r="T831" s="240" t="str">
        <f>IFERROR(__xludf.DUMMYFUNCTION("IFERROR(
  FILTER('CBK Students'!F:F, TRIM('CBK Students'!B:B) = TRIM(A831)),
  """"
)"),"#REF!")</f>
        <v>#REF!</v>
      </c>
      <c r="U831" s="240" t="str">
        <f>IFERROR(__xludf.DUMMYFUNCTION("IFERROR(
  FILTER('CBK Students'!H:H, TRIM('CBK Students'!B:B) = TRIM(A831)),
  """"
)"),"#REF!")</f>
        <v>#REF!</v>
      </c>
      <c r="V831" s="240" t="str">
        <f>IFERROR(__xludf.DUMMYFUNCTION("IFERROR(
  FILTER('CBK Students'!M:M, TRIM('CBK Students'!B:B) = TRIM(A831)),
  """"
)"),"#REF!")</f>
        <v>#REF!</v>
      </c>
      <c r="W831" s="240" t="str">
        <f t="shared" si="1"/>
        <v/>
      </c>
      <c r="X831" s="240" t="str">
        <f>IFERROR(__xludf.DUMMYFUNCTION("IFERROR(
  FILTER('CBK Students'!R:R, TRIM('CBK Students'!B:B) = TRIM(A831)),
  """"
)"),"#REF!")</f>
        <v>#REF!</v>
      </c>
      <c r="Y831" s="4" t="str">
        <f t="shared" si="2"/>
        <v/>
      </c>
      <c r="Z831" s="4" t="str">
        <f>IFERROR(__xludf.DUMMYFUNCTION("IFERROR(
  FILTER('CBK Students'!O:O, TRIM('CBK Students'!B:B) = TRIM(A831)),
  """"
)"),"#REF!")</f>
        <v>#REF!</v>
      </c>
      <c r="AA831" s="4" t="str">
        <f>IFERROR(__xludf.DUMMYFUNCTION("IFERROR(
  FILTER('CBK Students'!P:P, TRIM('CBK Students'!B:B) = TRIM(A831)),
  """"
)"),"#REF!")</f>
        <v>#REF!</v>
      </c>
      <c r="AB831" s="4" t="str">
        <f>IFERROR(__xludf.DUMMYFUNCTION("IFERROR(
  FILTER('CBK Students'!Q:Q, TRIM('CBK Students'!B:B) = TRIM(A831)),
  """"
)"),"#REF!")</f>
        <v>#REF!</v>
      </c>
    </row>
    <row r="832" ht="18.75" customHeight="1">
      <c r="T832" s="240" t="str">
        <f>IFERROR(__xludf.DUMMYFUNCTION("IFERROR(
  FILTER('CBK Students'!F:F, TRIM('CBK Students'!B:B) = TRIM(A832)),
  """"
)"),"#REF!")</f>
        <v>#REF!</v>
      </c>
      <c r="U832" s="240" t="str">
        <f>IFERROR(__xludf.DUMMYFUNCTION("IFERROR(
  FILTER('CBK Students'!H:H, TRIM('CBK Students'!B:B) = TRIM(A832)),
  """"
)"),"#REF!")</f>
        <v>#REF!</v>
      </c>
      <c r="V832" s="240" t="str">
        <f>IFERROR(__xludf.DUMMYFUNCTION("IFERROR(
  FILTER('CBK Students'!M:M, TRIM('CBK Students'!B:B) = TRIM(A832)),
  """"
)"),"#REF!")</f>
        <v>#REF!</v>
      </c>
      <c r="W832" s="240" t="str">
        <f t="shared" si="1"/>
        <v/>
      </c>
      <c r="X832" s="240" t="str">
        <f>IFERROR(__xludf.DUMMYFUNCTION("IFERROR(
  FILTER('CBK Students'!R:R, TRIM('CBK Students'!B:B) = TRIM(A832)),
  """"
)"),"#REF!")</f>
        <v>#REF!</v>
      </c>
      <c r="Y832" s="4" t="str">
        <f t="shared" si="2"/>
        <v/>
      </c>
      <c r="Z832" s="4" t="str">
        <f>IFERROR(__xludf.DUMMYFUNCTION("IFERROR(
  FILTER('CBK Students'!O:O, TRIM('CBK Students'!B:B) = TRIM(A832)),
  """"
)"),"#REF!")</f>
        <v>#REF!</v>
      </c>
      <c r="AA832" s="4" t="str">
        <f>IFERROR(__xludf.DUMMYFUNCTION("IFERROR(
  FILTER('CBK Students'!P:P, TRIM('CBK Students'!B:B) = TRIM(A832)),
  """"
)"),"#REF!")</f>
        <v>#REF!</v>
      </c>
      <c r="AB832" s="4" t="str">
        <f>IFERROR(__xludf.DUMMYFUNCTION("IFERROR(
  FILTER('CBK Students'!Q:Q, TRIM('CBK Students'!B:B) = TRIM(A832)),
  """"
)"),"#REF!")</f>
        <v>#REF!</v>
      </c>
    </row>
    <row r="833" ht="18.75" customHeight="1">
      <c r="T833" s="240" t="str">
        <f>IFERROR(__xludf.DUMMYFUNCTION("IFERROR(
  FILTER('CBK Students'!F:F, TRIM('CBK Students'!B:B) = TRIM(A833)),
  """"
)"),"#REF!")</f>
        <v>#REF!</v>
      </c>
      <c r="U833" s="240" t="str">
        <f>IFERROR(__xludf.DUMMYFUNCTION("IFERROR(
  FILTER('CBK Students'!H:H, TRIM('CBK Students'!B:B) = TRIM(A833)),
  """"
)"),"#REF!")</f>
        <v>#REF!</v>
      </c>
      <c r="V833" s="240" t="str">
        <f>IFERROR(__xludf.DUMMYFUNCTION("IFERROR(
  FILTER('CBK Students'!M:M, TRIM('CBK Students'!B:B) = TRIM(A833)),
  """"
)"),"#REF!")</f>
        <v>#REF!</v>
      </c>
      <c r="W833" s="240" t="str">
        <f t="shared" si="1"/>
        <v/>
      </c>
      <c r="X833" s="240" t="str">
        <f>IFERROR(__xludf.DUMMYFUNCTION("IFERROR(
  FILTER('CBK Students'!R:R, TRIM('CBK Students'!B:B) = TRIM(A833)),
  """"
)"),"#REF!")</f>
        <v>#REF!</v>
      </c>
      <c r="Y833" s="4" t="str">
        <f t="shared" si="2"/>
        <v/>
      </c>
      <c r="Z833" s="4" t="str">
        <f>IFERROR(__xludf.DUMMYFUNCTION("IFERROR(
  FILTER('CBK Students'!O:O, TRIM('CBK Students'!B:B) = TRIM(A833)),
  """"
)"),"#REF!")</f>
        <v>#REF!</v>
      </c>
      <c r="AA833" s="4" t="str">
        <f>IFERROR(__xludf.DUMMYFUNCTION("IFERROR(
  FILTER('CBK Students'!P:P, TRIM('CBK Students'!B:B) = TRIM(A833)),
  """"
)"),"#REF!")</f>
        <v>#REF!</v>
      </c>
      <c r="AB833" s="4" t="str">
        <f>IFERROR(__xludf.DUMMYFUNCTION("IFERROR(
  FILTER('CBK Students'!Q:Q, TRIM('CBK Students'!B:B) = TRIM(A833)),
  """"
)"),"#REF!")</f>
        <v>#REF!</v>
      </c>
    </row>
    <row r="834" ht="18.75" customHeight="1">
      <c r="T834" s="240" t="str">
        <f>IFERROR(__xludf.DUMMYFUNCTION("IFERROR(
  FILTER('CBK Students'!F:F, TRIM('CBK Students'!B:B) = TRIM(A834)),
  """"
)"),"#REF!")</f>
        <v>#REF!</v>
      </c>
      <c r="U834" s="240" t="str">
        <f>IFERROR(__xludf.DUMMYFUNCTION("IFERROR(
  FILTER('CBK Students'!H:H, TRIM('CBK Students'!B:B) = TRIM(A834)),
  """"
)"),"#REF!")</f>
        <v>#REF!</v>
      </c>
      <c r="V834" s="240" t="str">
        <f>IFERROR(__xludf.DUMMYFUNCTION("IFERROR(
  FILTER('CBK Students'!M:M, TRIM('CBK Students'!B:B) = TRIM(A834)),
  """"
)"),"#REF!")</f>
        <v>#REF!</v>
      </c>
      <c r="W834" s="240" t="str">
        <f t="shared" si="1"/>
        <v/>
      </c>
      <c r="X834" s="240" t="str">
        <f>IFERROR(__xludf.DUMMYFUNCTION("IFERROR(
  FILTER('CBK Students'!R:R, TRIM('CBK Students'!B:B) = TRIM(A834)),
  """"
)"),"#REF!")</f>
        <v>#REF!</v>
      </c>
      <c r="Y834" s="4" t="str">
        <f t="shared" si="2"/>
        <v/>
      </c>
      <c r="Z834" s="4" t="str">
        <f>IFERROR(__xludf.DUMMYFUNCTION("IFERROR(
  FILTER('CBK Students'!O:O, TRIM('CBK Students'!B:B) = TRIM(A834)),
  """"
)"),"#REF!")</f>
        <v>#REF!</v>
      </c>
      <c r="AA834" s="4" t="str">
        <f>IFERROR(__xludf.DUMMYFUNCTION("IFERROR(
  FILTER('CBK Students'!P:P, TRIM('CBK Students'!B:B) = TRIM(A834)),
  """"
)"),"#REF!")</f>
        <v>#REF!</v>
      </c>
      <c r="AB834" s="4" t="str">
        <f>IFERROR(__xludf.DUMMYFUNCTION("IFERROR(
  FILTER('CBK Students'!Q:Q, TRIM('CBK Students'!B:B) = TRIM(A834)),
  """"
)"),"#REF!")</f>
        <v>#REF!</v>
      </c>
    </row>
    <row r="835" ht="18.75" customHeight="1">
      <c r="T835" s="240" t="str">
        <f>IFERROR(__xludf.DUMMYFUNCTION("IFERROR(
  FILTER('CBK Students'!F:F, TRIM('CBK Students'!B:B) = TRIM(A835)),
  """"
)"),"#REF!")</f>
        <v>#REF!</v>
      </c>
      <c r="U835" s="240" t="str">
        <f>IFERROR(__xludf.DUMMYFUNCTION("IFERROR(
  FILTER('CBK Students'!H:H, TRIM('CBK Students'!B:B) = TRIM(A835)),
  """"
)"),"#REF!")</f>
        <v>#REF!</v>
      </c>
      <c r="V835" s="240" t="str">
        <f>IFERROR(__xludf.DUMMYFUNCTION("IFERROR(
  FILTER('CBK Students'!M:M, TRIM('CBK Students'!B:B) = TRIM(A835)),
  """"
)"),"#REF!")</f>
        <v>#REF!</v>
      </c>
      <c r="W835" s="240" t="str">
        <f t="shared" si="1"/>
        <v/>
      </c>
      <c r="X835" s="240" t="str">
        <f>IFERROR(__xludf.DUMMYFUNCTION("IFERROR(
  FILTER('CBK Students'!R:R, TRIM('CBK Students'!B:B) = TRIM(A835)),
  """"
)"),"#REF!")</f>
        <v>#REF!</v>
      </c>
      <c r="Y835" s="4" t="str">
        <f t="shared" si="2"/>
        <v/>
      </c>
      <c r="Z835" s="4" t="str">
        <f>IFERROR(__xludf.DUMMYFUNCTION("IFERROR(
  FILTER('CBK Students'!O:O, TRIM('CBK Students'!B:B) = TRIM(A835)),
  """"
)"),"#REF!")</f>
        <v>#REF!</v>
      </c>
      <c r="AA835" s="4" t="str">
        <f>IFERROR(__xludf.DUMMYFUNCTION("IFERROR(
  FILTER('CBK Students'!P:P, TRIM('CBK Students'!B:B) = TRIM(A835)),
  """"
)"),"#REF!")</f>
        <v>#REF!</v>
      </c>
      <c r="AB835" s="4" t="str">
        <f>IFERROR(__xludf.DUMMYFUNCTION("IFERROR(
  FILTER('CBK Students'!Q:Q, TRIM('CBK Students'!B:B) = TRIM(A835)),
  """"
)"),"#REF!")</f>
        <v>#REF!</v>
      </c>
    </row>
    <row r="836" ht="18.75" customHeight="1">
      <c r="T836" s="240" t="str">
        <f>IFERROR(__xludf.DUMMYFUNCTION("IFERROR(
  FILTER('CBK Students'!F:F, TRIM('CBK Students'!B:B) = TRIM(A836)),
  """"
)"),"#REF!")</f>
        <v>#REF!</v>
      </c>
      <c r="U836" s="240" t="str">
        <f>IFERROR(__xludf.DUMMYFUNCTION("IFERROR(
  FILTER('CBK Students'!H:H, TRIM('CBK Students'!B:B) = TRIM(A836)),
  """"
)"),"#REF!")</f>
        <v>#REF!</v>
      </c>
      <c r="V836" s="240" t="str">
        <f>IFERROR(__xludf.DUMMYFUNCTION("IFERROR(
  FILTER('CBK Students'!M:M, TRIM('CBK Students'!B:B) = TRIM(A836)),
  """"
)"),"#REF!")</f>
        <v>#REF!</v>
      </c>
      <c r="W836" s="240" t="str">
        <f t="shared" si="1"/>
        <v/>
      </c>
      <c r="X836" s="240" t="str">
        <f>IFERROR(__xludf.DUMMYFUNCTION("IFERROR(
  FILTER('CBK Students'!R:R, TRIM('CBK Students'!B:B) = TRIM(A836)),
  """"
)"),"#REF!")</f>
        <v>#REF!</v>
      </c>
      <c r="Y836" s="4" t="str">
        <f t="shared" si="2"/>
        <v/>
      </c>
      <c r="Z836" s="4" t="str">
        <f>IFERROR(__xludf.DUMMYFUNCTION("IFERROR(
  FILTER('CBK Students'!O:O, TRIM('CBK Students'!B:B) = TRIM(A836)),
  """"
)"),"#REF!")</f>
        <v>#REF!</v>
      </c>
      <c r="AA836" s="4" t="str">
        <f>IFERROR(__xludf.DUMMYFUNCTION("IFERROR(
  FILTER('CBK Students'!P:P, TRIM('CBK Students'!B:B) = TRIM(A836)),
  """"
)"),"#REF!")</f>
        <v>#REF!</v>
      </c>
      <c r="AB836" s="4" t="str">
        <f>IFERROR(__xludf.DUMMYFUNCTION("IFERROR(
  FILTER('CBK Students'!Q:Q, TRIM('CBK Students'!B:B) = TRIM(A836)),
  """"
)"),"#REF!")</f>
        <v>#REF!</v>
      </c>
    </row>
    <row r="837" ht="18.75" customHeight="1">
      <c r="T837" s="240" t="str">
        <f>IFERROR(__xludf.DUMMYFUNCTION("IFERROR(
  FILTER('CBK Students'!F:F, TRIM('CBK Students'!B:B) = TRIM(A837)),
  """"
)"),"#REF!")</f>
        <v>#REF!</v>
      </c>
      <c r="U837" s="240" t="str">
        <f>IFERROR(__xludf.DUMMYFUNCTION("IFERROR(
  FILTER('CBK Students'!H:H, TRIM('CBK Students'!B:B) = TRIM(A837)),
  """"
)"),"#REF!")</f>
        <v>#REF!</v>
      </c>
      <c r="V837" s="240" t="str">
        <f>IFERROR(__xludf.DUMMYFUNCTION("IFERROR(
  FILTER('CBK Students'!M:M, TRIM('CBK Students'!B:B) = TRIM(A837)),
  """"
)"),"#REF!")</f>
        <v>#REF!</v>
      </c>
      <c r="W837" s="240" t="str">
        <f t="shared" si="1"/>
        <v/>
      </c>
      <c r="X837" s="240" t="str">
        <f>IFERROR(__xludf.DUMMYFUNCTION("IFERROR(
  FILTER('CBK Students'!R:R, TRIM('CBK Students'!B:B) = TRIM(A837)),
  """"
)"),"#REF!")</f>
        <v>#REF!</v>
      </c>
      <c r="Y837" s="4" t="str">
        <f t="shared" si="2"/>
        <v/>
      </c>
      <c r="Z837" s="4" t="str">
        <f>IFERROR(__xludf.DUMMYFUNCTION("IFERROR(
  FILTER('CBK Students'!O:O, TRIM('CBK Students'!B:B) = TRIM(A837)),
  """"
)"),"#REF!")</f>
        <v>#REF!</v>
      </c>
      <c r="AA837" s="4" t="str">
        <f>IFERROR(__xludf.DUMMYFUNCTION("IFERROR(
  FILTER('CBK Students'!P:P, TRIM('CBK Students'!B:B) = TRIM(A837)),
  """"
)"),"#REF!")</f>
        <v>#REF!</v>
      </c>
      <c r="AB837" s="4" t="str">
        <f>IFERROR(__xludf.DUMMYFUNCTION("IFERROR(
  FILTER('CBK Students'!Q:Q, TRIM('CBK Students'!B:B) = TRIM(A837)),
  """"
)"),"#REF!")</f>
        <v>#REF!</v>
      </c>
    </row>
    <row r="838" ht="18.75" customHeight="1">
      <c r="T838" s="240" t="str">
        <f>IFERROR(__xludf.DUMMYFUNCTION("IFERROR(
  FILTER('CBK Students'!F:F, TRIM('CBK Students'!B:B) = TRIM(A838)),
  """"
)"),"#REF!")</f>
        <v>#REF!</v>
      </c>
      <c r="U838" s="240" t="str">
        <f>IFERROR(__xludf.DUMMYFUNCTION("IFERROR(
  FILTER('CBK Students'!H:H, TRIM('CBK Students'!B:B) = TRIM(A838)),
  """"
)"),"#REF!")</f>
        <v>#REF!</v>
      </c>
      <c r="V838" s="240" t="str">
        <f>IFERROR(__xludf.DUMMYFUNCTION("IFERROR(
  FILTER('CBK Students'!M:M, TRIM('CBK Students'!B:B) = TRIM(A838)),
  """"
)"),"#REF!")</f>
        <v>#REF!</v>
      </c>
      <c r="W838" s="240" t="str">
        <f t="shared" si="1"/>
        <v/>
      </c>
      <c r="X838" s="240" t="str">
        <f>IFERROR(__xludf.DUMMYFUNCTION("IFERROR(
  FILTER('CBK Students'!R:R, TRIM('CBK Students'!B:B) = TRIM(A838)),
  """"
)"),"#REF!")</f>
        <v>#REF!</v>
      </c>
      <c r="Y838" s="4" t="str">
        <f t="shared" si="2"/>
        <v/>
      </c>
      <c r="Z838" s="4" t="str">
        <f>IFERROR(__xludf.DUMMYFUNCTION("IFERROR(
  FILTER('CBK Students'!O:O, TRIM('CBK Students'!B:B) = TRIM(A838)),
  """"
)"),"#REF!")</f>
        <v>#REF!</v>
      </c>
      <c r="AA838" s="4" t="str">
        <f>IFERROR(__xludf.DUMMYFUNCTION("IFERROR(
  FILTER('CBK Students'!P:P, TRIM('CBK Students'!B:B) = TRIM(A838)),
  """"
)"),"#REF!")</f>
        <v>#REF!</v>
      </c>
      <c r="AB838" s="4" t="str">
        <f>IFERROR(__xludf.DUMMYFUNCTION("IFERROR(
  FILTER('CBK Students'!Q:Q, TRIM('CBK Students'!B:B) = TRIM(A838)),
  """"
)"),"#REF!")</f>
        <v>#REF!</v>
      </c>
    </row>
    <row r="839" ht="18.75" customHeight="1">
      <c r="T839" s="240" t="str">
        <f>IFERROR(__xludf.DUMMYFUNCTION("IFERROR(
  FILTER('CBK Students'!F:F, TRIM('CBK Students'!B:B) = TRIM(A839)),
  """"
)"),"#REF!")</f>
        <v>#REF!</v>
      </c>
      <c r="U839" s="240" t="str">
        <f>IFERROR(__xludf.DUMMYFUNCTION("IFERROR(
  FILTER('CBK Students'!H:H, TRIM('CBK Students'!B:B) = TRIM(A839)),
  """"
)"),"#REF!")</f>
        <v>#REF!</v>
      </c>
      <c r="V839" s="240" t="str">
        <f>IFERROR(__xludf.DUMMYFUNCTION("IFERROR(
  FILTER('CBK Students'!M:M, TRIM('CBK Students'!B:B) = TRIM(A839)),
  """"
)"),"#REF!")</f>
        <v>#REF!</v>
      </c>
      <c r="W839" s="240" t="str">
        <f t="shared" si="1"/>
        <v/>
      </c>
      <c r="X839" s="240" t="str">
        <f>IFERROR(__xludf.DUMMYFUNCTION("IFERROR(
  FILTER('CBK Students'!R:R, TRIM('CBK Students'!B:B) = TRIM(A839)),
  """"
)"),"#REF!")</f>
        <v>#REF!</v>
      </c>
      <c r="Y839" s="4" t="str">
        <f t="shared" si="2"/>
        <v/>
      </c>
      <c r="Z839" s="4" t="str">
        <f>IFERROR(__xludf.DUMMYFUNCTION("IFERROR(
  FILTER('CBK Students'!O:O, TRIM('CBK Students'!B:B) = TRIM(A839)),
  """"
)"),"#REF!")</f>
        <v>#REF!</v>
      </c>
      <c r="AA839" s="4" t="str">
        <f>IFERROR(__xludf.DUMMYFUNCTION("IFERROR(
  FILTER('CBK Students'!P:P, TRIM('CBK Students'!B:B) = TRIM(A839)),
  """"
)"),"#REF!")</f>
        <v>#REF!</v>
      </c>
      <c r="AB839" s="4" t="str">
        <f>IFERROR(__xludf.DUMMYFUNCTION("IFERROR(
  FILTER('CBK Students'!Q:Q, TRIM('CBK Students'!B:B) = TRIM(A839)),
  """"
)"),"#REF!")</f>
        <v>#REF!</v>
      </c>
    </row>
    <row r="840" ht="18.75" customHeight="1">
      <c r="T840" s="240" t="str">
        <f>IFERROR(__xludf.DUMMYFUNCTION("IFERROR(
  FILTER('CBK Students'!F:F, TRIM('CBK Students'!B:B) = TRIM(A840)),
  """"
)"),"#REF!")</f>
        <v>#REF!</v>
      </c>
      <c r="U840" s="240" t="str">
        <f>IFERROR(__xludf.DUMMYFUNCTION("IFERROR(
  FILTER('CBK Students'!H:H, TRIM('CBK Students'!B:B) = TRIM(A840)),
  """"
)"),"#REF!")</f>
        <v>#REF!</v>
      </c>
      <c r="V840" s="240" t="str">
        <f>IFERROR(__xludf.DUMMYFUNCTION("IFERROR(
  FILTER('CBK Students'!M:M, TRIM('CBK Students'!B:B) = TRIM(A840)),
  """"
)"),"#REF!")</f>
        <v>#REF!</v>
      </c>
      <c r="W840" s="240" t="str">
        <f t="shared" si="1"/>
        <v/>
      </c>
      <c r="X840" s="240" t="str">
        <f>IFERROR(__xludf.DUMMYFUNCTION("IFERROR(
  FILTER('CBK Students'!R:R, TRIM('CBK Students'!B:B) = TRIM(A840)),
  """"
)"),"#REF!")</f>
        <v>#REF!</v>
      </c>
      <c r="Y840" s="4" t="str">
        <f t="shared" si="2"/>
        <v/>
      </c>
      <c r="Z840" s="4" t="str">
        <f>IFERROR(__xludf.DUMMYFUNCTION("IFERROR(
  FILTER('CBK Students'!O:O, TRIM('CBK Students'!B:B) = TRIM(A840)),
  """"
)"),"#REF!")</f>
        <v>#REF!</v>
      </c>
      <c r="AA840" s="4" t="str">
        <f>IFERROR(__xludf.DUMMYFUNCTION("IFERROR(
  FILTER('CBK Students'!P:P, TRIM('CBK Students'!B:B) = TRIM(A840)),
  """"
)"),"#REF!")</f>
        <v>#REF!</v>
      </c>
      <c r="AB840" s="4" t="str">
        <f>IFERROR(__xludf.DUMMYFUNCTION("IFERROR(
  FILTER('CBK Students'!Q:Q, TRIM('CBK Students'!B:B) = TRIM(A840)),
  """"
)"),"#REF!")</f>
        <v>#REF!</v>
      </c>
    </row>
    <row r="841" ht="18.75" customHeight="1">
      <c r="T841" s="240" t="str">
        <f>IFERROR(__xludf.DUMMYFUNCTION("IFERROR(
  FILTER('CBK Students'!F:F, TRIM('CBK Students'!B:B) = TRIM(A841)),
  """"
)"),"#REF!")</f>
        <v>#REF!</v>
      </c>
      <c r="U841" s="240" t="str">
        <f>IFERROR(__xludf.DUMMYFUNCTION("IFERROR(
  FILTER('CBK Students'!H:H, TRIM('CBK Students'!B:B) = TRIM(A841)),
  """"
)"),"#REF!")</f>
        <v>#REF!</v>
      </c>
      <c r="V841" s="240" t="str">
        <f>IFERROR(__xludf.DUMMYFUNCTION("IFERROR(
  FILTER('CBK Students'!M:M, TRIM('CBK Students'!B:B) = TRIM(A841)),
  """"
)"),"#REF!")</f>
        <v>#REF!</v>
      </c>
      <c r="W841" s="240" t="str">
        <f t="shared" si="1"/>
        <v/>
      </c>
      <c r="X841" s="240" t="str">
        <f>IFERROR(__xludf.DUMMYFUNCTION("IFERROR(
  FILTER('CBK Students'!R:R, TRIM('CBK Students'!B:B) = TRIM(A841)),
  """"
)"),"#REF!")</f>
        <v>#REF!</v>
      </c>
      <c r="Y841" s="4" t="str">
        <f t="shared" si="2"/>
        <v/>
      </c>
      <c r="Z841" s="4" t="str">
        <f>IFERROR(__xludf.DUMMYFUNCTION("IFERROR(
  FILTER('CBK Students'!O:O, TRIM('CBK Students'!B:B) = TRIM(A841)),
  """"
)"),"#REF!")</f>
        <v>#REF!</v>
      </c>
      <c r="AA841" s="4" t="str">
        <f>IFERROR(__xludf.DUMMYFUNCTION("IFERROR(
  FILTER('CBK Students'!P:P, TRIM('CBK Students'!B:B) = TRIM(A841)),
  """"
)"),"#REF!")</f>
        <v>#REF!</v>
      </c>
      <c r="AB841" s="4" t="str">
        <f>IFERROR(__xludf.DUMMYFUNCTION("IFERROR(
  FILTER('CBK Students'!Q:Q, TRIM('CBK Students'!B:B) = TRIM(A841)),
  """"
)"),"#REF!")</f>
        <v>#REF!</v>
      </c>
    </row>
    <row r="842" ht="18.75" customHeight="1">
      <c r="T842" s="240" t="str">
        <f>IFERROR(__xludf.DUMMYFUNCTION("IFERROR(
  FILTER('CBK Students'!F:F, TRIM('CBK Students'!B:B) = TRIM(A842)),
  """"
)"),"#REF!")</f>
        <v>#REF!</v>
      </c>
      <c r="U842" s="240" t="str">
        <f>IFERROR(__xludf.DUMMYFUNCTION("IFERROR(
  FILTER('CBK Students'!H:H, TRIM('CBK Students'!B:B) = TRIM(A842)),
  """"
)"),"#REF!")</f>
        <v>#REF!</v>
      </c>
      <c r="V842" s="240" t="str">
        <f>IFERROR(__xludf.DUMMYFUNCTION("IFERROR(
  FILTER('CBK Students'!M:M, TRIM('CBK Students'!B:B) = TRIM(A842)),
  """"
)"),"#REF!")</f>
        <v>#REF!</v>
      </c>
      <c r="W842" s="240" t="str">
        <f t="shared" si="1"/>
        <v/>
      </c>
      <c r="X842" s="240" t="str">
        <f>IFERROR(__xludf.DUMMYFUNCTION("IFERROR(
  FILTER('CBK Students'!R:R, TRIM('CBK Students'!B:B) = TRIM(A842)),
  """"
)"),"#REF!")</f>
        <v>#REF!</v>
      </c>
      <c r="Y842" s="4" t="str">
        <f t="shared" si="2"/>
        <v/>
      </c>
      <c r="Z842" s="4" t="str">
        <f>IFERROR(__xludf.DUMMYFUNCTION("IFERROR(
  FILTER('CBK Students'!O:O, TRIM('CBK Students'!B:B) = TRIM(A842)),
  """"
)"),"#REF!")</f>
        <v>#REF!</v>
      </c>
      <c r="AA842" s="4" t="str">
        <f>IFERROR(__xludf.DUMMYFUNCTION("IFERROR(
  FILTER('CBK Students'!P:P, TRIM('CBK Students'!B:B) = TRIM(A842)),
  """"
)"),"#REF!")</f>
        <v>#REF!</v>
      </c>
      <c r="AB842" s="4" t="str">
        <f>IFERROR(__xludf.DUMMYFUNCTION("IFERROR(
  FILTER('CBK Students'!Q:Q, TRIM('CBK Students'!B:B) = TRIM(A842)),
  """"
)"),"#REF!")</f>
        <v>#REF!</v>
      </c>
    </row>
    <row r="843" ht="18.75" customHeight="1">
      <c r="T843" s="240" t="str">
        <f>IFERROR(__xludf.DUMMYFUNCTION("IFERROR(
  FILTER('CBK Students'!F:F, TRIM('CBK Students'!B:B) = TRIM(A843)),
  """"
)"),"#REF!")</f>
        <v>#REF!</v>
      </c>
      <c r="U843" s="240" t="str">
        <f>IFERROR(__xludf.DUMMYFUNCTION("IFERROR(
  FILTER('CBK Students'!H:H, TRIM('CBK Students'!B:B) = TRIM(A843)),
  """"
)"),"#REF!")</f>
        <v>#REF!</v>
      </c>
      <c r="V843" s="240" t="str">
        <f>IFERROR(__xludf.DUMMYFUNCTION("IFERROR(
  FILTER('CBK Students'!M:M, TRIM('CBK Students'!B:B) = TRIM(A843)),
  """"
)"),"#REF!")</f>
        <v>#REF!</v>
      </c>
      <c r="W843" s="240" t="str">
        <f t="shared" si="1"/>
        <v/>
      </c>
      <c r="X843" s="240" t="str">
        <f>IFERROR(__xludf.DUMMYFUNCTION("IFERROR(
  FILTER('CBK Students'!R:R, TRIM('CBK Students'!B:B) = TRIM(A843)),
  """"
)"),"#REF!")</f>
        <v>#REF!</v>
      </c>
      <c r="Y843" s="4" t="str">
        <f t="shared" si="2"/>
        <v/>
      </c>
      <c r="Z843" s="4" t="str">
        <f>IFERROR(__xludf.DUMMYFUNCTION("IFERROR(
  FILTER('CBK Students'!O:O, TRIM('CBK Students'!B:B) = TRIM(A843)),
  """"
)"),"#REF!")</f>
        <v>#REF!</v>
      </c>
      <c r="AA843" s="4" t="str">
        <f>IFERROR(__xludf.DUMMYFUNCTION("IFERROR(
  FILTER('CBK Students'!P:P, TRIM('CBK Students'!B:B) = TRIM(A843)),
  """"
)"),"#REF!")</f>
        <v>#REF!</v>
      </c>
      <c r="AB843" s="4" t="str">
        <f>IFERROR(__xludf.DUMMYFUNCTION("IFERROR(
  FILTER('CBK Students'!Q:Q, TRIM('CBK Students'!B:B) = TRIM(A843)),
  """"
)"),"#REF!")</f>
        <v>#REF!</v>
      </c>
    </row>
    <row r="844" ht="18.75" customHeight="1">
      <c r="T844" s="240" t="str">
        <f>IFERROR(__xludf.DUMMYFUNCTION("IFERROR(
  FILTER('CBK Students'!F:F, TRIM('CBK Students'!B:B) = TRIM(A844)),
  """"
)"),"#REF!")</f>
        <v>#REF!</v>
      </c>
      <c r="U844" s="240" t="str">
        <f>IFERROR(__xludf.DUMMYFUNCTION("IFERROR(
  FILTER('CBK Students'!H:H, TRIM('CBK Students'!B:B) = TRIM(A844)),
  """"
)"),"#REF!")</f>
        <v>#REF!</v>
      </c>
      <c r="V844" s="240" t="str">
        <f>IFERROR(__xludf.DUMMYFUNCTION("IFERROR(
  FILTER('CBK Students'!M:M, TRIM('CBK Students'!B:B) = TRIM(A844)),
  """"
)"),"#REF!")</f>
        <v>#REF!</v>
      </c>
      <c r="W844" s="240" t="str">
        <f t="shared" si="1"/>
        <v/>
      </c>
      <c r="X844" s="240" t="str">
        <f>IFERROR(__xludf.DUMMYFUNCTION("IFERROR(
  FILTER('CBK Students'!R:R, TRIM('CBK Students'!B:B) = TRIM(A844)),
  """"
)"),"#REF!")</f>
        <v>#REF!</v>
      </c>
      <c r="Y844" s="4" t="str">
        <f t="shared" si="2"/>
        <v/>
      </c>
      <c r="Z844" s="4" t="str">
        <f>IFERROR(__xludf.DUMMYFUNCTION("IFERROR(
  FILTER('CBK Students'!O:O, TRIM('CBK Students'!B:B) = TRIM(A844)),
  """"
)"),"#REF!")</f>
        <v>#REF!</v>
      </c>
      <c r="AA844" s="4" t="str">
        <f>IFERROR(__xludf.DUMMYFUNCTION("IFERROR(
  FILTER('CBK Students'!P:P, TRIM('CBK Students'!B:B) = TRIM(A844)),
  """"
)"),"#REF!")</f>
        <v>#REF!</v>
      </c>
      <c r="AB844" s="4" t="str">
        <f>IFERROR(__xludf.DUMMYFUNCTION("IFERROR(
  FILTER('CBK Students'!Q:Q, TRIM('CBK Students'!B:B) = TRIM(A844)),
  """"
)"),"#REF!")</f>
        <v>#REF!</v>
      </c>
    </row>
    <row r="845" ht="18.75" customHeight="1">
      <c r="T845" s="240" t="str">
        <f>IFERROR(__xludf.DUMMYFUNCTION("IFERROR(
  FILTER('CBK Students'!F:F, TRIM('CBK Students'!B:B) = TRIM(A845)),
  """"
)"),"#REF!")</f>
        <v>#REF!</v>
      </c>
      <c r="U845" s="240" t="str">
        <f>IFERROR(__xludf.DUMMYFUNCTION("IFERROR(
  FILTER('CBK Students'!H:H, TRIM('CBK Students'!B:B) = TRIM(A845)),
  """"
)"),"#REF!")</f>
        <v>#REF!</v>
      </c>
      <c r="V845" s="240" t="str">
        <f>IFERROR(__xludf.DUMMYFUNCTION("IFERROR(
  FILTER('CBK Students'!M:M, TRIM('CBK Students'!B:B) = TRIM(A845)),
  """"
)"),"#REF!")</f>
        <v>#REF!</v>
      </c>
      <c r="W845" s="240" t="str">
        <f t="shared" si="1"/>
        <v/>
      </c>
      <c r="X845" s="240" t="str">
        <f>IFERROR(__xludf.DUMMYFUNCTION("IFERROR(
  FILTER('CBK Students'!R:R, TRIM('CBK Students'!B:B) = TRIM(A845)),
  """"
)"),"#REF!")</f>
        <v>#REF!</v>
      </c>
      <c r="Y845" s="4" t="str">
        <f t="shared" si="2"/>
        <v/>
      </c>
      <c r="Z845" s="4" t="str">
        <f>IFERROR(__xludf.DUMMYFUNCTION("IFERROR(
  FILTER('CBK Students'!O:O, TRIM('CBK Students'!B:B) = TRIM(A845)),
  """"
)"),"#REF!")</f>
        <v>#REF!</v>
      </c>
      <c r="AA845" s="4" t="str">
        <f>IFERROR(__xludf.DUMMYFUNCTION("IFERROR(
  FILTER('CBK Students'!P:P, TRIM('CBK Students'!B:B) = TRIM(A845)),
  """"
)"),"#REF!")</f>
        <v>#REF!</v>
      </c>
      <c r="AB845" s="4" t="str">
        <f>IFERROR(__xludf.DUMMYFUNCTION("IFERROR(
  FILTER('CBK Students'!Q:Q, TRIM('CBK Students'!B:B) = TRIM(A845)),
  """"
)"),"#REF!")</f>
        <v>#REF!</v>
      </c>
    </row>
    <row r="846" ht="18.75" customHeight="1">
      <c r="T846" s="240" t="str">
        <f>IFERROR(__xludf.DUMMYFUNCTION("IFERROR(
  FILTER('CBK Students'!F:F, TRIM('CBK Students'!B:B) = TRIM(A846)),
  """"
)"),"#REF!")</f>
        <v>#REF!</v>
      </c>
      <c r="U846" s="240" t="str">
        <f>IFERROR(__xludf.DUMMYFUNCTION("IFERROR(
  FILTER('CBK Students'!H:H, TRIM('CBK Students'!B:B) = TRIM(A846)),
  """"
)"),"#REF!")</f>
        <v>#REF!</v>
      </c>
      <c r="V846" s="240" t="str">
        <f>IFERROR(__xludf.DUMMYFUNCTION("IFERROR(
  FILTER('CBK Students'!M:M, TRIM('CBK Students'!B:B) = TRIM(A846)),
  """"
)"),"#REF!")</f>
        <v>#REF!</v>
      </c>
      <c r="W846" s="240" t="str">
        <f t="shared" si="1"/>
        <v/>
      </c>
      <c r="X846" s="240" t="str">
        <f>IFERROR(__xludf.DUMMYFUNCTION("IFERROR(
  FILTER('CBK Students'!R:R, TRIM('CBK Students'!B:B) = TRIM(A846)),
  """"
)"),"#REF!")</f>
        <v>#REF!</v>
      </c>
      <c r="Y846" s="4" t="str">
        <f t="shared" si="2"/>
        <v/>
      </c>
      <c r="Z846" s="4" t="str">
        <f>IFERROR(__xludf.DUMMYFUNCTION("IFERROR(
  FILTER('CBK Students'!O:O, TRIM('CBK Students'!B:B) = TRIM(A846)),
  """"
)"),"#REF!")</f>
        <v>#REF!</v>
      </c>
      <c r="AA846" s="4" t="str">
        <f>IFERROR(__xludf.DUMMYFUNCTION("IFERROR(
  FILTER('CBK Students'!P:P, TRIM('CBK Students'!B:B) = TRIM(A846)),
  """"
)"),"#REF!")</f>
        <v>#REF!</v>
      </c>
      <c r="AB846" s="4" t="str">
        <f>IFERROR(__xludf.DUMMYFUNCTION("IFERROR(
  FILTER('CBK Students'!Q:Q, TRIM('CBK Students'!B:B) = TRIM(A846)),
  """"
)"),"#REF!")</f>
        <v>#REF!</v>
      </c>
    </row>
    <row r="847" ht="18.75" customHeight="1">
      <c r="T847" s="240" t="str">
        <f>IFERROR(__xludf.DUMMYFUNCTION("IFERROR(
  FILTER('CBK Students'!F:F, TRIM('CBK Students'!B:B) = TRIM(A847)),
  """"
)"),"#REF!")</f>
        <v>#REF!</v>
      </c>
      <c r="U847" s="240" t="str">
        <f>IFERROR(__xludf.DUMMYFUNCTION("IFERROR(
  FILTER('CBK Students'!H:H, TRIM('CBK Students'!B:B) = TRIM(A847)),
  """"
)"),"#REF!")</f>
        <v>#REF!</v>
      </c>
      <c r="V847" s="240" t="str">
        <f>IFERROR(__xludf.DUMMYFUNCTION("IFERROR(
  FILTER('CBK Students'!M:M, TRIM('CBK Students'!B:B) = TRIM(A847)),
  """"
)"),"#REF!")</f>
        <v>#REF!</v>
      </c>
      <c r="W847" s="240" t="str">
        <f t="shared" si="1"/>
        <v/>
      </c>
      <c r="X847" s="240" t="str">
        <f>IFERROR(__xludf.DUMMYFUNCTION("IFERROR(
  FILTER('CBK Students'!R:R, TRIM('CBK Students'!B:B) = TRIM(A847)),
  """"
)"),"#REF!")</f>
        <v>#REF!</v>
      </c>
      <c r="Y847" s="4" t="str">
        <f t="shared" si="2"/>
        <v/>
      </c>
      <c r="Z847" s="4" t="str">
        <f>IFERROR(__xludf.DUMMYFUNCTION("IFERROR(
  FILTER('CBK Students'!O:O, TRIM('CBK Students'!B:B) = TRIM(A847)),
  """"
)"),"#REF!")</f>
        <v>#REF!</v>
      </c>
      <c r="AA847" s="4" t="str">
        <f>IFERROR(__xludf.DUMMYFUNCTION("IFERROR(
  FILTER('CBK Students'!P:P, TRIM('CBK Students'!B:B) = TRIM(A847)),
  """"
)"),"#REF!")</f>
        <v>#REF!</v>
      </c>
      <c r="AB847" s="4" t="str">
        <f>IFERROR(__xludf.DUMMYFUNCTION("IFERROR(
  FILTER('CBK Students'!Q:Q, TRIM('CBK Students'!B:B) = TRIM(A847)),
  """"
)"),"#REF!")</f>
        <v>#REF!</v>
      </c>
    </row>
    <row r="848" ht="18.75" customHeight="1">
      <c r="T848" s="240" t="str">
        <f>IFERROR(__xludf.DUMMYFUNCTION("IFERROR(
  FILTER('CBK Students'!F:F, TRIM('CBK Students'!B:B) = TRIM(A848)),
  """"
)"),"#REF!")</f>
        <v>#REF!</v>
      </c>
      <c r="U848" s="240" t="str">
        <f>IFERROR(__xludf.DUMMYFUNCTION("IFERROR(
  FILTER('CBK Students'!H:H, TRIM('CBK Students'!B:B) = TRIM(A848)),
  """"
)"),"#REF!")</f>
        <v>#REF!</v>
      </c>
      <c r="V848" s="240" t="str">
        <f>IFERROR(__xludf.DUMMYFUNCTION("IFERROR(
  FILTER('CBK Students'!M:M, TRIM('CBK Students'!B:B) = TRIM(A848)),
  """"
)"),"#REF!")</f>
        <v>#REF!</v>
      </c>
      <c r="W848" s="240" t="str">
        <f t="shared" si="1"/>
        <v/>
      </c>
      <c r="X848" s="240" t="str">
        <f>IFERROR(__xludf.DUMMYFUNCTION("IFERROR(
  FILTER('CBK Students'!R:R, TRIM('CBK Students'!B:B) = TRIM(A848)),
  """"
)"),"#REF!")</f>
        <v>#REF!</v>
      </c>
      <c r="Y848" s="4" t="str">
        <f t="shared" si="2"/>
        <v/>
      </c>
      <c r="Z848" s="4" t="str">
        <f>IFERROR(__xludf.DUMMYFUNCTION("IFERROR(
  FILTER('CBK Students'!O:O, TRIM('CBK Students'!B:B) = TRIM(A848)),
  """"
)"),"#REF!")</f>
        <v>#REF!</v>
      </c>
      <c r="AA848" s="4" t="str">
        <f>IFERROR(__xludf.DUMMYFUNCTION("IFERROR(
  FILTER('CBK Students'!P:P, TRIM('CBK Students'!B:B) = TRIM(A848)),
  """"
)"),"#REF!")</f>
        <v>#REF!</v>
      </c>
      <c r="AB848" s="4" t="str">
        <f>IFERROR(__xludf.DUMMYFUNCTION("IFERROR(
  FILTER('CBK Students'!Q:Q, TRIM('CBK Students'!B:B) = TRIM(A848)),
  """"
)"),"#REF!")</f>
        <v>#REF!</v>
      </c>
    </row>
    <row r="849" ht="18.75" customHeight="1">
      <c r="T849" s="240" t="str">
        <f>IFERROR(__xludf.DUMMYFUNCTION("IFERROR(
  FILTER('CBK Students'!F:F, TRIM('CBK Students'!B:B) = TRIM(A849)),
  """"
)"),"#REF!")</f>
        <v>#REF!</v>
      </c>
      <c r="U849" s="240" t="str">
        <f>IFERROR(__xludf.DUMMYFUNCTION("IFERROR(
  FILTER('CBK Students'!H:H, TRIM('CBK Students'!B:B) = TRIM(A849)),
  """"
)"),"#REF!")</f>
        <v>#REF!</v>
      </c>
      <c r="V849" s="240" t="str">
        <f>IFERROR(__xludf.DUMMYFUNCTION("IFERROR(
  FILTER('CBK Students'!M:M, TRIM('CBK Students'!B:B) = TRIM(A849)),
  """"
)"),"#REF!")</f>
        <v>#REF!</v>
      </c>
      <c r="W849" s="240" t="str">
        <f t="shared" si="1"/>
        <v/>
      </c>
      <c r="X849" s="240" t="str">
        <f>IFERROR(__xludf.DUMMYFUNCTION("IFERROR(
  FILTER('CBK Students'!R:R, TRIM('CBK Students'!B:B) = TRIM(A849)),
  """"
)"),"#REF!")</f>
        <v>#REF!</v>
      </c>
      <c r="Y849" s="4" t="str">
        <f t="shared" si="2"/>
        <v/>
      </c>
      <c r="Z849" s="4" t="str">
        <f>IFERROR(__xludf.DUMMYFUNCTION("IFERROR(
  FILTER('CBK Students'!O:O, TRIM('CBK Students'!B:B) = TRIM(A849)),
  """"
)"),"#REF!")</f>
        <v>#REF!</v>
      </c>
      <c r="AA849" s="4" t="str">
        <f>IFERROR(__xludf.DUMMYFUNCTION("IFERROR(
  FILTER('CBK Students'!P:P, TRIM('CBK Students'!B:B) = TRIM(A849)),
  """"
)"),"#REF!")</f>
        <v>#REF!</v>
      </c>
      <c r="AB849" s="4" t="str">
        <f>IFERROR(__xludf.DUMMYFUNCTION("IFERROR(
  FILTER('CBK Students'!Q:Q, TRIM('CBK Students'!B:B) = TRIM(A849)),
  """"
)"),"#REF!")</f>
        <v>#REF!</v>
      </c>
    </row>
    <row r="850" ht="18.75" customHeight="1">
      <c r="T850" s="240" t="str">
        <f>IFERROR(__xludf.DUMMYFUNCTION("IFERROR(
  FILTER('CBK Students'!F:F, TRIM('CBK Students'!B:B) = TRIM(A850)),
  """"
)"),"#REF!")</f>
        <v>#REF!</v>
      </c>
      <c r="U850" s="240" t="str">
        <f>IFERROR(__xludf.DUMMYFUNCTION("IFERROR(
  FILTER('CBK Students'!H:H, TRIM('CBK Students'!B:B) = TRIM(A850)),
  """"
)"),"#REF!")</f>
        <v>#REF!</v>
      </c>
      <c r="V850" s="240" t="str">
        <f>IFERROR(__xludf.DUMMYFUNCTION("IFERROR(
  FILTER('CBK Students'!M:M, TRIM('CBK Students'!B:B) = TRIM(A850)),
  """"
)"),"#REF!")</f>
        <v>#REF!</v>
      </c>
      <c r="W850" s="240" t="str">
        <f t="shared" si="1"/>
        <v/>
      </c>
      <c r="X850" s="240" t="str">
        <f>IFERROR(__xludf.DUMMYFUNCTION("IFERROR(
  FILTER('CBK Students'!R:R, TRIM('CBK Students'!B:B) = TRIM(A850)),
  """"
)"),"#REF!")</f>
        <v>#REF!</v>
      </c>
      <c r="Y850" s="4" t="str">
        <f t="shared" si="2"/>
        <v/>
      </c>
      <c r="Z850" s="4" t="str">
        <f>IFERROR(__xludf.DUMMYFUNCTION("IFERROR(
  FILTER('CBK Students'!O:O, TRIM('CBK Students'!B:B) = TRIM(A850)),
  """"
)"),"#REF!")</f>
        <v>#REF!</v>
      </c>
      <c r="AA850" s="4" t="str">
        <f>IFERROR(__xludf.DUMMYFUNCTION("IFERROR(
  FILTER('CBK Students'!P:P, TRIM('CBK Students'!B:B) = TRIM(A850)),
  """"
)"),"#REF!")</f>
        <v>#REF!</v>
      </c>
      <c r="AB850" s="4" t="str">
        <f>IFERROR(__xludf.DUMMYFUNCTION("IFERROR(
  FILTER('CBK Students'!Q:Q, TRIM('CBK Students'!B:B) = TRIM(A850)),
  """"
)"),"#REF!")</f>
        <v>#REF!</v>
      </c>
    </row>
    <row r="851" ht="18.75" customHeight="1">
      <c r="T851" s="240" t="str">
        <f>IFERROR(__xludf.DUMMYFUNCTION("IFERROR(
  FILTER('CBK Students'!F:F, TRIM('CBK Students'!B:B) = TRIM(A851)),
  """"
)"),"#REF!")</f>
        <v>#REF!</v>
      </c>
      <c r="U851" s="240" t="str">
        <f>IFERROR(__xludf.DUMMYFUNCTION("IFERROR(
  FILTER('CBK Students'!H:H, TRIM('CBK Students'!B:B) = TRIM(A851)),
  """"
)"),"#REF!")</f>
        <v>#REF!</v>
      </c>
      <c r="V851" s="240" t="str">
        <f>IFERROR(__xludf.DUMMYFUNCTION("IFERROR(
  FILTER('CBK Students'!M:M, TRIM('CBK Students'!B:B) = TRIM(A851)),
  """"
)"),"#REF!")</f>
        <v>#REF!</v>
      </c>
      <c r="W851" s="240" t="str">
        <f t="shared" si="1"/>
        <v/>
      </c>
      <c r="X851" s="240" t="str">
        <f>IFERROR(__xludf.DUMMYFUNCTION("IFERROR(
  FILTER('CBK Students'!R:R, TRIM('CBK Students'!B:B) = TRIM(A851)),
  """"
)"),"#REF!")</f>
        <v>#REF!</v>
      </c>
      <c r="Y851" s="4" t="str">
        <f t="shared" si="2"/>
        <v/>
      </c>
      <c r="Z851" s="4" t="str">
        <f>IFERROR(__xludf.DUMMYFUNCTION("IFERROR(
  FILTER('CBK Students'!O:O, TRIM('CBK Students'!B:B) = TRIM(A851)),
  """"
)"),"#REF!")</f>
        <v>#REF!</v>
      </c>
      <c r="AA851" s="4" t="str">
        <f>IFERROR(__xludf.DUMMYFUNCTION("IFERROR(
  FILTER('CBK Students'!P:P, TRIM('CBK Students'!B:B) = TRIM(A851)),
  """"
)"),"#REF!")</f>
        <v>#REF!</v>
      </c>
      <c r="AB851" s="4" t="str">
        <f>IFERROR(__xludf.DUMMYFUNCTION("IFERROR(
  FILTER('CBK Students'!Q:Q, TRIM('CBK Students'!B:B) = TRIM(A851)),
  """"
)"),"#REF!")</f>
        <v>#REF!</v>
      </c>
    </row>
    <row r="852" ht="18.75" customHeight="1">
      <c r="T852" s="240" t="str">
        <f>IFERROR(__xludf.DUMMYFUNCTION("IFERROR(
  FILTER('CBK Students'!F:F, TRIM('CBK Students'!B:B) = TRIM(A852)),
  """"
)"),"#REF!")</f>
        <v>#REF!</v>
      </c>
      <c r="U852" s="240" t="str">
        <f>IFERROR(__xludf.DUMMYFUNCTION("IFERROR(
  FILTER('CBK Students'!H:H, TRIM('CBK Students'!B:B) = TRIM(A852)),
  """"
)"),"#REF!")</f>
        <v>#REF!</v>
      </c>
      <c r="V852" s="240" t="str">
        <f>IFERROR(__xludf.DUMMYFUNCTION("IFERROR(
  FILTER('CBK Students'!M:M, TRIM('CBK Students'!B:B) = TRIM(A852)),
  """"
)"),"#REF!")</f>
        <v>#REF!</v>
      </c>
      <c r="W852" s="240" t="str">
        <f t="shared" si="1"/>
        <v/>
      </c>
      <c r="X852" s="240" t="str">
        <f>IFERROR(__xludf.DUMMYFUNCTION("IFERROR(
  FILTER('CBK Students'!R:R, TRIM('CBK Students'!B:B) = TRIM(A852)),
  """"
)"),"#REF!")</f>
        <v>#REF!</v>
      </c>
      <c r="Y852" s="4" t="str">
        <f t="shared" si="2"/>
        <v/>
      </c>
      <c r="Z852" s="4" t="str">
        <f>IFERROR(__xludf.DUMMYFUNCTION("IFERROR(
  FILTER('CBK Students'!O:O, TRIM('CBK Students'!B:B) = TRIM(A852)),
  """"
)"),"#REF!")</f>
        <v>#REF!</v>
      </c>
      <c r="AA852" s="4" t="str">
        <f>IFERROR(__xludf.DUMMYFUNCTION("IFERROR(
  FILTER('CBK Students'!P:P, TRIM('CBK Students'!B:B) = TRIM(A852)),
  """"
)"),"#REF!")</f>
        <v>#REF!</v>
      </c>
      <c r="AB852" s="4" t="str">
        <f>IFERROR(__xludf.DUMMYFUNCTION("IFERROR(
  FILTER('CBK Students'!Q:Q, TRIM('CBK Students'!B:B) = TRIM(A852)),
  """"
)"),"#REF!")</f>
        <v>#REF!</v>
      </c>
    </row>
    <row r="853" ht="18.75" customHeight="1">
      <c r="T853" s="240" t="str">
        <f>IFERROR(__xludf.DUMMYFUNCTION("IFERROR(
  FILTER('CBK Students'!F:F, TRIM('CBK Students'!B:B) = TRIM(A853)),
  """"
)"),"#REF!")</f>
        <v>#REF!</v>
      </c>
      <c r="U853" s="240" t="str">
        <f>IFERROR(__xludf.DUMMYFUNCTION("IFERROR(
  FILTER('CBK Students'!H:H, TRIM('CBK Students'!B:B) = TRIM(A853)),
  """"
)"),"#REF!")</f>
        <v>#REF!</v>
      </c>
      <c r="V853" s="240" t="str">
        <f>IFERROR(__xludf.DUMMYFUNCTION("IFERROR(
  FILTER('CBK Students'!M:M, TRIM('CBK Students'!B:B) = TRIM(A853)),
  """"
)"),"#REF!")</f>
        <v>#REF!</v>
      </c>
      <c r="W853" s="240" t="str">
        <f t="shared" si="1"/>
        <v/>
      </c>
      <c r="X853" s="240" t="str">
        <f>IFERROR(__xludf.DUMMYFUNCTION("IFERROR(
  FILTER('CBK Students'!R:R, TRIM('CBK Students'!B:B) = TRIM(A853)),
  """"
)"),"#REF!")</f>
        <v>#REF!</v>
      </c>
      <c r="Y853" s="4" t="str">
        <f t="shared" si="2"/>
        <v/>
      </c>
      <c r="Z853" s="4" t="str">
        <f>IFERROR(__xludf.DUMMYFUNCTION("IFERROR(
  FILTER('CBK Students'!O:O, TRIM('CBK Students'!B:B) = TRIM(A853)),
  """"
)"),"#REF!")</f>
        <v>#REF!</v>
      </c>
      <c r="AA853" s="4" t="str">
        <f>IFERROR(__xludf.DUMMYFUNCTION("IFERROR(
  FILTER('CBK Students'!P:P, TRIM('CBK Students'!B:B) = TRIM(A853)),
  """"
)"),"#REF!")</f>
        <v>#REF!</v>
      </c>
      <c r="AB853" s="4" t="str">
        <f>IFERROR(__xludf.DUMMYFUNCTION("IFERROR(
  FILTER('CBK Students'!Q:Q, TRIM('CBK Students'!B:B) = TRIM(A853)),
  """"
)"),"#REF!")</f>
        <v>#REF!</v>
      </c>
    </row>
    <row r="854" ht="18.75" customHeight="1">
      <c r="T854" s="240" t="str">
        <f>IFERROR(__xludf.DUMMYFUNCTION("IFERROR(
  FILTER('CBK Students'!F:F, TRIM('CBK Students'!B:B) = TRIM(A854)),
  """"
)"),"#REF!")</f>
        <v>#REF!</v>
      </c>
      <c r="U854" s="240" t="str">
        <f>IFERROR(__xludf.DUMMYFUNCTION("IFERROR(
  FILTER('CBK Students'!H:H, TRIM('CBK Students'!B:B) = TRIM(A854)),
  """"
)"),"#REF!")</f>
        <v>#REF!</v>
      </c>
      <c r="V854" s="240" t="str">
        <f>IFERROR(__xludf.DUMMYFUNCTION("IFERROR(
  FILTER('CBK Students'!M:M, TRIM('CBK Students'!B:B) = TRIM(A854)),
  """"
)"),"#REF!")</f>
        <v>#REF!</v>
      </c>
      <c r="W854" s="240" t="str">
        <f t="shared" si="1"/>
        <v/>
      </c>
      <c r="X854" s="240" t="str">
        <f>IFERROR(__xludf.DUMMYFUNCTION("IFERROR(
  FILTER('CBK Students'!R:R, TRIM('CBK Students'!B:B) = TRIM(A854)),
  """"
)"),"#REF!")</f>
        <v>#REF!</v>
      </c>
      <c r="Y854" s="4" t="str">
        <f t="shared" si="2"/>
        <v/>
      </c>
      <c r="Z854" s="4" t="str">
        <f>IFERROR(__xludf.DUMMYFUNCTION("IFERROR(
  FILTER('CBK Students'!O:O, TRIM('CBK Students'!B:B) = TRIM(A854)),
  """"
)"),"#REF!")</f>
        <v>#REF!</v>
      </c>
      <c r="AA854" s="4" t="str">
        <f>IFERROR(__xludf.DUMMYFUNCTION("IFERROR(
  FILTER('CBK Students'!P:P, TRIM('CBK Students'!B:B) = TRIM(A854)),
  """"
)"),"#REF!")</f>
        <v>#REF!</v>
      </c>
      <c r="AB854" s="4" t="str">
        <f>IFERROR(__xludf.DUMMYFUNCTION("IFERROR(
  FILTER('CBK Students'!Q:Q, TRIM('CBK Students'!B:B) = TRIM(A854)),
  """"
)"),"#REF!")</f>
        <v>#REF!</v>
      </c>
    </row>
    <row r="855" ht="18.75" customHeight="1">
      <c r="T855" s="240" t="str">
        <f>IFERROR(__xludf.DUMMYFUNCTION("IFERROR(
  FILTER('CBK Students'!F:F, TRIM('CBK Students'!B:B) = TRIM(A855)),
  """"
)"),"#REF!")</f>
        <v>#REF!</v>
      </c>
      <c r="U855" s="240" t="str">
        <f>IFERROR(__xludf.DUMMYFUNCTION("IFERROR(
  FILTER('CBK Students'!H:H, TRIM('CBK Students'!B:B) = TRIM(A855)),
  """"
)"),"#REF!")</f>
        <v>#REF!</v>
      </c>
      <c r="V855" s="240" t="str">
        <f>IFERROR(__xludf.DUMMYFUNCTION("IFERROR(
  FILTER('CBK Students'!M:M, TRIM('CBK Students'!B:B) = TRIM(A855)),
  """"
)"),"#REF!")</f>
        <v>#REF!</v>
      </c>
      <c r="W855" s="240" t="str">
        <f t="shared" si="1"/>
        <v/>
      </c>
      <c r="X855" s="240" t="str">
        <f>IFERROR(__xludf.DUMMYFUNCTION("IFERROR(
  FILTER('CBK Students'!R:R, TRIM('CBK Students'!B:B) = TRIM(A855)),
  """"
)"),"#REF!")</f>
        <v>#REF!</v>
      </c>
      <c r="Y855" s="4" t="str">
        <f t="shared" si="2"/>
        <v/>
      </c>
      <c r="Z855" s="4" t="str">
        <f>IFERROR(__xludf.DUMMYFUNCTION("IFERROR(
  FILTER('CBK Students'!O:O, TRIM('CBK Students'!B:B) = TRIM(A855)),
  """"
)"),"#REF!")</f>
        <v>#REF!</v>
      </c>
      <c r="AA855" s="4" t="str">
        <f>IFERROR(__xludf.DUMMYFUNCTION("IFERROR(
  FILTER('CBK Students'!P:P, TRIM('CBK Students'!B:B) = TRIM(A855)),
  """"
)"),"#REF!")</f>
        <v>#REF!</v>
      </c>
      <c r="AB855" s="4" t="str">
        <f>IFERROR(__xludf.DUMMYFUNCTION("IFERROR(
  FILTER('CBK Students'!Q:Q, TRIM('CBK Students'!B:B) = TRIM(A855)),
  """"
)"),"#REF!")</f>
        <v>#REF!</v>
      </c>
    </row>
    <row r="856" ht="18.75" customHeight="1">
      <c r="T856" s="240" t="str">
        <f>IFERROR(__xludf.DUMMYFUNCTION("IFERROR(
  FILTER('CBK Students'!F:F, TRIM('CBK Students'!B:B) = TRIM(A856)),
  """"
)"),"#REF!")</f>
        <v>#REF!</v>
      </c>
      <c r="U856" s="240" t="str">
        <f>IFERROR(__xludf.DUMMYFUNCTION("IFERROR(
  FILTER('CBK Students'!H:H, TRIM('CBK Students'!B:B) = TRIM(A856)),
  """"
)"),"#REF!")</f>
        <v>#REF!</v>
      </c>
      <c r="V856" s="240" t="str">
        <f>IFERROR(__xludf.DUMMYFUNCTION("IFERROR(
  FILTER('CBK Students'!M:M, TRIM('CBK Students'!B:B) = TRIM(A856)),
  """"
)"),"#REF!")</f>
        <v>#REF!</v>
      </c>
      <c r="W856" s="240" t="str">
        <f t="shared" si="1"/>
        <v/>
      </c>
      <c r="X856" s="240" t="str">
        <f>IFERROR(__xludf.DUMMYFUNCTION("IFERROR(
  FILTER('CBK Students'!R:R, TRIM('CBK Students'!B:B) = TRIM(A856)),
  """"
)"),"#REF!")</f>
        <v>#REF!</v>
      </c>
      <c r="Y856" s="4" t="str">
        <f t="shared" si="2"/>
        <v/>
      </c>
      <c r="Z856" s="4" t="str">
        <f>IFERROR(__xludf.DUMMYFUNCTION("IFERROR(
  FILTER('CBK Students'!O:O, TRIM('CBK Students'!B:B) = TRIM(A856)),
  """"
)"),"#REF!")</f>
        <v>#REF!</v>
      </c>
      <c r="AA856" s="4" t="str">
        <f>IFERROR(__xludf.DUMMYFUNCTION("IFERROR(
  FILTER('CBK Students'!P:P, TRIM('CBK Students'!B:B) = TRIM(A856)),
  """"
)"),"#REF!")</f>
        <v>#REF!</v>
      </c>
      <c r="AB856" s="4" t="str">
        <f>IFERROR(__xludf.DUMMYFUNCTION("IFERROR(
  FILTER('CBK Students'!Q:Q, TRIM('CBK Students'!B:B) = TRIM(A856)),
  """"
)"),"#REF!")</f>
        <v>#REF!</v>
      </c>
    </row>
    <row r="857" ht="18.75" customHeight="1">
      <c r="T857" s="240" t="str">
        <f>IFERROR(__xludf.DUMMYFUNCTION("IFERROR(
  FILTER('CBK Students'!F:F, TRIM('CBK Students'!B:B) = TRIM(A857)),
  """"
)"),"#REF!")</f>
        <v>#REF!</v>
      </c>
      <c r="U857" s="240" t="str">
        <f>IFERROR(__xludf.DUMMYFUNCTION("IFERROR(
  FILTER('CBK Students'!H:H, TRIM('CBK Students'!B:B) = TRIM(A857)),
  """"
)"),"#REF!")</f>
        <v>#REF!</v>
      </c>
      <c r="V857" s="240" t="str">
        <f>IFERROR(__xludf.DUMMYFUNCTION("IFERROR(
  FILTER('CBK Students'!M:M, TRIM('CBK Students'!B:B) = TRIM(A857)),
  """"
)"),"#REF!")</f>
        <v>#REF!</v>
      </c>
      <c r="W857" s="240" t="str">
        <f t="shared" si="1"/>
        <v/>
      </c>
      <c r="X857" s="240" t="str">
        <f>IFERROR(__xludf.DUMMYFUNCTION("IFERROR(
  FILTER('CBK Students'!R:R, TRIM('CBK Students'!B:B) = TRIM(A857)),
  """"
)"),"#REF!")</f>
        <v>#REF!</v>
      </c>
      <c r="Y857" s="4" t="str">
        <f t="shared" si="2"/>
        <v/>
      </c>
      <c r="Z857" s="4" t="str">
        <f>IFERROR(__xludf.DUMMYFUNCTION("IFERROR(
  FILTER('CBK Students'!O:O, TRIM('CBK Students'!B:B) = TRIM(A857)),
  """"
)"),"#REF!")</f>
        <v>#REF!</v>
      </c>
      <c r="AA857" s="4" t="str">
        <f>IFERROR(__xludf.DUMMYFUNCTION("IFERROR(
  FILTER('CBK Students'!P:P, TRIM('CBK Students'!B:B) = TRIM(A857)),
  """"
)"),"#REF!")</f>
        <v>#REF!</v>
      </c>
      <c r="AB857" s="4" t="str">
        <f>IFERROR(__xludf.DUMMYFUNCTION("IFERROR(
  FILTER('CBK Students'!Q:Q, TRIM('CBK Students'!B:B) = TRIM(A857)),
  """"
)"),"#REF!")</f>
        <v>#REF!</v>
      </c>
    </row>
    <row r="858" ht="18.75" customHeight="1">
      <c r="T858" s="240" t="str">
        <f>IFERROR(__xludf.DUMMYFUNCTION("IFERROR(
  FILTER('CBK Students'!F:F, TRIM('CBK Students'!B:B) = TRIM(A858)),
  """"
)"),"#REF!")</f>
        <v>#REF!</v>
      </c>
      <c r="U858" s="240" t="str">
        <f>IFERROR(__xludf.DUMMYFUNCTION("IFERROR(
  FILTER('CBK Students'!H:H, TRIM('CBK Students'!B:B) = TRIM(A858)),
  """"
)"),"#REF!")</f>
        <v>#REF!</v>
      </c>
      <c r="V858" s="240" t="str">
        <f>IFERROR(__xludf.DUMMYFUNCTION("IFERROR(
  FILTER('CBK Students'!M:M, TRIM('CBK Students'!B:B) = TRIM(A858)),
  """"
)"),"#REF!")</f>
        <v>#REF!</v>
      </c>
      <c r="W858" s="240" t="str">
        <f t="shared" si="1"/>
        <v/>
      </c>
      <c r="X858" s="240" t="str">
        <f>IFERROR(__xludf.DUMMYFUNCTION("IFERROR(
  FILTER('CBK Students'!R:R, TRIM('CBK Students'!B:B) = TRIM(A858)),
  """"
)"),"#REF!")</f>
        <v>#REF!</v>
      </c>
      <c r="Y858" s="4" t="str">
        <f t="shared" si="2"/>
        <v/>
      </c>
      <c r="Z858" s="4" t="str">
        <f>IFERROR(__xludf.DUMMYFUNCTION("IFERROR(
  FILTER('CBK Students'!O:O, TRIM('CBK Students'!B:B) = TRIM(A858)),
  """"
)"),"#REF!")</f>
        <v>#REF!</v>
      </c>
      <c r="AA858" s="4" t="str">
        <f>IFERROR(__xludf.DUMMYFUNCTION("IFERROR(
  FILTER('CBK Students'!P:P, TRIM('CBK Students'!B:B) = TRIM(A858)),
  """"
)"),"#REF!")</f>
        <v>#REF!</v>
      </c>
      <c r="AB858" s="4" t="str">
        <f>IFERROR(__xludf.DUMMYFUNCTION("IFERROR(
  FILTER('CBK Students'!Q:Q, TRIM('CBK Students'!B:B) = TRIM(A858)),
  """"
)"),"#REF!")</f>
        <v>#REF!</v>
      </c>
    </row>
    <row r="859" ht="18.75" customHeight="1">
      <c r="T859" s="240" t="str">
        <f>IFERROR(__xludf.DUMMYFUNCTION("IFERROR(
  FILTER('CBK Students'!F:F, TRIM('CBK Students'!B:B) = TRIM(A859)),
  """"
)"),"#REF!")</f>
        <v>#REF!</v>
      </c>
      <c r="U859" s="240" t="str">
        <f>IFERROR(__xludf.DUMMYFUNCTION("IFERROR(
  FILTER('CBK Students'!H:H, TRIM('CBK Students'!B:B) = TRIM(A859)),
  """"
)"),"#REF!")</f>
        <v>#REF!</v>
      </c>
      <c r="V859" s="240" t="str">
        <f>IFERROR(__xludf.DUMMYFUNCTION("IFERROR(
  FILTER('CBK Students'!M:M, TRIM('CBK Students'!B:B) = TRIM(A859)),
  """"
)"),"#REF!")</f>
        <v>#REF!</v>
      </c>
      <c r="W859" s="240" t="str">
        <f t="shared" si="1"/>
        <v/>
      </c>
      <c r="X859" s="240" t="str">
        <f>IFERROR(__xludf.DUMMYFUNCTION("IFERROR(
  FILTER('CBK Students'!R:R, TRIM('CBK Students'!B:B) = TRIM(A859)),
  """"
)"),"#REF!")</f>
        <v>#REF!</v>
      </c>
      <c r="Y859" s="4" t="str">
        <f t="shared" si="2"/>
        <v/>
      </c>
      <c r="Z859" s="4" t="str">
        <f>IFERROR(__xludf.DUMMYFUNCTION("IFERROR(
  FILTER('CBK Students'!O:O, TRIM('CBK Students'!B:B) = TRIM(A859)),
  """"
)"),"#REF!")</f>
        <v>#REF!</v>
      </c>
      <c r="AA859" s="4" t="str">
        <f>IFERROR(__xludf.DUMMYFUNCTION("IFERROR(
  FILTER('CBK Students'!P:P, TRIM('CBK Students'!B:B) = TRIM(A859)),
  """"
)"),"#REF!")</f>
        <v>#REF!</v>
      </c>
      <c r="AB859" s="4" t="str">
        <f>IFERROR(__xludf.DUMMYFUNCTION("IFERROR(
  FILTER('CBK Students'!Q:Q, TRIM('CBK Students'!B:B) = TRIM(A859)),
  """"
)"),"#REF!")</f>
        <v>#REF!</v>
      </c>
    </row>
    <row r="860" ht="18.75" customHeight="1">
      <c r="T860" s="240" t="str">
        <f>IFERROR(__xludf.DUMMYFUNCTION("IFERROR(
  FILTER('CBK Students'!F:F, TRIM('CBK Students'!B:B) = TRIM(A860)),
  """"
)"),"#REF!")</f>
        <v>#REF!</v>
      </c>
      <c r="U860" s="240" t="str">
        <f>IFERROR(__xludf.DUMMYFUNCTION("IFERROR(
  FILTER('CBK Students'!H:H, TRIM('CBK Students'!B:B) = TRIM(A860)),
  """"
)"),"#REF!")</f>
        <v>#REF!</v>
      </c>
      <c r="V860" s="240" t="str">
        <f>IFERROR(__xludf.DUMMYFUNCTION("IFERROR(
  FILTER('CBK Students'!M:M, TRIM('CBK Students'!B:B) = TRIM(A860)),
  """"
)"),"#REF!")</f>
        <v>#REF!</v>
      </c>
      <c r="W860" s="240" t="str">
        <f t="shared" si="1"/>
        <v/>
      </c>
      <c r="X860" s="240" t="str">
        <f>IFERROR(__xludf.DUMMYFUNCTION("IFERROR(
  FILTER('CBK Students'!R:R, TRIM('CBK Students'!B:B) = TRIM(A860)),
  """"
)"),"#REF!")</f>
        <v>#REF!</v>
      </c>
      <c r="Y860" s="4" t="str">
        <f t="shared" si="2"/>
        <v/>
      </c>
      <c r="Z860" s="4" t="str">
        <f>IFERROR(__xludf.DUMMYFUNCTION("IFERROR(
  FILTER('CBK Students'!O:O, TRIM('CBK Students'!B:B) = TRIM(A860)),
  """"
)"),"#REF!")</f>
        <v>#REF!</v>
      </c>
      <c r="AA860" s="4" t="str">
        <f>IFERROR(__xludf.DUMMYFUNCTION("IFERROR(
  FILTER('CBK Students'!P:P, TRIM('CBK Students'!B:B) = TRIM(A860)),
  """"
)"),"#REF!")</f>
        <v>#REF!</v>
      </c>
      <c r="AB860" s="4" t="str">
        <f>IFERROR(__xludf.DUMMYFUNCTION("IFERROR(
  FILTER('CBK Students'!Q:Q, TRIM('CBK Students'!B:B) = TRIM(A860)),
  """"
)"),"#REF!")</f>
        <v>#REF!</v>
      </c>
    </row>
    <row r="861" ht="18.75" customHeight="1">
      <c r="T861" s="240" t="str">
        <f>IFERROR(__xludf.DUMMYFUNCTION("IFERROR(
  FILTER('CBK Students'!F:F, TRIM('CBK Students'!B:B) = TRIM(A861)),
  """"
)"),"#REF!")</f>
        <v>#REF!</v>
      </c>
      <c r="U861" s="240" t="str">
        <f>IFERROR(__xludf.DUMMYFUNCTION("IFERROR(
  FILTER('CBK Students'!H:H, TRIM('CBK Students'!B:B) = TRIM(A861)),
  """"
)"),"#REF!")</f>
        <v>#REF!</v>
      </c>
      <c r="V861" s="240" t="str">
        <f>IFERROR(__xludf.DUMMYFUNCTION("IFERROR(
  FILTER('CBK Students'!M:M, TRIM('CBK Students'!B:B) = TRIM(A861)),
  """"
)"),"#REF!")</f>
        <v>#REF!</v>
      </c>
      <c r="W861" s="240" t="str">
        <f t="shared" si="1"/>
        <v/>
      </c>
      <c r="X861" s="240" t="str">
        <f>IFERROR(__xludf.DUMMYFUNCTION("IFERROR(
  FILTER('CBK Students'!R:R, TRIM('CBK Students'!B:B) = TRIM(A861)),
  """"
)"),"#REF!")</f>
        <v>#REF!</v>
      </c>
      <c r="Y861" s="4" t="str">
        <f t="shared" si="2"/>
        <v/>
      </c>
      <c r="Z861" s="4" t="str">
        <f>IFERROR(__xludf.DUMMYFUNCTION("IFERROR(
  FILTER('CBK Students'!O:O, TRIM('CBK Students'!B:B) = TRIM(A861)),
  """"
)"),"#REF!")</f>
        <v>#REF!</v>
      </c>
      <c r="AA861" s="4" t="str">
        <f>IFERROR(__xludf.DUMMYFUNCTION("IFERROR(
  FILTER('CBK Students'!P:P, TRIM('CBK Students'!B:B) = TRIM(A861)),
  """"
)"),"#REF!")</f>
        <v>#REF!</v>
      </c>
      <c r="AB861" s="4" t="str">
        <f>IFERROR(__xludf.DUMMYFUNCTION("IFERROR(
  FILTER('CBK Students'!Q:Q, TRIM('CBK Students'!B:B) = TRIM(A861)),
  """"
)"),"#REF!")</f>
        <v>#REF!</v>
      </c>
    </row>
    <row r="862" ht="18.75" customHeight="1">
      <c r="T862" s="240" t="str">
        <f>IFERROR(__xludf.DUMMYFUNCTION("IFERROR(
  FILTER('CBK Students'!F:F, TRIM('CBK Students'!B:B) = TRIM(A862)),
  """"
)"),"#REF!")</f>
        <v>#REF!</v>
      </c>
      <c r="U862" s="240" t="str">
        <f>IFERROR(__xludf.DUMMYFUNCTION("IFERROR(
  FILTER('CBK Students'!H:H, TRIM('CBK Students'!B:B) = TRIM(A862)),
  """"
)"),"#REF!")</f>
        <v>#REF!</v>
      </c>
      <c r="V862" s="240" t="str">
        <f>IFERROR(__xludf.DUMMYFUNCTION("IFERROR(
  FILTER('CBK Students'!M:M, TRIM('CBK Students'!B:B) = TRIM(A862)),
  """"
)"),"#REF!")</f>
        <v>#REF!</v>
      </c>
      <c r="W862" s="240" t="str">
        <f t="shared" si="1"/>
        <v/>
      </c>
      <c r="X862" s="240" t="str">
        <f>IFERROR(__xludf.DUMMYFUNCTION("IFERROR(
  FILTER('CBK Students'!R:R, TRIM('CBK Students'!B:B) = TRIM(A862)),
  """"
)"),"#REF!")</f>
        <v>#REF!</v>
      </c>
      <c r="Y862" s="4" t="str">
        <f t="shared" si="2"/>
        <v/>
      </c>
      <c r="Z862" s="4" t="str">
        <f>IFERROR(__xludf.DUMMYFUNCTION("IFERROR(
  FILTER('CBK Students'!O:O, TRIM('CBK Students'!B:B) = TRIM(A862)),
  """"
)"),"#REF!")</f>
        <v>#REF!</v>
      </c>
      <c r="AA862" s="4" t="str">
        <f>IFERROR(__xludf.DUMMYFUNCTION("IFERROR(
  FILTER('CBK Students'!P:P, TRIM('CBK Students'!B:B) = TRIM(A862)),
  """"
)"),"#REF!")</f>
        <v>#REF!</v>
      </c>
      <c r="AB862" s="4" t="str">
        <f>IFERROR(__xludf.DUMMYFUNCTION("IFERROR(
  FILTER('CBK Students'!Q:Q, TRIM('CBK Students'!B:B) = TRIM(A862)),
  """"
)"),"#REF!")</f>
        <v>#REF!</v>
      </c>
    </row>
    <row r="863" ht="18.75" customHeight="1">
      <c r="T863" s="240" t="str">
        <f>IFERROR(__xludf.DUMMYFUNCTION("IFERROR(
  FILTER('CBK Students'!F:F, TRIM('CBK Students'!B:B) = TRIM(A863)),
  """"
)"),"#REF!")</f>
        <v>#REF!</v>
      </c>
      <c r="U863" s="240" t="str">
        <f>IFERROR(__xludf.DUMMYFUNCTION("IFERROR(
  FILTER('CBK Students'!H:H, TRIM('CBK Students'!B:B) = TRIM(A863)),
  """"
)"),"#REF!")</f>
        <v>#REF!</v>
      </c>
      <c r="V863" s="240" t="str">
        <f>IFERROR(__xludf.DUMMYFUNCTION("IFERROR(
  FILTER('CBK Students'!M:M, TRIM('CBK Students'!B:B) = TRIM(A863)),
  """"
)"),"#REF!")</f>
        <v>#REF!</v>
      </c>
      <c r="W863" s="240" t="str">
        <f t="shared" si="1"/>
        <v/>
      </c>
      <c r="X863" s="240" t="str">
        <f>IFERROR(__xludf.DUMMYFUNCTION("IFERROR(
  FILTER('CBK Students'!R:R, TRIM('CBK Students'!B:B) = TRIM(A863)),
  """"
)"),"#REF!")</f>
        <v>#REF!</v>
      </c>
      <c r="Y863" s="4" t="str">
        <f t="shared" si="2"/>
        <v/>
      </c>
      <c r="Z863" s="4" t="str">
        <f>IFERROR(__xludf.DUMMYFUNCTION("IFERROR(
  FILTER('CBK Students'!O:O, TRIM('CBK Students'!B:B) = TRIM(A863)),
  """"
)"),"#REF!")</f>
        <v>#REF!</v>
      </c>
      <c r="AA863" s="4" t="str">
        <f>IFERROR(__xludf.DUMMYFUNCTION("IFERROR(
  FILTER('CBK Students'!P:P, TRIM('CBK Students'!B:B) = TRIM(A863)),
  """"
)"),"#REF!")</f>
        <v>#REF!</v>
      </c>
      <c r="AB863" s="4" t="str">
        <f>IFERROR(__xludf.DUMMYFUNCTION("IFERROR(
  FILTER('CBK Students'!Q:Q, TRIM('CBK Students'!B:B) = TRIM(A863)),
  """"
)"),"#REF!")</f>
        <v>#REF!</v>
      </c>
    </row>
    <row r="864" ht="18.75" customHeight="1">
      <c r="T864" s="240" t="str">
        <f>IFERROR(__xludf.DUMMYFUNCTION("IFERROR(
  FILTER('CBK Students'!F:F, TRIM('CBK Students'!B:B) = TRIM(A864)),
  """"
)"),"#REF!")</f>
        <v>#REF!</v>
      </c>
      <c r="U864" s="240" t="str">
        <f>IFERROR(__xludf.DUMMYFUNCTION("IFERROR(
  FILTER('CBK Students'!H:H, TRIM('CBK Students'!B:B) = TRIM(A864)),
  """"
)"),"#REF!")</f>
        <v>#REF!</v>
      </c>
      <c r="V864" s="240" t="str">
        <f>IFERROR(__xludf.DUMMYFUNCTION("IFERROR(
  FILTER('CBK Students'!M:M, TRIM('CBK Students'!B:B) = TRIM(A864)),
  """"
)"),"#REF!")</f>
        <v>#REF!</v>
      </c>
      <c r="W864" s="240" t="str">
        <f t="shared" si="1"/>
        <v/>
      </c>
      <c r="X864" s="240" t="str">
        <f>IFERROR(__xludf.DUMMYFUNCTION("IFERROR(
  FILTER('CBK Students'!R:R, TRIM('CBK Students'!B:B) = TRIM(A864)),
  """"
)"),"#REF!")</f>
        <v>#REF!</v>
      </c>
      <c r="Y864" s="4" t="str">
        <f t="shared" si="2"/>
        <v/>
      </c>
      <c r="Z864" s="4" t="str">
        <f>IFERROR(__xludf.DUMMYFUNCTION("IFERROR(
  FILTER('CBK Students'!O:O, TRIM('CBK Students'!B:B) = TRIM(A864)),
  """"
)"),"#REF!")</f>
        <v>#REF!</v>
      </c>
      <c r="AA864" s="4" t="str">
        <f>IFERROR(__xludf.DUMMYFUNCTION("IFERROR(
  FILTER('CBK Students'!P:P, TRIM('CBK Students'!B:B) = TRIM(A864)),
  """"
)"),"#REF!")</f>
        <v>#REF!</v>
      </c>
      <c r="AB864" s="4" t="str">
        <f>IFERROR(__xludf.DUMMYFUNCTION("IFERROR(
  FILTER('CBK Students'!Q:Q, TRIM('CBK Students'!B:B) = TRIM(A864)),
  """"
)"),"#REF!")</f>
        <v>#REF!</v>
      </c>
    </row>
    <row r="865" ht="18.75" customHeight="1">
      <c r="T865" s="240" t="str">
        <f>IFERROR(__xludf.DUMMYFUNCTION("IFERROR(
  FILTER('CBK Students'!F:F, TRIM('CBK Students'!B:B) = TRIM(A865)),
  """"
)"),"#REF!")</f>
        <v>#REF!</v>
      </c>
      <c r="U865" s="240" t="str">
        <f>IFERROR(__xludf.DUMMYFUNCTION("IFERROR(
  FILTER('CBK Students'!H:H, TRIM('CBK Students'!B:B) = TRIM(A865)),
  """"
)"),"#REF!")</f>
        <v>#REF!</v>
      </c>
      <c r="V865" s="240" t="str">
        <f>IFERROR(__xludf.DUMMYFUNCTION("IFERROR(
  FILTER('CBK Students'!M:M, TRIM('CBK Students'!B:B) = TRIM(A865)),
  """"
)"),"#REF!")</f>
        <v>#REF!</v>
      </c>
      <c r="W865" s="240" t="str">
        <f t="shared" si="1"/>
        <v/>
      </c>
      <c r="X865" s="240" t="str">
        <f>IFERROR(__xludf.DUMMYFUNCTION("IFERROR(
  FILTER('CBK Students'!R:R, TRIM('CBK Students'!B:B) = TRIM(A865)),
  """"
)"),"#REF!")</f>
        <v>#REF!</v>
      </c>
      <c r="Y865" s="4" t="str">
        <f t="shared" si="2"/>
        <v/>
      </c>
      <c r="Z865" s="4" t="str">
        <f>IFERROR(__xludf.DUMMYFUNCTION("IFERROR(
  FILTER('CBK Students'!O:O, TRIM('CBK Students'!B:B) = TRIM(A865)),
  """"
)"),"#REF!")</f>
        <v>#REF!</v>
      </c>
      <c r="AA865" s="4" t="str">
        <f>IFERROR(__xludf.DUMMYFUNCTION("IFERROR(
  FILTER('CBK Students'!P:P, TRIM('CBK Students'!B:B) = TRIM(A865)),
  """"
)"),"#REF!")</f>
        <v>#REF!</v>
      </c>
      <c r="AB865" s="4" t="str">
        <f>IFERROR(__xludf.DUMMYFUNCTION("IFERROR(
  FILTER('CBK Students'!Q:Q, TRIM('CBK Students'!B:B) = TRIM(A865)),
  """"
)"),"#REF!")</f>
        <v>#REF!</v>
      </c>
    </row>
    <row r="866" ht="18.75" customHeight="1">
      <c r="T866" s="240" t="str">
        <f>IFERROR(__xludf.DUMMYFUNCTION("IFERROR(
  FILTER('CBK Students'!F:F, TRIM('CBK Students'!B:B) = TRIM(A866)),
  """"
)"),"#REF!")</f>
        <v>#REF!</v>
      </c>
      <c r="U866" s="240" t="str">
        <f>IFERROR(__xludf.DUMMYFUNCTION("IFERROR(
  FILTER('CBK Students'!H:H, TRIM('CBK Students'!B:B) = TRIM(A866)),
  """"
)"),"#REF!")</f>
        <v>#REF!</v>
      </c>
      <c r="V866" s="240" t="str">
        <f>IFERROR(__xludf.DUMMYFUNCTION("IFERROR(
  FILTER('CBK Students'!M:M, TRIM('CBK Students'!B:B) = TRIM(A866)),
  """"
)"),"#REF!")</f>
        <v>#REF!</v>
      </c>
      <c r="W866" s="240" t="str">
        <f t="shared" si="1"/>
        <v/>
      </c>
      <c r="X866" s="240" t="str">
        <f>IFERROR(__xludf.DUMMYFUNCTION("IFERROR(
  FILTER('CBK Students'!R:R, TRIM('CBK Students'!B:B) = TRIM(A866)),
  """"
)"),"#REF!")</f>
        <v>#REF!</v>
      </c>
      <c r="Y866" s="4" t="str">
        <f t="shared" si="2"/>
        <v/>
      </c>
      <c r="Z866" s="4" t="str">
        <f>IFERROR(__xludf.DUMMYFUNCTION("IFERROR(
  FILTER('CBK Students'!O:O, TRIM('CBK Students'!B:B) = TRIM(A866)),
  """"
)"),"#REF!")</f>
        <v>#REF!</v>
      </c>
      <c r="AA866" s="4" t="str">
        <f>IFERROR(__xludf.DUMMYFUNCTION("IFERROR(
  FILTER('CBK Students'!P:P, TRIM('CBK Students'!B:B) = TRIM(A866)),
  """"
)"),"#REF!")</f>
        <v>#REF!</v>
      </c>
      <c r="AB866" s="4" t="str">
        <f>IFERROR(__xludf.DUMMYFUNCTION("IFERROR(
  FILTER('CBK Students'!Q:Q, TRIM('CBK Students'!B:B) = TRIM(A866)),
  """"
)"),"#REF!")</f>
        <v>#REF!</v>
      </c>
    </row>
    <row r="867" ht="18.75" customHeight="1">
      <c r="T867" s="240" t="str">
        <f>IFERROR(__xludf.DUMMYFUNCTION("IFERROR(
  FILTER('CBK Students'!F:F, TRIM('CBK Students'!B:B) = TRIM(A867)),
  """"
)"),"#REF!")</f>
        <v>#REF!</v>
      </c>
      <c r="U867" s="240" t="str">
        <f>IFERROR(__xludf.DUMMYFUNCTION("IFERROR(
  FILTER('CBK Students'!H:H, TRIM('CBK Students'!B:B) = TRIM(A867)),
  """"
)"),"#REF!")</f>
        <v>#REF!</v>
      </c>
      <c r="V867" s="240" t="str">
        <f>IFERROR(__xludf.DUMMYFUNCTION("IFERROR(
  FILTER('CBK Students'!M:M, TRIM('CBK Students'!B:B) = TRIM(A867)),
  """"
)"),"#REF!")</f>
        <v>#REF!</v>
      </c>
      <c r="W867" s="240" t="str">
        <f t="shared" si="1"/>
        <v/>
      </c>
      <c r="X867" s="240" t="str">
        <f>IFERROR(__xludf.DUMMYFUNCTION("IFERROR(
  FILTER('CBK Students'!R:R, TRIM('CBK Students'!B:B) = TRIM(A867)),
  """"
)"),"#REF!")</f>
        <v>#REF!</v>
      </c>
      <c r="Y867" s="4" t="str">
        <f t="shared" si="2"/>
        <v/>
      </c>
      <c r="Z867" s="4" t="str">
        <f>IFERROR(__xludf.DUMMYFUNCTION("IFERROR(
  FILTER('CBK Students'!O:O, TRIM('CBK Students'!B:B) = TRIM(A867)),
  """"
)"),"#REF!")</f>
        <v>#REF!</v>
      </c>
      <c r="AA867" s="4" t="str">
        <f>IFERROR(__xludf.DUMMYFUNCTION("IFERROR(
  FILTER('CBK Students'!P:P, TRIM('CBK Students'!B:B) = TRIM(A867)),
  """"
)"),"#REF!")</f>
        <v>#REF!</v>
      </c>
      <c r="AB867" s="4" t="str">
        <f>IFERROR(__xludf.DUMMYFUNCTION("IFERROR(
  FILTER('CBK Students'!Q:Q, TRIM('CBK Students'!B:B) = TRIM(A867)),
  """"
)"),"#REF!")</f>
        <v>#REF!</v>
      </c>
    </row>
    <row r="868" ht="18.75" customHeight="1">
      <c r="T868" s="240" t="str">
        <f>IFERROR(__xludf.DUMMYFUNCTION("IFERROR(
  FILTER('CBK Students'!F:F, TRIM('CBK Students'!B:B) = TRIM(A868)),
  """"
)"),"#REF!")</f>
        <v>#REF!</v>
      </c>
      <c r="U868" s="240" t="str">
        <f>IFERROR(__xludf.DUMMYFUNCTION("IFERROR(
  FILTER('CBK Students'!H:H, TRIM('CBK Students'!B:B) = TRIM(A868)),
  """"
)"),"#REF!")</f>
        <v>#REF!</v>
      </c>
      <c r="V868" s="240" t="str">
        <f>IFERROR(__xludf.DUMMYFUNCTION("IFERROR(
  FILTER('CBK Students'!M:M, TRIM('CBK Students'!B:B) = TRIM(A868)),
  """"
)"),"#REF!")</f>
        <v>#REF!</v>
      </c>
      <c r="W868" s="240" t="str">
        <f t="shared" si="1"/>
        <v/>
      </c>
      <c r="X868" s="240" t="str">
        <f>IFERROR(__xludf.DUMMYFUNCTION("IFERROR(
  FILTER('CBK Students'!R:R, TRIM('CBK Students'!B:B) = TRIM(A868)),
  """"
)"),"#REF!")</f>
        <v>#REF!</v>
      </c>
      <c r="Y868" s="4" t="str">
        <f t="shared" si="2"/>
        <v/>
      </c>
      <c r="Z868" s="4" t="str">
        <f>IFERROR(__xludf.DUMMYFUNCTION("IFERROR(
  FILTER('CBK Students'!O:O, TRIM('CBK Students'!B:B) = TRIM(A868)),
  """"
)"),"#REF!")</f>
        <v>#REF!</v>
      </c>
      <c r="AA868" s="4" t="str">
        <f>IFERROR(__xludf.DUMMYFUNCTION("IFERROR(
  FILTER('CBK Students'!P:P, TRIM('CBK Students'!B:B) = TRIM(A868)),
  """"
)"),"#REF!")</f>
        <v>#REF!</v>
      </c>
      <c r="AB868" s="4" t="str">
        <f>IFERROR(__xludf.DUMMYFUNCTION("IFERROR(
  FILTER('CBK Students'!Q:Q, TRIM('CBK Students'!B:B) = TRIM(A868)),
  """"
)"),"#REF!")</f>
        <v>#REF!</v>
      </c>
    </row>
    <row r="869" ht="18.75" customHeight="1">
      <c r="T869" s="240" t="str">
        <f>IFERROR(__xludf.DUMMYFUNCTION("IFERROR(
  FILTER('CBK Students'!F:F, TRIM('CBK Students'!B:B) = TRIM(A869)),
  """"
)"),"#REF!")</f>
        <v>#REF!</v>
      </c>
      <c r="U869" s="240" t="str">
        <f>IFERROR(__xludf.DUMMYFUNCTION("IFERROR(
  FILTER('CBK Students'!H:H, TRIM('CBK Students'!B:B) = TRIM(A869)),
  """"
)"),"#REF!")</f>
        <v>#REF!</v>
      </c>
      <c r="V869" s="240" t="str">
        <f>IFERROR(__xludf.DUMMYFUNCTION("IFERROR(
  FILTER('CBK Students'!M:M, TRIM('CBK Students'!B:B) = TRIM(A869)),
  """"
)"),"#REF!")</f>
        <v>#REF!</v>
      </c>
      <c r="W869" s="240" t="str">
        <f t="shared" si="1"/>
        <v/>
      </c>
      <c r="X869" s="240" t="str">
        <f>IFERROR(__xludf.DUMMYFUNCTION("IFERROR(
  FILTER('CBK Students'!R:R, TRIM('CBK Students'!B:B) = TRIM(A869)),
  """"
)"),"#REF!")</f>
        <v>#REF!</v>
      </c>
      <c r="Y869" s="4" t="str">
        <f t="shared" si="2"/>
        <v/>
      </c>
      <c r="Z869" s="4" t="str">
        <f>IFERROR(__xludf.DUMMYFUNCTION("IFERROR(
  FILTER('CBK Students'!O:O, TRIM('CBK Students'!B:B) = TRIM(A869)),
  """"
)"),"#REF!")</f>
        <v>#REF!</v>
      </c>
      <c r="AA869" s="4" t="str">
        <f>IFERROR(__xludf.DUMMYFUNCTION("IFERROR(
  FILTER('CBK Students'!P:P, TRIM('CBK Students'!B:B) = TRIM(A869)),
  """"
)"),"#REF!")</f>
        <v>#REF!</v>
      </c>
      <c r="AB869" s="4" t="str">
        <f>IFERROR(__xludf.DUMMYFUNCTION("IFERROR(
  FILTER('CBK Students'!Q:Q, TRIM('CBK Students'!B:B) = TRIM(A869)),
  """"
)"),"#REF!")</f>
        <v>#REF!</v>
      </c>
    </row>
    <row r="870" ht="18.75" customHeight="1">
      <c r="T870" s="240" t="str">
        <f>IFERROR(__xludf.DUMMYFUNCTION("IFERROR(
  FILTER('CBK Students'!F:F, TRIM('CBK Students'!B:B) = TRIM(A870)),
  """"
)"),"#REF!")</f>
        <v>#REF!</v>
      </c>
      <c r="U870" s="240" t="str">
        <f>IFERROR(__xludf.DUMMYFUNCTION("IFERROR(
  FILTER('CBK Students'!H:H, TRIM('CBK Students'!B:B) = TRIM(A870)),
  """"
)"),"#REF!")</f>
        <v>#REF!</v>
      </c>
      <c r="V870" s="240" t="str">
        <f>IFERROR(__xludf.DUMMYFUNCTION("IFERROR(
  FILTER('CBK Students'!M:M, TRIM('CBK Students'!B:B) = TRIM(A870)),
  """"
)"),"#REF!")</f>
        <v>#REF!</v>
      </c>
      <c r="W870" s="240" t="str">
        <f t="shared" si="1"/>
        <v/>
      </c>
      <c r="X870" s="240" t="str">
        <f>IFERROR(__xludf.DUMMYFUNCTION("IFERROR(
  FILTER('CBK Students'!R:R, TRIM('CBK Students'!B:B) = TRIM(A870)),
  """"
)"),"#REF!")</f>
        <v>#REF!</v>
      </c>
      <c r="Y870" s="4" t="str">
        <f t="shared" si="2"/>
        <v/>
      </c>
      <c r="Z870" s="4" t="str">
        <f>IFERROR(__xludf.DUMMYFUNCTION("IFERROR(
  FILTER('CBK Students'!O:O, TRIM('CBK Students'!B:B) = TRIM(A870)),
  """"
)"),"#REF!")</f>
        <v>#REF!</v>
      </c>
      <c r="AA870" s="4" t="str">
        <f>IFERROR(__xludf.DUMMYFUNCTION("IFERROR(
  FILTER('CBK Students'!P:P, TRIM('CBK Students'!B:B) = TRIM(A870)),
  """"
)"),"#REF!")</f>
        <v>#REF!</v>
      </c>
      <c r="AB870" s="4" t="str">
        <f>IFERROR(__xludf.DUMMYFUNCTION("IFERROR(
  FILTER('CBK Students'!Q:Q, TRIM('CBK Students'!B:B) = TRIM(A870)),
  """"
)"),"#REF!")</f>
        <v>#REF!</v>
      </c>
    </row>
    <row r="871" ht="18.75" customHeight="1">
      <c r="T871" s="240" t="str">
        <f>IFERROR(__xludf.DUMMYFUNCTION("IFERROR(
  FILTER('CBK Students'!F:F, TRIM('CBK Students'!B:B) = TRIM(A871)),
  """"
)"),"#REF!")</f>
        <v>#REF!</v>
      </c>
      <c r="U871" s="240" t="str">
        <f>IFERROR(__xludf.DUMMYFUNCTION("IFERROR(
  FILTER('CBK Students'!H:H, TRIM('CBK Students'!B:B) = TRIM(A871)),
  """"
)"),"#REF!")</f>
        <v>#REF!</v>
      </c>
      <c r="V871" s="240" t="str">
        <f>IFERROR(__xludf.DUMMYFUNCTION("IFERROR(
  FILTER('CBK Students'!M:M, TRIM('CBK Students'!B:B) = TRIM(A871)),
  """"
)"),"#REF!")</f>
        <v>#REF!</v>
      </c>
      <c r="W871" s="240" t="str">
        <f t="shared" si="1"/>
        <v/>
      </c>
      <c r="X871" s="240" t="str">
        <f>IFERROR(__xludf.DUMMYFUNCTION("IFERROR(
  FILTER('CBK Students'!R:R, TRIM('CBK Students'!B:B) = TRIM(A871)),
  """"
)"),"#REF!")</f>
        <v>#REF!</v>
      </c>
      <c r="Y871" s="4" t="str">
        <f t="shared" si="2"/>
        <v/>
      </c>
      <c r="Z871" s="4" t="str">
        <f>IFERROR(__xludf.DUMMYFUNCTION("IFERROR(
  FILTER('CBK Students'!O:O, TRIM('CBK Students'!B:B) = TRIM(A871)),
  """"
)"),"#REF!")</f>
        <v>#REF!</v>
      </c>
      <c r="AA871" s="4" t="str">
        <f>IFERROR(__xludf.DUMMYFUNCTION("IFERROR(
  FILTER('CBK Students'!P:P, TRIM('CBK Students'!B:B) = TRIM(A871)),
  """"
)"),"#REF!")</f>
        <v>#REF!</v>
      </c>
      <c r="AB871" s="4" t="str">
        <f>IFERROR(__xludf.DUMMYFUNCTION("IFERROR(
  FILTER('CBK Students'!Q:Q, TRIM('CBK Students'!B:B) = TRIM(A871)),
  """"
)"),"#REF!")</f>
        <v>#REF!</v>
      </c>
    </row>
    <row r="872" ht="18.75" customHeight="1">
      <c r="T872" s="240" t="str">
        <f>IFERROR(__xludf.DUMMYFUNCTION("IFERROR(
  FILTER('CBK Students'!F:F, TRIM('CBK Students'!B:B) = TRIM(A872)),
  """"
)"),"#REF!")</f>
        <v>#REF!</v>
      </c>
      <c r="U872" s="240" t="str">
        <f>IFERROR(__xludf.DUMMYFUNCTION("IFERROR(
  FILTER('CBK Students'!H:H, TRIM('CBK Students'!B:B) = TRIM(A872)),
  """"
)"),"#REF!")</f>
        <v>#REF!</v>
      </c>
      <c r="V872" s="240" t="str">
        <f>IFERROR(__xludf.DUMMYFUNCTION("IFERROR(
  FILTER('CBK Students'!M:M, TRIM('CBK Students'!B:B) = TRIM(A872)),
  """"
)"),"#REF!")</f>
        <v>#REF!</v>
      </c>
      <c r="W872" s="240" t="str">
        <f t="shared" si="1"/>
        <v/>
      </c>
      <c r="X872" s="240" t="str">
        <f>IFERROR(__xludf.DUMMYFUNCTION("IFERROR(
  FILTER('CBK Students'!R:R, TRIM('CBK Students'!B:B) = TRIM(A872)),
  """"
)"),"#REF!")</f>
        <v>#REF!</v>
      </c>
      <c r="Y872" s="4" t="str">
        <f t="shared" si="2"/>
        <v/>
      </c>
      <c r="Z872" s="4" t="str">
        <f>IFERROR(__xludf.DUMMYFUNCTION("IFERROR(
  FILTER('CBK Students'!O:O, TRIM('CBK Students'!B:B) = TRIM(A872)),
  """"
)"),"#REF!")</f>
        <v>#REF!</v>
      </c>
      <c r="AA872" s="4" t="str">
        <f>IFERROR(__xludf.DUMMYFUNCTION("IFERROR(
  FILTER('CBK Students'!P:P, TRIM('CBK Students'!B:B) = TRIM(A872)),
  """"
)"),"#REF!")</f>
        <v>#REF!</v>
      </c>
      <c r="AB872" s="4" t="str">
        <f>IFERROR(__xludf.DUMMYFUNCTION("IFERROR(
  FILTER('CBK Students'!Q:Q, TRIM('CBK Students'!B:B) = TRIM(A872)),
  """"
)"),"#REF!")</f>
        <v>#REF!</v>
      </c>
    </row>
    <row r="873" ht="18.75" customHeight="1">
      <c r="T873" s="240" t="str">
        <f>IFERROR(__xludf.DUMMYFUNCTION("IFERROR(
  FILTER('CBK Students'!F:F, TRIM('CBK Students'!B:B) = TRIM(A873)),
  """"
)"),"#REF!")</f>
        <v>#REF!</v>
      </c>
      <c r="U873" s="240" t="str">
        <f>IFERROR(__xludf.DUMMYFUNCTION("IFERROR(
  FILTER('CBK Students'!H:H, TRIM('CBK Students'!B:B) = TRIM(A873)),
  """"
)"),"#REF!")</f>
        <v>#REF!</v>
      </c>
      <c r="V873" s="240" t="str">
        <f>IFERROR(__xludf.DUMMYFUNCTION("IFERROR(
  FILTER('CBK Students'!M:M, TRIM('CBK Students'!B:B) = TRIM(A873)),
  """"
)"),"#REF!")</f>
        <v>#REF!</v>
      </c>
      <c r="W873" s="240" t="str">
        <f t="shared" si="1"/>
        <v/>
      </c>
      <c r="X873" s="240" t="str">
        <f>IFERROR(__xludf.DUMMYFUNCTION("IFERROR(
  FILTER('CBK Students'!R:R, TRIM('CBK Students'!B:B) = TRIM(A873)),
  """"
)"),"#REF!")</f>
        <v>#REF!</v>
      </c>
      <c r="Y873" s="4" t="str">
        <f t="shared" si="2"/>
        <v/>
      </c>
      <c r="Z873" s="4" t="str">
        <f>IFERROR(__xludf.DUMMYFUNCTION("IFERROR(
  FILTER('CBK Students'!O:O, TRIM('CBK Students'!B:B) = TRIM(A873)),
  """"
)"),"#REF!")</f>
        <v>#REF!</v>
      </c>
      <c r="AA873" s="4" t="str">
        <f>IFERROR(__xludf.DUMMYFUNCTION("IFERROR(
  FILTER('CBK Students'!P:P, TRIM('CBK Students'!B:B) = TRIM(A873)),
  """"
)"),"#REF!")</f>
        <v>#REF!</v>
      </c>
      <c r="AB873" s="4" t="str">
        <f>IFERROR(__xludf.DUMMYFUNCTION("IFERROR(
  FILTER('CBK Students'!Q:Q, TRIM('CBK Students'!B:B) = TRIM(A873)),
  """"
)"),"#REF!")</f>
        <v>#REF!</v>
      </c>
    </row>
    <row r="874" ht="18.75" customHeight="1">
      <c r="T874" s="240" t="str">
        <f>IFERROR(__xludf.DUMMYFUNCTION("IFERROR(
  FILTER('CBK Students'!F:F, TRIM('CBK Students'!B:B) = TRIM(A874)),
  """"
)"),"#REF!")</f>
        <v>#REF!</v>
      </c>
      <c r="U874" s="240" t="str">
        <f>IFERROR(__xludf.DUMMYFUNCTION("IFERROR(
  FILTER('CBK Students'!H:H, TRIM('CBK Students'!B:B) = TRIM(A874)),
  """"
)"),"#REF!")</f>
        <v>#REF!</v>
      </c>
      <c r="V874" s="240" t="str">
        <f>IFERROR(__xludf.DUMMYFUNCTION("IFERROR(
  FILTER('CBK Students'!M:M, TRIM('CBK Students'!B:B) = TRIM(A874)),
  """"
)"),"#REF!")</f>
        <v>#REF!</v>
      </c>
      <c r="W874" s="240" t="str">
        <f t="shared" si="1"/>
        <v/>
      </c>
      <c r="X874" s="240" t="str">
        <f>IFERROR(__xludf.DUMMYFUNCTION("IFERROR(
  FILTER('CBK Students'!R:R, TRIM('CBK Students'!B:B) = TRIM(A874)),
  """"
)"),"#REF!")</f>
        <v>#REF!</v>
      </c>
      <c r="Y874" s="4" t="str">
        <f t="shared" si="2"/>
        <v/>
      </c>
      <c r="Z874" s="4" t="str">
        <f>IFERROR(__xludf.DUMMYFUNCTION("IFERROR(
  FILTER('CBK Students'!O:O, TRIM('CBK Students'!B:B) = TRIM(A874)),
  """"
)"),"#REF!")</f>
        <v>#REF!</v>
      </c>
      <c r="AA874" s="4" t="str">
        <f>IFERROR(__xludf.DUMMYFUNCTION("IFERROR(
  FILTER('CBK Students'!P:P, TRIM('CBK Students'!B:B) = TRIM(A874)),
  """"
)"),"#REF!")</f>
        <v>#REF!</v>
      </c>
      <c r="AB874" s="4" t="str">
        <f>IFERROR(__xludf.DUMMYFUNCTION("IFERROR(
  FILTER('CBK Students'!Q:Q, TRIM('CBK Students'!B:B) = TRIM(A874)),
  """"
)"),"#REF!")</f>
        <v>#REF!</v>
      </c>
    </row>
    <row r="875" ht="18.75" customHeight="1">
      <c r="T875" s="240" t="str">
        <f>IFERROR(__xludf.DUMMYFUNCTION("IFERROR(
  FILTER('CBK Students'!F:F, TRIM('CBK Students'!B:B) = TRIM(A875)),
  """"
)"),"#REF!")</f>
        <v>#REF!</v>
      </c>
      <c r="U875" s="240" t="str">
        <f>IFERROR(__xludf.DUMMYFUNCTION("IFERROR(
  FILTER('CBK Students'!H:H, TRIM('CBK Students'!B:B) = TRIM(A875)),
  """"
)"),"#REF!")</f>
        <v>#REF!</v>
      </c>
      <c r="V875" s="240" t="str">
        <f>IFERROR(__xludf.DUMMYFUNCTION("IFERROR(
  FILTER('CBK Students'!M:M, TRIM('CBK Students'!B:B) = TRIM(A875)),
  """"
)"),"#REF!")</f>
        <v>#REF!</v>
      </c>
      <c r="W875" s="240" t="str">
        <f t="shared" si="1"/>
        <v/>
      </c>
      <c r="X875" s="240" t="str">
        <f>IFERROR(__xludf.DUMMYFUNCTION("IFERROR(
  FILTER('CBK Students'!R:R, TRIM('CBK Students'!B:B) = TRIM(A875)),
  """"
)"),"#REF!")</f>
        <v>#REF!</v>
      </c>
      <c r="Y875" s="4" t="str">
        <f t="shared" si="2"/>
        <v/>
      </c>
      <c r="Z875" s="4" t="str">
        <f>IFERROR(__xludf.DUMMYFUNCTION("IFERROR(
  FILTER('CBK Students'!O:O, TRIM('CBK Students'!B:B) = TRIM(A875)),
  """"
)"),"#REF!")</f>
        <v>#REF!</v>
      </c>
      <c r="AA875" s="4" t="str">
        <f>IFERROR(__xludf.DUMMYFUNCTION("IFERROR(
  FILTER('CBK Students'!P:P, TRIM('CBK Students'!B:B) = TRIM(A875)),
  """"
)"),"#REF!")</f>
        <v>#REF!</v>
      </c>
      <c r="AB875" s="4" t="str">
        <f>IFERROR(__xludf.DUMMYFUNCTION("IFERROR(
  FILTER('CBK Students'!Q:Q, TRIM('CBK Students'!B:B) = TRIM(A875)),
  """"
)"),"#REF!")</f>
        <v>#REF!</v>
      </c>
    </row>
    <row r="876" ht="18.75" customHeight="1">
      <c r="T876" s="240" t="str">
        <f>IFERROR(__xludf.DUMMYFUNCTION("IFERROR(
  FILTER('CBK Students'!F:F, TRIM('CBK Students'!B:B) = TRIM(A876)),
  """"
)"),"#REF!")</f>
        <v>#REF!</v>
      </c>
      <c r="U876" s="240" t="str">
        <f>IFERROR(__xludf.DUMMYFUNCTION("IFERROR(
  FILTER('CBK Students'!H:H, TRIM('CBK Students'!B:B) = TRIM(A876)),
  """"
)"),"#REF!")</f>
        <v>#REF!</v>
      </c>
      <c r="V876" s="240" t="str">
        <f>IFERROR(__xludf.DUMMYFUNCTION("IFERROR(
  FILTER('CBK Students'!M:M, TRIM('CBK Students'!B:B) = TRIM(A876)),
  """"
)"),"#REF!")</f>
        <v>#REF!</v>
      </c>
      <c r="W876" s="240" t="str">
        <f t="shared" si="1"/>
        <v/>
      </c>
      <c r="X876" s="240" t="str">
        <f>IFERROR(__xludf.DUMMYFUNCTION("IFERROR(
  FILTER('CBK Students'!R:R, TRIM('CBK Students'!B:B) = TRIM(A876)),
  """"
)"),"#REF!")</f>
        <v>#REF!</v>
      </c>
      <c r="Y876" s="4" t="str">
        <f t="shared" si="2"/>
        <v/>
      </c>
      <c r="Z876" s="4" t="str">
        <f>IFERROR(__xludf.DUMMYFUNCTION("IFERROR(
  FILTER('CBK Students'!O:O, TRIM('CBK Students'!B:B) = TRIM(A876)),
  """"
)"),"#REF!")</f>
        <v>#REF!</v>
      </c>
      <c r="AA876" s="4" t="str">
        <f>IFERROR(__xludf.DUMMYFUNCTION("IFERROR(
  FILTER('CBK Students'!P:P, TRIM('CBK Students'!B:B) = TRIM(A876)),
  """"
)"),"#REF!")</f>
        <v>#REF!</v>
      </c>
      <c r="AB876" s="4" t="str">
        <f>IFERROR(__xludf.DUMMYFUNCTION("IFERROR(
  FILTER('CBK Students'!Q:Q, TRIM('CBK Students'!B:B) = TRIM(A876)),
  """"
)"),"#REF!")</f>
        <v>#REF!</v>
      </c>
    </row>
    <row r="877" ht="18.75" customHeight="1">
      <c r="T877" s="240" t="str">
        <f>IFERROR(__xludf.DUMMYFUNCTION("IFERROR(
  FILTER('CBK Students'!F:F, TRIM('CBK Students'!B:B) = TRIM(A877)),
  """"
)"),"#REF!")</f>
        <v>#REF!</v>
      </c>
      <c r="U877" s="240" t="str">
        <f>IFERROR(__xludf.DUMMYFUNCTION("IFERROR(
  FILTER('CBK Students'!H:H, TRIM('CBK Students'!B:B) = TRIM(A877)),
  """"
)"),"#REF!")</f>
        <v>#REF!</v>
      </c>
      <c r="V877" s="240" t="str">
        <f>IFERROR(__xludf.DUMMYFUNCTION("IFERROR(
  FILTER('CBK Students'!M:M, TRIM('CBK Students'!B:B) = TRIM(A877)),
  """"
)"),"#REF!")</f>
        <v>#REF!</v>
      </c>
      <c r="W877" s="240" t="str">
        <f t="shared" si="1"/>
        <v/>
      </c>
      <c r="X877" s="240" t="str">
        <f>IFERROR(__xludf.DUMMYFUNCTION("IFERROR(
  FILTER('CBK Students'!R:R, TRIM('CBK Students'!B:B) = TRIM(A877)),
  """"
)"),"#REF!")</f>
        <v>#REF!</v>
      </c>
      <c r="Y877" s="4" t="str">
        <f t="shared" si="2"/>
        <v/>
      </c>
      <c r="Z877" s="4" t="str">
        <f>IFERROR(__xludf.DUMMYFUNCTION("IFERROR(
  FILTER('CBK Students'!O:O, TRIM('CBK Students'!B:B) = TRIM(A877)),
  """"
)"),"#REF!")</f>
        <v>#REF!</v>
      </c>
      <c r="AA877" s="4" t="str">
        <f>IFERROR(__xludf.DUMMYFUNCTION("IFERROR(
  FILTER('CBK Students'!P:P, TRIM('CBK Students'!B:B) = TRIM(A877)),
  """"
)"),"#REF!")</f>
        <v>#REF!</v>
      </c>
      <c r="AB877" s="4" t="str">
        <f>IFERROR(__xludf.DUMMYFUNCTION("IFERROR(
  FILTER('CBK Students'!Q:Q, TRIM('CBK Students'!B:B) = TRIM(A877)),
  """"
)"),"#REF!")</f>
        <v>#REF!</v>
      </c>
    </row>
    <row r="878" ht="18.75" customHeight="1">
      <c r="T878" s="240" t="str">
        <f>IFERROR(__xludf.DUMMYFUNCTION("IFERROR(
  FILTER('CBK Students'!F:F, TRIM('CBK Students'!B:B) = TRIM(A878)),
  """"
)"),"#REF!")</f>
        <v>#REF!</v>
      </c>
      <c r="U878" s="240" t="str">
        <f>IFERROR(__xludf.DUMMYFUNCTION("IFERROR(
  FILTER('CBK Students'!H:H, TRIM('CBK Students'!B:B) = TRIM(A878)),
  """"
)"),"#REF!")</f>
        <v>#REF!</v>
      </c>
      <c r="V878" s="240" t="str">
        <f>IFERROR(__xludf.DUMMYFUNCTION("IFERROR(
  FILTER('CBK Students'!M:M, TRIM('CBK Students'!B:B) = TRIM(A878)),
  """"
)"),"#REF!")</f>
        <v>#REF!</v>
      </c>
      <c r="W878" s="240" t="str">
        <f t="shared" si="1"/>
        <v/>
      </c>
      <c r="X878" s="240" t="str">
        <f>IFERROR(__xludf.DUMMYFUNCTION("IFERROR(
  FILTER('CBK Students'!R:R, TRIM('CBK Students'!B:B) = TRIM(A878)),
  """"
)"),"#REF!")</f>
        <v>#REF!</v>
      </c>
      <c r="Y878" s="4" t="str">
        <f t="shared" si="2"/>
        <v/>
      </c>
      <c r="Z878" s="4" t="str">
        <f>IFERROR(__xludf.DUMMYFUNCTION("IFERROR(
  FILTER('CBK Students'!O:O, TRIM('CBK Students'!B:B) = TRIM(A878)),
  """"
)"),"#REF!")</f>
        <v>#REF!</v>
      </c>
      <c r="AA878" s="4" t="str">
        <f>IFERROR(__xludf.DUMMYFUNCTION("IFERROR(
  FILTER('CBK Students'!P:P, TRIM('CBK Students'!B:B) = TRIM(A878)),
  """"
)"),"#REF!")</f>
        <v>#REF!</v>
      </c>
      <c r="AB878" s="4" t="str">
        <f>IFERROR(__xludf.DUMMYFUNCTION("IFERROR(
  FILTER('CBK Students'!Q:Q, TRIM('CBK Students'!B:B) = TRIM(A878)),
  """"
)"),"#REF!")</f>
        <v>#REF!</v>
      </c>
    </row>
    <row r="879" ht="18.75" customHeight="1">
      <c r="T879" s="240" t="str">
        <f>IFERROR(__xludf.DUMMYFUNCTION("IFERROR(
  FILTER('CBK Students'!F:F, TRIM('CBK Students'!B:B) = TRIM(A879)),
  """"
)"),"#REF!")</f>
        <v>#REF!</v>
      </c>
      <c r="U879" s="240" t="str">
        <f>IFERROR(__xludf.DUMMYFUNCTION("IFERROR(
  FILTER('CBK Students'!H:H, TRIM('CBK Students'!B:B) = TRIM(A879)),
  """"
)"),"#REF!")</f>
        <v>#REF!</v>
      </c>
      <c r="V879" s="240" t="str">
        <f>IFERROR(__xludf.DUMMYFUNCTION("IFERROR(
  FILTER('CBK Students'!M:M, TRIM('CBK Students'!B:B) = TRIM(A879)),
  """"
)"),"#REF!")</f>
        <v>#REF!</v>
      </c>
      <c r="W879" s="240" t="str">
        <f t="shared" si="1"/>
        <v/>
      </c>
      <c r="X879" s="240" t="str">
        <f>IFERROR(__xludf.DUMMYFUNCTION("IFERROR(
  FILTER('CBK Students'!R:R, TRIM('CBK Students'!B:B) = TRIM(A879)),
  """"
)"),"#REF!")</f>
        <v>#REF!</v>
      </c>
      <c r="Y879" s="4" t="str">
        <f t="shared" si="2"/>
        <v/>
      </c>
      <c r="Z879" s="4" t="str">
        <f>IFERROR(__xludf.DUMMYFUNCTION("IFERROR(
  FILTER('CBK Students'!O:O, TRIM('CBK Students'!B:B) = TRIM(A879)),
  """"
)"),"#REF!")</f>
        <v>#REF!</v>
      </c>
      <c r="AA879" s="4" t="str">
        <f>IFERROR(__xludf.DUMMYFUNCTION("IFERROR(
  FILTER('CBK Students'!P:P, TRIM('CBK Students'!B:B) = TRIM(A879)),
  """"
)"),"#REF!")</f>
        <v>#REF!</v>
      </c>
      <c r="AB879" s="4" t="str">
        <f>IFERROR(__xludf.DUMMYFUNCTION("IFERROR(
  FILTER('CBK Students'!Q:Q, TRIM('CBK Students'!B:B) = TRIM(A879)),
  """"
)"),"#REF!")</f>
        <v>#REF!</v>
      </c>
    </row>
    <row r="880" ht="18.75" customHeight="1">
      <c r="T880" s="240" t="str">
        <f>IFERROR(__xludf.DUMMYFUNCTION("IFERROR(
  FILTER('CBK Students'!F:F, TRIM('CBK Students'!B:B) = TRIM(A880)),
  """"
)"),"#REF!")</f>
        <v>#REF!</v>
      </c>
      <c r="U880" s="240" t="str">
        <f>IFERROR(__xludf.DUMMYFUNCTION("IFERROR(
  FILTER('CBK Students'!H:H, TRIM('CBK Students'!B:B) = TRIM(A880)),
  """"
)"),"#REF!")</f>
        <v>#REF!</v>
      </c>
      <c r="V880" s="240" t="str">
        <f>IFERROR(__xludf.DUMMYFUNCTION("IFERROR(
  FILTER('CBK Students'!M:M, TRIM('CBK Students'!B:B) = TRIM(A880)),
  """"
)"),"#REF!")</f>
        <v>#REF!</v>
      </c>
      <c r="W880" s="240" t="str">
        <f t="shared" si="1"/>
        <v/>
      </c>
      <c r="X880" s="240" t="str">
        <f>IFERROR(__xludf.DUMMYFUNCTION("IFERROR(
  FILTER('CBK Students'!R:R, TRIM('CBK Students'!B:B) = TRIM(A880)),
  """"
)"),"#REF!")</f>
        <v>#REF!</v>
      </c>
      <c r="Y880" s="4" t="str">
        <f t="shared" si="2"/>
        <v/>
      </c>
      <c r="Z880" s="4" t="str">
        <f>IFERROR(__xludf.DUMMYFUNCTION("IFERROR(
  FILTER('CBK Students'!O:O, TRIM('CBK Students'!B:B) = TRIM(A880)),
  """"
)"),"#REF!")</f>
        <v>#REF!</v>
      </c>
      <c r="AA880" s="4" t="str">
        <f>IFERROR(__xludf.DUMMYFUNCTION("IFERROR(
  FILTER('CBK Students'!P:P, TRIM('CBK Students'!B:B) = TRIM(A880)),
  """"
)"),"#REF!")</f>
        <v>#REF!</v>
      </c>
      <c r="AB880" s="4" t="str">
        <f>IFERROR(__xludf.DUMMYFUNCTION("IFERROR(
  FILTER('CBK Students'!Q:Q, TRIM('CBK Students'!B:B) = TRIM(A880)),
  """"
)"),"#REF!")</f>
        <v>#REF!</v>
      </c>
    </row>
    <row r="881" ht="18.75" customHeight="1">
      <c r="T881" s="240" t="str">
        <f>IFERROR(__xludf.DUMMYFUNCTION("IFERROR(
  FILTER('CBK Students'!F:F, TRIM('CBK Students'!B:B) = TRIM(A881)),
  """"
)"),"#REF!")</f>
        <v>#REF!</v>
      </c>
      <c r="U881" s="240" t="str">
        <f>IFERROR(__xludf.DUMMYFUNCTION("IFERROR(
  FILTER('CBK Students'!H:H, TRIM('CBK Students'!B:B) = TRIM(A881)),
  """"
)"),"#REF!")</f>
        <v>#REF!</v>
      </c>
      <c r="V881" s="240" t="str">
        <f>IFERROR(__xludf.DUMMYFUNCTION("IFERROR(
  FILTER('CBK Students'!M:M, TRIM('CBK Students'!B:B) = TRIM(A881)),
  """"
)"),"#REF!")</f>
        <v>#REF!</v>
      </c>
      <c r="W881" s="240" t="str">
        <f t="shared" si="1"/>
        <v/>
      </c>
      <c r="X881" s="240" t="str">
        <f>IFERROR(__xludf.DUMMYFUNCTION("IFERROR(
  FILTER('CBK Students'!R:R, TRIM('CBK Students'!B:B) = TRIM(A881)),
  """"
)"),"#REF!")</f>
        <v>#REF!</v>
      </c>
      <c r="Y881" s="4" t="str">
        <f t="shared" si="2"/>
        <v/>
      </c>
      <c r="Z881" s="4" t="str">
        <f>IFERROR(__xludf.DUMMYFUNCTION("IFERROR(
  FILTER('CBK Students'!O:O, TRIM('CBK Students'!B:B) = TRIM(A881)),
  """"
)"),"#REF!")</f>
        <v>#REF!</v>
      </c>
      <c r="AA881" s="4" t="str">
        <f>IFERROR(__xludf.DUMMYFUNCTION("IFERROR(
  FILTER('CBK Students'!P:P, TRIM('CBK Students'!B:B) = TRIM(A881)),
  """"
)"),"#REF!")</f>
        <v>#REF!</v>
      </c>
      <c r="AB881" s="4" t="str">
        <f>IFERROR(__xludf.DUMMYFUNCTION("IFERROR(
  FILTER('CBK Students'!Q:Q, TRIM('CBK Students'!B:B) = TRIM(A881)),
  """"
)"),"#REF!")</f>
        <v>#REF!</v>
      </c>
    </row>
    <row r="882" ht="18.75" customHeight="1">
      <c r="T882" s="240" t="str">
        <f>IFERROR(__xludf.DUMMYFUNCTION("IFERROR(
  FILTER('CBK Students'!F:F, TRIM('CBK Students'!B:B) = TRIM(A882)),
  """"
)"),"#REF!")</f>
        <v>#REF!</v>
      </c>
      <c r="U882" s="240" t="str">
        <f>IFERROR(__xludf.DUMMYFUNCTION("IFERROR(
  FILTER('CBK Students'!H:H, TRIM('CBK Students'!B:B) = TRIM(A882)),
  """"
)"),"#REF!")</f>
        <v>#REF!</v>
      </c>
      <c r="V882" s="240" t="str">
        <f>IFERROR(__xludf.DUMMYFUNCTION("IFERROR(
  FILTER('CBK Students'!M:M, TRIM('CBK Students'!B:B) = TRIM(A882)),
  """"
)"),"#REF!")</f>
        <v>#REF!</v>
      </c>
      <c r="W882" s="240" t="str">
        <f t="shared" si="1"/>
        <v/>
      </c>
      <c r="X882" s="240" t="str">
        <f>IFERROR(__xludf.DUMMYFUNCTION("IFERROR(
  FILTER('CBK Students'!R:R, TRIM('CBK Students'!B:B) = TRIM(A882)),
  """"
)"),"#REF!")</f>
        <v>#REF!</v>
      </c>
      <c r="Y882" s="4" t="str">
        <f t="shared" si="2"/>
        <v/>
      </c>
      <c r="Z882" s="4" t="str">
        <f>IFERROR(__xludf.DUMMYFUNCTION("IFERROR(
  FILTER('CBK Students'!O:O, TRIM('CBK Students'!B:B) = TRIM(A882)),
  """"
)"),"#REF!")</f>
        <v>#REF!</v>
      </c>
      <c r="AA882" s="4" t="str">
        <f>IFERROR(__xludf.DUMMYFUNCTION("IFERROR(
  FILTER('CBK Students'!P:P, TRIM('CBK Students'!B:B) = TRIM(A882)),
  """"
)"),"#REF!")</f>
        <v>#REF!</v>
      </c>
      <c r="AB882" s="4" t="str">
        <f>IFERROR(__xludf.DUMMYFUNCTION("IFERROR(
  FILTER('CBK Students'!Q:Q, TRIM('CBK Students'!B:B) = TRIM(A882)),
  """"
)"),"#REF!")</f>
        <v>#REF!</v>
      </c>
    </row>
    <row r="883" ht="18.75" customHeight="1">
      <c r="T883" s="240" t="str">
        <f>IFERROR(__xludf.DUMMYFUNCTION("IFERROR(
  FILTER('CBK Students'!F:F, TRIM('CBK Students'!B:B) = TRIM(A883)),
  """"
)"),"#REF!")</f>
        <v>#REF!</v>
      </c>
      <c r="U883" s="240" t="str">
        <f>IFERROR(__xludf.DUMMYFUNCTION("IFERROR(
  FILTER('CBK Students'!H:H, TRIM('CBK Students'!B:B) = TRIM(A883)),
  """"
)"),"#REF!")</f>
        <v>#REF!</v>
      </c>
      <c r="V883" s="240" t="str">
        <f>IFERROR(__xludf.DUMMYFUNCTION("IFERROR(
  FILTER('CBK Students'!M:M, TRIM('CBK Students'!B:B) = TRIM(A883)),
  """"
)"),"#REF!")</f>
        <v>#REF!</v>
      </c>
      <c r="W883" s="240" t="str">
        <f t="shared" si="1"/>
        <v/>
      </c>
      <c r="X883" s="240" t="str">
        <f>IFERROR(__xludf.DUMMYFUNCTION("IFERROR(
  FILTER('CBK Students'!R:R, TRIM('CBK Students'!B:B) = TRIM(A883)),
  """"
)"),"#REF!")</f>
        <v>#REF!</v>
      </c>
      <c r="Y883" s="4" t="str">
        <f t="shared" si="2"/>
        <v/>
      </c>
      <c r="Z883" s="4" t="str">
        <f>IFERROR(__xludf.DUMMYFUNCTION("IFERROR(
  FILTER('CBK Students'!O:O, TRIM('CBK Students'!B:B) = TRIM(A883)),
  """"
)"),"#REF!")</f>
        <v>#REF!</v>
      </c>
      <c r="AA883" s="4" t="str">
        <f>IFERROR(__xludf.DUMMYFUNCTION("IFERROR(
  FILTER('CBK Students'!P:P, TRIM('CBK Students'!B:B) = TRIM(A883)),
  """"
)"),"#REF!")</f>
        <v>#REF!</v>
      </c>
      <c r="AB883" s="4" t="str">
        <f>IFERROR(__xludf.DUMMYFUNCTION("IFERROR(
  FILTER('CBK Students'!Q:Q, TRIM('CBK Students'!B:B) = TRIM(A883)),
  """"
)"),"#REF!")</f>
        <v>#REF!</v>
      </c>
    </row>
    <row r="884" ht="18.75" customHeight="1">
      <c r="T884" s="240" t="str">
        <f>IFERROR(__xludf.DUMMYFUNCTION("IFERROR(
  FILTER('CBK Students'!F:F, TRIM('CBK Students'!B:B) = TRIM(A884)),
  """"
)"),"#REF!")</f>
        <v>#REF!</v>
      </c>
      <c r="U884" s="240" t="str">
        <f>IFERROR(__xludf.DUMMYFUNCTION("IFERROR(
  FILTER('CBK Students'!H:H, TRIM('CBK Students'!B:B) = TRIM(A884)),
  """"
)"),"#REF!")</f>
        <v>#REF!</v>
      </c>
      <c r="V884" s="240" t="str">
        <f>IFERROR(__xludf.DUMMYFUNCTION("IFERROR(
  FILTER('CBK Students'!M:M, TRIM('CBK Students'!B:B) = TRIM(A884)),
  """"
)"),"#REF!")</f>
        <v>#REF!</v>
      </c>
      <c r="W884" s="240" t="str">
        <f t="shared" si="1"/>
        <v/>
      </c>
      <c r="X884" s="240" t="str">
        <f>IFERROR(__xludf.DUMMYFUNCTION("IFERROR(
  FILTER('CBK Students'!R:R, TRIM('CBK Students'!B:B) = TRIM(A884)),
  """"
)"),"#REF!")</f>
        <v>#REF!</v>
      </c>
      <c r="Y884" s="4" t="str">
        <f t="shared" si="2"/>
        <v/>
      </c>
      <c r="Z884" s="4" t="str">
        <f>IFERROR(__xludf.DUMMYFUNCTION("IFERROR(
  FILTER('CBK Students'!O:O, TRIM('CBK Students'!B:B) = TRIM(A884)),
  """"
)"),"#REF!")</f>
        <v>#REF!</v>
      </c>
      <c r="AA884" s="4" t="str">
        <f>IFERROR(__xludf.DUMMYFUNCTION("IFERROR(
  FILTER('CBK Students'!P:P, TRIM('CBK Students'!B:B) = TRIM(A884)),
  """"
)"),"#REF!")</f>
        <v>#REF!</v>
      </c>
      <c r="AB884" s="4" t="str">
        <f>IFERROR(__xludf.DUMMYFUNCTION("IFERROR(
  FILTER('CBK Students'!Q:Q, TRIM('CBK Students'!B:B) = TRIM(A884)),
  """"
)"),"#REF!")</f>
        <v>#REF!</v>
      </c>
    </row>
    <row r="885" ht="18.75" customHeight="1">
      <c r="T885" s="240" t="str">
        <f>IFERROR(__xludf.DUMMYFUNCTION("IFERROR(
  FILTER('CBK Students'!F:F, TRIM('CBK Students'!B:B) = TRIM(A885)),
  """"
)"),"#REF!")</f>
        <v>#REF!</v>
      </c>
      <c r="U885" s="240" t="str">
        <f>IFERROR(__xludf.DUMMYFUNCTION("IFERROR(
  FILTER('CBK Students'!H:H, TRIM('CBK Students'!B:B) = TRIM(A885)),
  """"
)"),"#REF!")</f>
        <v>#REF!</v>
      </c>
      <c r="V885" s="240" t="str">
        <f>IFERROR(__xludf.DUMMYFUNCTION("IFERROR(
  FILTER('CBK Students'!M:M, TRIM('CBK Students'!B:B) = TRIM(A885)),
  """"
)"),"#REF!")</f>
        <v>#REF!</v>
      </c>
      <c r="W885" s="240" t="str">
        <f t="shared" si="1"/>
        <v/>
      </c>
      <c r="X885" s="240" t="str">
        <f>IFERROR(__xludf.DUMMYFUNCTION("IFERROR(
  FILTER('CBK Students'!R:R, TRIM('CBK Students'!B:B) = TRIM(A885)),
  """"
)"),"#REF!")</f>
        <v>#REF!</v>
      </c>
      <c r="Y885" s="4" t="str">
        <f t="shared" si="2"/>
        <v/>
      </c>
      <c r="Z885" s="4" t="str">
        <f>IFERROR(__xludf.DUMMYFUNCTION("IFERROR(
  FILTER('CBK Students'!O:O, TRIM('CBK Students'!B:B) = TRIM(A885)),
  """"
)"),"#REF!")</f>
        <v>#REF!</v>
      </c>
      <c r="AA885" s="4" t="str">
        <f>IFERROR(__xludf.DUMMYFUNCTION("IFERROR(
  FILTER('CBK Students'!P:P, TRIM('CBK Students'!B:B) = TRIM(A885)),
  """"
)"),"#REF!")</f>
        <v>#REF!</v>
      </c>
      <c r="AB885" s="4" t="str">
        <f>IFERROR(__xludf.DUMMYFUNCTION("IFERROR(
  FILTER('CBK Students'!Q:Q, TRIM('CBK Students'!B:B) = TRIM(A885)),
  """"
)"),"#REF!")</f>
        <v>#REF!</v>
      </c>
    </row>
    <row r="886" ht="18.75" customHeight="1">
      <c r="T886" s="240" t="str">
        <f>IFERROR(__xludf.DUMMYFUNCTION("IFERROR(
  FILTER('CBK Students'!F:F, TRIM('CBK Students'!B:B) = TRIM(A886)),
  """"
)"),"#REF!")</f>
        <v>#REF!</v>
      </c>
      <c r="U886" s="240" t="str">
        <f>IFERROR(__xludf.DUMMYFUNCTION("IFERROR(
  FILTER('CBK Students'!H:H, TRIM('CBK Students'!B:B) = TRIM(A886)),
  """"
)"),"#REF!")</f>
        <v>#REF!</v>
      </c>
      <c r="V886" s="240" t="str">
        <f>IFERROR(__xludf.DUMMYFUNCTION("IFERROR(
  FILTER('CBK Students'!M:M, TRIM('CBK Students'!B:B) = TRIM(A886)),
  """"
)"),"#REF!")</f>
        <v>#REF!</v>
      </c>
      <c r="W886" s="240" t="str">
        <f t="shared" si="1"/>
        <v/>
      </c>
      <c r="X886" s="240" t="str">
        <f>IFERROR(__xludf.DUMMYFUNCTION("IFERROR(
  FILTER('CBK Students'!R:R, TRIM('CBK Students'!B:B) = TRIM(A886)),
  """"
)"),"#REF!")</f>
        <v>#REF!</v>
      </c>
      <c r="Y886" s="4" t="str">
        <f t="shared" si="2"/>
        <v/>
      </c>
      <c r="Z886" s="4" t="str">
        <f>IFERROR(__xludf.DUMMYFUNCTION("IFERROR(
  FILTER('CBK Students'!O:O, TRIM('CBK Students'!B:B) = TRIM(A886)),
  """"
)"),"#REF!")</f>
        <v>#REF!</v>
      </c>
      <c r="AA886" s="4" t="str">
        <f>IFERROR(__xludf.DUMMYFUNCTION("IFERROR(
  FILTER('CBK Students'!P:P, TRIM('CBK Students'!B:B) = TRIM(A886)),
  """"
)"),"#REF!")</f>
        <v>#REF!</v>
      </c>
      <c r="AB886" s="4" t="str">
        <f>IFERROR(__xludf.DUMMYFUNCTION("IFERROR(
  FILTER('CBK Students'!Q:Q, TRIM('CBK Students'!B:B) = TRIM(A886)),
  """"
)"),"#REF!")</f>
        <v>#REF!</v>
      </c>
    </row>
    <row r="887" ht="18.75" customHeight="1">
      <c r="T887" s="240" t="str">
        <f>IFERROR(__xludf.DUMMYFUNCTION("IFERROR(
  FILTER('CBK Students'!F:F, TRIM('CBK Students'!B:B) = TRIM(A887)),
  """"
)"),"#REF!")</f>
        <v>#REF!</v>
      </c>
      <c r="U887" s="240" t="str">
        <f>IFERROR(__xludf.DUMMYFUNCTION("IFERROR(
  FILTER('CBK Students'!H:H, TRIM('CBK Students'!B:B) = TRIM(A887)),
  """"
)"),"#REF!")</f>
        <v>#REF!</v>
      </c>
      <c r="V887" s="240" t="str">
        <f>IFERROR(__xludf.DUMMYFUNCTION("IFERROR(
  FILTER('CBK Students'!M:M, TRIM('CBK Students'!B:B) = TRIM(A887)),
  """"
)"),"#REF!")</f>
        <v>#REF!</v>
      </c>
      <c r="W887" s="240" t="str">
        <f t="shared" si="1"/>
        <v/>
      </c>
      <c r="X887" s="240" t="str">
        <f>IFERROR(__xludf.DUMMYFUNCTION("IFERROR(
  FILTER('CBK Students'!R:R, TRIM('CBK Students'!B:B) = TRIM(A887)),
  """"
)"),"#REF!")</f>
        <v>#REF!</v>
      </c>
      <c r="Y887" s="4" t="str">
        <f t="shared" si="2"/>
        <v/>
      </c>
      <c r="Z887" s="4" t="str">
        <f>IFERROR(__xludf.DUMMYFUNCTION("IFERROR(
  FILTER('CBK Students'!O:O, TRIM('CBK Students'!B:B) = TRIM(A887)),
  """"
)"),"#REF!")</f>
        <v>#REF!</v>
      </c>
      <c r="AA887" s="4" t="str">
        <f>IFERROR(__xludf.DUMMYFUNCTION("IFERROR(
  FILTER('CBK Students'!P:P, TRIM('CBK Students'!B:B) = TRIM(A887)),
  """"
)"),"#REF!")</f>
        <v>#REF!</v>
      </c>
      <c r="AB887" s="4" t="str">
        <f>IFERROR(__xludf.DUMMYFUNCTION("IFERROR(
  FILTER('CBK Students'!Q:Q, TRIM('CBK Students'!B:B) = TRIM(A887)),
  """"
)"),"#REF!")</f>
        <v>#REF!</v>
      </c>
    </row>
    <row r="888" ht="18.75" customHeight="1">
      <c r="T888" s="240" t="str">
        <f>IFERROR(__xludf.DUMMYFUNCTION("IFERROR(
  FILTER('CBK Students'!F:F, TRIM('CBK Students'!B:B) = TRIM(A888)),
  """"
)"),"#REF!")</f>
        <v>#REF!</v>
      </c>
      <c r="U888" s="240" t="str">
        <f>IFERROR(__xludf.DUMMYFUNCTION("IFERROR(
  FILTER('CBK Students'!H:H, TRIM('CBK Students'!B:B) = TRIM(A888)),
  """"
)"),"#REF!")</f>
        <v>#REF!</v>
      </c>
      <c r="V888" s="240" t="str">
        <f>IFERROR(__xludf.DUMMYFUNCTION("IFERROR(
  FILTER('CBK Students'!M:M, TRIM('CBK Students'!B:B) = TRIM(A888)),
  """"
)"),"#REF!")</f>
        <v>#REF!</v>
      </c>
      <c r="W888" s="240" t="str">
        <f t="shared" si="1"/>
        <v/>
      </c>
      <c r="X888" s="240" t="str">
        <f>IFERROR(__xludf.DUMMYFUNCTION("IFERROR(
  FILTER('CBK Students'!R:R, TRIM('CBK Students'!B:B) = TRIM(A888)),
  """"
)"),"#REF!")</f>
        <v>#REF!</v>
      </c>
      <c r="Y888" s="4" t="str">
        <f t="shared" si="2"/>
        <v/>
      </c>
      <c r="Z888" s="4" t="str">
        <f>IFERROR(__xludf.DUMMYFUNCTION("IFERROR(
  FILTER('CBK Students'!O:O, TRIM('CBK Students'!B:B) = TRIM(A888)),
  """"
)"),"#REF!")</f>
        <v>#REF!</v>
      </c>
      <c r="AA888" s="4" t="str">
        <f>IFERROR(__xludf.DUMMYFUNCTION("IFERROR(
  FILTER('CBK Students'!P:P, TRIM('CBK Students'!B:B) = TRIM(A888)),
  """"
)"),"#REF!")</f>
        <v>#REF!</v>
      </c>
      <c r="AB888" s="4" t="str">
        <f>IFERROR(__xludf.DUMMYFUNCTION("IFERROR(
  FILTER('CBK Students'!Q:Q, TRIM('CBK Students'!B:B) = TRIM(A888)),
  """"
)"),"#REF!")</f>
        <v>#REF!</v>
      </c>
    </row>
    <row r="889" ht="18.75" customHeight="1">
      <c r="T889" s="240" t="str">
        <f>IFERROR(__xludf.DUMMYFUNCTION("IFERROR(
  FILTER('CBK Students'!F:F, TRIM('CBK Students'!B:B) = TRIM(A889)),
  """"
)"),"#REF!")</f>
        <v>#REF!</v>
      </c>
      <c r="U889" s="240" t="str">
        <f>IFERROR(__xludf.DUMMYFUNCTION("IFERROR(
  FILTER('CBK Students'!H:H, TRIM('CBK Students'!B:B) = TRIM(A889)),
  """"
)"),"#REF!")</f>
        <v>#REF!</v>
      </c>
      <c r="V889" s="240" t="str">
        <f>IFERROR(__xludf.DUMMYFUNCTION("IFERROR(
  FILTER('CBK Students'!M:M, TRIM('CBK Students'!B:B) = TRIM(A889)),
  """"
)"),"#REF!")</f>
        <v>#REF!</v>
      </c>
      <c r="W889" s="240" t="str">
        <f t="shared" si="1"/>
        <v/>
      </c>
      <c r="X889" s="240" t="str">
        <f>IFERROR(__xludf.DUMMYFUNCTION("IFERROR(
  FILTER('CBK Students'!R:R, TRIM('CBK Students'!B:B) = TRIM(A889)),
  """"
)"),"#REF!")</f>
        <v>#REF!</v>
      </c>
      <c r="Y889" s="4" t="str">
        <f t="shared" si="2"/>
        <v/>
      </c>
      <c r="Z889" s="4" t="str">
        <f>IFERROR(__xludf.DUMMYFUNCTION("IFERROR(
  FILTER('CBK Students'!O:O, TRIM('CBK Students'!B:B) = TRIM(A889)),
  """"
)"),"#REF!")</f>
        <v>#REF!</v>
      </c>
      <c r="AA889" s="4" t="str">
        <f>IFERROR(__xludf.DUMMYFUNCTION("IFERROR(
  FILTER('CBK Students'!P:P, TRIM('CBK Students'!B:B) = TRIM(A889)),
  """"
)"),"#REF!")</f>
        <v>#REF!</v>
      </c>
      <c r="AB889" s="4" t="str">
        <f>IFERROR(__xludf.DUMMYFUNCTION("IFERROR(
  FILTER('CBK Students'!Q:Q, TRIM('CBK Students'!B:B) = TRIM(A889)),
  """"
)"),"#REF!")</f>
        <v>#REF!</v>
      </c>
    </row>
    <row r="890" ht="18.75" customHeight="1">
      <c r="T890" s="240" t="str">
        <f>IFERROR(__xludf.DUMMYFUNCTION("IFERROR(
  FILTER('CBK Students'!F:F, TRIM('CBK Students'!B:B) = TRIM(A890)),
  """"
)"),"#REF!")</f>
        <v>#REF!</v>
      </c>
      <c r="U890" s="240" t="str">
        <f>IFERROR(__xludf.DUMMYFUNCTION("IFERROR(
  FILTER('CBK Students'!H:H, TRIM('CBK Students'!B:B) = TRIM(A890)),
  """"
)"),"#REF!")</f>
        <v>#REF!</v>
      </c>
      <c r="V890" s="240" t="str">
        <f>IFERROR(__xludf.DUMMYFUNCTION("IFERROR(
  FILTER('CBK Students'!M:M, TRIM('CBK Students'!B:B) = TRIM(A890)),
  """"
)"),"#REF!")</f>
        <v>#REF!</v>
      </c>
      <c r="W890" s="240" t="str">
        <f t="shared" si="1"/>
        <v/>
      </c>
      <c r="X890" s="240" t="str">
        <f>IFERROR(__xludf.DUMMYFUNCTION("IFERROR(
  FILTER('CBK Students'!R:R, TRIM('CBK Students'!B:B) = TRIM(A890)),
  """"
)"),"#REF!")</f>
        <v>#REF!</v>
      </c>
      <c r="Y890" s="4" t="str">
        <f t="shared" si="2"/>
        <v/>
      </c>
      <c r="Z890" s="4" t="str">
        <f>IFERROR(__xludf.DUMMYFUNCTION("IFERROR(
  FILTER('CBK Students'!O:O, TRIM('CBK Students'!B:B) = TRIM(A890)),
  """"
)"),"#REF!")</f>
        <v>#REF!</v>
      </c>
      <c r="AA890" s="4" t="str">
        <f>IFERROR(__xludf.DUMMYFUNCTION("IFERROR(
  FILTER('CBK Students'!P:P, TRIM('CBK Students'!B:B) = TRIM(A890)),
  """"
)"),"#REF!")</f>
        <v>#REF!</v>
      </c>
      <c r="AB890" s="4" t="str">
        <f>IFERROR(__xludf.DUMMYFUNCTION("IFERROR(
  FILTER('CBK Students'!Q:Q, TRIM('CBK Students'!B:B) = TRIM(A890)),
  """"
)"),"#REF!")</f>
        <v>#REF!</v>
      </c>
    </row>
    <row r="891" ht="18.75" customHeight="1">
      <c r="T891" s="240" t="str">
        <f>IFERROR(__xludf.DUMMYFUNCTION("IFERROR(
  FILTER('CBK Students'!F:F, TRIM('CBK Students'!B:B) = TRIM(A891)),
  """"
)"),"#REF!")</f>
        <v>#REF!</v>
      </c>
      <c r="U891" s="240" t="str">
        <f>IFERROR(__xludf.DUMMYFUNCTION("IFERROR(
  FILTER('CBK Students'!H:H, TRIM('CBK Students'!B:B) = TRIM(A891)),
  """"
)"),"#REF!")</f>
        <v>#REF!</v>
      </c>
      <c r="V891" s="240" t="str">
        <f>IFERROR(__xludf.DUMMYFUNCTION("IFERROR(
  FILTER('CBK Students'!M:M, TRIM('CBK Students'!B:B) = TRIM(A891)),
  """"
)"),"#REF!")</f>
        <v>#REF!</v>
      </c>
      <c r="W891" s="240" t="str">
        <f t="shared" si="1"/>
        <v/>
      </c>
      <c r="X891" s="240" t="str">
        <f>IFERROR(__xludf.DUMMYFUNCTION("IFERROR(
  FILTER('CBK Students'!R:R, TRIM('CBK Students'!B:B) = TRIM(A891)),
  """"
)"),"#REF!")</f>
        <v>#REF!</v>
      </c>
      <c r="Y891" s="4" t="str">
        <f t="shared" si="2"/>
        <v/>
      </c>
      <c r="Z891" s="4" t="str">
        <f>IFERROR(__xludf.DUMMYFUNCTION("IFERROR(
  FILTER('CBK Students'!O:O, TRIM('CBK Students'!B:B) = TRIM(A891)),
  """"
)"),"#REF!")</f>
        <v>#REF!</v>
      </c>
      <c r="AA891" s="4" t="str">
        <f>IFERROR(__xludf.DUMMYFUNCTION("IFERROR(
  FILTER('CBK Students'!P:P, TRIM('CBK Students'!B:B) = TRIM(A891)),
  """"
)"),"#REF!")</f>
        <v>#REF!</v>
      </c>
      <c r="AB891" s="4" t="str">
        <f>IFERROR(__xludf.DUMMYFUNCTION("IFERROR(
  FILTER('CBK Students'!Q:Q, TRIM('CBK Students'!B:B) = TRIM(A891)),
  """"
)"),"#REF!")</f>
        <v>#REF!</v>
      </c>
    </row>
    <row r="892" ht="18.75" customHeight="1">
      <c r="T892" s="240" t="str">
        <f>IFERROR(__xludf.DUMMYFUNCTION("IFERROR(
  FILTER('CBK Students'!F:F, TRIM('CBK Students'!B:B) = TRIM(A892)),
  """"
)"),"#REF!")</f>
        <v>#REF!</v>
      </c>
      <c r="U892" s="240" t="str">
        <f>IFERROR(__xludf.DUMMYFUNCTION("IFERROR(
  FILTER('CBK Students'!H:H, TRIM('CBK Students'!B:B) = TRIM(A892)),
  """"
)"),"#REF!")</f>
        <v>#REF!</v>
      </c>
      <c r="V892" s="240" t="str">
        <f>IFERROR(__xludf.DUMMYFUNCTION("IFERROR(
  FILTER('CBK Students'!M:M, TRIM('CBK Students'!B:B) = TRIM(A892)),
  """"
)"),"#REF!")</f>
        <v>#REF!</v>
      </c>
      <c r="W892" s="240" t="str">
        <f t="shared" si="1"/>
        <v/>
      </c>
      <c r="X892" s="240" t="str">
        <f>IFERROR(__xludf.DUMMYFUNCTION("IFERROR(
  FILTER('CBK Students'!R:R, TRIM('CBK Students'!B:B) = TRIM(A892)),
  """"
)"),"#REF!")</f>
        <v>#REF!</v>
      </c>
      <c r="Y892" s="4" t="str">
        <f t="shared" si="2"/>
        <v/>
      </c>
      <c r="Z892" s="4" t="str">
        <f>IFERROR(__xludf.DUMMYFUNCTION("IFERROR(
  FILTER('CBK Students'!O:O, TRIM('CBK Students'!B:B) = TRIM(A892)),
  """"
)"),"#REF!")</f>
        <v>#REF!</v>
      </c>
      <c r="AA892" s="4" t="str">
        <f>IFERROR(__xludf.DUMMYFUNCTION("IFERROR(
  FILTER('CBK Students'!P:P, TRIM('CBK Students'!B:B) = TRIM(A892)),
  """"
)"),"#REF!")</f>
        <v>#REF!</v>
      </c>
      <c r="AB892" s="4" t="str">
        <f>IFERROR(__xludf.DUMMYFUNCTION("IFERROR(
  FILTER('CBK Students'!Q:Q, TRIM('CBK Students'!B:B) = TRIM(A892)),
  """"
)"),"#REF!")</f>
        <v>#REF!</v>
      </c>
    </row>
    <row r="893" ht="18.75" customHeight="1">
      <c r="T893" s="240" t="str">
        <f>IFERROR(__xludf.DUMMYFUNCTION("IFERROR(
  FILTER('CBK Students'!F:F, TRIM('CBK Students'!B:B) = TRIM(A893)),
  """"
)"),"#REF!")</f>
        <v>#REF!</v>
      </c>
      <c r="U893" s="240" t="str">
        <f>IFERROR(__xludf.DUMMYFUNCTION("IFERROR(
  FILTER('CBK Students'!H:H, TRIM('CBK Students'!B:B) = TRIM(A893)),
  """"
)"),"#REF!")</f>
        <v>#REF!</v>
      </c>
      <c r="V893" s="240" t="str">
        <f>IFERROR(__xludf.DUMMYFUNCTION("IFERROR(
  FILTER('CBK Students'!M:M, TRIM('CBK Students'!B:B) = TRIM(A893)),
  """"
)"),"#REF!")</f>
        <v>#REF!</v>
      </c>
      <c r="W893" s="240" t="str">
        <f t="shared" si="1"/>
        <v/>
      </c>
      <c r="X893" s="240" t="str">
        <f>IFERROR(__xludf.DUMMYFUNCTION("IFERROR(
  FILTER('CBK Students'!R:R, TRIM('CBK Students'!B:B) = TRIM(A893)),
  """"
)"),"#REF!")</f>
        <v>#REF!</v>
      </c>
      <c r="Y893" s="4" t="str">
        <f t="shared" si="2"/>
        <v/>
      </c>
      <c r="Z893" s="4" t="str">
        <f>IFERROR(__xludf.DUMMYFUNCTION("IFERROR(
  FILTER('CBK Students'!O:O, TRIM('CBK Students'!B:B) = TRIM(A893)),
  """"
)"),"#REF!")</f>
        <v>#REF!</v>
      </c>
      <c r="AA893" s="4" t="str">
        <f>IFERROR(__xludf.DUMMYFUNCTION("IFERROR(
  FILTER('CBK Students'!P:P, TRIM('CBK Students'!B:B) = TRIM(A893)),
  """"
)"),"#REF!")</f>
        <v>#REF!</v>
      </c>
      <c r="AB893" s="4" t="str">
        <f>IFERROR(__xludf.DUMMYFUNCTION("IFERROR(
  FILTER('CBK Students'!Q:Q, TRIM('CBK Students'!B:B) = TRIM(A893)),
  """"
)"),"#REF!")</f>
        <v>#REF!</v>
      </c>
    </row>
    <row r="894" ht="18.75" customHeight="1">
      <c r="T894" s="240" t="str">
        <f>IFERROR(__xludf.DUMMYFUNCTION("IFERROR(
  FILTER('CBK Students'!F:F, TRIM('CBK Students'!B:B) = TRIM(A894)),
  """"
)"),"#REF!")</f>
        <v>#REF!</v>
      </c>
      <c r="U894" s="240" t="str">
        <f>IFERROR(__xludf.DUMMYFUNCTION("IFERROR(
  FILTER('CBK Students'!H:H, TRIM('CBK Students'!B:B) = TRIM(A894)),
  """"
)"),"#REF!")</f>
        <v>#REF!</v>
      </c>
      <c r="V894" s="240" t="str">
        <f>IFERROR(__xludf.DUMMYFUNCTION("IFERROR(
  FILTER('CBK Students'!M:M, TRIM('CBK Students'!B:B) = TRIM(A894)),
  """"
)"),"#REF!")</f>
        <v>#REF!</v>
      </c>
      <c r="W894" s="240" t="str">
        <f t="shared" si="1"/>
        <v/>
      </c>
      <c r="X894" s="240" t="str">
        <f>IFERROR(__xludf.DUMMYFUNCTION("IFERROR(
  FILTER('CBK Students'!R:R, TRIM('CBK Students'!B:B) = TRIM(A894)),
  """"
)"),"#REF!")</f>
        <v>#REF!</v>
      </c>
      <c r="Y894" s="4" t="str">
        <f t="shared" si="2"/>
        <v/>
      </c>
      <c r="Z894" s="4" t="str">
        <f>IFERROR(__xludf.DUMMYFUNCTION("IFERROR(
  FILTER('CBK Students'!O:O, TRIM('CBK Students'!B:B) = TRIM(A894)),
  """"
)"),"#REF!")</f>
        <v>#REF!</v>
      </c>
      <c r="AA894" s="4" t="str">
        <f>IFERROR(__xludf.DUMMYFUNCTION("IFERROR(
  FILTER('CBK Students'!P:P, TRIM('CBK Students'!B:B) = TRIM(A894)),
  """"
)"),"#REF!")</f>
        <v>#REF!</v>
      </c>
      <c r="AB894" s="4" t="str">
        <f>IFERROR(__xludf.DUMMYFUNCTION("IFERROR(
  FILTER('CBK Students'!Q:Q, TRIM('CBK Students'!B:B) = TRIM(A894)),
  """"
)"),"#REF!")</f>
        <v>#REF!</v>
      </c>
    </row>
    <row r="895" ht="18.75" customHeight="1">
      <c r="T895" s="240" t="str">
        <f>IFERROR(__xludf.DUMMYFUNCTION("IFERROR(
  FILTER('CBK Students'!F:F, TRIM('CBK Students'!B:B) = TRIM(A895)),
  """"
)"),"#REF!")</f>
        <v>#REF!</v>
      </c>
      <c r="U895" s="240" t="str">
        <f>IFERROR(__xludf.DUMMYFUNCTION("IFERROR(
  FILTER('CBK Students'!H:H, TRIM('CBK Students'!B:B) = TRIM(A895)),
  """"
)"),"#REF!")</f>
        <v>#REF!</v>
      </c>
      <c r="V895" s="240" t="str">
        <f>IFERROR(__xludf.DUMMYFUNCTION("IFERROR(
  FILTER('CBK Students'!M:M, TRIM('CBK Students'!B:B) = TRIM(A895)),
  """"
)"),"#REF!")</f>
        <v>#REF!</v>
      </c>
      <c r="W895" s="240" t="str">
        <f t="shared" si="1"/>
        <v/>
      </c>
      <c r="X895" s="240" t="str">
        <f>IFERROR(__xludf.DUMMYFUNCTION("IFERROR(
  FILTER('CBK Students'!R:R, TRIM('CBK Students'!B:B) = TRIM(A895)),
  """"
)"),"#REF!")</f>
        <v>#REF!</v>
      </c>
      <c r="Y895" s="4" t="str">
        <f t="shared" si="2"/>
        <v/>
      </c>
      <c r="Z895" s="4" t="str">
        <f>IFERROR(__xludf.DUMMYFUNCTION("IFERROR(
  FILTER('CBK Students'!O:O, TRIM('CBK Students'!B:B) = TRIM(A895)),
  """"
)"),"#REF!")</f>
        <v>#REF!</v>
      </c>
      <c r="AA895" s="4" t="str">
        <f>IFERROR(__xludf.DUMMYFUNCTION("IFERROR(
  FILTER('CBK Students'!P:P, TRIM('CBK Students'!B:B) = TRIM(A895)),
  """"
)"),"#REF!")</f>
        <v>#REF!</v>
      </c>
      <c r="AB895" s="4" t="str">
        <f>IFERROR(__xludf.DUMMYFUNCTION("IFERROR(
  FILTER('CBK Students'!Q:Q, TRIM('CBK Students'!B:B) = TRIM(A895)),
  """"
)"),"#REF!")</f>
        <v>#REF!</v>
      </c>
    </row>
    <row r="896" ht="18.75" customHeight="1">
      <c r="T896" s="240" t="str">
        <f>IFERROR(__xludf.DUMMYFUNCTION("IFERROR(
  FILTER('CBK Students'!F:F, TRIM('CBK Students'!B:B) = TRIM(A896)),
  """"
)"),"#REF!")</f>
        <v>#REF!</v>
      </c>
      <c r="U896" s="240" t="str">
        <f>IFERROR(__xludf.DUMMYFUNCTION("IFERROR(
  FILTER('CBK Students'!H:H, TRIM('CBK Students'!B:B) = TRIM(A896)),
  """"
)"),"#REF!")</f>
        <v>#REF!</v>
      </c>
      <c r="V896" s="240" t="str">
        <f>IFERROR(__xludf.DUMMYFUNCTION("IFERROR(
  FILTER('CBK Students'!M:M, TRIM('CBK Students'!B:B) = TRIM(A896)),
  """"
)"),"#REF!")</f>
        <v>#REF!</v>
      </c>
      <c r="W896" s="240" t="str">
        <f t="shared" si="1"/>
        <v/>
      </c>
      <c r="X896" s="240" t="str">
        <f>IFERROR(__xludf.DUMMYFUNCTION("IFERROR(
  FILTER('CBK Students'!R:R, TRIM('CBK Students'!B:B) = TRIM(A896)),
  """"
)"),"#REF!")</f>
        <v>#REF!</v>
      </c>
      <c r="Y896" s="4" t="str">
        <f t="shared" si="2"/>
        <v/>
      </c>
      <c r="Z896" s="4" t="str">
        <f>IFERROR(__xludf.DUMMYFUNCTION("IFERROR(
  FILTER('CBK Students'!O:O, TRIM('CBK Students'!B:B) = TRIM(A896)),
  """"
)"),"#REF!")</f>
        <v>#REF!</v>
      </c>
      <c r="AA896" s="4" t="str">
        <f>IFERROR(__xludf.DUMMYFUNCTION("IFERROR(
  FILTER('CBK Students'!P:P, TRIM('CBK Students'!B:B) = TRIM(A896)),
  """"
)"),"#REF!")</f>
        <v>#REF!</v>
      </c>
      <c r="AB896" s="4" t="str">
        <f>IFERROR(__xludf.DUMMYFUNCTION("IFERROR(
  FILTER('CBK Students'!Q:Q, TRIM('CBK Students'!B:B) = TRIM(A896)),
  """"
)"),"#REF!")</f>
        <v>#REF!</v>
      </c>
    </row>
    <row r="897" ht="18.75" customHeight="1">
      <c r="T897" s="240" t="str">
        <f>IFERROR(__xludf.DUMMYFUNCTION("IFERROR(
  FILTER('CBK Students'!F:F, TRIM('CBK Students'!B:B) = TRIM(A897)),
  """"
)"),"#REF!")</f>
        <v>#REF!</v>
      </c>
      <c r="U897" s="240" t="str">
        <f>IFERROR(__xludf.DUMMYFUNCTION("IFERROR(
  FILTER('CBK Students'!H:H, TRIM('CBK Students'!B:B) = TRIM(A897)),
  """"
)"),"#REF!")</f>
        <v>#REF!</v>
      </c>
      <c r="V897" s="240" t="str">
        <f>IFERROR(__xludf.DUMMYFUNCTION("IFERROR(
  FILTER('CBK Students'!M:M, TRIM('CBK Students'!B:B) = TRIM(A897)),
  """"
)"),"#REF!")</f>
        <v>#REF!</v>
      </c>
      <c r="W897" s="240" t="str">
        <f t="shared" si="1"/>
        <v/>
      </c>
      <c r="X897" s="240" t="str">
        <f>IFERROR(__xludf.DUMMYFUNCTION("IFERROR(
  FILTER('CBK Students'!R:R, TRIM('CBK Students'!B:B) = TRIM(A897)),
  """"
)"),"#REF!")</f>
        <v>#REF!</v>
      </c>
      <c r="Y897" s="4" t="str">
        <f t="shared" si="2"/>
        <v/>
      </c>
      <c r="Z897" s="4" t="str">
        <f>IFERROR(__xludf.DUMMYFUNCTION("IFERROR(
  FILTER('CBK Students'!O:O, TRIM('CBK Students'!B:B) = TRIM(A897)),
  """"
)"),"#REF!")</f>
        <v>#REF!</v>
      </c>
      <c r="AA897" s="4" t="str">
        <f>IFERROR(__xludf.DUMMYFUNCTION("IFERROR(
  FILTER('CBK Students'!P:P, TRIM('CBK Students'!B:B) = TRIM(A897)),
  """"
)"),"#REF!")</f>
        <v>#REF!</v>
      </c>
      <c r="AB897" s="4" t="str">
        <f>IFERROR(__xludf.DUMMYFUNCTION("IFERROR(
  FILTER('CBK Students'!Q:Q, TRIM('CBK Students'!B:B) = TRIM(A897)),
  """"
)"),"#REF!")</f>
        <v>#REF!</v>
      </c>
    </row>
    <row r="898" ht="18.75" customHeight="1">
      <c r="T898" s="240" t="str">
        <f>IFERROR(__xludf.DUMMYFUNCTION("IFERROR(
  FILTER('CBK Students'!F:F, TRIM('CBK Students'!B:B) = TRIM(A898)),
  """"
)"),"#REF!")</f>
        <v>#REF!</v>
      </c>
      <c r="U898" s="240" t="str">
        <f>IFERROR(__xludf.DUMMYFUNCTION("IFERROR(
  FILTER('CBK Students'!H:H, TRIM('CBK Students'!B:B) = TRIM(A898)),
  """"
)"),"#REF!")</f>
        <v>#REF!</v>
      </c>
      <c r="V898" s="240" t="str">
        <f>IFERROR(__xludf.DUMMYFUNCTION("IFERROR(
  FILTER('CBK Students'!M:M, TRIM('CBK Students'!B:B) = TRIM(A898)),
  """"
)"),"#REF!")</f>
        <v>#REF!</v>
      </c>
      <c r="W898" s="240" t="str">
        <f t="shared" si="1"/>
        <v/>
      </c>
      <c r="X898" s="240" t="str">
        <f>IFERROR(__xludf.DUMMYFUNCTION("IFERROR(
  FILTER('CBK Students'!R:R, TRIM('CBK Students'!B:B) = TRIM(A898)),
  """"
)"),"#REF!")</f>
        <v>#REF!</v>
      </c>
      <c r="Y898" s="4" t="str">
        <f t="shared" si="2"/>
        <v/>
      </c>
      <c r="Z898" s="4" t="str">
        <f>IFERROR(__xludf.DUMMYFUNCTION("IFERROR(
  FILTER('CBK Students'!O:O, TRIM('CBK Students'!B:B) = TRIM(A898)),
  """"
)"),"#REF!")</f>
        <v>#REF!</v>
      </c>
      <c r="AA898" s="4" t="str">
        <f>IFERROR(__xludf.DUMMYFUNCTION("IFERROR(
  FILTER('CBK Students'!P:P, TRIM('CBK Students'!B:B) = TRIM(A898)),
  """"
)"),"#REF!")</f>
        <v>#REF!</v>
      </c>
      <c r="AB898" s="4" t="str">
        <f>IFERROR(__xludf.DUMMYFUNCTION("IFERROR(
  FILTER('CBK Students'!Q:Q, TRIM('CBK Students'!B:B) = TRIM(A898)),
  """"
)"),"#REF!")</f>
        <v>#REF!</v>
      </c>
    </row>
    <row r="899" ht="18.75" customHeight="1">
      <c r="T899" s="240" t="str">
        <f>IFERROR(__xludf.DUMMYFUNCTION("IFERROR(
  FILTER('CBK Students'!F:F, TRIM('CBK Students'!B:B) = TRIM(A899)),
  """"
)"),"#REF!")</f>
        <v>#REF!</v>
      </c>
      <c r="U899" s="240" t="str">
        <f>IFERROR(__xludf.DUMMYFUNCTION("IFERROR(
  FILTER('CBK Students'!H:H, TRIM('CBK Students'!B:B) = TRIM(A899)),
  """"
)"),"#REF!")</f>
        <v>#REF!</v>
      </c>
      <c r="V899" s="240" t="str">
        <f>IFERROR(__xludf.DUMMYFUNCTION("IFERROR(
  FILTER('CBK Students'!M:M, TRIM('CBK Students'!B:B) = TRIM(A899)),
  """"
)"),"#REF!")</f>
        <v>#REF!</v>
      </c>
      <c r="W899" s="240" t="str">
        <f t="shared" si="1"/>
        <v/>
      </c>
      <c r="X899" s="240" t="str">
        <f>IFERROR(__xludf.DUMMYFUNCTION("IFERROR(
  FILTER('CBK Students'!R:R, TRIM('CBK Students'!B:B) = TRIM(A899)),
  """"
)"),"#REF!")</f>
        <v>#REF!</v>
      </c>
      <c r="Y899" s="4" t="str">
        <f t="shared" si="2"/>
        <v/>
      </c>
      <c r="Z899" s="4" t="str">
        <f>IFERROR(__xludf.DUMMYFUNCTION("IFERROR(
  FILTER('CBK Students'!O:O, TRIM('CBK Students'!B:B) = TRIM(A899)),
  """"
)"),"#REF!")</f>
        <v>#REF!</v>
      </c>
      <c r="AA899" s="4" t="str">
        <f>IFERROR(__xludf.DUMMYFUNCTION("IFERROR(
  FILTER('CBK Students'!P:P, TRIM('CBK Students'!B:B) = TRIM(A899)),
  """"
)"),"#REF!")</f>
        <v>#REF!</v>
      </c>
      <c r="AB899" s="4" t="str">
        <f>IFERROR(__xludf.DUMMYFUNCTION("IFERROR(
  FILTER('CBK Students'!Q:Q, TRIM('CBK Students'!B:B) = TRIM(A899)),
  """"
)"),"#REF!")</f>
        <v>#REF!</v>
      </c>
    </row>
    <row r="900" ht="18.75" customHeight="1">
      <c r="T900" s="240" t="str">
        <f>IFERROR(__xludf.DUMMYFUNCTION("IFERROR(
  FILTER('CBK Students'!F:F, TRIM('CBK Students'!B:B) = TRIM(A900)),
  """"
)"),"#REF!")</f>
        <v>#REF!</v>
      </c>
      <c r="U900" s="240" t="str">
        <f>IFERROR(__xludf.DUMMYFUNCTION("IFERROR(
  FILTER('CBK Students'!H:H, TRIM('CBK Students'!B:B) = TRIM(A900)),
  """"
)"),"#REF!")</f>
        <v>#REF!</v>
      </c>
      <c r="V900" s="240" t="str">
        <f>IFERROR(__xludf.DUMMYFUNCTION("IFERROR(
  FILTER('CBK Students'!M:M, TRIM('CBK Students'!B:B) = TRIM(A900)),
  """"
)"),"#REF!")</f>
        <v>#REF!</v>
      </c>
      <c r="W900" s="240" t="str">
        <f t="shared" si="1"/>
        <v/>
      </c>
      <c r="X900" s="240" t="str">
        <f>IFERROR(__xludf.DUMMYFUNCTION("IFERROR(
  FILTER('CBK Students'!R:R, TRIM('CBK Students'!B:B) = TRIM(A900)),
  """"
)"),"#REF!")</f>
        <v>#REF!</v>
      </c>
      <c r="Y900" s="4" t="str">
        <f t="shared" si="2"/>
        <v/>
      </c>
      <c r="Z900" s="4" t="str">
        <f>IFERROR(__xludf.DUMMYFUNCTION("IFERROR(
  FILTER('CBK Students'!O:O, TRIM('CBK Students'!B:B) = TRIM(A900)),
  """"
)"),"#REF!")</f>
        <v>#REF!</v>
      </c>
      <c r="AA900" s="4" t="str">
        <f>IFERROR(__xludf.DUMMYFUNCTION("IFERROR(
  FILTER('CBK Students'!P:P, TRIM('CBK Students'!B:B) = TRIM(A900)),
  """"
)"),"#REF!")</f>
        <v>#REF!</v>
      </c>
      <c r="AB900" s="4" t="str">
        <f>IFERROR(__xludf.DUMMYFUNCTION("IFERROR(
  FILTER('CBK Students'!Q:Q, TRIM('CBK Students'!B:B) = TRIM(A900)),
  """"
)"),"#REF!")</f>
        <v>#REF!</v>
      </c>
    </row>
    <row r="901" ht="18.75" customHeight="1">
      <c r="T901" s="240" t="str">
        <f>IFERROR(__xludf.DUMMYFUNCTION("IFERROR(
  FILTER('CBK Students'!F:F, TRIM('CBK Students'!B:B) = TRIM(A901)),
  """"
)"),"#REF!")</f>
        <v>#REF!</v>
      </c>
      <c r="U901" s="240" t="str">
        <f>IFERROR(__xludf.DUMMYFUNCTION("IFERROR(
  FILTER('CBK Students'!H:H, TRIM('CBK Students'!B:B) = TRIM(A901)),
  """"
)"),"#REF!")</f>
        <v>#REF!</v>
      </c>
      <c r="V901" s="240" t="str">
        <f>IFERROR(__xludf.DUMMYFUNCTION("IFERROR(
  FILTER('CBK Students'!M:M, TRIM('CBK Students'!B:B) = TRIM(A901)),
  """"
)"),"#REF!")</f>
        <v>#REF!</v>
      </c>
      <c r="W901" s="240" t="str">
        <f t="shared" si="1"/>
        <v/>
      </c>
      <c r="X901" s="240" t="str">
        <f>IFERROR(__xludf.DUMMYFUNCTION("IFERROR(
  FILTER('CBK Students'!R:R, TRIM('CBK Students'!B:B) = TRIM(A901)),
  """"
)"),"#REF!")</f>
        <v>#REF!</v>
      </c>
      <c r="Y901" s="4" t="str">
        <f t="shared" si="2"/>
        <v/>
      </c>
      <c r="Z901" s="4" t="str">
        <f>IFERROR(__xludf.DUMMYFUNCTION("IFERROR(
  FILTER('CBK Students'!O:O, TRIM('CBK Students'!B:B) = TRIM(A901)),
  """"
)"),"#REF!")</f>
        <v>#REF!</v>
      </c>
      <c r="AA901" s="4" t="str">
        <f>IFERROR(__xludf.DUMMYFUNCTION("IFERROR(
  FILTER('CBK Students'!P:P, TRIM('CBK Students'!B:B) = TRIM(A901)),
  """"
)"),"#REF!")</f>
        <v>#REF!</v>
      </c>
      <c r="AB901" s="4" t="str">
        <f>IFERROR(__xludf.DUMMYFUNCTION("IFERROR(
  FILTER('CBK Students'!Q:Q, TRIM('CBK Students'!B:B) = TRIM(A901)),
  """"
)"),"#REF!")</f>
        <v>#REF!</v>
      </c>
    </row>
    <row r="902" ht="18.75" customHeight="1">
      <c r="T902" s="240" t="str">
        <f>IFERROR(__xludf.DUMMYFUNCTION("IFERROR(
  FILTER('CBK Students'!F:F, TRIM('CBK Students'!B:B) = TRIM(A902)),
  """"
)"),"#REF!")</f>
        <v>#REF!</v>
      </c>
      <c r="U902" s="240" t="str">
        <f>IFERROR(__xludf.DUMMYFUNCTION("IFERROR(
  FILTER('CBK Students'!H:H, TRIM('CBK Students'!B:B) = TRIM(A902)),
  """"
)"),"#REF!")</f>
        <v>#REF!</v>
      </c>
      <c r="V902" s="240" t="str">
        <f>IFERROR(__xludf.DUMMYFUNCTION("IFERROR(
  FILTER('CBK Students'!M:M, TRIM('CBK Students'!B:B) = TRIM(A902)),
  """"
)"),"#REF!")</f>
        <v>#REF!</v>
      </c>
      <c r="W902" s="240" t="str">
        <f t="shared" si="1"/>
        <v/>
      </c>
      <c r="X902" s="240" t="str">
        <f>IFERROR(__xludf.DUMMYFUNCTION("IFERROR(
  FILTER('CBK Students'!R:R, TRIM('CBK Students'!B:B) = TRIM(A902)),
  """"
)"),"#REF!")</f>
        <v>#REF!</v>
      </c>
      <c r="Y902" s="4" t="str">
        <f t="shared" si="2"/>
        <v/>
      </c>
      <c r="Z902" s="4" t="str">
        <f>IFERROR(__xludf.DUMMYFUNCTION("IFERROR(
  FILTER('CBK Students'!O:O, TRIM('CBK Students'!B:B) = TRIM(A902)),
  """"
)"),"#REF!")</f>
        <v>#REF!</v>
      </c>
      <c r="AA902" s="4" t="str">
        <f>IFERROR(__xludf.DUMMYFUNCTION("IFERROR(
  FILTER('CBK Students'!P:P, TRIM('CBK Students'!B:B) = TRIM(A902)),
  """"
)"),"#REF!")</f>
        <v>#REF!</v>
      </c>
      <c r="AB902" s="4" t="str">
        <f>IFERROR(__xludf.DUMMYFUNCTION("IFERROR(
  FILTER('CBK Students'!Q:Q, TRIM('CBK Students'!B:B) = TRIM(A902)),
  """"
)"),"#REF!")</f>
        <v>#REF!</v>
      </c>
    </row>
    <row r="903" ht="18.75" customHeight="1">
      <c r="T903" s="240" t="str">
        <f>IFERROR(__xludf.DUMMYFUNCTION("IFERROR(
  FILTER('CBK Students'!F:F, TRIM('CBK Students'!B:B) = TRIM(A903)),
  """"
)"),"#REF!")</f>
        <v>#REF!</v>
      </c>
      <c r="U903" s="240" t="str">
        <f>IFERROR(__xludf.DUMMYFUNCTION("IFERROR(
  FILTER('CBK Students'!H:H, TRIM('CBK Students'!B:B) = TRIM(A903)),
  """"
)"),"#REF!")</f>
        <v>#REF!</v>
      </c>
      <c r="V903" s="240" t="str">
        <f>IFERROR(__xludf.DUMMYFUNCTION("IFERROR(
  FILTER('CBK Students'!M:M, TRIM('CBK Students'!B:B) = TRIM(A903)),
  """"
)"),"#REF!")</f>
        <v>#REF!</v>
      </c>
      <c r="W903" s="240" t="str">
        <f t="shared" si="1"/>
        <v/>
      </c>
      <c r="X903" s="240" t="str">
        <f>IFERROR(__xludf.DUMMYFUNCTION("IFERROR(
  FILTER('CBK Students'!R:R, TRIM('CBK Students'!B:B) = TRIM(A903)),
  """"
)"),"#REF!")</f>
        <v>#REF!</v>
      </c>
      <c r="Y903" s="4" t="str">
        <f t="shared" si="2"/>
        <v/>
      </c>
      <c r="Z903" s="4" t="str">
        <f>IFERROR(__xludf.DUMMYFUNCTION("IFERROR(
  FILTER('CBK Students'!O:O, TRIM('CBK Students'!B:B) = TRIM(A903)),
  """"
)"),"#REF!")</f>
        <v>#REF!</v>
      </c>
      <c r="AA903" s="4" t="str">
        <f>IFERROR(__xludf.DUMMYFUNCTION("IFERROR(
  FILTER('CBK Students'!P:P, TRIM('CBK Students'!B:B) = TRIM(A903)),
  """"
)"),"#REF!")</f>
        <v>#REF!</v>
      </c>
      <c r="AB903" s="4" t="str">
        <f>IFERROR(__xludf.DUMMYFUNCTION("IFERROR(
  FILTER('CBK Students'!Q:Q, TRIM('CBK Students'!B:B) = TRIM(A903)),
  """"
)"),"#REF!")</f>
        <v>#REF!</v>
      </c>
    </row>
    <row r="904" ht="18.75" customHeight="1">
      <c r="T904" s="240" t="str">
        <f>IFERROR(__xludf.DUMMYFUNCTION("IFERROR(
  FILTER('CBK Students'!F:F, TRIM('CBK Students'!B:B) = TRIM(A904)),
  """"
)"),"#REF!")</f>
        <v>#REF!</v>
      </c>
      <c r="U904" s="240" t="str">
        <f>IFERROR(__xludf.DUMMYFUNCTION("IFERROR(
  FILTER('CBK Students'!H:H, TRIM('CBK Students'!B:B) = TRIM(A904)),
  """"
)"),"#REF!")</f>
        <v>#REF!</v>
      </c>
      <c r="V904" s="240" t="str">
        <f>IFERROR(__xludf.DUMMYFUNCTION("IFERROR(
  FILTER('CBK Students'!M:M, TRIM('CBK Students'!B:B) = TRIM(A904)),
  """"
)"),"#REF!")</f>
        <v>#REF!</v>
      </c>
      <c r="W904" s="240" t="str">
        <f t="shared" si="1"/>
        <v/>
      </c>
      <c r="X904" s="240" t="str">
        <f>IFERROR(__xludf.DUMMYFUNCTION("IFERROR(
  FILTER('CBK Students'!R:R, TRIM('CBK Students'!B:B) = TRIM(A904)),
  """"
)"),"#REF!")</f>
        <v>#REF!</v>
      </c>
      <c r="Y904" s="4" t="str">
        <f t="shared" si="2"/>
        <v/>
      </c>
      <c r="Z904" s="4" t="str">
        <f>IFERROR(__xludf.DUMMYFUNCTION("IFERROR(
  FILTER('CBK Students'!O:O, TRIM('CBK Students'!B:B) = TRIM(A904)),
  """"
)"),"#REF!")</f>
        <v>#REF!</v>
      </c>
      <c r="AA904" s="4" t="str">
        <f>IFERROR(__xludf.DUMMYFUNCTION("IFERROR(
  FILTER('CBK Students'!P:P, TRIM('CBK Students'!B:B) = TRIM(A904)),
  """"
)"),"#REF!")</f>
        <v>#REF!</v>
      </c>
      <c r="AB904" s="4" t="str">
        <f>IFERROR(__xludf.DUMMYFUNCTION("IFERROR(
  FILTER('CBK Students'!Q:Q, TRIM('CBK Students'!B:B) = TRIM(A904)),
  """"
)"),"#REF!")</f>
        <v>#REF!</v>
      </c>
    </row>
    <row r="905" ht="18.75" customHeight="1">
      <c r="T905" s="240" t="str">
        <f>IFERROR(__xludf.DUMMYFUNCTION("IFERROR(
  FILTER('CBK Students'!F:F, TRIM('CBK Students'!B:B) = TRIM(A905)),
  """"
)"),"#REF!")</f>
        <v>#REF!</v>
      </c>
      <c r="U905" s="240" t="str">
        <f>IFERROR(__xludf.DUMMYFUNCTION("IFERROR(
  FILTER('CBK Students'!H:H, TRIM('CBK Students'!B:B) = TRIM(A905)),
  """"
)"),"#REF!")</f>
        <v>#REF!</v>
      </c>
      <c r="V905" s="240" t="str">
        <f>IFERROR(__xludf.DUMMYFUNCTION("IFERROR(
  FILTER('CBK Students'!M:M, TRIM('CBK Students'!B:B) = TRIM(A905)),
  """"
)"),"#REF!")</f>
        <v>#REF!</v>
      </c>
      <c r="W905" s="240" t="str">
        <f t="shared" si="1"/>
        <v/>
      </c>
      <c r="X905" s="240" t="str">
        <f>IFERROR(__xludf.DUMMYFUNCTION("IFERROR(
  FILTER('CBK Students'!R:R, TRIM('CBK Students'!B:B) = TRIM(A905)),
  """"
)"),"#REF!")</f>
        <v>#REF!</v>
      </c>
      <c r="Y905" s="4" t="str">
        <f t="shared" si="2"/>
        <v/>
      </c>
      <c r="Z905" s="4" t="str">
        <f>IFERROR(__xludf.DUMMYFUNCTION("IFERROR(
  FILTER('CBK Students'!O:O, TRIM('CBK Students'!B:B) = TRIM(A905)),
  """"
)"),"#REF!")</f>
        <v>#REF!</v>
      </c>
      <c r="AA905" s="4" t="str">
        <f>IFERROR(__xludf.DUMMYFUNCTION("IFERROR(
  FILTER('CBK Students'!P:P, TRIM('CBK Students'!B:B) = TRIM(A905)),
  """"
)"),"#REF!")</f>
        <v>#REF!</v>
      </c>
      <c r="AB905" s="4" t="str">
        <f>IFERROR(__xludf.DUMMYFUNCTION("IFERROR(
  FILTER('CBK Students'!Q:Q, TRIM('CBK Students'!B:B) = TRIM(A905)),
  """"
)"),"#REF!")</f>
        <v>#REF!</v>
      </c>
    </row>
    <row r="906" ht="18.75" customHeight="1">
      <c r="T906" s="240" t="str">
        <f>IFERROR(__xludf.DUMMYFUNCTION("IFERROR(
  FILTER('CBK Students'!F:F, TRIM('CBK Students'!B:B) = TRIM(A906)),
  """"
)"),"#REF!")</f>
        <v>#REF!</v>
      </c>
      <c r="U906" s="240" t="str">
        <f>IFERROR(__xludf.DUMMYFUNCTION("IFERROR(
  FILTER('CBK Students'!H:H, TRIM('CBK Students'!B:B) = TRIM(A906)),
  """"
)"),"#REF!")</f>
        <v>#REF!</v>
      </c>
      <c r="V906" s="240" t="str">
        <f>IFERROR(__xludf.DUMMYFUNCTION("IFERROR(
  FILTER('CBK Students'!M:M, TRIM('CBK Students'!B:B) = TRIM(A906)),
  """"
)"),"#REF!")</f>
        <v>#REF!</v>
      </c>
      <c r="W906" s="240" t="str">
        <f t="shared" si="1"/>
        <v/>
      </c>
      <c r="X906" s="240" t="str">
        <f>IFERROR(__xludf.DUMMYFUNCTION("IFERROR(
  FILTER('CBK Students'!R:R, TRIM('CBK Students'!B:B) = TRIM(A906)),
  """"
)"),"#REF!")</f>
        <v>#REF!</v>
      </c>
      <c r="Y906" s="4" t="str">
        <f t="shared" si="2"/>
        <v/>
      </c>
      <c r="Z906" s="4" t="str">
        <f>IFERROR(__xludf.DUMMYFUNCTION("IFERROR(
  FILTER('CBK Students'!O:O, TRIM('CBK Students'!B:B) = TRIM(A906)),
  """"
)"),"#REF!")</f>
        <v>#REF!</v>
      </c>
      <c r="AA906" s="4" t="str">
        <f>IFERROR(__xludf.DUMMYFUNCTION("IFERROR(
  FILTER('CBK Students'!P:P, TRIM('CBK Students'!B:B) = TRIM(A906)),
  """"
)"),"#REF!")</f>
        <v>#REF!</v>
      </c>
      <c r="AB906" s="4" t="str">
        <f>IFERROR(__xludf.DUMMYFUNCTION("IFERROR(
  FILTER('CBK Students'!Q:Q, TRIM('CBK Students'!B:B) = TRIM(A906)),
  """"
)"),"#REF!")</f>
        <v>#REF!</v>
      </c>
    </row>
    <row r="907" ht="18.75" customHeight="1">
      <c r="T907" s="240" t="str">
        <f>IFERROR(__xludf.DUMMYFUNCTION("IFERROR(
  FILTER('CBK Students'!F:F, TRIM('CBK Students'!B:B) = TRIM(A907)),
  """"
)"),"#REF!")</f>
        <v>#REF!</v>
      </c>
      <c r="U907" s="240" t="str">
        <f>IFERROR(__xludf.DUMMYFUNCTION("IFERROR(
  FILTER('CBK Students'!H:H, TRIM('CBK Students'!B:B) = TRIM(A907)),
  """"
)"),"#REF!")</f>
        <v>#REF!</v>
      </c>
      <c r="V907" s="240" t="str">
        <f>IFERROR(__xludf.DUMMYFUNCTION("IFERROR(
  FILTER('CBK Students'!M:M, TRIM('CBK Students'!B:B) = TRIM(A907)),
  """"
)"),"#REF!")</f>
        <v>#REF!</v>
      </c>
      <c r="W907" s="240" t="str">
        <f t="shared" si="1"/>
        <v/>
      </c>
      <c r="X907" s="240" t="str">
        <f>IFERROR(__xludf.DUMMYFUNCTION("IFERROR(
  FILTER('CBK Students'!R:R, TRIM('CBK Students'!B:B) = TRIM(A907)),
  """"
)"),"#REF!")</f>
        <v>#REF!</v>
      </c>
      <c r="Y907" s="4" t="str">
        <f t="shared" si="2"/>
        <v/>
      </c>
      <c r="Z907" s="4" t="str">
        <f>IFERROR(__xludf.DUMMYFUNCTION("IFERROR(
  FILTER('CBK Students'!O:O, TRIM('CBK Students'!B:B) = TRIM(A907)),
  """"
)"),"#REF!")</f>
        <v>#REF!</v>
      </c>
      <c r="AA907" s="4" t="str">
        <f>IFERROR(__xludf.DUMMYFUNCTION("IFERROR(
  FILTER('CBK Students'!P:P, TRIM('CBK Students'!B:B) = TRIM(A907)),
  """"
)"),"#REF!")</f>
        <v>#REF!</v>
      </c>
      <c r="AB907" s="4" t="str">
        <f>IFERROR(__xludf.DUMMYFUNCTION("IFERROR(
  FILTER('CBK Students'!Q:Q, TRIM('CBK Students'!B:B) = TRIM(A907)),
  """"
)"),"#REF!")</f>
        <v>#REF!</v>
      </c>
    </row>
    <row r="908" ht="18.75" customHeight="1">
      <c r="T908" s="240" t="str">
        <f>IFERROR(__xludf.DUMMYFUNCTION("IFERROR(
  FILTER('CBK Students'!F:F, TRIM('CBK Students'!B:B) = TRIM(A908)),
  """"
)"),"#REF!")</f>
        <v>#REF!</v>
      </c>
      <c r="U908" s="240" t="str">
        <f>IFERROR(__xludf.DUMMYFUNCTION("IFERROR(
  FILTER('CBK Students'!H:H, TRIM('CBK Students'!B:B) = TRIM(A908)),
  """"
)"),"#REF!")</f>
        <v>#REF!</v>
      </c>
      <c r="V908" s="240" t="str">
        <f>IFERROR(__xludf.DUMMYFUNCTION("IFERROR(
  FILTER('CBK Students'!M:M, TRIM('CBK Students'!B:B) = TRIM(A908)),
  """"
)"),"#REF!")</f>
        <v>#REF!</v>
      </c>
      <c r="W908" s="240" t="str">
        <f t="shared" si="1"/>
        <v/>
      </c>
      <c r="X908" s="240" t="str">
        <f>IFERROR(__xludf.DUMMYFUNCTION("IFERROR(
  FILTER('CBK Students'!R:R, TRIM('CBK Students'!B:B) = TRIM(A908)),
  """"
)"),"#REF!")</f>
        <v>#REF!</v>
      </c>
      <c r="Y908" s="4" t="str">
        <f t="shared" si="2"/>
        <v/>
      </c>
      <c r="Z908" s="4" t="str">
        <f>IFERROR(__xludf.DUMMYFUNCTION("IFERROR(
  FILTER('CBK Students'!O:O, TRIM('CBK Students'!B:B) = TRIM(A908)),
  """"
)"),"#REF!")</f>
        <v>#REF!</v>
      </c>
      <c r="AA908" s="4" t="str">
        <f>IFERROR(__xludf.DUMMYFUNCTION("IFERROR(
  FILTER('CBK Students'!P:P, TRIM('CBK Students'!B:B) = TRIM(A908)),
  """"
)"),"#REF!")</f>
        <v>#REF!</v>
      </c>
      <c r="AB908" s="4" t="str">
        <f>IFERROR(__xludf.DUMMYFUNCTION("IFERROR(
  FILTER('CBK Students'!Q:Q, TRIM('CBK Students'!B:B) = TRIM(A908)),
  """"
)"),"#REF!")</f>
        <v>#REF!</v>
      </c>
    </row>
    <row r="909" ht="18.75" customHeight="1">
      <c r="T909" s="240" t="str">
        <f>IFERROR(__xludf.DUMMYFUNCTION("IFERROR(
  FILTER('CBK Students'!F:F, TRIM('CBK Students'!B:B) = TRIM(A909)),
  """"
)"),"#REF!")</f>
        <v>#REF!</v>
      </c>
      <c r="U909" s="240" t="str">
        <f>IFERROR(__xludf.DUMMYFUNCTION("IFERROR(
  FILTER('CBK Students'!H:H, TRIM('CBK Students'!B:B) = TRIM(A909)),
  """"
)"),"#REF!")</f>
        <v>#REF!</v>
      </c>
      <c r="V909" s="240" t="str">
        <f>IFERROR(__xludf.DUMMYFUNCTION("IFERROR(
  FILTER('CBK Students'!M:M, TRIM('CBK Students'!B:B) = TRIM(A909)),
  """"
)"),"#REF!")</f>
        <v>#REF!</v>
      </c>
      <c r="W909" s="240" t="str">
        <f t="shared" si="1"/>
        <v/>
      </c>
      <c r="X909" s="240" t="str">
        <f>IFERROR(__xludf.DUMMYFUNCTION("IFERROR(
  FILTER('CBK Students'!R:R, TRIM('CBK Students'!B:B) = TRIM(A909)),
  """"
)"),"#REF!")</f>
        <v>#REF!</v>
      </c>
      <c r="Y909" s="4" t="str">
        <f t="shared" si="2"/>
        <v/>
      </c>
      <c r="Z909" s="4" t="str">
        <f>IFERROR(__xludf.DUMMYFUNCTION("IFERROR(
  FILTER('CBK Students'!O:O, TRIM('CBK Students'!B:B) = TRIM(A909)),
  """"
)"),"#REF!")</f>
        <v>#REF!</v>
      </c>
      <c r="AA909" s="4" t="str">
        <f>IFERROR(__xludf.DUMMYFUNCTION("IFERROR(
  FILTER('CBK Students'!P:P, TRIM('CBK Students'!B:B) = TRIM(A909)),
  """"
)"),"#REF!")</f>
        <v>#REF!</v>
      </c>
      <c r="AB909" s="4" t="str">
        <f>IFERROR(__xludf.DUMMYFUNCTION("IFERROR(
  FILTER('CBK Students'!Q:Q, TRIM('CBK Students'!B:B) = TRIM(A909)),
  """"
)"),"#REF!")</f>
        <v>#REF!</v>
      </c>
    </row>
    <row r="910" ht="18.75" customHeight="1">
      <c r="T910" s="240" t="str">
        <f>IFERROR(__xludf.DUMMYFUNCTION("IFERROR(
  FILTER('CBK Students'!F:F, TRIM('CBK Students'!B:B) = TRIM(A910)),
  """"
)"),"#REF!")</f>
        <v>#REF!</v>
      </c>
      <c r="U910" s="240" t="str">
        <f>IFERROR(__xludf.DUMMYFUNCTION("IFERROR(
  FILTER('CBK Students'!H:H, TRIM('CBK Students'!B:B) = TRIM(A910)),
  """"
)"),"#REF!")</f>
        <v>#REF!</v>
      </c>
      <c r="V910" s="240" t="str">
        <f>IFERROR(__xludf.DUMMYFUNCTION("IFERROR(
  FILTER('CBK Students'!M:M, TRIM('CBK Students'!B:B) = TRIM(A910)),
  """"
)"),"#REF!")</f>
        <v>#REF!</v>
      </c>
      <c r="W910" s="240" t="str">
        <f t="shared" si="1"/>
        <v/>
      </c>
      <c r="X910" s="240" t="str">
        <f>IFERROR(__xludf.DUMMYFUNCTION("IFERROR(
  FILTER('CBK Students'!R:R, TRIM('CBK Students'!B:B) = TRIM(A910)),
  """"
)"),"#REF!")</f>
        <v>#REF!</v>
      </c>
      <c r="Y910" s="4" t="str">
        <f t="shared" si="2"/>
        <v/>
      </c>
      <c r="Z910" s="4" t="str">
        <f>IFERROR(__xludf.DUMMYFUNCTION("IFERROR(
  FILTER('CBK Students'!O:O, TRIM('CBK Students'!B:B) = TRIM(A910)),
  """"
)"),"#REF!")</f>
        <v>#REF!</v>
      </c>
      <c r="AA910" s="4" t="str">
        <f>IFERROR(__xludf.DUMMYFUNCTION("IFERROR(
  FILTER('CBK Students'!P:P, TRIM('CBK Students'!B:B) = TRIM(A910)),
  """"
)"),"#REF!")</f>
        <v>#REF!</v>
      </c>
      <c r="AB910" s="4" t="str">
        <f>IFERROR(__xludf.DUMMYFUNCTION("IFERROR(
  FILTER('CBK Students'!Q:Q, TRIM('CBK Students'!B:B) = TRIM(A910)),
  """"
)"),"#REF!")</f>
        <v>#REF!</v>
      </c>
    </row>
    <row r="911" ht="18.75" customHeight="1">
      <c r="T911" s="240" t="str">
        <f>IFERROR(__xludf.DUMMYFUNCTION("IFERROR(
  FILTER('CBK Students'!F:F, TRIM('CBK Students'!B:B) = TRIM(A911)),
  """"
)"),"#REF!")</f>
        <v>#REF!</v>
      </c>
      <c r="U911" s="240" t="str">
        <f>IFERROR(__xludf.DUMMYFUNCTION("IFERROR(
  FILTER('CBK Students'!H:H, TRIM('CBK Students'!B:B) = TRIM(A911)),
  """"
)"),"#REF!")</f>
        <v>#REF!</v>
      </c>
      <c r="V911" s="240" t="str">
        <f>IFERROR(__xludf.DUMMYFUNCTION("IFERROR(
  FILTER('CBK Students'!M:M, TRIM('CBK Students'!B:B) = TRIM(A911)),
  """"
)"),"#REF!")</f>
        <v>#REF!</v>
      </c>
      <c r="W911" s="240" t="str">
        <f t="shared" si="1"/>
        <v/>
      </c>
      <c r="X911" s="240" t="str">
        <f>IFERROR(__xludf.DUMMYFUNCTION("IFERROR(
  FILTER('CBK Students'!R:R, TRIM('CBK Students'!B:B) = TRIM(A911)),
  """"
)"),"#REF!")</f>
        <v>#REF!</v>
      </c>
      <c r="Y911" s="4" t="str">
        <f t="shared" si="2"/>
        <v/>
      </c>
      <c r="Z911" s="4" t="str">
        <f>IFERROR(__xludf.DUMMYFUNCTION("IFERROR(
  FILTER('CBK Students'!O:O, TRIM('CBK Students'!B:B) = TRIM(A911)),
  """"
)"),"#REF!")</f>
        <v>#REF!</v>
      </c>
      <c r="AA911" s="4" t="str">
        <f>IFERROR(__xludf.DUMMYFUNCTION("IFERROR(
  FILTER('CBK Students'!P:P, TRIM('CBK Students'!B:B) = TRIM(A911)),
  """"
)"),"#REF!")</f>
        <v>#REF!</v>
      </c>
      <c r="AB911" s="4" t="str">
        <f>IFERROR(__xludf.DUMMYFUNCTION("IFERROR(
  FILTER('CBK Students'!Q:Q, TRIM('CBK Students'!B:B) = TRIM(A911)),
  """"
)"),"#REF!")</f>
        <v>#REF!</v>
      </c>
    </row>
    <row r="912" ht="18.75" customHeight="1">
      <c r="T912" s="240" t="str">
        <f>IFERROR(__xludf.DUMMYFUNCTION("IFERROR(
  FILTER('CBK Students'!F:F, TRIM('CBK Students'!B:B) = TRIM(A912)),
  """"
)"),"#REF!")</f>
        <v>#REF!</v>
      </c>
      <c r="U912" s="240" t="str">
        <f>IFERROR(__xludf.DUMMYFUNCTION("IFERROR(
  FILTER('CBK Students'!H:H, TRIM('CBK Students'!B:B) = TRIM(A912)),
  """"
)"),"#REF!")</f>
        <v>#REF!</v>
      </c>
      <c r="V912" s="240" t="str">
        <f>IFERROR(__xludf.DUMMYFUNCTION("IFERROR(
  FILTER('CBK Students'!M:M, TRIM('CBK Students'!B:B) = TRIM(A912)),
  """"
)"),"#REF!")</f>
        <v>#REF!</v>
      </c>
      <c r="W912" s="240" t="str">
        <f t="shared" si="1"/>
        <v/>
      </c>
      <c r="X912" s="240" t="str">
        <f>IFERROR(__xludf.DUMMYFUNCTION("IFERROR(
  FILTER('CBK Students'!R:R, TRIM('CBK Students'!B:B) = TRIM(A912)),
  """"
)"),"#REF!")</f>
        <v>#REF!</v>
      </c>
      <c r="Y912" s="4" t="str">
        <f t="shared" si="2"/>
        <v/>
      </c>
      <c r="Z912" s="4" t="str">
        <f>IFERROR(__xludf.DUMMYFUNCTION("IFERROR(
  FILTER('CBK Students'!O:O, TRIM('CBK Students'!B:B) = TRIM(A912)),
  """"
)"),"#REF!")</f>
        <v>#REF!</v>
      </c>
      <c r="AA912" s="4" t="str">
        <f>IFERROR(__xludf.DUMMYFUNCTION("IFERROR(
  FILTER('CBK Students'!P:P, TRIM('CBK Students'!B:B) = TRIM(A912)),
  """"
)"),"#REF!")</f>
        <v>#REF!</v>
      </c>
      <c r="AB912" s="4" t="str">
        <f>IFERROR(__xludf.DUMMYFUNCTION("IFERROR(
  FILTER('CBK Students'!Q:Q, TRIM('CBK Students'!B:B) = TRIM(A912)),
  """"
)"),"#REF!")</f>
        <v>#REF!</v>
      </c>
    </row>
    <row r="913" ht="18.75" customHeight="1">
      <c r="T913" s="240" t="str">
        <f>IFERROR(__xludf.DUMMYFUNCTION("IFERROR(
  FILTER('CBK Students'!F:F, TRIM('CBK Students'!B:B) = TRIM(A913)),
  """"
)"),"#REF!")</f>
        <v>#REF!</v>
      </c>
      <c r="U913" s="240" t="str">
        <f>IFERROR(__xludf.DUMMYFUNCTION("IFERROR(
  FILTER('CBK Students'!H:H, TRIM('CBK Students'!B:B) = TRIM(A913)),
  """"
)"),"#REF!")</f>
        <v>#REF!</v>
      </c>
      <c r="V913" s="240" t="str">
        <f>IFERROR(__xludf.DUMMYFUNCTION("IFERROR(
  FILTER('CBK Students'!M:M, TRIM('CBK Students'!B:B) = TRIM(A913)),
  """"
)"),"#REF!")</f>
        <v>#REF!</v>
      </c>
      <c r="W913" s="240" t="str">
        <f t="shared" si="1"/>
        <v/>
      </c>
      <c r="X913" s="240" t="str">
        <f>IFERROR(__xludf.DUMMYFUNCTION("IFERROR(
  FILTER('CBK Students'!R:R, TRIM('CBK Students'!B:B) = TRIM(A913)),
  """"
)"),"#REF!")</f>
        <v>#REF!</v>
      </c>
      <c r="Y913" s="4" t="str">
        <f t="shared" si="2"/>
        <v/>
      </c>
      <c r="Z913" s="4" t="str">
        <f>IFERROR(__xludf.DUMMYFUNCTION("IFERROR(
  FILTER('CBK Students'!O:O, TRIM('CBK Students'!B:B) = TRIM(A913)),
  """"
)"),"#REF!")</f>
        <v>#REF!</v>
      </c>
      <c r="AA913" s="4" t="str">
        <f>IFERROR(__xludf.DUMMYFUNCTION("IFERROR(
  FILTER('CBK Students'!P:P, TRIM('CBK Students'!B:B) = TRIM(A913)),
  """"
)"),"#REF!")</f>
        <v>#REF!</v>
      </c>
      <c r="AB913" s="4" t="str">
        <f>IFERROR(__xludf.DUMMYFUNCTION("IFERROR(
  FILTER('CBK Students'!Q:Q, TRIM('CBK Students'!B:B) = TRIM(A913)),
  """"
)"),"#REF!")</f>
        <v>#REF!</v>
      </c>
    </row>
    <row r="914" ht="18.75" customHeight="1">
      <c r="T914" s="240" t="str">
        <f>IFERROR(__xludf.DUMMYFUNCTION("IFERROR(
  FILTER('CBK Students'!F:F, TRIM('CBK Students'!B:B) = TRIM(A914)),
  """"
)"),"#REF!")</f>
        <v>#REF!</v>
      </c>
      <c r="U914" s="240" t="str">
        <f>IFERROR(__xludf.DUMMYFUNCTION("IFERROR(
  FILTER('CBK Students'!H:H, TRIM('CBK Students'!B:B) = TRIM(A914)),
  """"
)"),"#REF!")</f>
        <v>#REF!</v>
      </c>
      <c r="V914" s="240" t="str">
        <f>IFERROR(__xludf.DUMMYFUNCTION("IFERROR(
  FILTER('CBK Students'!M:M, TRIM('CBK Students'!B:B) = TRIM(A914)),
  """"
)"),"#REF!")</f>
        <v>#REF!</v>
      </c>
      <c r="W914" s="240" t="str">
        <f t="shared" si="1"/>
        <v/>
      </c>
      <c r="X914" s="240" t="str">
        <f>IFERROR(__xludf.DUMMYFUNCTION("IFERROR(
  FILTER('CBK Students'!R:R, TRIM('CBK Students'!B:B) = TRIM(A914)),
  """"
)"),"#REF!")</f>
        <v>#REF!</v>
      </c>
      <c r="Y914" s="4" t="str">
        <f t="shared" si="2"/>
        <v/>
      </c>
      <c r="Z914" s="4" t="str">
        <f>IFERROR(__xludf.DUMMYFUNCTION("IFERROR(
  FILTER('CBK Students'!O:O, TRIM('CBK Students'!B:B) = TRIM(A914)),
  """"
)"),"#REF!")</f>
        <v>#REF!</v>
      </c>
      <c r="AA914" s="4" t="str">
        <f>IFERROR(__xludf.DUMMYFUNCTION("IFERROR(
  FILTER('CBK Students'!P:P, TRIM('CBK Students'!B:B) = TRIM(A914)),
  """"
)"),"#REF!")</f>
        <v>#REF!</v>
      </c>
      <c r="AB914" s="4" t="str">
        <f>IFERROR(__xludf.DUMMYFUNCTION("IFERROR(
  FILTER('CBK Students'!Q:Q, TRIM('CBK Students'!B:B) = TRIM(A914)),
  """"
)"),"#REF!")</f>
        <v>#REF!</v>
      </c>
    </row>
    <row r="915" ht="18.75" customHeight="1">
      <c r="T915" s="240" t="str">
        <f>IFERROR(__xludf.DUMMYFUNCTION("IFERROR(
  FILTER('CBK Students'!F:F, TRIM('CBK Students'!B:B) = TRIM(A915)),
  """"
)"),"#REF!")</f>
        <v>#REF!</v>
      </c>
      <c r="U915" s="240" t="str">
        <f>IFERROR(__xludf.DUMMYFUNCTION("IFERROR(
  FILTER('CBK Students'!H:H, TRIM('CBK Students'!B:B) = TRIM(A915)),
  """"
)"),"#REF!")</f>
        <v>#REF!</v>
      </c>
      <c r="V915" s="240" t="str">
        <f>IFERROR(__xludf.DUMMYFUNCTION("IFERROR(
  FILTER('CBK Students'!M:M, TRIM('CBK Students'!B:B) = TRIM(A915)),
  """"
)"),"#REF!")</f>
        <v>#REF!</v>
      </c>
      <c r="W915" s="240" t="str">
        <f t="shared" si="1"/>
        <v/>
      </c>
      <c r="X915" s="240" t="str">
        <f>IFERROR(__xludf.DUMMYFUNCTION("IFERROR(
  FILTER('CBK Students'!R:R, TRIM('CBK Students'!B:B) = TRIM(A915)),
  """"
)"),"#REF!")</f>
        <v>#REF!</v>
      </c>
      <c r="Y915" s="4" t="str">
        <f t="shared" si="2"/>
        <v/>
      </c>
      <c r="Z915" s="4" t="str">
        <f>IFERROR(__xludf.DUMMYFUNCTION("IFERROR(
  FILTER('CBK Students'!O:O, TRIM('CBK Students'!B:B) = TRIM(A915)),
  """"
)"),"#REF!")</f>
        <v>#REF!</v>
      </c>
      <c r="AA915" s="4" t="str">
        <f>IFERROR(__xludf.DUMMYFUNCTION("IFERROR(
  FILTER('CBK Students'!P:P, TRIM('CBK Students'!B:B) = TRIM(A915)),
  """"
)"),"#REF!")</f>
        <v>#REF!</v>
      </c>
      <c r="AB915" s="4" t="str">
        <f>IFERROR(__xludf.DUMMYFUNCTION("IFERROR(
  FILTER('CBK Students'!Q:Q, TRIM('CBK Students'!B:B) = TRIM(A915)),
  """"
)"),"#REF!")</f>
        <v>#REF!</v>
      </c>
    </row>
    <row r="916" ht="18.75" customHeight="1">
      <c r="T916" s="240" t="str">
        <f>IFERROR(__xludf.DUMMYFUNCTION("IFERROR(
  FILTER('CBK Students'!F:F, TRIM('CBK Students'!B:B) = TRIM(A916)),
  """"
)"),"#REF!")</f>
        <v>#REF!</v>
      </c>
      <c r="U916" s="240" t="str">
        <f>IFERROR(__xludf.DUMMYFUNCTION("IFERROR(
  FILTER('CBK Students'!H:H, TRIM('CBK Students'!B:B) = TRIM(A916)),
  """"
)"),"#REF!")</f>
        <v>#REF!</v>
      </c>
      <c r="V916" s="240" t="str">
        <f>IFERROR(__xludf.DUMMYFUNCTION("IFERROR(
  FILTER('CBK Students'!M:M, TRIM('CBK Students'!B:B) = TRIM(A916)),
  """"
)"),"#REF!")</f>
        <v>#REF!</v>
      </c>
      <c r="W916" s="240" t="str">
        <f t="shared" si="1"/>
        <v/>
      </c>
      <c r="X916" s="240" t="str">
        <f>IFERROR(__xludf.DUMMYFUNCTION("IFERROR(
  FILTER('CBK Students'!R:R, TRIM('CBK Students'!B:B) = TRIM(A916)),
  """"
)"),"#REF!")</f>
        <v>#REF!</v>
      </c>
      <c r="Y916" s="4" t="str">
        <f t="shared" si="2"/>
        <v/>
      </c>
      <c r="Z916" s="4" t="str">
        <f>IFERROR(__xludf.DUMMYFUNCTION("IFERROR(
  FILTER('CBK Students'!O:O, TRIM('CBK Students'!B:B) = TRIM(A916)),
  """"
)"),"#REF!")</f>
        <v>#REF!</v>
      </c>
      <c r="AA916" s="4" t="str">
        <f>IFERROR(__xludf.DUMMYFUNCTION("IFERROR(
  FILTER('CBK Students'!P:P, TRIM('CBK Students'!B:B) = TRIM(A916)),
  """"
)"),"#REF!")</f>
        <v>#REF!</v>
      </c>
      <c r="AB916" s="4" t="str">
        <f>IFERROR(__xludf.DUMMYFUNCTION("IFERROR(
  FILTER('CBK Students'!Q:Q, TRIM('CBK Students'!B:B) = TRIM(A916)),
  """"
)"),"#REF!")</f>
        <v>#REF!</v>
      </c>
    </row>
    <row r="917" ht="18.75" customHeight="1">
      <c r="T917" s="240" t="str">
        <f>IFERROR(__xludf.DUMMYFUNCTION("IFERROR(
  FILTER('CBK Students'!F:F, TRIM('CBK Students'!B:B) = TRIM(A917)),
  """"
)"),"#REF!")</f>
        <v>#REF!</v>
      </c>
      <c r="U917" s="240" t="str">
        <f>IFERROR(__xludf.DUMMYFUNCTION("IFERROR(
  FILTER('CBK Students'!H:H, TRIM('CBK Students'!B:B) = TRIM(A917)),
  """"
)"),"#REF!")</f>
        <v>#REF!</v>
      </c>
      <c r="V917" s="240" t="str">
        <f>IFERROR(__xludf.DUMMYFUNCTION("IFERROR(
  FILTER('CBK Students'!M:M, TRIM('CBK Students'!B:B) = TRIM(A917)),
  """"
)"),"#REF!")</f>
        <v>#REF!</v>
      </c>
      <c r="W917" s="240" t="str">
        <f t="shared" si="1"/>
        <v/>
      </c>
      <c r="X917" s="240" t="str">
        <f>IFERROR(__xludf.DUMMYFUNCTION("IFERROR(
  FILTER('CBK Students'!R:R, TRIM('CBK Students'!B:B) = TRIM(A917)),
  """"
)"),"#REF!")</f>
        <v>#REF!</v>
      </c>
      <c r="Y917" s="4" t="str">
        <f t="shared" si="2"/>
        <v/>
      </c>
      <c r="Z917" s="4" t="str">
        <f>IFERROR(__xludf.DUMMYFUNCTION("IFERROR(
  FILTER('CBK Students'!O:O, TRIM('CBK Students'!B:B) = TRIM(A917)),
  """"
)"),"#REF!")</f>
        <v>#REF!</v>
      </c>
      <c r="AA917" s="4" t="str">
        <f>IFERROR(__xludf.DUMMYFUNCTION("IFERROR(
  FILTER('CBK Students'!P:P, TRIM('CBK Students'!B:B) = TRIM(A917)),
  """"
)"),"#REF!")</f>
        <v>#REF!</v>
      </c>
      <c r="AB917" s="4" t="str">
        <f>IFERROR(__xludf.DUMMYFUNCTION("IFERROR(
  FILTER('CBK Students'!Q:Q, TRIM('CBK Students'!B:B) = TRIM(A917)),
  """"
)"),"#REF!")</f>
        <v>#REF!</v>
      </c>
    </row>
    <row r="918" ht="18.75" customHeight="1">
      <c r="T918" s="240" t="str">
        <f>IFERROR(__xludf.DUMMYFUNCTION("IFERROR(
  FILTER('CBK Students'!F:F, TRIM('CBK Students'!B:B) = TRIM(A918)),
  """"
)"),"#REF!")</f>
        <v>#REF!</v>
      </c>
      <c r="U918" s="240" t="str">
        <f>IFERROR(__xludf.DUMMYFUNCTION("IFERROR(
  FILTER('CBK Students'!H:H, TRIM('CBK Students'!B:B) = TRIM(A918)),
  """"
)"),"#REF!")</f>
        <v>#REF!</v>
      </c>
      <c r="V918" s="240" t="str">
        <f>IFERROR(__xludf.DUMMYFUNCTION("IFERROR(
  FILTER('CBK Students'!M:M, TRIM('CBK Students'!B:B) = TRIM(A918)),
  """"
)"),"#REF!")</f>
        <v>#REF!</v>
      </c>
      <c r="W918" s="240" t="str">
        <f t="shared" si="1"/>
        <v/>
      </c>
      <c r="X918" s="240" t="str">
        <f>IFERROR(__xludf.DUMMYFUNCTION("IFERROR(
  FILTER('CBK Students'!R:R, TRIM('CBK Students'!B:B) = TRIM(A918)),
  """"
)"),"#REF!")</f>
        <v>#REF!</v>
      </c>
      <c r="Y918" s="4" t="str">
        <f t="shared" si="2"/>
        <v/>
      </c>
      <c r="Z918" s="4" t="str">
        <f>IFERROR(__xludf.DUMMYFUNCTION("IFERROR(
  FILTER('CBK Students'!O:O, TRIM('CBK Students'!B:B) = TRIM(A918)),
  """"
)"),"#REF!")</f>
        <v>#REF!</v>
      </c>
      <c r="AA918" s="4" t="str">
        <f>IFERROR(__xludf.DUMMYFUNCTION("IFERROR(
  FILTER('CBK Students'!P:P, TRIM('CBK Students'!B:B) = TRIM(A918)),
  """"
)"),"#REF!")</f>
        <v>#REF!</v>
      </c>
      <c r="AB918" s="4" t="str">
        <f>IFERROR(__xludf.DUMMYFUNCTION("IFERROR(
  FILTER('CBK Students'!Q:Q, TRIM('CBK Students'!B:B) = TRIM(A918)),
  """"
)"),"#REF!")</f>
        <v>#REF!</v>
      </c>
    </row>
    <row r="919" ht="18.75" customHeight="1">
      <c r="T919" s="240" t="str">
        <f>IFERROR(__xludf.DUMMYFUNCTION("IFERROR(
  FILTER('CBK Students'!F:F, TRIM('CBK Students'!B:B) = TRIM(A919)),
  """"
)"),"#REF!")</f>
        <v>#REF!</v>
      </c>
      <c r="U919" s="240" t="str">
        <f>IFERROR(__xludf.DUMMYFUNCTION("IFERROR(
  FILTER('CBK Students'!H:H, TRIM('CBK Students'!B:B) = TRIM(A919)),
  """"
)"),"#REF!")</f>
        <v>#REF!</v>
      </c>
      <c r="V919" s="240" t="str">
        <f>IFERROR(__xludf.DUMMYFUNCTION("IFERROR(
  FILTER('CBK Students'!M:M, TRIM('CBK Students'!B:B) = TRIM(A919)),
  """"
)"),"#REF!")</f>
        <v>#REF!</v>
      </c>
      <c r="W919" s="240" t="str">
        <f t="shared" si="1"/>
        <v/>
      </c>
      <c r="X919" s="240" t="str">
        <f>IFERROR(__xludf.DUMMYFUNCTION("IFERROR(
  FILTER('CBK Students'!R:R, TRIM('CBK Students'!B:B) = TRIM(A919)),
  """"
)"),"#REF!")</f>
        <v>#REF!</v>
      </c>
      <c r="Y919" s="4" t="str">
        <f t="shared" si="2"/>
        <v/>
      </c>
      <c r="Z919" s="4" t="str">
        <f>IFERROR(__xludf.DUMMYFUNCTION("IFERROR(
  FILTER('CBK Students'!O:O, TRIM('CBK Students'!B:B) = TRIM(A919)),
  """"
)"),"#REF!")</f>
        <v>#REF!</v>
      </c>
      <c r="AA919" s="4" t="str">
        <f>IFERROR(__xludf.DUMMYFUNCTION("IFERROR(
  FILTER('CBK Students'!P:P, TRIM('CBK Students'!B:B) = TRIM(A919)),
  """"
)"),"#REF!")</f>
        <v>#REF!</v>
      </c>
      <c r="AB919" s="4" t="str">
        <f>IFERROR(__xludf.DUMMYFUNCTION("IFERROR(
  FILTER('CBK Students'!Q:Q, TRIM('CBK Students'!B:B) = TRIM(A919)),
  """"
)"),"#REF!")</f>
        <v>#REF!</v>
      </c>
    </row>
    <row r="920" ht="18.75" customHeight="1">
      <c r="T920" s="240" t="str">
        <f>IFERROR(__xludf.DUMMYFUNCTION("IFERROR(
  FILTER('CBK Students'!F:F, TRIM('CBK Students'!B:B) = TRIM(A920)),
  """"
)"),"#REF!")</f>
        <v>#REF!</v>
      </c>
      <c r="U920" s="240" t="str">
        <f>IFERROR(__xludf.DUMMYFUNCTION("IFERROR(
  FILTER('CBK Students'!H:H, TRIM('CBK Students'!B:B) = TRIM(A920)),
  """"
)"),"#REF!")</f>
        <v>#REF!</v>
      </c>
      <c r="V920" s="240" t="str">
        <f>IFERROR(__xludf.DUMMYFUNCTION("IFERROR(
  FILTER('CBK Students'!M:M, TRIM('CBK Students'!B:B) = TRIM(A920)),
  """"
)"),"#REF!")</f>
        <v>#REF!</v>
      </c>
      <c r="W920" s="240" t="str">
        <f t="shared" si="1"/>
        <v/>
      </c>
      <c r="X920" s="240" t="str">
        <f>IFERROR(__xludf.DUMMYFUNCTION("IFERROR(
  FILTER('CBK Students'!R:R, TRIM('CBK Students'!B:B) = TRIM(A920)),
  """"
)"),"#REF!")</f>
        <v>#REF!</v>
      </c>
      <c r="Y920" s="4" t="str">
        <f t="shared" si="2"/>
        <v/>
      </c>
      <c r="Z920" s="4" t="str">
        <f>IFERROR(__xludf.DUMMYFUNCTION("IFERROR(
  FILTER('CBK Students'!O:O, TRIM('CBK Students'!B:B) = TRIM(A920)),
  """"
)"),"#REF!")</f>
        <v>#REF!</v>
      </c>
      <c r="AA920" s="4" t="str">
        <f>IFERROR(__xludf.DUMMYFUNCTION("IFERROR(
  FILTER('CBK Students'!P:P, TRIM('CBK Students'!B:B) = TRIM(A920)),
  """"
)"),"#REF!")</f>
        <v>#REF!</v>
      </c>
      <c r="AB920" s="4" t="str">
        <f>IFERROR(__xludf.DUMMYFUNCTION("IFERROR(
  FILTER('CBK Students'!Q:Q, TRIM('CBK Students'!B:B) = TRIM(A920)),
  """"
)"),"#REF!")</f>
        <v>#REF!</v>
      </c>
    </row>
    <row r="921" ht="18.75" customHeight="1">
      <c r="T921" s="240" t="str">
        <f>IFERROR(__xludf.DUMMYFUNCTION("IFERROR(
  FILTER('CBK Students'!F:F, TRIM('CBK Students'!B:B) = TRIM(A921)),
  """"
)"),"#REF!")</f>
        <v>#REF!</v>
      </c>
      <c r="U921" s="240" t="str">
        <f>IFERROR(__xludf.DUMMYFUNCTION("IFERROR(
  FILTER('CBK Students'!H:H, TRIM('CBK Students'!B:B) = TRIM(A921)),
  """"
)"),"#REF!")</f>
        <v>#REF!</v>
      </c>
      <c r="V921" s="240" t="str">
        <f>IFERROR(__xludf.DUMMYFUNCTION("IFERROR(
  FILTER('CBK Students'!M:M, TRIM('CBK Students'!B:B) = TRIM(A921)),
  """"
)"),"#REF!")</f>
        <v>#REF!</v>
      </c>
      <c r="W921" s="240" t="str">
        <f t="shared" si="1"/>
        <v/>
      </c>
      <c r="X921" s="240" t="str">
        <f>IFERROR(__xludf.DUMMYFUNCTION("IFERROR(
  FILTER('CBK Students'!R:R, TRIM('CBK Students'!B:B) = TRIM(A921)),
  """"
)"),"#REF!")</f>
        <v>#REF!</v>
      </c>
      <c r="Y921" s="4" t="str">
        <f t="shared" si="2"/>
        <v/>
      </c>
      <c r="Z921" s="4" t="str">
        <f>IFERROR(__xludf.DUMMYFUNCTION("IFERROR(
  FILTER('CBK Students'!O:O, TRIM('CBK Students'!B:B) = TRIM(A921)),
  """"
)"),"#REF!")</f>
        <v>#REF!</v>
      </c>
      <c r="AA921" s="4" t="str">
        <f>IFERROR(__xludf.DUMMYFUNCTION("IFERROR(
  FILTER('CBK Students'!P:P, TRIM('CBK Students'!B:B) = TRIM(A921)),
  """"
)"),"#REF!")</f>
        <v>#REF!</v>
      </c>
      <c r="AB921" s="4" t="str">
        <f>IFERROR(__xludf.DUMMYFUNCTION("IFERROR(
  FILTER('CBK Students'!Q:Q, TRIM('CBK Students'!B:B) = TRIM(A921)),
  """"
)"),"#REF!")</f>
        <v>#REF!</v>
      </c>
    </row>
    <row r="922" ht="18.75" customHeight="1">
      <c r="T922" s="240" t="str">
        <f>IFERROR(__xludf.DUMMYFUNCTION("IFERROR(
  FILTER('CBK Students'!F:F, TRIM('CBK Students'!B:B) = TRIM(A922)),
  """"
)"),"#REF!")</f>
        <v>#REF!</v>
      </c>
      <c r="U922" s="240" t="str">
        <f>IFERROR(__xludf.DUMMYFUNCTION("IFERROR(
  FILTER('CBK Students'!H:H, TRIM('CBK Students'!B:B) = TRIM(A922)),
  """"
)"),"#REF!")</f>
        <v>#REF!</v>
      </c>
      <c r="V922" s="240" t="str">
        <f>IFERROR(__xludf.DUMMYFUNCTION("IFERROR(
  FILTER('CBK Students'!M:M, TRIM('CBK Students'!B:B) = TRIM(A922)),
  """"
)"),"#REF!")</f>
        <v>#REF!</v>
      </c>
      <c r="W922" s="240" t="str">
        <f t="shared" si="1"/>
        <v/>
      </c>
      <c r="X922" s="240" t="str">
        <f>IFERROR(__xludf.DUMMYFUNCTION("IFERROR(
  FILTER('CBK Students'!R:R, TRIM('CBK Students'!B:B) = TRIM(A922)),
  """"
)"),"#REF!")</f>
        <v>#REF!</v>
      </c>
      <c r="Y922" s="4" t="str">
        <f t="shared" si="2"/>
        <v/>
      </c>
      <c r="Z922" s="4" t="str">
        <f>IFERROR(__xludf.DUMMYFUNCTION("IFERROR(
  FILTER('CBK Students'!O:O, TRIM('CBK Students'!B:B) = TRIM(A922)),
  """"
)"),"#REF!")</f>
        <v>#REF!</v>
      </c>
      <c r="AA922" s="4" t="str">
        <f>IFERROR(__xludf.DUMMYFUNCTION("IFERROR(
  FILTER('CBK Students'!P:P, TRIM('CBK Students'!B:B) = TRIM(A922)),
  """"
)"),"#REF!")</f>
        <v>#REF!</v>
      </c>
      <c r="AB922" s="4" t="str">
        <f>IFERROR(__xludf.DUMMYFUNCTION("IFERROR(
  FILTER('CBK Students'!Q:Q, TRIM('CBK Students'!B:B) = TRIM(A922)),
  """"
)"),"#REF!")</f>
        <v>#REF!</v>
      </c>
    </row>
    <row r="923" ht="18.75" customHeight="1">
      <c r="T923" s="240" t="str">
        <f>IFERROR(__xludf.DUMMYFUNCTION("IFERROR(
  FILTER('CBK Students'!F:F, TRIM('CBK Students'!B:B) = TRIM(A923)),
  """"
)"),"#REF!")</f>
        <v>#REF!</v>
      </c>
      <c r="U923" s="240" t="str">
        <f>IFERROR(__xludf.DUMMYFUNCTION("IFERROR(
  FILTER('CBK Students'!H:H, TRIM('CBK Students'!B:B) = TRIM(A923)),
  """"
)"),"#REF!")</f>
        <v>#REF!</v>
      </c>
      <c r="V923" s="240" t="str">
        <f>IFERROR(__xludf.DUMMYFUNCTION("IFERROR(
  FILTER('CBK Students'!M:M, TRIM('CBK Students'!B:B) = TRIM(A923)),
  """"
)"),"#REF!")</f>
        <v>#REF!</v>
      </c>
      <c r="W923" s="240" t="str">
        <f t="shared" si="1"/>
        <v/>
      </c>
      <c r="X923" s="240" t="str">
        <f>IFERROR(__xludf.DUMMYFUNCTION("IFERROR(
  FILTER('CBK Students'!R:R, TRIM('CBK Students'!B:B) = TRIM(A923)),
  """"
)"),"#REF!")</f>
        <v>#REF!</v>
      </c>
      <c r="Y923" s="4" t="str">
        <f t="shared" si="2"/>
        <v/>
      </c>
      <c r="Z923" s="4" t="str">
        <f>IFERROR(__xludf.DUMMYFUNCTION("IFERROR(
  FILTER('CBK Students'!O:O, TRIM('CBK Students'!B:B) = TRIM(A923)),
  """"
)"),"#REF!")</f>
        <v>#REF!</v>
      </c>
      <c r="AA923" s="4" t="str">
        <f>IFERROR(__xludf.DUMMYFUNCTION("IFERROR(
  FILTER('CBK Students'!P:P, TRIM('CBK Students'!B:B) = TRIM(A923)),
  """"
)"),"#REF!")</f>
        <v>#REF!</v>
      </c>
      <c r="AB923" s="4" t="str">
        <f>IFERROR(__xludf.DUMMYFUNCTION("IFERROR(
  FILTER('CBK Students'!Q:Q, TRIM('CBK Students'!B:B) = TRIM(A923)),
  """"
)"),"#REF!")</f>
        <v>#REF!</v>
      </c>
    </row>
    <row r="924" ht="18.75" customHeight="1">
      <c r="T924" s="240" t="str">
        <f>IFERROR(__xludf.DUMMYFUNCTION("IFERROR(
  FILTER('CBK Students'!F:F, TRIM('CBK Students'!B:B) = TRIM(A924)),
  """"
)"),"#REF!")</f>
        <v>#REF!</v>
      </c>
      <c r="U924" s="240" t="str">
        <f>IFERROR(__xludf.DUMMYFUNCTION("IFERROR(
  FILTER('CBK Students'!H:H, TRIM('CBK Students'!B:B) = TRIM(A924)),
  """"
)"),"#REF!")</f>
        <v>#REF!</v>
      </c>
      <c r="V924" s="240" t="str">
        <f>IFERROR(__xludf.DUMMYFUNCTION("IFERROR(
  FILTER('CBK Students'!M:M, TRIM('CBK Students'!B:B) = TRIM(A924)),
  """"
)"),"#REF!")</f>
        <v>#REF!</v>
      </c>
      <c r="W924" s="240" t="str">
        <f t="shared" si="1"/>
        <v/>
      </c>
      <c r="X924" s="240" t="str">
        <f>IFERROR(__xludf.DUMMYFUNCTION("IFERROR(
  FILTER('CBK Students'!R:R, TRIM('CBK Students'!B:B) = TRIM(A924)),
  """"
)"),"#REF!")</f>
        <v>#REF!</v>
      </c>
      <c r="Y924" s="4" t="str">
        <f t="shared" si="2"/>
        <v/>
      </c>
      <c r="Z924" s="4" t="str">
        <f>IFERROR(__xludf.DUMMYFUNCTION("IFERROR(
  FILTER('CBK Students'!O:O, TRIM('CBK Students'!B:B) = TRIM(A924)),
  """"
)"),"#REF!")</f>
        <v>#REF!</v>
      </c>
      <c r="AA924" s="4" t="str">
        <f>IFERROR(__xludf.DUMMYFUNCTION("IFERROR(
  FILTER('CBK Students'!P:P, TRIM('CBK Students'!B:B) = TRIM(A924)),
  """"
)"),"#REF!")</f>
        <v>#REF!</v>
      </c>
      <c r="AB924" s="4" t="str">
        <f>IFERROR(__xludf.DUMMYFUNCTION("IFERROR(
  FILTER('CBK Students'!Q:Q, TRIM('CBK Students'!B:B) = TRIM(A924)),
  """"
)"),"#REF!")</f>
        <v>#REF!</v>
      </c>
    </row>
    <row r="925" ht="18.75" customHeight="1">
      <c r="T925" s="240" t="str">
        <f>IFERROR(__xludf.DUMMYFUNCTION("IFERROR(
  FILTER('CBK Students'!F:F, TRIM('CBK Students'!B:B) = TRIM(A925)),
  """"
)"),"#REF!")</f>
        <v>#REF!</v>
      </c>
      <c r="U925" s="240" t="str">
        <f>IFERROR(__xludf.DUMMYFUNCTION("IFERROR(
  FILTER('CBK Students'!H:H, TRIM('CBK Students'!B:B) = TRIM(A925)),
  """"
)"),"#REF!")</f>
        <v>#REF!</v>
      </c>
      <c r="V925" s="240" t="str">
        <f>IFERROR(__xludf.DUMMYFUNCTION("IFERROR(
  FILTER('CBK Students'!M:M, TRIM('CBK Students'!B:B) = TRIM(A925)),
  """"
)"),"#REF!")</f>
        <v>#REF!</v>
      </c>
      <c r="W925" s="240" t="str">
        <f t="shared" si="1"/>
        <v/>
      </c>
      <c r="X925" s="240" t="str">
        <f>IFERROR(__xludf.DUMMYFUNCTION("IFERROR(
  FILTER('CBK Students'!R:R, TRIM('CBK Students'!B:B) = TRIM(A925)),
  """"
)"),"#REF!")</f>
        <v>#REF!</v>
      </c>
      <c r="Y925" s="4" t="str">
        <f t="shared" si="2"/>
        <v/>
      </c>
      <c r="Z925" s="4" t="str">
        <f>IFERROR(__xludf.DUMMYFUNCTION("IFERROR(
  FILTER('CBK Students'!O:O, TRIM('CBK Students'!B:B) = TRIM(A925)),
  """"
)"),"#REF!")</f>
        <v>#REF!</v>
      </c>
      <c r="AA925" s="4" t="str">
        <f>IFERROR(__xludf.DUMMYFUNCTION("IFERROR(
  FILTER('CBK Students'!P:P, TRIM('CBK Students'!B:B) = TRIM(A925)),
  """"
)"),"#REF!")</f>
        <v>#REF!</v>
      </c>
      <c r="AB925" s="4" t="str">
        <f>IFERROR(__xludf.DUMMYFUNCTION("IFERROR(
  FILTER('CBK Students'!Q:Q, TRIM('CBK Students'!B:B) = TRIM(A925)),
  """"
)"),"#REF!")</f>
        <v>#REF!</v>
      </c>
    </row>
    <row r="926" ht="18.75" customHeight="1">
      <c r="T926" s="240" t="str">
        <f>IFERROR(__xludf.DUMMYFUNCTION("IFERROR(
  FILTER('CBK Students'!F:F, TRIM('CBK Students'!B:B) = TRIM(A926)),
  """"
)"),"#REF!")</f>
        <v>#REF!</v>
      </c>
      <c r="U926" s="240" t="str">
        <f>IFERROR(__xludf.DUMMYFUNCTION("IFERROR(
  FILTER('CBK Students'!H:H, TRIM('CBK Students'!B:B) = TRIM(A926)),
  """"
)"),"#REF!")</f>
        <v>#REF!</v>
      </c>
      <c r="V926" s="240" t="str">
        <f>IFERROR(__xludf.DUMMYFUNCTION("IFERROR(
  FILTER('CBK Students'!M:M, TRIM('CBK Students'!B:B) = TRIM(A926)),
  """"
)"),"#REF!")</f>
        <v>#REF!</v>
      </c>
      <c r="W926" s="240" t="str">
        <f t="shared" si="1"/>
        <v/>
      </c>
      <c r="X926" s="240" t="str">
        <f>IFERROR(__xludf.DUMMYFUNCTION("IFERROR(
  FILTER('CBK Students'!R:R, TRIM('CBK Students'!B:B) = TRIM(A926)),
  """"
)"),"#REF!")</f>
        <v>#REF!</v>
      </c>
      <c r="Y926" s="4" t="str">
        <f t="shared" si="2"/>
        <v/>
      </c>
      <c r="Z926" s="4" t="str">
        <f>IFERROR(__xludf.DUMMYFUNCTION("IFERROR(
  FILTER('CBK Students'!O:O, TRIM('CBK Students'!B:B) = TRIM(A926)),
  """"
)"),"#REF!")</f>
        <v>#REF!</v>
      </c>
      <c r="AA926" s="4" t="str">
        <f>IFERROR(__xludf.DUMMYFUNCTION("IFERROR(
  FILTER('CBK Students'!P:P, TRIM('CBK Students'!B:B) = TRIM(A926)),
  """"
)"),"#REF!")</f>
        <v>#REF!</v>
      </c>
      <c r="AB926" s="4" t="str">
        <f>IFERROR(__xludf.DUMMYFUNCTION("IFERROR(
  FILTER('CBK Students'!Q:Q, TRIM('CBK Students'!B:B) = TRIM(A926)),
  """"
)"),"#REF!")</f>
        <v>#REF!</v>
      </c>
    </row>
    <row r="927" ht="18.75" customHeight="1">
      <c r="T927" s="240" t="str">
        <f>IFERROR(__xludf.DUMMYFUNCTION("IFERROR(
  FILTER('CBK Students'!F:F, TRIM('CBK Students'!B:B) = TRIM(A927)),
  """"
)"),"#REF!")</f>
        <v>#REF!</v>
      </c>
      <c r="U927" s="240" t="str">
        <f>IFERROR(__xludf.DUMMYFUNCTION("IFERROR(
  FILTER('CBK Students'!H:H, TRIM('CBK Students'!B:B) = TRIM(A927)),
  """"
)"),"#REF!")</f>
        <v>#REF!</v>
      </c>
      <c r="V927" s="240" t="str">
        <f>IFERROR(__xludf.DUMMYFUNCTION("IFERROR(
  FILTER('CBK Students'!M:M, TRIM('CBK Students'!B:B) = TRIM(A927)),
  """"
)"),"#REF!")</f>
        <v>#REF!</v>
      </c>
      <c r="W927" s="240" t="str">
        <f t="shared" si="1"/>
        <v/>
      </c>
      <c r="X927" s="240" t="str">
        <f>IFERROR(__xludf.DUMMYFUNCTION("IFERROR(
  FILTER('CBK Students'!R:R, TRIM('CBK Students'!B:B) = TRIM(A927)),
  """"
)"),"#REF!")</f>
        <v>#REF!</v>
      </c>
      <c r="Y927" s="4" t="str">
        <f t="shared" si="2"/>
        <v/>
      </c>
      <c r="Z927" s="4" t="str">
        <f>IFERROR(__xludf.DUMMYFUNCTION("IFERROR(
  FILTER('CBK Students'!O:O, TRIM('CBK Students'!B:B) = TRIM(A927)),
  """"
)"),"#REF!")</f>
        <v>#REF!</v>
      </c>
      <c r="AA927" s="4" t="str">
        <f>IFERROR(__xludf.DUMMYFUNCTION("IFERROR(
  FILTER('CBK Students'!P:P, TRIM('CBK Students'!B:B) = TRIM(A927)),
  """"
)"),"#REF!")</f>
        <v>#REF!</v>
      </c>
      <c r="AB927" s="4" t="str">
        <f>IFERROR(__xludf.DUMMYFUNCTION("IFERROR(
  FILTER('CBK Students'!Q:Q, TRIM('CBK Students'!B:B) = TRIM(A927)),
  """"
)"),"#REF!")</f>
        <v>#REF!</v>
      </c>
    </row>
    <row r="928" ht="18.75" customHeight="1">
      <c r="T928" s="240" t="str">
        <f>IFERROR(__xludf.DUMMYFUNCTION("IFERROR(
  FILTER('CBK Students'!F:F, TRIM('CBK Students'!B:B) = TRIM(A928)),
  """"
)"),"#REF!")</f>
        <v>#REF!</v>
      </c>
      <c r="U928" s="240" t="str">
        <f>IFERROR(__xludf.DUMMYFUNCTION("IFERROR(
  FILTER('CBK Students'!H:H, TRIM('CBK Students'!B:B) = TRIM(A928)),
  """"
)"),"#REF!")</f>
        <v>#REF!</v>
      </c>
      <c r="V928" s="240" t="str">
        <f>IFERROR(__xludf.DUMMYFUNCTION("IFERROR(
  FILTER('CBK Students'!M:M, TRIM('CBK Students'!B:B) = TRIM(A928)),
  """"
)"),"#REF!")</f>
        <v>#REF!</v>
      </c>
      <c r="W928" s="240" t="str">
        <f t="shared" si="1"/>
        <v/>
      </c>
      <c r="X928" s="240" t="str">
        <f>IFERROR(__xludf.DUMMYFUNCTION("IFERROR(
  FILTER('CBK Students'!R:R, TRIM('CBK Students'!B:B) = TRIM(A928)),
  """"
)"),"#REF!")</f>
        <v>#REF!</v>
      </c>
      <c r="Y928" s="4" t="str">
        <f t="shared" si="2"/>
        <v/>
      </c>
      <c r="Z928" s="4" t="str">
        <f>IFERROR(__xludf.DUMMYFUNCTION("IFERROR(
  FILTER('CBK Students'!O:O, TRIM('CBK Students'!B:B) = TRIM(A928)),
  """"
)"),"#REF!")</f>
        <v>#REF!</v>
      </c>
      <c r="AA928" s="4" t="str">
        <f>IFERROR(__xludf.DUMMYFUNCTION("IFERROR(
  FILTER('CBK Students'!P:P, TRIM('CBK Students'!B:B) = TRIM(A928)),
  """"
)"),"#REF!")</f>
        <v>#REF!</v>
      </c>
      <c r="AB928" s="4" t="str">
        <f>IFERROR(__xludf.DUMMYFUNCTION("IFERROR(
  FILTER('CBK Students'!Q:Q, TRIM('CBK Students'!B:B) = TRIM(A928)),
  """"
)"),"#REF!")</f>
        <v>#REF!</v>
      </c>
    </row>
    <row r="929" ht="18.75" customHeight="1">
      <c r="T929" s="240" t="str">
        <f>IFERROR(__xludf.DUMMYFUNCTION("IFERROR(
  FILTER('CBK Students'!F:F, TRIM('CBK Students'!B:B) = TRIM(A929)),
  """"
)"),"#REF!")</f>
        <v>#REF!</v>
      </c>
      <c r="U929" s="240" t="str">
        <f>IFERROR(__xludf.DUMMYFUNCTION("IFERROR(
  FILTER('CBK Students'!H:H, TRIM('CBK Students'!B:B) = TRIM(A929)),
  """"
)"),"#REF!")</f>
        <v>#REF!</v>
      </c>
      <c r="V929" s="240" t="str">
        <f>IFERROR(__xludf.DUMMYFUNCTION("IFERROR(
  FILTER('CBK Students'!M:M, TRIM('CBK Students'!B:B) = TRIM(A929)),
  """"
)"),"#REF!")</f>
        <v>#REF!</v>
      </c>
      <c r="W929" s="240" t="str">
        <f t="shared" si="1"/>
        <v/>
      </c>
      <c r="X929" s="240" t="str">
        <f>IFERROR(__xludf.DUMMYFUNCTION("IFERROR(
  FILTER('CBK Students'!R:R, TRIM('CBK Students'!B:B) = TRIM(A929)),
  """"
)"),"#REF!")</f>
        <v>#REF!</v>
      </c>
      <c r="Y929" s="4" t="str">
        <f t="shared" si="2"/>
        <v/>
      </c>
      <c r="Z929" s="4" t="str">
        <f>IFERROR(__xludf.DUMMYFUNCTION("IFERROR(
  FILTER('CBK Students'!O:O, TRIM('CBK Students'!B:B) = TRIM(A929)),
  """"
)"),"#REF!")</f>
        <v>#REF!</v>
      </c>
      <c r="AA929" s="4" t="str">
        <f>IFERROR(__xludf.DUMMYFUNCTION("IFERROR(
  FILTER('CBK Students'!P:P, TRIM('CBK Students'!B:B) = TRIM(A929)),
  """"
)"),"#REF!")</f>
        <v>#REF!</v>
      </c>
      <c r="AB929" s="4" t="str">
        <f>IFERROR(__xludf.DUMMYFUNCTION("IFERROR(
  FILTER('CBK Students'!Q:Q, TRIM('CBK Students'!B:B) = TRIM(A929)),
  """"
)"),"#REF!")</f>
        <v>#REF!</v>
      </c>
    </row>
    <row r="930" ht="18.75" customHeight="1">
      <c r="T930" s="240" t="str">
        <f>IFERROR(__xludf.DUMMYFUNCTION("IFERROR(
  FILTER('CBK Students'!F:F, TRIM('CBK Students'!B:B) = TRIM(A930)),
  """"
)"),"#REF!")</f>
        <v>#REF!</v>
      </c>
      <c r="U930" s="240" t="str">
        <f>IFERROR(__xludf.DUMMYFUNCTION("IFERROR(
  FILTER('CBK Students'!H:H, TRIM('CBK Students'!B:B) = TRIM(A930)),
  """"
)"),"#REF!")</f>
        <v>#REF!</v>
      </c>
      <c r="V930" s="240" t="str">
        <f>IFERROR(__xludf.DUMMYFUNCTION("IFERROR(
  FILTER('CBK Students'!M:M, TRIM('CBK Students'!B:B) = TRIM(A930)),
  """"
)"),"#REF!")</f>
        <v>#REF!</v>
      </c>
      <c r="W930" s="240" t="str">
        <f t="shared" si="1"/>
        <v/>
      </c>
      <c r="X930" s="240" t="str">
        <f>IFERROR(__xludf.DUMMYFUNCTION("IFERROR(
  FILTER('CBK Students'!R:R, TRIM('CBK Students'!B:B) = TRIM(A930)),
  """"
)"),"#REF!")</f>
        <v>#REF!</v>
      </c>
      <c r="Y930" s="4" t="str">
        <f t="shared" si="2"/>
        <v/>
      </c>
      <c r="Z930" s="4" t="str">
        <f>IFERROR(__xludf.DUMMYFUNCTION("IFERROR(
  FILTER('CBK Students'!O:O, TRIM('CBK Students'!B:B) = TRIM(A930)),
  """"
)"),"#REF!")</f>
        <v>#REF!</v>
      </c>
      <c r="AA930" s="4" t="str">
        <f>IFERROR(__xludf.DUMMYFUNCTION("IFERROR(
  FILTER('CBK Students'!P:P, TRIM('CBK Students'!B:B) = TRIM(A930)),
  """"
)"),"#REF!")</f>
        <v>#REF!</v>
      </c>
      <c r="AB930" s="4" t="str">
        <f>IFERROR(__xludf.DUMMYFUNCTION("IFERROR(
  FILTER('CBK Students'!Q:Q, TRIM('CBK Students'!B:B) = TRIM(A930)),
  """"
)"),"#REF!")</f>
        <v>#REF!</v>
      </c>
    </row>
    <row r="931" ht="18.75" customHeight="1">
      <c r="T931" s="240" t="str">
        <f>IFERROR(__xludf.DUMMYFUNCTION("IFERROR(
  FILTER('CBK Students'!F:F, TRIM('CBK Students'!B:B) = TRIM(A931)),
  """"
)"),"#REF!")</f>
        <v>#REF!</v>
      </c>
      <c r="U931" s="240" t="str">
        <f>IFERROR(__xludf.DUMMYFUNCTION("IFERROR(
  FILTER('CBK Students'!H:H, TRIM('CBK Students'!B:B) = TRIM(A931)),
  """"
)"),"#REF!")</f>
        <v>#REF!</v>
      </c>
      <c r="V931" s="240" t="str">
        <f>IFERROR(__xludf.DUMMYFUNCTION("IFERROR(
  FILTER('CBK Students'!M:M, TRIM('CBK Students'!B:B) = TRIM(A931)),
  """"
)"),"#REF!")</f>
        <v>#REF!</v>
      </c>
      <c r="W931" s="240" t="str">
        <f t="shared" si="1"/>
        <v/>
      </c>
      <c r="X931" s="240" t="str">
        <f>IFERROR(__xludf.DUMMYFUNCTION("IFERROR(
  FILTER('CBK Students'!R:R, TRIM('CBK Students'!B:B) = TRIM(A931)),
  """"
)"),"#REF!")</f>
        <v>#REF!</v>
      </c>
      <c r="Y931" s="4" t="str">
        <f t="shared" si="2"/>
        <v/>
      </c>
      <c r="Z931" s="4" t="str">
        <f>IFERROR(__xludf.DUMMYFUNCTION("IFERROR(
  FILTER('CBK Students'!O:O, TRIM('CBK Students'!B:B) = TRIM(A931)),
  """"
)"),"#REF!")</f>
        <v>#REF!</v>
      </c>
      <c r="AA931" s="4" t="str">
        <f>IFERROR(__xludf.DUMMYFUNCTION("IFERROR(
  FILTER('CBK Students'!P:P, TRIM('CBK Students'!B:B) = TRIM(A931)),
  """"
)"),"#REF!")</f>
        <v>#REF!</v>
      </c>
      <c r="AB931" s="4" t="str">
        <f>IFERROR(__xludf.DUMMYFUNCTION("IFERROR(
  FILTER('CBK Students'!Q:Q, TRIM('CBK Students'!B:B) = TRIM(A931)),
  """"
)"),"#REF!")</f>
        <v>#REF!</v>
      </c>
    </row>
    <row r="932" ht="18.75" customHeight="1">
      <c r="T932" s="240" t="str">
        <f>IFERROR(__xludf.DUMMYFUNCTION("IFERROR(
  FILTER('CBK Students'!F:F, TRIM('CBK Students'!B:B) = TRIM(A932)),
  """"
)"),"#REF!")</f>
        <v>#REF!</v>
      </c>
      <c r="U932" s="240" t="str">
        <f>IFERROR(__xludf.DUMMYFUNCTION("IFERROR(
  FILTER('CBK Students'!H:H, TRIM('CBK Students'!B:B) = TRIM(A932)),
  """"
)"),"#REF!")</f>
        <v>#REF!</v>
      </c>
      <c r="V932" s="240" t="str">
        <f>IFERROR(__xludf.DUMMYFUNCTION("IFERROR(
  FILTER('CBK Students'!M:M, TRIM('CBK Students'!B:B) = TRIM(A932)),
  """"
)"),"#REF!")</f>
        <v>#REF!</v>
      </c>
      <c r="W932" s="240" t="str">
        <f t="shared" si="1"/>
        <v/>
      </c>
      <c r="X932" s="240" t="str">
        <f>IFERROR(__xludf.DUMMYFUNCTION("IFERROR(
  FILTER('CBK Students'!R:R, TRIM('CBK Students'!B:B) = TRIM(A932)),
  """"
)"),"#REF!")</f>
        <v>#REF!</v>
      </c>
      <c r="Y932" s="4" t="str">
        <f t="shared" si="2"/>
        <v/>
      </c>
      <c r="Z932" s="4" t="str">
        <f>IFERROR(__xludf.DUMMYFUNCTION("IFERROR(
  FILTER('CBK Students'!O:O, TRIM('CBK Students'!B:B) = TRIM(A932)),
  """"
)"),"#REF!")</f>
        <v>#REF!</v>
      </c>
      <c r="AA932" s="4" t="str">
        <f>IFERROR(__xludf.DUMMYFUNCTION("IFERROR(
  FILTER('CBK Students'!P:P, TRIM('CBK Students'!B:B) = TRIM(A932)),
  """"
)"),"#REF!")</f>
        <v>#REF!</v>
      </c>
      <c r="AB932" s="4" t="str">
        <f>IFERROR(__xludf.DUMMYFUNCTION("IFERROR(
  FILTER('CBK Students'!Q:Q, TRIM('CBK Students'!B:B) = TRIM(A932)),
  """"
)"),"#REF!")</f>
        <v>#REF!</v>
      </c>
    </row>
    <row r="933" ht="18.75" customHeight="1">
      <c r="T933" s="240" t="str">
        <f>IFERROR(__xludf.DUMMYFUNCTION("IFERROR(
  FILTER('CBK Students'!F:F, TRIM('CBK Students'!B:B) = TRIM(A933)),
  """"
)"),"#REF!")</f>
        <v>#REF!</v>
      </c>
      <c r="U933" s="240" t="str">
        <f>IFERROR(__xludf.DUMMYFUNCTION("IFERROR(
  FILTER('CBK Students'!H:H, TRIM('CBK Students'!B:B) = TRIM(A933)),
  """"
)"),"#REF!")</f>
        <v>#REF!</v>
      </c>
      <c r="V933" s="240" t="str">
        <f>IFERROR(__xludf.DUMMYFUNCTION("IFERROR(
  FILTER('CBK Students'!M:M, TRIM('CBK Students'!B:B) = TRIM(A933)),
  """"
)"),"#REF!")</f>
        <v>#REF!</v>
      </c>
      <c r="W933" s="240" t="str">
        <f t="shared" si="1"/>
        <v/>
      </c>
      <c r="X933" s="240" t="str">
        <f>IFERROR(__xludf.DUMMYFUNCTION("IFERROR(
  FILTER('CBK Students'!R:R, TRIM('CBK Students'!B:B) = TRIM(A933)),
  """"
)"),"#REF!")</f>
        <v>#REF!</v>
      </c>
      <c r="Y933" s="4" t="str">
        <f t="shared" si="2"/>
        <v/>
      </c>
      <c r="Z933" s="4" t="str">
        <f>IFERROR(__xludf.DUMMYFUNCTION("IFERROR(
  FILTER('CBK Students'!O:O, TRIM('CBK Students'!B:B) = TRIM(A933)),
  """"
)"),"#REF!")</f>
        <v>#REF!</v>
      </c>
      <c r="AA933" s="4" t="str">
        <f>IFERROR(__xludf.DUMMYFUNCTION("IFERROR(
  FILTER('CBK Students'!P:P, TRIM('CBK Students'!B:B) = TRIM(A933)),
  """"
)"),"#REF!")</f>
        <v>#REF!</v>
      </c>
      <c r="AB933" s="4" t="str">
        <f>IFERROR(__xludf.DUMMYFUNCTION("IFERROR(
  FILTER('CBK Students'!Q:Q, TRIM('CBK Students'!B:B) = TRIM(A933)),
  """"
)"),"#REF!")</f>
        <v>#REF!</v>
      </c>
    </row>
    <row r="934" ht="18.75" customHeight="1">
      <c r="T934" s="240" t="str">
        <f>IFERROR(__xludf.DUMMYFUNCTION("IFERROR(
  FILTER('CBK Students'!F:F, TRIM('CBK Students'!B:B) = TRIM(A934)),
  """"
)"),"#REF!")</f>
        <v>#REF!</v>
      </c>
      <c r="U934" s="240" t="str">
        <f>IFERROR(__xludf.DUMMYFUNCTION("IFERROR(
  FILTER('CBK Students'!H:H, TRIM('CBK Students'!B:B) = TRIM(A934)),
  """"
)"),"#REF!")</f>
        <v>#REF!</v>
      </c>
      <c r="V934" s="240" t="str">
        <f>IFERROR(__xludf.DUMMYFUNCTION("IFERROR(
  FILTER('CBK Students'!M:M, TRIM('CBK Students'!B:B) = TRIM(A934)),
  """"
)"),"#REF!")</f>
        <v>#REF!</v>
      </c>
      <c r="W934" s="240" t="str">
        <f t="shared" si="1"/>
        <v/>
      </c>
      <c r="X934" s="240" t="str">
        <f>IFERROR(__xludf.DUMMYFUNCTION("IFERROR(
  FILTER('CBK Students'!R:R, TRIM('CBK Students'!B:B) = TRIM(A934)),
  """"
)"),"#REF!")</f>
        <v>#REF!</v>
      </c>
      <c r="Y934" s="4" t="str">
        <f t="shared" si="2"/>
        <v/>
      </c>
      <c r="Z934" s="4" t="str">
        <f>IFERROR(__xludf.DUMMYFUNCTION("IFERROR(
  FILTER('CBK Students'!O:O, TRIM('CBK Students'!B:B) = TRIM(A934)),
  """"
)"),"#REF!")</f>
        <v>#REF!</v>
      </c>
      <c r="AA934" s="4" t="str">
        <f>IFERROR(__xludf.DUMMYFUNCTION("IFERROR(
  FILTER('CBK Students'!P:P, TRIM('CBK Students'!B:B) = TRIM(A934)),
  """"
)"),"#REF!")</f>
        <v>#REF!</v>
      </c>
      <c r="AB934" s="4" t="str">
        <f>IFERROR(__xludf.DUMMYFUNCTION("IFERROR(
  FILTER('CBK Students'!Q:Q, TRIM('CBK Students'!B:B) = TRIM(A934)),
  """"
)"),"#REF!")</f>
        <v>#REF!</v>
      </c>
    </row>
    <row r="935" ht="18.75" customHeight="1">
      <c r="T935" s="240" t="str">
        <f>IFERROR(__xludf.DUMMYFUNCTION("IFERROR(
  FILTER('CBK Students'!F:F, TRIM('CBK Students'!B:B) = TRIM(A935)),
  """"
)"),"#REF!")</f>
        <v>#REF!</v>
      </c>
      <c r="U935" s="240" t="str">
        <f>IFERROR(__xludf.DUMMYFUNCTION("IFERROR(
  FILTER('CBK Students'!H:H, TRIM('CBK Students'!B:B) = TRIM(A935)),
  """"
)"),"#REF!")</f>
        <v>#REF!</v>
      </c>
      <c r="V935" s="240" t="str">
        <f>IFERROR(__xludf.DUMMYFUNCTION("IFERROR(
  FILTER('CBK Students'!M:M, TRIM('CBK Students'!B:B) = TRIM(A935)),
  """"
)"),"#REF!")</f>
        <v>#REF!</v>
      </c>
      <c r="W935" s="240" t="str">
        <f t="shared" si="1"/>
        <v/>
      </c>
      <c r="X935" s="240" t="str">
        <f>IFERROR(__xludf.DUMMYFUNCTION("IFERROR(
  FILTER('CBK Students'!R:R, TRIM('CBK Students'!B:B) = TRIM(A935)),
  """"
)"),"#REF!")</f>
        <v>#REF!</v>
      </c>
      <c r="Y935" s="4" t="str">
        <f t="shared" si="2"/>
        <v/>
      </c>
      <c r="Z935" s="4" t="str">
        <f>IFERROR(__xludf.DUMMYFUNCTION("IFERROR(
  FILTER('CBK Students'!O:O, TRIM('CBK Students'!B:B) = TRIM(A935)),
  """"
)"),"#REF!")</f>
        <v>#REF!</v>
      </c>
      <c r="AA935" s="4" t="str">
        <f>IFERROR(__xludf.DUMMYFUNCTION("IFERROR(
  FILTER('CBK Students'!P:P, TRIM('CBK Students'!B:B) = TRIM(A935)),
  """"
)"),"#REF!")</f>
        <v>#REF!</v>
      </c>
      <c r="AB935" s="4" t="str">
        <f>IFERROR(__xludf.DUMMYFUNCTION("IFERROR(
  FILTER('CBK Students'!Q:Q, TRIM('CBK Students'!B:B) = TRIM(A935)),
  """"
)"),"#REF!")</f>
        <v>#REF!</v>
      </c>
    </row>
    <row r="936" ht="18.75" customHeight="1">
      <c r="T936" s="240" t="str">
        <f>IFERROR(__xludf.DUMMYFUNCTION("IFERROR(
  FILTER('CBK Students'!F:F, TRIM('CBK Students'!B:B) = TRIM(A936)),
  """"
)"),"#REF!")</f>
        <v>#REF!</v>
      </c>
      <c r="U936" s="240" t="str">
        <f>IFERROR(__xludf.DUMMYFUNCTION("IFERROR(
  FILTER('CBK Students'!H:H, TRIM('CBK Students'!B:B) = TRIM(A936)),
  """"
)"),"#REF!")</f>
        <v>#REF!</v>
      </c>
      <c r="V936" s="240" t="str">
        <f>IFERROR(__xludf.DUMMYFUNCTION("IFERROR(
  FILTER('CBK Students'!M:M, TRIM('CBK Students'!B:B) = TRIM(A936)),
  """"
)"),"#REF!")</f>
        <v>#REF!</v>
      </c>
      <c r="W936" s="240" t="str">
        <f t="shared" si="1"/>
        <v/>
      </c>
      <c r="X936" s="240" t="str">
        <f>IFERROR(__xludf.DUMMYFUNCTION("IFERROR(
  FILTER('CBK Students'!R:R, TRIM('CBK Students'!B:B) = TRIM(A936)),
  """"
)"),"#REF!")</f>
        <v>#REF!</v>
      </c>
      <c r="Y936" s="4" t="str">
        <f t="shared" si="2"/>
        <v/>
      </c>
      <c r="Z936" s="4" t="str">
        <f>IFERROR(__xludf.DUMMYFUNCTION("IFERROR(
  FILTER('CBK Students'!O:O, TRIM('CBK Students'!B:B) = TRIM(A936)),
  """"
)"),"#REF!")</f>
        <v>#REF!</v>
      </c>
      <c r="AA936" s="4" t="str">
        <f>IFERROR(__xludf.DUMMYFUNCTION("IFERROR(
  FILTER('CBK Students'!P:P, TRIM('CBK Students'!B:B) = TRIM(A936)),
  """"
)"),"#REF!")</f>
        <v>#REF!</v>
      </c>
      <c r="AB936" s="4" t="str">
        <f>IFERROR(__xludf.DUMMYFUNCTION("IFERROR(
  FILTER('CBK Students'!Q:Q, TRIM('CBK Students'!B:B) = TRIM(A936)),
  """"
)"),"#REF!")</f>
        <v>#REF!</v>
      </c>
    </row>
    <row r="937" ht="18.75" customHeight="1">
      <c r="T937" s="240" t="str">
        <f>IFERROR(__xludf.DUMMYFUNCTION("IFERROR(
  FILTER('CBK Students'!F:F, TRIM('CBK Students'!B:B) = TRIM(A937)),
  """"
)"),"#REF!")</f>
        <v>#REF!</v>
      </c>
      <c r="U937" s="240" t="str">
        <f>IFERROR(__xludf.DUMMYFUNCTION("IFERROR(
  FILTER('CBK Students'!H:H, TRIM('CBK Students'!B:B) = TRIM(A937)),
  """"
)"),"#REF!")</f>
        <v>#REF!</v>
      </c>
      <c r="V937" s="240" t="str">
        <f>IFERROR(__xludf.DUMMYFUNCTION("IFERROR(
  FILTER('CBK Students'!M:M, TRIM('CBK Students'!B:B) = TRIM(A937)),
  """"
)"),"#REF!")</f>
        <v>#REF!</v>
      </c>
      <c r="W937" s="240" t="str">
        <f t="shared" si="1"/>
        <v/>
      </c>
      <c r="X937" s="240" t="str">
        <f>IFERROR(__xludf.DUMMYFUNCTION("IFERROR(
  FILTER('CBK Students'!R:R, TRIM('CBK Students'!B:B) = TRIM(A937)),
  """"
)"),"#REF!")</f>
        <v>#REF!</v>
      </c>
      <c r="Y937" s="4" t="str">
        <f t="shared" si="2"/>
        <v/>
      </c>
      <c r="Z937" s="4" t="str">
        <f>IFERROR(__xludf.DUMMYFUNCTION("IFERROR(
  FILTER('CBK Students'!O:O, TRIM('CBK Students'!B:B) = TRIM(A937)),
  """"
)"),"#REF!")</f>
        <v>#REF!</v>
      </c>
      <c r="AA937" s="4" t="str">
        <f>IFERROR(__xludf.DUMMYFUNCTION("IFERROR(
  FILTER('CBK Students'!P:P, TRIM('CBK Students'!B:B) = TRIM(A937)),
  """"
)"),"#REF!")</f>
        <v>#REF!</v>
      </c>
      <c r="AB937" s="4" t="str">
        <f>IFERROR(__xludf.DUMMYFUNCTION("IFERROR(
  FILTER('CBK Students'!Q:Q, TRIM('CBK Students'!B:B) = TRIM(A937)),
  """"
)"),"#REF!")</f>
        <v>#REF!</v>
      </c>
    </row>
    <row r="938" ht="18.75" customHeight="1">
      <c r="T938" s="240" t="str">
        <f>IFERROR(__xludf.DUMMYFUNCTION("IFERROR(
  FILTER('CBK Students'!F:F, TRIM('CBK Students'!B:B) = TRIM(A938)),
  """"
)"),"#REF!")</f>
        <v>#REF!</v>
      </c>
      <c r="U938" s="240" t="str">
        <f>IFERROR(__xludf.DUMMYFUNCTION("IFERROR(
  FILTER('CBK Students'!H:H, TRIM('CBK Students'!B:B) = TRIM(A938)),
  """"
)"),"#REF!")</f>
        <v>#REF!</v>
      </c>
      <c r="V938" s="240" t="str">
        <f>IFERROR(__xludf.DUMMYFUNCTION("IFERROR(
  FILTER('CBK Students'!M:M, TRIM('CBK Students'!B:B) = TRIM(A938)),
  """"
)"),"#REF!")</f>
        <v>#REF!</v>
      </c>
      <c r="W938" s="240" t="str">
        <f t="shared" si="1"/>
        <v/>
      </c>
      <c r="X938" s="240" t="str">
        <f>IFERROR(__xludf.DUMMYFUNCTION("IFERROR(
  FILTER('CBK Students'!R:R, TRIM('CBK Students'!B:B) = TRIM(A938)),
  """"
)"),"#REF!")</f>
        <v>#REF!</v>
      </c>
      <c r="Y938" s="4" t="str">
        <f t="shared" si="2"/>
        <v/>
      </c>
      <c r="Z938" s="4" t="str">
        <f>IFERROR(__xludf.DUMMYFUNCTION("IFERROR(
  FILTER('CBK Students'!O:O, TRIM('CBK Students'!B:B) = TRIM(A938)),
  """"
)"),"#REF!")</f>
        <v>#REF!</v>
      </c>
      <c r="AA938" s="4" t="str">
        <f>IFERROR(__xludf.DUMMYFUNCTION("IFERROR(
  FILTER('CBK Students'!P:P, TRIM('CBK Students'!B:B) = TRIM(A938)),
  """"
)"),"#REF!")</f>
        <v>#REF!</v>
      </c>
      <c r="AB938" s="4" t="str">
        <f>IFERROR(__xludf.DUMMYFUNCTION("IFERROR(
  FILTER('CBK Students'!Q:Q, TRIM('CBK Students'!B:B) = TRIM(A938)),
  """"
)"),"#REF!")</f>
        <v>#REF!</v>
      </c>
    </row>
    <row r="939" ht="18.75" customHeight="1">
      <c r="T939" s="240" t="str">
        <f>IFERROR(__xludf.DUMMYFUNCTION("IFERROR(
  FILTER('CBK Students'!F:F, TRIM('CBK Students'!B:B) = TRIM(A939)),
  """"
)"),"#REF!")</f>
        <v>#REF!</v>
      </c>
      <c r="U939" s="240" t="str">
        <f>IFERROR(__xludf.DUMMYFUNCTION("IFERROR(
  FILTER('CBK Students'!H:H, TRIM('CBK Students'!B:B) = TRIM(A939)),
  """"
)"),"#REF!")</f>
        <v>#REF!</v>
      </c>
      <c r="V939" s="240" t="str">
        <f>IFERROR(__xludf.DUMMYFUNCTION("IFERROR(
  FILTER('CBK Students'!M:M, TRIM('CBK Students'!B:B) = TRIM(A939)),
  """"
)"),"#REF!")</f>
        <v>#REF!</v>
      </c>
      <c r="W939" s="240" t="str">
        <f t="shared" si="1"/>
        <v/>
      </c>
      <c r="X939" s="240" t="str">
        <f>IFERROR(__xludf.DUMMYFUNCTION("IFERROR(
  FILTER('CBK Students'!R:R, TRIM('CBK Students'!B:B) = TRIM(A939)),
  """"
)"),"#REF!")</f>
        <v>#REF!</v>
      </c>
      <c r="Y939" s="4" t="str">
        <f t="shared" si="2"/>
        <v/>
      </c>
      <c r="Z939" s="4" t="str">
        <f>IFERROR(__xludf.DUMMYFUNCTION("IFERROR(
  FILTER('CBK Students'!O:O, TRIM('CBK Students'!B:B) = TRIM(A939)),
  """"
)"),"#REF!")</f>
        <v>#REF!</v>
      </c>
      <c r="AA939" s="4" t="str">
        <f>IFERROR(__xludf.DUMMYFUNCTION("IFERROR(
  FILTER('CBK Students'!P:P, TRIM('CBK Students'!B:B) = TRIM(A939)),
  """"
)"),"#REF!")</f>
        <v>#REF!</v>
      </c>
      <c r="AB939" s="4" t="str">
        <f>IFERROR(__xludf.DUMMYFUNCTION("IFERROR(
  FILTER('CBK Students'!Q:Q, TRIM('CBK Students'!B:B) = TRIM(A939)),
  """"
)"),"#REF!")</f>
        <v>#REF!</v>
      </c>
    </row>
    <row r="940" ht="18.75" customHeight="1">
      <c r="T940" s="240" t="str">
        <f>IFERROR(__xludf.DUMMYFUNCTION("IFERROR(
  FILTER('CBK Students'!F:F, TRIM('CBK Students'!B:B) = TRIM(A940)),
  """"
)"),"#REF!")</f>
        <v>#REF!</v>
      </c>
      <c r="U940" s="240" t="str">
        <f>IFERROR(__xludf.DUMMYFUNCTION("IFERROR(
  FILTER('CBK Students'!H:H, TRIM('CBK Students'!B:B) = TRIM(A940)),
  """"
)"),"#REF!")</f>
        <v>#REF!</v>
      </c>
      <c r="V940" s="240" t="str">
        <f>IFERROR(__xludf.DUMMYFUNCTION("IFERROR(
  FILTER('CBK Students'!M:M, TRIM('CBK Students'!B:B) = TRIM(A940)),
  """"
)"),"#REF!")</f>
        <v>#REF!</v>
      </c>
      <c r="W940" s="240" t="str">
        <f t="shared" si="1"/>
        <v/>
      </c>
      <c r="X940" s="240" t="str">
        <f>IFERROR(__xludf.DUMMYFUNCTION("IFERROR(
  FILTER('CBK Students'!R:R, TRIM('CBK Students'!B:B) = TRIM(A940)),
  """"
)"),"#REF!")</f>
        <v>#REF!</v>
      </c>
      <c r="Y940" s="4" t="str">
        <f t="shared" si="2"/>
        <v/>
      </c>
      <c r="Z940" s="4" t="str">
        <f>IFERROR(__xludf.DUMMYFUNCTION("IFERROR(
  FILTER('CBK Students'!O:O, TRIM('CBK Students'!B:B) = TRIM(A940)),
  """"
)"),"#REF!")</f>
        <v>#REF!</v>
      </c>
      <c r="AA940" s="4" t="str">
        <f>IFERROR(__xludf.DUMMYFUNCTION("IFERROR(
  FILTER('CBK Students'!P:P, TRIM('CBK Students'!B:B) = TRIM(A940)),
  """"
)"),"#REF!")</f>
        <v>#REF!</v>
      </c>
      <c r="AB940" s="4" t="str">
        <f>IFERROR(__xludf.DUMMYFUNCTION("IFERROR(
  FILTER('CBK Students'!Q:Q, TRIM('CBK Students'!B:B) = TRIM(A940)),
  """"
)"),"#REF!")</f>
        <v>#REF!</v>
      </c>
    </row>
    <row r="941" ht="18.75" customHeight="1">
      <c r="T941" s="240" t="str">
        <f>IFERROR(__xludf.DUMMYFUNCTION("IFERROR(
  FILTER('CBK Students'!F:F, TRIM('CBK Students'!B:B) = TRIM(A941)),
  """"
)"),"#REF!")</f>
        <v>#REF!</v>
      </c>
      <c r="U941" s="240" t="str">
        <f>IFERROR(__xludf.DUMMYFUNCTION("IFERROR(
  FILTER('CBK Students'!H:H, TRIM('CBK Students'!B:B) = TRIM(A941)),
  """"
)"),"#REF!")</f>
        <v>#REF!</v>
      </c>
      <c r="V941" s="240" t="str">
        <f>IFERROR(__xludf.DUMMYFUNCTION("IFERROR(
  FILTER('CBK Students'!M:M, TRIM('CBK Students'!B:B) = TRIM(A941)),
  """"
)"),"#REF!")</f>
        <v>#REF!</v>
      </c>
      <c r="W941" s="240" t="str">
        <f t="shared" si="1"/>
        <v/>
      </c>
      <c r="X941" s="240" t="str">
        <f>IFERROR(__xludf.DUMMYFUNCTION("IFERROR(
  FILTER('CBK Students'!R:R, TRIM('CBK Students'!B:B) = TRIM(A941)),
  """"
)"),"#REF!")</f>
        <v>#REF!</v>
      </c>
      <c r="Y941" s="4" t="str">
        <f t="shared" si="2"/>
        <v/>
      </c>
      <c r="Z941" s="4" t="str">
        <f>IFERROR(__xludf.DUMMYFUNCTION("IFERROR(
  FILTER('CBK Students'!O:O, TRIM('CBK Students'!B:B) = TRIM(A941)),
  """"
)"),"#REF!")</f>
        <v>#REF!</v>
      </c>
      <c r="AA941" s="4" t="str">
        <f>IFERROR(__xludf.DUMMYFUNCTION("IFERROR(
  FILTER('CBK Students'!P:P, TRIM('CBK Students'!B:B) = TRIM(A941)),
  """"
)"),"#REF!")</f>
        <v>#REF!</v>
      </c>
      <c r="AB941" s="4" t="str">
        <f>IFERROR(__xludf.DUMMYFUNCTION("IFERROR(
  FILTER('CBK Students'!Q:Q, TRIM('CBK Students'!B:B) = TRIM(A941)),
  """"
)"),"#REF!")</f>
        <v>#REF!</v>
      </c>
    </row>
    <row r="942" ht="18.75" customHeight="1">
      <c r="T942" s="240" t="str">
        <f>IFERROR(__xludf.DUMMYFUNCTION("IFERROR(
  FILTER('CBK Students'!F:F, TRIM('CBK Students'!B:B) = TRIM(A942)),
  """"
)"),"#REF!")</f>
        <v>#REF!</v>
      </c>
      <c r="U942" s="240" t="str">
        <f>IFERROR(__xludf.DUMMYFUNCTION("IFERROR(
  FILTER('CBK Students'!H:H, TRIM('CBK Students'!B:B) = TRIM(A942)),
  """"
)"),"#REF!")</f>
        <v>#REF!</v>
      </c>
      <c r="V942" s="240" t="str">
        <f>IFERROR(__xludf.DUMMYFUNCTION("IFERROR(
  FILTER('CBK Students'!M:M, TRIM('CBK Students'!B:B) = TRIM(A942)),
  """"
)"),"#REF!")</f>
        <v>#REF!</v>
      </c>
      <c r="W942" s="240" t="str">
        <f t="shared" si="1"/>
        <v/>
      </c>
      <c r="X942" s="240" t="str">
        <f>IFERROR(__xludf.DUMMYFUNCTION("IFERROR(
  FILTER('CBK Students'!R:R, TRIM('CBK Students'!B:B) = TRIM(A942)),
  """"
)"),"#REF!")</f>
        <v>#REF!</v>
      </c>
      <c r="Y942" s="4" t="str">
        <f t="shared" si="2"/>
        <v/>
      </c>
      <c r="Z942" s="4" t="str">
        <f>IFERROR(__xludf.DUMMYFUNCTION("IFERROR(
  FILTER('CBK Students'!O:O, TRIM('CBK Students'!B:B) = TRIM(A942)),
  """"
)"),"#REF!")</f>
        <v>#REF!</v>
      </c>
      <c r="AA942" s="4" t="str">
        <f>IFERROR(__xludf.DUMMYFUNCTION("IFERROR(
  FILTER('CBK Students'!P:P, TRIM('CBK Students'!B:B) = TRIM(A942)),
  """"
)"),"#REF!")</f>
        <v>#REF!</v>
      </c>
      <c r="AB942" s="4" t="str">
        <f>IFERROR(__xludf.DUMMYFUNCTION("IFERROR(
  FILTER('CBK Students'!Q:Q, TRIM('CBK Students'!B:B) = TRIM(A942)),
  """"
)"),"#REF!")</f>
        <v>#REF!</v>
      </c>
    </row>
    <row r="943" ht="18.75" customHeight="1">
      <c r="T943" s="240" t="str">
        <f>IFERROR(__xludf.DUMMYFUNCTION("IFERROR(
  FILTER('CBK Students'!F:F, TRIM('CBK Students'!B:B) = TRIM(A943)),
  """"
)"),"#REF!")</f>
        <v>#REF!</v>
      </c>
      <c r="U943" s="240" t="str">
        <f>IFERROR(__xludf.DUMMYFUNCTION("IFERROR(
  FILTER('CBK Students'!H:H, TRIM('CBK Students'!B:B) = TRIM(A943)),
  """"
)"),"#REF!")</f>
        <v>#REF!</v>
      </c>
      <c r="V943" s="240" t="str">
        <f>IFERROR(__xludf.DUMMYFUNCTION("IFERROR(
  FILTER('CBK Students'!M:M, TRIM('CBK Students'!B:B) = TRIM(A943)),
  """"
)"),"#REF!")</f>
        <v>#REF!</v>
      </c>
      <c r="W943" s="240" t="str">
        <f t="shared" si="1"/>
        <v/>
      </c>
      <c r="X943" s="240" t="str">
        <f>IFERROR(__xludf.DUMMYFUNCTION("IFERROR(
  FILTER('CBK Students'!R:R, TRIM('CBK Students'!B:B) = TRIM(A943)),
  """"
)"),"#REF!")</f>
        <v>#REF!</v>
      </c>
      <c r="Y943" s="4" t="str">
        <f t="shared" si="2"/>
        <v/>
      </c>
      <c r="Z943" s="4" t="str">
        <f>IFERROR(__xludf.DUMMYFUNCTION("IFERROR(
  FILTER('CBK Students'!O:O, TRIM('CBK Students'!B:B) = TRIM(A943)),
  """"
)"),"#REF!")</f>
        <v>#REF!</v>
      </c>
      <c r="AA943" s="4" t="str">
        <f>IFERROR(__xludf.DUMMYFUNCTION("IFERROR(
  FILTER('CBK Students'!P:P, TRIM('CBK Students'!B:B) = TRIM(A943)),
  """"
)"),"#REF!")</f>
        <v>#REF!</v>
      </c>
      <c r="AB943" s="4" t="str">
        <f>IFERROR(__xludf.DUMMYFUNCTION("IFERROR(
  FILTER('CBK Students'!Q:Q, TRIM('CBK Students'!B:B) = TRIM(A943)),
  """"
)"),"#REF!")</f>
        <v>#REF!</v>
      </c>
    </row>
    <row r="944" ht="18.75" customHeight="1">
      <c r="T944" s="240" t="str">
        <f>IFERROR(__xludf.DUMMYFUNCTION("IFERROR(
  FILTER('CBK Students'!F:F, TRIM('CBK Students'!B:B) = TRIM(A944)),
  """"
)"),"#REF!")</f>
        <v>#REF!</v>
      </c>
      <c r="U944" s="240" t="str">
        <f>IFERROR(__xludf.DUMMYFUNCTION("IFERROR(
  FILTER('CBK Students'!H:H, TRIM('CBK Students'!B:B) = TRIM(A944)),
  """"
)"),"#REF!")</f>
        <v>#REF!</v>
      </c>
      <c r="V944" s="240" t="str">
        <f>IFERROR(__xludf.DUMMYFUNCTION("IFERROR(
  FILTER('CBK Students'!M:M, TRIM('CBK Students'!B:B) = TRIM(A944)),
  """"
)"),"#REF!")</f>
        <v>#REF!</v>
      </c>
      <c r="W944" s="240" t="str">
        <f t="shared" si="1"/>
        <v/>
      </c>
      <c r="X944" s="240" t="str">
        <f>IFERROR(__xludf.DUMMYFUNCTION("IFERROR(
  FILTER('CBK Students'!R:R, TRIM('CBK Students'!B:B) = TRIM(A944)),
  """"
)"),"#REF!")</f>
        <v>#REF!</v>
      </c>
      <c r="Y944" s="4" t="str">
        <f t="shared" si="2"/>
        <v/>
      </c>
      <c r="Z944" s="4" t="str">
        <f>IFERROR(__xludf.DUMMYFUNCTION("IFERROR(
  FILTER('CBK Students'!O:O, TRIM('CBK Students'!B:B) = TRIM(A944)),
  """"
)"),"#REF!")</f>
        <v>#REF!</v>
      </c>
      <c r="AA944" s="4" t="str">
        <f>IFERROR(__xludf.DUMMYFUNCTION("IFERROR(
  FILTER('CBK Students'!P:P, TRIM('CBK Students'!B:B) = TRIM(A944)),
  """"
)"),"#REF!")</f>
        <v>#REF!</v>
      </c>
      <c r="AB944" s="4" t="str">
        <f>IFERROR(__xludf.DUMMYFUNCTION("IFERROR(
  FILTER('CBK Students'!Q:Q, TRIM('CBK Students'!B:B) = TRIM(A944)),
  """"
)"),"#REF!")</f>
        <v>#REF!</v>
      </c>
    </row>
    <row r="945" ht="18.75" customHeight="1">
      <c r="T945" s="240" t="str">
        <f>IFERROR(__xludf.DUMMYFUNCTION("IFERROR(
  FILTER('CBK Students'!F:F, TRIM('CBK Students'!B:B) = TRIM(A945)),
  """"
)"),"#REF!")</f>
        <v>#REF!</v>
      </c>
      <c r="U945" s="240" t="str">
        <f>IFERROR(__xludf.DUMMYFUNCTION("IFERROR(
  FILTER('CBK Students'!H:H, TRIM('CBK Students'!B:B) = TRIM(A945)),
  """"
)"),"#REF!")</f>
        <v>#REF!</v>
      </c>
      <c r="V945" s="240" t="str">
        <f>IFERROR(__xludf.DUMMYFUNCTION("IFERROR(
  FILTER('CBK Students'!M:M, TRIM('CBK Students'!B:B) = TRIM(A945)),
  """"
)"),"#REF!")</f>
        <v>#REF!</v>
      </c>
      <c r="W945" s="240" t="str">
        <f t="shared" si="1"/>
        <v/>
      </c>
      <c r="X945" s="240" t="str">
        <f>IFERROR(__xludf.DUMMYFUNCTION("IFERROR(
  FILTER('CBK Students'!R:R, TRIM('CBK Students'!B:B) = TRIM(A945)),
  """"
)"),"#REF!")</f>
        <v>#REF!</v>
      </c>
      <c r="Y945" s="4" t="str">
        <f t="shared" si="2"/>
        <v/>
      </c>
      <c r="Z945" s="4" t="str">
        <f>IFERROR(__xludf.DUMMYFUNCTION("IFERROR(
  FILTER('CBK Students'!O:O, TRIM('CBK Students'!B:B) = TRIM(A945)),
  """"
)"),"#REF!")</f>
        <v>#REF!</v>
      </c>
      <c r="AA945" s="4" t="str">
        <f>IFERROR(__xludf.DUMMYFUNCTION("IFERROR(
  FILTER('CBK Students'!P:P, TRIM('CBK Students'!B:B) = TRIM(A945)),
  """"
)"),"#REF!")</f>
        <v>#REF!</v>
      </c>
      <c r="AB945" s="4" t="str">
        <f>IFERROR(__xludf.DUMMYFUNCTION("IFERROR(
  FILTER('CBK Students'!Q:Q, TRIM('CBK Students'!B:B) = TRIM(A945)),
  """"
)"),"#REF!")</f>
        <v>#REF!</v>
      </c>
    </row>
    <row r="946" ht="18.75" customHeight="1">
      <c r="T946" s="240" t="str">
        <f>IFERROR(__xludf.DUMMYFUNCTION("IFERROR(
  FILTER('CBK Students'!F:F, TRIM('CBK Students'!B:B) = TRIM(A946)),
  """"
)"),"#REF!")</f>
        <v>#REF!</v>
      </c>
      <c r="U946" s="240" t="str">
        <f>IFERROR(__xludf.DUMMYFUNCTION("IFERROR(
  FILTER('CBK Students'!H:H, TRIM('CBK Students'!B:B) = TRIM(A946)),
  """"
)"),"#REF!")</f>
        <v>#REF!</v>
      </c>
      <c r="V946" s="240" t="str">
        <f>IFERROR(__xludf.DUMMYFUNCTION("IFERROR(
  FILTER('CBK Students'!M:M, TRIM('CBK Students'!B:B) = TRIM(A946)),
  """"
)"),"#REF!")</f>
        <v>#REF!</v>
      </c>
      <c r="W946" s="240" t="str">
        <f t="shared" si="1"/>
        <v/>
      </c>
      <c r="X946" s="240" t="str">
        <f>IFERROR(__xludf.DUMMYFUNCTION("IFERROR(
  FILTER('CBK Students'!R:R, TRIM('CBK Students'!B:B) = TRIM(A946)),
  """"
)"),"#REF!")</f>
        <v>#REF!</v>
      </c>
      <c r="Y946" s="4" t="str">
        <f t="shared" si="2"/>
        <v/>
      </c>
      <c r="Z946" s="4" t="str">
        <f>IFERROR(__xludf.DUMMYFUNCTION("IFERROR(
  FILTER('CBK Students'!O:O, TRIM('CBK Students'!B:B) = TRIM(A946)),
  """"
)"),"#REF!")</f>
        <v>#REF!</v>
      </c>
      <c r="AA946" s="4" t="str">
        <f>IFERROR(__xludf.DUMMYFUNCTION("IFERROR(
  FILTER('CBK Students'!P:P, TRIM('CBK Students'!B:B) = TRIM(A946)),
  """"
)"),"#REF!")</f>
        <v>#REF!</v>
      </c>
      <c r="AB946" s="4" t="str">
        <f>IFERROR(__xludf.DUMMYFUNCTION("IFERROR(
  FILTER('CBK Students'!Q:Q, TRIM('CBK Students'!B:B) = TRIM(A946)),
  """"
)"),"#REF!")</f>
        <v>#REF!</v>
      </c>
    </row>
    <row r="947" ht="18.75" customHeight="1">
      <c r="T947" s="240" t="str">
        <f>IFERROR(__xludf.DUMMYFUNCTION("IFERROR(
  FILTER('CBK Students'!F:F, TRIM('CBK Students'!B:B) = TRIM(A947)),
  """"
)"),"#REF!")</f>
        <v>#REF!</v>
      </c>
      <c r="U947" s="240" t="str">
        <f>IFERROR(__xludf.DUMMYFUNCTION("IFERROR(
  FILTER('CBK Students'!H:H, TRIM('CBK Students'!B:B) = TRIM(A947)),
  """"
)"),"#REF!")</f>
        <v>#REF!</v>
      </c>
      <c r="V947" s="240" t="str">
        <f>IFERROR(__xludf.DUMMYFUNCTION("IFERROR(
  FILTER('CBK Students'!M:M, TRIM('CBK Students'!B:B) = TRIM(A947)),
  """"
)"),"#REF!")</f>
        <v>#REF!</v>
      </c>
      <c r="W947" s="240" t="str">
        <f t="shared" si="1"/>
        <v/>
      </c>
      <c r="X947" s="240" t="str">
        <f>IFERROR(__xludf.DUMMYFUNCTION("IFERROR(
  FILTER('CBK Students'!R:R, TRIM('CBK Students'!B:B) = TRIM(A947)),
  """"
)"),"#REF!")</f>
        <v>#REF!</v>
      </c>
      <c r="Y947" s="4" t="str">
        <f t="shared" si="2"/>
        <v/>
      </c>
      <c r="Z947" s="4" t="str">
        <f>IFERROR(__xludf.DUMMYFUNCTION("IFERROR(
  FILTER('CBK Students'!O:O, TRIM('CBK Students'!B:B) = TRIM(A947)),
  """"
)"),"#REF!")</f>
        <v>#REF!</v>
      </c>
      <c r="AA947" s="4" t="str">
        <f>IFERROR(__xludf.DUMMYFUNCTION("IFERROR(
  FILTER('CBK Students'!P:P, TRIM('CBK Students'!B:B) = TRIM(A947)),
  """"
)"),"#REF!")</f>
        <v>#REF!</v>
      </c>
      <c r="AB947" s="4" t="str">
        <f>IFERROR(__xludf.DUMMYFUNCTION("IFERROR(
  FILTER('CBK Students'!Q:Q, TRIM('CBK Students'!B:B) = TRIM(A947)),
  """"
)"),"#REF!")</f>
        <v>#REF!</v>
      </c>
    </row>
    <row r="948" ht="18.75" customHeight="1">
      <c r="T948" s="240" t="str">
        <f>IFERROR(__xludf.DUMMYFUNCTION("IFERROR(
  FILTER('CBK Students'!F:F, TRIM('CBK Students'!B:B) = TRIM(A948)),
  """"
)"),"#REF!")</f>
        <v>#REF!</v>
      </c>
      <c r="U948" s="240" t="str">
        <f>IFERROR(__xludf.DUMMYFUNCTION("IFERROR(
  FILTER('CBK Students'!H:H, TRIM('CBK Students'!B:B) = TRIM(A948)),
  """"
)"),"#REF!")</f>
        <v>#REF!</v>
      </c>
      <c r="V948" s="240" t="str">
        <f>IFERROR(__xludf.DUMMYFUNCTION("IFERROR(
  FILTER('CBK Students'!M:M, TRIM('CBK Students'!B:B) = TRIM(A948)),
  """"
)"),"#REF!")</f>
        <v>#REF!</v>
      </c>
      <c r="W948" s="240" t="str">
        <f t="shared" si="1"/>
        <v/>
      </c>
      <c r="X948" s="240" t="str">
        <f>IFERROR(__xludf.DUMMYFUNCTION("IFERROR(
  FILTER('CBK Students'!R:R, TRIM('CBK Students'!B:B) = TRIM(A948)),
  """"
)"),"#REF!")</f>
        <v>#REF!</v>
      </c>
      <c r="Y948" s="4" t="str">
        <f t="shared" si="2"/>
        <v/>
      </c>
      <c r="Z948" s="4" t="str">
        <f>IFERROR(__xludf.DUMMYFUNCTION("IFERROR(
  FILTER('CBK Students'!O:O, TRIM('CBK Students'!B:B) = TRIM(A948)),
  """"
)"),"#REF!")</f>
        <v>#REF!</v>
      </c>
      <c r="AA948" s="4" t="str">
        <f>IFERROR(__xludf.DUMMYFUNCTION("IFERROR(
  FILTER('CBK Students'!P:P, TRIM('CBK Students'!B:B) = TRIM(A948)),
  """"
)"),"#REF!")</f>
        <v>#REF!</v>
      </c>
      <c r="AB948" s="4" t="str">
        <f>IFERROR(__xludf.DUMMYFUNCTION("IFERROR(
  FILTER('CBK Students'!Q:Q, TRIM('CBK Students'!B:B) = TRIM(A948)),
  """"
)"),"#REF!")</f>
        <v>#REF!</v>
      </c>
    </row>
    <row r="949" ht="18.75" customHeight="1">
      <c r="T949" s="240" t="str">
        <f>IFERROR(__xludf.DUMMYFUNCTION("IFERROR(
  FILTER('CBK Students'!F:F, TRIM('CBK Students'!B:B) = TRIM(A949)),
  """"
)"),"#REF!")</f>
        <v>#REF!</v>
      </c>
      <c r="U949" s="240" t="str">
        <f>IFERROR(__xludf.DUMMYFUNCTION("IFERROR(
  FILTER('CBK Students'!H:H, TRIM('CBK Students'!B:B) = TRIM(A949)),
  """"
)"),"#REF!")</f>
        <v>#REF!</v>
      </c>
      <c r="V949" s="240" t="str">
        <f>IFERROR(__xludf.DUMMYFUNCTION("IFERROR(
  FILTER('CBK Students'!M:M, TRIM('CBK Students'!B:B) = TRIM(A949)),
  """"
)"),"#REF!")</f>
        <v>#REF!</v>
      </c>
      <c r="W949" s="240" t="str">
        <f t="shared" si="1"/>
        <v/>
      </c>
      <c r="X949" s="240" t="str">
        <f>IFERROR(__xludf.DUMMYFUNCTION("IFERROR(
  FILTER('CBK Students'!R:R, TRIM('CBK Students'!B:B) = TRIM(A949)),
  """"
)"),"#REF!")</f>
        <v>#REF!</v>
      </c>
      <c r="Y949" s="4" t="str">
        <f t="shared" si="2"/>
        <v/>
      </c>
      <c r="Z949" s="4" t="str">
        <f>IFERROR(__xludf.DUMMYFUNCTION("IFERROR(
  FILTER('CBK Students'!O:O, TRIM('CBK Students'!B:B) = TRIM(A949)),
  """"
)"),"#REF!")</f>
        <v>#REF!</v>
      </c>
      <c r="AA949" s="4" t="str">
        <f>IFERROR(__xludf.DUMMYFUNCTION("IFERROR(
  FILTER('CBK Students'!P:P, TRIM('CBK Students'!B:B) = TRIM(A949)),
  """"
)"),"#REF!")</f>
        <v>#REF!</v>
      </c>
      <c r="AB949" s="4" t="str">
        <f>IFERROR(__xludf.DUMMYFUNCTION("IFERROR(
  FILTER('CBK Students'!Q:Q, TRIM('CBK Students'!B:B) = TRIM(A949)),
  """"
)"),"#REF!")</f>
        <v>#REF!</v>
      </c>
    </row>
    <row r="950" ht="18.75" customHeight="1">
      <c r="T950" s="240" t="str">
        <f>IFERROR(__xludf.DUMMYFUNCTION("IFERROR(
  FILTER('CBK Students'!F:F, TRIM('CBK Students'!B:B) = TRIM(A950)),
  """"
)"),"#REF!")</f>
        <v>#REF!</v>
      </c>
      <c r="U950" s="240" t="str">
        <f>IFERROR(__xludf.DUMMYFUNCTION("IFERROR(
  FILTER('CBK Students'!H:H, TRIM('CBK Students'!B:B) = TRIM(A950)),
  """"
)"),"#REF!")</f>
        <v>#REF!</v>
      </c>
      <c r="V950" s="240" t="str">
        <f>IFERROR(__xludf.DUMMYFUNCTION("IFERROR(
  FILTER('CBK Students'!M:M, TRIM('CBK Students'!B:B) = TRIM(A950)),
  """"
)"),"#REF!")</f>
        <v>#REF!</v>
      </c>
      <c r="W950" s="240" t="str">
        <f t="shared" si="1"/>
        <v/>
      </c>
      <c r="X950" s="240" t="str">
        <f>IFERROR(__xludf.DUMMYFUNCTION("IFERROR(
  FILTER('CBK Students'!R:R, TRIM('CBK Students'!B:B) = TRIM(A950)),
  """"
)"),"#REF!")</f>
        <v>#REF!</v>
      </c>
      <c r="Y950" s="4" t="str">
        <f t="shared" si="2"/>
        <v/>
      </c>
      <c r="Z950" s="4" t="str">
        <f>IFERROR(__xludf.DUMMYFUNCTION("IFERROR(
  FILTER('CBK Students'!O:O, TRIM('CBK Students'!B:B) = TRIM(A950)),
  """"
)"),"#REF!")</f>
        <v>#REF!</v>
      </c>
      <c r="AA950" s="4" t="str">
        <f>IFERROR(__xludf.DUMMYFUNCTION("IFERROR(
  FILTER('CBK Students'!P:P, TRIM('CBK Students'!B:B) = TRIM(A950)),
  """"
)"),"#REF!")</f>
        <v>#REF!</v>
      </c>
      <c r="AB950" s="4" t="str">
        <f>IFERROR(__xludf.DUMMYFUNCTION("IFERROR(
  FILTER('CBK Students'!Q:Q, TRIM('CBK Students'!B:B) = TRIM(A950)),
  """"
)"),"#REF!")</f>
        <v>#REF!</v>
      </c>
    </row>
    <row r="951" ht="18.75" customHeight="1">
      <c r="T951" s="240" t="str">
        <f>IFERROR(__xludf.DUMMYFUNCTION("IFERROR(
  FILTER('CBK Students'!F:F, TRIM('CBK Students'!B:B) = TRIM(A951)),
  """"
)"),"#REF!")</f>
        <v>#REF!</v>
      </c>
      <c r="U951" s="240" t="str">
        <f>IFERROR(__xludf.DUMMYFUNCTION("IFERROR(
  FILTER('CBK Students'!H:H, TRIM('CBK Students'!B:B) = TRIM(A951)),
  """"
)"),"#REF!")</f>
        <v>#REF!</v>
      </c>
      <c r="V951" s="240" t="str">
        <f>IFERROR(__xludf.DUMMYFUNCTION("IFERROR(
  FILTER('CBK Students'!M:M, TRIM('CBK Students'!B:B) = TRIM(A951)),
  """"
)"),"#REF!")</f>
        <v>#REF!</v>
      </c>
      <c r="W951" s="240" t="str">
        <f t="shared" si="1"/>
        <v/>
      </c>
      <c r="X951" s="240" t="str">
        <f>IFERROR(__xludf.DUMMYFUNCTION("IFERROR(
  FILTER('CBK Students'!R:R, TRIM('CBK Students'!B:B) = TRIM(A951)),
  """"
)"),"#REF!")</f>
        <v>#REF!</v>
      </c>
      <c r="Y951" s="4" t="str">
        <f t="shared" si="2"/>
        <v/>
      </c>
      <c r="Z951" s="4" t="str">
        <f>IFERROR(__xludf.DUMMYFUNCTION("IFERROR(
  FILTER('CBK Students'!O:O, TRIM('CBK Students'!B:B) = TRIM(A951)),
  """"
)"),"#REF!")</f>
        <v>#REF!</v>
      </c>
      <c r="AA951" s="4" t="str">
        <f>IFERROR(__xludf.DUMMYFUNCTION("IFERROR(
  FILTER('CBK Students'!P:P, TRIM('CBK Students'!B:B) = TRIM(A951)),
  """"
)"),"#REF!")</f>
        <v>#REF!</v>
      </c>
      <c r="AB951" s="4" t="str">
        <f>IFERROR(__xludf.DUMMYFUNCTION("IFERROR(
  FILTER('CBK Students'!Q:Q, TRIM('CBK Students'!B:B) = TRIM(A951)),
  """"
)"),"#REF!")</f>
        <v>#REF!</v>
      </c>
    </row>
    <row r="952" ht="18.75" customHeight="1">
      <c r="T952" s="240" t="str">
        <f>IFERROR(__xludf.DUMMYFUNCTION("IFERROR(
  FILTER('CBK Students'!F:F, TRIM('CBK Students'!B:B) = TRIM(A952)),
  """"
)"),"#REF!")</f>
        <v>#REF!</v>
      </c>
      <c r="U952" s="240" t="str">
        <f>IFERROR(__xludf.DUMMYFUNCTION("IFERROR(
  FILTER('CBK Students'!H:H, TRIM('CBK Students'!B:B) = TRIM(A952)),
  """"
)"),"#REF!")</f>
        <v>#REF!</v>
      </c>
      <c r="V952" s="240" t="str">
        <f>IFERROR(__xludf.DUMMYFUNCTION("IFERROR(
  FILTER('CBK Students'!M:M, TRIM('CBK Students'!B:B) = TRIM(A952)),
  """"
)"),"#REF!")</f>
        <v>#REF!</v>
      </c>
      <c r="W952" s="240" t="str">
        <f t="shared" si="1"/>
        <v/>
      </c>
      <c r="X952" s="240" t="str">
        <f>IFERROR(__xludf.DUMMYFUNCTION("IFERROR(
  FILTER('CBK Students'!R:R, TRIM('CBK Students'!B:B) = TRIM(A952)),
  """"
)"),"#REF!")</f>
        <v>#REF!</v>
      </c>
      <c r="Y952" s="4" t="str">
        <f t="shared" si="2"/>
        <v/>
      </c>
      <c r="Z952" s="4" t="str">
        <f>IFERROR(__xludf.DUMMYFUNCTION("IFERROR(
  FILTER('CBK Students'!O:O, TRIM('CBK Students'!B:B) = TRIM(A952)),
  """"
)"),"#REF!")</f>
        <v>#REF!</v>
      </c>
      <c r="AA952" s="4" t="str">
        <f>IFERROR(__xludf.DUMMYFUNCTION("IFERROR(
  FILTER('CBK Students'!P:P, TRIM('CBK Students'!B:B) = TRIM(A952)),
  """"
)"),"#REF!")</f>
        <v>#REF!</v>
      </c>
      <c r="AB952" s="4" t="str">
        <f>IFERROR(__xludf.DUMMYFUNCTION("IFERROR(
  FILTER('CBK Students'!Q:Q, TRIM('CBK Students'!B:B) = TRIM(A952)),
  """"
)"),"#REF!")</f>
        <v>#REF!</v>
      </c>
    </row>
    <row r="953" ht="18.75" customHeight="1">
      <c r="T953" s="240" t="str">
        <f>IFERROR(__xludf.DUMMYFUNCTION("IFERROR(
  FILTER('CBK Students'!F:F, TRIM('CBK Students'!B:B) = TRIM(A953)),
  """"
)"),"#REF!")</f>
        <v>#REF!</v>
      </c>
      <c r="U953" s="240" t="str">
        <f>IFERROR(__xludf.DUMMYFUNCTION("IFERROR(
  FILTER('CBK Students'!H:H, TRIM('CBK Students'!B:B) = TRIM(A953)),
  """"
)"),"#REF!")</f>
        <v>#REF!</v>
      </c>
      <c r="V953" s="240" t="str">
        <f>IFERROR(__xludf.DUMMYFUNCTION("IFERROR(
  FILTER('CBK Students'!M:M, TRIM('CBK Students'!B:B) = TRIM(A953)),
  """"
)"),"#REF!")</f>
        <v>#REF!</v>
      </c>
      <c r="W953" s="240" t="str">
        <f t="shared" si="1"/>
        <v/>
      </c>
      <c r="X953" s="240" t="str">
        <f>IFERROR(__xludf.DUMMYFUNCTION("IFERROR(
  FILTER('CBK Students'!R:R, TRIM('CBK Students'!B:B) = TRIM(A953)),
  """"
)"),"#REF!")</f>
        <v>#REF!</v>
      </c>
      <c r="Y953" s="4" t="str">
        <f t="shared" si="2"/>
        <v/>
      </c>
      <c r="Z953" s="4" t="str">
        <f>IFERROR(__xludf.DUMMYFUNCTION("IFERROR(
  FILTER('CBK Students'!O:O, TRIM('CBK Students'!B:B) = TRIM(A953)),
  """"
)"),"#REF!")</f>
        <v>#REF!</v>
      </c>
      <c r="AA953" s="4" t="str">
        <f>IFERROR(__xludf.DUMMYFUNCTION("IFERROR(
  FILTER('CBK Students'!P:P, TRIM('CBK Students'!B:B) = TRIM(A953)),
  """"
)"),"#REF!")</f>
        <v>#REF!</v>
      </c>
      <c r="AB953" s="4" t="str">
        <f>IFERROR(__xludf.DUMMYFUNCTION("IFERROR(
  FILTER('CBK Students'!Q:Q, TRIM('CBK Students'!B:B) = TRIM(A953)),
  """"
)"),"#REF!")</f>
        <v>#REF!</v>
      </c>
    </row>
    <row r="954" ht="18.75" customHeight="1">
      <c r="T954" s="240" t="str">
        <f>IFERROR(__xludf.DUMMYFUNCTION("IFERROR(
  FILTER('CBK Students'!F:F, TRIM('CBK Students'!B:B) = TRIM(A954)),
  """"
)"),"#REF!")</f>
        <v>#REF!</v>
      </c>
      <c r="U954" s="240" t="str">
        <f>IFERROR(__xludf.DUMMYFUNCTION("IFERROR(
  FILTER('CBK Students'!H:H, TRIM('CBK Students'!B:B) = TRIM(A954)),
  """"
)"),"#REF!")</f>
        <v>#REF!</v>
      </c>
      <c r="V954" s="240" t="str">
        <f>IFERROR(__xludf.DUMMYFUNCTION("IFERROR(
  FILTER('CBK Students'!M:M, TRIM('CBK Students'!B:B) = TRIM(A954)),
  """"
)"),"#REF!")</f>
        <v>#REF!</v>
      </c>
      <c r="W954" s="240" t="str">
        <f t="shared" si="1"/>
        <v/>
      </c>
      <c r="X954" s="240" t="str">
        <f>IFERROR(__xludf.DUMMYFUNCTION("IFERROR(
  FILTER('CBK Students'!R:R, TRIM('CBK Students'!B:B) = TRIM(A954)),
  """"
)"),"#REF!")</f>
        <v>#REF!</v>
      </c>
      <c r="Y954" s="4" t="str">
        <f t="shared" si="2"/>
        <v/>
      </c>
      <c r="Z954" s="4" t="str">
        <f>IFERROR(__xludf.DUMMYFUNCTION("IFERROR(
  FILTER('CBK Students'!O:O, TRIM('CBK Students'!B:B) = TRIM(A954)),
  """"
)"),"#REF!")</f>
        <v>#REF!</v>
      </c>
      <c r="AA954" s="4" t="str">
        <f>IFERROR(__xludf.DUMMYFUNCTION("IFERROR(
  FILTER('CBK Students'!P:P, TRIM('CBK Students'!B:B) = TRIM(A954)),
  """"
)"),"#REF!")</f>
        <v>#REF!</v>
      </c>
      <c r="AB954" s="4" t="str">
        <f>IFERROR(__xludf.DUMMYFUNCTION("IFERROR(
  FILTER('CBK Students'!Q:Q, TRIM('CBK Students'!B:B) = TRIM(A954)),
  """"
)"),"#REF!")</f>
        <v>#REF!</v>
      </c>
    </row>
    <row r="955" ht="18.75" customHeight="1">
      <c r="T955" s="240" t="str">
        <f>IFERROR(__xludf.DUMMYFUNCTION("IFERROR(
  FILTER('CBK Students'!F:F, TRIM('CBK Students'!B:B) = TRIM(A955)),
  """"
)"),"#REF!")</f>
        <v>#REF!</v>
      </c>
      <c r="U955" s="240" t="str">
        <f>IFERROR(__xludf.DUMMYFUNCTION("IFERROR(
  FILTER('CBK Students'!H:H, TRIM('CBK Students'!B:B) = TRIM(A955)),
  """"
)"),"#REF!")</f>
        <v>#REF!</v>
      </c>
      <c r="V955" s="240" t="str">
        <f>IFERROR(__xludf.DUMMYFUNCTION("IFERROR(
  FILTER('CBK Students'!M:M, TRIM('CBK Students'!B:B) = TRIM(A955)),
  """"
)"),"#REF!")</f>
        <v>#REF!</v>
      </c>
      <c r="W955" s="240" t="str">
        <f t="shared" si="1"/>
        <v/>
      </c>
      <c r="X955" s="240" t="str">
        <f>IFERROR(__xludf.DUMMYFUNCTION("IFERROR(
  FILTER('CBK Students'!R:R, TRIM('CBK Students'!B:B) = TRIM(A955)),
  """"
)"),"#REF!")</f>
        <v>#REF!</v>
      </c>
      <c r="Y955" s="4" t="str">
        <f t="shared" si="2"/>
        <v/>
      </c>
      <c r="Z955" s="4" t="str">
        <f>IFERROR(__xludf.DUMMYFUNCTION("IFERROR(
  FILTER('CBK Students'!O:O, TRIM('CBK Students'!B:B) = TRIM(A955)),
  """"
)"),"#REF!")</f>
        <v>#REF!</v>
      </c>
      <c r="AA955" s="4" t="str">
        <f>IFERROR(__xludf.DUMMYFUNCTION("IFERROR(
  FILTER('CBK Students'!P:P, TRIM('CBK Students'!B:B) = TRIM(A955)),
  """"
)"),"#REF!")</f>
        <v>#REF!</v>
      </c>
      <c r="AB955" s="4" t="str">
        <f>IFERROR(__xludf.DUMMYFUNCTION("IFERROR(
  FILTER('CBK Students'!Q:Q, TRIM('CBK Students'!B:B) = TRIM(A955)),
  """"
)"),"#REF!")</f>
        <v>#REF!</v>
      </c>
    </row>
    <row r="956" ht="18.75" customHeight="1">
      <c r="T956" s="240" t="str">
        <f>IFERROR(__xludf.DUMMYFUNCTION("IFERROR(
  FILTER('CBK Students'!F:F, TRIM('CBK Students'!B:B) = TRIM(A956)),
  """"
)"),"#REF!")</f>
        <v>#REF!</v>
      </c>
      <c r="U956" s="240" t="str">
        <f>IFERROR(__xludf.DUMMYFUNCTION("IFERROR(
  FILTER('CBK Students'!H:H, TRIM('CBK Students'!B:B) = TRIM(A956)),
  """"
)"),"#REF!")</f>
        <v>#REF!</v>
      </c>
      <c r="V956" s="240" t="str">
        <f>IFERROR(__xludf.DUMMYFUNCTION("IFERROR(
  FILTER('CBK Students'!M:M, TRIM('CBK Students'!B:B) = TRIM(A956)),
  """"
)"),"#REF!")</f>
        <v>#REF!</v>
      </c>
      <c r="W956" s="240" t="str">
        <f t="shared" si="1"/>
        <v/>
      </c>
      <c r="X956" s="240" t="str">
        <f>IFERROR(__xludf.DUMMYFUNCTION("IFERROR(
  FILTER('CBK Students'!R:R, TRIM('CBK Students'!B:B) = TRIM(A956)),
  """"
)"),"#REF!")</f>
        <v>#REF!</v>
      </c>
      <c r="Y956" s="4" t="str">
        <f t="shared" si="2"/>
        <v/>
      </c>
      <c r="Z956" s="4" t="str">
        <f>IFERROR(__xludf.DUMMYFUNCTION("IFERROR(
  FILTER('CBK Students'!O:O, TRIM('CBK Students'!B:B) = TRIM(A956)),
  """"
)"),"#REF!")</f>
        <v>#REF!</v>
      </c>
      <c r="AA956" s="4" t="str">
        <f>IFERROR(__xludf.DUMMYFUNCTION("IFERROR(
  FILTER('CBK Students'!P:P, TRIM('CBK Students'!B:B) = TRIM(A956)),
  """"
)"),"#REF!")</f>
        <v>#REF!</v>
      </c>
      <c r="AB956" s="4" t="str">
        <f>IFERROR(__xludf.DUMMYFUNCTION("IFERROR(
  FILTER('CBK Students'!Q:Q, TRIM('CBK Students'!B:B) = TRIM(A956)),
  """"
)"),"#REF!")</f>
        <v>#REF!</v>
      </c>
    </row>
    <row r="957" ht="18.75" customHeight="1">
      <c r="T957" s="240" t="str">
        <f>IFERROR(__xludf.DUMMYFUNCTION("IFERROR(
  FILTER('CBK Students'!F:F, TRIM('CBK Students'!B:B) = TRIM(A957)),
  """"
)"),"#REF!")</f>
        <v>#REF!</v>
      </c>
      <c r="U957" s="240" t="str">
        <f>IFERROR(__xludf.DUMMYFUNCTION("IFERROR(
  FILTER('CBK Students'!H:H, TRIM('CBK Students'!B:B) = TRIM(A957)),
  """"
)"),"#REF!")</f>
        <v>#REF!</v>
      </c>
      <c r="V957" s="240" t="str">
        <f>IFERROR(__xludf.DUMMYFUNCTION("IFERROR(
  FILTER('CBK Students'!M:M, TRIM('CBK Students'!B:B) = TRIM(A957)),
  """"
)"),"#REF!")</f>
        <v>#REF!</v>
      </c>
      <c r="W957" s="240" t="str">
        <f t="shared" si="1"/>
        <v/>
      </c>
      <c r="X957" s="240" t="str">
        <f>IFERROR(__xludf.DUMMYFUNCTION("IFERROR(
  FILTER('CBK Students'!R:R, TRIM('CBK Students'!B:B) = TRIM(A957)),
  """"
)"),"#REF!")</f>
        <v>#REF!</v>
      </c>
      <c r="Y957" s="4" t="str">
        <f t="shared" si="2"/>
        <v/>
      </c>
      <c r="Z957" s="4" t="str">
        <f>IFERROR(__xludf.DUMMYFUNCTION("IFERROR(
  FILTER('CBK Students'!O:O, TRIM('CBK Students'!B:B) = TRIM(A957)),
  """"
)"),"#REF!")</f>
        <v>#REF!</v>
      </c>
      <c r="AA957" s="4" t="str">
        <f>IFERROR(__xludf.DUMMYFUNCTION("IFERROR(
  FILTER('CBK Students'!P:P, TRIM('CBK Students'!B:B) = TRIM(A957)),
  """"
)"),"#REF!")</f>
        <v>#REF!</v>
      </c>
      <c r="AB957" s="4" t="str">
        <f>IFERROR(__xludf.DUMMYFUNCTION("IFERROR(
  FILTER('CBK Students'!Q:Q, TRIM('CBK Students'!B:B) = TRIM(A957)),
  """"
)"),"#REF!")</f>
        <v>#REF!</v>
      </c>
    </row>
    <row r="958" ht="18.75" customHeight="1">
      <c r="T958" s="240" t="str">
        <f>IFERROR(__xludf.DUMMYFUNCTION("IFERROR(
  FILTER('CBK Students'!F:F, TRIM('CBK Students'!B:B) = TRIM(A958)),
  """"
)"),"#REF!")</f>
        <v>#REF!</v>
      </c>
      <c r="U958" s="240" t="str">
        <f>IFERROR(__xludf.DUMMYFUNCTION("IFERROR(
  FILTER('CBK Students'!H:H, TRIM('CBK Students'!B:B) = TRIM(A958)),
  """"
)"),"#REF!")</f>
        <v>#REF!</v>
      </c>
      <c r="V958" s="240" t="str">
        <f>IFERROR(__xludf.DUMMYFUNCTION("IFERROR(
  FILTER('CBK Students'!M:M, TRIM('CBK Students'!B:B) = TRIM(A958)),
  """"
)"),"#REF!")</f>
        <v>#REF!</v>
      </c>
      <c r="W958" s="240" t="str">
        <f t="shared" si="1"/>
        <v/>
      </c>
      <c r="X958" s="240" t="str">
        <f>IFERROR(__xludf.DUMMYFUNCTION("IFERROR(
  FILTER('CBK Students'!R:R, TRIM('CBK Students'!B:B) = TRIM(A958)),
  """"
)"),"#REF!")</f>
        <v>#REF!</v>
      </c>
      <c r="Y958" s="4" t="str">
        <f t="shared" si="2"/>
        <v/>
      </c>
      <c r="Z958" s="4" t="str">
        <f>IFERROR(__xludf.DUMMYFUNCTION("IFERROR(
  FILTER('CBK Students'!O:O, TRIM('CBK Students'!B:B) = TRIM(A958)),
  """"
)"),"#REF!")</f>
        <v>#REF!</v>
      </c>
      <c r="AA958" s="4" t="str">
        <f>IFERROR(__xludf.DUMMYFUNCTION("IFERROR(
  FILTER('CBK Students'!P:P, TRIM('CBK Students'!B:B) = TRIM(A958)),
  """"
)"),"#REF!")</f>
        <v>#REF!</v>
      </c>
      <c r="AB958" s="4" t="str">
        <f>IFERROR(__xludf.DUMMYFUNCTION("IFERROR(
  FILTER('CBK Students'!Q:Q, TRIM('CBK Students'!B:B) = TRIM(A958)),
  """"
)"),"#REF!")</f>
        <v>#REF!</v>
      </c>
    </row>
    <row r="959" ht="18.75" customHeight="1">
      <c r="T959" s="240" t="str">
        <f>IFERROR(__xludf.DUMMYFUNCTION("IFERROR(
  FILTER('CBK Students'!F:F, TRIM('CBK Students'!B:B) = TRIM(A959)),
  """"
)"),"#REF!")</f>
        <v>#REF!</v>
      </c>
      <c r="U959" s="240" t="str">
        <f>IFERROR(__xludf.DUMMYFUNCTION("IFERROR(
  FILTER('CBK Students'!H:H, TRIM('CBK Students'!B:B) = TRIM(A959)),
  """"
)"),"#REF!")</f>
        <v>#REF!</v>
      </c>
      <c r="V959" s="240" t="str">
        <f>IFERROR(__xludf.DUMMYFUNCTION("IFERROR(
  FILTER('CBK Students'!M:M, TRIM('CBK Students'!B:B) = TRIM(A959)),
  """"
)"),"#REF!")</f>
        <v>#REF!</v>
      </c>
      <c r="W959" s="240" t="str">
        <f t="shared" si="1"/>
        <v/>
      </c>
      <c r="X959" s="240" t="str">
        <f>IFERROR(__xludf.DUMMYFUNCTION("IFERROR(
  FILTER('CBK Students'!R:R, TRIM('CBK Students'!B:B) = TRIM(A959)),
  """"
)"),"#REF!")</f>
        <v>#REF!</v>
      </c>
      <c r="Y959" s="4" t="str">
        <f t="shared" si="2"/>
        <v/>
      </c>
      <c r="Z959" s="4" t="str">
        <f>IFERROR(__xludf.DUMMYFUNCTION("IFERROR(
  FILTER('CBK Students'!O:O, TRIM('CBK Students'!B:B) = TRIM(A959)),
  """"
)"),"#REF!")</f>
        <v>#REF!</v>
      </c>
      <c r="AA959" s="4" t="str">
        <f>IFERROR(__xludf.DUMMYFUNCTION("IFERROR(
  FILTER('CBK Students'!P:P, TRIM('CBK Students'!B:B) = TRIM(A959)),
  """"
)"),"#REF!")</f>
        <v>#REF!</v>
      </c>
      <c r="AB959" s="4" t="str">
        <f>IFERROR(__xludf.DUMMYFUNCTION("IFERROR(
  FILTER('CBK Students'!Q:Q, TRIM('CBK Students'!B:B) = TRIM(A959)),
  """"
)"),"#REF!")</f>
        <v>#REF!</v>
      </c>
    </row>
    <row r="960" ht="18.75" customHeight="1">
      <c r="T960" s="240" t="str">
        <f>IFERROR(__xludf.DUMMYFUNCTION("IFERROR(
  FILTER('CBK Students'!F:F, TRIM('CBK Students'!B:B) = TRIM(A960)),
  """"
)"),"#REF!")</f>
        <v>#REF!</v>
      </c>
      <c r="U960" s="240" t="str">
        <f>IFERROR(__xludf.DUMMYFUNCTION("IFERROR(
  FILTER('CBK Students'!H:H, TRIM('CBK Students'!B:B) = TRIM(A960)),
  """"
)"),"#REF!")</f>
        <v>#REF!</v>
      </c>
      <c r="V960" s="240" t="str">
        <f>IFERROR(__xludf.DUMMYFUNCTION("IFERROR(
  FILTER('CBK Students'!M:M, TRIM('CBK Students'!B:B) = TRIM(A960)),
  """"
)"),"#REF!")</f>
        <v>#REF!</v>
      </c>
      <c r="W960" s="240" t="str">
        <f t="shared" si="1"/>
        <v/>
      </c>
      <c r="X960" s="240" t="str">
        <f>IFERROR(__xludf.DUMMYFUNCTION("IFERROR(
  FILTER('CBK Students'!R:R, TRIM('CBK Students'!B:B) = TRIM(A960)),
  """"
)"),"#REF!")</f>
        <v>#REF!</v>
      </c>
      <c r="Y960" s="4" t="str">
        <f t="shared" si="2"/>
        <v/>
      </c>
      <c r="Z960" s="4" t="str">
        <f>IFERROR(__xludf.DUMMYFUNCTION("IFERROR(
  FILTER('CBK Students'!O:O, TRIM('CBK Students'!B:B) = TRIM(A960)),
  """"
)"),"#REF!")</f>
        <v>#REF!</v>
      </c>
      <c r="AA960" s="4" t="str">
        <f>IFERROR(__xludf.DUMMYFUNCTION("IFERROR(
  FILTER('CBK Students'!P:P, TRIM('CBK Students'!B:B) = TRIM(A960)),
  """"
)"),"#REF!")</f>
        <v>#REF!</v>
      </c>
      <c r="AB960" s="4" t="str">
        <f>IFERROR(__xludf.DUMMYFUNCTION("IFERROR(
  FILTER('CBK Students'!Q:Q, TRIM('CBK Students'!B:B) = TRIM(A960)),
  """"
)"),"#REF!")</f>
        <v>#REF!</v>
      </c>
    </row>
    <row r="961" ht="18.75" customHeight="1">
      <c r="T961" s="240" t="str">
        <f>IFERROR(__xludf.DUMMYFUNCTION("IFERROR(
  FILTER('CBK Students'!F:F, TRIM('CBK Students'!B:B) = TRIM(A961)),
  """"
)"),"#REF!")</f>
        <v>#REF!</v>
      </c>
      <c r="U961" s="240" t="str">
        <f>IFERROR(__xludf.DUMMYFUNCTION("IFERROR(
  FILTER('CBK Students'!H:H, TRIM('CBK Students'!B:B) = TRIM(A961)),
  """"
)"),"#REF!")</f>
        <v>#REF!</v>
      </c>
      <c r="V961" s="240" t="str">
        <f>IFERROR(__xludf.DUMMYFUNCTION("IFERROR(
  FILTER('CBK Students'!M:M, TRIM('CBK Students'!B:B) = TRIM(A961)),
  """"
)"),"#REF!")</f>
        <v>#REF!</v>
      </c>
      <c r="W961" s="240" t="str">
        <f t="shared" si="1"/>
        <v/>
      </c>
      <c r="X961" s="240" t="str">
        <f>IFERROR(__xludf.DUMMYFUNCTION("IFERROR(
  FILTER('CBK Students'!R:R, TRIM('CBK Students'!B:B) = TRIM(A961)),
  """"
)"),"#REF!")</f>
        <v>#REF!</v>
      </c>
      <c r="Y961" s="4" t="str">
        <f t="shared" si="2"/>
        <v/>
      </c>
      <c r="Z961" s="4" t="str">
        <f>IFERROR(__xludf.DUMMYFUNCTION("IFERROR(
  FILTER('CBK Students'!O:O, TRIM('CBK Students'!B:B) = TRIM(A961)),
  """"
)"),"#REF!")</f>
        <v>#REF!</v>
      </c>
      <c r="AA961" s="4" t="str">
        <f>IFERROR(__xludf.DUMMYFUNCTION("IFERROR(
  FILTER('CBK Students'!P:P, TRIM('CBK Students'!B:B) = TRIM(A961)),
  """"
)"),"#REF!")</f>
        <v>#REF!</v>
      </c>
      <c r="AB961" s="4" t="str">
        <f>IFERROR(__xludf.DUMMYFUNCTION("IFERROR(
  FILTER('CBK Students'!Q:Q, TRIM('CBK Students'!B:B) = TRIM(A961)),
  """"
)"),"#REF!")</f>
        <v>#REF!</v>
      </c>
    </row>
    <row r="962" ht="18.75" customHeight="1">
      <c r="T962" s="240" t="str">
        <f>IFERROR(__xludf.DUMMYFUNCTION("IFERROR(
  FILTER('CBK Students'!F:F, TRIM('CBK Students'!B:B) = TRIM(A962)),
  """"
)"),"#REF!")</f>
        <v>#REF!</v>
      </c>
      <c r="U962" s="240" t="str">
        <f>IFERROR(__xludf.DUMMYFUNCTION("IFERROR(
  FILTER('CBK Students'!H:H, TRIM('CBK Students'!B:B) = TRIM(A962)),
  """"
)"),"#REF!")</f>
        <v>#REF!</v>
      </c>
      <c r="V962" s="240" t="str">
        <f>IFERROR(__xludf.DUMMYFUNCTION("IFERROR(
  FILTER('CBK Students'!M:M, TRIM('CBK Students'!B:B) = TRIM(A962)),
  """"
)"),"#REF!")</f>
        <v>#REF!</v>
      </c>
      <c r="W962" s="240" t="str">
        <f t="shared" si="1"/>
        <v/>
      </c>
      <c r="X962" s="240" t="str">
        <f>IFERROR(__xludf.DUMMYFUNCTION("IFERROR(
  FILTER('CBK Students'!R:R, TRIM('CBK Students'!B:B) = TRIM(A962)),
  """"
)"),"#REF!")</f>
        <v>#REF!</v>
      </c>
      <c r="Y962" s="4" t="str">
        <f t="shared" si="2"/>
        <v/>
      </c>
      <c r="Z962" s="4" t="str">
        <f>IFERROR(__xludf.DUMMYFUNCTION("IFERROR(
  FILTER('CBK Students'!O:O, TRIM('CBK Students'!B:B) = TRIM(A962)),
  """"
)"),"#REF!")</f>
        <v>#REF!</v>
      </c>
      <c r="AA962" s="4" t="str">
        <f>IFERROR(__xludf.DUMMYFUNCTION("IFERROR(
  FILTER('CBK Students'!P:P, TRIM('CBK Students'!B:B) = TRIM(A962)),
  """"
)"),"#REF!")</f>
        <v>#REF!</v>
      </c>
      <c r="AB962" s="4" t="str">
        <f>IFERROR(__xludf.DUMMYFUNCTION("IFERROR(
  FILTER('CBK Students'!Q:Q, TRIM('CBK Students'!B:B) = TRIM(A962)),
  """"
)"),"#REF!")</f>
        <v>#REF!</v>
      </c>
    </row>
    <row r="963" ht="18.75" customHeight="1">
      <c r="T963" s="240" t="str">
        <f>IFERROR(__xludf.DUMMYFUNCTION("IFERROR(
  FILTER('CBK Students'!F:F, TRIM('CBK Students'!B:B) = TRIM(A963)),
  """"
)"),"#REF!")</f>
        <v>#REF!</v>
      </c>
      <c r="U963" s="240" t="str">
        <f>IFERROR(__xludf.DUMMYFUNCTION("IFERROR(
  FILTER('CBK Students'!H:H, TRIM('CBK Students'!B:B) = TRIM(A963)),
  """"
)"),"#REF!")</f>
        <v>#REF!</v>
      </c>
      <c r="V963" s="240" t="str">
        <f>IFERROR(__xludf.DUMMYFUNCTION("IFERROR(
  FILTER('CBK Students'!M:M, TRIM('CBK Students'!B:B) = TRIM(A963)),
  """"
)"),"#REF!")</f>
        <v>#REF!</v>
      </c>
      <c r="W963" s="240" t="str">
        <f t="shared" si="1"/>
        <v/>
      </c>
      <c r="X963" s="240" t="str">
        <f>IFERROR(__xludf.DUMMYFUNCTION("IFERROR(
  FILTER('CBK Students'!R:R, TRIM('CBK Students'!B:B) = TRIM(A963)),
  """"
)"),"#REF!")</f>
        <v>#REF!</v>
      </c>
      <c r="Y963" s="4" t="str">
        <f t="shared" si="2"/>
        <v/>
      </c>
      <c r="Z963" s="4" t="str">
        <f>IFERROR(__xludf.DUMMYFUNCTION("IFERROR(
  FILTER('CBK Students'!O:O, TRIM('CBK Students'!B:B) = TRIM(A963)),
  """"
)"),"#REF!")</f>
        <v>#REF!</v>
      </c>
      <c r="AA963" s="4" t="str">
        <f>IFERROR(__xludf.DUMMYFUNCTION("IFERROR(
  FILTER('CBK Students'!P:P, TRIM('CBK Students'!B:B) = TRIM(A963)),
  """"
)"),"#REF!")</f>
        <v>#REF!</v>
      </c>
      <c r="AB963" s="4" t="str">
        <f>IFERROR(__xludf.DUMMYFUNCTION("IFERROR(
  FILTER('CBK Students'!Q:Q, TRIM('CBK Students'!B:B) = TRIM(A963)),
  """"
)"),"#REF!")</f>
        <v>#REF!</v>
      </c>
    </row>
    <row r="964" ht="18.75" customHeight="1">
      <c r="T964" s="240" t="str">
        <f>IFERROR(__xludf.DUMMYFUNCTION("IFERROR(
  FILTER('CBK Students'!F:F, TRIM('CBK Students'!B:B) = TRIM(A964)),
  """"
)"),"#REF!")</f>
        <v>#REF!</v>
      </c>
      <c r="U964" s="240" t="str">
        <f>IFERROR(__xludf.DUMMYFUNCTION("IFERROR(
  FILTER('CBK Students'!H:H, TRIM('CBK Students'!B:B) = TRIM(A964)),
  """"
)"),"#REF!")</f>
        <v>#REF!</v>
      </c>
      <c r="V964" s="240" t="str">
        <f>IFERROR(__xludf.DUMMYFUNCTION("IFERROR(
  FILTER('CBK Students'!M:M, TRIM('CBK Students'!B:B) = TRIM(A964)),
  """"
)"),"#REF!")</f>
        <v>#REF!</v>
      </c>
      <c r="W964" s="240" t="str">
        <f t="shared" si="1"/>
        <v/>
      </c>
      <c r="X964" s="240" t="str">
        <f>IFERROR(__xludf.DUMMYFUNCTION("IFERROR(
  FILTER('CBK Students'!R:R, TRIM('CBK Students'!B:B) = TRIM(A964)),
  """"
)"),"#REF!")</f>
        <v>#REF!</v>
      </c>
      <c r="Y964" s="4" t="str">
        <f t="shared" si="2"/>
        <v/>
      </c>
      <c r="Z964" s="4" t="str">
        <f>IFERROR(__xludf.DUMMYFUNCTION("IFERROR(
  FILTER('CBK Students'!O:O, TRIM('CBK Students'!B:B) = TRIM(A964)),
  """"
)"),"#REF!")</f>
        <v>#REF!</v>
      </c>
      <c r="AA964" s="4" t="str">
        <f>IFERROR(__xludf.DUMMYFUNCTION("IFERROR(
  FILTER('CBK Students'!P:P, TRIM('CBK Students'!B:B) = TRIM(A964)),
  """"
)"),"#REF!")</f>
        <v>#REF!</v>
      </c>
      <c r="AB964" s="4" t="str">
        <f>IFERROR(__xludf.DUMMYFUNCTION("IFERROR(
  FILTER('CBK Students'!Q:Q, TRIM('CBK Students'!B:B) = TRIM(A964)),
  """"
)"),"#REF!")</f>
        <v>#REF!</v>
      </c>
    </row>
    <row r="965" ht="18.75" customHeight="1">
      <c r="T965" s="240" t="str">
        <f>IFERROR(__xludf.DUMMYFUNCTION("IFERROR(
  FILTER('CBK Students'!F:F, TRIM('CBK Students'!B:B) = TRIM(A965)),
  """"
)"),"#REF!")</f>
        <v>#REF!</v>
      </c>
      <c r="U965" s="240" t="str">
        <f>IFERROR(__xludf.DUMMYFUNCTION("IFERROR(
  FILTER('CBK Students'!H:H, TRIM('CBK Students'!B:B) = TRIM(A965)),
  """"
)"),"#REF!")</f>
        <v>#REF!</v>
      </c>
      <c r="V965" s="240" t="str">
        <f>IFERROR(__xludf.DUMMYFUNCTION("IFERROR(
  FILTER('CBK Students'!M:M, TRIM('CBK Students'!B:B) = TRIM(A965)),
  """"
)"),"#REF!")</f>
        <v>#REF!</v>
      </c>
      <c r="W965" s="240" t="str">
        <f t="shared" si="1"/>
        <v/>
      </c>
      <c r="X965" s="240" t="str">
        <f>IFERROR(__xludf.DUMMYFUNCTION("IFERROR(
  FILTER('CBK Students'!R:R, TRIM('CBK Students'!B:B) = TRIM(A965)),
  """"
)"),"#REF!")</f>
        <v>#REF!</v>
      </c>
      <c r="Y965" s="4" t="str">
        <f t="shared" si="2"/>
        <v/>
      </c>
      <c r="Z965" s="4" t="str">
        <f>IFERROR(__xludf.DUMMYFUNCTION("IFERROR(
  FILTER('CBK Students'!O:O, TRIM('CBK Students'!B:B) = TRIM(A965)),
  """"
)"),"#REF!")</f>
        <v>#REF!</v>
      </c>
      <c r="AA965" s="4" t="str">
        <f>IFERROR(__xludf.DUMMYFUNCTION("IFERROR(
  FILTER('CBK Students'!P:P, TRIM('CBK Students'!B:B) = TRIM(A965)),
  """"
)"),"#REF!")</f>
        <v>#REF!</v>
      </c>
      <c r="AB965" s="4" t="str">
        <f>IFERROR(__xludf.DUMMYFUNCTION("IFERROR(
  FILTER('CBK Students'!Q:Q, TRIM('CBK Students'!B:B) = TRIM(A965)),
  """"
)"),"#REF!")</f>
        <v>#REF!</v>
      </c>
    </row>
    <row r="966" ht="18.75" customHeight="1">
      <c r="T966" s="240" t="str">
        <f>IFERROR(__xludf.DUMMYFUNCTION("IFERROR(
  FILTER('CBK Students'!F:F, TRIM('CBK Students'!B:B) = TRIM(A966)),
  """"
)"),"#REF!")</f>
        <v>#REF!</v>
      </c>
      <c r="U966" s="240" t="str">
        <f>IFERROR(__xludf.DUMMYFUNCTION("IFERROR(
  FILTER('CBK Students'!H:H, TRIM('CBK Students'!B:B) = TRIM(A966)),
  """"
)"),"#REF!")</f>
        <v>#REF!</v>
      </c>
      <c r="V966" s="240" t="str">
        <f>IFERROR(__xludf.DUMMYFUNCTION("IFERROR(
  FILTER('CBK Students'!M:M, TRIM('CBK Students'!B:B) = TRIM(A966)),
  """"
)"),"#REF!")</f>
        <v>#REF!</v>
      </c>
      <c r="W966" s="240" t="str">
        <f t="shared" si="1"/>
        <v/>
      </c>
      <c r="X966" s="240" t="str">
        <f>IFERROR(__xludf.DUMMYFUNCTION("IFERROR(
  FILTER('CBK Students'!R:R, TRIM('CBK Students'!B:B) = TRIM(A966)),
  """"
)"),"#REF!")</f>
        <v>#REF!</v>
      </c>
      <c r="Y966" s="4" t="str">
        <f t="shared" si="2"/>
        <v/>
      </c>
      <c r="Z966" s="4" t="str">
        <f>IFERROR(__xludf.DUMMYFUNCTION("IFERROR(
  FILTER('CBK Students'!O:O, TRIM('CBK Students'!B:B) = TRIM(A966)),
  """"
)"),"#REF!")</f>
        <v>#REF!</v>
      </c>
      <c r="AA966" s="4" t="str">
        <f>IFERROR(__xludf.DUMMYFUNCTION("IFERROR(
  FILTER('CBK Students'!P:P, TRIM('CBK Students'!B:B) = TRIM(A966)),
  """"
)"),"#REF!")</f>
        <v>#REF!</v>
      </c>
      <c r="AB966" s="4" t="str">
        <f>IFERROR(__xludf.DUMMYFUNCTION("IFERROR(
  FILTER('CBK Students'!Q:Q, TRIM('CBK Students'!B:B) = TRIM(A966)),
  """"
)"),"#REF!")</f>
        <v>#REF!</v>
      </c>
    </row>
    <row r="967" ht="18.75" customHeight="1">
      <c r="T967" s="240" t="str">
        <f>IFERROR(__xludf.DUMMYFUNCTION("IFERROR(
  FILTER('CBK Students'!F:F, TRIM('CBK Students'!B:B) = TRIM(A967)),
  """"
)"),"#REF!")</f>
        <v>#REF!</v>
      </c>
      <c r="U967" s="240" t="str">
        <f>IFERROR(__xludf.DUMMYFUNCTION("IFERROR(
  FILTER('CBK Students'!H:H, TRIM('CBK Students'!B:B) = TRIM(A967)),
  """"
)"),"#REF!")</f>
        <v>#REF!</v>
      </c>
      <c r="V967" s="240" t="str">
        <f>IFERROR(__xludf.DUMMYFUNCTION("IFERROR(
  FILTER('CBK Students'!M:M, TRIM('CBK Students'!B:B) = TRIM(A967)),
  """"
)"),"#REF!")</f>
        <v>#REF!</v>
      </c>
      <c r="W967" s="240" t="str">
        <f t="shared" si="1"/>
        <v/>
      </c>
      <c r="X967" s="240" t="str">
        <f>IFERROR(__xludf.DUMMYFUNCTION("IFERROR(
  FILTER('CBK Students'!R:R, TRIM('CBK Students'!B:B) = TRIM(A967)),
  """"
)"),"#REF!")</f>
        <v>#REF!</v>
      </c>
      <c r="Y967" s="4" t="str">
        <f t="shared" si="2"/>
        <v/>
      </c>
      <c r="Z967" s="4" t="str">
        <f>IFERROR(__xludf.DUMMYFUNCTION("IFERROR(
  FILTER('CBK Students'!O:O, TRIM('CBK Students'!B:B) = TRIM(A967)),
  """"
)"),"#REF!")</f>
        <v>#REF!</v>
      </c>
      <c r="AA967" s="4" t="str">
        <f>IFERROR(__xludf.DUMMYFUNCTION("IFERROR(
  FILTER('CBK Students'!P:P, TRIM('CBK Students'!B:B) = TRIM(A967)),
  """"
)"),"#REF!")</f>
        <v>#REF!</v>
      </c>
      <c r="AB967" s="4" t="str">
        <f>IFERROR(__xludf.DUMMYFUNCTION("IFERROR(
  FILTER('CBK Students'!Q:Q, TRIM('CBK Students'!B:B) = TRIM(A967)),
  """"
)"),"#REF!")</f>
        <v>#REF!</v>
      </c>
    </row>
    <row r="968" ht="18.75" customHeight="1">
      <c r="T968" s="240" t="str">
        <f>IFERROR(__xludf.DUMMYFUNCTION("IFERROR(
  FILTER('CBK Students'!F:F, TRIM('CBK Students'!B:B) = TRIM(A968)),
  """"
)"),"#REF!")</f>
        <v>#REF!</v>
      </c>
      <c r="U968" s="240" t="str">
        <f>IFERROR(__xludf.DUMMYFUNCTION("IFERROR(
  FILTER('CBK Students'!H:H, TRIM('CBK Students'!B:B) = TRIM(A968)),
  """"
)"),"#REF!")</f>
        <v>#REF!</v>
      </c>
      <c r="V968" s="240" t="str">
        <f>IFERROR(__xludf.DUMMYFUNCTION("IFERROR(
  FILTER('CBK Students'!M:M, TRIM('CBK Students'!B:B) = TRIM(A968)),
  """"
)"),"#REF!")</f>
        <v>#REF!</v>
      </c>
      <c r="W968" s="240" t="str">
        <f t="shared" si="1"/>
        <v/>
      </c>
      <c r="X968" s="240" t="str">
        <f>IFERROR(__xludf.DUMMYFUNCTION("IFERROR(
  FILTER('CBK Students'!R:R, TRIM('CBK Students'!B:B) = TRIM(A968)),
  """"
)"),"#REF!")</f>
        <v>#REF!</v>
      </c>
      <c r="Y968" s="4" t="str">
        <f t="shared" si="2"/>
        <v/>
      </c>
      <c r="Z968" s="4" t="str">
        <f>IFERROR(__xludf.DUMMYFUNCTION("IFERROR(
  FILTER('CBK Students'!O:O, TRIM('CBK Students'!B:B) = TRIM(A968)),
  """"
)"),"#REF!")</f>
        <v>#REF!</v>
      </c>
      <c r="AA968" s="4" t="str">
        <f>IFERROR(__xludf.DUMMYFUNCTION("IFERROR(
  FILTER('CBK Students'!P:P, TRIM('CBK Students'!B:B) = TRIM(A968)),
  """"
)"),"#REF!")</f>
        <v>#REF!</v>
      </c>
      <c r="AB968" s="4" t="str">
        <f>IFERROR(__xludf.DUMMYFUNCTION("IFERROR(
  FILTER('CBK Students'!Q:Q, TRIM('CBK Students'!B:B) = TRIM(A968)),
  """"
)"),"#REF!")</f>
        <v>#REF!</v>
      </c>
    </row>
    <row r="969" ht="18.75" customHeight="1">
      <c r="T969" s="240" t="str">
        <f>IFERROR(__xludf.DUMMYFUNCTION("IFERROR(
  FILTER('CBK Students'!F:F, TRIM('CBK Students'!B:B) = TRIM(A969)),
  """"
)"),"#REF!")</f>
        <v>#REF!</v>
      </c>
      <c r="U969" s="240" t="str">
        <f>IFERROR(__xludf.DUMMYFUNCTION("IFERROR(
  FILTER('CBK Students'!H:H, TRIM('CBK Students'!B:B) = TRIM(A969)),
  """"
)"),"#REF!")</f>
        <v>#REF!</v>
      </c>
      <c r="V969" s="240" t="str">
        <f>IFERROR(__xludf.DUMMYFUNCTION("IFERROR(
  FILTER('CBK Students'!M:M, TRIM('CBK Students'!B:B) = TRIM(A969)),
  """"
)"),"#REF!")</f>
        <v>#REF!</v>
      </c>
      <c r="W969" s="240" t="str">
        <f t="shared" si="1"/>
        <v/>
      </c>
      <c r="X969" s="240" t="str">
        <f>IFERROR(__xludf.DUMMYFUNCTION("IFERROR(
  FILTER('CBK Students'!R:R, TRIM('CBK Students'!B:B) = TRIM(A969)),
  """"
)"),"#REF!")</f>
        <v>#REF!</v>
      </c>
      <c r="Y969" s="4" t="str">
        <f t="shared" si="2"/>
        <v/>
      </c>
      <c r="Z969" s="4" t="str">
        <f>IFERROR(__xludf.DUMMYFUNCTION("IFERROR(
  FILTER('CBK Students'!O:O, TRIM('CBK Students'!B:B) = TRIM(A969)),
  """"
)"),"#REF!")</f>
        <v>#REF!</v>
      </c>
      <c r="AA969" s="4" t="str">
        <f>IFERROR(__xludf.DUMMYFUNCTION("IFERROR(
  FILTER('CBK Students'!P:P, TRIM('CBK Students'!B:B) = TRIM(A969)),
  """"
)"),"#REF!")</f>
        <v>#REF!</v>
      </c>
      <c r="AB969" s="4" t="str">
        <f>IFERROR(__xludf.DUMMYFUNCTION("IFERROR(
  FILTER('CBK Students'!Q:Q, TRIM('CBK Students'!B:B) = TRIM(A969)),
  """"
)"),"#REF!")</f>
        <v>#REF!</v>
      </c>
    </row>
    <row r="970" ht="18.75" customHeight="1">
      <c r="T970" s="240" t="str">
        <f>IFERROR(__xludf.DUMMYFUNCTION("IFERROR(
  FILTER('CBK Students'!F:F, TRIM('CBK Students'!B:B) = TRIM(A970)),
  """"
)"),"#REF!")</f>
        <v>#REF!</v>
      </c>
      <c r="U970" s="240" t="str">
        <f>IFERROR(__xludf.DUMMYFUNCTION("IFERROR(
  FILTER('CBK Students'!H:H, TRIM('CBK Students'!B:B) = TRIM(A970)),
  """"
)"),"#REF!")</f>
        <v>#REF!</v>
      </c>
      <c r="V970" s="240" t="str">
        <f>IFERROR(__xludf.DUMMYFUNCTION("IFERROR(
  FILTER('CBK Students'!M:M, TRIM('CBK Students'!B:B) = TRIM(A970)),
  """"
)"),"#REF!")</f>
        <v>#REF!</v>
      </c>
      <c r="W970" s="240" t="str">
        <f t="shared" si="1"/>
        <v/>
      </c>
      <c r="X970" s="240" t="str">
        <f>IFERROR(__xludf.DUMMYFUNCTION("IFERROR(
  FILTER('CBK Students'!R:R, TRIM('CBK Students'!B:B) = TRIM(A970)),
  """"
)"),"#REF!")</f>
        <v>#REF!</v>
      </c>
      <c r="Y970" s="4" t="str">
        <f t="shared" si="2"/>
        <v/>
      </c>
      <c r="Z970" s="4" t="str">
        <f>IFERROR(__xludf.DUMMYFUNCTION("IFERROR(
  FILTER('CBK Students'!O:O, TRIM('CBK Students'!B:B) = TRIM(A970)),
  """"
)"),"#REF!")</f>
        <v>#REF!</v>
      </c>
      <c r="AA970" s="4" t="str">
        <f>IFERROR(__xludf.DUMMYFUNCTION("IFERROR(
  FILTER('CBK Students'!P:P, TRIM('CBK Students'!B:B) = TRIM(A970)),
  """"
)"),"#REF!")</f>
        <v>#REF!</v>
      </c>
      <c r="AB970" s="4" t="str">
        <f>IFERROR(__xludf.DUMMYFUNCTION("IFERROR(
  FILTER('CBK Students'!Q:Q, TRIM('CBK Students'!B:B) = TRIM(A970)),
  """"
)"),"#REF!")</f>
        <v>#REF!</v>
      </c>
    </row>
    <row r="971" ht="18.75" customHeight="1">
      <c r="T971" s="240" t="str">
        <f>IFERROR(__xludf.DUMMYFUNCTION("IFERROR(
  FILTER('CBK Students'!F:F, TRIM('CBK Students'!B:B) = TRIM(A971)),
  """"
)"),"#REF!")</f>
        <v>#REF!</v>
      </c>
      <c r="U971" s="240" t="str">
        <f>IFERROR(__xludf.DUMMYFUNCTION("IFERROR(
  FILTER('CBK Students'!H:H, TRIM('CBK Students'!B:B) = TRIM(A971)),
  """"
)"),"#REF!")</f>
        <v>#REF!</v>
      </c>
      <c r="V971" s="240" t="str">
        <f>IFERROR(__xludf.DUMMYFUNCTION("IFERROR(
  FILTER('CBK Students'!M:M, TRIM('CBK Students'!B:B) = TRIM(A971)),
  """"
)"),"#REF!")</f>
        <v>#REF!</v>
      </c>
      <c r="W971" s="240" t="str">
        <f t="shared" si="1"/>
        <v/>
      </c>
      <c r="X971" s="240" t="str">
        <f>IFERROR(__xludf.DUMMYFUNCTION("IFERROR(
  FILTER('CBK Students'!R:R, TRIM('CBK Students'!B:B) = TRIM(A971)),
  """"
)"),"#REF!")</f>
        <v>#REF!</v>
      </c>
      <c r="Y971" s="4" t="str">
        <f t="shared" si="2"/>
        <v/>
      </c>
      <c r="Z971" s="4" t="str">
        <f>IFERROR(__xludf.DUMMYFUNCTION("IFERROR(
  FILTER('CBK Students'!O:O, TRIM('CBK Students'!B:B) = TRIM(A971)),
  """"
)"),"#REF!")</f>
        <v>#REF!</v>
      </c>
      <c r="AA971" s="4" t="str">
        <f>IFERROR(__xludf.DUMMYFUNCTION("IFERROR(
  FILTER('CBK Students'!P:P, TRIM('CBK Students'!B:B) = TRIM(A971)),
  """"
)"),"#REF!")</f>
        <v>#REF!</v>
      </c>
      <c r="AB971" s="4" t="str">
        <f>IFERROR(__xludf.DUMMYFUNCTION("IFERROR(
  FILTER('CBK Students'!Q:Q, TRIM('CBK Students'!B:B) = TRIM(A971)),
  """"
)"),"#REF!")</f>
        <v>#REF!</v>
      </c>
    </row>
    <row r="972" ht="18.75" customHeight="1">
      <c r="T972" s="240" t="str">
        <f>IFERROR(__xludf.DUMMYFUNCTION("IFERROR(
  FILTER('CBK Students'!F:F, TRIM('CBK Students'!B:B) = TRIM(A972)),
  """"
)"),"#REF!")</f>
        <v>#REF!</v>
      </c>
      <c r="U972" s="240" t="str">
        <f>IFERROR(__xludf.DUMMYFUNCTION("IFERROR(
  FILTER('CBK Students'!H:H, TRIM('CBK Students'!B:B) = TRIM(A972)),
  """"
)"),"#REF!")</f>
        <v>#REF!</v>
      </c>
      <c r="V972" s="240" t="str">
        <f>IFERROR(__xludf.DUMMYFUNCTION("IFERROR(
  FILTER('CBK Students'!M:M, TRIM('CBK Students'!B:B) = TRIM(A972)),
  """"
)"),"#REF!")</f>
        <v>#REF!</v>
      </c>
      <c r="W972" s="240" t="str">
        <f t="shared" si="1"/>
        <v/>
      </c>
      <c r="X972" s="240" t="str">
        <f>IFERROR(__xludf.DUMMYFUNCTION("IFERROR(
  FILTER('CBK Students'!R:R, TRIM('CBK Students'!B:B) = TRIM(A972)),
  """"
)"),"#REF!")</f>
        <v>#REF!</v>
      </c>
      <c r="Y972" s="4" t="str">
        <f t="shared" si="2"/>
        <v/>
      </c>
      <c r="Z972" s="4" t="str">
        <f>IFERROR(__xludf.DUMMYFUNCTION("IFERROR(
  FILTER('CBK Students'!O:O, TRIM('CBK Students'!B:B) = TRIM(A972)),
  """"
)"),"#REF!")</f>
        <v>#REF!</v>
      </c>
      <c r="AA972" s="4" t="str">
        <f>IFERROR(__xludf.DUMMYFUNCTION("IFERROR(
  FILTER('CBK Students'!P:P, TRIM('CBK Students'!B:B) = TRIM(A972)),
  """"
)"),"#REF!")</f>
        <v>#REF!</v>
      </c>
      <c r="AB972" s="4" t="str">
        <f>IFERROR(__xludf.DUMMYFUNCTION("IFERROR(
  FILTER('CBK Students'!Q:Q, TRIM('CBK Students'!B:B) = TRIM(A972)),
  """"
)"),"#REF!")</f>
        <v>#REF!</v>
      </c>
    </row>
    <row r="973" ht="18.75" customHeight="1">
      <c r="T973" s="240" t="str">
        <f>IFERROR(__xludf.DUMMYFUNCTION("IFERROR(
  FILTER('CBK Students'!F:F, TRIM('CBK Students'!B:B) = TRIM(A973)),
  """"
)"),"#REF!")</f>
        <v>#REF!</v>
      </c>
      <c r="U973" s="240" t="str">
        <f>IFERROR(__xludf.DUMMYFUNCTION("IFERROR(
  FILTER('CBK Students'!H:H, TRIM('CBK Students'!B:B) = TRIM(A973)),
  """"
)"),"#REF!")</f>
        <v>#REF!</v>
      </c>
      <c r="V973" s="240" t="str">
        <f>IFERROR(__xludf.DUMMYFUNCTION("IFERROR(
  FILTER('CBK Students'!M:M, TRIM('CBK Students'!B:B) = TRIM(A973)),
  """"
)"),"#REF!")</f>
        <v>#REF!</v>
      </c>
      <c r="W973" s="240" t="str">
        <f t="shared" si="1"/>
        <v/>
      </c>
      <c r="X973" s="240" t="str">
        <f>IFERROR(__xludf.DUMMYFUNCTION("IFERROR(
  FILTER('CBK Students'!R:R, TRIM('CBK Students'!B:B) = TRIM(A973)),
  """"
)"),"#REF!")</f>
        <v>#REF!</v>
      </c>
      <c r="Y973" s="4" t="str">
        <f t="shared" si="2"/>
        <v/>
      </c>
      <c r="Z973" s="4" t="str">
        <f>IFERROR(__xludf.DUMMYFUNCTION("IFERROR(
  FILTER('CBK Students'!O:O, TRIM('CBK Students'!B:B) = TRIM(A973)),
  """"
)"),"#REF!")</f>
        <v>#REF!</v>
      </c>
      <c r="AA973" s="4" t="str">
        <f>IFERROR(__xludf.DUMMYFUNCTION("IFERROR(
  FILTER('CBK Students'!P:P, TRIM('CBK Students'!B:B) = TRIM(A973)),
  """"
)"),"#REF!")</f>
        <v>#REF!</v>
      </c>
      <c r="AB973" s="4" t="str">
        <f>IFERROR(__xludf.DUMMYFUNCTION("IFERROR(
  FILTER('CBK Students'!Q:Q, TRIM('CBK Students'!B:B) = TRIM(A973)),
  """"
)"),"#REF!")</f>
        <v>#REF!</v>
      </c>
    </row>
    <row r="974" ht="18.75" customHeight="1">
      <c r="T974" s="240" t="str">
        <f>IFERROR(__xludf.DUMMYFUNCTION("IFERROR(
  FILTER('CBK Students'!F:F, TRIM('CBK Students'!B:B) = TRIM(A974)),
  """"
)"),"#REF!")</f>
        <v>#REF!</v>
      </c>
      <c r="U974" s="240" t="str">
        <f>IFERROR(__xludf.DUMMYFUNCTION("IFERROR(
  FILTER('CBK Students'!H:H, TRIM('CBK Students'!B:B) = TRIM(A974)),
  """"
)"),"#REF!")</f>
        <v>#REF!</v>
      </c>
      <c r="V974" s="240" t="str">
        <f>IFERROR(__xludf.DUMMYFUNCTION("IFERROR(
  FILTER('CBK Students'!M:M, TRIM('CBK Students'!B:B) = TRIM(A974)),
  """"
)"),"#REF!")</f>
        <v>#REF!</v>
      </c>
      <c r="W974" s="240" t="str">
        <f t="shared" si="1"/>
        <v/>
      </c>
      <c r="X974" s="240" t="str">
        <f>IFERROR(__xludf.DUMMYFUNCTION("IFERROR(
  FILTER('CBK Students'!R:R, TRIM('CBK Students'!B:B) = TRIM(A974)),
  """"
)"),"#REF!")</f>
        <v>#REF!</v>
      </c>
      <c r="Y974" s="4" t="str">
        <f t="shared" si="2"/>
        <v/>
      </c>
      <c r="Z974" s="4" t="str">
        <f>IFERROR(__xludf.DUMMYFUNCTION("IFERROR(
  FILTER('CBK Students'!O:O, TRIM('CBK Students'!B:B) = TRIM(A974)),
  """"
)"),"#REF!")</f>
        <v>#REF!</v>
      </c>
      <c r="AA974" s="4" t="str">
        <f>IFERROR(__xludf.DUMMYFUNCTION("IFERROR(
  FILTER('CBK Students'!P:P, TRIM('CBK Students'!B:B) = TRIM(A974)),
  """"
)"),"#REF!")</f>
        <v>#REF!</v>
      </c>
      <c r="AB974" s="4" t="str">
        <f>IFERROR(__xludf.DUMMYFUNCTION("IFERROR(
  FILTER('CBK Students'!Q:Q, TRIM('CBK Students'!B:B) = TRIM(A974)),
  """"
)"),"#REF!")</f>
        <v>#REF!</v>
      </c>
    </row>
    <row r="975" ht="18.75" customHeight="1">
      <c r="T975" s="240" t="str">
        <f>IFERROR(__xludf.DUMMYFUNCTION("IFERROR(
  FILTER('CBK Students'!F:F, TRIM('CBK Students'!B:B) = TRIM(A975)),
  """"
)"),"#REF!")</f>
        <v>#REF!</v>
      </c>
      <c r="U975" s="240" t="str">
        <f>IFERROR(__xludf.DUMMYFUNCTION("IFERROR(
  FILTER('CBK Students'!H:H, TRIM('CBK Students'!B:B) = TRIM(A975)),
  """"
)"),"#REF!")</f>
        <v>#REF!</v>
      </c>
      <c r="V975" s="240" t="str">
        <f>IFERROR(__xludf.DUMMYFUNCTION("IFERROR(
  FILTER('CBK Students'!M:M, TRIM('CBK Students'!B:B) = TRIM(A975)),
  """"
)"),"#REF!")</f>
        <v>#REF!</v>
      </c>
      <c r="W975" s="240" t="str">
        <f t="shared" si="1"/>
        <v/>
      </c>
      <c r="X975" s="240" t="str">
        <f>IFERROR(__xludf.DUMMYFUNCTION("IFERROR(
  FILTER('CBK Students'!R:R, TRIM('CBK Students'!B:B) = TRIM(A975)),
  """"
)"),"#REF!")</f>
        <v>#REF!</v>
      </c>
      <c r="Y975" s="4" t="str">
        <f t="shared" si="2"/>
        <v/>
      </c>
      <c r="Z975" s="4" t="str">
        <f>IFERROR(__xludf.DUMMYFUNCTION("IFERROR(
  FILTER('CBK Students'!O:O, TRIM('CBK Students'!B:B) = TRIM(A975)),
  """"
)"),"#REF!")</f>
        <v>#REF!</v>
      </c>
      <c r="AA975" s="4" t="str">
        <f>IFERROR(__xludf.DUMMYFUNCTION("IFERROR(
  FILTER('CBK Students'!P:P, TRIM('CBK Students'!B:B) = TRIM(A975)),
  """"
)"),"#REF!")</f>
        <v>#REF!</v>
      </c>
      <c r="AB975" s="4" t="str">
        <f>IFERROR(__xludf.DUMMYFUNCTION("IFERROR(
  FILTER('CBK Students'!Q:Q, TRIM('CBK Students'!B:B) = TRIM(A975)),
  """"
)"),"#REF!")</f>
        <v>#REF!</v>
      </c>
    </row>
    <row r="976" ht="18.75" customHeight="1">
      <c r="T976" s="240" t="str">
        <f>IFERROR(__xludf.DUMMYFUNCTION("IFERROR(
  FILTER('CBK Students'!F:F, TRIM('CBK Students'!B:B) = TRIM(A976)),
  """"
)"),"#REF!")</f>
        <v>#REF!</v>
      </c>
      <c r="U976" s="240" t="str">
        <f>IFERROR(__xludf.DUMMYFUNCTION("IFERROR(
  FILTER('CBK Students'!H:H, TRIM('CBK Students'!B:B) = TRIM(A976)),
  """"
)"),"#REF!")</f>
        <v>#REF!</v>
      </c>
      <c r="V976" s="240" t="str">
        <f>IFERROR(__xludf.DUMMYFUNCTION("IFERROR(
  FILTER('CBK Students'!M:M, TRIM('CBK Students'!B:B) = TRIM(A976)),
  """"
)"),"#REF!")</f>
        <v>#REF!</v>
      </c>
      <c r="W976" s="240" t="str">
        <f t="shared" si="1"/>
        <v/>
      </c>
      <c r="X976" s="240" t="str">
        <f>IFERROR(__xludf.DUMMYFUNCTION("IFERROR(
  FILTER('CBK Students'!R:R, TRIM('CBK Students'!B:B) = TRIM(A976)),
  """"
)"),"#REF!")</f>
        <v>#REF!</v>
      </c>
      <c r="Y976" s="4" t="str">
        <f t="shared" si="2"/>
        <v/>
      </c>
      <c r="Z976" s="4" t="str">
        <f>IFERROR(__xludf.DUMMYFUNCTION("IFERROR(
  FILTER('CBK Students'!O:O, TRIM('CBK Students'!B:B) = TRIM(A976)),
  """"
)"),"#REF!")</f>
        <v>#REF!</v>
      </c>
      <c r="AA976" s="4" t="str">
        <f>IFERROR(__xludf.DUMMYFUNCTION("IFERROR(
  FILTER('CBK Students'!P:P, TRIM('CBK Students'!B:B) = TRIM(A976)),
  """"
)"),"#REF!")</f>
        <v>#REF!</v>
      </c>
      <c r="AB976" s="4" t="str">
        <f>IFERROR(__xludf.DUMMYFUNCTION("IFERROR(
  FILTER('CBK Students'!Q:Q, TRIM('CBK Students'!B:B) = TRIM(A976)),
  """"
)"),"#REF!")</f>
        <v>#REF!</v>
      </c>
    </row>
    <row r="977" ht="18.75" customHeight="1">
      <c r="T977" s="240" t="str">
        <f>IFERROR(__xludf.DUMMYFUNCTION("IFERROR(
  FILTER('CBK Students'!F:F, TRIM('CBK Students'!B:B) = TRIM(A977)),
  """"
)"),"#REF!")</f>
        <v>#REF!</v>
      </c>
      <c r="U977" s="240" t="str">
        <f>IFERROR(__xludf.DUMMYFUNCTION("IFERROR(
  FILTER('CBK Students'!H:H, TRIM('CBK Students'!B:B) = TRIM(A977)),
  """"
)"),"#REF!")</f>
        <v>#REF!</v>
      </c>
      <c r="V977" s="240" t="str">
        <f>IFERROR(__xludf.DUMMYFUNCTION("IFERROR(
  FILTER('CBK Students'!M:M, TRIM('CBK Students'!B:B) = TRIM(A977)),
  """"
)"),"#REF!")</f>
        <v>#REF!</v>
      </c>
      <c r="W977" s="240" t="str">
        <f t="shared" si="1"/>
        <v/>
      </c>
      <c r="X977" s="240" t="str">
        <f>IFERROR(__xludf.DUMMYFUNCTION("IFERROR(
  FILTER('CBK Students'!R:R, TRIM('CBK Students'!B:B) = TRIM(A977)),
  """"
)"),"#REF!")</f>
        <v>#REF!</v>
      </c>
      <c r="Y977" s="4" t="str">
        <f t="shared" si="2"/>
        <v/>
      </c>
      <c r="Z977" s="4" t="str">
        <f>IFERROR(__xludf.DUMMYFUNCTION("IFERROR(
  FILTER('CBK Students'!O:O, TRIM('CBK Students'!B:B) = TRIM(A977)),
  """"
)"),"#REF!")</f>
        <v>#REF!</v>
      </c>
      <c r="AA977" s="4" t="str">
        <f>IFERROR(__xludf.DUMMYFUNCTION("IFERROR(
  FILTER('CBK Students'!P:P, TRIM('CBK Students'!B:B) = TRIM(A977)),
  """"
)"),"#REF!")</f>
        <v>#REF!</v>
      </c>
      <c r="AB977" s="4" t="str">
        <f>IFERROR(__xludf.DUMMYFUNCTION("IFERROR(
  FILTER('CBK Students'!Q:Q, TRIM('CBK Students'!B:B) = TRIM(A977)),
  """"
)"),"#REF!")</f>
        <v>#REF!</v>
      </c>
    </row>
    <row r="978" ht="18.75" customHeight="1">
      <c r="T978" s="240" t="str">
        <f>IFERROR(__xludf.DUMMYFUNCTION("IFERROR(
  FILTER('CBK Students'!F:F, TRIM('CBK Students'!B:B) = TRIM(A978)),
  """"
)"),"#REF!")</f>
        <v>#REF!</v>
      </c>
      <c r="U978" s="240" t="str">
        <f>IFERROR(__xludf.DUMMYFUNCTION("IFERROR(
  FILTER('CBK Students'!H:H, TRIM('CBK Students'!B:B) = TRIM(A978)),
  """"
)"),"#REF!")</f>
        <v>#REF!</v>
      </c>
      <c r="V978" s="240" t="str">
        <f>IFERROR(__xludf.DUMMYFUNCTION("IFERROR(
  FILTER('CBK Students'!M:M, TRIM('CBK Students'!B:B) = TRIM(A978)),
  """"
)"),"#REF!")</f>
        <v>#REF!</v>
      </c>
      <c r="W978" s="240" t="str">
        <f t="shared" si="1"/>
        <v/>
      </c>
      <c r="X978" s="240" t="str">
        <f>IFERROR(__xludf.DUMMYFUNCTION("IFERROR(
  FILTER('CBK Students'!R:R, TRIM('CBK Students'!B:B) = TRIM(A978)),
  """"
)"),"#REF!")</f>
        <v>#REF!</v>
      </c>
      <c r="Y978" s="4" t="str">
        <f t="shared" si="2"/>
        <v/>
      </c>
      <c r="Z978" s="4" t="str">
        <f>IFERROR(__xludf.DUMMYFUNCTION("IFERROR(
  FILTER('CBK Students'!O:O, TRIM('CBK Students'!B:B) = TRIM(A978)),
  """"
)"),"#REF!")</f>
        <v>#REF!</v>
      </c>
      <c r="AA978" s="4" t="str">
        <f>IFERROR(__xludf.DUMMYFUNCTION("IFERROR(
  FILTER('CBK Students'!P:P, TRIM('CBK Students'!B:B) = TRIM(A978)),
  """"
)"),"#REF!")</f>
        <v>#REF!</v>
      </c>
      <c r="AB978" s="4" t="str">
        <f>IFERROR(__xludf.DUMMYFUNCTION("IFERROR(
  FILTER('CBK Students'!Q:Q, TRIM('CBK Students'!B:B) = TRIM(A978)),
  """"
)"),"#REF!")</f>
        <v>#REF!</v>
      </c>
    </row>
    <row r="979" ht="18.75" customHeight="1">
      <c r="T979" s="240" t="str">
        <f>IFERROR(__xludf.DUMMYFUNCTION("IFERROR(
  FILTER('CBK Students'!F:F, TRIM('CBK Students'!B:B) = TRIM(A979)),
  """"
)"),"#REF!")</f>
        <v>#REF!</v>
      </c>
      <c r="U979" s="240" t="str">
        <f>IFERROR(__xludf.DUMMYFUNCTION("IFERROR(
  FILTER('CBK Students'!H:H, TRIM('CBK Students'!B:B) = TRIM(A979)),
  """"
)"),"#REF!")</f>
        <v>#REF!</v>
      </c>
      <c r="V979" s="240" t="str">
        <f>IFERROR(__xludf.DUMMYFUNCTION("IFERROR(
  FILTER('CBK Students'!M:M, TRIM('CBK Students'!B:B) = TRIM(A979)),
  """"
)"),"#REF!")</f>
        <v>#REF!</v>
      </c>
      <c r="W979" s="240" t="str">
        <f t="shared" si="1"/>
        <v/>
      </c>
      <c r="X979" s="240" t="str">
        <f>IFERROR(__xludf.DUMMYFUNCTION("IFERROR(
  FILTER('CBK Students'!R:R, TRIM('CBK Students'!B:B) = TRIM(A979)),
  """"
)"),"#REF!")</f>
        <v>#REF!</v>
      </c>
      <c r="Y979" s="4" t="str">
        <f t="shared" si="2"/>
        <v/>
      </c>
      <c r="Z979" s="4" t="str">
        <f>IFERROR(__xludf.DUMMYFUNCTION("IFERROR(
  FILTER('CBK Students'!O:O, TRIM('CBK Students'!B:B) = TRIM(A979)),
  """"
)"),"#REF!")</f>
        <v>#REF!</v>
      </c>
      <c r="AA979" s="4" t="str">
        <f>IFERROR(__xludf.DUMMYFUNCTION("IFERROR(
  FILTER('CBK Students'!P:P, TRIM('CBK Students'!B:B) = TRIM(A979)),
  """"
)"),"#REF!")</f>
        <v>#REF!</v>
      </c>
      <c r="AB979" s="4" t="str">
        <f>IFERROR(__xludf.DUMMYFUNCTION("IFERROR(
  FILTER('CBK Students'!Q:Q, TRIM('CBK Students'!B:B) = TRIM(A979)),
  """"
)"),"#REF!")</f>
        <v>#REF!</v>
      </c>
    </row>
    <row r="980" ht="18.75" customHeight="1">
      <c r="T980" s="240" t="str">
        <f>IFERROR(__xludf.DUMMYFUNCTION("IFERROR(
  FILTER('CBK Students'!F:F, TRIM('CBK Students'!B:B) = TRIM(A980)),
  """"
)"),"#REF!")</f>
        <v>#REF!</v>
      </c>
      <c r="U980" s="240" t="str">
        <f>IFERROR(__xludf.DUMMYFUNCTION("IFERROR(
  FILTER('CBK Students'!H:H, TRIM('CBK Students'!B:B) = TRIM(A980)),
  """"
)"),"#REF!")</f>
        <v>#REF!</v>
      </c>
      <c r="V980" s="240" t="str">
        <f>IFERROR(__xludf.DUMMYFUNCTION("IFERROR(
  FILTER('CBK Students'!M:M, TRIM('CBK Students'!B:B) = TRIM(A980)),
  """"
)"),"#REF!")</f>
        <v>#REF!</v>
      </c>
      <c r="W980" s="240" t="str">
        <f t="shared" si="1"/>
        <v/>
      </c>
      <c r="X980" s="240" t="str">
        <f>IFERROR(__xludf.DUMMYFUNCTION("IFERROR(
  FILTER('CBK Students'!R:R, TRIM('CBK Students'!B:B) = TRIM(A980)),
  """"
)"),"#REF!")</f>
        <v>#REF!</v>
      </c>
      <c r="Y980" s="4" t="str">
        <f t="shared" si="2"/>
        <v/>
      </c>
      <c r="Z980" s="4" t="str">
        <f>IFERROR(__xludf.DUMMYFUNCTION("IFERROR(
  FILTER('CBK Students'!O:O, TRIM('CBK Students'!B:B) = TRIM(A980)),
  """"
)"),"#REF!")</f>
        <v>#REF!</v>
      </c>
      <c r="AA980" s="4" t="str">
        <f>IFERROR(__xludf.DUMMYFUNCTION("IFERROR(
  FILTER('CBK Students'!P:P, TRIM('CBK Students'!B:B) = TRIM(A980)),
  """"
)"),"#REF!")</f>
        <v>#REF!</v>
      </c>
      <c r="AB980" s="4" t="str">
        <f>IFERROR(__xludf.DUMMYFUNCTION("IFERROR(
  FILTER('CBK Students'!Q:Q, TRIM('CBK Students'!B:B) = TRIM(A980)),
  """"
)"),"#REF!")</f>
        <v>#REF!</v>
      </c>
    </row>
    <row r="981" ht="18.75" customHeight="1">
      <c r="T981" s="240" t="str">
        <f>IFERROR(__xludf.DUMMYFUNCTION("IFERROR(
  FILTER('CBK Students'!F:F, TRIM('CBK Students'!B:B) = TRIM(A981)),
  """"
)"),"#REF!")</f>
        <v>#REF!</v>
      </c>
      <c r="U981" s="240" t="str">
        <f>IFERROR(__xludf.DUMMYFUNCTION("IFERROR(
  FILTER('CBK Students'!H:H, TRIM('CBK Students'!B:B) = TRIM(A981)),
  """"
)"),"#REF!")</f>
        <v>#REF!</v>
      </c>
      <c r="V981" s="240" t="str">
        <f>IFERROR(__xludf.DUMMYFUNCTION("IFERROR(
  FILTER('CBK Students'!M:M, TRIM('CBK Students'!B:B) = TRIM(A981)),
  """"
)"),"#REF!")</f>
        <v>#REF!</v>
      </c>
      <c r="W981" s="240" t="str">
        <f t="shared" si="1"/>
        <v/>
      </c>
      <c r="X981" s="240" t="str">
        <f>IFERROR(__xludf.DUMMYFUNCTION("IFERROR(
  FILTER('CBK Students'!R:R, TRIM('CBK Students'!B:B) = TRIM(A981)),
  """"
)"),"#REF!")</f>
        <v>#REF!</v>
      </c>
      <c r="Y981" s="4" t="str">
        <f t="shared" si="2"/>
        <v/>
      </c>
      <c r="Z981" s="4" t="str">
        <f>IFERROR(__xludf.DUMMYFUNCTION("IFERROR(
  FILTER('CBK Students'!O:O, TRIM('CBK Students'!B:B) = TRIM(A981)),
  """"
)"),"#REF!")</f>
        <v>#REF!</v>
      </c>
      <c r="AA981" s="4" t="str">
        <f>IFERROR(__xludf.DUMMYFUNCTION("IFERROR(
  FILTER('CBK Students'!P:P, TRIM('CBK Students'!B:B) = TRIM(A981)),
  """"
)"),"#REF!")</f>
        <v>#REF!</v>
      </c>
      <c r="AB981" s="4" t="str">
        <f>IFERROR(__xludf.DUMMYFUNCTION("IFERROR(
  FILTER('CBK Students'!Q:Q, TRIM('CBK Students'!B:B) = TRIM(A981)),
  """"
)"),"#REF!")</f>
        <v>#REF!</v>
      </c>
    </row>
    <row r="982" ht="18.75" customHeight="1">
      <c r="T982" s="240" t="str">
        <f>IFERROR(__xludf.DUMMYFUNCTION("IFERROR(
  FILTER('CBK Students'!F:F, TRIM('CBK Students'!B:B) = TRIM(A982)),
  """"
)"),"#REF!")</f>
        <v>#REF!</v>
      </c>
      <c r="U982" s="240" t="str">
        <f>IFERROR(__xludf.DUMMYFUNCTION("IFERROR(
  FILTER('CBK Students'!H:H, TRIM('CBK Students'!B:B) = TRIM(A982)),
  """"
)"),"#REF!")</f>
        <v>#REF!</v>
      </c>
      <c r="V982" s="240" t="str">
        <f>IFERROR(__xludf.DUMMYFUNCTION("IFERROR(
  FILTER('CBK Students'!M:M, TRIM('CBK Students'!B:B) = TRIM(A982)),
  """"
)"),"#REF!")</f>
        <v>#REF!</v>
      </c>
      <c r="W982" s="240" t="str">
        <f t="shared" si="1"/>
        <v/>
      </c>
      <c r="X982" s="240" t="str">
        <f>IFERROR(__xludf.DUMMYFUNCTION("IFERROR(
  FILTER('CBK Students'!R:R, TRIM('CBK Students'!B:B) = TRIM(A982)),
  """"
)"),"#REF!")</f>
        <v>#REF!</v>
      </c>
      <c r="Y982" s="4" t="str">
        <f t="shared" si="2"/>
        <v/>
      </c>
      <c r="Z982" s="4" t="str">
        <f>IFERROR(__xludf.DUMMYFUNCTION("IFERROR(
  FILTER('CBK Students'!O:O, TRIM('CBK Students'!B:B) = TRIM(A982)),
  """"
)"),"#REF!")</f>
        <v>#REF!</v>
      </c>
      <c r="AA982" s="4" t="str">
        <f>IFERROR(__xludf.DUMMYFUNCTION("IFERROR(
  FILTER('CBK Students'!P:P, TRIM('CBK Students'!B:B) = TRIM(A982)),
  """"
)"),"#REF!")</f>
        <v>#REF!</v>
      </c>
      <c r="AB982" s="4" t="str">
        <f>IFERROR(__xludf.DUMMYFUNCTION("IFERROR(
  FILTER('CBK Students'!Q:Q, TRIM('CBK Students'!B:B) = TRIM(A982)),
  """"
)"),"#REF!")</f>
        <v>#REF!</v>
      </c>
    </row>
    <row r="983" ht="18.75" customHeight="1">
      <c r="T983" s="240" t="str">
        <f>IFERROR(__xludf.DUMMYFUNCTION("IFERROR(
  FILTER('CBK Students'!F:F, TRIM('CBK Students'!B:B) = TRIM(A983)),
  """"
)"),"#REF!")</f>
        <v>#REF!</v>
      </c>
      <c r="U983" s="240" t="str">
        <f>IFERROR(__xludf.DUMMYFUNCTION("IFERROR(
  FILTER('CBK Students'!H:H, TRIM('CBK Students'!B:B) = TRIM(A983)),
  """"
)"),"#REF!")</f>
        <v>#REF!</v>
      </c>
      <c r="V983" s="240" t="str">
        <f>IFERROR(__xludf.DUMMYFUNCTION("IFERROR(
  FILTER('CBK Students'!M:M, TRIM('CBK Students'!B:B) = TRIM(A983)),
  """"
)"),"#REF!")</f>
        <v>#REF!</v>
      </c>
      <c r="W983" s="240" t="str">
        <f t="shared" si="1"/>
        <v/>
      </c>
      <c r="X983" s="240" t="str">
        <f>IFERROR(__xludf.DUMMYFUNCTION("IFERROR(
  FILTER('CBK Students'!R:R, TRIM('CBK Students'!B:B) = TRIM(A983)),
  """"
)"),"#REF!")</f>
        <v>#REF!</v>
      </c>
      <c r="Y983" s="4" t="str">
        <f t="shared" si="2"/>
        <v/>
      </c>
      <c r="Z983" s="4" t="str">
        <f>IFERROR(__xludf.DUMMYFUNCTION("IFERROR(
  FILTER('CBK Students'!O:O, TRIM('CBK Students'!B:B) = TRIM(A983)),
  """"
)"),"#REF!")</f>
        <v>#REF!</v>
      </c>
      <c r="AA983" s="4" t="str">
        <f>IFERROR(__xludf.DUMMYFUNCTION("IFERROR(
  FILTER('CBK Students'!P:P, TRIM('CBK Students'!B:B) = TRIM(A983)),
  """"
)"),"#REF!")</f>
        <v>#REF!</v>
      </c>
      <c r="AB983" s="4" t="str">
        <f>IFERROR(__xludf.DUMMYFUNCTION("IFERROR(
  FILTER('CBK Students'!Q:Q, TRIM('CBK Students'!B:B) = TRIM(A983)),
  """"
)"),"#REF!")</f>
        <v>#REF!</v>
      </c>
    </row>
    <row r="984" ht="18.75" customHeight="1">
      <c r="T984" s="240" t="str">
        <f>IFERROR(__xludf.DUMMYFUNCTION("IFERROR(
  FILTER('CBK Students'!F:F, TRIM('CBK Students'!B:B) = TRIM(A984)),
  """"
)"),"#REF!")</f>
        <v>#REF!</v>
      </c>
      <c r="U984" s="240" t="str">
        <f>IFERROR(__xludf.DUMMYFUNCTION("IFERROR(
  FILTER('CBK Students'!H:H, TRIM('CBK Students'!B:B) = TRIM(A984)),
  """"
)"),"#REF!")</f>
        <v>#REF!</v>
      </c>
      <c r="V984" s="240" t="str">
        <f>IFERROR(__xludf.DUMMYFUNCTION("IFERROR(
  FILTER('CBK Students'!M:M, TRIM('CBK Students'!B:B) = TRIM(A984)),
  """"
)"),"#REF!")</f>
        <v>#REF!</v>
      </c>
      <c r="W984" s="240" t="str">
        <f t="shared" si="1"/>
        <v/>
      </c>
      <c r="X984" s="240" t="str">
        <f>IFERROR(__xludf.DUMMYFUNCTION("IFERROR(
  FILTER('CBK Students'!R:R, TRIM('CBK Students'!B:B) = TRIM(A984)),
  """"
)"),"#REF!")</f>
        <v>#REF!</v>
      </c>
      <c r="Y984" s="4" t="str">
        <f t="shared" si="2"/>
        <v/>
      </c>
      <c r="Z984" s="4" t="str">
        <f>IFERROR(__xludf.DUMMYFUNCTION("IFERROR(
  FILTER('CBK Students'!O:O, TRIM('CBK Students'!B:B) = TRIM(A984)),
  """"
)"),"#REF!")</f>
        <v>#REF!</v>
      </c>
      <c r="AA984" s="4" t="str">
        <f>IFERROR(__xludf.DUMMYFUNCTION("IFERROR(
  FILTER('CBK Students'!P:P, TRIM('CBK Students'!B:B) = TRIM(A984)),
  """"
)"),"#REF!")</f>
        <v>#REF!</v>
      </c>
      <c r="AB984" s="4" t="str">
        <f>IFERROR(__xludf.DUMMYFUNCTION("IFERROR(
  FILTER('CBK Students'!Q:Q, TRIM('CBK Students'!B:B) = TRIM(A984)),
  """"
)"),"#REF!")</f>
        <v>#REF!</v>
      </c>
    </row>
    <row r="985" ht="18.75" customHeight="1">
      <c r="T985" s="240" t="str">
        <f>IFERROR(__xludf.DUMMYFUNCTION("IFERROR(
  FILTER('CBK Students'!F:F, TRIM('CBK Students'!B:B) = TRIM(A985)),
  """"
)"),"#REF!")</f>
        <v>#REF!</v>
      </c>
      <c r="U985" s="240" t="str">
        <f>IFERROR(__xludf.DUMMYFUNCTION("IFERROR(
  FILTER('CBK Students'!H:H, TRIM('CBK Students'!B:B) = TRIM(A985)),
  """"
)"),"#REF!")</f>
        <v>#REF!</v>
      </c>
      <c r="V985" s="240" t="str">
        <f>IFERROR(__xludf.DUMMYFUNCTION("IFERROR(
  FILTER('CBK Students'!M:M, TRIM('CBK Students'!B:B) = TRIM(A985)),
  """"
)"),"#REF!")</f>
        <v>#REF!</v>
      </c>
      <c r="W985" s="240" t="str">
        <f t="shared" si="1"/>
        <v/>
      </c>
      <c r="X985" s="240" t="str">
        <f>IFERROR(__xludf.DUMMYFUNCTION("IFERROR(
  FILTER('CBK Students'!R:R, TRIM('CBK Students'!B:B) = TRIM(A985)),
  """"
)"),"#REF!")</f>
        <v>#REF!</v>
      </c>
      <c r="Y985" s="4" t="str">
        <f t="shared" si="2"/>
        <v/>
      </c>
      <c r="Z985" s="4" t="str">
        <f>IFERROR(__xludf.DUMMYFUNCTION("IFERROR(
  FILTER('CBK Students'!O:O, TRIM('CBK Students'!B:B) = TRIM(A985)),
  """"
)"),"#REF!")</f>
        <v>#REF!</v>
      </c>
      <c r="AA985" s="4" t="str">
        <f>IFERROR(__xludf.DUMMYFUNCTION("IFERROR(
  FILTER('CBK Students'!P:P, TRIM('CBK Students'!B:B) = TRIM(A985)),
  """"
)"),"#REF!")</f>
        <v>#REF!</v>
      </c>
      <c r="AB985" s="4" t="str">
        <f>IFERROR(__xludf.DUMMYFUNCTION("IFERROR(
  FILTER('CBK Students'!Q:Q, TRIM('CBK Students'!B:B) = TRIM(A985)),
  """"
)"),"#REF!")</f>
        <v>#REF!</v>
      </c>
    </row>
    <row r="986" ht="18.75" customHeight="1">
      <c r="T986" s="240" t="str">
        <f>IFERROR(__xludf.DUMMYFUNCTION("IFERROR(
  FILTER('CBK Students'!F:F, TRIM('CBK Students'!B:B) = TRIM(A986)),
  """"
)"),"#REF!")</f>
        <v>#REF!</v>
      </c>
      <c r="U986" s="240" t="str">
        <f>IFERROR(__xludf.DUMMYFUNCTION("IFERROR(
  FILTER('CBK Students'!H:H, TRIM('CBK Students'!B:B) = TRIM(A986)),
  """"
)"),"#REF!")</f>
        <v>#REF!</v>
      </c>
      <c r="V986" s="240" t="str">
        <f>IFERROR(__xludf.DUMMYFUNCTION("IFERROR(
  FILTER('CBK Students'!M:M, TRIM('CBK Students'!B:B) = TRIM(A986)),
  """"
)"),"#REF!")</f>
        <v>#REF!</v>
      </c>
      <c r="W986" s="240" t="str">
        <f t="shared" si="1"/>
        <v/>
      </c>
      <c r="X986" s="240" t="str">
        <f>IFERROR(__xludf.DUMMYFUNCTION("IFERROR(
  FILTER('CBK Students'!R:R, TRIM('CBK Students'!B:B) = TRIM(A986)),
  """"
)"),"#REF!")</f>
        <v>#REF!</v>
      </c>
      <c r="Y986" s="4" t="str">
        <f t="shared" si="2"/>
        <v/>
      </c>
      <c r="Z986" s="4" t="str">
        <f>IFERROR(__xludf.DUMMYFUNCTION("IFERROR(
  FILTER('CBK Students'!O:O, TRIM('CBK Students'!B:B) = TRIM(A986)),
  """"
)"),"#REF!")</f>
        <v>#REF!</v>
      </c>
      <c r="AA986" s="4" t="str">
        <f>IFERROR(__xludf.DUMMYFUNCTION("IFERROR(
  FILTER('CBK Students'!P:P, TRIM('CBK Students'!B:B) = TRIM(A986)),
  """"
)"),"#REF!")</f>
        <v>#REF!</v>
      </c>
      <c r="AB986" s="4" t="str">
        <f>IFERROR(__xludf.DUMMYFUNCTION("IFERROR(
  FILTER('CBK Students'!Q:Q, TRIM('CBK Students'!B:B) = TRIM(A986)),
  """"
)"),"#REF!")</f>
        <v>#REF!</v>
      </c>
    </row>
    <row r="987" ht="18.75" customHeight="1">
      <c r="T987" s="240" t="str">
        <f>IFERROR(__xludf.DUMMYFUNCTION("IFERROR(
  FILTER('CBK Students'!F:F, TRIM('CBK Students'!B:B) = TRIM(A987)),
  """"
)"),"#REF!")</f>
        <v>#REF!</v>
      </c>
      <c r="U987" s="240" t="str">
        <f>IFERROR(__xludf.DUMMYFUNCTION("IFERROR(
  FILTER('CBK Students'!H:H, TRIM('CBK Students'!B:B) = TRIM(A987)),
  """"
)"),"#REF!")</f>
        <v>#REF!</v>
      </c>
      <c r="V987" s="240" t="str">
        <f>IFERROR(__xludf.DUMMYFUNCTION("IFERROR(
  FILTER('CBK Students'!M:M, TRIM('CBK Students'!B:B) = TRIM(A987)),
  """"
)"),"#REF!")</f>
        <v>#REF!</v>
      </c>
      <c r="W987" s="240" t="str">
        <f t="shared" si="1"/>
        <v/>
      </c>
      <c r="X987" s="240" t="str">
        <f>IFERROR(__xludf.DUMMYFUNCTION("IFERROR(
  FILTER('CBK Students'!R:R, TRIM('CBK Students'!B:B) = TRIM(A987)),
  """"
)"),"#REF!")</f>
        <v>#REF!</v>
      </c>
      <c r="Y987" s="4" t="str">
        <f t="shared" si="2"/>
        <v/>
      </c>
      <c r="Z987" s="4" t="str">
        <f>IFERROR(__xludf.DUMMYFUNCTION("IFERROR(
  FILTER('CBK Students'!O:O, TRIM('CBK Students'!B:B) = TRIM(A987)),
  """"
)"),"#REF!")</f>
        <v>#REF!</v>
      </c>
      <c r="AA987" s="4" t="str">
        <f>IFERROR(__xludf.DUMMYFUNCTION("IFERROR(
  FILTER('CBK Students'!P:P, TRIM('CBK Students'!B:B) = TRIM(A987)),
  """"
)"),"#REF!")</f>
        <v>#REF!</v>
      </c>
      <c r="AB987" s="4" t="str">
        <f>IFERROR(__xludf.DUMMYFUNCTION("IFERROR(
  FILTER('CBK Students'!Q:Q, TRIM('CBK Students'!B:B) = TRIM(A987)),
  """"
)"),"#REF!")</f>
        <v>#REF!</v>
      </c>
    </row>
    <row r="988" ht="18.75" customHeight="1">
      <c r="T988" s="240" t="str">
        <f>IFERROR(__xludf.DUMMYFUNCTION("IFERROR(
  FILTER('CBK Students'!F:F, TRIM('CBK Students'!B:B) = TRIM(A988)),
  """"
)"),"#REF!")</f>
        <v>#REF!</v>
      </c>
      <c r="U988" s="240" t="str">
        <f>IFERROR(__xludf.DUMMYFUNCTION("IFERROR(
  FILTER('CBK Students'!H:H, TRIM('CBK Students'!B:B) = TRIM(A988)),
  """"
)"),"#REF!")</f>
        <v>#REF!</v>
      </c>
      <c r="V988" s="240" t="str">
        <f>IFERROR(__xludf.DUMMYFUNCTION("IFERROR(
  FILTER('CBK Students'!M:M, TRIM('CBK Students'!B:B) = TRIM(A988)),
  """"
)"),"#REF!")</f>
        <v>#REF!</v>
      </c>
      <c r="W988" s="240" t="str">
        <f t="shared" si="1"/>
        <v/>
      </c>
      <c r="X988" s="240" t="str">
        <f>IFERROR(__xludf.DUMMYFUNCTION("IFERROR(
  FILTER('CBK Students'!R:R, TRIM('CBK Students'!B:B) = TRIM(A988)),
  """"
)"),"#REF!")</f>
        <v>#REF!</v>
      </c>
      <c r="Y988" s="4" t="str">
        <f t="shared" si="2"/>
        <v/>
      </c>
      <c r="Z988" s="4" t="str">
        <f>IFERROR(__xludf.DUMMYFUNCTION("IFERROR(
  FILTER('CBK Students'!O:O, TRIM('CBK Students'!B:B) = TRIM(A988)),
  """"
)"),"#REF!")</f>
        <v>#REF!</v>
      </c>
      <c r="AA988" s="4" t="str">
        <f>IFERROR(__xludf.DUMMYFUNCTION("IFERROR(
  FILTER('CBK Students'!P:P, TRIM('CBK Students'!B:B) = TRIM(A988)),
  """"
)"),"#REF!")</f>
        <v>#REF!</v>
      </c>
      <c r="AB988" s="4" t="str">
        <f>IFERROR(__xludf.DUMMYFUNCTION("IFERROR(
  FILTER('CBK Students'!Q:Q, TRIM('CBK Students'!B:B) = TRIM(A988)),
  """"
)"),"#REF!")</f>
        <v>#REF!</v>
      </c>
    </row>
    <row r="989" ht="18.75" customHeight="1">
      <c r="T989" s="240" t="str">
        <f>IFERROR(__xludf.DUMMYFUNCTION("IFERROR(
  FILTER('CBK Students'!F:F, TRIM('CBK Students'!B:B) = TRIM(A989)),
  """"
)"),"#REF!")</f>
        <v>#REF!</v>
      </c>
      <c r="U989" s="240" t="str">
        <f>IFERROR(__xludf.DUMMYFUNCTION("IFERROR(
  FILTER('CBK Students'!H:H, TRIM('CBK Students'!B:B) = TRIM(A989)),
  """"
)"),"#REF!")</f>
        <v>#REF!</v>
      </c>
      <c r="V989" s="240" t="str">
        <f>IFERROR(__xludf.DUMMYFUNCTION("IFERROR(
  FILTER('CBK Students'!M:M, TRIM('CBK Students'!B:B) = TRIM(A989)),
  """"
)"),"#REF!")</f>
        <v>#REF!</v>
      </c>
      <c r="W989" s="240" t="str">
        <f t="shared" si="1"/>
        <v/>
      </c>
      <c r="X989" s="240" t="str">
        <f>IFERROR(__xludf.DUMMYFUNCTION("IFERROR(
  FILTER('CBK Students'!R:R, TRIM('CBK Students'!B:B) = TRIM(A989)),
  """"
)"),"#REF!")</f>
        <v>#REF!</v>
      </c>
      <c r="Y989" s="4" t="str">
        <f t="shared" si="2"/>
        <v/>
      </c>
      <c r="Z989" s="4" t="str">
        <f>IFERROR(__xludf.DUMMYFUNCTION("IFERROR(
  FILTER('CBK Students'!O:O, TRIM('CBK Students'!B:B) = TRIM(A989)),
  """"
)"),"#REF!")</f>
        <v>#REF!</v>
      </c>
      <c r="AA989" s="4" t="str">
        <f>IFERROR(__xludf.DUMMYFUNCTION("IFERROR(
  FILTER('CBK Students'!P:P, TRIM('CBK Students'!B:B) = TRIM(A989)),
  """"
)"),"#REF!")</f>
        <v>#REF!</v>
      </c>
      <c r="AB989" s="4" t="str">
        <f>IFERROR(__xludf.DUMMYFUNCTION("IFERROR(
  FILTER('CBK Students'!Q:Q, TRIM('CBK Students'!B:B) = TRIM(A989)),
  """"
)"),"#REF!")</f>
        <v>#REF!</v>
      </c>
    </row>
    <row r="990" ht="18.75" customHeight="1">
      <c r="T990" s="240" t="str">
        <f>IFERROR(__xludf.DUMMYFUNCTION("IFERROR(
  FILTER('CBK Students'!F:F, TRIM('CBK Students'!B:B) = TRIM(A990)),
  """"
)"),"#REF!")</f>
        <v>#REF!</v>
      </c>
      <c r="U990" s="240" t="str">
        <f>IFERROR(__xludf.DUMMYFUNCTION("IFERROR(
  FILTER('CBK Students'!H:H, TRIM('CBK Students'!B:B) = TRIM(A990)),
  """"
)"),"#REF!")</f>
        <v>#REF!</v>
      </c>
      <c r="V990" s="240" t="str">
        <f>IFERROR(__xludf.DUMMYFUNCTION("IFERROR(
  FILTER('CBK Students'!M:M, TRIM('CBK Students'!B:B) = TRIM(A990)),
  """"
)"),"#REF!")</f>
        <v>#REF!</v>
      </c>
      <c r="W990" s="240" t="str">
        <f t="shared" si="1"/>
        <v/>
      </c>
      <c r="X990" s="240" t="str">
        <f>IFERROR(__xludf.DUMMYFUNCTION("IFERROR(
  FILTER('CBK Students'!R:R, TRIM('CBK Students'!B:B) = TRIM(A990)),
  """"
)"),"#REF!")</f>
        <v>#REF!</v>
      </c>
      <c r="Y990" s="4" t="str">
        <f t="shared" si="2"/>
        <v/>
      </c>
      <c r="Z990" s="4" t="str">
        <f>IFERROR(__xludf.DUMMYFUNCTION("IFERROR(
  FILTER('CBK Students'!O:O, TRIM('CBK Students'!B:B) = TRIM(A990)),
  """"
)"),"#REF!")</f>
        <v>#REF!</v>
      </c>
      <c r="AA990" s="4" t="str">
        <f>IFERROR(__xludf.DUMMYFUNCTION("IFERROR(
  FILTER('CBK Students'!P:P, TRIM('CBK Students'!B:B) = TRIM(A990)),
  """"
)"),"#REF!")</f>
        <v>#REF!</v>
      </c>
      <c r="AB990" s="4" t="str">
        <f>IFERROR(__xludf.DUMMYFUNCTION("IFERROR(
  FILTER('CBK Students'!Q:Q, TRIM('CBK Students'!B:B) = TRIM(A990)),
  """"
)"),"#REF!")</f>
        <v>#REF!</v>
      </c>
    </row>
    <row r="991" ht="18.75" customHeight="1">
      <c r="T991" s="240" t="str">
        <f>IFERROR(__xludf.DUMMYFUNCTION("IFERROR(
  FILTER('CBK Students'!F:F, TRIM('CBK Students'!B:B) = TRIM(A991)),
  """"
)"),"#REF!")</f>
        <v>#REF!</v>
      </c>
      <c r="U991" s="240" t="str">
        <f>IFERROR(__xludf.DUMMYFUNCTION("IFERROR(
  FILTER('CBK Students'!H:H, TRIM('CBK Students'!B:B) = TRIM(A991)),
  """"
)"),"#REF!")</f>
        <v>#REF!</v>
      </c>
      <c r="V991" s="240" t="str">
        <f>IFERROR(__xludf.DUMMYFUNCTION("IFERROR(
  FILTER('CBK Students'!M:M, TRIM('CBK Students'!B:B) = TRIM(A991)),
  """"
)"),"#REF!")</f>
        <v>#REF!</v>
      </c>
      <c r="W991" s="240" t="str">
        <f t="shared" si="1"/>
        <v/>
      </c>
      <c r="X991" s="240" t="str">
        <f>IFERROR(__xludf.DUMMYFUNCTION("IFERROR(
  FILTER('CBK Students'!R:R, TRIM('CBK Students'!B:B) = TRIM(A991)),
  """"
)"),"#REF!")</f>
        <v>#REF!</v>
      </c>
      <c r="Y991" s="4" t="str">
        <f t="shared" si="2"/>
        <v/>
      </c>
      <c r="Z991" s="4" t="str">
        <f>IFERROR(__xludf.DUMMYFUNCTION("IFERROR(
  FILTER('CBK Students'!O:O, TRIM('CBK Students'!B:B) = TRIM(A991)),
  """"
)"),"#REF!")</f>
        <v>#REF!</v>
      </c>
      <c r="AA991" s="4" t="str">
        <f>IFERROR(__xludf.DUMMYFUNCTION("IFERROR(
  FILTER('CBK Students'!P:P, TRIM('CBK Students'!B:B) = TRIM(A991)),
  """"
)"),"#REF!")</f>
        <v>#REF!</v>
      </c>
      <c r="AB991" s="4" t="str">
        <f>IFERROR(__xludf.DUMMYFUNCTION("IFERROR(
  FILTER('CBK Students'!Q:Q, TRIM('CBK Students'!B:B) = TRIM(A991)),
  """"
)"),"#REF!")</f>
        <v>#REF!</v>
      </c>
    </row>
    <row r="992" ht="18.75" customHeight="1">
      <c r="T992" s="240" t="str">
        <f>IFERROR(__xludf.DUMMYFUNCTION("IFERROR(
  FILTER('CBK Students'!F:F, TRIM('CBK Students'!B:B) = TRIM(A992)),
  """"
)"),"#REF!")</f>
        <v>#REF!</v>
      </c>
      <c r="U992" s="240" t="str">
        <f>IFERROR(__xludf.DUMMYFUNCTION("IFERROR(
  FILTER('CBK Students'!H:H, TRIM('CBK Students'!B:B) = TRIM(A992)),
  """"
)"),"#REF!")</f>
        <v>#REF!</v>
      </c>
      <c r="V992" s="240" t="str">
        <f>IFERROR(__xludf.DUMMYFUNCTION("IFERROR(
  FILTER('CBK Students'!M:M, TRIM('CBK Students'!B:B) = TRIM(A992)),
  """"
)"),"#REF!")</f>
        <v>#REF!</v>
      </c>
      <c r="W992" s="240" t="str">
        <f t="shared" si="1"/>
        <v/>
      </c>
      <c r="X992" s="240" t="str">
        <f>IFERROR(__xludf.DUMMYFUNCTION("IFERROR(
  FILTER('CBK Students'!R:R, TRIM('CBK Students'!B:B) = TRIM(A992)),
  """"
)"),"#REF!")</f>
        <v>#REF!</v>
      </c>
      <c r="Y992" s="4" t="str">
        <f t="shared" si="2"/>
        <v/>
      </c>
      <c r="Z992" s="4" t="str">
        <f>IFERROR(__xludf.DUMMYFUNCTION("IFERROR(
  FILTER('CBK Students'!O:O, TRIM('CBK Students'!B:B) = TRIM(A992)),
  """"
)"),"#REF!")</f>
        <v>#REF!</v>
      </c>
      <c r="AA992" s="4" t="str">
        <f>IFERROR(__xludf.DUMMYFUNCTION("IFERROR(
  FILTER('CBK Students'!P:P, TRIM('CBK Students'!B:B) = TRIM(A992)),
  """"
)"),"#REF!")</f>
        <v>#REF!</v>
      </c>
      <c r="AB992" s="4" t="str">
        <f>IFERROR(__xludf.DUMMYFUNCTION("IFERROR(
  FILTER('CBK Students'!Q:Q, TRIM('CBK Students'!B:B) = TRIM(A992)),
  """"
)"),"#REF!")</f>
        <v>#REF!</v>
      </c>
    </row>
    <row r="993" ht="18.75" customHeight="1">
      <c r="T993" s="240" t="str">
        <f>IFERROR(__xludf.DUMMYFUNCTION("IFERROR(
  FILTER('CBK Students'!F:F, TRIM('CBK Students'!B:B) = TRIM(A993)),
  """"
)"),"#REF!")</f>
        <v>#REF!</v>
      </c>
      <c r="U993" s="240" t="str">
        <f>IFERROR(__xludf.DUMMYFUNCTION("IFERROR(
  FILTER('CBK Students'!H:H, TRIM('CBK Students'!B:B) = TRIM(A993)),
  """"
)"),"#REF!")</f>
        <v>#REF!</v>
      </c>
      <c r="V993" s="240" t="str">
        <f>IFERROR(__xludf.DUMMYFUNCTION("IFERROR(
  FILTER('CBK Students'!M:M, TRIM('CBK Students'!B:B) = TRIM(A993)),
  """"
)"),"#REF!")</f>
        <v>#REF!</v>
      </c>
      <c r="W993" s="240" t="str">
        <f t="shared" si="1"/>
        <v/>
      </c>
      <c r="X993" s="240" t="str">
        <f>IFERROR(__xludf.DUMMYFUNCTION("IFERROR(
  FILTER('CBK Students'!R:R, TRIM('CBK Students'!B:B) = TRIM(A993)),
  """"
)"),"#REF!")</f>
        <v>#REF!</v>
      </c>
      <c r="Y993" s="4" t="str">
        <f t="shared" si="2"/>
        <v/>
      </c>
      <c r="Z993" s="4" t="str">
        <f>IFERROR(__xludf.DUMMYFUNCTION("IFERROR(
  FILTER('CBK Students'!O:O, TRIM('CBK Students'!B:B) = TRIM(A993)),
  """"
)"),"#REF!")</f>
        <v>#REF!</v>
      </c>
      <c r="AA993" s="4" t="str">
        <f>IFERROR(__xludf.DUMMYFUNCTION("IFERROR(
  FILTER('CBK Students'!P:P, TRIM('CBK Students'!B:B) = TRIM(A993)),
  """"
)"),"#REF!")</f>
        <v>#REF!</v>
      </c>
      <c r="AB993" s="4" t="str">
        <f>IFERROR(__xludf.DUMMYFUNCTION("IFERROR(
  FILTER('CBK Students'!Q:Q, TRIM('CBK Students'!B:B) = TRIM(A993)),
  """"
)"),"#REF!")</f>
        <v>#REF!</v>
      </c>
    </row>
    <row r="994" ht="18.75" customHeight="1">
      <c r="T994" s="240" t="str">
        <f>IFERROR(__xludf.DUMMYFUNCTION("IFERROR(
  FILTER('CBK Students'!F:F, TRIM('CBK Students'!B:B) = TRIM(A994)),
  """"
)"),"#REF!")</f>
        <v>#REF!</v>
      </c>
      <c r="U994" s="240" t="str">
        <f>IFERROR(__xludf.DUMMYFUNCTION("IFERROR(
  FILTER('CBK Students'!H:H, TRIM('CBK Students'!B:B) = TRIM(A994)),
  """"
)"),"#REF!")</f>
        <v>#REF!</v>
      </c>
      <c r="V994" s="240" t="str">
        <f>IFERROR(__xludf.DUMMYFUNCTION("IFERROR(
  FILTER('CBK Students'!M:M, TRIM('CBK Students'!B:B) = TRIM(A994)),
  """"
)"),"#REF!")</f>
        <v>#REF!</v>
      </c>
      <c r="W994" s="240" t="str">
        <f t="shared" si="1"/>
        <v/>
      </c>
      <c r="X994" s="240" t="str">
        <f>IFERROR(__xludf.DUMMYFUNCTION("IFERROR(
  FILTER('CBK Students'!R:R, TRIM('CBK Students'!B:B) = TRIM(A994)),
  """"
)"),"#REF!")</f>
        <v>#REF!</v>
      </c>
      <c r="Y994" s="4" t="str">
        <f t="shared" si="2"/>
        <v/>
      </c>
      <c r="Z994" s="4" t="str">
        <f>IFERROR(__xludf.DUMMYFUNCTION("IFERROR(
  FILTER('CBK Students'!O:O, TRIM('CBK Students'!B:B) = TRIM(A994)),
  """"
)"),"#REF!")</f>
        <v>#REF!</v>
      </c>
      <c r="AA994" s="4" t="str">
        <f>IFERROR(__xludf.DUMMYFUNCTION("IFERROR(
  FILTER('CBK Students'!P:P, TRIM('CBK Students'!B:B) = TRIM(A994)),
  """"
)"),"#REF!")</f>
        <v>#REF!</v>
      </c>
      <c r="AB994" s="4" t="str">
        <f>IFERROR(__xludf.DUMMYFUNCTION("IFERROR(
  FILTER('CBK Students'!Q:Q, TRIM('CBK Students'!B:B) = TRIM(A994)),
  """"
)"),"#REF!")</f>
        <v>#REF!</v>
      </c>
    </row>
    <row r="995" ht="18.75" customHeight="1">
      <c r="T995" s="240" t="str">
        <f>IFERROR(__xludf.DUMMYFUNCTION("IFERROR(
  FILTER('CBK Students'!F:F, TRIM('CBK Students'!B:B) = TRIM(A995)),
  """"
)"),"#REF!")</f>
        <v>#REF!</v>
      </c>
      <c r="U995" s="240" t="str">
        <f>IFERROR(__xludf.DUMMYFUNCTION("IFERROR(
  FILTER('CBK Students'!H:H, TRIM('CBK Students'!B:B) = TRIM(A995)),
  """"
)"),"#REF!")</f>
        <v>#REF!</v>
      </c>
      <c r="V995" s="240" t="str">
        <f>IFERROR(__xludf.DUMMYFUNCTION("IFERROR(
  FILTER('CBK Students'!M:M, TRIM('CBK Students'!B:B) = TRIM(A995)),
  """"
)"),"#REF!")</f>
        <v>#REF!</v>
      </c>
      <c r="W995" s="240" t="str">
        <f t="shared" si="1"/>
        <v/>
      </c>
      <c r="X995" s="240" t="str">
        <f>IFERROR(__xludf.DUMMYFUNCTION("IFERROR(
  FILTER('CBK Students'!R:R, TRIM('CBK Students'!B:B) = TRIM(A995)),
  """"
)"),"#REF!")</f>
        <v>#REF!</v>
      </c>
      <c r="Y995" s="4" t="str">
        <f t="shared" si="2"/>
        <v/>
      </c>
      <c r="Z995" s="4" t="str">
        <f>IFERROR(__xludf.DUMMYFUNCTION("IFERROR(
  FILTER('CBK Students'!O:O, TRIM('CBK Students'!B:B) = TRIM(A995)),
  """"
)"),"#REF!")</f>
        <v>#REF!</v>
      </c>
      <c r="AA995" s="4" t="str">
        <f>IFERROR(__xludf.DUMMYFUNCTION("IFERROR(
  FILTER('CBK Students'!P:P, TRIM('CBK Students'!B:B) = TRIM(A995)),
  """"
)"),"#REF!")</f>
        <v>#REF!</v>
      </c>
      <c r="AB995" s="4" t="str">
        <f>IFERROR(__xludf.DUMMYFUNCTION("IFERROR(
  FILTER('CBK Students'!Q:Q, TRIM('CBK Students'!B:B) = TRIM(A995)),
  """"
)"),"#REF!")</f>
        <v>#REF!</v>
      </c>
    </row>
    <row r="996" ht="18.75" customHeight="1">
      <c r="T996" s="240" t="str">
        <f>IFERROR(__xludf.DUMMYFUNCTION("IFERROR(
  FILTER('CBK Students'!F:F, TRIM('CBK Students'!B:B) = TRIM(A996)),
  """"
)"),"#REF!")</f>
        <v>#REF!</v>
      </c>
      <c r="U996" s="240" t="str">
        <f>IFERROR(__xludf.DUMMYFUNCTION("IFERROR(
  FILTER('CBK Students'!H:H, TRIM('CBK Students'!B:B) = TRIM(A996)),
  """"
)"),"#REF!")</f>
        <v>#REF!</v>
      </c>
      <c r="V996" s="240" t="str">
        <f>IFERROR(__xludf.DUMMYFUNCTION("IFERROR(
  FILTER('CBK Students'!M:M, TRIM('CBK Students'!B:B) = TRIM(A996)),
  """"
)"),"#REF!")</f>
        <v>#REF!</v>
      </c>
      <c r="W996" s="240" t="str">
        <f t="shared" si="1"/>
        <v/>
      </c>
      <c r="X996" s="240" t="str">
        <f>IFERROR(__xludf.DUMMYFUNCTION("IFERROR(
  FILTER('CBK Students'!R:R, TRIM('CBK Students'!B:B) = TRIM(A996)),
  """"
)"),"#REF!")</f>
        <v>#REF!</v>
      </c>
      <c r="Y996" s="4" t="str">
        <f t="shared" si="2"/>
        <v/>
      </c>
      <c r="Z996" s="4" t="str">
        <f>IFERROR(__xludf.DUMMYFUNCTION("IFERROR(
  FILTER('CBK Students'!O:O, TRIM('CBK Students'!B:B) = TRIM(A996)),
  """"
)"),"#REF!")</f>
        <v>#REF!</v>
      </c>
      <c r="AA996" s="4" t="str">
        <f>IFERROR(__xludf.DUMMYFUNCTION("IFERROR(
  FILTER('CBK Students'!P:P, TRIM('CBK Students'!B:B) = TRIM(A996)),
  """"
)"),"#REF!")</f>
        <v>#REF!</v>
      </c>
      <c r="AB996" s="4" t="str">
        <f>IFERROR(__xludf.DUMMYFUNCTION("IFERROR(
  FILTER('CBK Students'!Q:Q, TRIM('CBK Students'!B:B) = TRIM(A996)),
  """"
)"),"#REF!")</f>
        <v>#REF!</v>
      </c>
    </row>
    <row r="997" ht="18.75" customHeight="1">
      <c r="T997" s="240" t="str">
        <f>IFERROR(__xludf.DUMMYFUNCTION("IFERROR(
  FILTER('CBK Students'!F:F, TRIM('CBK Students'!B:B) = TRIM(A997)),
  """"
)"),"#REF!")</f>
        <v>#REF!</v>
      </c>
      <c r="U997" s="240" t="str">
        <f>IFERROR(__xludf.DUMMYFUNCTION("IFERROR(
  FILTER('CBK Students'!H:H, TRIM('CBK Students'!B:B) = TRIM(A997)),
  """"
)"),"#REF!")</f>
        <v>#REF!</v>
      </c>
      <c r="V997" s="240" t="str">
        <f>IFERROR(__xludf.DUMMYFUNCTION("IFERROR(
  FILTER('CBK Students'!M:M, TRIM('CBK Students'!B:B) = TRIM(A997)),
  """"
)"),"#REF!")</f>
        <v>#REF!</v>
      </c>
      <c r="W997" s="240" t="str">
        <f t="shared" si="1"/>
        <v/>
      </c>
      <c r="X997" s="240" t="str">
        <f>IFERROR(__xludf.DUMMYFUNCTION("IFERROR(
  FILTER('CBK Students'!R:R, TRIM('CBK Students'!B:B) = TRIM(A997)),
  """"
)"),"#REF!")</f>
        <v>#REF!</v>
      </c>
      <c r="Y997" s="4" t="str">
        <f t="shared" si="2"/>
        <v/>
      </c>
      <c r="Z997" s="4" t="str">
        <f>IFERROR(__xludf.DUMMYFUNCTION("IFERROR(
  FILTER('CBK Students'!O:O, TRIM('CBK Students'!B:B) = TRIM(A997)),
  """"
)"),"#REF!")</f>
        <v>#REF!</v>
      </c>
      <c r="AA997" s="4" t="str">
        <f>IFERROR(__xludf.DUMMYFUNCTION("IFERROR(
  FILTER('CBK Students'!P:P, TRIM('CBK Students'!B:B) = TRIM(A997)),
  """"
)"),"#REF!")</f>
        <v>#REF!</v>
      </c>
      <c r="AB997" s="4" t="str">
        <f>IFERROR(__xludf.DUMMYFUNCTION("IFERROR(
  FILTER('CBK Students'!Q:Q, TRIM('CBK Students'!B:B) = TRIM(A997)),
  """"
)"),"#REF!")</f>
        <v>#REF!</v>
      </c>
    </row>
    <row r="998" ht="18.75" customHeight="1">
      <c r="T998" s="240" t="str">
        <f>IFERROR(__xludf.DUMMYFUNCTION("IFERROR(
  FILTER('CBK Students'!F:F, TRIM('CBK Students'!B:B) = TRIM(A998)),
  """"
)"),"#REF!")</f>
        <v>#REF!</v>
      </c>
      <c r="U998" s="240" t="str">
        <f>IFERROR(__xludf.DUMMYFUNCTION("IFERROR(
  FILTER('CBK Students'!H:H, TRIM('CBK Students'!B:B) = TRIM(A998)),
  """"
)"),"#REF!")</f>
        <v>#REF!</v>
      </c>
      <c r="V998" s="240" t="str">
        <f>IFERROR(__xludf.DUMMYFUNCTION("IFERROR(
  FILTER('CBK Students'!M:M, TRIM('CBK Students'!B:B) = TRIM(A998)),
  """"
)"),"#REF!")</f>
        <v>#REF!</v>
      </c>
      <c r="W998" s="240" t="str">
        <f t="shared" si="1"/>
        <v/>
      </c>
      <c r="X998" s="240" t="str">
        <f>IFERROR(__xludf.DUMMYFUNCTION("IFERROR(
  FILTER('CBK Students'!R:R, TRIM('CBK Students'!B:B) = TRIM(A998)),
  """"
)"),"#REF!")</f>
        <v>#REF!</v>
      </c>
      <c r="Y998" s="4" t="str">
        <f t="shared" si="2"/>
        <v/>
      </c>
      <c r="Z998" s="4" t="str">
        <f>IFERROR(__xludf.DUMMYFUNCTION("IFERROR(
  FILTER('CBK Students'!O:O, TRIM('CBK Students'!B:B) = TRIM(A998)),
  """"
)"),"#REF!")</f>
        <v>#REF!</v>
      </c>
      <c r="AA998" s="4" t="str">
        <f>IFERROR(__xludf.DUMMYFUNCTION("IFERROR(
  FILTER('CBK Students'!P:P, TRIM('CBK Students'!B:B) = TRIM(A998)),
  """"
)"),"#REF!")</f>
        <v>#REF!</v>
      </c>
      <c r="AB998" s="4" t="str">
        <f>IFERROR(__xludf.DUMMYFUNCTION("IFERROR(
  FILTER('CBK Students'!Q:Q, TRIM('CBK Students'!B:B) = TRIM(A998)),
  """"
)"),"#REF!")</f>
        <v>#REF!</v>
      </c>
    </row>
    <row r="999" ht="18.75" customHeight="1">
      <c r="T999" s="240" t="str">
        <f>IFERROR(__xludf.DUMMYFUNCTION("IFERROR(
  FILTER('CBK Students'!F:F, TRIM('CBK Students'!B:B) = TRIM(A999)),
  """"
)"),"#REF!")</f>
        <v>#REF!</v>
      </c>
      <c r="U999" s="240" t="str">
        <f>IFERROR(__xludf.DUMMYFUNCTION("IFERROR(
  FILTER('CBK Students'!H:H, TRIM('CBK Students'!B:B) = TRIM(A999)),
  """"
)"),"#REF!")</f>
        <v>#REF!</v>
      </c>
      <c r="V999" s="240" t="str">
        <f>IFERROR(__xludf.DUMMYFUNCTION("IFERROR(
  FILTER('CBK Students'!M:M, TRIM('CBK Students'!B:B) = TRIM(A999)),
  """"
)"),"#REF!")</f>
        <v>#REF!</v>
      </c>
      <c r="W999" s="240" t="str">
        <f t="shared" si="1"/>
        <v/>
      </c>
      <c r="X999" s="240" t="str">
        <f>IFERROR(__xludf.DUMMYFUNCTION("IFERROR(
  FILTER('CBK Students'!R:R, TRIM('CBK Students'!B:B) = TRIM(A999)),
  """"
)"),"#REF!")</f>
        <v>#REF!</v>
      </c>
      <c r="Y999" s="4" t="str">
        <f t="shared" si="2"/>
        <v/>
      </c>
      <c r="Z999" s="4" t="str">
        <f>IFERROR(__xludf.DUMMYFUNCTION("IFERROR(
  FILTER('CBK Students'!O:O, TRIM('CBK Students'!B:B) = TRIM(A999)),
  """"
)"),"#REF!")</f>
        <v>#REF!</v>
      </c>
      <c r="AA999" s="4" t="str">
        <f>IFERROR(__xludf.DUMMYFUNCTION("IFERROR(
  FILTER('CBK Students'!P:P, TRIM('CBK Students'!B:B) = TRIM(A999)),
  """"
)"),"#REF!")</f>
        <v>#REF!</v>
      </c>
      <c r="AB999" s="4" t="str">
        <f>IFERROR(__xludf.DUMMYFUNCTION("IFERROR(
  FILTER('CBK Students'!Q:Q, TRIM('CBK Students'!B:B) = TRIM(A999)),
  """"
)"),"#REF!")</f>
        <v>#REF!</v>
      </c>
    </row>
    <row r="1000" ht="18.75" customHeight="1">
      <c r="T1000" s="240" t="str">
        <f>IFERROR(__xludf.DUMMYFUNCTION("IFERROR(
  FILTER('CBK Students'!F:F, TRIM('CBK Students'!B:B) = TRIM(A1000)),
  """"
)"),"#REF!")</f>
        <v>#REF!</v>
      </c>
      <c r="U1000" s="240" t="str">
        <f>IFERROR(__xludf.DUMMYFUNCTION("IFERROR(
  FILTER('CBK Students'!H:H, TRIM('CBK Students'!B:B) = TRIM(A1000)),
  """"
)"),"#REF!")</f>
        <v>#REF!</v>
      </c>
      <c r="V1000" s="240" t="str">
        <f>IFERROR(__xludf.DUMMYFUNCTION("IFERROR(
  FILTER('CBK Students'!M:M, TRIM('CBK Students'!B:B) = TRIM(A1000)),
  """"
)"),"#REF!")</f>
        <v>#REF!</v>
      </c>
      <c r="W1000" s="240" t="str">
        <f t="shared" si="1"/>
        <v/>
      </c>
      <c r="X1000" s="240" t="str">
        <f>IFERROR(__xludf.DUMMYFUNCTION("IFERROR(
  FILTER('CBK Students'!R:R, TRIM('CBK Students'!B:B) = TRIM(A1000)),
  """"
)"),"#REF!")</f>
        <v>#REF!</v>
      </c>
      <c r="Y1000" s="4" t="str">
        <f t="shared" si="2"/>
        <v/>
      </c>
      <c r="Z1000" s="4" t="str">
        <f>IFERROR(__xludf.DUMMYFUNCTION("IFERROR(
  FILTER('CBK Students'!O:O, TRIM('CBK Students'!B:B) = TRIM(A1000)),
  """"
)"),"#REF!")</f>
        <v>#REF!</v>
      </c>
      <c r="AA1000" s="4" t="str">
        <f>IFERROR(__xludf.DUMMYFUNCTION("IFERROR(
  FILTER('CBK Students'!P:P, TRIM('CBK Students'!B:B) = TRIM(A1000)),
  """"
)"),"#REF!")</f>
        <v>#REF!</v>
      </c>
      <c r="AB1000" s="4" t="str">
        <f>IFERROR(__xludf.DUMMYFUNCTION("IFERROR(
  FILTER('CBK Students'!Q:Q, TRIM('CBK Students'!B:B) = TRIM(A1000)),
  """"
)"),"#REF!")</f>
        <v>#REF!</v>
      </c>
    </row>
    <row r="1001" ht="18.75" customHeight="1">
      <c r="T1001" s="240" t="str">
        <f>IFERROR(__xludf.DUMMYFUNCTION("IFERROR(
  FILTER('CBK Students'!F:F, TRIM('CBK Students'!B:B) = TRIM(A1001)),
  """"
)"),"#REF!")</f>
        <v>#REF!</v>
      </c>
      <c r="U1001" s="240" t="str">
        <f>IFERROR(__xludf.DUMMYFUNCTION("IFERROR(
  FILTER('CBK Students'!H:H, TRIM('CBK Students'!B:B) = TRIM(A1001)),
  """"
)"),"#REF!")</f>
        <v>#REF!</v>
      </c>
      <c r="V1001" s="240" t="str">
        <f>IFERROR(__xludf.DUMMYFUNCTION("IFERROR(
  FILTER('CBK Students'!M:M, TRIM('CBK Students'!B:B) = TRIM(A1001)),
  """"
)"),"#REF!")</f>
        <v>#REF!</v>
      </c>
      <c r="W1001" s="240" t="str">
        <f t="shared" si="1"/>
        <v/>
      </c>
      <c r="X1001" s="240" t="str">
        <f>IFERROR(__xludf.DUMMYFUNCTION("IFERROR(
  FILTER('CBK Students'!R:R, TRIM('CBK Students'!B:B) = TRIM(A1001)),
  """"
)"),"#REF!")</f>
        <v>#REF!</v>
      </c>
      <c r="Y1001" s="4" t="str">
        <f t="shared" si="2"/>
        <v/>
      </c>
      <c r="Z1001" s="4" t="str">
        <f>IFERROR(__xludf.DUMMYFUNCTION("IFERROR(
  FILTER('CBK Students'!O:O, TRIM('CBK Students'!B:B) = TRIM(A1001)),
  """"
)"),"#REF!")</f>
        <v>#REF!</v>
      </c>
      <c r="AA1001" s="4" t="str">
        <f>IFERROR(__xludf.DUMMYFUNCTION("IFERROR(
  FILTER('CBK Students'!P:P, TRIM('CBK Students'!B:B) = TRIM(A1001)),
  """"
)"),"#REF!")</f>
        <v>#REF!</v>
      </c>
      <c r="AB1001" s="4" t="str">
        <f>IFERROR(__xludf.DUMMYFUNCTION("IFERROR(
  FILTER('CBK Students'!Q:Q, TRIM('CBK Students'!B:B) = TRIM(A1001)),
  """"
)"),"#REF!")</f>
        <v>#REF!</v>
      </c>
    </row>
    <row r="1002" ht="18.75" customHeight="1">
      <c r="T1002" s="240" t="str">
        <f>IFERROR(__xludf.DUMMYFUNCTION("IFERROR(
  FILTER('CBK Students'!F:F, TRIM('CBK Students'!B:B) = TRIM(A1002)),
  """"
)"),"#REF!")</f>
        <v>#REF!</v>
      </c>
      <c r="U1002" s="240" t="str">
        <f>IFERROR(__xludf.DUMMYFUNCTION("IFERROR(
  FILTER('CBK Students'!H:H, TRIM('CBK Students'!B:B) = TRIM(A1002)),
  """"
)"),"#REF!")</f>
        <v>#REF!</v>
      </c>
      <c r="V1002" s="240" t="str">
        <f>IFERROR(__xludf.DUMMYFUNCTION("IFERROR(
  FILTER('CBK Students'!M:M, TRIM('CBK Students'!B:B) = TRIM(A1002)),
  """"
)"),"#REF!")</f>
        <v>#REF!</v>
      </c>
      <c r="W1002" s="240" t="str">
        <f t="shared" si="1"/>
        <v/>
      </c>
      <c r="X1002" s="240" t="str">
        <f>IFERROR(__xludf.DUMMYFUNCTION("IFERROR(
  FILTER('CBK Students'!R:R, TRIM('CBK Students'!B:B) = TRIM(A1002)),
  """"
)"),"#REF!")</f>
        <v>#REF!</v>
      </c>
      <c r="Y1002" s="4" t="str">
        <f t="shared" si="2"/>
        <v/>
      </c>
      <c r="Z1002" s="4" t="str">
        <f>IFERROR(__xludf.DUMMYFUNCTION("IFERROR(
  FILTER('CBK Students'!O:O, TRIM('CBK Students'!B:B) = TRIM(A1002)),
  """"
)"),"#REF!")</f>
        <v>#REF!</v>
      </c>
      <c r="AA1002" s="4" t="str">
        <f>IFERROR(__xludf.DUMMYFUNCTION("IFERROR(
  FILTER('CBK Students'!P:P, TRIM('CBK Students'!B:B) = TRIM(A1002)),
  """"
)"),"#REF!")</f>
        <v>#REF!</v>
      </c>
      <c r="AB1002" s="4" t="str">
        <f>IFERROR(__xludf.DUMMYFUNCTION("IFERROR(
  FILTER('CBK Students'!Q:Q, TRIM('CBK Students'!B:B) = TRIM(A1002)),
  """"
)"),"#REF!")</f>
        <v>#REF!</v>
      </c>
    </row>
    <row r="1003" ht="18.75" customHeight="1">
      <c r="T1003" s="240" t="str">
        <f>IFERROR(__xludf.DUMMYFUNCTION("IFERROR(
  FILTER('CBK Students'!F:F, TRIM('CBK Students'!B:B) = TRIM(A1003)),
  """"
)"),"#REF!")</f>
        <v>#REF!</v>
      </c>
      <c r="U1003" s="240" t="str">
        <f>IFERROR(__xludf.DUMMYFUNCTION("IFERROR(
  FILTER('CBK Students'!H:H, TRIM('CBK Students'!B:B) = TRIM(A1003)),
  """"
)"),"#REF!")</f>
        <v>#REF!</v>
      </c>
      <c r="V1003" s="240" t="str">
        <f>IFERROR(__xludf.DUMMYFUNCTION("IFERROR(
  FILTER('CBK Students'!M:M, TRIM('CBK Students'!B:B) = TRIM(A1003)),
  """"
)"),"#REF!")</f>
        <v>#REF!</v>
      </c>
      <c r="W1003" s="240" t="str">
        <f t="shared" si="1"/>
        <v/>
      </c>
      <c r="X1003" s="240" t="str">
        <f>IFERROR(__xludf.DUMMYFUNCTION("IFERROR(
  FILTER('CBK Students'!R:R, TRIM('CBK Students'!B:B) = TRIM(A1003)),
  """"
)"),"#REF!")</f>
        <v>#REF!</v>
      </c>
      <c r="Y1003" s="4" t="str">
        <f t="shared" si="2"/>
        <v/>
      </c>
      <c r="Z1003" s="4" t="str">
        <f>IFERROR(__xludf.DUMMYFUNCTION("IFERROR(
  FILTER('CBK Students'!O:O, TRIM('CBK Students'!B:B) = TRIM(A1003)),
  """"
)"),"#REF!")</f>
        <v>#REF!</v>
      </c>
      <c r="AA1003" s="4" t="str">
        <f>IFERROR(__xludf.DUMMYFUNCTION("IFERROR(
  FILTER('CBK Students'!P:P, TRIM('CBK Students'!B:B) = TRIM(A1003)),
  """"
)"),"#REF!")</f>
        <v>#REF!</v>
      </c>
      <c r="AB1003" s="4" t="str">
        <f>IFERROR(__xludf.DUMMYFUNCTION("IFERROR(
  FILTER('CBK Students'!Q:Q, TRIM('CBK Students'!B:B) = TRIM(A1003)),
  """"
)"),"#REF!")</f>
        <v>#REF!</v>
      </c>
    </row>
    <row r="1004" ht="18.75" customHeight="1">
      <c r="T1004" s="240" t="str">
        <f>IFERROR(__xludf.DUMMYFUNCTION("IFERROR(
  FILTER('CBK Students'!F:F, TRIM('CBK Students'!B:B) = TRIM(A1004)),
  """"
)"),"#REF!")</f>
        <v>#REF!</v>
      </c>
      <c r="U1004" s="240" t="str">
        <f>IFERROR(__xludf.DUMMYFUNCTION("IFERROR(
  FILTER('CBK Students'!H:H, TRIM('CBK Students'!B:B) = TRIM(A1004)),
  """"
)"),"#REF!")</f>
        <v>#REF!</v>
      </c>
      <c r="V1004" s="240" t="str">
        <f>IFERROR(__xludf.DUMMYFUNCTION("IFERROR(
  FILTER('CBK Students'!M:M, TRIM('CBK Students'!B:B) = TRIM(A1004)),
  """"
)"),"#REF!")</f>
        <v>#REF!</v>
      </c>
      <c r="W1004" s="240" t="str">
        <f t="shared" si="1"/>
        <v/>
      </c>
      <c r="X1004" s="240" t="str">
        <f>IFERROR(__xludf.DUMMYFUNCTION("IFERROR(
  FILTER('CBK Students'!R:R, TRIM('CBK Students'!B:B) = TRIM(A1004)),
  """"
)"),"#REF!")</f>
        <v>#REF!</v>
      </c>
      <c r="Y1004" s="4" t="str">
        <f t="shared" si="2"/>
        <v/>
      </c>
      <c r="Z1004" s="4" t="str">
        <f>IFERROR(__xludf.DUMMYFUNCTION("IFERROR(
  FILTER('CBK Students'!O:O, TRIM('CBK Students'!B:B) = TRIM(A1004)),
  """"
)"),"#REF!")</f>
        <v>#REF!</v>
      </c>
      <c r="AA1004" s="4" t="str">
        <f>IFERROR(__xludf.DUMMYFUNCTION("IFERROR(
  FILTER('CBK Students'!P:P, TRIM('CBK Students'!B:B) = TRIM(A1004)),
  """"
)"),"#REF!")</f>
        <v>#REF!</v>
      </c>
      <c r="AB1004" s="4" t="str">
        <f>IFERROR(__xludf.DUMMYFUNCTION("IFERROR(
  FILTER('CBK Students'!Q:Q, TRIM('CBK Students'!B:B) = TRIM(A1004)),
  """"
)"),"#REF!")</f>
        <v>#REF!</v>
      </c>
    </row>
    <row r="1005" ht="18.75" customHeight="1">
      <c r="T1005" s="240" t="str">
        <f>IFERROR(__xludf.DUMMYFUNCTION("IFERROR(
  FILTER('CBK Students'!F:F, TRIM('CBK Students'!B:B) = TRIM(A1005)),
  """"
)"),"#REF!")</f>
        <v>#REF!</v>
      </c>
      <c r="U1005" s="240" t="str">
        <f>IFERROR(__xludf.DUMMYFUNCTION("IFERROR(
  FILTER('CBK Students'!H:H, TRIM('CBK Students'!B:B) = TRIM(A1005)),
  """"
)"),"#REF!")</f>
        <v>#REF!</v>
      </c>
      <c r="V1005" s="240" t="str">
        <f>IFERROR(__xludf.DUMMYFUNCTION("IFERROR(
  FILTER('CBK Students'!M:M, TRIM('CBK Students'!B:B) = TRIM(A1005)),
  """"
)"),"#REF!")</f>
        <v>#REF!</v>
      </c>
      <c r="W1005" s="240" t="str">
        <f t="shared" si="1"/>
        <v/>
      </c>
      <c r="X1005" s="240" t="str">
        <f>IFERROR(__xludf.DUMMYFUNCTION("IFERROR(
  FILTER('CBK Students'!R:R, TRIM('CBK Students'!B:B) = TRIM(A1005)),
  """"
)"),"#REF!")</f>
        <v>#REF!</v>
      </c>
      <c r="Y1005" s="4" t="str">
        <f t="shared" si="2"/>
        <v/>
      </c>
      <c r="Z1005" s="4" t="str">
        <f>IFERROR(__xludf.DUMMYFUNCTION("IFERROR(
  FILTER('CBK Students'!O:O, TRIM('CBK Students'!B:B) = TRIM(A1005)),
  """"
)"),"#REF!")</f>
        <v>#REF!</v>
      </c>
      <c r="AA1005" s="4" t="str">
        <f>IFERROR(__xludf.DUMMYFUNCTION("IFERROR(
  FILTER('CBK Students'!P:P, TRIM('CBK Students'!B:B) = TRIM(A1005)),
  """"
)"),"#REF!")</f>
        <v>#REF!</v>
      </c>
      <c r="AB1005" s="4" t="str">
        <f>IFERROR(__xludf.DUMMYFUNCTION("IFERROR(
  FILTER('CBK Students'!Q:Q, TRIM('CBK Students'!B:B) = TRIM(A1005)),
  """"
)"),"#REF!")</f>
        <v>#REF!</v>
      </c>
    </row>
    <row r="1006" ht="18.75" customHeight="1">
      <c r="T1006" s="240" t="str">
        <f>IFERROR(__xludf.DUMMYFUNCTION("IFERROR(
  FILTER('CBK Students'!F:F, TRIM('CBK Students'!B:B) = TRIM(A1006)),
  """"
)"),"#REF!")</f>
        <v>#REF!</v>
      </c>
      <c r="U1006" s="240" t="str">
        <f>IFERROR(__xludf.DUMMYFUNCTION("IFERROR(
  FILTER('CBK Students'!H:H, TRIM('CBK Students'!B:B) = TRIM(A1006)),
  """"
)"),"#REF!")</f>
        <v>#REF!</v>
      </c>
      <c r="V1006" s="240" t="str">
        <f>IFERROR(__xludf.DUMMYFUNCTION("IFERROR(
  FILTER('CBK Students'!M:M, TRIM('CBK Students'!B:B) = TRIM(A1006)),
  """"
)"),"#REF!")</f>
        <v>#REF!</v>
      </c>
      <c r="W1006" s="240" t="str">
        <f t="shared" si="1"/>
        <v/>
      </c>
      <c r="X1006" s="240" t="str">
        <f>IFERROR(__xludf.DUMMYFUNCTION("IFERROR(
  FILTER('CBK Students'!R:R, TRIM('CBK Students'!B:B) = TRIM(A1006)),
  """"
)"),"#REF!")</f>
        <v>#REF!</v>
      </c>
      <c r="Y1006" s="4" t="str">
        <f t="shared" si="2"/>
        <v/>
      </c>
      <c r="Z1006" s="4" t="str">
        <f>IFERROR(__xludf.DUMMYFUNCTION("IFERROR(
  FILTER('CBK Students'!O:O, TRIM('CBK Students'!B:B) = TRIM(A1006)),
  """"
)"),"#REF!")</f>
        <v>#REF!</v>
      </c>
      <c r="AA1006" s="4" t="str">
        <f>IFERROR(__xludf.DUMMYFUNCTION("IFERROR(
  FILTER('CBK Students'!P:P, TRIM('CBK Students'!B:B) = TRIM(A1006)),
  """"
)"),"#REF!")</f>
        <v>#REF!</v>
      </c>
      <c r="AB1006" s="4" t="str">
        <f>IFERROR(__xludf.DUMMYFUNCTION("IFERROR(
  FILTER('CBK Students'!Q:Q, TRIM('CBK Students'!B:B) = TRIM(A1006)),
  """"
)"),"#REF!")</f>
        <v>#REF!</v>
      </c>
    </row>
    <row r="1007" ht="18.75" customHeight="1">
      <c r="T1007" s="240" t="str">
        <f>IFERROR(__xludf.DUMMYFUNCTION("IFERROR(
  FILTER('CBK Students'!F:F, TRIM('CBK Students'!B:B) = TRIM(A1007)),
  """"
)"),"#REF!")</f>
        <v>#REF!</v>
      </c>
      <c r="U1007" s="240" t="str">
        <f>IFERROR(__xludf.DUMMYFUNCTION("IFERROR(
  FILTER('CBK Students'!H:H, TRIM('CBK Students'!B:B) = TRIM(A1007)),
  """"
)"),"#REF!")</f>
        <v>#REF!</v>
      </c>
      <c r="V1007" s="240" t="str">
        <f>IFERROR(__xludf.DUMMYFUNCTION("IFERROR(
  FILTER('CBK Students'!M:M, TRIM('CBK Students'!B:B) = TRIM(A1007)),
  """"
)"),"#REF!")</f>
        <v>#REF!</v>
      </c>
      <c r="W1007" s="240" t="str">
        <f t="shared" si="1"/>
        <v/>
      </c>
      <c r="X1007" s="240" t="str">
        <f>IFERROR(__xludf.DUMMYFUNCTION("IFERROR(
  FILTER('CBK Students'!R:R, TRIM('CBK Students'!B:B) = TRIM(A1007)),
  """"
)"),"#REF!")</f>
        <v>#REF!</v>
      </c>
      <c r="Y1007" s="4" t="str">
        <f t="shared" si="2"/>
        <v/>
      </c>
      <c r="Z1007" s="4" t="str">
        <f>IFERROR(__xludf.DUMMYFUNCTION("IFERROR(
  FILTER('CBK Students'!O:O, TRIM('CBK Students'!B:B) = TRIM(A1007)),
  """"
)"),"#REF!")</f>
        <v>#REF!</v>
      </c>
      <c r="AA1007" s="4" t="str">
        <f>IFERROR(__xludf.DUMMYFUNCTION("IFERROR(
  FILTER('CBK Students'!P:P, TRIM('CBK Students'!B:B) = TRIM(A1007)),
  """"
)"),"#REF!")</f>
        <v>#REF!</v>
      </c>
      <c r="AB1007" s="4" t="str">
        <f>IFERROR(__xludf.DUMMYFUNCTION("IFERROR(
  FILTER('CBK Students'!Q:Q, TRIM('CBK Students'!B:B) = TRIM(A1007)),
  """"
)"),"#REF!")</f>
        <v>#REF!</v>
      </c>
    </row>
    <row r="1008" ht="18.75" customHeight="1">
      <c r="T1008" s="240" t="str">
        <f>IFERROR(__xludf.DUMMYFUNCTION("IFERROR(
  FILTER('CBK Students'!F:F, TRIM('CBK Students'!B:B) = TRIM(A1008)),
  """"
)"),"#REF!")</f>
        <v>#REF!</v>
      </c>
      <c r="U1008" s="240" t="str">
        <f>IFERROR(__xludf.DUMMYFUNCTION("IFERROR(
  FILTER('CBK Students'!H:H, TRIM('CBK Students'!B:B) = TRIM(A1008)),
  """"
)"),"#REF!")</f>
        <v>#REF!</v>
      </c>
      <c r="V1008" s="240" t="str">
        <f>IFERROR(__xludf.DUMMYFUNCTION("IFERROR(
  FILTER('CBK Students'!M:M, TRIM('CBK Students'!B:B) = TRIM(A1008)),
  """"
)"),"#REF!")</f>
        <v>#REF!</v>
      </c>
      <c r="W1008" s="240" t="str">
        <f t="shared" si="1"/>
        <v/>
      </c>
      <c r="X1008" s="240" t="str">
        <f>IFERROR(__xludf.DUMMYFUNCTION("IFERROR(
  FILTER('CBK Students'!R:R, TRIM('CBK Students'!B:B) = TRIM(A1008)),
  """"
)"),"#REF!")</f>
        <v>#REF!</v>
      </c>
      <c r="Y1008" s="4" t="str">
        <f t="shared" si="2"/>
        <v/>
      </c>
      <c r="Z1008" s="4" t="str">
        <f>IFERROR(__xludf.DUMMYFUNCTION("IFERROR(
  FILTER('CBK Students'!O:O, TRIM('CBK Students'!B:B) = TRIM(A1008)),
  """"
)"),"#REF!")</f>
        <v>#REF!</v>
      </c>
      <c r="AA1008" s="4" t="str">
        <f>IFERROR(__xludf.DUMMYFUNCTION("IFERROR(
  FILTER('CBK Students'!P:P, TRIM('CBK Students'!B:B) = TRIM(A1008)),
  """"
)"),"#REF!")</f>
        <v>#REF!</v>
      </c>
      <c r="AB1008" s="4" t="str">
        <f>IFERROR(__xludf.DUMMYFUNCTION("IFERROR(
  FILTER('CBK Students'!Q:Q, TRIM('CBK Students'!B:B) = TRIM(A1008)),
  """"
)"),"#REF!")</f>
        <v>#REF!</v>
      </c>
    </row>
    <row r="1009" ht="18.75" customHeight="1">
      <c r="T1009" s="240" t="str">
        <f>IFERROR(__xludf.DUMMYFUNCTION("IFERROR(
  FILTER('CBK Students'!F:F, TRIM('CBK Students'!B:B) = TRIM(A1009)),
  """"
)"),"#REF!")</f>
        <v>#REF!</v>
      </c>
      <c r="U1009" s="240" t="str">
        <f>IFERROR(__xludf.DUMMYFUNCTION("IFERROR(
  FILTER('CBK Students'!H:H, TRIM('CBK Students'!B:B) = TRIM(A1009)),
  """"
)"),"#REF!")</f>
        <v>#REF!</v>
      </c>
      <c r="V1009" s="240" t="str">
        <f>IFERROR(__xludf.DUMMYFUNCTION("IFERROR(
  FILTER('CBK Students'!M:M, TRIM('CBK Students'!B:B) = TRIM(A1009)),
  """"
)"),"#REF!")</f>
        <v>#REF!</v>
      </c>
      <c r="W1009" s="240" t="str">
        <f t="shared" si="1"/>
        <v/>
      </c>
      <c r="X1009" s="240" t="str">
        <f>IFERROR(__xludf.DUMMYFUNCTION("IFERROR(
  FILTER('CBK Students'!R:R, TRIM('CBK Students'!B:B) = TRIM(A1009)),
  """"
)"),"#REF!")</f>
        <v>#REF!</v>
      </c>
      <c r="Y1009" s="4" t="str">
        <f t="shared" si="2"/>
        <v/>
      </c>
      <c r="Z1009" s="4" t="str">
        <f>IFERROR(__xludf.DUMMYFUNCTION("IFERROR(
  FILTER('CBK Students'!O:O, TRIM('CBK Students'!B:B) = TRIM(A1009)),
  """"
)"),"#REF!")</f>
        <v>#REF!</v>
      </c>
      <c r="AA1009" s="4" t="str">
        <f>IFERROR(__xludf.DUMMYFUNCTION("IFERROR(
  FILTER('CBK Students'!P:P, TRIM('CBK Students'!B:B) = TRIM(A1009)),
  """"
)"),"#REF!")</f>
        <v>#REF!</v>
      </c>
      <c r="AB1009" s="4" t="str">
        <f>IFERROR(__xludf.DUMMYFUNCTION("IFERROR(
  FILTER('CBK Students'!Q:Q, TRIM('CBK Students'!B:B) = TRIM(A1009)),
  """"
)"),"#REF!")</f>
        <v>#REF!</v>
      </c>
    </row>
    <row r="1010" ht="18.75" customHeight="1">
      <c r="T1010" s="240" t="str">
        <f>IFERROR(__xludf.DUMMYFUNCTION("IFERROR(
  FILTER('CBK Students'!F:F, TRIM('CBK Students'!B:B) = TRIM(A1010)),
  """"
)"),"#REF!")</f>
        <v>#REF!</v>
      </c>
      <c r="U1010" s="240" t="str">
        <f>IFERROR(__xludf.DUMMYFUNCTION("IFERROR(
  FILTER('CBK Students'!H:H, TRIM('CBK Students'!B:B) = TRIM(A1010)),
  """"
)"),"#REF!")</f>
        <v>#REF!</v>
      </c>
      <c r="V1010" s="240" t="str">
        <f>IFERROR(__xludf.DUMMYFUNCTION("IFERROR(
  FILTER('CBK Students'!M:M, TRIM('CBK Students'!B:B) = TRIM(A1010)),
  """"
)"),"#REF!")</f>
        <v>#REF!</v>
      </c>
      <c r="W1010" s="240" t="str">
        <f t="shared" si="1"/>
        <v/>
      </c>
      <c r="X1010" s="240" t="str">
        <f>IFERROR(__xludf.DUMMYFUNCTION("IFERROR(
  FILTER('CBK Students'!R:R, TRIM('CBK Students'!B:B) = TRIM(A1010)),
  """"
)"),"#REF!")</f>
        <v>#REF!</v>
      </c>
      <c r="Y1010" s="4" t="str">
        <f t="shared" si="2"/>
        <v/>
      </c>
      <c r="Z1010" s="4" t="str">
        <f>IFERROR(__xludf.DUMMYFUNCTION("IFERROR(
  FILTER('CBK Students'!O:O, TRIM('CBK Students'!B:B) = TRIM(A1010)),
  """"
)"),"#REF!")</f>
        <v>#REF!</v>
      </c>
      <c r="AA1010" s="4" t="str">
        <f>IFERROR(__xludf.DUMMYFUNCTION("IFERROR(
  FILTER('CBK Students'!P:P, TRIM('CBK Students'!B:B) = TRIM(A1010)),
  """"
)"),"#REF!")</f>
        <v>#REF!</v>
      </c>
      <c r="AB1010" s="4" t="str">
        <f>IFERROR(__xludf.DUMMYFUNCTION("IFERROR(
  FILTER('CBK Students'!Q:Q, TRIM('CBK Students'!B:B) = TRIM(A1010)),
  """"
)"),"#REF!")</f>
        <v>#REF!</v>
      </c>
    </row>
    <row r="1011" ht="18.75" customHeight="1">
      <c r="T1011" s="240" t="str">
        <f>IFERROR(__xludf.DUMMYFUNCTION("IFERROR(
  FILTER('CBK Students'!F:F, TRIM('CBK Students'!B:B) = TRIM(A1011)),
  """"
)"),"#REF!")</f>
        <v>#REF!</v>
      </c>
      <c r="U1011" s="240" t="str">
        <f>IFERROR(__xludf.DUMMYFUNCTION("IFERROR(
  FILTER('CBK Students'!H:H, TRIM('CBK Students'!B:B) = TRIM(A1011)),
  """"
)"),"#REF!")</f>
        <v>#REF!</v>
      </c>
      <c r="V1011" s="240" t="str">
        <f>IFERROR(__xludf.DUMMYFUNCTION("IFERROR(
  FILTER('CBK Students'!M:M, TRIM('CBK Students'!B:B) = TRIM(A1011)),
  """"
)"),"#REF!")</f>
        <v>#REF!</v>
      </c>
      <c r="W1011" s="240" t="str">
        <f t="shared" si="1"/>
        <v/>
      </c>
      <c r="X1011" s="240" t="str">
        <f>IFERROR(__xludf.DUMMYFUNCTION("IFERROR(
  FILTER('CBK Students'!R:R, TRIM('CBK Students'!B:B) = TRIM(A1011)),
  """"
)"),"#REF!")</f>
        <v>#REF!</v>
      </c>
      <c r="Y1011" s="4" t="str">
        <f t="shared" si="2"/>
        <v/>
      </c>
      <c r="Z1011" s="4" t="str">
        <f>IFERROR(__xludf.DUMMYFUNCTION("IFERROR(
  FILTER('CBK Students'!O:O, TRIM('CBK Students'!B:B) = TRIM(A1011)),
  """"
)"),"#REF!")</f>
        <v>#REF!</v>
      </c>
      <c r="AA1011" s="4" t="str">
        <f>IFERROR(__xludf.DUMMYFUNCTION("IFERROR(
  FILTER('CBK Students'!P:P, TRIM('CBK Students'!B:B) = TRIM(A1011)),
  """"
)"),"#REF!")</f>
        <v>#REF!</v>
      </c>
      <c r="AB1011" s="4" t="str">
        <f>IFERROR(__xludf.DUMMYFUNCTION("IFERROR(
  FILTER('CBK Students'!Q:Q, TRIM('CBK Students'!B:B) = TRIM(A1011)),
  """"
)"),"#REF!")</f>
        <v>#REF!</v>
      </c>
    </row>
    <row r="1012" ht="18.75" customHeight="1">
      <c r="T1012" s="240" t="str">
        <f>IFERROR(__xludf.DUMMYFUNCTION("IFERROR(
  FILTER('CBK Students'!F:F, TRIM('CBK Students'!B:B) = TRIM(A1012)),
  """"
)"),"#REF!")</f>
        <v>#REF!</v>
      </c>
      <c r="U1012" s="240" t="str">
        <f>IFERROR(__xludf.DUMMYFUNCTION("IFERROR(
  FILTER('CBK Students'!H:H, TRIM('CBK Students'!B:B) = TRIM(A1012)),
  """"
)"),"#REF!")</f>
        <v>#REF!</v>
      </c>
      <c r="V1012" s="240" t="str">
        <f>IFERROR(__xludf.DUMMYFUNCTION("IFERROR(
  FILTER('CBK Students'!M:M, TRIM('CBK Students'!B:B) = TRIM(A1012)),
  """"
)"),"#REF!")</f>
        <v>#REF!</v>
      </c>
      <c r="W1012" s="240" t="str">
        <f t="shared" si="1"/>
        <v/>
      </c>
      <c r="X1012" s="240" t="str">
        <f>IFERROR(__xludf.DUMMYFUNCTION("IFERROR(
  FILTER('CBK Students'!R:R, TRIM('CBK Students'!B:B) = TRIM(A1012)),
  """"
)"),"#REF!")</f>
        <v>#REF!</v>
      </c>
      <c r="Y1012" s="4" t="str">
        <f t="shared" si="2"/>
        <v/>
      </c>
      <c r="Z1012" s="4" t="str">
        <f>IFERROR(__xludf.DUMMYFUNCTION("IFERROR(
  FILTER('CBK Students'!O:O, TRIM('CBK Students'!B:B) = TRIM(A1012)),
  """"
)"),"#REF!")</f>
        <v>#REF!</v>
      </c>
      <c r="AA1012" s="4" t="str">
        <f>IFERROR(__xludf.DUMMYFUNCTION("IFERROR(
  FILTER('CBK Students'!P:P, TRIM('CBK Students'!B:B) = TRIM(A1012)),
  """"
)"),"#REF!")</f>
        <v>#REF!</v>
      </c>
      <c r="AB1012" s="4" t="str">
        <f>IFERROR(__xludf.DUMMYFUNCTION("IFERROR(
  FILTER('CBK Students'!Q:Q, TRIM('CBK Students'!B:B) = TRIM(A1012)),
  """"
)"),"#REF!")</f>
        <v>#REF!</v>
      </c>
    </row>
    <row r="1013" ht="18.75" customHeight="1">
      <c r="T1013" s="240" t="str">
        <f>IFERROR(__xludf.DUMMYFUNCTION("IFERROR(
  FILTER('CBK Students'!F:F, TRIM('CBK Students'!B:B) = TRIM(A1013)),
  """"
)"),"#REF!")</f>
        <v>#REF!</v>
      </c>
      <c r="U1013" s="240" t="str">
        <f>IFERROR(__xludf.DUMMYFUNCTION("IFERROR(
  FILTER('CBK Students'!H:H, TRIM('CBK Students'!B:B) = TRIM(A1013)),
  """"
)"),"#REF!")</f>
        <v>#REF!</v>
      </c>
      <c r="V1013" s="240" t="str">
        <f>IFERROR(__xludf.DUMMYFUNCTION("IFERROR(
  FILTER('CBK Students'!M:M, TRIM('CBK Students'!B:B) = TRIM(A1013)),
  """"
)"),"#REF!")</f>
        <v>#REF!</v>
      </c>
      <c r="W1013" s="240" t="str">
        <f t="shared" si="1"/>
        <v/>
      </c>
      <c r="X1013" s="240" t="str">
        <f>IFERROR(__xludf.DUMMYFUNCTION("IFERROR(
  FILTER('CBK Students'!R:R, TRIM('CBK Students'!B:B) = TRIM(A1013)),
  """"
)"),"#REF!")</f>
        <v>#REF!</v>
      </c>
      <c r="Y1013" s="4" t="str">
        <f t="shared" si="2"/>
        <v/>
      </c>
      <c r="Z1013" s="4" t="str">
        <f>IFERROR(__xludf.DUMMYFUNCTION("IFERROR(
  FILTER('CBK Students'!O:O, TRIM('CBK Students'!B:B) = TRIM(A1013)),
  """"
)"),"#REF!")</f>
        <v>#REF!</v>
      </c>
      <c r="AA1013" s="4" t="str">
        <f>IFERROR(__xludf.DUMMYFUNCTION("IFERROR(
  FILTER('CBK Students'!P:P, TRIM('CBK Students'!B:B) = TRIM(A1013)),
  """"
)"),"#REF!")</f>
        <v>#REF!</v>
      </c>
      <c r="AB1013" s="4" t="str">
        <f>IFERROR(__xludf.DUMMYFUNCTION("IFERROR(
  FILTER('CBK Students'!Q:Q, TRIM('CBK Students'!B:B) = TRIM(A1013)),
  """"
)"),"#REF!")</f>
        <v>#REF!</v>
      </c>
    </row>
    <row r="1014" ht="18.75" customHeight="1">
      <c r="T1014" s="240" t="str">
        <f>IFERROR(__xludf.DUMMYFUNCTION("IFERROR(
  FILTER('CBK Students'!F:F, TRIM('CBK Students'!B:B) = TRIM(A1014)),
  """"
)"),"#REF!")</f>
        <v>#REF!</v>
      </c>
      <c r="U1014" s="240" t="str">
        <f>IFERROR(__xludf.DUMMYFUNCTION("IFERROR(
  FILTER('CBK Students'!H:H, TRIM('CBK Students'!B:B) = TRIM(A1014)),
  """"
)"),"#REF!")</f>
        <v>#REF!</v>
      </c>
      <c r="V1014" s="240" t="str">
        <f>IFERROR(__xludf.DUMMYFUNCTION("IFERROR(
  FILTER('CBK Students'!M:M, TRIM('CBK Students'!B:B) = TRIM(A1014)),
  """"
)"),"#REF!")</f>
        <v>#REF!</v>
      </c>
      <c r="W1014" s="240" t="str">
        <f t="shared" si="1"/>
        <v/>
      </c>
      <c r="X1014" s="240" t="str">
        <f>IFERROR(__xludf.DUMMYFUNCTION("IFERROR(
  FILTER('CBK Students'!R:R, TRIM('CBK Students'!B:B) = TRIM(A1014)),
  """"
)"),"#REF!")</f>
        <v>#REF!</v>
      </c>
      <c r="Y1014" s="4" t="str">
        <f t="shared" si="2"/>
        <v/>
      </c>
      <c r="Z1014" s="4" t="str">
        <f>IFERROR(__xludf.DUMMYFUNCTION("IFERROR(
  FILTER('CBK Students'!O:O, TRIM('CBK Students'!B:B) = TRIM(A1014)),
  """"
)"),"#REF!")</f>
        <v>#REF!</v>
      </c>
      <c r="AA1014" s="4" t="str">
        <f>IFERROR(__xludf.DUMMYFUNCTION("IFERROR(
  FILTER('CBK Students'!P:P, TRIM('CBK Students'!B:B) = TRIM(A1014)),
  """"
)"),"#REF!")</f>
        <v>#REF!</v>
      </c>
      <c r="AB1014" s="4" t="str">
        <f>IFERROR(__xludf.DUMMYFUNCTION("IFERROR(
  FILTER('CBK Students'!Q:Q, TRIM('CBK Students'!B:B) = TRIM(A1014)),
  """"
)"),"#REF!")</f>
        <v>#REF!</v>
      </c>
    </row>
    <row r="1015" ht="18.75" customHeight="1">
      <c r="T1015" s="240" t="str">
        <f>IFERROR(__xludf.DUMMYFUNCTION("IFERROR(
  FILTER('CBK Students'!F:F, TRIM('CBK Students'!B:B) = TRIM(A1015)),
  """"
)"),"#REF!")</f>
        <v>#REF!</v>
      </c>
      <c r="U1015" s="240" t="str">
        <f>IFERROR(__xludf.DUMMYFUNCTION("IFERROR(
  FILTER('CBK Students'!H:H, TRIM('CBK Students'!B:B) = TRIM(A1015)),
  """"
)"),"#REF!")</f>
        <v>#REF!</v>
      </c>
      <c r="V1015" s="240" t="str">
        <f>IFERROR(__xludf.DUMMYFUNCTION("IFERROR(
  FILTER('CBK Students'!M:M, TRIM('CBK Students'!B:B) = TRIM(A1015)),
  """"
)"),"#REF!")</f>
        <v>#REF!</v>
      </c>
      <c r="W1015" s="240" t="str">
        <f t="shared" si="1"/>
        <v/>
      </c>
      <c r="X1015" s="240" t="str">
        <f>IFERROR(__xludf.DUMMYFUNCTION("IFERROR(
  FILTER('CBK Students'!R:R, TRIM('CBK Students'!B:B) = TRIM(A1015)),
  """"
)"),"#REF!")</f>
        <v>#REF!</v>
      </c>
      <c r="Y1015" s="4" t="str">
        <f t="shared" si="2"/>
        <v/>
      </c>
      <c r="Z1015" s="4" t="str">
        <f>IFERROR(__xludf.DUMMYFUNCTION("IFERROR(
  FILTER('CBK Students'!O:O, TRIM('CBK Students'!B:B) = TRIM(A1015)),
  """"
)"),"#REF!")</f>
        <v>#REF!</v>
      </c>
      <c r="AA1015" s="4" t="str">
        <f>IFERROR(__xludf.DUMMYFUNCTION("IFERROR(
  FILTER('CBK Students'!P:P, TRIM('CBK Students'!B:B) = TRIM(A1015)),
  """"
)"),"#REF!")</f>
        <v>#REF!</v>
      </c>
      <c r="AB1015" s="4" t="str">
        <f>IFERROR(__xludf.DUMMYFUNCTION("IFERROR(
  FILTER('CBK Students'!Q:Q, TRIM('CBK Students'!B:B) = TRIM(A1015)),
  """"
)"),"#REF!")</f>
        <v>#REF!</v>
      </c>
    </row>
    <row r="1016" ht="18.75" customHeight="1">
      <c r="T1016" s="240" t="str">
        <f>IFERROR(__xludf.DUMMYFUNCTION("IFERROR(
  FILTER('CBK Students'!F:F, TRIM('CBK Students'!B:B) = TRIM(A1016)),
  """"
)"),"#REF!")</f>
        <v>#REF!</v>
      </c>
      <c r="U1016" s="240" t="str">
        <f>IFERROR(__xludf.DUMMYFUNCTION("IFERROR(
  FILTER('CBK Students'!H:H, TRIM('CBK Students'!B:B) = TRIM(A1016)),
  """"
)"),"#REF!")</f>
        <v>#REF!</v>
      </c>
      <c r="V1016" s="240" t="str">
        <f>IFERROR(__xludf.DUMMYFUNCTION("IFERROR(
  FILTER('CBK Students'!M:M, TRIM('CBK Students'!B:B) = TRIM(A1016)),
  """"
)"),"#REF!")</f>
        <v>#REF!</v>
      </c>
      <c r="W1016" s="240" t="str">
        <f t="shared" si="1"/>
        <v/>
      </c>
      <c r="X1016" s="240" t="str">
        <f>IFERROR(__xludf.DUMMYFUNCTION("IFERROR(
  FILTER('CBK Students'!R:R, TRIM('CBK Students'!B:B) = TRIM(A1016)),
  """"
)"),"#REF!")</f>
        <v>#REF!</v>
      </c>
      <c r="Y1016" s="4" t="str">
        <f t="shared" si="2"/>
        <v/>
      </c>
      <c r="Z1016" s="4" t="str">
        <f>IFERROR(__xludf.DUMMYFUNCTION("IFERROR(
  FILTER('CBK Students'!O:O, TRIM('CBK Students'!B:B) = TRIM(A1016)),
  """"
)"),"#REF!")</f>
        <v>#REF!</v>
      </c>
      <c r="AA1016" s="4" t="str">
        <f>IFERROR(__xludf.DUMMYFUNCTION("IFERROR(
  FILTER('CBK Students'!P:P, TRIM('CBK Students'!B:B) = TRIM(A1016)),
  """"
)"),"#REF!")</f>
        <v>#REF!</v>
      </c>
      <c r="AB1016" s="4" t="str">
        <f>IFERROR(__xludf.DUMMYFUNCTION("IFERROR(
  FILTER('CBK Students'!Q:Q, TRIM('CBK Students'!B:B) = TRIM(A1016)),
  """"
)"),"#REF!")</f>
        <v>#REF!</v>
      </c>
    </row>
    <row r="1017" ht="18.75" customHeight="1">
      <c r="T1017" s="240" t="str">
        <f>IFERROR(__xludf.DUMMYFUNCTION("IFERROR(
  FILTER('CBK Students'!F:F, TRIM('CBK Students'!B:B) = TRIM(A1017)),
  """"
)"),"#REF!")</f>
        <v>#REF!</v>
      </c>
      <c r="U1017" s="240" t="str">
        <f>IFERROR(__xludf.DUMMYFUNCTION("IFERROR(
  FILTER('CBK Students'!H:H, TRIM('CBK Students'!B:B) = TRIM(A1017)),
  """"
)"),"#REF!")</f>
        <v>#REF!</v>
      </c>
      <c r="V1017" s="240" t="str">
        <f>IFERROR(__xludf.DUMMYFUNCTION("IFERROR(
  FILTER('CBK Students'!M:M, TRIM('CBK Students'!B:B) = TRIM(A1017)),
  """"
)"),"#REF!")</f>
        <v>#REF!</v>
      </c>
      <c r="W1017" s="240" t="str">
        <f t="shared" si="1"/>
        <v/>
      </c>
      <c r="X1017" s="240" t="str">
        <f>IFERROR(__xludf.DUMMYFUNCTION("IFERROR(
  FILTER('CBK Students'!R:R, TRIM('CBK Students'!B:B) = TRIM(A1017)),
  """"
)"),"#REF!")</f>
        <v>#REF!</v>
      </c>
      <c r="Y1017" s="4" t="str">
        <f t="shared" si="2"/>
        <v/>
      </c>
      <c r="Z1017" s="4" t="str">
        <f>IFERROR(__xludf.DUMMYFUNCTION("IFERROR(
  FILTER('CBK Students'!O:O, TRIM('CBK Students'!B:B) = TRIM(A1017)),
  """"
)"),"#REF!")</f>
        <v>#REF!</v>
      </c>
      <c r="AA1017" s="4" t="str">
        <f>IFERROR(__xludf.DUMMYFUNCTION("IFERROR(
  FILTER('CBK Students'!P:P, TRIM('CBK Students'!B:B) = TRIM(A1017)),
  """"
)"),"#REF!")</f>
        <v>#REF!</v>
      </c>
      <c r="AB1017" s="4" t="str">
        <f>IFERROR(__xludf.DUMMYFUNCTION("IFERROR(
  FILTER('CBK Students'!Q:Q, TRIM('CBK Students'!B:B) = TRIM(A1017)),
  """"
)"),"#REF!")</f>
        <v>#REF!</v>
      </c>
    </row>
    <row r="1018" ht="18.75" customHeight="1">
      <c r="T1018" s="240" t="str">
        <f>IFERROR(__xludf.DUMMYFUNCTION("IFERROR(
  FILTER('CBK Students'!F:F, TRIM('CBK Students'!B:B) = TRIM(A1018)),
  """"
)"),"#REF!")</f>
        <v>#REF!</v>
      </c>
      <c r="U1018" s="240" t="str">
        <f>IFERROR(__xludf.DUMMYFUNCTION("IFERROR(
  FILTER('CBK Students'!H:H, TRIM('CBK Students'!B:B) = TRIM(A1018)),
  """"
)"),"#REF!")</f>
        <v>#REF!</v>
      </c>
      <c r="V1018" s="240" t="str">
        <f>IFERROR(__xludf.DUMMYFUNCTION("IFERROR(
  FILTER('CBK Students'!M:M, TRIM('CBK Students'!B:B) = TRIM(A1018)),
  """"
)"),"#REF!")</f>
        <v>#REF!</v>
      </c>
      <c r="W1018" s="240" t="str">
        <f t="shared" si="1"/>
        <v/>
      </c>
      <c r="X1018" s="240" t="str">
        <f>IFERROR(__xludf.DUMMYFUNCTION("IFERROR(
  FILTER('CBK Students'!R:R, TRIM('CBK Students'!B:B) = TRIM(A1018)),
  """"
)"),"#REF!")</f>
        <v>#REF!</v>
      </c>
      <c r="Y1018" s="4" t="str">
        <f t="shared" si="2"/>
        <v/>
      </c>
      <c r="Z1018" s="4" t="str">
        <f>IFERROR(__xludf.DUMMYFUNCTION("IFERROR(
  FILTER('CBK Students'!O:O, TRIM('CBK Students'!B:B) = TRIM(A1018)),
  """"
)"),"#REF!")</f>
        <v>#REF!</v>
      </c>
      <c r="AA1018" s="4" t="str">
        <f>IFERROR(__xludf.DUMMYFUNCTION("IFERROR(
  FILTER('CBK Students'!P:P, TRIM('CBK Students'!B:B) = TRIM(A1018)),
  """"
)"),"#REF!")</f>
        <v>#REF!</v>
      </c>
      <c r="AB1018" s="4" t="str">
        <f>IFERROR(__xludf.DUMMYFUNCTION("IFERROR(
  FILTER('CBK Students'!Q:Q, TRIM('CBK Students'!B:B) = TRIM(A1018)),
  """"
)"),"#REF!")</f>
        <v>#REF!</v>
      </c>
    </row>
    <row r="1019" ht="18.75" customHeight="1">
      <c r="T1019" s="240" t="str">
        <f>IFERROR(__xludf.DUMMYFUNCTION("IFERROR(
  FILTER('CBK Students'!F:F, TRIM('CBK Students'!B:B) = TRIM(A1019)),
  """"
)"),"#REF!")</f>
        <v>#REF!</v>
      </c>
      <c r="U1019" s="240" t="str">
        <f>IFERROR(__xludf.DUMMYFUNCTION("IFERROR(
  FILTER('CBK Students'!H:H, TRIM('CBK Students'!B:B) = TRIM(A1019)),
  """"
)"),"#REF!")</f>
        <v>#REF!</v>
      </c>
      <c r="V1019" s="240" t="str">
        <f>IFERROR(__xludf.DUMMYFUNCTION("IFERROR(
  FILTER('CBK Students'!M:M, TRIM('CBK Students'!B:B) = TRIM(A1019)),
  """"
)"),"#REF!")</f>
        <v>#REF!</v>
      </c>
      <c r="W1019" s="240" t="str">
        <f t="shared" si="1"/>
        <v/>
      </c>
      <c r="X1019" s="240" t="str">
        <f>IFERROR(__xludf.DUMMYFUNCTION("IFERROR(
  FILTER('CBK Students'!R:R, TRIM('CBK Students'!B:B) = TRIM(A1019)),
  """"
)"),"#REF!")</f>
        <v>#REF!</v>
      </c>
      <c r="Y1019" s="4" t="str">
        <f t="shared" si="2"/>
        <v/>
      </c>
      <c r="Z1019" s="4" t="str">
        <f>IFERROR(__xludf.DUMMYFUNCTION("IFERROR(
  FILTER('CBK Students'!O:O, TRIM('CBK Students'!B:B) = TRIM(A1019)),
  """"
)"),"#REF!")</f>
        <v>#REF!</v>
      </c>
      <c r="AA1019" s="4" t="str">
        <f>IFERROR(__xludf.DUMMYFUNCTION("IFERROR(
  FILTER('CBK Students'!P:P, TRIM('CBK Students'!B:B) = TRIM(A1019)),
  """"
)"),"#REF!")</f>
        <v>#REF!</v>
      </c>
      <c r="AB1019" s="4" t="str">
        <f>IFERROR(__xludf.DUMMYFUNCTION("IFERROR(
  FILTER('CBK Students'!Q:Q, TRIM('CBK Students'!B:B) = TRIM(A1019)),
  """"
)"),"#REF!")</f>
        <v>#REF!</v>
      </c>
    </row>
    <row r="1020" ht="18.75" customHeight="1">
      <c r="T1020" s="240" t="str">
        <f>IFERROR(__xludf.DUMMYFUNCTION("IFERROR(
  FILTER('CBK Students'!F:F, TRIM('CBK Students'!B:B) = TRIM(A1020)),
  """"
)"),"#REF!")</f>
        <v>#REF!</v>
      </c>
      <c r="U1020" s="240" t="str">
        <f>IFERROR(__xludf.DUMMYFUNCTION("IFERROR(
  FILTER('CBK Students'!H:H, TRIM('CBK Students'!B:B) = TRIM(A1020)),
  """"
)"),"#REF!")</f>
        <v>#REF!</v>
      </c>
      <c r="V1020" s="240" t="str">
        <f>IFERROR(__xludf.DUMMYFUNCTION("IFERROR(
  FILTER('CBK Students'!M:M, TRIM('CBK Students'!B:B) = TRIM(A1020)),
  """"
)"),"#REF!")</f>
        <v>#REF!</v>
      </c>
      <c r="W1020" s="240" t="str">
        <f t="shared" si="1"/>
        <v/>
      </c>
      <c r="X1020" s="240" t="str">
        <f>IFERROR(__xludf.DUMMYFUNCTION("IFERROR(
  FILTER('CBK Students'!R:R, TRIM('CBK Students'!B:B) = TRIM(A1020)),
  """"
)"),"#REF!")</f>
        <v>#REF!</v>
      </c>
      <c r="Y1020" s="4" t="str">
        <f t="shared" si="2"/>
        <v/>
      </c>
      <c r="Z1020" s="4" t="str">
        <f>IFERROR(__xludf.DUMMYFUNCTION("IFERROR(
  FILTER('CBK Students'!O:O, TRIM('CBK Students'!B:B) = TRIM(A1020)),
  """"
)"),"#REF!")</f>
        <v>#REF!</v>
      </c>
      <c r="AA1020" s="4" t="str">
        <f>IFERROR(__xludf.DUMMYFUNCTION("IFERROR(
  FILTER('CBK Students'!P:P, TRIM('CBK Students'!B:B) = TRIM(A1020)),
  """"
)"),"#REF!")</f>
        <v>#REF!</v>
      </c>
      <c r="AB1020" s="4" t="str">
        <f>IFERROR(__xludf.DUMMYFUNCTION("IFERROR(
  FILTER('CBK Students'!Q:Q, TRIM('CBK Students'!B:B) = TRIM(A1020)),
  """"
)"),"#REF!")</f>
        <v>#REF!</v>
      </c>
    </row>
    <row r="1021" ht="18.75" customHeight="1">
      <c r="T1021" s="240" t="str">
        <f>IFERROR(__xludf.DUMMYFUNCTION("IFERROR(
  FILTER('CBK Students'!F:F, TRIM('CBK Students'!B:B) = TRIM(A1021)),
  """"
)"),"#REF!")</f>
        <v>#REF!</v>
      </c>
      <c r="U1021" s="240" t="str">
        <f>IFERROR(__xludf.DUMMYFUNCTION("IFERROR(
  FILTER('CBK Students'!H:H, TRIM('CBK Students'!B:B) = TRIM(A1021)),
  """"
)"),"#REF!")</f>
        <v>#REF!</v>
      </c>
      <c r="V1021" s="240" t="str">
        <f>IFERROR(__xludf.DUMMYFUNCTION("IFERROR(
  FILTER('CBK Students'!M:M, TRIM('CBK Students'!B:B) = TRIM(A1021)),
  """"
)"),"#REF!")</f>
        <v>#REF!</v>
      </c>
      <c r="W1021" s="240" t="str">
        <f t="shared" si="1"/>
        <v/>
      </c>
      <c r="X1021" s="240" t="str">
        <f>IFERROR(__xludf.DUMMYFUNCTION("IFERROR(
  FILTER('CBK Students'!R:R, TRIM('CBK Students'!B:B) = TRIM(A1021)),
  """"
)"),"#REF!")</f>
        <v>#REF!</v>
      </c>
      <c r="Y1021" s="4" t="str">
        <f t="shared" si="2"/>
        <v/>
      </c>
      <c r="Z1021" s="4" t="str">
        <f>IFERROR(__xludf.DUMMYFUNCTION("IFERROR(
  FILTER('CBK Students'!O:O, TRIM('CBK Students'!B:B) = TRIM(A1021)),
  """"
)"),"#REF!")</f>
        <v>#REF!</v>
      </c>
      <c r="AA1021" s="4" t="str">
        <f>IFERROR(__xludf.DUMMYFUNCTION("IFERROR(
  FILTER('CBK Students'!P:P, TRIM('CBK Students'!B:B) = TRIM(A1021)),
  """"
)"),"#REF!")</f>
        <v>#REF!</v>
      </c>
      <c r="AB1021" s="4" t="str">
        <f>IFERROR(__xludf.DUMMYFUNCTION("IFERROR(
  FILTER('CBK Students'!Q:Q, TRIM('CBK Students'!B:B) = TRIM(A1021)),
  """"
)"),"#REF!")</f>
        <v>#REF!</v>
      </c>
    </row>
    <row r="1022" ht="18.75" customHeight="1">
      <c r="T1022" s="240" t="str">
        <f>IFERROR(__xludf.DUMMYFUNCTION("IFERROR(
  FILTER('CBK Students'!F:F, TRIM('CBK Students'!B:B) = TRIM(A1022)),
  """"
)"),"#REF!")</f>
        <v>#REF!</v>
      </c>
      <c r="U1022" s="240" t="str">
        <f>IFERROR(__xludf.DUMMYFUNCTION("IFERROR(
  FILTER('CBK Students'!H:H, TRIM('CBK Students'!B:B) = TRIM(A1022)),
  """"
)"),"#REF!")</f>
        <v>#REF!</v>
      </c>
      <c r="V1022" s="240" t="str">
        <f>IFERROR(__xludf.DUMMYFUNCTION("IFERROR(
  FILTER('CBK Students'!M:M, TRIM('CBK Students'!B:B) = TRIM(A1022)),
  """"
)"),"#REF!")</f>
        <v>#REF!</v>
      </c>
      <c r="W1022" s="240" t="str">
        <f t="shared" si="1"/>
        <v/>
      </c>
      <c r="X1022" s="240" t="str">
        <f>IFERROR(__xludf.DUMMYFUNCTION("IFERROR(
  FILTER('CBK Students'!R:R, TRIM('CBK Students'!B:B) = TRIM(A1022)),
  """"
)"),"#REF!")</f>
        <v>#REF!</v>
      </c>
      <c r="Y1022" s="4" t="str">
        <f t="shared" si="2"/>
        <v/>
      </c>
      <c r="Z1022" s="4" t="str">
        <f>IFERROR(__xludf.DUMMYFUNCTION("IFERROR(
  FILTER('CBK Students'!O:O, TRIM('CBK Students'!B:B) = TRIM(A1022)),
  """"
)"),"#REF!")</f>
        <v>#REF!</v>
      </c>
      <c r="AA1022" s="4" t="str">
        <f>IFERROR(__xludf.DUMMYFUNCTION("IFERROR(
  FILTER('CBK Students'!P:P, TRIM('CBK Students'!B:B) = TRIM(A1022)),
  """"
)"),"#REF!")</f>
        <v>#REF!</v>
      </c>
      <c r="AB1022" s="4" t="str">
        <f>IFERROR(__xludf.DUMMYFUNCTION("IFERROR(
  FILTER('CBK Students'!Q:Q, TRIM('CBK Students'!B:B) = TRIM(A1022)),
  """"
)"),"#REF!")</f>
        <v>#REF!</v>
      </c>
    </row>
    <row r="1023" ht="18.75" customHeight="1">
      <c r="T1023" s="240" t="str">
        <f>IFERROR(__xludf.DUMMYFUNCTION("IFERROR(
  FILTER('CBK Students'!F:F, TRIM('CBK Students'!B:B) = TRIM(A1023)),
  """"
)"),"#REF!")</f>
        <v>#REF!</v>
      </c>
      <c r="U1023" s="240" t="str">
        <f>IFERROR(__xludf.DUMMYFUNCTION("IFERROR(
  FILTER('CBK Students'!H:H, TRIM('CBK Students'!B:B) = TRIM(A1023)),
  """"
)"),"#REF!")</f>
        <v>#REF!</v>
      </c>
      <c r="V1023" s="240" t="str">
        <f>IFERROR(__xludf.DUMMYFUNCTION("IFERROR(
  FILTER('CBK Students'!M:M, TRIM('CBK Students'!B:B) = TRIM(A1023)),
  """"
)"),"#REF!")</f>
        <v>#REF!</v>
      </c>
      <c r="W1023" s="240" t="str">
        <f t="shared" si="1"/>
        <v/>
      </c>
      <c r="X1023" s="240" t="str">
        <f>IFERROR(__xludf.DUMMYFUNCTION("IFERROR(
  FILTER('CBK Students'!R:R, TRIM('CBK Students'!B:B) = TRIM(A1023)),
  """"
)"),"#REF!")</f>
        <v>#REF!</v>
      </c>
      <c r="Y1023" s="4" t="str">
        <f t="shared" si="2"/>
        <v/>
      </c>
      <c r="Z1023" s="4" t="str">
        <f>IFERROR(__xludf.DUMMYFUNCTION("IFERROR(
  FILTER('CBK Students'!O:O, TRIM('CBK Students'!B:B) = TRIM(A1023)),
  """"
)"),"#REF!")</f>
        <v>#REF!</v>
      </c>
      <c r="AA1023" s="4" t="str">
        <f>IFERROR(__xludf.DUMMYFUNCTION("IFERROR(
  FILTER('CBK Students'!P:P, TRIM('CBK Students'!B:B) = TRIM(A1023)),
  """"
)"),"#REF!")</f>
        <v>#REF!</v>
      </c>
      <c r="AB1023" s="4" t="str">
        <f>IFERROR(__xludf.DUMMYFUNCTION("IFERROR(
  FILTER('CBK Students'!Q:Q, TRIM('CBK Students'!B:B) = TRIM(A1023)),
  """"
)"),"#REF!")</f>
        <v>#REF!</v>
      </c>
    </row>
    <row r="1024" ht="18.75" customHeight="1">
      <c r="T1024" s="240" t="str">
        <f>IFERROR(__xludf.DUMMYFUNCTION("IFERROR(
  FILTER('CBK Students'!F:F, TRIM('CBK Students'!B:B) = TRIM(A1024)),
  """"
)"),"#REF!")</f>
        <v>#REF!</v>
      </c>
      <c r="U1024" s="240" t="str">
        <f>IFERROR(__xludf.DUMMYFUNCTION("IFERROR(
  FILTER('CBK Students'!H:H, TRIM('CBK Students'!B:B) = TRIM(A1024)),
  """"
)"),"#REF!")</f>
        <v>#REF!</v>
      </c>
      <c r="V1024" s="240" t="str">
        <f>IFERROR(__xludf.DUMMYFUNCTION("IFERROR(
  FILTER('CBK Students'!M:M, TRIM('CBK Students'!B:B) = TRIM(A1024)),
  """"
)"),"#REF!")</f>
        <v>#REF!</v>
      </c>
      <c r="W1024" s="240" t="str">
        <f t="shared" si="1"/>
        <v/>
      </c>
      <c r="X1024" s="240" t="str">
        <f>IFERROR(__xludf.DUMMYFUNCTION("IFERROR(
  FILTER('CBK Students'!R:R, TRIM('CBK Students'!B:B) = TRIM(A1024)),
  """"
)"),"#REF!")</f>
        <v>#REF!</v>
      </c>
      <c r="Y1024" s="4" t="str">
        <f t="shared" si="2"/>
        <v/>
      </c>
      <c r="Z1024" s="4" t="str">
        <f>IFERROR(__xludf.DUMMYFUNCTION("IFERROR(
  FILTER('CBK Students'!O:O, TRIM('CBK Students'!B:B) = TRIM(A1024)),
  """"
)"),"#REF!")</f>
        <v>#REF!</v>
      </c>
      <c r="AA1024" s="4" t="str">
        <f>IFERROR(__xludf.DUMMYFUNCTION("IFERROR(
  FILTER('CBK Students'!P:P, TRIM('CBK Students'!B:B) = TRIM(A1024)),
  """"
)"),"#REF!")</f>
        <v>#REF!</v>
      </c>
      <c r="AB1024" s="4" t="str">
        <f>IFERROR(__xludf.DUMMYFUNCTION("IFERROR(
  FILTER('CBK Students'!Q:Q, TRIM('CBK Students'!B:B) = TRIM(A1024)),
  """"
)"),"#REF!")</f>
        <v>#REF!</v>
      </c>
    </row>
    <row r="1025" ht="18.75" customHeight="1">
      <c r="T1025" s="240" t="str">
        <f>IFERROR(__xludf.DUMMYFUNCTION("IFERROR(
  FILTER('CBK Students'!F:F, TRIM('CBK Students'!B:B) = TRIM(A1025)),
  """"
)"),"#REF!")</f>
        <v>#REF!</v>
      </c>
      <c r="U1025" s="240" t="str">
        <f>IFERROR(__xludf.DUMMYFUNCTION("IFERROR(
  FILTER('CBK Students'!H:H, TRIM('CBK Students'!B:B) = TRIM(A1025)),
  """"
)"),"#REF!")</f>
        <v>#REF!</v>
      </c>
      <c r="V1025" s="240" t="str">
        <f>IFERROR(__xludf.DUMMYFUNCTION("IFERROR(
  FILTER('CBK Students'!M:M, TRIM('CBK Students'!B:B) = TRIM(A1025)),
  """"
)"),"#REF!")</f>
        <v>#REF!</v>
      </c>
      <c r="W1025" s="240" t="str">
        <f t="shared" si="1"/>
        <v/>
      </c>
      <c r="X1025" s="240" t="str">
        <f>IFERROR(__xludf.DUMMYFUNCTION("IFERROR(
  FILTER('CBK Students'!R:R, TRIM('CBK Students'!B:B) = TRIM(A1025)),
  """"
)"),"#REF!")</f>
        <v>#REF!</v>
      </c>
      <c r="Y1025" s="4" t="str">
        <f t="shared" si="2"/>
        <v/>
      </c>
      <c r="Z1025" s="4" t="str">
        <f>IFERROR(__xludf.DUMMYFUNCTION("IFERROR(
  FILTER('CBK Students'!O:O, TRIM('CBK Students'!B:B) = TRIM(A1025)),
  """"
)"),"#REF!")</f>
        <v>#REF!</v>
      </c>
      <c r="AA1025" s="4" t="str">
        <f>IFERROR(__xludf.DUMMYFUNCTION("IFERROR(
  FILTER('CBK Students'!P:P, TRIM('CBK Students'!B:B) = TRIM(A1025)),
  """"
)"),"#REF!")</f>
        <v>#REF!</v>
      </c>
      <c r="AB1025" s="4" t="str">
        <f>IFERROR(__xludf.DUMMYFUNCTION("IFERROR(
  FILTER('CBK Students'!Q:Q, TRIM('CBK Students'!B:B) = TRIM(A1025)),
  """"
)"),"#REF!")</f>
        <v>#REF!</v>
      </c>
    </row>
    <row r="1026" ht="18.75" customHeight="1">
      <c r="T1026" s="240" t="str">
        <f>IFERROR(__xludf.DUMMYFUNCTION("IFERROR(
  FILTER('CBK Students'!F:F, TRIM('CBK Students'!B:B) = TRIM(A1026)),
  """"
)"),"#REF!")</f>
        <v>#REF!</v>
      </c>
      <c r="U1026" s="240" t="str">
        <f>IFERROR(__xludf.DUMMYFUNCTION("IFERROR(
  FILTER('CBK Students'!H:H, TRIM('CBK Students'!B:B) = TRIM(A1026)),
  """"
)"),"#REF!")</f>
        <v>#REF!</v>
      </c>
      <c r="V1026" s="240" t="str">
        <f>IFERROR(__xludf.DUMMYFUNCTION("IFERROR(
  FILTER('CBK Students'!M:M, TRIM('CBK Students'!B:B) = TRIM(A1026)),
  """"
)"),"#REF!")</f>
        <v>#REF!</v>
      </c>
      <c r="W1026" s="240" t="str">
        <f t="shared" si="1"/>
        <v/>
      </c>
      <c r="X1026" s="240" t="str">
        <f>IFERROR(__xludf.DUMMYFUNCTION("IFERROR(
  FILTER('CBK Students'!R:R, TRIM('CBK Students'!B:B) = TRIM(A1026)),
  """"
)"),"#REF!")</f>
        <v>#REF!</v>
      </c>
      <c r="Y1026" s="4" t="str">
        <f t="shared" si="2"/>
        <v/>
      </c>
      <c r="Z1026" s="4" t="str">
        <f>IFERROR(__xludf.DUMMYFUNCTION("IFERROR(
  FILTER('CBK Students'!O:O, TRIM('CBK Students'!B:B) = TRIM(A1026)),
  """"
)"),"#REF!")</f>
        <v>#REF!</v>
      </c>
      <c r="AA1026" s="4" t="str">
        <f>IFERROR(__xludf.DUMMYFUNCTION("IFERROR(
  FILTER('CBK Students'!P:P, TRIM('CBK Students'!B:B) = TRIM(A1026)),
  """"
)"),"#REF!")</f>
        <v>#REF!</v>
      </c>
      <c r="AB1026" s="4" t="str">
        <f>IFERROR(__xludf.DUMMYFUNCTION("IFERROR(
  FILTER('CBK Students'!Q:Q, TRIM('CBK Students'!B:B) = TRIM(A1026)),
  """"
)"),"#REF!")</f>
        <v>#REF!</v>
      </c>
    </row>
    <row r="1027" ht="18.75" customHeight="1">
      <c r="T1027" s="240" t="str">
        <f>IFERROR(__xludf.DUMMYFUNCTION("IFERROR(
  FILTER('CBK Students'!F:F, TRIM('CBK Students'!B:B) = TRIM(A1027)),
  """"
)"),"#REF!")</f>
        <v>#REF!</v>
      </c>
      <c r="U1027" s="240" t="str">
        <f>IFERROR(__xludf.DUMMYFUNCTION("IFERROR(
  FILTER('CBK Students'!H:H, TRIM('CBK Students'!B:B) = TRIM(A1027)),
  """"
)"),"#REF!")</f>
        <v>#REF!</v>
      </c>
      <c r="V1027" s="240" t="str">
        <f>IFERROR(__xludf.DUMMYFUNCTION("IFERROR(
  FILTER('CBK Students'!M:M, TRIM('CBK Students'!B:B) = TRIM(A1027)),
  """"
)"),"#REF!")</f>
        <v>#REF!</v>
      </c>
      <c r="W1027" s="240" t="str">
        <f t="shared" si="1"/>
        <v/>
      </c>
      <c r="X1027" s="240" t="str">
        <f>IFERROR(__xludf.DUMMYFUNCTION("IFERROR(
  FILTER('CBK Students'!R:R, TRIM('CBK Students'!B:B) = TRIM(A1027)),
  """"
)"),"#REF!")</f>
        <v>#REF!</v>
      </c>
      <c r="Y1027" s="4" t="str">
        <f t="shared" si="2"/>
        <v/>
      </c>
      <c r="Z1027" s="4" t="str">
        <f>IFERROR(__xludf.DUMMYFUNCTION("IFERROR(
  FILTER('CBK Students'!O:O, TRIM('CBK Students'!B:B) = TRIM(A1027)),
  """"
)"),"#REF!")</f>
        <v>#REF!</v>
      </c>
      <c r="AA1027" s="4" t="str">
        <f>IFERROR(__xludf.DUMMYFUNCTION("IFERROR(
  FILTER('CBK Students'!P:P, TRIM('CBK Students'!B:B) = TRIM(A1027)),
  """"
)"),"#REF!")</f>
        <v>#REF!</v>
      </c>
      <c r="AB1027" s="4" t="str">
        <f>IFERROR(__xludf.DUMMYFUNCTION("IFERROR(
  FILTER('CBK Students'!Q:Q, TRIM('CBK Students'!B:B) = TRIM(A1027)),
  """"
)"),"#REF!")</f>
        <v>#REF!</v>
      </c>
    </row>
    <row r="1028" ht="18.75" customHeight="1">
      <c r="T1028" s="240" t="str">
        <f>IFERROR(__xludf.DUMMYFUNCTION("IFERROR(
  FILTER('CBK Students'!F:F, TRIM('CBK Students'!B:B) = TRIM(A1028)),
  """"
)"),"#REF!")</f>
        <v>#REF!</v>
      </c>
      <c r="U1028" s="240" t="str">
        <f>IFERROR(__xludf.DUMMYFUNCTION("IFERROR(
  FILTER('CBK Students'!H:H, TRIM('CBK Students'!B:B) = TRIM(A1028)),
  """"
)"),"#REF!")</f>
        <v>#REF!</v>
      </c>
      <c r="V1028" s="240" t="str">
        <f>IFERROR(__xludf.DUMMYFUNCTION("IFERROR(
  FILTER('CBK Students'!M:M, TRIM('CBK Students'!B:B) = TRIM(A1028)),
  """"
)"),"#REF!")</f>
        <v>#REF!</v>
      </c>
      <c r="W1028" s="240" t="str">
        <f t="shared" si="1"/>
        <v/>
      </c>
      <c r="X1028" s="240" t="str">
        <f>IFERROR(__xludf.DUMMYFUNCTION("IFERROR(
  FILTER('CBK Students'!R:R, TRIM('CBK Students'!B:B) = TRIM(A1028)),
  """"
)"),"#REF!")</f>
        <v>#REF!</v>
      </c>
      <c r="Y1028" s="4" t="str">
        <f t="shared" si="2"/>
        <v/>
      </c>
      <c r="Z1028" s="4" t="str">
        <f>IFERROR(__xludf.DUMMYFUNCTION("IFERROR(
  FILTER('CBK Students'!O:O, TRIM('CBK Students'!B:B) = TRIM(A1028)),
  """"
)"),"#REF!")</f>
        <v>#REF!</v>
      </c>
      <c r="AA1028" s="4" t="str">
        <f>IFERROR(__xludf.DUMMYFUNCTION("IFERROR(
  FILTER('CBK Students'!P:P, TRIM('CBK Students'!B:B) = TRIM(A1028)),
  """"
)"),"#REF!")</f>
        <v>#REF!</v>
      </c>
      <c r="AB1028" s="4" t="str">
        <f>IFERROR(__xludf.DUMMYFUNCTION("IFERROR(
  FILTER('CBK Students'!Q:Q, TRIM('CBK Students'!B:B) = TRIM(A1028)),
  """"
)"),"#REF!")</f>
        <v>#REF!</v>
      </c>
    </row>
    <row r="1029" ht="18.75" customHeight="1">
      <c r="T1029" s="240" t="str">
        <f>IFERROR(__xludf.DUMMYFUNCTION("IFERROR(
  FILTER('CBK Students'!F:F, TRIM('CBK Students'!B:B) = TRIM(A1029)),
  """"
)"),"#REF!")</f>
        <v>#REF!</v>
      </c>
      <c r="U1029" s="240" t="str">
        <f>IFERROR(__xludf.DUMMYFUNCTION("IFERROR(
  FILTER('CBK Students'!H:H, TRIM('CBK Students'!B:B) = TRIM(A1029)),
  """"
)"),"#REF!")</f>
        <v>#REF!</v>
      </c>
      <c r="V1029" s="240" t="str">
        <f>IFERROR(__xludf.DUMMYFUNCTION("IFERROR(
  FILTER('CBK Students'!M:M, TRIM('CBK Students'!B:B) = TRIM(A1029)),
  """"
)"),"#REF!")</f>
        <v>#REF!</v>
      </c>
      <c r="W1029" s="240" t="str">
        <f t="shared" si="1"/>
        <v/>
      </c>
      <c r="X1029" s="240" t="str">
        <f>IFERROR(__xludf.DUMMYFUNCTION("IFERROR(
  FILTER('CBK Students'!R:R, TRIM('CBK Students'!B:B) = TRIM(A1029)),
  """"
)"),"#REF!")</f>
        <v>#REF!</v>
      </c>
      <c r="Y1029" s="4" t="str">
        <f t="shared" si="2"/>
        <v/>
      </c>
      <c r="Z1029" s="4" t="str">
        <f>IFERROR(__xludf.DUMMYFUNCTION("IFERROR(
  FILTER('CBK Students'!O:O, TRIM('CBK Students'!B:B) = TRIM(A1029)),
  """"
)"),"#REF!")</f>
        <v>#REF!</v>
      </c>
      <c r="AA1029" s="4" t="str">
        <f>IFERROR(__xludf.DUMMYFUNCTION("IFERROR(
  FILTER('CBK Students'!P:P, TRIM('CBK Students'!B:B) = TRIM(A1029)),
  """"
)"),"#REF!")</f>
        <v>#REF!</v>
      </c>
      <c r="AB1029" s="4" t="str">
        <f>IFERROR(__xludf.DUMMYFUNCTION("IFERROR(
  FILTER('CBK Students'!Q:Q, TRIM('CBK Students'!B:B) = TRIM(A1029)),
  """"
)"),"#REF!")</f>
        <v>#REF!</v>
      </c>
    </row>
    <row r="1030" ht="18.75" customHeight="1">
      <c r="T1030" s="240" t="str">
        <f>IFERROR(__xludf.DUMMYFUNCTION("IFERROR(
  FILTER('CBK Students'!F:F, TRIM('CBK Students'!B:B) = TRIM(A1030)),
  """"
)"),"#REF!")</f>
        <v>#REF!</v>
      </c>
      <c r="U1030" s="240" t="str">
        <f>IFERROR(__xludf.DUMMYFUNCTION("IFERROR(
  FILTER('CBK Students'!H:H, TRIM('CBK Students'!B:B) = TRIM(A1030)),
  """"
)"),"#REF!")</f>
        <v>#REF!</v>
      </c>
      <c r="V1030" s="240" t="str">
        <f>IFERROR(__xludf.DUMMYFUNCTION("IFERROR(
  FILTER('CBK Students'!M:M, TRIM('CBK Students'!B:B) = TRIM(A1030)),
  """"
)"),"#REF!")</f>
        <v>#REF!</v>
      </c>
      <c r="W1030" s="240" t="str">
        <f t="shared" si="1"/>
        <v/>
      </c>
      <c r="X1030" s="240" t="str">
        <f>IFERROR(__xludf.DUMMYFUNCTION("IFERROR(
  FILTER('CBK Students'!R:R, TRIM('CBK Students'!B:B) = TRIM(A1030)),
  """"
)"),"#REF!")</f>
        <v>#REF!</v>
      </c>
      <c r="Y1030" s="4" t="str">
        <f t="shared" si="2"/>
        <v/>
      </c>
      <c r="Z1030" s="4" t="str">
        <f>IFERROR(__xludf.DUMMYFUNCTION("IFERROR(
  FILTER('CBK Students'!O:O, TRIM('CBK Students'!B:B) = TRIM(A1030)),
  """"
)"),"#REF!")</f>
        <v>#REF!</v>
      </c>
      <c r="AA1030" s="4" t="str">
        <f>IFERROR(__xludf.DUMMYFUNCTION("IFERROR(
  FILTER('CBK Students'!P:P, TRIM('CBK Students'!B:B) = TRIM(A1030)),
  """"
)"),"#REF!")</f>
        <v>#REF!</v>
      </c>
      <c r="AB1030" s="4" t="str">
        <f>IFERROR(__xludf.DUMMYFUNCTION("IFERROR(
  FILTER('CBK Students'!Q:Q, TRIM('CBK Students'!B:B) = TRIM(A1030)),
  """"
)"),"#REF!")</f>
        <v>#REF!</v>
      </c>
    </row>
    <row r="1031" ht="18.75" customHeight="1">
      <c r="T1031" s="240" t="str">
        <f>IFERROR(__xludf.DUMMYFUNCTION("IFERROR(
  FILTER('CBK Students'!F:F, TRIM('CBK Students'!B:B) = TRIM(A1031)),
  """"
)"),"#REF!")</f>
        <v>#REF!</v>
      </c>
      <c r="U1031" s="240" t="str">
        <f>IFERROR(__xludf.DUMMYFUNCTION("IFERROR(
  FILTER('CBK Students'!H:H, TRIM('CBK Students'!B:B) = TRIM(A1031)),
  """"
)"),"#REF!")</f>
        <v>#REF!</v>
      </c>
      <c r="V1031" s="240" t="str">
        <f>IFERROR(__xludf.DUMMYFUNCTION("IFERROR(
  FILTER('CBK Students'!M:M, TRIM('CBK Students'!B:B) = TRIM(A1031)),
  """"
)"),"#REF!")</f>
        <v>#REF!</v>
      </c>
      <c r="W1031" s="240" t="str">
        <f t="shared" si="1"/>
        <v/>
      </c>
      <c r="X1031" s="240" t="str">
        <f>IFERROR(__xludf.DUMMYFUNCTION("IFERROR(
  FILTER('CBK Students'!R:R, TRIM('CBK Students'!B:B) = TRIM(A1031)),
  """"
)"),"#REF!")</f>
        <v>#REF!</v>
      </c>
      <c r="Y1031" s="4" t="str">
        <f t="shared" si="2"/>
        <v/>
      </c>
      <c r="Z1031" s="4" t="str">
        <f>IFERROR(__xludf.DUMMYFUNCTION("IFERROR(
  FILTER('CBK Students'!O:O, TRIM('CBK Students'!B:B) = TRIM(A1031)),
  """"
)"),"#REF!")</f>
        <v>#REF!</v>
      </c>
      <c r="AA1031" s="4" t="str">
        <f>IFERROR(__xludf.DUMMYFUNCTION("IFERROR(
  FILTER('CBK Students'!P:P, TRIM('CBK Students'!B:B) = TRIM(A1031)),
  """"
)"),"#REF!")</f>
        <v>#REF!</v>
      </c>
      <c r="AB1031" s="4" t="str">
        <f>IFERROR(__xludf.DUMMYFUNCTION("IFERROR(
  FILTER('CBK Students'!Q:Q, TRIM('CBK Students'!B:B) = TRIM(A1031)),
  """"
)"),"#REF!")</f>
        <v>#REF!</v>
      </c>
    </row>
    <row r="1032" ht="18.75" customHeight="1">
      <c r="T1032" s="240" t="str">
        <f>IFERROR(__xludf.DUMMYFUNCTION("IFERROR(
  FILTER('CBK Students'!F:F, TRIM('CBK Students'!B:B) = TRIM(A1032)),
  """"
)"),"#REF!")</f>
        <v>#REF!</v>
      </c>
      <c r="U1032" s="240" t="str">
        <f>IFERROR(__xludf.DUMMYFUNCTION("IFERROR(
  FILTER('CBK Students'!H:H, TRIM('CBK Students'!B:B) = TRIM(A1032)),
  """"
)"),"#REF!")</f>
        <v>#REF!</v>
      </c>
      <c r="V1032" s="240" t="str">
        <f>IFERROR(__xludf.DUMMYFUNCTION("IFERROR(
  FILTER('CBK Students'!M:M, TRIM('CBK Students'!B:B) = TRIM(A1032)),
  """"
)"),"#REF!")</f>
        <v>#REF!</v>
      </c>
      <c r="W1032" s="240" t="str">
        <f t="shared" si="1"/>
        <v/>
      </c>
      <c r="X1032" s="240" t="str">
        <f>IFERROR(__xludf.DUMMYFUNCTION("IFERROR(
  FILTER('CBK Students'!R:R, TRIM('CBK Students'!B:B) = TRIM(A1032)),
  """"
)"),"#REF!")</f>
        <v>#REF!</v>
      </c>
      <c r="Y1032" s="4" t="str">
        <f t="shared" si="2"/>
        <v/>
      </c>
      <c r="Z1032" s="4" t="str">
        <f>IFERROR(__xludf.DUMMYFUNCTION("IFERROR(
  FILTER('CBK Students'!O:O, TRIM('CBK Students'!B:B) = TRIM(A1032)),
  """"
)"),"#REF!")</f>
        <v>#REF!</v>
      </c>
      <c r="AA1032" s="4" t="str">
        <f>IFERROR(__xludf.DUMMYFUNCTION("IFERROR(
  FILTER('CBK Students'!P:P, TRIM('CBK Students'!B:B) = TRIM(A1032)),
  """"
)"),"#REF!")</f>
        <v>#REF!</v>
      </c>
      <c r="AB1032" s="4" t="str">
        <f>IFERROR(__xludf.DUMMYFUNCTION("IFERROR(
  FILTER('CBK Students'!Q:Q, TRIM('CBK Students'!B:B) = TRIM(A1032)),
  """"
)"),"#REF!")</f>
        <v>#REF!</v>
      </c>
    </row>
    <row r="1033" ht="18.75" customHeight="1">
      <c r="T1033" s="240" t="str">
        <f>IFERROR(__xludf.DUMMYFUNCTION("IFERROR(
  FILTER('CBK Students'!F:F, TRIM('CBK Students'!B:B) = TRIM(A1033)),
  """"
)"),"#REF!")</f>
        <v>#REF!</v>
      </c>
      <c r="U1033" s="240" t="str">
        <f>IFERROR(__xludf.DUMMYFUNCTION("IFERROR(
  FILTER('CBK Students'!H:H, TRIM('CBK Students'!B:B) = TRIM(A1033)),
  """"
)"),"#REF!")</f>
        <v>#REF!</v>
      </c>
      <c r="V1033" s="240" t="str">
        <f>IFERROR(__xludf.DUMMYFUNCTION("IFERROR(
  FILTER('CBK Students'!M:M, TRIM('CBK Students'!B:B) = TRIM(A1033)),
  """"
)"),"#REF!")</f>
        <v>#REF!</v>
      </c>
      <c r="W1033" s="240" t="str">
        <f t="shared" si="1"/>
        <v/>
      </c>
      <c r="X1033" s="240" t="str">
        <f>IFERROR(__xludf.DUMMYFUNCTION("IFERROR(
  FILTER('CBK Students'!R:R, TRIM('CBK Students'!B:B) = TRIM(A1033)),
  """"
)"),"#REF!")</f>
        <v>#REF!</v>
      </c>
      <c r="Y1033" s="4" t="str">
        <f t="shared" si="2"/>
        <v/>
      </c>
      <c r="Z1033" s="4" t="str">
        <f>IFERROR(__xludf.DUMMYFUNCTION("IFERROR(
  FILTER('CBK Students'!O:O, TRIM('CBK Students'!B:B) = TRIM(A1033)),
  """"
)"),"#REF!")</f>
        <v>#REF!</v>
      </c>
      <c r="AA1033" s="4" t="str">
        <f>IFERROR(__xludf.DUMMYFUNCTION("IFERROR(
  FILTER('CBK Students'!P:P, TRIM('CBK Students'!B:B) = TRIM(A1033)),
  """"
)"),"#REF!")</f>
        <v>#REF!</v>
      </c>
      <c r="AB1033" s="4" t="str">
        <f>IFERROR(__xludf.DUMMYFUNCTION("IFERROR(
  FILTER('CBK Students'!Q:Q, TRIM('CBK Students'!B:B) = TRIM(A1033)),
  """"
)"),"#REF!")</f>
        <v>#REF!</v>
      </c>
    </row>
    <row r="1034" ht="18.75" customHeight="1">
      <c r="T1034" s="240" t="str">
        <f>IFERROR(__xludf.DUMMYFUNCTION("IFERROR(
  FILTER('CBK Students'!F:F, TRIM('CBK Students'!B:B) = TRIM(A1034)),
  """"
)"),"#REF!")</f>
        <v>#REF!</v>
      </c>
      <c r="U1034" s="240" t="str">
        <f>IFERROR(__xludf.DUMMYFUNCTION("IFERROR(
  FILTER('CBK Students'!H:H, TRIM('CBK Students'!B:B) = TRIM(A1034)),
  """"
)"),"#REF!")</f>
        <v>#REF!</v>
      </c>
      <c r="V1034" s="240" t="str">
        <f>IFERROR(__xludf.DUMMYFUNCTION("IFERROR(
  FILTER('CBK Students'!M:M, TRIM('CBK Students'!B:B) = TRIM(A1034)),
  """"
)"),"#REF!")</f>
        <v>#REF!</v>
      </c>
      <c r="W1034" s="240" t="str">
        <f t="shared" si="1"/>
        <v/>
      </c>
      <c r="X1034" s="240" t="str">
        <f>IFERROR(__xludf.DUMMYFUNCTION("IFERROR(
  FILTER('CBK Students'!R:R, TRIM('CBK Students'!B:B) = TRIM(A1034)),
  """"
)"),"#REF!")</f>
        <v>#REF!</v>
      </c>
      <c r="Y1034" s="4" t="str">
        <f t="shared" si="2"/>
        <v/>
      </c>
      <c r="Z1034" s="4" t="str">
        <f>IFERROR(__xludf.DUMMYFUNCTION("IFERROR(
  FILTER('CBK Students'!O:O, TRIM('CBK Students'!B:B) = TRIM(A1034)),
  """"
)"),"#REF!")</f>
        <v>#REF!</v>
      </c>
      <c r="AA1034" s="4" t="str">
        <f>IFERROR(__xludf.DUMMYFUNCTION("IFERROR(
  FILTER('CBK Students'!P:P, TRIM('CBK Students'!B:B) = TRIM(A1034)),
  """"
)"),"#REF!")</f>
        <v>#REF!</v>
      </c>
      <c r="AB1034" s="4" t="str">
        <f>IFERROR(__xludf.DUMMYFUNCTION("IFERROR(
  FILTER('CBK Students'!Q:Q, TRIM('CBK Students'!B:B) = TRIM(A1034)),
  """"
)"),"#REF!")</f>
        <v>#REF!</v>
      </c>
    </row>
    <row r="1035" ht="18.75" customHeight="1">
      <c r="T1035" s="240" t="str">
        <f>IFERROR(__xludf.DUMMYFUNCTION("IFERROR(
  FILTER('CBK Students'!F:F, TRIM('CBK Students'!B:B) = TRIM(A1035)),
  """"
)"),"#REF!")</f>
        <v>#REF!</v>
      </c>
      <c r="U1035" s="240" t="str">
        <f>IFERROR(__xludf.DUMMYFUNCTION("IFERROR(
  FILTER('CBK Students'!H:H, TRIM('CBK Students'!B:B) = TRIM(A1035)),
  """"
)"),"#REF!")</f>
        <v>#REF!</v>
      </c>
      <c r="V1035" s="240" t="str">
        <f>IFERROR(__xludf.DUMMYFUNCTION("IFERROR(
  FILTER('CBK Students'!M:M, TRIM('CBK Students'!B:B) = TRIM(A1035)),
  """"
)"),"#REF!")</f>
        <v>#REF!</v>
      </c>
      <c r="W1035" s="240" t="str">
        <f t="shared" si="1"/>
        <v/>
      </c>
      <c r="X1035" s="240" t="str">
        <f>IFERROR(__xludf.DUMMYFUNCTION("IFERROR(
  FILTER('CBK Students'!R:R, TRIM('CBK Students'!B:B) = TRIM(A1035)),
  """"
)"),"#REF!")</f>
        <v>#REF!</v>
      </c>
      <c r="Y1035" s="4" t="str">
        <f t="shared" si="2"/>
        <v/>
      </c>
      <c r="Z1035" s="4" t="str">
        <f>IFERROR(__xludf.DUMMYFUNCTION("IFERROR(
  FILTER('CBK Students'!O:O, TRIM('CBK Students'!B:B) = TRIM(A1035)),
  """"
)"),"#REF!")</f>
        <v>#REF!</v>
      </c>
      <c r="AA1035" s="4" t="str">
        <f>IFERROR(__xludf.DUMMYFUNCTION("IFERROR(
  FILTER('CBK Students'!P:P, TRIM('CBK Students'!B:B) = TRIM(A1035)),
  """"
)"),"#REF!")</f>
        <v>#REF!</v>
      </c>
      <c r="AB1035" s="4" t="str">
        <f>IFERROR(__xludf.DUMMYFUNCTION("IFERROR(
  FILTER('CBK Students'!Q:Q, TRIM('CBK Students'!B:B) = TRIM(A1035)),
  """"
)"),"#REF!")</f>
        <v>#REF!</v>
      </c>
    </row>
    <row r="1036" ht="18.75" customHeight="1">
      <c r="T1036" s="240" t="str">
        <f>IFERROR(__xludf.DUMMYFUNCTION("IFERROR(
  FILTER('CBK Students'!F:F, TRIM('CBK Students'!B:B) = TRIM(A1036)),
  """"
)"),"#REF!")</f>
        <v>#REF!</v>
      </c>
      <c r="U1036" s="240" t="str">
        <f>IFERROR(__xludf.DUMMYFUNCTION("IFERROR(
  FILTER('CBK Students'!H:H, TRIM('CBK Students'!B:B) = TRIM(A1036)),
  """"
)"),"#REF!")</f>
        <v>#REF!</v>
      </c>
      <c r="V1036" s="240" t="str">
        <f>IFERROR(__xludf.DUMMYFUNCTION("IFERROR(
  FILTER('CBK Students'!M:M, TRIM('CBK Students'!B:B) = TRIM(A1036)),
  """"
)"),"#REF!")</f>
        <v>#REF!</v>
      </c>
      <c r="W1036" s="240" t="str">
        <f t="shared" si="1"/>
        <v/>
      </c>
      <c r="X1036" s="240" t="str">
        <f>IFERROR(__xludf.DUMMYFUNCTION("IFERROR(
  FILTER('CBK Students'!R:R, TRIM('CBK Students'!B:B) = TRIM(A1036)),
  """"
)"),"#REF!")</f>
        <v>#REF!</v>
      </c>
      <c r="Y1036" s="4" t="str">
        <f t="shared" si="2"/>
        <v/>
      </c>
      <c r="Z1036" s="4" t="str">
        <f>IFERROR(__xludf.DUMMYFUNCTION("IFERROR(
  FILTER('CBK Students'!O:O, TRIM('CBK Students'!B:B) = TRIM(A1036)),
  """"
)"),"#REF!")</f>
        <v>#REF!</v>
      </c>
      <c r="AA1036" s="4" t="str">
        <f>IFERROR(__xludf.DUMMYFUNCTION("IFERROR(
  FILTER('CBK Students'!P:P, TRIM('CBK Students'!B:B) = TRIM(A1036)),
  """"
)"),"#REF!")</f>
        <v>#REF!</v>
      </c>
      <c r="AB1036" s="4" t="str">
        <f>IFERROR(__xludf.DUMMYFUNCTION("IFERROR(
  FILTER('CBK Students'!Q:Q, TRIM('CBK Students'!B:B) = TRIM(A1036)),
  """"
)"),"#REF!")</f>
        <v>#REF!</v>
      </c>
    </row>
    <row r="1037" ht="18.75" customHeight="1">
      <c r="T1037" s="240" t="str">
        <f>IFERROR(__xludf.DUMMYFUNCTION("IFERROR(
  FILTER('CBK Students'!F:F, TRIM('CBK Students'!B:B) = TRIM(A1037)),
  """"
)"),"#REF!")</f>
        <v>#REF!</v>
      </c>
      <c r="U1037" s="240" t="str">
        <f>IFERROR(__xludf.DUMMYFUNCTION("IFERROR(
  FILTER('CBK Students'!H:H, TRIM('CBK Students'!B:B) = TRIM(A1037)),
  """"
)"),"#REF!")</f>
        <v>#REF!</v>
      </c>
      <c r="V1037" s="240" t="str">
        <f>IFERROR(__xludf.DUMMYFUNCTION("IFERROR(
  FILTER('CBK Students'!M:M, TRIM('CBK Students'!B:B) = TRIM(A1037)),
  """"
)"),"#REF!")</f>
        <v>#REF!</v>
      </c>
      <c r="W1037" s="240" t="str">
        <f t="shared" si="1"/>
        <v/>
      </c>
      <c r="X1037" s="240" t="str">
        <f>IFERROR(__xludf.DUMMYFUNCTION("IFERROR(
  FILTER('CBK Students'!R:R, TRIM('CBK Students'!B:B) = TRIM(A1037)),
  """"
)"),"#REF!")</f>
        <v>#REF!</v>
      </c>
      <c r="Y1037" s="4" t="str">
        <f t="shared" si="2"/>
        <v/>
      </c>
      <c r="Z1037" s="4" t="str">
        <f>IFERROR(__xludf.DUMMYFUNCTION("IFERROR(
  FILTER('CBK Students'!O:O, TRIM('CBK Students'!B:B) = TRIM(A1037)),
  """"
)"),"#REF!")</f>
        <v>#REF!</v>
      </c>
      <c r="AA1037" s="4" t="str">
        <f>IFERROR(__xludf.DUMMYFUNCTION("IFERROR(
  FILTER('CBK Students'!P:P, TRIM('CBK Students'!B:B) = TRIM(A1037)),
  """"
)"),"#REF!")</f>
        <v>#REF!</v>
      </c>
      <c r="AB1037" s="4" t="str">
        <f>IFERROR(__xludf.DUMMYFUNCTION("IFERROR(
  FILTER('CBK Students'!Q:Q, TRIM('CBK Students'!B:B) = TRIM(A1037)),
  """"
)"),"#REF!")</f>
        <v>#REF!</v>
      </c>
    </row>
    <row r="1038" ht="18.75" customHeight="1">
      <c r="T1038" s="240" t="str">
        <f>IFERROR(__xludf.DUMMYFUNCTION("IFERROR(
  FILTER('CBK Students'!F:F, TRIM('CBK Students'!B:B) = TRIM(A1038)),
  """"
)"),"#REF!")</f>
        <v>#REF!</v>
      </c>
      <c r="U1038" s="240" t="str">
        <f>IFERROR(__xludf.DUMMYFUNCTION("IFERROR(
  FILTER('CBK Students'!H:H, TRIM('CBK Students'!B:B) = TRIM(A1038)),
  """"
)"),"#REF!")</f>
        <v>#REF!</v>
      </c>
      <c r="V1038" s="240" t="str">
        <f>IFERROR(__xludf.DUMMYFUNCTION("IFERROR(
  FILTER('CBK Students'!M:M, TRIM('CBK Students'!B:B) = TRIM(A1038)),
  """"
)"),"#REF!")</f>
        <v>#REF!</v>
      </c>
      <c r="W1038" s="240" t="str">
        <f t="shared" si="1"/>
        <v/>
      </c>
      <c r="X1038" s="240" t="str">
        <f>IFERROR(__xludf.DUMMYFUNCTION("IFERROR(
  FILTER('CBK Students'!R:R, TRIM('CBK Students'!B:B) = TRIM(A1038)),
  """"
)"),"#REF!")</f>
        <v>#REF!</v>
      </c>
      <c r="Y1038" s="4" t="str">
        <f t="shared" si="2"/>
        <v/>
      </c>
      <c r="Z1038" s="4" t="str">
        <f>IFERROR(__xludf.DUMMYFUNCTION("IFERROR(
  FILTER('CBK Students'!O:O, TRIM('CBK Students'!B:B) = TRIM(A1038)),
  """"
)"),"#REF!")</f>
        <v>#REF!</v>
      </c>
      <c r="AA1038" s="4" t="str">
        <f>IFERROR(__xludf.DUMMYFUNCTION("IFERROR(
  FILTER('CBK Students'!P:P, TRIM('CBK Students'!B:B) = TRIM(A1038)),
  """"
)"),"#REF!")</f>
        <v>#REF!</v>
      </c>
      <c r="AB1038" s="4" t="str">
        <f>IFERROR(__xludf.DUMMYFUNCTION("IFERROR(
  FILTER('CBK Students'!Q:Q, TRIM('CBK Students'!B:B) = TRIM(A1038)),
  """"
)"),"#REF!")</f>
        <v>#REF!</v>
      </c>
    </row>
    <row r="1039" ht="18.75" customHeight="1">
      <c r="T1039" s="240" t="str">
        <f>IFERROR(__xludf.DUMMYFUNCTION("IFERROR(
  FILTER('CBK Students'!F:F, TRIM('CBK Students'!B:B) = TRIM(A1039)),
  """"
)"),"#REF!")</f>
        <v>#REF!</v>
      </c>
      <c r="U1039" s="240" t="str">
        <f>IFERROR(__xludf.DUMMYFUNCTION("IFERROR(
  FILTER('CBK Students'!H:H, TRIM('CBK Students'!B:B) = TRIM(A1039)),
  """"
)"),"#REF!")</f>
        <v>#REF!</v>
      </c>
      <c r="V1039" s="240" t="str">
        <f>IFERROR(__xludf.DUMMYFUNCTION("IFERROR(
  FILTER('CBK Students'!M:M, TRIM('CBK Students'!B:B) = TRIM(A1039)),
  """"
)"),"#REF!")</f>
        <v>#REF!</v>
      </c>
      <c r="W1039" s="240" t="str">
        <f t="shared" si="1"/>
        <v/>
      </c>
      <c r="X1039" s="240" t="str">
        <f>IFERROR(__xludf.DUMMYFUNCTION("IFERROR(
  FILTER('CBK Students'!R:R, TRIM('CBK Students'!B:B) = TRIM(A1039)),
  """"
)"),"#REF!")</f>
        <v>#REF!</v>
      </c>
      <c r="Y1039" s="4" t="str">
        <f t="shared" si="2"/>
        <v/>
      </c>
      <c r="Z1039" s="4" t="str">
        <f>IFERROR(__xludf.DUMMYFUNCTION("IFERROR(
  FILTER('CBK Students'!O:O, TRIM('CBK Students'!B:B) = TRIM(A1039)),
  """"
)"),"#REF!")</f>
        <v>#REF!</v>
      </c>
      <c r="AA1039" s="4" t="str">
        <f>IFERROR(__xludf.DUMMYFUNCTION("IFERROR(
  FILTER('CBK Students'!P:P, TRIM('CBK Students'!B:B) = TRIM(A1039)),
  """"
)"),"#REF!")</f>
        <v>#REF!</v>
      </c>
      <c r="AB1039" s="4" t="str">
        <f>IFERROR(__xludf.DUMMYFUNCTION("IFERROR(
  FILTER('CBK Students'!Q:Q, TRIM('CBK Students'!B:B) = TRIM(A1039)),
  """"
)"),"#REF!")</f>
        <v>#REF!</v>
      </c>
    </row>
    <row r="1040" ht="18.75" customHeight="1">
      <c r="T1040" s="240" t="str">
        <f>IFERROR(__xludf.DUMMYFUNCTION("IFERROR(
  FILTER('CBK Students'!F:F, TRIM('CBK Students'!B:B) = TRIM(A1040)),
  """"
)"),"#REF!")</f>
        <v>#REF!</v>
      </c>
      <c r="U1040" s="240" t="str">
        <f>IFERROR(__xludf.DUMMYFUNCTION("IFERROR(
  FILTER('CBK Students'!H:H, TRIM('CBK Students'!B:B) = TRIM(A1040)),
  """"
)"),"#REF!")</f>
        <v>#REF!</v>
      </c>
      <c r="V1040" s="240" t="str">
        <f>IFERROR(__xludf.DUMMYFUNCTION("IFERROR(
  FILTER('CBK Students'!M:M, TRIM('CBK Students'!B:B) = TRIM(A1040)),
  """"
)"),"#REF!")</f>
        <v>#REF!</v>
      </c>
      <c r="W1040" s="240" t="str">
        <f t="shared" si="1"/>
        <v/>
      </c>
      <c r="X1040" s="240" t="str">
        <f>IFERROR(__xludf.DUMMYFUNCTION("IFERROR(
  FILTER('CBK Students'!R:R, TRIM('CBK Students'!B:B) = TRIM(A1040)),
  """"
)"),"#REF!")</f>
        <v>#REF!</v>
      </c>
      <c r="Y1040" s="4" t="str">
        <f t="shared" si="2"/>
        <v/>
      </c>
      <c r="Z1040" s="4" t="str">
        <f>IFERROR(__xludf.DUMMYFUNCTION("IFERROR(
  FILTER('CBK Students'!O:O, TRIM('CBK Students'!B:B) = TRIM(A1040)),
  """"
)"),"#REF!")</f>
        <v>#REF!</v>
      </c>
      <c r="AA1040" s="4" t="str">
        <f>IFERROR(__xludf.DUMMYFUNCTION("IFERROR(
  FILTER('CBK Students'!P:P, TRIM('CBK Students'!B:B) = TRIM(A1040)),
  """"
)"),"#REF!")</f>
        <v>#REF!</v>
      </c>
      <c r="AB1040" s="4" t="str">
        <f>IFERROR(__xludf.DUMMYFUNCTION("IFERROR(
  FILTER('CBK Students'!Q:Q, TRIM('CBK Students'!B:B) = TRIM(A1040)),
  """"
)"),"#REF!")</f>
        <v>#REF!</v>
      </c>
    </row>
    <row r="1041" ht="18.75" customHeight="1">
      <c r="T1041" s="240" t="str">
        <f>IFERROR(__xludf.DUMMYFUNCTION("IFERROR(
  FILTER('CBK Students'!F:F, TRIM('CBK Students'!B:B) = TRIM(A1041)),
  """"
)"),"#REF!")</f>
        <v>#REF!</v>
      </c>
      <c r="U1041" s="240" t="str">
        <f>IFERROR(__xludf.DUMMYFUNCTION("IFERROR(
  FILTER('CBK Students'!H:H, TRIM('CBK Students'!B:B) = TRIM(A1041)),
  """"
)"),"#REF!")</f>
        <v>#REF!</v>
      </c>
      <c r="V1041" s="240" t="str">
        <f>IFERROR(__xludf.DUMMYFUNCTION("IFERROR(
  FILTER('CBK Students'!M:M, TRIM('CBK Students'!B:B) = TRIM(A1041)),
  """"
)"),"#REF!")</f>
        <v>#REF!</v>
      </c>
      <c r="W1041" s="240" t="str">
        <f t="shared" si="1"/>
        <v/>
      </c>
      <c r="X1041" s="240" t="str">
        <f>IFERROR(__xludf.DUMMYFUNCTION("IFERROR(
  FILTER('CBK Students'!R:R, TRIM('CBK Students'!B:B) = TRIM(A1041)),
  """"
)"),"#REF!")</f>
        <v>#REF!</v>
      </c>
      <c r="Y1041" s="4" t="str">
        <f t="shared" si="2"/>
        <v/>
      </c>
      <c r="Z1041" s="4" t="str">
        <f>IFERROR(__xludf.DUMMYFUNCTION("IFERROR(
  FILTER('CBK Students'!O:O, TRIM('CBK Students'!B:B) = TRIM(A1041)),
  """"
)"),"#REF!")</f>
        <v>#REF!</v>
      </c>
      <c r="AA1041" s="4" t="str">
        <f>IFERROR(__xludf.DUMMYFUNCTION("IFERROR(
  FILTER('CBK Students'!P:P, TRIM('CBK Students'!B:B) = TRIM(A1041)),
  """"
)"),"#REF!")</f>
        <v>#REF!</v>
      </c>
      <c r="AB1041" s="4" t="str">
        <f>IFERROR(__xludf.DUMMYFUNCTION("IFERROR(
  FILTER('CBK Students'!Q:Q, TRIM('CBK Students'!B:B) = TRIM(A1041)),
  """"
)"),"#REF!")</f>
        <v>#REF!</v>
      </c>
    </row>
    <row r="1042" ht="18.75" customHeight="1">
      <c r="T1042" s="240" t="str">
        <f>IFERROR(__xludf.DUMMYFUNCTION("IFERROR(
  FILTER('CBK Students'!F:F, TRIM('CBK Students'!B:B) = TRIM(A1042)),
  """"
)"),"#REF!")</f>
        <v>#REF!</v>
      </c>
      <c r="U1042" s="240" t="str">
        <f>IFERROR(__xludf.DUMMYFUNCTION("IFERROR(
  FILTER('CBK Students'!H:H, TRIM('CBK Students'!B:B) = TRIM(A1042)),
  """"
)"),"#REF!")</f>
        <v>#REF!</v>
      </c>
      <c r="V1042" s="240" t="str">
        <f>IFERROR(__xludf.DUMMYFUNCTION("IFERROR(
  FILTER('CBK Students'!M:M, TRIM('CBK Students'!B:B) = TRIM(A1042)),
  """"
)"),"#REF!")</f>
        <v>#REF!</v>
      </c>
      <c r="W1042" s="240" t="str">
        <f t="shared" si="1"/>
        <v/>
      </c>
      <c r="X1042" s="240" t="str">
        <f>IFERROR(__xludf.DUMMYFUNCTION("IFERROR(
  FILTER('CBK Students'!R:R, TRIM('CBK Students'!B:B) = TRIM(A1042)),
  """"
)"),"#REF!")</f>
        <v>#REF!</v>
      </c>
      <c r="Y1042" s="4" t="str">
        <f t="shared" si="2"/>
        <v/>
      </c>
      <c r="Z1042" s="4" t="str">
        <f>IFERROR(__xludf.DUMMYFUNCTION("IFERROR(
  FILTER('CBK Students'!O:O, TRIM('CBK Students'!B:B) = TRIM(A1042)),
  """"
)"),"#REF!")</f>
        <v>#REF!</v>
      </c>
      <c r="AA1042" s="4" t="str">
        <f>IFERROR(__xludf.DUMMYFUNCTION("IFERROR(
  FILTER('CBK Students'!P:P, TRIM('CBK Students'!B:B) = TRIM(A1042)),
  """"
)"),"#REF!")</f>
        <v>#REF!</v>
      </c>
      <c r="AB1042" s="4" t="str">
        <f>IFERROR(__xludf.DUMMYFUNCTION("IFERROR(
  FILTER('CBK Students'!Q:Q, TRIM('CBK Students'!B:B) = TRIM(A1042)),
  """"
)"),"#REF!")</f>
        <v>#REF!</v>
      </c>
    </row>
    <row r="1043" ht="18.75" customHeight="1">
      <c r="T1043" s="240" t="str">
        <f>IFERROR(__xludf.DUMMYFUNCTION("IFERROR(
  FILTER('CBK Students'!F:F, TRIM('CBK Students'!B:B) = TRIM(A1043)),
  """"
)"),"#REF!")</f>
        <v>#REF!</v>
      </c>
      <c r="U1043" s="240" t="str">
        <f>IFERROR(__xludf.DUMMYFUNCTION("IFERROR(
  FILTER('CBK Students'!H:H, TRIM('CBK Students'!B:B) = TRIM(A1043)),
  """"
)"),"#REF!")</f>
        <v>#REF!</v>
      </c>
      <c r="V1043" s="240" t="str">
        <f>IFERROR(__xludf.DUMMYFUNCTION("IFERROR(
  FILTER('CBK Students'!M:M, TRIM('CBK Students'!B:B) = TRIM(A1043)),
  """"
)"),"#REF!")</f>
        <v>#REF!</v>
      </c>
      <c r="W1043" s="240" t="str">
        <f t="shared" si="1"/>
        <v/>
      </c>
      <c r="X1043" s="240" t="str">
        <f>IFERROR(__xludf.DUMMYFUNCTION("IFERROR(
  FILTER('CBK Students'!R:R, TRIM('CBK Students'!B:B) = TRIM(A1043)),
  """"
)"),"#REF!")</f>
        <v>#REF!</v>
      </c>
      <c r="Y1043" s="4" t="str">
        <f t="shared" si="2"/>
        <v/>
      </c>
      <c r="Z1043" s="4" t="str">
        <f>IFERROR(__xludf.DUMMYFUNCTION("IFERROR(
  FILTER('CBK Students'!O:O, TRIM('CBK Students'!B:B) = TRIM(A1043)),
  """"
)"),"#REF!")</f>
        <v>#REF!</v>
      </c>
      <c r="AA1043" s="4" t="str">
        <f>IFERROR(__xludf.DUMMYFUNCTION("IFERROR(
  FILTER('CBK Students'!P:P, TRIM('CBK Students'!B:B) = TRIM(A1043)),
  """"
)"),"#REF!")</f>
        <v>#REF!</v>
      </c>
      <c r="AB1043" s="4" t="str">
        <f>IFERROR(__xludf.DUMMYFUNCTION("IFERROR(
  FILTER('CBK Students'!Q:Q, TRIM('CBK Students'!B:B) = TRIM(A1043)),
  """"
)"),"#REF!")</f>
        <v>#REF!</v>
      </c>
    </row>
    <row r="1044" ht="18.75" customHeight="1">
      <c r="T1044" s="240" t="str">
        <f>IFERROR(__xludf.DUMMYFUNCTION("IFERROR(
  FILTER('CBK Students'!F:F, TRIM('CBK Students'!B:B) = TRIM(A1044)),
  """"
)"),"#REF!")</f>
        <v>#REF!</v>
      </c>
      <c r="U1044" s="240" t="str">
        <f>IFERROR(__xludf.DUMMYFUNCTION("IFERROR(
  FILTER('CBK Students'!H:H, TRIM('CBK Students'!B:B) = TRIM(A1044)),
  """"
)"),"#REF!")</f>
        <v>#REF!</v>
      </c>
      <c r="V1044" s="240" t="str">
        <f>IFERROR(__xludf.DUMMYFUNCTION("IFERROR(
  FILTER('CBK Students'!M:M, TRIM('CBK Students'!B:B) = TRIM(A1044)),
  """"
)"),"#REF!")</f>
        <v>#REF!</v>
      </c>
      <c r="W1044" s="240" t="str">
        <f t="shared" si="1"/>
        <v/>
      </c>
      <c r="X1044" s="240" t="str">
        <f>IFERROR(__xludf.DUMMYFUNCTION("IFERROR(
  FILTER('CBK Students'!R:R, TRIM('CBK Students'!B:B) = TRIM(A1044)),
  """"
)"),"#REF!")</f>
        <v>#REF!</v>
      </c>
      <c r="Y1044" s="4" t="str">
        <f t="shared" si="2"/>
        <v/>
      </c>
      <c r="Z1044" s="4" t="str">
        <f>IFERROR(__xludf.DUMMYFUNCTION("IFERROR(
  FILTER('CBK Students'!O:O, TRIM('CBK Students'!B:B) = TRIM(A1044)),
  """"
)"),"#REF!")</f>
        <v>#REF!</v>
      </c>
      <c r="AA1044" s="4" t="str">
        <f>IFERROR(__xludf.DUMMYFUNCTION("IFERROR(
  FILTER('CBK Students'!P:P, TRIM('CBK Students'!B:B) = TRIM(A1044)),
  """"
)"),"#REF!")</f>
        <v>#REF!</v>
      </c>
      <c r="AB1044" s="4" t="str">
        <f>IFERROR(__xludf.DUMMYFUNCTION("IFERROR(
  FILTER('CBK Students'!Q:Q, TRIM('CBK Students'!B:B) = TRIM(A1044)),
  """"
)"),"#REF!")</f>
        <v>#REF!</v>
      </c>
    </row>
    <row r="1045" ht="18.75" customHeight="1">
      <c r="T1045" s="240" t="str">
        <f>IFERROR(__xludf.DUMMYFUNCTION("IFERROR(
  FILTER('CBK Students'!F:F, TRIM('CBK Students'!B:B) = TRIM(A1045)),
  """"
)"),"#REF!")</f>
        <v>#REF!</v>
      </c>
      <c r="U1045" s="240" t="str">
        <f>IFERROR(__xludf.DUMMYFUNCTION("IFERROR(
  FILTER('CBK Students'!H:H, TRIM('CBK Students'!B:B) = TRIM(A1045)),
  """"
)"),"#REF!")</f>
        <v>#REF!</v>
      </c>
      <c r="V1045" s="240" t="str">
        <f>IFERROR(__xludf.DUMMYFUNCTION("IFERROR(
  FILTER('CBK Students'!M:M, TRIM('CBK Students'!B:B) = TRIM(A1045)),
  """"
)"),"#REF!")</f>
        <v>#REF!</v>
      </c>
      <c r="W1045" s="240" t="str">
        <f t="shared" si="1"/>
        <v/>
      </c>
      <c r="X1045" s="240" t="str">
        <f>IFERROR(__xludf.DUMMYFUNCTION("IFERROR(
  FILTER('CBK Students'!R:R, TRIM('CBK Students'!B:B) = TRIM(A1045)),
  """"
)"),"#REF!")</f>
        <v>#REF!</v>
      </c>
      <c r="Y1045" s="4" t="str">
        <f t="shared" si="2"/>
        <v/>
      </c>
      <c r="Z1045" s="4" t="str">
        <f>IFERROR(__xludf.DUMMYFUNCTION("IFERROR(
  FILTER('CBK Students'!O:O, TRIM('CBK Students'!B:B) = TRIM(A1045)),
  """"
)"),"#REF!")</f>
        <v>#REF!</v>
      </c>
      <c r="AA1045" s="4" t="str">
        <f>IFERROR(__xludf.DUMMYFUNCTION("IFERROR(
  FILTER('CBK Students'!P:P, TRIM('CBK Students'!B:B) = TRIM(A1045)),
  """"
)"),"#REF!")</f>
        <v>#REF!</v>
      </c>
      <c r="AB1045" s="4" t="str">
        <f>IFERROR(__xludf.DUMMYFUNCTION("IFERROR(
  FILTER('CBK Students'!Q:Q, TRIM('CBK Students'!B:B) = TRIM(A1045)),
  """"
)"),"#REF!")</f>
        <v>#REF!</v>
      </c>
    </row>
    <row r="1046" ht="18.75" customHeight="1">
      <c r="T1046" s="240" t="str">
        <f>IFERROR(__xludf.DUMMYFUNCTION("IFERROR(
  FILTER('CBK Students'!F:F, TRIM('CBK Students'!B:B) = TRIM(A1046)),
  """"
)"),"#REF!")</f>
        <v>#REF!</v>
      </c>
      <c r="U1046" s="240" t="str">
        <f>IFERROR(__xludf.DUMMYFUNCTION("IFERROR(
  FILTER('CBK Students'!H:H, TRIM('CBK Students'!B:B) = TRIM(A1046)),
  """"
)"),"#REF!")</f>
        <v>#REF!</v>
      </c>
      <c r="V1046" s="240" t="str">
        <f>IFERROR(__xludf.DUMMYFUNCTION("IFERROR(
  FILTER('CBK Students'!M:M, TRIM('CBK Students'!B:B) = TRIM(A1046)),
  """"
)"),"#REF!")</f>
        <v>#REF!</v>
      </c>
      <c r="W1046" s="240" t="str">
        <f t="shared" si="1"/>
        <v/>
      </c>
      <c r="X1046" s="240" t="str">
        <f>IFERROR(__xludf.DUMMYFUNCTION("IFERROR(
  FILTER('CBK Students'!R:R, TRIM('CBK Students'!B:B) = TRIM(A1046)),
  """"
)"),"#REF!")</f>
        <v>#REF!</v>
      </c>
      <c r="Y1046" s="4" t="str">
        <f t="shared" si="2"/>
        <v/>
      </c>
      <c r="Z1046" s="4" t="str">
        <f>IFERROR(__xludf.DUMMYFUNCTION("IFERROR(
  FILTER('CBK Students'!O:O, TRIM('CBK Students'!B:B) = TRIM(A1046)),
  """"
)"),"#REF!")</f>
        <v>#REF!</v>
      </c>
      <c r="AA1046" s="4" t="str">
        <f>IFERROR(__xludf.DUMMYFUNCTION("IFERROR(
  FILTER('CBK Students'!P:P, TRIM('CBK Students'!B:B) = TRIM(A1046)),
  """"
)"),"#REF!")</f>
        <v>#REF!</v>
      </c>
      <c r="AB1046" s="4" t="str">
        <f>IFERROR(__xludf.DUMMYFUNCTION("IFERROR(
  FILTER('CBK Students'!Q:Q, TRIM('CBK Students'!B:B) = TRIM(A1046)),
  """"
)"),"#REF!")</f>
        <v>#REF!</v>
      </c>
    </row>
    <row r="1047" ht="18.75" customHeight="1">
      <c r="T1047" s="240" t="str">
        <f>IFERROR(__xludf.DUMMYFUNCTION("IFERROR(
  FILTER('CBK Students'!F:F, TRIM('CBK Students'!B:B) = TRIM(A1047)),
  """"
)"),"#REF!")</f>
        <v>#REF!</v>
      </c>
      <c r="U1047" s="240" t="str">
        <f>IFERROR(__xludf.DUMMYFUNCTION("IFERROR(
  FILTER('CBK Students'!H:H, TRIM('CBK Students'!B:B) = TRIM(A1047)),
  """"
)"),"#REF!")</f>
        <v>#REF!</v>
      </c>
      <c r="V1047" s="240" t="str">
        <f>IFERROR(__xludf.DUMMYFUNCTION("IFERROR(
  FILTER('CBK Students'!M:M, TRIM('CBK Students'!B:B) = TRIM(A1047)),
  """"
)"),"#REF!")</f>
        <v>#REF!</v>
      </c>
      <c r="W1047" s="240" t="str">
        <f t="shared" si="1"/>
        <v/>
      </c>
      <c r="X1047" s="240" t="str">
        <f>IFERROR(__xludf.DUMMYFUNCTION("IFERROR(
  FILTER('CBK Students'!R:R, TRIM('CBK Students'!B:B) = TRIM(A1047)),
  """"
)"),"#REF!")</f>
        <v>#REF!</v>
      </c>
      <c r="Y1047" s="4" t="str">
        <f t="shared" si="2"/>
        <v/>
      </c>
      <c r="Z1047" s="4" t="str">
        <f>IFERROR(__xludf.DUMMYFUNCTION("IFERROR(
  FILTER('CBK Students'!O:O, TRIM('CBK Students'!B:B) = TRIM(A1047)),
  """"
)"),"#REF!")</f>
        <v>#REF!</v>
      </c>
      <c r="AA1047" s="4" t="str">
        <f>IFERROR(__xludf.DUMMYFUNCTION("IFERROR(
  FILTER('CBK Students'!P:P, TRIM('CBK Students'!B:B) = TRIM(A1047)),
  """"
)"),"#REF!")</f>
        <v>#REF!</v>
      </c>
      <c r="AB1047" s="4" t="str">
        <f>IFERROR(__xludf.DUMMYFUNCTION("IFERROR(
  FILTER('CBK Students'!Q:Q, TRIM('CBK Students'!B:B) = TRIM(A1047)),
  """"
)"),"#REF!")</f>
        <v>#REF!</v>
      </c>
    </row>
    <row r="1048" ht="18.75" customHeight="1">
      <c r="T1048" s="240" t="str">
        <f>IFERROR(__xludf.DUMMYFUNCTION("IFERROR(
  FILTER('CBK Students'!F:F, TRIM('CBK Students'!B:B) = TRIM(A1048)),
  """"
)"),"#REF!")</f>
        <v>#REF!</v>
      </c>
      <c r="U1048" s="240" t="str">
        <f>IFERROR(__xludf.DUMMYFUNCTION("IFERROR(
  FILTER('CBK Students'!H:H, TRIM('CBK Students'!B:B) = TRIM(A1048)),
  """"
)"),"#REF!")</f>
        <v>#REF!</v>
      </c>
      <c r="V1048" s="240" t="str">
        <f>IFERROR(__xludf.DUMMYFUNCTION("IFERROR(
  FILTER('CBK Students'!M:M, TRIM('CBK Students'!B:B) = TRIM(A1048)),
  """"
)"),"#REF!")</f>
        <v>#REF!</v>
      </c>
      <c r="W1048" s="240" t="str">
        <f t="shared" si="1"/>
        <v/>
      </c>
      <c r="X1048" s="240" t="str">
        <f>IFERROR(__xludf.DUMMYFUNCTION("IFERROR(
  FILTER('CBK Students'!R:R, TRIM('CBK Students'!B:B) = TRIM(A1048)),
  """"
)"),"#REF!")</f>
        <v>#REF!</v>
      </c>
      <c r="Y1048" s="4" t="str">
        <f t="shared" si="2"/>
        <v/>
      </c>
      <c r="Z1048" s="4" t="str">
        <f>IFERROR(__xludf.DUMMYFUNCTION("IFERROR(
  FILTER('CBK Students'!O:O, TRIM('CBK Students'!B:B) = TRIM(A1048)),
  """"
)"),"#REF!")</f>
        <v>#REF!</v>
      </c>
      <c r="AA1048" s="4" t="str">
        <f>IFERROR(__xludf.DUMMYFUNCTION("IFERROR(
  FILTER('CBK Students'!P:P, TRIM('CBK Students'!B:B) = TRIM(A1048)),
  """"
)"),"#REF!")</f>
        <v>#REF!</v>
      </c>
      <c r="AB1048" s="4" t="str">
        <f>IFERROR(__xludf.DUMMYFUNCTION("IFERROR(
  FILTER('CBK Students'!Q:Q, TRIM('CBK Students'!B:B) = TRIM(A1048)),
  """"
)"),"#REF!")</f>
        <v>#REF!</v>
      </c>
    </row>
    <row r="1049" ht="18.75" customHeight="1">
      <c r="T1049" s="240" t="str">
        <f>IFERROR(__xludf.DUMMYFUNCTION("IFERROR(
  FILTER('CBK Students'!F:F, TRIM('CBK Students'!B:B) = TRIM(A1049)),
  """"
)"),"#REF!")</f>
        <v>#REF!</v>
      </c>
      <c r="U1049" s="240" t="str">
        <f>IFERROR(__xludf.DUMMYFUNCTION("IFERROR(
  FILTER('CBK Students'!H:H, TRIM('CBK Students'!B:B) = TRIM(A1049)),
  """"
)"),"#REF!")</f>
        <v>#REF!</v>
      </c>
      <c r="V1049" s="240" t="str">
        <f>IFERROR(__xludf.DUMMYFUNCTION("IFERROR(
  FILTER('CBK Students'!M:M, TRIM('CBK Students'!B:B) = TRIM(A1049)),
  """"
)"),"#REF!")</f>
        <v>#REF!</v>
      </c>
      <c r="W1049" s="240" t="str">
        <f t="shared" si="1"/>
        <v/>
      </c>
      <c r="X1049" s="240" t="str">
        <f>IFERROR(__xludf.DUMMYFUNCTION("IFERROR(
  FILTER('CBK Students'!R:R, TRIM('CBK Students'!B:B) = TRIM(A1049)),
  """"
)"),"#REF!")</f>
        <v>#REF!</v>
      </c>
      <c r="Y1049" s="4" t="str">
        <f t="shared" si="2"/>
        <v/>
      </c>
      <c r="Z1049" s="4" t="str">
        <f>IFERROR(__xludf.DUMMYFUNCTION("IFERROR(
  FILTER('CBK Students'!O:O, TRIM('CBK Students'!B:B) = TRIM(A1049)),
  """"
)"),"#REF!")</f>
        <v>#REF!</v>
      </c>
      <c r="AA1049" s="4" t="str">
        <f>IFERROR(__xludf.DUMMYFUNCTION("IFERROR(
  FILTER('CBK Students'!P:P, TRIM('CBK Students'!B:B) = TRIM(A1049)),
  """"
)"),"#REF!")</f>
        <v>#REF!</v>
      </c>
      <c r="AB1049" s="4" t="str">
        <f>IFERROR(__xludf.DUMMYFUNCTION("IFERROR(
  FILTER('CBK Students'!Q:Q, TRIM('CBK Students'!B:B) = TRIM(A1049)),
  """"
)"),"#REF!")</f>
        <v>#REF!</v>
      </c>
    </row>
    <row r="1050" ht="18.75" customHeight="1">
      <c r="T1050" s="240" t="str">
        <f>IFERROR(__xludf.DUMMYFUNCTION("IFERROR(
  FILTER('CBK Students'!F:F, TRIM('CBK Students'!B:B) = TRIM(A1050)),
  """"
)"),"#REF!")</f>
        <v>#REF!</v>
      </c>
      <c r="U1050" s="240" t="str">
        <f>IFERROR(__xludf.DUMMYFUNCTION("IFERROR(
  FILTER('CBK Students'!H:H, TRIM('CBK Students'!B:B) = TRIM(A1050)),
  """"
)"),"#REF!")</f>
        <v>#REF!</v>
      </c>
      <c r="V1050" s="240" t="str">
        <f>IFERROR(__xludf.DUMMYFUNCTION("IFERROR(
  FILTER('CBK Students'!M:M, TRIM('CBK Students'!B:B) = TRIM(A1050)),
  """"
)"),"#REF!")</f>
        <v>#REF!</v>
      </c>
      <c r="W1050" s="240" t="str">
        <f t="shared" si="1"/>
        <v/>
      </c>
      <c r="X1050" s="240" t="str">
        <f>IFERROR(__xludf.DUMMYFUNCTION("IFERROR(
  FILTER('CBK Students'!R:R, TRIM('CBK Students'!B:B) = TRIM(A1050)),
  """"
)"),"#REF!")</f>
        <v>#REF!</v>
      </c>
      <c r="Y1050" s="4" t="str">
        <f t="shared" si="2"/>
        <v/>
      </c>
      <c r="Z1050" s="4" t="str">
        <f>IFERROR(__xludf.DUMMYFUNCTION("IFERROR(
  FILTER('CBK Students'!O:O, TRIM('CBK Students'!B:B) = TRIM(A1050)),
  """"
)"),"#REF!")</f>
        <v>#REF!</v>
      </c>
      <c r="AA1050" s="4" t="str">
        <f>IFERROR(__xludf.DUMMYFUNCTION("IFERROR(
  FILTER('CBK Students'!P:P, TRIM('CBK Students'!B:B) = TRIM(A1050)),
  """"
)"),"#REF!")</f>
        <v>#REF!</v>
      </c>
      <c r="AB1050" s="4" t="str">
        <f>IFERROR(__xludf.DUMMYFUNCTION("IFERROR(
  FILTER('CBK Students'!Q:Q, TRIM('CBK Students'!B:B) = TRIM(A1050)),
  """"
)"),"#REF!")</f>
        <v>#REF!</v>
      </c>
    </row>
    <row r="1051" ht="18.75" customHeight="1">
      <c r="T1051" s="240" t="str">
        <f>IFERROR(__xludf.DUMMYFUNCTION("IFERROR(
  FILTER('CBK Students'!F:F, TRIM('CBK Students'!B:B) = TRIM(A1051)),
  """"
)"),"#REF!")</f>
        <v>#REF!</v>
      </c>
      <c r="U1051" s="240" t="str">
        <f>IFERROR(__xludf.DUMMYFUNCTION("IFERROR(
  FILTER('CBK Students'!H:H, TRIM('CBK Students'!B:B) = TRIM(A1051)),
  """"
)"),"#REF!")</f>
        <v>#REF!</v>
      </c>
      <c r="V1051" s="240" t="str">
        <f>IFERROR(__xludf.DUMMYFUNCTION("IFERROR(
  FILTER('CBK Students'!M:M, TRIM('CBK Students'!B:B) = TRIM(A1051)),
  """"
)"),"#REF!")</f>
        <v>#REF!</v>
      </c>
      <c r="W1051" s="240" t="str">
        <f t="shared" si="1"/>
        <v/>
      </c>
      <c r="X1051" s="240" t="str">
        <f>IFERROR(__xludf.DUMMYFUNCTION("IFERROR(
  FILTER('CBK Students'!R:R, TRIM('CBK Students'!B:B) = TRIM(A1051)),
  """"
)"),"#REF!")</f>
        <v>#REF!</v>
      </c>
      <c r="Y1051" s="4" t="str">
        <f t="shared" si="2"/>
        <v/>
      </c>
      <c r="Z1051" s="4" t="str">
        <f>IFERROR(__xludf.DUMMYFUNCTION("IFERROR(
  FILTER('CBK Students'!O:O, TRIM('CBK Students'!B:B) = TRIM(A1051)),
  """"
)"),"#REF!")</f>
        <v>#REF!</v>
      </c>
      <c r="AA1051" s="4" t="str">
        <f>IFERROR(__xludf.DUMMYFUNCTION("IFERROR(
  FILTER('CBK Students'!P:P, TRIM('CBK Students'!B:B) = TRIM(A1051)),
  """"
)"),"#REF!")</f>
        <v>#REF!</v>
      </c>
      <c r="AB1051" s="4" t="str">
        <f>IFERROR(__xludf.DUMMYFUNCTION("IFERROR(
  FILTER('CBK Students'!Q:Q, TRIM('CBK Students'!B:B) = TRIM(A1051)),
  """"
)"),"#REF!")</f>
        <v>#REF!</v>
      </c>
    </row>
    <row r="1052" ht="18.75" customHeight="1">
      <c r="T1052" s="240" t="str">
        <f>IFERROR(__xludf.DUMMYFUNCTION("IFERROR(
  FILTER('CBK Students'!F:F, TRIM('CBK Students'!B:B) = TRIM(A1052)),
  """"
)"),"#REF!")</f>
        <v>#REF!</v>
      </c>
      <c r="U1052" s="240" t="str">
        <f>IFERROR(__xludf.DUMMYFUNCTION("IFERROR(
  FILTER('CBK Students'!H:H, TRIM('CBK Students'!B:B) = TRIM(A1052)),
  """"
)"),"#REF!")</f>
        <v>#REF!</v>
      </c>
      <c r="V1052" s="240" t="str">
        <f>IFERROR(__xludf.DUMMYFUNCTION("IFERROR(
  FILTER('CBK Students'!M:M, TRIM('CBK Students'!B:B) = TRIM(A1052)),
  """"
)"),"#REF!")</f>
        <v>#REF!</v>
      </c>
      <c r="W1052" s="240" t="str">
        <f t="shared" si="1"/>
        <v/>
      </c>
      <c r="X1052" s="240" t="str">
        <f>IFERROR(__xludf.DUMMYFUNCTION("IFERROR(
  FILTER('CBK Students'!R:R, TRIM('CBK Students'!B:B) = TRIM(A1052)),
  """"
)"),"#REF!")</f>
        <v>#REF!</v>
      </c>
      <c r="Y1052" s="4" t="str">
        <f t="shared" si="2"/>
        <v/>
      </c>
      <c r="Z1052" s="4" t="str">
        <f>IFERROR(__xludf.DUMMYFUNCTION("IFERROR(
  FILTER('CBK Students'!O:O, TRIM('CBK Students'!B:B) = TRIM(A1052)),
  """"
)"),"#REF!")</f>
        <v>#REF!</v>
      </c>
      <c r="AA1052" s="4" t="str">
        <f>IFERROR(__xludf.DUMMYFUNCTION("IFERROR(
  FILTER('CBK Students'!P:P, TRIM('CBK Students'!B:B) = TRIM(A1052)),
  """"
)"),"#REF!")</f>
        <v>#REF!</v>
      </c>
      <c r="AB1052" s="4" t="str">
        <f>IFERROR(__xludf.DUMMYFUNCTION("IFERROR(
  FILTER('CBK Students'!Q:Q, TRIM('CBK Students'!B:B) = TRIM(A1052)),
  """"
)"),"#REF!")</f>
        <v>#REF!</v>
      </c>
    </row>
    <row r="1053" ht="18.75" customHeight="1">
      <c r="T1053" s="240" t="str">
        <f>IFERROR(__xludf.DUMMYFUNCTION("IFERROR(
  FILTER('CBK Students'!F:F, TRIM('CBK Students'!B:B) = TRIM(A1053)),
  """"
)"),"#REF!")</f>
        <v>#REF!</v>
      </c>
      <c r="U1053" s="240" t="str">
        <f>IFERROR(__xludf.DUMMYFUNCTION("IFERROR(
  FILTER('CBK Students'!H:H, TRIM('CBK Students'!B:B) = TRIM(A1053)),
  """"
)"),"#REF!")</f>
        <v>#REF!</v>
      </c>
      <c r="V1053" s="240" t="str">
        <f>IFERROR(__xludf.DUMMYFUNCTION("IFERROR(
  FILTER('CBK Students'!M:M, TRIM('CBK Students'!B:B) = TRIM(A1053)),
  """"
)"),"#REF!")</f>
        <v>#REF!</v>
      </c>
      <c r="W1053" s="240" t="str">
        <f t="shared" si="1"/>
        <v/>
      </c>
      <c r="X1053" s="240" t="str">
        <f>IFERROR(__xludf.DUMMYFUNCTION("IFERROR(
  FILTER('CBK Students'!R:R, TRIM('CBK Students'!B:B) = TRIM(A1053)),
  """"
)"),"#REF!")</f>
        <v>#REF!</v>
      </c>
      <c r="Y1053" s="4" t="str">
        <f t="shared" si="2"/>
        <v/>
      </c>
      <c r="Z1053" s="4" t="str">
        <f>IFERROR(__xludf.DUMMYFUNCTION("IFERROR(
  FILTER('CBK Students'!O:O, TRIM('CBK Students'!B:B) = TRIM(A1053)),
  """"
)"),"#REF!")</f>
        <v>#REF!</v>
      </c>
      <c r="AA1053" s="4" t="str">
        <f>IFERROR(__xludf.DUMMYFUNCTION("IFERROR(
  FILTER('CBK Students'!P:P, TRIM('CBK Students'!B:B) = TRIM(A1053)),
  """"
)"),"#REF!")</f>
        <v>#REF!</v>
      </c>
      <c r="AB1053" s="4" t="str">
        <f>IFERROR(__xludf.DUMMYFUNCTION("IFERROR(
  FILTER('CBK Students'!Q:Q, TRIM('CBK Students'!B:B) = TRIM(A1053)),
  """"
)"),"#REF!")</f>
        <v>#REF!</v>
      </c>
    </row>
    <row r="1054" ht="18.75" customHeight="1">
      <c r="T1054" s="240" t="str">
        <f>IFERROR(__xludf.DUMMYFUNCTION("IFERROR(
  FILTER('CBK Students'!F:F, TRIM('CBK Students'!B:B) = TRIM(A1054)),
  """"
)"),"#REF!")</f>
        <v>#REF!</v>
      </c>
      <c r="U1054" s="240" t="str">
        <f>IFERROR(__xludf.DUMMYFUNCTION("IFERROR(
  FILTER('CBK Students'!H:H, TRIM('CBK Students'!B:B) = TRIM(A1054)),
  """"
)"),"#REF!")</f>
        <v>#REF!</v>
      </c>
      <c r="V1054" s="240" t="str">
        <f>IFERROR(__xludf.DUMMYFUNCTION("IFERROR(
  FILTER('CBK Students'!M:M, TRIM('CBK Students'!B:B) = TRIM(A1054)),
  """"
)"),"#REF!")</f>
        <v>#REF!</v>
      </c>
      <c r="W1054" s="240" t="str">
        <f t="shared" si="1"/>
        <v/>
      </c>
      <c r="X1054" s="240" t="str">
        <f>IFERROR(__xludf.DUMMYFUNCTION("IFERROR(
  FILTER('CBK Students'!R:R, TRIM('CBK Students'!B:B) = TRIM(A1054)),
  """"
)"),"#REF!")</f>
        <v>#REF!</v>
      </c>
      <c r="Y1054" s="4" t="str">
        <f t="shared" si="2"/>
        <v/>
      </c>
      <c r="Z1054" s="4" t="str">
        <f>IFERROR(__xludf.DUMMYFUNCTION("IFERROR(
  FILTER('CBK Students'!O:O, TRIM('CBK Students'!B:B) = TRIM(A1054)),
  """"
)"),"#REF!")</f>
        <v>#REF!</v>
      </c>
      <c r="AA1054" s="4" t="str">
        <f>IFERROR(__xludf.DUMMYFUNCTION("IFERROR(
  FILTER('CBK Students'!P:P, TRIM('CBK Students'!B:B) = TRIM(A1054)),
  """"
)"),"#REF!")</f>
        <v>#REF!</v>
      </c>
      <c r="AB1054" s="4" t="str">
        <f>IFERROR(__xludf.DUMMYFUNCTION("IFERROR(
  FILTER('CBK Students'!Q:Q, TRIM('CBK Students'!B:B) = TRIM(A1054)),
  """"
)"),"#REF!")</f>
        <v>#REF!</v>
      </c>
    </row>
    <row r="1055" ht="18.75" customHeight="1">
      <c r="T1055" s="240" t="str">
        <f>IFERROR(__xludf.DUMMYFUNCTION("IFERROR(
  FILTER('CBK Students'!F:F, TRIM('CBK Students'!B:B) = TRIM(A1055)),
  """"
)"),"#REF!")</f>
        <v>#REF!</v>
      </c>
      <c r="U1055" s="240" t="str">
        <f>IFERROR(__xludf.DUMMYFUNCTION("IFERROR(
  FILTER('CBK Students'!H:H, TRIM('CBK Students'!B:B) = TRIM(A1055)),
  """"
)"),"#REF!")</f>
        <v>#REF!</v>
      </c>
      <c r="V1055" s="240" t="str">
        <f>IFERROR(__xludf.DUMMYFUNCTION("IFERROR(
  FILTER('CBK Students'!M:M, TRIM('CBK Students'!B:B) = TRIM(A1055)),
  """"
)"),"#REF!")</f>
        <v>#REF!</v>
      </c>
      <c r="W1055" s="240" t="str">
        <f t="shared" si="1"/>
        <v/>
      </c>
      <c r="X1055" s="240" t="str">
        <f>IFERROR(__xludf.DUMMYFUNCTION("IFERROR(
  FILTER('CBK Students'!R:R, TRIM('CBK Students'!B:B) = TRIM(A1055)),
  """"
)"),"#REF!")</f>
        <v>#REF!</v>
      </c>
      <c r="Y1055" s="4" t="str">
        <f t="shared" si="2"/>
        <v/>
      </c>
      <c r="Z1055" s="4" t="str">
        <f>IFERROR(__xludf.DUMMYFUNCTION("IFERROR(
  FILTER('CBK Students'!O:O, TRIM('CBK Students'!B:B) = TRIM(A1055)),
  """"
)"),"#REF!")</f>
        <v>#REF!</v>
      </c>
      <c r="AA1055" s="4" t="str">
        <f>IFERROR(__xludf.DUMMYFUNCTION("IFERROR(
  FILTER('CBK Students'!P:P, TRIM('CBK Students'!B:B) = TRIM(A1055)),
  """"
)"),"#REF!")</f>
        <v>#REF!</v>
      </c>
      <c r="AB1055" s="4" t="str">
        <f>IFERROR(__xludf.DUMMYFUNCTION("IFERROR(
  FILTER('CBK Students'!Q:Q, TRIM('CBK Students'!B:B) = TRIM(A1055)),
  """"
)"),"#REF!")</f>
        <v>#REF!</v>
      </c>
    </row>
    <row r="1056" ht="18.75" customHeight="1">
      <c r="T1056" s="240" t="str">
        <f>IFERROR(__xludf.DUMMYFUNCTION("IFERROR(
  FILTER('CBK Students'!F:F, TRIM('CBK Students'!B:B) = TRIM(A1056)),
  """"
)"),"#REF!")</f>
        <v>#REF!</v>
      </c>
      <c r="U1056" s="240" t="str">
        <f>IFERROR(__xludf.DUMMYFUNCTION("IFERROR(
  FILTER('CBK Students'!H:H, TRIM('CBK Students'!B:B) = TRIM(A1056)),
  """"
)"),"#REF!")</f>
        <v>#REF!</v>
      </c>
      <c r="V1056" s="240" t="str">
        <f>IFERROR(__xludf.DUMMYFUNCTION("IFERROR(
  FILTER('CBK Students'!M:M, TRIM('CBK Students'!B:B) = TRIM(A1056)),
  """"
)"),"#REF!")</f>
        <v>#REF!</v>
      </c>
      <c r="W1056" s="240" t="str">
        <f t="shared" si="1"/>
        <v/>
      </c>
      <c r="X1056" s="240" t="str">
        <f>IFERROR(__xludf.DUMMYFUNCTION("IFERROR(
  FILTER('CBK Students'!R:R, TRIM('CBK Students'!B:B) = TRIM(A1056)),
  """"
)"),"#REF!")</f>
        <v>#REF!</v>
      </c>
      <c r="Y1056" s="4" t="str">
        <f t="shared" si="2"/>
        <v/>
      </c>
      <c r="Z1056" s="4" t="str">
        <f>IFERROR(__xludf.DUMMYFUNCTION("IFERROR(
  FILTER('CBK Students'!O:O, TRIM('CBK Students'!B:B) = TRIM(A1056)),
  """"
)"),"#REF!")</f>
        <v>#REF!</v>
      </c>
      <c r="AA1056" s="4" t="str">
        <f>IFERROR(__xludf.DUMMYFUNCTION("IFERROR(
  FILTER('CBK Students'!P:P, TRIM('CBK Students'!B:B) = TRIM(A1056)),
  """"
)"),"#REF!")</f>
        <v>#REF!</v>
      </c>
      <c r="AB1056" s="4" t="str">
        <f>IFERROR(__xludf.DUMMYFUNCTION("IFERROR(
  FILTER('CBK Students'!Q:Q, TRIM('CBK Students'!B:B) = TRIM(A1056)),
  """"
)"),"#REF!")</f>
        <v>#REF!</v>
      </c>
    </row>
    <row r="1057" ht="18.75" customHeight="1">
      <c r="T1057" s="240" t="str">
        <f>IFERROR(__xludf.DUMMYFUNCTION("IFERROR(
  FILTER('CBK Students'!F:F, TRIM('CBK Students'!B:B) = TRIM(A1057)),
  """"
)"),"#REF!")</f>
        <v>#REF!</v>
      </c>
      <c r="U1057" s="240" t="str">
        <f>IFERROR(__xludf.DUMMYFUNCTION("IFERROR(
  FILTER('CBK Students'!H:H, TRIM('CBK Students'!B:B) = TRIM(A1057)),
  """"
)"),"#REF!")</f>
        <v>#REF!</v>
      </c>
      <c r="V1057" s="240" t="str">
        <f>IFERROR(__xludf.DUMMYFUNCTION("IFERROR(
  FILTER('CBK Students'!M:M, TRIM('CBK Students'!B:B) = TRIM(A1057)),
  """"
)"),"#REF!")</f>
        <v>#REF!</v>
      </c>
      <c r="W1057" s="240" t="str">
        <f t="shared" si="1"/>
        <v/>
      </c>
      <c r="X1057" s="240" t="str">
        <f>IFERROR(__xludf.DUMMYFUNCTION("IFERROR(
  FILTER('CBK Students'!R:R, TRIM('CBK Students'!B:B) = TRIM(A1057)),
  """"
)"),"#REF!")</f>
        <v>#REF!</v>
      </c>
      <c r="Y1057" s="4" t="str">
        <f t="shared" si="2"/>
        <v/>
      </c>
      <c r="Z1057" s="4" t="str">
        <f>IFERROR(__xludf.DUMMYFUNCTION("IFERROR(
  FILTER('CBK Students'!O:O, TRIM('CBK Students'!B:B) = TRIM(A1057)),
  """"
)"),"#REF!")</f>
        <v>#REF!</v>
      </c>
      <c r="AA1057" s="4" t="str">
        <f>IFERROR(__xludf.DUMMYFUNCTION("IFERROR(
  FILTER('CBK Students'!P:P, TRIM('CBK Students'!B:B) = TRIM(A1057)),
  """"
)"),"#REF!")</f>
        <v>#REF!</v>
      </c>
      <c r="AB1057" s="4" t="str">
        <f>IFERROR(__xludf.DUMMYFUNCTION("IFERROR(
  FILTER('CBK Students'!Q:Q, TRIM('CBK Students'!B:B) = TRIM(A1057)),
  """"
)"),"#REF!")</f>
        <v>#REF!</v>
      </c>
    </row>
    <row r="1058" ht="18.75" customHeight="1">
      <c r="T1058" s="240" t="str">
        <f>IFERROR(__xludf.DUMMYFUNCTION("IFERROR(
  FILTER('CBK Students'!F:F, TRIM('CBK Students'!B:B) = TRIM(A1058)),
  """"
)"),"#REF!")</f>
        <v>#REF!</v>
      </c>
      <c r="U1058" s="240" t="str">
        <f>IFERROR(__xludf.DUMMYFUNCTION("IFERROR(
  FILTER('CBK Students'!H:H, TRIM('CBK Students'!B:B) = TRIM(A1058)),
  """"
)"),"#REF!")</f>
        <v>#REF!</v>
      </c>
      <c r="V1058" s="240" t="str">
        <f>IFERROR(__xludf.DUMMYFUNCTION("IFERROR(
  FILTER('CBK Students'!M:M, TRIM('CBK Students'!B:B) = TRIM(A1058)),
  """"
)"),"#REF!")</f>
        <v>#REF!</v>
      </c>
      <c r="W1058" s="240" t="str">
        <f t="shared" si="1"/>
        <v/>
      </c>
      <c r="X1058" s="240" t="str">
        <f>IFERROR(__xludf.DUMMYFUNCTION("IFERROR(
  FILTER('CBK Students'!R:R, TRIM('CBK Students'!B:B) = TRIM(A1058)),
  """"
)"),"#REF!")</f>
        <v>#REF!</v>
      </c>
      <c r="Y1058" s="4" t="str">
        <f t="shared" si="2"/>
        <v/>
      </c>
      <c r="Z1058" s="4" t="str">
        <f>IFERROR(__xludf.DUMMYFUNCTION("IFERROR(
  FILTER('CBK Students'!O:O, TRIM('CBK Students'!B:B) = TRIM(A1058)),
  """"
)"),"#REF!")</f>
        <v>#REF!</v>
      </c>
      <c r="AA1058" s="4" t="str">
        <f>IFERROR(__xludf.DUMMYFUNCTION("IFERROR(
  FILTER('CBK Students'!P:P, TRIM('CBK Students'!B:B) = TRIM(A1058)),
  """"
)"),"#REF!")</f>
        <v>#REF!</v>
      </c>
      <c r="AB1058" s="4" t="str">
        <f>IFERROR(__xludf.DUMMYFUNCTION("IFERROR(
  FILTER('CBK Students'!Q:Q, TRIM('CBK Students'!B:B) = TRIM(A1058)),
  """"
)"),"#REF!")</f>
        <v>#REF!</v>
      </c>
    </row>
    <row r="1059" ht="18.75" customHeight="1">
      <c r="T1059" s="240" t="str">
        <f>IFERROR(__xludf.DUMMYFUNCTION("IFERROR(
  FILTER('CBK Students'!F:F, TRIM('CBK Students'!B:B) = TRIM(A1059)),
  """"
)"),"#REF!")</f>
        <v>#REF!</v>
      </c>
      <c r="U1059" s="240" t="str">
        <f>IFERROR(__xludf.DUMMYFUNCTION("IFERROR(
  FILTER('CBK Students'!H:H, TRIM('CBK Students'!B:B) = TRIM(A1059)),
  """"
)"),"#REF!")</f>
        <v>#REF!</v>
      </c>
      <c r="V1059" s="240" t="str">
        <f>IFERROR(__xludf.DUMMYFUNCTION("IFERROR(
  FILTER('CBK Students'!M:M, TRIM('CBK Students'!B:B) = TRIM(A1059)),
  """"
)"),"#REF!")</f>
        <v>#REF!</v>
      </c>
      <c r="W1059" s="240" t="str">
        <f t="shared" si="1"/>
        <v/>
      </c>
      <c r="X1059" s="240" t="str">
        <f>IFERROR(__xludf.DUMMYFUNCTION("IFERROR(
  FILTER('CBK Students'!R:R, TRIM('CBK Students'!B:B) = TRIM(A1059)),
  """"
)"),"#REF!")</f>
        <v>#REF!</v>
      </c>
      <c r="Y1059" s="4" t="str">
        <f t="shared" si="2"/>
        <v/>
      </c>
      <c r="Z1059" s="4" t="str">
        <f>IFERROR(__xludf.DUMMYFUNCTION("IFERROR(
  FILTER('CBK Students'!O:O, TRIM('CBK Students'!B:B) = TRIM(A1059)),
  """"
)"),"#REF!")</f>
        <v>#REF!</v>
      </c>
      <c r="AA1059" s="4" t="str">
        <f>IFERROR(__xludf.DUMMYFUNCTION("IFERROR(
  FILTER('CBK Students'!P:P, TRIM('CBK Students'!B:B) = TRIM(A1059)),
  """"
)"),"#REF!")</f>
        <v>#REF!</v>
      </c>
      <c r="AB1059" s="4" t="str">
        <f>IFERROR(__xludf.DUMMYFUNCTION("IFERROR(
  FILTER('CBK Students'!Q:Q, TRIM('CBK Students'!B:B) = TRIM(A1059)),
  """"
)"),"#REF!")</f>
        <v>#REF!</v>
      </c>
    </row>
    <row r="1060" ht="18.75" customHeight="1">
      <c r="T1060" s="240" t="str">
        <f>IFERROR(__xludf.DUMMYFUNCTION("IFERROR(
  FILTER('CBK Students'!F:F, TRIM('CBK Students'!B:B) = TRIM(A1060)),
  """"
)"),"#REF!")</f>
        <v>#REF!</v>
      </c>
      <c r="U1060" s="240" t="str">
        <f>IFERROR(__xludf.DUMMYFUNCTION("IFERROR(
  FILTER('CBK Students'!H:H, TRIM('CBK Students'!B:B) = TRIM(A1060)),
  """"
)"),"#REF!")</f>
        <v>#REF!</v>
      </c>
      <c r="V1060" s="240" t="str">
        <f>IFERROR(__xludf.DUMMYFUNCTION("IFERROR(
  FILTER('CBK Students'!M:M, TRIM('CBK Students'!B:B) = TRIM(A1060)),
  """"
)"),"#REF!")</f>
        <v>#REF!</v>
      </c>
      <c r="W1060" s="240" t="str">
        <f t="shared" si="1"/>
        <v/>
      </c>
      <c r="X1060" s="240" t="str">
        <f>IFERROR(__xludf.DUMMYFUNCTION("IFERROR(
  FILTER('CBK Students'!R:R, TRIM('CBK Students'!B:B) = TRIM(A1060)),
  """"
)"),"#REF!")</f>
        <v>#REF!</v>
      </c>
      <c r="Y1060" s="4" t="str">
        <f t="shared" si="2"/>
        <v/>
      </c>
      <c r="Z1060" s="4" t="str">
        <f>IFERROR(__xludf.DUMMYFUNCTION("IFERROR(
  FILTER('CBK Students'!O:O, TRIM('CBK Students'!B:B) = TRIM(A1060)),
  """"
)"),"#REF!")</f>
        <v>#REF!</v>
      </c>
      <c r="AA1060" s="4" t="str">
        <f>IFERROR(__xludf.DUMMYFUNCTION("IFERROR(
  FILTER('CBK Students'!P:P, TRIM('CBK Students'!B:B) = TRIM(A1060)),
  """"
)"),"#REF!")</f>
        <v>#REF!</v>
      </c>
      <c r="AB1060" s="4" t="str">
        <f>IFERROR(__xludf.DUMMYFUNCTION("IFERROR(
  FILTER('CBK Students'!Q:Q, TRIM('CBK Students'!B:B) = TRIM(A1060)),
  """"
)"),"#REF!")</f>
        <v>#REF!</v>
      </c>
    </row>
    <row r="1061" ht="18.75" customHeight="1">
      <c r="T1061" s="240" t="str">
        <f>IFERROR(__xludf.DUMMYFUNCTION("IFERROR(
  FILTER('CBK Students'!F:F, TRIM('CBK Students'!B:B) = TRIM(A1061)),
  """"
)"),"#REF!")</f>
        <v>#REF!</v>
      </c>
      <c r="U1061" s="240" t="str">
        <f>IFERROR(__xludf.DUMMYFUNCTION("IFERROR(
  FILTER('CBK Students'!H:H, TRIM('CBK Students'!B:B) = TRIM(A1061)),
  """"
)"),"#REF!")</f>
        <v>#REF!</v>
      </c>
      <c r="V1061" s="240" t="str">
        <f>IFERROR(__xludf.DUMMYFUNCTION("IFERROR(
  FILTER('CBK Students'!M:M, TRIM('CBK Students'!B:B) = TRIM(A1061)),
  """"
)"),"#REF!")</f>
        <v>#REF!</v>
      </c>
      <c r="W1061" s="240" t="str">
        <f t="shared" si="1"/>
        <v/>
      </c>
      <c r="X1061" s="240" t="str">
        <f>IFERROR(__xludf.DUMMYFUNCTION("IFERROR(
  FILTER('CBK Students'!R:R, TRIM('CBK Students'!B:B) = TRIM(A1061)),
  """"
)"),"#REF!")</f>
        <v>#REF!</v>
      </c>
      <c r="Y1061" s="4" t="str">
        <f t="shared" si="2"/>
        <v/>
      </c>
      <c r="Z1061" s="4" t="str">
        <f>IFERROR(__xludf.DUMMYFUNCTION("IFERROR(
  FILTER('CBK Students'!O:O, TRIM('CBK Students'!B:B) = TRIM(A1061)),
  """"
)"),"#REF!")</f>
        <v>#REF!</v>
      </c>
      <c r="AA1061" s="4" t="str">
        <f>IFERROR(__xludf.DUMMYFUNCTION("IFERROR(
  FILTER('CBK Students'!P:P, TRIM('CBK Students'!B:B) = TRIM(A1061)),
  """"
)"),"#REF!")</f>
        <v>#REF!</v>
      </c>
      <c r="AB1061" s="4" t="str">
        <f>IFERROR(__xludf.DUMMYFUNCTION("IFERROR(
  FILTER('CBK Students'!Q:Q, TRIM('CBK Students'!B:B) = TRIM(A1061)),
  """"
)"),"#REF!")</f>
        <v>#REF!</v>
      </c>
    </row>
    <row r="1062" ht="18.75" customHeight="1">
      <c r="T1062" s="240" t="str">
        <f>IFERROR(__xludf.DUMMYFUNCTION("IFERROR(
  FILTER('CBK Students'!F:F, TRIM('CBK Students'!B:B) = TRIM(A1062)),
  """"
)"),"#REF!")</f>
        <v>#REF!</v>
      </c>
      <c r="U1062" s="240" t="str">
        <f>IFERROR(__xludf.DUMMYFUNCTION("IFERROR(
  FILTER('CBK Students'!H:H, TRIM('CBK Students'!B:B) = TRIM(A1062)),
  """"
)"),"#REF!")</f>
        <v>#REF!</v>
      </c>
      <c r="V1062" s="240" t="str">
        <f>IFERROR(__xludf.DUMMYFUNCTION("IFERROR(
  FILTER('CBK Students'!M:M, TRIM('CBK Students'!B:B) = TRIM(A1062)),
  """"
)"),"#REF!")</f>
        <v>#REF!</v>
      </c>
      <c r="W1062" s="240" t="str">
        <f t="shared" si="1"/>
        <v/>
      </c>
      <c r="X1062" s="240" t="str">
        <f>IFERROR(__xludf.DUMMYFUNCTION("IFERROR(
  FILTER('CBK Students'!R:R, TRIM('CBK Students'!B:B) = TRIM(A1062)),
  """"
)"),"#REF!")</f>
        <v>#REF!</v>
      </c>
      <c r="Y1062" s="4" t="str">
        <f t="shared" si="2"/>
        <v/>
      </c>
      <c r="Z1062" s="4" t="str">
        <f>IFERROR(__xludf.DUMMYFUNCTION("IFERROR(
  FILTER('CBK Students'!O:O, TRIM('CBK Students'!B:B) = TRIM(A1062)),
  """"
)"),"#REF!")</f>
        <v>#REF!</v>
      </c>
      <c r="AA1062" s="4" t="str">
        <f>IFERROR(__xludf.DUMMYFUNCTION("IFERROR(
  FILTER('CBK Students'!P:P, TRIM('CBK Students'!B:B) = TRIM(A1062)),
  """"
)"),"#REF!")</f>
        <v>#REF!</v>
      </c>
      <c r="AB1062" s="4" t="str">
        <f>IFERROR(__xludf.DUMMYFUNCTION("IFERROR(
  FILTER('CBK Students'!Q:Q, TRIM('CBK Students'!B:B) = TRIM(A1062)),
  """"
)"),"#REF!")</f>
        <v>#REF!</v>
      </c>
    </row>
    <row r="1063" ht="18.75" customHeight="1">
      <c r="T1063" s="240" t="str">
        <f>IFERROR(__xludf.DUMMYFUNCTION("IFERROR(
  FILTER('CBK Students'!F:F, TRIM('CBK Students'!B:B) = TRIM(A1063)),
  """"
)"),"#REF!")</f>
        <v>#REF!</v>
      </c>
      <c r="U1063" s="240" t="str">
        <f>IFERROR(__xludf.DUMMYFUNCTION("IFERROR(
  FILTER('CBK Students'!H:H, TRIM('CBK Students'!B:B) = TRIM(A1063)),
  """"
)"),"#REF!")</f>
        <v>#REF!</v>
      </c>
      <c r="V1063" s="240" t="str">
        <f>IFERROR(__xludf.DUMMYFUNCTION("IFERROR(
  FILTER('CBK Students'!M:M, TRIM('CBK Students'!B:B) = TRIM(A1063)),
  """"
)"),"#REF!")</f>
        <v>#REF!</v>
      </c>
      <c r="W1063" s="240" t="str">
        <f t="shared" si="1"/>
        <v/>
      </c>
      <c r="X1063" s="240" t="str">
        <f>IFERROR(__xludf.DUMMYFUNCTION("IFERROR(
  FILTER('CBK Students'!R:R, TRIM('CBK Students'!B:B) = TRIM(A1063)),
  """"
)"),"#REF!")</f>
        <v>#REF!</v>
      </c>
      <c r="Y1063" s="4" t="str">
        <f t="shared" si="2"/>
        <v/>
      </c>
      <c r="Z1063" s="4" t="str">
        <f>IFERROR(__xludf.DUMMYFUNCTION("IFERROR(
  FILTER('CBK Students'!O:O, TRIM('CBK Students'!B:B) = TRIM(A1063)),
  """"
)"),"#REF!")</f>
        <v>#REF!</v>
      </c>
      <c r="AA1063" s="4" t="str">
        <f>IFERROR(__xludf.DUMMYFUNCTION("IFERROR(
  FILTER('CBK Students'!P:P, TRIM('CBK Students'!B:B) = TRIM(A1063)),
  """"
)"),"#REF!")</f>
        <v>#REF!</v>
      </c>
      <c r="AB1063" s="4" t="str">
        <f>IFERROR(__xludf.DUMMYFUNCTION("IFERROR(
  FILTER('CBK Students'!Q:Q, TRIM('CBK Students'!B:B) = TRIM(A1063)),
  """"
)"),"#REF!")</f>
        <v>#REF!</v>
      </c>
    </row>
    <row r="1064" ht="18.75" customHeight="1">
      <c r="T1064" s="240" t="str">
        <f>IFERROR(__xludf.DUMMYFUNCTION("IFERROR(
  FILTER('CBK Students'!F:F, TRIM('CBK Students'!B:B) = TRIM(A1064)),
  """"
)"),"#REF!")</f>
        <v>#REF!</v>
      </c>
      <c r="U1064" s="240" t="str">
        <f>IFERROR(__xludf.DUMMYFUNCTION("IFERROR(
  FILTER('CBK Students'!H:H, TRIM('CBK Students'!B:B) = TRIM(A1064)),
  """"
)"),"#REF!")</f>
        <v>#REF!</v>
      </c>
      <c r="V1064" s="240" t="str">
        <f>IFERROR(__xludf.DUMMYFUNCTION("IFERROR(
  FILTER('CBK Students'!M:M, TRIM('CBK Students'!B:B) = TRIM(A1064)),
  """"
)"),"#REF!")</f>
        <v>#REF!</v>
      </c>
      <c r="W1064" s="240" t="str">
        <f t="shared" si="1"/>
        <v/>
      </c>
      <c r="X1064" s="240" t="str">
        <f>IFERROR(__xludf.DUMMYFUNCTION("IFERROR(
  FILTER('CBK Students'!R:R, TRIM('CBK Students'!B:B) = TRIM(A1064)),
  """"
)"),"#REF!")</f>
        <v>#REF!</v>
      </c>
      <c r="Y1064" s="4" t="str">
        <f t="shared" si="2"/>
        <v/>
      </c>
      <c r="Z1064" s="4" t="str">
        <f>IFERROR(__xludf.DUMMYFUNCTION("IFERROR(
  FILTER('CBK Students'!O:O, TRIM('CBK Students'!B:B) = TRIM(A1064)),
  """"
)"),"#REF!")</f>
        <v>#REF!</v>
      </c>
      <c r="AA1064" s="4" t="str">
        <f>IFERROR(__xludf.DUMMYFUNCTION("IFERROR(
  FILTER('CBK Students'!P:P, TRIM('CBK Students'!B:B) = TRIM(A1064)),
  """"
)"),"#REF!")</f>
        <v>#REF!</v>
      </c>
      <c r="AB1064" s="4" t="str">
        <f>IFERROR(__xludf.DUMMYFUNCTION("IFERROR(
  FILTER('CBK Students'!Q:Q, TRIM('CBK Students'!B:B) = TRIM(A1064)),
  """"
)"),"#REF!")</f>
        <v>#REF!</v>
      </c>
    </row>
    <row r="1065" ht="18.75" customHeight="1">
      <c r="T1065" s="240" t="str">
        <f>IFERROR(__xludf.DUMMYFUNCTION("IFERROR(
  FILTER('CBK Students'!F:F, TRIM('CBK Students'!B:B) = TRIM(A1065)),
  """"
)"),"#REF!")</f>
        <v>#REF!</v>
      </c>
      <c r="U1065" s="240" t="str">
        <f>IFERROR(__xludf.DUMMYFUNCTION("IFERROR(
  FILTER('CBK Students'!H:H, TRIM('CBK Students'!B:B) = TRIM(A1065)),
  """"
)"),"#REF!")</f>
        <v>#REF!</v>
      </c>
      <c r="V1065" s="240" t="str">
        <f>IFERROR(__xludf.DUMMYFUNCTION("IFERROR(
  FILTER('CBK Students'!M:M, TRIM('CBK Students'!B:B) = TRIM(A1065)),
  """"
)"),"#REF!")</f>
        <v>#REF!</v>
      </c>
      <c r="W1065" s="240" t="str">
        <f t="shared" si="1"/>
        <v/>
      </c>
      <c r="X1065" s="240" t="str">
        <f>IFERROR(__xludf.DUMMYFUNCTION("IFERROR(
  FILTER('CBK Students'!R:R, TRIM('CBK Students'!B:B) = TRIM(A1065)),
  """"
)"),"#REF!")</f>
        <v>#REF!</v>
      </c>
      <c r="Y1065" s="4" t="str">
        <f t="shared" si="2"/>
        <v/>
      </c>
      <c r="Z1065" s="4" t="str">
        <f>IFERROR(__xludf.DUMMYFUNCTION("IFERROR(
  FILTER('CBK Students'!O:O, TRIM('CBK Students'!B:B) = TRIM(A1065)),
  """"
)"),"#REF!")</f>
        <v>#REF!</v>
      </c>
      <c r="AA1065" s="4" t="str">
        <f>IFERROR(__xludf.DUMMYFUNCTION("IFERROR(
  FILTER('CBK Students'!P:P, TRIM('CBK Students'!B:B) = TRIM(A1065)),
  """"
)"),"#REF!")</f>
        <v>#REF!</v>
      </c>
      <c r="AB1065" s="4" t="str">
        <f>IFERROR(__xludf.DUMMYFUNCTION("IFERROR(
  FILTER('CBK Students'!Q:Q, TRIM('CBK Students'!B:B) = TRIM(A1065)),
  """"
)"),"#REF!")</f>
        <v>#REF!</v>
      </c>
    </row>
    <row r="1066" ht="18.75" customHeight="1">
      <c r="T1066" s="240" t="str">
        <f>IFERROR(__xludf.DUMMYFUNCTION("IFERROR(
  FILTER('CBK Students'!F:F, TRIM('CBK Students'!B:B) = TRIM(A1066)),
  """"
)"),"#REF!")</f>
        <v>#REF!</v>
      </c>
      <c r="U1066" s="240" t="str">
        <f>IFERROR(__xludf.DUMMYFUNCTION("IFERROR(
  FILTER('CBK Students'!H:H, TRIM('CBK Students'!B:B) = TRIM(A1066)),
  """"
)"),"#REF!")</f>
        <v>#REF!</v>
      </c>
      <c r="V1066" s="240" t="str">
        <f>IFERROR(__xludf.DUMMYFUNCTION("IFERROR(
  FILTER('CBK Students'!M:M, TRIM('CBK Students'!B:B) = TRIM(A1066)),
  """"
)"),"#REF!")</f>
        <v>#REF!</v>
      </c>
      <c r="W1066" s="240" t="str">
        <f t="shared" si="1"/>
        <v/>
      </c>
      <c r="X1066" s="240" t="str">
        <f>IFERROR(__xludf.DUMMYFUNCTION("IFERROR(
  FILTER('CBK Students'!R:R, TRIM('CBK Students'!B:B) = TRIM(A1066)),
  """"
)"),"#REF!")</f>
        <v>#REF!</v>
      </c>
      <c r="Y1066" s="4" t="str">
        <f t="shared" si="2"/>
        <v/>
      </c>
      <c r="Z1066" s="4" t="str">
        <f>IFERROR(__xludf.DUMMYFUNCTION("IFERROR(
  FILTER('CBK Students'!O:O, TRIM('CBK Students'!B:B) = TRIM(A1066)),
  """"
)"),"#REF!")</f>
        <v>#REF!</v>
      </c>
      <c r="AA1066" s="4" t="str">
        <f>IFERROR(__xludf.DUMMYFUNCTION("IFERROR(
  FILTER('CBK Students'!P:P, TRIM('CBK Students'!B:B) = TRIM(A1066)),
  """"
)"),"#REF!")</f>
        <v>#REF!</v>
      </c>
      <c r="AB1066" s="4" t="str">
        <f>IFERROR(__xludf.DUMMYFUNCTION("IFERROR(
  FILTER('CBK Students'!Q:Q, TRIM('CBK Students'!B:B) = TRIM(A1066)),
  """"
)"),"#REF!")</f>
        <v>#REF!</v>
      </c>
    </row>
    <row r="1067" ht="18.75" customHeight="1">
      <c r="T1067" s="240" t="str">
        <f>IFERROR(__xludf.DUMMYFUNCTION("IFERROR(
  FILTER('CBK Students'!F:F, TRIM('CBK Students'!B:B) = TRIM(A1067)),
  """"
)"),"#REF!")</f>
        <v>#REF!</v>
      </c>
      <c r="U1067" s="240" t="str">
        <f>IFERROR(__xludf.DUMMYFUNCTION("IFERROR(
  FILTER('CBK Students'!H:H, TRIM('CBK Students'!B:B) = TRIM(A1067)),
  """"
)"),"#REF!")</f>
        <v>#REF!</v>
      </c>
      <c r="V1067" s="240" t="str">
        <f>IFERROR(__xludf.DUMMYFUNCTION("IFERROR(
  FILTER('CBK Students'!M:M, TRIM('CBK Students'!B:B) = TRIM(A1067)),
  """"
)"),"#REF!")</f>
        <v>#REF!</v>
      </c>
      <c r="W1067" s="240" t="str">
        <f t="shared" si="1"/>
        <v/>
      </c>
      <c r="X1067" s="240" t="str">
        <f>IFERROR(__xludf.DUMMYFUNCTION("IFERROR(
  FILTER('CBK Students'!R:R, TRIM('CBK Students'!B:B) = TRIM(A1067)),
  """"
)"),"#REF!")</f>
        <v>#REF!</v>
      </c>
      <c r="Y1067" s="4" t="str">
        <f t="shared" si="2"/>
        <v/>
      </c>
      <c r="Z1067" s="4" t="str">
        <f>IFERROR(__xludf.DUMMYFUNCTION("IFERROR(
  FILTER('CBK Students'!O:O, TRIM('CBK Students'!B:B) = TRIM(A1067)),
  """"
)"),"#REF!")</f>
        <v>#REF!</v>
      </c>
      <c r="AA1067" s="4" t="str">
        <f>IFERROR(__xludf.DUMMYFUNCTION("IFERROR(
  FILTER('CBK Students'!P:P, TRIM('CBK Students'!B:B) = TRIM(A1067)),
  """"
)"),"#REF!")</f>
        <v>#REF!</v>
      </c>
      <c r="AB1067" s="4" t="str">
        <f>IFERROR(__xludf.DUMMYFUNCTION("IFERROR(
  FILTER('CBK Students'!Q:Q, TRIM('CBK Students'!B:B) = TRIM(A1067)),
  """"
)"),"#REF!")</f>
        <v>#REF!</v>
      </c>
    </row>
    <row r="1068" ht="18.75" customHeight="1">
      <c r="T1068" s="240" t="str">
        <f>IFERROR(__xludf.DUMMYFUNCTION("IFERROR(
  FILTER('CBK Students'!F:F, TRIM('CBK Students'!B:B) = TRIM(A1068)),
  """"
)"),"#REF!")</f>
        <v>#REF!</v>
      </c>
      <c r="U1068" s="240" t="str">
        <f>IFERROR(__xludf.DUMMYFUNCTION("IFERROR(
  FILTER('CBK Students'!H:H, TRIM('CBK Students'!B:B) = TRIM(A1068)),
  """"
)"),"#REF!")</f>
        <v>#REF!</v>
      </c>
      <c r="V1068" s="240" t="str">
        <f>IFERROR(__xludf.DUMMYFUNCTION("IFERROR(
  FILTER('CBK Students'!M:M, TRIM('CBK Students'!B:B) = TRIM(A1068)),
  """"
)"),"#REF!")</f>
        <v>#REF!</v>
      </c>
      <c r="W1068" s="240" t="str">
        <f t="shared" si="1"/>
        <v/>
      </c>
      <c r="X1068" s="240" t="str">
        <f>IFERROR(__xludf.DUMMYFUNCTION("IFERROR(
  FILTER('CBK Students'!R:R, TRIM('CBK Students'!B:B) = TRIM(A1068)),
  """"
)"),"#REF!")</f>
        <v>#REF!</v>
      </c>
      <c r="Y1068" s="4" t="str">
        <f t="shared" si="2"/>
        <v/>
      </c>
      <c r="Z1068" s="4" t="str">
        <f>IFERROR(__xludf.DUMMYFUNCTION("IFERROR(
  FILTER('CBK Students'!O:O, TRIM('CBK Students'!B:B) = TRIM(A1068)),
  """"
)"),"#REF!")</f>
        <v>#REF!</v>
      </c>
      <c r="AA1068" s="4" t="str">
        <f>IFERROR(__xludf.DUMMYFUNCTION("IFERROR(
  FILTER('CBK Students'!P:P, TRIM('CBK Students'!B:B) = TRIM(A1068)),
  """"
)"),"#REF!")</f>
        <v>#REF!</v>
      </c>
      <c r="AB1068" s="4" t="str">
        <f>IFERROR(__xludf.DUMMYFUNCTION("IFERROR(
  FILTER('CBK Students'!Q:Q, TRIM('CBK Students'!B:B) = TRIM(A1068)),
  """"
)"),"#REF!")</f>
        <v>#REF!</v>
      </c>
    </row>
    <row r="1069" ht="18.75" customHeight="1">
      <c r="T1069" s="240" t="str">
        <f>IFERROR(__xludf.DUMMYFUNCTION("IFERROR(
  FILTER('CBK Students'!F:F, TRIM('CBK Students'!B:B) = TRIM(A1069)),
  """"
)"),"#REF!")</f>
        <v>#REF!</v>
      </c>
      <c r="U1069" s="240" t="str">
        <f>IFERROR(__xludf.DUMMYFUNCTION("IFERROR(
  FILTER('CBK Students'!H:H, TRIM('CBK Students'!B:B) = TRIM(A1069)),
  """"
)"),"#REF!")</f>
        <v>#REF!</v>
      </c>
      <c r="V1069" s="240" t="str">
        <f>IFERROR(__xludf.DUMMYFUNCTION("IFERROR(
  FILTER('CBK Students'!M:M, TRIM('CBK Students'!B:B) = TRIM(A1069)),
  """"
)"),"#REF!")</f>
        <v>#REF!</v>
      </c>
      <c r="W1069" s="240" t="str">
        <f t="shared" si="1"/>
        <v/>
      </c>
      <c r="X1069" s="240" t="str">
        <f>IFERROR(__xludf.DUMMYFUNCTION("IFERROR(
  FILTER('CBK Students'!R:R, TRIM('CBK Students'!B:B) = TRIM(A1069)),
  """"
)"),"#REF!")</f>
        <v>#REF!</v>
      </c>
      <c r="Y1069" s="4" t="str">
        <f t="shared" si="2"/>
        <v/>
      </c>
      <c r="Z1069" s="4" t="str">
        <f>IFERROR(__xludf.DUMMYFUNCTION("IFERROR(
  FILTER('CBK Students'!O:O, TRIM('CBK Students'!B:B) = TRIM(A1069)),
  """"
)"),"#REF!")</f>
        <v>#REF!</v>
      </c>
      <c r="AA1069" s="4" t="str">
        <f>IFERROR(__xludf.DUMMYFUNCTION("IFERROR(
  FILTER('CBK Students'!P:P, TRIM('CBK Students'!B:B) = TRIM(A1069)),
  """"
)"),"#REF!")</f>
        <v>#REF!</v>
      </c>
      <c r="AB1069" s="4" t="str">
        <f>IFERROR(__xludf.DUMMYFUNCTION("IFERROR(
  FILTER('CBK Students'!Q:Q, TRIM('CBK Students'!B:B) = TRIM(A1069)),
  """"
)"),"#REF!")</f>
        <v>#REF!</v>
      </c>
    </row>
    <row r="1070" ht="18.75" customHeight="1">
      <c r="T1070" s="240" t="str">
        <f>IFERROR(__xludf.DUMMYFUNCTION("IFERROR(
  FILTER('CBK Students'!F:F, TRIM('CBK Students'!B:B) = TRIM(A1070)),
  """"
)"),"#REF!")</f>
        <v>#REF!</v>
      </c>
      <c r="U1070" s="240" t="str">
        <f>IFERROR(__xludf.DUMMYFUNCTION("IFERROR(
  FILTER('CBK Students'!H:H, TRIM('CBK Students'!B:B) = TRIM(A1070)),
  """"
)"),"#REF!")</f>
        <v>#REF!</v>
      </c>
      <c r="V1070" s="240" t="str">
        <f>IFERROR(__xludf.DUMMYFUNCTION("IFERROR(
  FILTER('CBK Students'!M:M, TRIM('CBK Students'!B:B) = TRIM(A1070)),
  """"
)"),"#REF!")</f>
        <v>#REF!</v>
      </c>
      <c r="W1070" s="240" t="str">
        <f t="shared" si="1"/>
        <v/>
      </c>
      <c r="X1070" s="240" t="str">
        <f>IFERROR(__xludf.DUMMYFUNCTION("IFERROR(
  FILTER('CBK Students'!R:R, TRIM('CBK Students'!B:B) = TRIM(A1070)),
  """"
)"),"#REF!")</f>
        <v>#REF!</v>
      </c>
      <c r="Y1070" s="4" t="str">
        <f t="shared" si="2"/>
        <v/>
      </c>
      <c r="Z1070" s="4" t="str">
        <f>IFERROR(__xludf.DUMMYFUNCTION("IFERROR(
  FILTER('CBK Students'!O:O, TRIM('CBK Students'!B:B) = TRIM(A1070)),
  """"
)"),"#REF!")</f>
        <v>#REF!</v>
      </c>
      <c r="AA1070" s="4" t="str">
        <f>IFERROR(__xludf.DUMMYFUNCTION("IFERROR(
  FILTER('CBK Students'!P:P, TRIM('CBK Students'!B:B) = TRIM(A1070)),
  """"
)"),"#REF!")</f>
        <v>#REF!</v>
      </c>
      <c r="AB1070" s="4" t="str">
        <f>IFERROR(__xludf.DUMMYFUNCTION("IFERROR(
  FILTER('CBK Students'!Q:Q, TRIM('CBK Students'!B:B) = TRIM(A1070)),
  """"
)"),"#REF!")</f>
        <v>#REF!</v>
      </c>
    </row>
    <row r="1071" ht="18.75" customHeight="1">
      <c r="T1071" s="240" t="str">
        <f>IFERROR(__xludf.DUMMYFUNCTION("IFERROR(
  FILTER('CBK Students'!F:F, TRIM('CBK Students'!B:B) = TRIM(A1071)),
  """"
)"),"#REF!")</f>
        <v>#REF!</v>
      </c>
      <c r="U1071" s="240" t="str">
        <f>IFERROR(__xludf.DUMMYFUNCTION("IFERROR(
  FILTER('CBK Students'!H:H, TRIM('CBK Students'!B:B) = TRIM(A1071)),
  """"
)"),"#REF!")</f>
        <v>#REF!</v>
      </c>
      <c r="V1071" s="240" t="str">
        <f>IFERROR(__xludf.DUMMYFUNCTION("IFERROR(
  FILTER('CBK Students'!M:M, TRIM('CBK Students'!B:B) = TRIM(A1071)),
  """"
)"),"#REF!")</f>
        <v>#REF!</v>
      </c>
      <c r="W1071" s="240" t="str">
        <f t="shared" si="1"/>
        <v/>
      </c>
      <c r="X1071" s="240" t="str">
        <f>IFERROR(__xludf.DUMMYFUNCTION("IFERROR(
  FILTER('CBK Students'!R:R, TRIM('CBK Students'!B:B) = TRIM(A1071)),
  """"
)"),"#REF!")</f>
        <v>#REF!</v>
      </c>
      <c r="Y1071" s="4" t="str">
        <f t="shared" si="2"/>
        <v/>
      </c>
      <c r="Z1071" s="4" t="str">
        <f>IFERROR(__xludf.DUMMYFUNCTION("IFERROR(
  FILTER('CBK Students'!O:O, TRIM('CBK Students'!B:B) = TRIM(A1071)),
  """"
)"),"#REF!")</f>
        <v>#REF!</v>
      </c>
      <c r="AA1071" s="4" t="str">
        <f>IFERROR(__xludf.DUMMYFUNCTION("IFERROR(
  FILTER('CBK Students'!P:P, TRIM('CBK Students'!B:B) = TRIM(A1071)),
  """"
)"),"#REF!")</f>
        <v>#REF!</v>
      </c>
      <c r="AB1071" s="4" t="str">
        <f>IFERROR(__xludf.DUMMYFUNCTION("IFERROR(
  FILTER('CBK Students'!Q:Q, TRIM('CBK Students'!B:B) = TRIM(A1071)),
  """"
)"),"#REF!")</f>
        <v>#REF!</v>
      </c>
    </row>
    <row r="1072" ht="18.75" customHeight="1">
      <c r="T1072" s="240" t="str">
        <f>IFERROR(__xludf.DUMMYFUNCTION("IFERROR(
  FILTER('CBK Students'!F:F, TRIM('CBK Students'!B:B) = TRIM(A1072)),
  """"
)"),"#REF!")</f>
        <v>#REF!</v>
      </c>
      <c r="U1072" s="240" t="str">
        <f>IFERROR(__xludf.DUMMYFUNCTION("IFERROR(
  FILTER('CBK Students'!H:H, TRIM('CBK Students'!B:B) = TRIM(A1072)),
  """"
)"),"#REF!")</f>
        <v>#REF!</v>
      </c>
      <c r="V1072" s="240" t="str">
        <f>IFERROR(__xludf.DUMMYFUNCTION("IFERROR(
  FILTER('CBK Students'!M:M, TRIM('CBK Students'!B:B) = TRIM(A1072)),
  """"
)"),"#REF!")</f>
        <v>#REF!</v>
      </c>
      <c r="W1072" s="240" t="str">
        <f t="shared" si="1"/>
        <v/>
      </c>
      <c r="X1072" s="240" t="str">
        <f>IFERROR(__xludf.DUMMYFUNCTION("IFERROR(
  FILTER('CBK Students'!R:R, TRIM('CBK Students'!B:B) = TRIM(A1072)),
  """"
)"),"#REF!")</f>
        <v>#REF!</v>
      </c>
      <c r="Y1072" s="4" t="str">
        <f t="shared" si="2"/>
        <v/>
      </c>
      <c r="Z1072" s="4" t="str">
        <f>IFERROR(__xludf.DUMMYFUNCTION("IFERROR(
  FILTER('CBK Students'!O:O, TRIM('CBK Students'!B:B) = TRIM(A1072)),
  """"
)"),"#REF!")</f>
        <v>#REF!</v>
      </c>
      <c r="AA1072" s="4" t="str">
        <f>IFERROR(__xludf.DUMMYFUNCTION("IFERROR(
  FILTER('CBK Students'!P:P, TRIM('CBK Students'!B:B) = TRIM(A1072)),
  """"
)"),"#REF!")</f>
        <v>#REF!</v>
      </c>
      <c r="AB1072" s="4" t="str">
        <f>IFERROR(__xludf.DUMMYFUNCTION("IFERROR(
  FILTER('CBK Students'!Q:Q, TRIM('CBK Students'!B:B) = TRIM(A1072)),
  """"
)"),"#REF!")</f>
        <v>#REF!</v>
      </c>
    </row>
    <row r="1073" ht="18.75" customHeight="1">
      <c r="T1073" s="240" t="str">
        <f>IFERROR(__xludf.DUMMYFUNCTION("IFERROR(
  FILTER('CBK Students'!F:F, TRIM('CBK Students'!B:B) = TRIM(A1073)),
  """"
)"),"#REF!")</f>
        <v>#REF!</v>
      </c>
      <c r="U1073" s="240" t="str">
        <f>IFERROR(__xludf.DUMMYFUNCTION("IFERROR(
  FILTER('CBK Students'!H:H, TRIM('CBK Students'!B:B) = TRIM(A1073)),
  """"
)"),"#REF!")</f>
        <v>#REF!</v>
      </c>
      <c r="V1073" s="240" t="str">
        <f>IFERROR(__xludf.DUMMYFUNCTION("IFERROR(
  FILTER('CBK Students'!M:M, TRIM('CBK Students'!B:B) = TRIM(A1073)),
  """"
)"),"#REF!")</f>
        <v>#REF!</v>
      </c>
      <c r="W1073" s="240" t="str">
        <f t="shared" si="1"/>
        <v/>
      </c>
      <c r="X1073" s="240" t="str">
        <f>IFERROR(__xludf.DUMMYFUNCTION("IFERROR(
  FILTER('CBK Students'!R:R, TRIM('CBK Students'!B:B) = TRIM(A1073)),
  """"
)"),"#REF!")</f>
        <v>#REF!</v>
      </c>
      <c r="Y1073" s="4" t="str">
        <f t="shared" si="2"/>
        <v/>
      </c>
      <c r="Z1073" s="4" t="str">
        <f>IFERROR(__xludf.DUMMYFUNCTION("IFERROR(
  FILTER('CBK Students'!O:O, TRIM('CBK Students'!B:B) = TRIM(A1073)),
  """"
)"),"#REF!")</f>
        <v>#REF!</v>
      </c>
      <c r="AA1073" s="4" t="str">
        <f>IFERROR(__xludf.DUMMYFUNCTION("IFERROR(
  FILTER('CBK Students'!P:P, TRIM('CBK Students'!B:B) = TRIM(A1073)),
  """"
)"),"#REF!")</f>
        <v>#REF!</v>
      </c>
      <c r="AB1073" s="4" t="str">
        <f>IFERROR(__xludf.DUMMYFUNCTION("IFERROR(
  FILTER('CBK Students'!Q:Q, TRIM('CBK Students'!B:B) = TRIM(A1073)),
  """"
)"),"#REF!")</f>
        <v>#REF!</v>
      </c>
    </row>
    <row r="1074" ht="18.75" customHeight="1">
      <c r="T1074" s="240" t="str">
        <f>IFERROR(__xludf.DUMMYFUNCTION("IFERROR(
  FILTER('CBK Students'!F:F, TRIM('CBK Students'!B:B) = TRIM(A1074)),
  """"
)"),"#REF!")</f>
        <v>#REF!</v>
      </c>
      <c r="U1074" s="240" t="str">
        <f>IFERROR(__xludf.DUMMYFUNCTION("IFERROR(
  FILTER('CBK Students'!H:H, TRIM('CBK Students'!B:B) = TRIM(A1074)),
  """"
)"),"#REF!")</f>
        <v>#REF!</v>
      </c>
      <c r="V1074" s="240" t="str">
        <f>IFERROR(__xludf.DUMMYFUNCTION("IFERROR(
  FILTER('CBK Students'!M:M, TRIM('CBK Students'!B:B) = TRIM(A1074)),
  """"
)"),"#REF!")</f>
        <v>#REF!</v>
      </c>
      <c r="W1074" s="240" t="str">
        <f t="shared" si="1"/>
        <v/>
      </c>
      <c r="X1074" s="240" t="str">
        <f>IFERROR(__xludf.DUMMYFUNCTION("IFERROR(
  FILTER('CBK Students'!R:R, TRIM('CBK Students'!B:B) = TRIM(A1074)),
  """"
)"),"#REF!")</f>
        <v>#REF!</v>
      </c>
      <c r="Y1074" s="4" t="str">
        <f t="shared" si="2"/>
        <v/>
      </c>
      <c r="Z1074" s="4" t="str">
        <f>IFERROR(__xludf.DUMMYFUNCTION("IFERROR(
  FILTER('CBK Students'!O:O, TRIM('CBK Students'!B:B) = TRIM(A1074)),
  """"
)"),"#REF!")</f>
        <v>#REF!</v>
      </c>
      <c r="AA1074" s="4" t="str">
        <f>IFERROR(__xludf.DUMMYFUNCTION("IFERROR(
  FILTER('CBK Students'!P:P, TRIM('CBK Students'!B:B) = TRIM(A1074)),
  """"
)"),"#REF!")</f>
        <v>#REF!</v>
      </c>
      <c r="AB1074" s="4" t="str">
        <f>IFERROR(__xludf.DUMMYFUNCTION("IFERROR(
  FILTER('CBK Students'!Q:Q, TRIM('CBK Students'!B:B) = TRIM(A1074)),
  """"
)"),"#REF!")</f>
        <v>#REF!</v>
      </c>
    </row>
    <row r="1075" ht="18.75" customHeight="1">
      <c r="T1075" s="240" t="str">
        <f>IFERROR(__xludf.DUMMYFUNCTION("IFERROR(
  FILTER('CBK Students'!F:F, TRIM('CBK Students'!B:B) = TRIM(A1075)),
  """"
)"),"#REF!")</f>
        <v>#REF!</v>
      </c>
      <c r="U1075" s="240" t="str">
        <f>IFERROR(__xludf.DUMMYFUNCTION("IFERROR(
  FILTER('CBK Students'!H:H, TRIM('CBK Students'!B:B) = TRIM(A1075)),
  """"
)"),"#REF!")</f>
        <v>#REF!</v>
      </c>
      <c r="V1075" s="240" t="str">
        <f>IFERROR(__xludf.DUMMYFUNCTION("IFERROR(
  FILTER('CBK Students'!M:M, TRIM('CBK Students'!B:B) = TRIM(A1075)),
  """"
)"),"#REF!")</f>
        <v>#REF!</v>
      </c>
      <c r="W1075" s="240" t="str">
        <f t="shared" si="1"/>
        <v/>
      </c>
      <c r="X1075" s="240" t="str">
        <f>IFERROR(__xludf.DUMMYFUNCTION("IFERROR(
  FILTER('CBK Students'!R:R, TRIM('CBK Students'!B:B) = TRIM(A1075)),
  """"
)"),"#REF!")</f>
        <v>#REF!</v>
      </c>
      <c r="Y1075" s="4" t="str">
        <f t="shared" si="2"/>
        <v/>
      </c>
      <c r="Z1075" s="4" t="str">
        <f>IFERROR(__xludf.DUMMYFUNCTION("IFERROR(
  FILTER('CBK Students'!O:O, TRIM('CBK Students'!B:B) = TRIM(A1075)),
  """"
)"),"#REF!")</f>
        <v>#REF!</v>
      </c>
      <c r="AA1075" s="4" t="str">
        <f>IFERROR(__xludf.DUMMYFUNCTION("IFERROR(
  FILTER('CBK Students'!P:P, TRIM('CBK Students'!B:B) = TRIM(A1075)),
  """"
)"),"#REF!")</f>
        <v>#REF!</v>
      </c>
      <c r="AB1075" s="4" t="str">
        <f>IFERROR(__xludf.DUMMYFUNCTION("IFERROR(
  FILTER('CBK Students'!Q:Q, TRIM('CBK Students'!B:B) = TRIM(A1075)),
  """"
)"),"#REF!")</f>
        <v>#REF!</v>
      </c>
    </row>
    <row r="1076" ht="18.75" customHeight="1">
      <c r="T1076" s="240" t="str">
        <f>IFERROR(__xludf.DUMMYFUNCTION("IFERROR(
  FILTER('CBK Students'!F:F, TRIM('CBK Students'!B:B) = TRIM(A1076)),
  """"
)"),"#REF!")</f>
        <v>#REF!</v>
      </c>
      <c r="U1076" s="240" t="str">
        <f>IFERROR(__xludf.DUMMYFUNCTION("IFERROR(
  FILTER('CBK Students'!H:H, TRIM('CBK Students'!B:B) = TRIM(A1076)),
  """"
)"),"#REF!")</f>
        <v>#REF!</v>
      </c>
      <c r="V1076" s="240" t="str">
        <f>IFERROR(__xludf.DUMMYFUNCTION("IFERROR(
  FILTER('CBK Students'!M:M, TRIM('CBK Students'!B:B) = TRIM(A1076)),
  """"
)"),"#REF!")</f>
        <v>#REF!</v>
      </c>
      <c r="W1076" s="240" t="str">
        <f t="shared" si="1"/>
        <v/>
      </c>
      <c r="X1076" s="240" t="str">
        <f>IFERROR(__xludf.DUMMYFUNCTION("IFERROR(
  FILTER('CBK Students'!R:R, TRIM('CBK Students'!B:B) = TRIM(A1076)),
  """"
)"),"#REF!")</f>
        <v>#REF!</v>
      </c>
      <c r="Y1076" s="4" t="str">
        <f t="shared" si="2"/>
        <v/>
      </c>
      <c r="Z1076" s="4" t="str">
        <f>IFERROR(__xludf.DUMMYFUNCTION("IFERROR(
  FILTER('CBK Students'!O:O, TRIM('CBK Students'!B:B) = TRIM(A1076)),
  """"
)"),"#REF!")</f>
        <v>#REF!</v>
      </c>
      <c r="AA1076" s="4" t="str">
        <f>IFERROR(__xludf.DUMMYFUNCTION("IFERROR(
  FILTER('CBK Students'!P:P, TRIM('CBK Students'!B:B) = TRIM(A1076)),
  """"
)"),"#REF!")</f>
        <v>#REF!</v>
      </c>
      <c r="AB1076" s="4" t="str">
        <f>IFERROR(__xludf.DUMMYFUNCTION("IFERROR(
  FILTER('CBK Students'!Q:Q, TRIM('CBK Students'!B:B) = TRIM(A1076)),
  """"
)"),"#REF!")</f>
        <v>#REF!</v>
      </c>
    </row>
    <row r="1077" ht="18.75" customHeight="1">
      <c r="T1077" s="240" t="str">
        <f>IFERROR(__xludf.DUMMYFUNCTION("IFERROR(
  FILTER('CBK Students'!F:F, TRIM('CBK Students'!B:B) = TRIM(A1077)),
  """"
)"),"#REF!")</f>
        <v>#REF!</v>
      </c>
      <c r="U1077" s="240" t="str">
        <f>IFERROR(__xludf.DUMMYFUNCTION("IFERROR(
  FILTER('CBK Students'!H:H, TRIM('CBK Students'!B:B) = TRIM(A1077)),
  """"
)"),"#REF!")</f>
        <v>#REF!</v>
      </c>
      <c r="V1077" s="240" t="str">
        <f>IFERROR(__xludf.DUMMYFUNCTION("IFERROR(
  FILTER('CBK Students'!M:M, TRIM('CBK Students'!B:B) = TRIM(A1077)),
  """"
)"),"#REF!")</f>
        <v>#REF!</v>
      </c>
      <c r="W1077" s="240" t="str">
        <f t="shared" si="1"/>
        <v/>
      </c>
      <c r="X1077" s="240" t="str">
        <f>IFERROR(__xludf.DUMMYFUNCTION("IFERROR(
  FILTER('CBK Students'!R:R, TRIM('CBK Students'!B:B) = TRIM(A1077)),
  """"
)"),"#REF!")</f>
        <v>#REF!</v>
      </c>
      <c r="Y1077" s="4" t="str">
        <f t="shared" si="2"/>
        <v/>
      </c>
      <c r="Z1077" s="4" t="str">
        <f>IFERROR(__xludf.DUMMYFUNCTION("IFERROR(
  FILTER('CBK Students'!O:O, TRIM('CBK Students'!B:B) = TRIM(A1077)),
  """"
)"),"#REF!")</f>
        <v>#REF!</v>
      </c>
      <c r="AA1077" s="4" t="str">
        <f>IFERROR(__xludf.DUMMYFUNCTION("IFERROR(
  FILTER('CBK Students'!P:P, TRIM('CBK Students'!B:B) = TRIM(A1077)),
  """"
)"),"#REF!")</f>
        <v>#REF!</v>
      </c>
      <c r="AB1077" s="4" t="str">
        <f>IFERROR(__xludf.DUMMYFUNCTION("IFERROR(
  FILTER('CBK Students'!Q:Q, TRIM('CBK Students'!B:B) = TRIM(A1077)),
  """"
)"),"#REF!")</f>
        <v>#REF!</v>
      </c>
    </row>
    <row r="1078" ht="18.75" customHeight="1">
      <c r="T1078" s="240" t="str">
        <f>IFERROR(__xludf.DUMMYFUNCTION("IFERROR(
  FILTER('CBK Students'!F:F, TRIM('CBK Students'!B:B) = TRIM(A1078)),
  """"
)"),"#REF!")</f>
        <v>#REF!</v>
      </c>
      <c r="U1078" s="240" t="str">
        <f>IFERROR(__xludf.DUMMYFUNCTION("IFERROR(
  FILTER('CBK Students'!H:H, TRIM('CBK Students'!B:B) = TRIM(A1078)),
  """"
)"),"#REF!")</f>
        <v>#REF!</v>
      </c>
      <c r="V1078" s="240" t="str">
        <f>IFERROR(__xludf.DUMMYFUNCTION("IFERROR(
  FILTER('CBK Students'!M:M, TRIM('CBK Students'!B:B) = TRIM(A1078)),
  """"
)"),"#REF!")</f>
        <v>#REF!</v>
      </c>
      <c r="W1078" s="240" t="str">
        <f t="shared" si="1"/>
        <v/>
      </c>
      <c r="X1078" s="240" t="str">
        <f>IFERROR(__xludf.DUMMYFUNCTION("IFERROR(
  FILTER('CBK Students'!R:R, TRIM('CBK Students'!B:B) = TRIM(A1078)),
  """"
)"),"#REF!")</f>
        <v>#REF!</v>
      </c>
      <c r="Y1078" s="4" t="str">
        <f t="shared" si="2"/>
        <v/>
      </c>
      <c r="Z1078" s="4" t="str">
        <f>IFERROR(__xludf.DUMMYFUNCTION("IFERROR(
  FILTER('CBK Students'!O:O, TRIM('CBK Students'!B:B) = TRIM(A1078)),
  """"
)"),"#REF!")</f>
        <v>#REF!</v>
      </c>
      <c r="AA1078" s="4" t="str">
        <f>IFERROR(__xludf.DUMMYFUNCTION("IFERROR(
  FILTER('CBK Students'!P:P, TRIM('CBK Students'!B:B) = TRIM(A1078)),
  """"
)"),"#REF!")</f>
        <v>#REF!</v>
      </c>
      <c r="AB1078" s="4" t="str">
        <f>IFERROR(__xludf.DUMMYFUNCTION("IFERROR(
  FILTER('CBK Students'!Q:Q, TRIM('CBK Students'!B:B) = TRIM(A1078)),
  """"
)"),"#REF!")</f>
        <v>#REF!</v>
      </c>
    </row>
    <row r="1079" ht="18.75" customHeight="1">
      <c r="T1079" s="240" t="str">
        <f>IFERROR(__xludf.DUMMYFUNCTION("IFERROR(
  FILTER('CBK Students'!F:F, TRIM('CBK Students'!B:B) = TRIM(A1079)),
  """"
)"),"#REF!")</f>
        <v>#REF!</v>
      </c>
      <c r="U1079" s="240" t="str">
        <f>IFERROR(__xludf.DUMMYFUNCTION("IFERROR(
  FILTER('CBK Students'!H:H, TRIM('CBK Students'!B:B) = TRIM(A1079)),
  """"
)"),"#REF!")</f>
        <v>#REF!</v>
      </c>
      <c r="V1079" s="240" t="str">
        <f>IFERROR(__xludf.DUMMYFUNCTION("IFERROR(
  FILTER('CBK Students'!M:M, TRIM('CBK Students'!B:B) = TRIM(A1079)),
  """"
)"),"#REF!")</f>
        <v>#REF!</v>
      </c>
      <c r="W1079" s="240" t="str">
        <f t="shared" si="1"/>
        <v/>
      </c>
      <c r="X1079" s="240" t="str">
        <f>IFERROR(__xludf.DUMMYFUNCTION("IFERROR(
  FILTER('CBK Students'!R:R, TRIM('CBK Students'!B:B) = TRIM(A1079)),
  """"
)"),"#REF!")</f>
        <v>#REF!</v>
      </c>
      <c r="Y1079" s="4" t="str">
        <f t="shared" si="2"/>
        <v/>
      </c>
      <c r="Z1079" s="4" t="str">
        <f>IFERROR(__xludf.DUMMYFUNCTION("IFERROR(
  FILTER('CBK Students'!O:O, TRIM('CBK Students'!B:B) = TRIM(A1079)),
  """"
)"),"#REF!")</f>
        <v>#REF!</v>
      </c>
      <c r="AA1079" s="4" t="str">
        <f>IFERROR(__xludf.DUMMYFUNCTION("IFERROR(
  FILTER('CBK Students'!P:P, TRIM('CBK Students'!B:B) = TRIM(A1079)),
  """"
)"),"#REF!")</f>
        <v>#REF!</v>
      </c>
      <c r="AB1079" s="4" t="str">
        <f>IFERROR(__xludf.DUMMYFUNCTION("IFERROR(
  FILTER('CBK Students'!Q:Q, TRIM('CBK Students'!B:B) = TRIM(A1079)),
  """"
)"),"#REF!")</f>
        <v>#REF!</v>
      </c>
    </row>
    <row r="1080" ht="18.75" customHeight="1">
      <c r="T1080" s="240" t="str">
        <f>IFERROR(__xludf.DUMMYFUNCTION("IFERROR(
  FILTER('CBK Students'!F:F, TRIM('CBK Students'!B:B) = TRIM(A1080)),
  """"
)"),"#REF!")</f>
        <v>#REF!</v>
      </c>
      <c r="U1080" s="240" t="str">
        <f>IFERROR(__xludf.DUMMYFUNCTION("IFERROR(
  FILTER('CBK Students'!H:H, TRIM('CBK Students'!B:B) = TRIM(A1080)),
  """"
)"),"#REF!")</f>
        <v>#REF!</v>
      </c>
      <c r="V1080" s="240" t="str">
        <f>IFERROR(__xludf.DUMMYFUNCTION("IFERROR(
  FILTER('CBK Students'!M:M, TRIM('CBK Students'!B:B) = TRIM(A1080)),
  """"
)"),"#REF!")</f>
        <v>#REF!</v>
      </c>
      <c r="W1080" s="240" t="str">
        <f t="shared" si="1"/>
        <v/>
      </c>
      <c r="X1080" s="240" t="str">
        <f>IFERROR(__xludf.DUMMYFUNCTION("IFERROR(
  FILTER('CBK Students'!R:R, TRIM('CBK Students'!B:B) = TRIM(A1080)),
  """"
)"),"#REF!")</f>
        <v>#REF!</v>
      </c>
      <c r="Y1080" s="4" t="str">
        <f t="shared" si="2"/>
        <v/>
      </c>
      <c r="Z1080" s="4" t="str">
        <f>IFERROR(__xludf.DUMMYFUNCTION("IFERROR(
  FILTER('CBK Students'!O:O, TRIM('CBK Students'!B:B) = TRIM(A1080)),
  """"
)"),"#REF!")</f>
        <v>#REF!</v>
      </c>
      <c r="AA1080" s="4" t="str">
        <f>IFERROR(__xludf.DUMMYFUNCTION("IFERROR(
  FILTER('CBK Students'!P:P, TRIM('CBK Students'!B:B) = TRIM(A1080)),
  """"
)"),"#REF!")</f>
        <v>#REF!</v>
      </c>
      <c r="AB1080" s="4" t="str">
        <f>IFERROR(__xludf.DUMMYFUNCTION("IFERROR(
  FILTER('CBK Students'!Q:Q, TRIM('CBK Students'!B:B) = TRIM(A1080)),
  """"
)"),"#REF!")</f>
        <v>#REF!</v>
      </c>
    </row>
    <row r="1081" ht="18.75" customHeight="1">
      <c r="T1081" s="240" t="str">
        <f>IFERROR(__xludf.DUMMYFUNCTION("IFERROR(
  FILTER('CBK Students'!F:F, TRIM('CBK Students'!B:B) = TRIM(A1081)),
  """"
)"),"#REF!")</f>
        <v>#REF!</v>
      </c>
      <c r="U1081" s="240" t="str">
        <f>IFERROR(__xludf.DUMMYFUNCTION("IFERROR(
  FILTER('CBK Students'!H:H, TRIM('CBK Students'!B:B) = TRIM(A1081)),
  """"
)"),"#REF!")</f>
        <v>#REF!</v>
      </c>
      <c r="V1081" s="240" t="str">
        <f>IFERROR(__xludf.DUMMYFUNCTION("IFERROR(
  FILTER('CBK Students'!M:M, TRIM('CBK Students'!B:B) = TRIM(A1081)),
  """"
)"),"#REF!")</f>
        <v>#REF!</v>
      </c>
      <c r="W1081" s="240" t="str">
        <f t="shared" si="1"/>
        <v/>
      </c>
      <c r="X1081" s="240" t="str">
        <f>IFERROR(__xludf.DUMMYFUNCTION("IFERROR(
  FILTER('CBK Students'!R:R, TRIM('CBK Students'!B:B) = TRIM(A1081)),
  """"
)"),"#REF!")</f>
        <v>#REF!</v>
      </c>
      <c r="Y1081" s="4" t="str">
        <f t="shared" si="2"/>
        <v/>
      </c>
      <c r="Z1081" s="4" t="str">
        <f>IFERROR(__xludf.DUMMYFUNCTION("IFERROR(
  FILTER('CBK Students'!O:O, TRIM('CBK Students'!B:B) = TRIM(A1081)),
  """"
)"),"#REF!")</f>
        <v>#REF!</v>
      </c>
      <c r="AA1081" s="4" t="str">
        <f>IFERROR(__xludf.DUMMYFUNCTION("IFERROR(
  FILTER('CBK Students'!P:P, TRIM('CBK Students'!B:B) = TRIM(A1081)),
  """"
)"),"#REF!")</f>
        <v>#REF!</v>
      </c>
      <c r="AB1081" s="4" t="str">
        <f>IFERROR(__xludf.DUMMYFUNCTION("IFERROR(
  FILTER('CBK Students'!Q:Q, TRIM('CBK Students'!B:B) = TRIM(A1081)),
  """"
)"),"#REF!")</f>
        <v>#REF!</v>
      </c>
    </row>
    <row r="1082" ht="18.75" customHeight="1">
      <c r="T1082" s="240" t="str">
        <f>IFERROR(__xludf.DUMMYFUNCTION("IFERROR(
  FILTER('CBK Students'!F:F, TRIM('CBK Students'!B:B) = TRIM(A1082)),
  """"
)"),"#REF!")</f>
        <v>#REF!</v>
      </c>
      <c r="U1082" s="240" t="str">
        <f>IFERROR(__xludf.DUMMYFUNCTION("IFERROR(
  FILTER('CBK Students'!H:H, TRIM('CBK Students'!B:B) = TRIM(A1082)),
  """"
)"),"#REF!")</f>
        <v>#REF!</v>
      </c>
      <c r="V1082" s="240" t="str">
        <f>IFERROR(__xludf.DUMMYFUNCTION("IFERROR(
  FILTER('CBK Students'!M:M, TRIM('CBK Students'!B:B) = TRIM(A1082)),
  """"
)"),"#REF!")</f>
        <v>#REF!</v>
      </c>
      <c r="W1082" s="240" t="str">
        <f t="shared" si="1"/>
        <v/>
      </c>
      <c r="X1082" s="240" t="str">
        <f>IFERROR(__xludf.DUMMYFUNCTION("IFERROR(
  FILTER('CBK Students'!R:R, TRIM('CBK Students'!B:B) = TRIM(A1082)),
  """"
)"),"#REF!")</f>
        <v>#REF!</v>
      </c>
      <c r="Y1082" s="4" t="str">
        <f t="shared" si="2"/>
        <v/>
      </c>
      <c r="Z1082" s="4" t="str">
        <f>IFERROR(__xludf.DUMMYFUNCTION("IFERROR(
  FILTER('CBK Students'!O:O, TRIM('CBK Students'!B:B) = TRIM(A1082)),
  """"
)"),"#REF!")</f>
        <v>#REF!</v>
      </c>
      <c r="AA1082" s="4" t="str">
        <f>IFERROR(__xludf.DUMMYFUNCTION("IFERROR(
  FILTER('CBK Students'!P:P, TRIM('CBK Students'!B:B) = TRIM(A1082)),
  """"
)"),"#REF!")</f>
        <v>#REF!</v>
      </c>
      <c r="AB1082" s="4" t="str">
        <f>IFERROR(__xludf.DUMMYFUNCTION("IFERROR(
  FILTER('CBK Students'!Q:Q, TRIM('CBK Students'!B:B) = TRIM(A1082)),
  """"
)"),"#REF!")</f>
        <v>#REF!</v>
      </c>
    </row>
    <row r="1083" ht="18.75" customHeight="1">
      <c r="T1083" s="240" t="str">
        <f>IFERROR(__xludf.DUMMYFUNCTION("IFERROR(
  FILTER('CBK Students'!F:F, TRIM('CBK Students'!B:B) = TRIM(A1083)),
  """"
)"),"#REF!")</f>
        <v>#REF!</v>
      </c>
      <c r="U1083" s="240" t="str">
        <f>IFERROR(__xludf.DUMMYFUNCTION("IFERROR(
  FILTER('CBK Students'!H:H, TRIM('CBK Students'!B:B) = TRIM(A1083)),
  """"
)"),"#REF!")</f>
        <v>#REF!</v>
      </c>
      <c r="V1083" s="240" t="str">
        <f>IFERROR(__xludf.DUMMYFUNCTION("IFERROR(
  FILTER('CBK Students'!M:M, TRIM('CBK Students'!B:B) = TRIM(A1083)),
  """"
)"),"#REF!")</f>
        <v>#REF!</v>
      </c>
      <c r="W1083" s="240" t="str">
        <f t="shared" si="1"/>
        <v/>
      </c>
      <c r="X1083" s="240" t="str">
        <f>IFERROR(__xludf.DUMMYFUNCTION("IFERROR(
  FILTER('CBK Students'!R:R, TRIM('CBK Students'!B:B) = TRIM(A1083)),
  """"
)"),"#REF!")</f>
        <v>#REF!</v>
      </c>
      <c r="Y1083" s="4" t="str">
        <f t="shared" si="2"/>
        <v/>
      </c>
      <c r="Z1083" s="4" t="str">
        <f>IFERROR(__xludf.DUMMYFUNCTION("IFERROR(
  FILTER('CBK Students'!O:O, TRIM('CBK Students'!B:B) = TRIM(A1083)),
  """"
)"),"#REF!")</f>
        <v>#REF!</v>
      </c>
      <c r="AA1083" s="4" t="str">
        <f>IFERROR(__xludf.DUMMYFUNCTION("IFERROR(
  FILTER('CBK Students'!P:P, TRIM('CBK Students'!B:B) = TRIM(A1083)),
  """"
)"),"#REF!")</f>
        <v>#REF!</v>
      </c>
      <c r="AB1083" s="4" t="str">
        <f>IFERROR(__xludf.DUMMYFUNCTION("IFERROR(
  FILTER('CBK Students'!Q:Q, TRIM('CBK Students'!B:B) = TRIM(A1083)),
  """"
)"),"#REF!")</f>
        <v>#REF!</v>
      </c>
    </row>
    <row r="1084" ht="18.75" customHeight="1">
      <c r="T1084" s="240" t="str">
        <f>IFERROR(__xludf.DUMMYFUNCTION("IFERROR(
  FILTER('CBK Students'!F:F, TRIM('CBK Students'!B:B) = TRIM(A1084)),
  """"
)"),"#REF!")</f>
        <v>#REF!</v>
      </c>
      <c r="U1084" s="240" t="str">
        <f>IFERROR(__xludf.DUMMYFUNCTION("IFERROR(
  FILTER('CBK Students'!H:H, TRIM('CBK Students'!B:B) = TRIM(A1084)),
  """"
)"),"#REF!")</f>
        <v>#REF!</v>
      </c>
      <c r="V1084" s="240" t="str">
        <f>IFERROR(__xludf.DUMMYFUNCTION("IFERROR(
  FILTER('CBK Students'!M:M, TRIM('CBK Students'!B:B) = TRIM(A1084)),
  """"
)"),"#REF!")</f>
        <v>#REF!</v>
      </c>
      <c r="W1084" s="240" t="str">
        <f t="shared" si="1"/>
        <v/>
      </c>
      <c r="X1084" s="240" t="str">
        <f>IFERROR(__xludf.DUMMYFUNCTION("IFERROR(
  FILTER('CBK Students'!R:R, TRIM('CBK Students'!B:B) = TRIM(A1084)),
  """"
)"),"#REF!")</f>
        <v>#REF!</v>
      </c>
      <c r="Y1084" s="4" t="str">
        <f t="shared" si="2"/>
        <v/>
      </c>
      <c r="Z1084" s="4" t="str">
        <f>IFERROR(__xludf.DUMMYFUNCTION("IFERROR(
  FILTER('CBK Students'!O:O, TRIM('CBK Students'!B:B) = TRIM(A1084)),
  """"
)"),"#REF!")</f>
        <v>#REF!</v>
      </c>
      <c r="AA1084" s="4" t="str">
        <f>IFERROR(__xludf.DUMMYFUNCTION("IFERROR(
  FILTER('CBK Students'!P:P, TRIM('CBK Students'!B:B) = TRIM(A1084)),
  """"
)"),"#REF!")</f>
        <v>#REF!</v>
      </c>
      <c r="AB1084" s="4" t="str">
        <f>IFERROR(__xludf.DUMMYFUNCTION("IFERROR(
  FILTER('CBK Students'!Q:Q, TRIM('CBK Students'!B:B) = TRIM(A1084)),
  """"
)"),"#REF!")</f>
        <v>#REF!</v>
      </c>
    </row>
    <row r="1085" ht="18.75" customHeight="1">
      <c r="T1085" s="240" t="str">
        <f>IFERROR(__xludf.DUMMYFUNCTION("IFERROR(
  FILTER('CBK Students'!F:F, TRIM('CBK Students'!B:B) = TRIM(A1085)),
  """"
)"),"#REF!")</f>
        <v>#REF!</v>
      </c>
      <c r="U1085" s="240" t="str">
        <f>IFERROR(__xludf.DUMMYFUNCTION("IFERROR(
  FILTER('CBK Students'!H:H, TRIM('CBK Students'!B:B) = TRIM(A1085)),
  """"
)"),"#REF!")</f>
        <v>#REF!</v>
      </c>
      <c r="V1085" s="240" t="str">
        <f>IFERROR(__xludf.DUMMYFUNCTION("IFERROR(
  FILTER('CBK Students'!M:M, TRIM('CBK Students'!B:B) = TRIM(A1085)),
  """"
)"),"#REF!")</f>
        <v>#REF!</v>
      </c>
      <c r="W1085" s="240" t="str">
        <f t="shared" si="1"/>
        <v/>
      </c>
      <c r="X1085" s="240" t="str">
        <f>IFERROR(__xludf.DUMMYFUNCTION("IFERROR(
  FILTER('CBK Students'!R:R, TRIM('CBK Students'!B:B) = TRIM(A1085)),
  """"
)"),"#REF!")</f>
        <v>#REF!</v>
      </c>
      <c r="Y1085" s="4" t="str">
        <f t="shared" si="2"/>
        <v/>
      </c>
      <c r="Z1085" s="4" t="str">
        <f>IFERROR(__xludf.DUMMYFUNCTION("IFERROR(
  FILTER('CBK Students'!O:O, TRIM('CBK Students'!B:B) = TRIM(A1085)),
  """"
)"),"#REF!")</f>
        <v>#REF!</v>
      </c>
      <c r="AA1085" s="4" t="str">
        <f>IFERROR(__xludf.DUMMYFUNCTION("IFERROR(
  FILTER('CBK Students'!P:P, TRIM('CBK Students'!B:B) = TRIM(A1085)),
  """"
)"),"#REF!")</f>
        <v>#REF!</v>
      </c>
      <c r="AB1085" s="4" t="str">
        <f>IFERROR(__xludf.DUMMYFUNCTION("IFERROR(
  FILTER('CBK Students'!Q:Q, TRIM('CBK Students'!B:B) = TRIM(A1085)),
  """"
)"),"#REF!")</f>
        <v>#REF!</v>
      </c>
    </row>
    <row r="1086" ht="18.75" customHeight="1">
      <c r="T1086" s="240" t="str">
        <f>IFERROR(__xludf.DUMMYFUNCTION("IFERROR(
  FILTER('CBK Students'!F:F, TRIM('CBK Students'!B:B) = TRIM(A1086)),
  """"
)"),"#REF!")</f>
        <v>#REF!</v>
      </c>
      <c r="U1086" s="240" t="str">
        <f>IFERROR(__xludf.DUMMYFUNCTION("IFERROR(
  FILTER('CBK Students'!H:H, TRIM('CBK Students'!B:B) = TRIM(A1086)),
  """"
)"),"#REF!")</f>
        <v>#REF!</v>
      </c>
      <c r="V1086" s="240" t="str">
        <f>IFERROR(__xludf.DUMMYFUNCTION("IFERROR(
  FILTER('CBK Students'!M:M, TRIM('CBK Students'!B:B) = TRIM(A1086)),
  """"
)"),"#REF!")</f>
        <v>#REF!</v>
      </c>
      <c r="W1086" s="240" t="str">
        <f t="shared" si="1"/>
        <v/>
      </c>
      <c r="X1086" s="240" t="str">
        <f>IFERROR(__xludf.DUMMYFUNCTION("IFERROR(
  FILTER('CBK Students'!R:R, TRIM('CBK Students'!B:B) = TRIM(A1086)),
  """"
)"),"#REF!")</f>
        <v>#REF!</v>
      </c>
      <c r="Y1086" s="4" t="str">
        <f t="shared" si="2"/>
        <v/>
      </c>
      <c r="Z1086" s="4" t="str">
        <f>IFERROR(__xludf.DUMMYFUNCTION("IFERROR(
  FILTER('CBK Students'!O:O, TRIM('CBK Students'!B:B) = TRIM(A1086)),
  """"
)"),"#REF!")</f>
        <v>#REF!</v>
      </c>
      <c r="AA1086" s="4" t="str">
        <f>IFERROR(__xludf.DUMMYFUNCTION("IFERROR(
  FILTER('CBK Students'!P:P, TRIM('CBK Students'!B:B) = TRIM(A1086)),
  """"
)"),"#REF!")</f>
        <v>#REF!</v>
      </c>
      <c r="AB1086" s="4" t="str">
        <f>IFERROR(__xludf.DUMMYFUNCTION("IFERROR(
  FILTER('CBK Students'!Q:Q, TRIM('CBK Students'!B:B) = TRIM(A1086)),
  """"
)"),"#REF!")</f>
        <v>#REF!</v>
      </c>
    </row>
    <row r="1087" ht="18.75" customHeight="1">
      <c r="T1087" s="240" t="str">
        <f>IFERROR(__xludf.DUMMYFUNCTION("IFERROR(
  FILTER('CBK Students'!F:F, TRIM('CBK Students'!B:B) = TRIM(A1087)),
  """"
)"),"#REF!")</f>
        <v>#REF!</v>
      </c>
      <c r="U1087" s="240" t="str">
        <f>IFERROR(__xludf.DUMMYFUNCTION("IFERROR(
  FILTER('CBK Students'!H:H, TRIM('CBK Students'!B:B) = TRIM(A1087)),
  """"
)"),"#REF!")</f>
        <v>#REF!</v>
      </c>
      <c r="V1087" s="240" t="str">
        <f>IFERROR(__xludf.DUMMYFUNCTION("IFERROR(
  FILTER('CBK Students'!M:M, TRIM('CBK Students'!B:B) = TRIM(A1087)),
  """"
)"),"#REF!")</f>
        <v>#REF!</v>
      </c>
      <c r="W1087" s="240" t="str">
        <f t="shared" si="1"/>
        <v/>
      </c>
      <c r="X1087" s="240" t="str">
        <f>IFERROR(__xludf.DUMMYFUNCTION("IFERROR(
  FILTER('CBK Students'!R:R, TRIM('CBK Students'!B:B) = TRIM(A1087)),
  """"
)"),"#REF!")</f>
        <v>#REF!</v>
      </c>
      <c r="Y1087" s="4" t="str">
        <f t="shared" si="2"/>
        <v/>
      </c>
      <c r="Z1087" s="4" t="str">
        <f>IFERROR(__xludf.DUMMYFUNCTION("IFERROR(
  FILTER('CBK Students'!O:O, TRIM('CBK Students'!B:B) = TRIM(A1087)),
  """"
)"),"#REF!")</f>
        <v>#REF!</v>
      </c>
      <c r="AA1087" s="4" t="str">
        <f>IFERROR(__xludf.DUMMYFUNCTION("IFERROR(
  FILTER('CBK Students'!P:P, TRIM('CBK Students'!B:B) = TRIM(A1087)),
  """"
)"),"#REF!")</f>
        <v>#REF!</v>
      </c>
      <c r="AB1087" s="4" t="str">
        <f>IFERROR(__xludf.DUMMYFUNCTION("IFERROR(
  FILTER('CBK Students'!Q:Q, TRIM('CBK Students'!B:B) = TRIM(A1087)),
  """"
)"),"#REF!")</f>
        <v>#REF!</v>
      </c>
    </row>
    <row r="1088" ht="18.75" customHeight="1">
      <c r="T1088" s="240" t="str">
        <f>IFERROR(__xludf.DUMMYFUNCTION("IFERROR(
  FILTER('CBK Students'!F:F, TRIM('CBK Students'!B:B) = TRIM(A1088)),
  """"
)"),"#REF!")</f>
        <v>#REF!</v>
      </c>
      <c r="U1088" s="240" t="str">
        <f>IFERROR(__xludf.DUMMYFUNCTION("IFERROR(
  FILTER('CBK Students'!H:H, TRIM('CBK Students'!B:B) = TRIM(A1088)),
  """"
)"),"#REF!")</f>
        <v>#REF!</v>
      </c>
      <c r="V1088" s="240" t="str">
        <f>IFERROR(__xludf.DUMMYFUNCTION("IFERROR(
  FILTER('CBK Students'!M:M, TRIM('CBK Students'!B:B) = TRIM(A1088)),
  """"
)"),"#REF!")</f>
        <v>#REF!</v>
      </c>
      <c r="W1088" s="240" t="str">
        <f t="shared" si="1"/>
        <v/>
      </c>
      <c r="X1088" s="240" t="str">
        <f>IFERROR(__xludf.DUMMYFUNCTION("IFERROR(
  FILTER('CBK Students'!R:R, TRIM('CBK Students'!B:B) = TRIM(A1088)),
  """"
)"),"#REF!")</f>
        <v>#REF!</v>
      </c>
      <c r="Y1088" s="4" t="str">
        <f t="shared" si="2"/>
        <v/>
      </c>
      <c r="Z1088" s="4" t="str">
        <f>IFERROR(__xludf.DUMMYFUNCTION("IFERROR(
  FILTER('CBK Students'!O:O, TRIM('CBK Students'!B:B) = TRIM(A1088)),
  """"
)"),"#REF!")</f>
        <v>#REF!</v>
      </c>
      <c r="AA1088" s="4" t="str">
        <f>IFERROR(__xludf.DUMMYFUNCTION("IFERROR(
  FILTER('CBK Students'!P:P, TRIM('CBK Students'!B:B) = TRIM(A1088)),
  """"
)"),"#REF!")</f>
        <v>#REF!</v>
      </c>
      <c r="AB1088" s="4" t="str">
        <f>IFERROR(__xludf.DUMMYFUNCTION("IFERROR(
  FILTER('CBK Students'!Q:Q, TRIM('CBK Students'!B:B) = TRIM(A1088)),
  """"
)"),"#REF!")</f>
        <v>#REF!</v>
      </c>
    </row>
    <row r="1089" ht="18.75" customHeight="1">
      <c r="T1089" s="240" t="str">
        <f>IFERROR(__xludf.DUMMYFUNCTION("IFERROR(
  FILTER('CBK Students'!F:F, TRIM('CBK Students'!B:B) = TRIM(A1089)),
  """"
)"),"#REF!")</f>
        <v>#REF!</v>
      </c>
      <c r="U1089" s="240" t="str">
        <f>IFERROR(__xludf.DUMMYFUNCTION("IFERROR(
  FILTER('CBK Students'!H:H, TRIM('CBK Students'!B:B) = TRIM(A1089)),
  """"
)"),"#REF!")</f>
        <v>#REF!</v>
      </c>
      <c r="V1089" s="240" t="str">
        <f>IFERROR(__xludf.DUMMYFUNCTION("IFERROR(
  FILTER('CBK Students'!M:M, TRIM('CBK Students'!B:B) = TRIM(A1089)),
  """"
)"),"#REF!")</f>
        <v>#REF!</v>
      </c>
      <c r="W1089" s="240" t="str">
        <f t="shared" si="1"/>
        <v/>
      </c>
      <c r="X1089" s="240" t="str">
        <f>IFERROR(__xludf.DUMMYFUNCTION("IFERROR(
  FILTER('CBK Students'!R:R, TRIM('CBK Students'!B:B) = TRIM(A1089)),
  """"
)"),"#REF!")</f>
        <v>#REF!</v>
      </c>
      <c r="Y1089" s="4" t="str">
        <f t="shared" si="2"/>
        <v/>
      </c>
      <c r="Z1089" s="4" t="str">
        <f>IFERROR(__xludf.DUMMYFUNCTION("IFERROR(
  FILTER('CBK Students'!O:O, TRIM('CBK Students'!B:B) = TRIM(A1089)),
  """"
)"),"#REF!")</f>
        <v>#REF!</v>
      </c>
      <c r="AA1089" s="4" t="str">
        <f>IFERROR(__xludf.DUMMYFUNCTION("IFERROR(
  FILTER('CBK Students'!P:P, TRIM('CBK Students'!B:B) = TRIM(A1089)),
  """"
)"),"#REF!")</f>
        <v>#REF!</v>
      </c>
      <c r="AB1089" s="4" t="str">
        <f>IFERROR(__xludf.DUMMYFUNCTION("IFERROR(
  FILTER('CBK Students'!Q:Q, TRIM('CBK Students'!B:B) = TRIM(A1089)),
  """"
)"),"#REF!")</f>
        <v>#REF!</v>
      </c>
    </row>
    <row r="1090" ht="18.75" customHeight="1">
      <c r="T1090" s="240" t="str">
        <f>IFERROR(__xludf.DUMMYFUNCTION("IFERROR(
  FILTER('CBK Students'!F:F, TRIM('CBK Students'!B:B) = TRIM(A1090)),
  """"
)"),"#REF!")</f>
        <v>#REF!</v>
      </c>
      <c r="U1090" s="240" t="str">
        <f>IFERROR(__xludf.DUMMYFUNCTION("IFERROR(
  FILTER('CBK Students'!H:H, TRIM('CBK Students'!B:B) = TRIM(A1090)),
  """"
)"),"#REF!")</f>
        <v>#REF!</v>
      </c>
      <c r="V1090" s="240" t="str">
        <f>IFERROR(__xludf.DUMMYFUNCTION("IFERROR(
  FILTER('CBK Students'!M:M, TRIM('CBK Students'!B:B) = TRIM(A1090)),
  """"
)"),"#REF!")</f>
        <v>#REF!</v>
      </c>
      <c r="W1090" s="240" t="str">
        <f t="shared" si="1"/>
        <v/>
      </c>
      <c r="X1090" s="240" t="str">
        <f>IFERROR(__xludf.DUMMYFUNCTION("IFERROR(
  FILTER('CBK Students'!R:R, TRIM('CBK Students'!B:B) = TRIM(A1090)),
  """"
)"),"#REF!")</f>
        <v>#REF!</v>
      </c>
      <c r="Y1090" s="4" t="str">
        <f t="shared" si="2"/>
        <v/>
      </c>
      <c r="Z1090" s="4" t="str">
        <f>IFERROR(__xludf.DUMMYFUNCTION("IFERROR(
  FILTER('CBK Students'!O:O, TRIM('CBK Students'!B:B) = TRIM(A1090)),
  """"
)"),"#REF!")</f>
        <v>#REF!</v>
      </c>
      <c r="AA1090" s="4" t="str">
        <f>IFERROR(__xludf.DUMMYFUNCTION("IFERROR(
  FILTER('CBK Students'!P:P, TRIM('CBK Students'!B:B) = TRIM(A1090)),
  """"
)"),"#REF!")</f>
        <v>#REF!</v>
      </c>
      <c r="AB1090" s="4" t="str">
        <f>IFERROR(__xludf.DUMMYFUNCTION("IFERROR(
  FILTER('CBK Students'!Q:Q, TRIM('CBK Students'!B:B) = TRIM(A1090)),
  """"
)"),"#REF!")</f>
        <v>#REF!</v>
      </c>
    </row>
    <row r="1091" ht="18.75" customHeight="1">
      <c r="T1091" s="240" t="str">
        <f>IFERROR(__xludf.DUMMYFUNCTION("IFERROR(
  FILTER('CBK Students'!F:F, TRIM('CBK Students'!B:B) = TRIM(A1091)),
  """"
)"),"#REF!")</f>
        <v>#REF!</v>
      </c>
      <c r="U1091" s="240" t="str">
        <f>IFERROR(__xludf.DUMMYFUNCTION("IFERROR(
  FILTER('CBK Students'!H:H, TRIM('CBK Students'!B:B) = TRIM(A1091)),
  """"
)"),"#REF!")</f>
        <v>#REF!</v>
      </c>
      <c r="V1091" s="240" t="str">
        <f>IFERROR(__xludf.DUMMYFUNCTION("IFERROR(
  FILTER('CBK Students'!M:M, TRIM('CBK Students'!B:B) = TRIM(A1091)),
  """"
)"),"#REF!")</f>
        <v>#REF!</v>
      </c>
      <c r="W1091" s="240" t="str">
        <f t="shared" si="1"/>
        <v/>
      </c>
      <c r="X1091" s="240" t="str">
        <f>IFERROR(__xludf.DUMMYFUNCTION("IFERROR(
  FILTER('CBK Students'!R:R, TRIM('CBK Students'!B:B) = TRIM(A1091)),
  """"
)"),"#REF!")</f>
        <v>#REF!</v>
      </c>
      <c r="Y1091" s="4" t="str">
        <f t="shared" si="2"/>
        <v/>
      </c>
      <c r="Z1091" s="4" t="str">
        <f>IFERROR(__xludf.DUMMYFUNCTION("IFERROR(
  FILTER('CBK Students'!O:O, TRIM('CBK Students'!B:B) = TRIM(A1091)),
  """"
)"),"#REF!")</f>
        <v>#REF!</v>
      </c>
      <c r="AA1091" s="4" t="str">
        <f>IFERROR(__xludf.DUMMYFUNCTION("IFERROR(
  FILTER('CBK Students'!P:P, TRIM('CBK Students'!B:B) = TRIM(A1091)),
  """"
)"),"#REF!")</f>
        <v>#REF!</v>
      </c>
      <c r="AB1091" s="4" t="str">
        <f>IFERROR(__xludf.DUMMYFUNCTION("IFERROR(
  FILTER('CBK Students'!Q:Q, TRIM('CBK Students'!B:B) = TRIM(A1091)),
  """"
)"),"#REF!")</f>
        <v>#REF!</v>
      </c>
    </row>
    <row r="1092" ht="18.75" customHeight="1">
      <c r="T1092" s="240" t="str">
        <f>IFERROR(__xludf.DUMMYFUNCTION("IFERROR(
  FILTER('CBK Students'!F:F, TRIM('CBK Students'!B:B) = TRIM(A1092)),
  """"
)"),"#REF!")</f>
        <v>#REF!</v>
      </c>
      <c r="U1092" s="240" t="str">
        <f>IFERROR(__xludf.DUMMYFUNCTION("IFERROR(
  FILTER('CBK Students'!H:H, TRIM('CBK Students'!B:B) = TRIM(A1092)),
  """"
)"),"#REF!")</f>
        <v>#REF!</v>
      </c>
      <c r="V1092" s="240" t="str">
        <f>IFERROR(__xludf.DUMMYFUNCTION("IFERROR(
  FILTER('CBK Students'!M:M, TRIM('CBK Students'!B:B) = TRIM(A1092)),
  """"
)"),"#REF!")</f>
        <v>#REF!</v>
      </c>
      <c r="W1092" s="240" t="str">
        <f t="shared" si="1"/>
        <v/>
      </c>
      <c r="X1092" s="240" t="str">
        <f>IFERROR(__xludf.DUMMYFUNCTION("IFERROR(
  FILTER('CBK Students'!R:R, TRIM('CBK Students'!B:B) = TRIM(A1092)),
  """"
)"),"#REF!")</f>
        <v>#REF!</v>
      </c>
      <c r="Y1092" s="4" t="str">
        <f t="shared" si="2"/>
        <v/>
      </c>
      <c r="Z1092" s="4" t="str">
        <f>IFERROR(__xludf.DUMMYFUNCTION("IFERROR(
  FILTER('CBK Students'!O:O, TRIM('CBK Students'!B:B) = TRIM(A1092)),
  """"
)"),"#REF!")</f>
        <v>#REF!</v>
      </c>
      <c r="AA1092" s="4" t="str">
        <f>IFERROR(__xludf.DUMMYFUNCTION("IFERROR(
  FILTER('CBK Students'!P:P, TRIM('CBK Students'!B:B) = TRIM(A1092)),
  """"
)"),"#REF!")</f>
        <v>#REF!</v>
      </c>
      <c r="AB1092" s="4" t="str">
        <f>IFERROR(__xludf.DUMMYFUNCTION("IFERROR(
  FILTER('CBK Students'!Q:Q, TRIM('CBK Students'!B:B) = TRIM(A1092)),
  """"
)"),"#REF!")</f>
        <v>#REF!</v>
      </c>
    </row>
    <row r="1093" ht="18.75" customHeight="1">
      <c r="T1093" s="240" t="str">
        <f>IFERROR(__xludf.DUMMYFUNCTION("IFERROR(
  FILTER('CBK Students'!F:F, TRIM('CBK Students'!B:B) = TRIM(A1093)),
  """"
)"),"#REF!")</f>
        <v>#REF!</v>
      </c>
      <c r="U1093" s="240" t="str">
        <f>IFERROR(__xludf.DUMMYFUNCTION("IFERROR(
  FILTER('CBK Students'!H:H, TRIM('CBK Students'!B:B) = TRIM(A1093)),
  """"
)"),"#REF!")</f>
        <v>#REF!</v>
      </c>
      <c r="V1093" s="240" t="str">
        <f>IFERROR(__xludf.DUMMYFUNCTION("IFERROR(
  FILTER('CBK Students'!M:M, TRIM('CBK Students'!B:B) = TRIM(A1093)),
  """"
)"),"#REF!")</f>
        <v>#REF!</v>
      </c>
      <c r="W1093" s="240" t="str">
        <f t="shared" si="1"/>
        <v/>
      </c>
      <c r="X1093" s="240" t="str">
        <f>IFERROR(__xludf.DUMMYFUNCTION("IFERROR(
  FILTER('CBK Students'!R:R, TRIM('CBK Students'!B:B) = TRIM(A1093)),
  """"
)"),"#REF!")</f>
        <v>#REF!</v>
      </c>
      <c r="Y1093" s="4" t="str">
        <f t="shared" si="2"/>
        <v/>
      </c>
      <c r="Z1093" s="4" t="str">
        <f>IFERROR(__xludf.DUMMYFUNCTION("IFERROR(
  FILTER('CBK Students'!O:O, TRIM('CBK Students'!B:B) = TRIM(A1093)),
  """"
)"),"#REF!")</f>
        <v>#REF!</v>
      </c>
      <c r="AA1093" s="4" t="str">
        <f>IFERROR(__xludf.DUMMYFUNCTION("IFERROR(
  FILTER('CBK Students'!P:P, TRIM('CBK Students'!B:B) = TRIM(A1093)),
  """"
)"),"#REF!")</f>
        <v>#REF!</v>
      </c>
      <c r="AB1093" s="4" t="str">
        <f>IFERROR(__xludf.DUMMYFUNCTION("IFERROR(
  FILTER('CBK Students'!Q:Q, TRIM('CBK Students'!B:B) = TRIM(A1093)),
  """"
)"),"#REF!")</f>
        <v>#REF!</v>
      </c>
    </row>
    <row r="1094" ht="18.75" customHeight="1">
      <c r="T1094" s="240" t="str">
        <f>IFERROR(__xludf.DUMMYFUNCTION("IFERROR(
  FILTER('CBK Students'!F:F, TRIM('CBK Students'!B:B) = TRIM(A1094)),
  """"
)"),"#REF!")</f>
        <v>#REF!</v>
      </c>
      <c r="U1094" s="240" t="str">
        <f>IFERROR(__xludf.DUMMYFUNCTION("IFERROR(
  FILTER('CBK Students'!H:H, TRIM('CBK Students'!B:B) = TRIM(A1094)),
  """"
)"),"#REF!")</f>
        <v>#REF!</v>
      </c>
      <c r="V1094" s="240" t="str">
        <f>IFERROR(__xludf.DUMMYFUNCTION("IFERROR(
  FILTER('CBK Students'!M:M, TRIM('CBK Students'!B:B) = TRIM(A1094)),
  """"
)"),"#REF!")</f>
        <v>#REF!</v>
      </c>
      <c r="W1094" s="240" t="str">
        <f t="shared" si="1"/>
        <v/>
      </c>
      <c r="X1094" s="240" t="str">
        <f>IFERROR(__xludf.DUMMYFUNCTION("IFERROR(
  FILTER('CBK Students'!R:R, TRIM('CBK Students'!B:B) = TRIM(A1094)),
  """"
)"),"#REF!")</f>
        <v>#REF!</v>
      </c>
      <c r="Y1094" s="4" t="str">
        <f t="shared" si="2"/>
        <v/>
      </c>
      <c r="Z1094" s="4" t="str">
        <f>IFERROR(__xludf.DUMMYFUNCTION("IFERROR(
  FILTER('CBK Students'!O:O, TRIM('CBK Students'!B:B) = TRIM(A1094)),
  """"
)"),"#REF!")</f>
        <v>#REF!</v>
      </c>
      <c r="AA1094" s="4" t="str">
        <f>IFERROR(__xludf.DUMMYFUNCTION("IFERROR(
  FILTER('CBK Students'!P:P, TRIM('CBK Students'!B:B) = TRIM(A1094)),
  """"
)"),"#REF!")</f>
        <v>#REF!</v>
      </c>
      <c r="AB1094" s="4" t="str">
        <f>IFERROR(__xludf.DUMMYFUNCTION("IFERROR(
  FILTER('CBK Students'!Q:Q, TRIM('CBK Students'!B:B) = TRIM(A1094)),
  """"
)"),"#REF!")</f>
        <v>#REF!</v>
      </c>
    </row>
    <row r="1095" ht="18.75" customHeight="1">
      <c r="T1095" s="240" t="str">
        <f>IFERROR(__xludf.DUMMYFUNCTION("IFERROR(
  FILTER('CBK Students'!F:F, TRIM('CBK Students'!B:B) = TRIM(A1095)),
  """"
)"),"#REF!")</f>
        <v>#REF!</v>
      </c>
      <c r="U1095" s="240" t="str">
        <f>IFERROR(__xludf.DUMMYFUNCTION("IFERROR(
  FILTER('CBK Students'!H:H, TRIM('CBK Students'!B:B) = TRIM(A1095)),
  """"
)"),"#REF!")</f>
        <v>#REF!</v>
      </c>
      <c r="V1095" s="240" t="str">
        <f>IFERROR(__xludf.DUMMYFUNCTION("IFERROR(
  FILTER('CBK Students'!M:M, TRIM('CBK Students'!B:B) = TRIM(A1095)),
  """"
)"),"#REF!")</f>
        <v>#REF!</v>
      </c>
      <c r="W1095" s="240" t="str">
        <f t="shared" si="1"/>
        <v/>
      </c>
      <c r="X1095" s="240" t="str">
        <f>IFERROR(__xludf.DUMMYFUNCTION("IFERROR(
  FILTER('CBK Students'!R:R, TRIM('CBK Students'!B:B) = TRIM(A1095)),
  """"
)"),"#REF!")</f>
        <v>#REF!</v>
      </c>
      <c r="Y1095" s="4" t="str">
        <f t="shared" si="2"/>
        <v/>
      </c>
      <c r="Z1095" s="4" t="str">
        <f>IFERROR(__xludf.DUMMYFUNCTION("IFERROR(
  FILTER('CBK Students'!O:O, TRIM('CBK Students'!B:B) = TRIM(A1095)),
  """"
)"),"#REF!")</f>
        <v>#REF!</v>
      </c>
      <c r="AA1095" s="4" t="str">
        <f>IFERROR(__xludf.DUMMYFUNCTION("IFERROR(
  FILTER('CBK Students'!P:P, TRIM('CBK Students'!B:B) = TRIM(A1095)),
  """"
)"),"#REF!")</f>
        <v>#REF!</v>
      </c>
      <c r="AB1095" s="4" t="str">
        <f>IFERROR(__xludf.DUMMYFUNCTION("IFERROR(
  FILTER('CBK Students'!Q:Q, TRIM('CBK Students'!B:B) = TRIM(A1095)),
  """"
)"),"#REF!")</f>
        <v>#REF!</v>
      </c>
    </row>
    <row r="1096" ht="18.75" customHeight="1">
      <c r="T1096" s="240" t="str">
        <f>IFERROR(__xludf.DUMMYFUNCTION("IFERROR(
  FILTER('CBK Students'!F:F, TRIM('CBK Students'!B:B) = TRIM(A1096)),
  """"
)"),"#REF!")</f>
        <v>#REF!</v>
      </c>
      <c r="U1096" s="240" t="str">
        <f>IFERROR(__xludf.DUMMYFUNCTION("IFERROR(
  FILTER('CBK Students'!H:H, TRIM('CBK Students'!B:B) = TRIM(A1096)),
  """"
)"),"#REF!")</f>
        <v>#REF!</v>
      </c>
      <c r="V1096" s="240" t="str">
        <f>IFERROR(__xludf.DUMMYFUNCTION("IFERROR(
  FILTER('CBK Students'!M:M, TRIM('CBK Students'!B:B) = TRIM(A1096)),
  """"
)"),"#REF!")</f>
        <v>#REF!</v>
      </c>
      <c r="W1096" s="240" t="str">
        <f t="shared" si="1"/>
        <v/>
      </c>
      <c r="X1096" s="240" t="str">
        <f>IFERROR(__xludf.DUMMYFUNCTION("IFERROR(
  FILTER('CBK Students'!R:R, TRIM('CBK Students'!B:B) = TRIM(A1096)),
  """"
)"),"#REF!")</f>
        <v>#REF!</v>
      </c>
      <c r="Y1096" s="4" t="str">
        <f t="shared" si="2"/>
        <v/>
      </c>
      <c r="Z1096" s="4" t="str">
        <f>IFERROR(__xludf.DUMMYFUNCTION("IFERROR(
  FILTER('CBK Students'!O:O, TRIM('CBK Students'!B:B) = TRIM(A1096)),
  """"
)"),"#REF!")</f>
        <v>#REF!</v>
      </c>
      <c r="AA1096" s="4" t="str">
        <f>IFERROR(__xludf.DUMMYFUNCTION("IFERROR(
  FILTER('CBK Students'!P:P, TRIM('CBK Students'!B:B) = TRIM(A1096)),
  """"
)"),"#REF!")</f>
        <v>#REF!</v>
      </c>
      <c r="AB1096" s="4" t="str">
        <f>IFERROR(__xludf.DUMMYFUNCTION("IFERROR(
  FILTER('CBK Students'!Q:Q, TRIM('CBK Students'!B:B) = TRIM(A1096)),
  """"
)"),"#REF!")</f>
        <v>#REF!</v>
      </c>
    </row>
    <row r="1097" ht="18.75" customHeight="1">
      <c r="T1097" s="240" t="str">
        <f>IFERROR(__xludf.DUMMYFUNCTION("IFERROR(
  FILTER('CBK Students'!F:F, TRIM('CBK Students'!B:B) = TRIM(A1097)),
  """"
)"),"#REF!")</f>
        <v>#REF!</v>
      </c>
      <c r="U1097" s="240" t="str">
        <f>IFERROR(__xludf.DUMMYFUNCTION("IFERROR(
  FILTER('CBK Students'!H:H, TRIM('CBK Students'!B:B) = TRIM(A1097)),
  """"
)"),"#REF!")</f>
        <v>#REF!</v>
      </c>
      <c r="V1097" s="240" t="str">
        <f>IFERROR(__xludf.DUMMYFUNCTION("IFERROR(
  FILTER('CBK Students'!M:M, TRIM('CBK Students'!B:B) = TRIM(A1097)),
  """"
)"),"#REF!")</f>
        <v>#REF!</v>
      </c>
      <c r="W1097" s="240" t="str">
        <f t="shared" si="1"/>
        <v/>
      </c>
      <c r="X1097" s="240" t="str">
        <f>IFERROR(__xludf.DUMMYFUNCTION("IFERROR(
  FILTER('CBK Students'!R:R, TRIM('CBK Students'!B:B) = TRIM(A1097)),
  """"
)"),"#REF!")</f>
        <v>#REF!</v>
      </c>
      <c r="Y1097" s="4" t="str">
        <f t="shared" si="2"/>
        <v/>
      </c>
      <c r="Z1097" s="4" t="str">
        <f>IFERROR(__xludf.DUMMYFUNCTION("IFERROR(
  FILTER('CBK Students'!O:O, TRIM('CBK Students'!B:B) = TRIM(A1097)),
  """"
)"),"#REF!")</f>
        <v>#REF!</v>
      </c>
      <c r="AA1097" s="4" t="str">
        <f>IFERROR(__xludf.DUMMYFUNCTION("IFERROR(
  FILTER('CBK Students'!P:P, TRIM('CBK Students'!B:B) = TRIM(A1097)),
  """"
)"),"#REF!")</f>
        <v>#REF!</v>
      </c>
      <c r="AB1097" s="4" t="str">
        <f>IFERROR(__xludf.DUMMYFUNCTION("IFERROR(
  FILTER('CBK Students'!Q:Q, TRIM('CBK Students'!B:B) = TRIM(A1097)),
  """"
)"),"#REF!")</f>
        <v>#REF!</v>
      </c>
    </row>
    <row r="1098" ht="18.75" customHeight="1">
      <c r="T1098" s="240" t="str">
        <f>IFERROR(__xludf.DUMMYFUNCTION("IFERROR(
  FILTER('CBK Students'!F:F, TRIM('CBK Students'!B:B) = TRIM(A1098)),
  """"
)"),"#REF!")</f>
        <v>#REF!</v>
      </c>
      <c r="U1098" s="240" t="str">
        <f>IFERROR(__xludf.DUMMYFUNCTION("IFERROR(
  FILTER('CBK Students'!H:H, TRIM('CBK Students'!B:B) = TRIM(A1098)),
  """"
)"),"#REF!")</f>
        <v>#REF!</v>
      </c>
      <c r="V1098" s="240" t="str">
        <f>IFERROR(__xludf.DUMMYFUNCTION("IFERROR(
  FILTER('CBK Students'!M:M, TRIM('CBK Students'!B:B) = TRIM(A1098)),
  """"
)"),"#REF!")</f>
        <v>#REF!</v>
      </c>
      <c r="W1098" s="240" t="str">
        <f t="shared" si="1"/>
        <v/>
      </c>
      <c r="X1098" s="240" t="str">
        <f>IFERROR(__xludf.DUMMYFUNCTION("IFERROR(
  FILTER('CBK Students'!R:R, TRIM('CBK Students'!B:B) = TRIM(A1098)),
  """"
)"),"#REF!")</f>
        <v>#REF!</v>
      </c>
      <c r="Y1098" s="4" t="str">
        <f t="shared" si="2"/>
        <v/>
      </c>
      <c r="Z1098" s="4" t="str">
        <f>IFERROR(__xludf.DUMMYFUNCTION("IFERROR(
  FILTER('CBK Students'!O:O, TRIM('CBK Students'!B:B) = TRIM(A1098)),
  """"
)"),"#REF!")</f>
        <v>#REF!</v>
      </c>
      <c r="AA1098" s="4" t="str">
        <f>IFERROR(__xludf.DUMMYFUNCTION("IFERROR(
  FILTER('CBK Students'!P:P, TRIM('CBK Students'!B:B) = TRIM(A1098)),
  """"
)"),"#REF!")</f>
        <v>#REF!</v>
      </c>
      <c r="AB1098" s="4" t="str">
        <f>IFERROR(__xludf.DUMMYFUNCTION("IFERROR(
  FILTER('CBK Students'!Q:Q, TRIM('CBK Students'!B:B) = TRIM(A1098)),
  """"
)"),"#REF!")</f>
        <v>#REF!</v>
      </c>
    </row>
    <row r="1099" ht="18.75" customHeight="1">
      <c r="T1099" s="240" t="str">
        <f>IFERROR(__xludf.DUMMYFUNCTION("IFERROR(
  FILTER('CBK Students'!F:F, TRIM('CBK Students'!B:B) = TRIM(A1099)),
  """"
)"),"#REF!")</f>
        <v>#REF!</v>
      </c>
      <c r="U1099" s="240" t="str">
        <f>IFERROR(__xludf.DUMMYFUNCTION("IFERROR(
  FILTER('CBK Students'!H:H, TRIM('CBK Students'!B:B) = TRIM(A1099)),
  """"
)"),"#REF!")</f>
        <v>#REF!</v>
      </c>
      <c r="V1099" s="240" t="str">
        <f>IFERROR(__xludf.DUMMYFUNCTION("IFERROR(
  FILTER('CBK Students'!M:M, TRIM('CBK Students'!B:B) = TRIM(A1099)),
  """"
)"),"#REF!")</f>
        <v>#REF!</v>
      </c>
      <c r="W1099" s="240" t="str">
        <f t="shared" si="1"/>
        <v/>
      </c>
      <c r="X1099" s="240" t="str">
        <f>IFERROR(__xludf.DUMMYFUNCTION("IFERROR(
  FILTER('CBK Students'!R:R, TRIM('CBK Students'!B:B) = TRIM(A1099)),
  """"
)"),"#REF!")</f>
        <v>#REF!</v>
      </c>
      <c r="Y1099" s="4" t="str">
        <f t="shared" si="2"/>
        <v/>
      </c>
      <c r="Z1099" s="4" t="str">
        <f>IFERROR(__xludf.DUMMYFUNCTION("IFERROR(
  FILTER('CBK Students'!O:O, TRIM('CBK Students'!B:B) = TRIM(A1099)),
  """"
)"),"#REF!")</f>
        <v>#REF!</v>
      </c>
      <c r="AA1099" s="4" t="str">
        <f>IFERROR(__xludf.DUMMYFUNCTION("IFERROR(
  FILTER('CBK Students'!P:P, TRIM('CBK Students'!B:B) = TRIM(A1099)),
  """"
)"),"#REF!")</f>
        <v>#REF!</v>
      </c>
      <c r="AB1099" s="4" t="str">
        <f>IFERROR(__xludf.DUMMYFUNCTION("IFERROR(
  FILTER('CBK Students'!Q:Q, TRIM('CBK Students'!B:B) = TRIM(A1099)),
  """"
)"),"#REF!")</f>
        <v>#REF!</v>
      </c>
    </row>
    <row r="1100" ht="18.75" customHeight="1">
      <c r="T1100" s="240" t="str">
        <f>IFERROR(__xludf.DUMMYFUNCTION("IFERROR(
  FILTER('CBK Students'!F:F, TRIM('CBK Students'!B:B) = TRIM(A1100)),
  """"
)"),"#REF!")</f>
        <v>#REF!</v>
      </c>
      <c r="U1100" s="240" t="str">
        <f>IFERROR(__xludf.DUMMYFUNCTION("IFERROR(
  FILTER('CBK Students'!H:H, TRIM('CBK Students'!B:B) = TRIM(A1100)),
  """"
)"),"#REF!")</f>
        <v>#REF!</v>
      </c>
      <c r="V1100" s="240" t="str">
        <f>IFERROR(__xludf.DUMMYFUNCTION("IFERROR(
  FILTER('CBK Students'!M:M, TRIM('CBK Students'!B:B) = TRIM(A1100)),
  """"
)"),"#REF!")</f>
        <v>#REF!</v>
      </c>
      <c r="W1100" s="240" t="str">
        <f t="shared" si="1"/>
        <v/>
      </c>
      <c r="X1100" s="240" t="str">
        <f>IFERROR(__xludf.DUMMYFUNCTION("IFERROR(
  FILTER('CBK Students'!R:R, TRIM('CBK Students'!B:B) = TRIM(A1100)),
  """"
)"),"#REF!")</f>
        <v>#REF!</v>
      </c>
      <c r="Y1100" s="4" t="str">
        <f t="shared" si="2"/>
        <v/>
      </c>
      <c r="Z1100" s="4" t="str">
        <f>IFERROR(__xludf.DUMMYFUNCTION("IFERROR(
  FILTER('CBK Students'!O:O, TRIM('CBK Students'!B:B) = TRIM(A1100)),
  """"
)"),"#REF!")</f>
        <v>#REF!</v>
      </c>
      <c r="AA1100" s="4" t="str">
        <f>IFERROR(__xludf.DUMMYFUNCTION("IFERROR(
  FILTER('CBK Students'!P:P, TRIM('CBK Students'!B:B) = TRIM(A1100)),
  """"
)"),"#REF!")</f>
        <v>#REF!</v>
      </c>
      <c r="AB1100" s="4" t="str">
        <f>IFERROR(__xludf.DUMMYFUNCTION("IFERROR(
  FILTER('CBK Students'!Q:Q, TRIM('CBK Students'!B:B) = TRIM(A1100)),
  """"
)"),"#REF!")</f>
        <v>#REF!</v>
      </c>
    </row>
    <row r="1101" ht="18.75" customHeight="1">
      <c r="T1101" s="240" t="str">
        <f>IFERROR(__xludf.DUMMYFUNCTION("IFERROR(
  FILTER('CBK Students'!F:F, TRIM('CBK Students'!B:B) = TRIM(A1101)),
  """"
)"),"#REF!")</f>
        <v>#REF!</v>
      </c>
      <c r="U1101" s="240" t="str">
        <f>IFERROR(__xludf.DUMMYFUNCTION("IFERROR(
  FILTER('CBK Students'!H:H, TRIM('CBK Students'!B:B) = TRIM(A1101)),
  """"
)"),"#REF!")</f>
        <v>#REF!</v>
      </c>
      <c r="V1101" s="240" t="str">
        <f>IFERROR(__xludf.DUMMYFUNCTION("IFERROR(
  FILTER('CBK Students'!M:M, TRIM('CBK Students'!B:B) = TRIM(A1101)),
  """"
)"),"#REF!")</f>
        <v>#REF!</v>
      </c>
      <c r="W1101" s="240" t="str">
        <f t="shared" si="1"/>
        <v/>
      </c>
      <c r="X1101" s="240" t="str">
        <f>IFERROR(__xludf.DUMMYFUNCTION("IFERROR(
  FILTER('CBK Students'!R:R, TRIM('CBK Students'!B:B) = TRIM(A1101)),
  """"
)"),"#REF!")</f>
        <v>#REF!</v>
      </c>
      <c r="Y1101" s="4" t="str">
        <f t="shared" si="2"/>
        <v/>
      </c>
      <c r="Z1101" s="4" t="str">
        <f>IFERROR(__xludf.DUMMYFUNCTION("IFERROR(
  FILTER('CBK Students'!O:O, TRIM('CBK Students'!B:B) = TRIM(A1101)),
  """"
)"),"#REF!")</f>
        <v>#REF!</v>
      </c>
      <c r="AA1101" s="4" t="str">
        <f>IFERROR(__xludf.DUMMYFUNCTION("IFERROR(
  FILTER('CBK Students'!P:P, TRIM('CBK Students'!B:B) = TRIM(A1101)),
  """"
)"),"#REF!")</f>
        <v>#REF!</v>
      </c>
      <c r="AB1101" s="4" t="str">
        <f>IFERROR(__xludf.DUMMYFUNCTION("IFERROR(
  FILTER('CBK Students'!Q:Q, TRIM('CBK Students'!B:B) = TRIM(A1101)),
  """"
)"),"#REF!")</f>
        <v>#REF!</v>
      </c>
    </row>
    <row r="1102" ht="18.75" customHeight="1">
      <c r="T1102" s="240" t="str">
        <f>IFERROR(__xludf.DUMMYFUNCTION("IFERROR(
  FILTER('CBK Students'!F:F, TRIM('CBK Students'!B:B) = TRIM(A1102)),
  """"
)"),"#REF!")</f>
        <v>#REF!</v>
      </c>
      <c r="U1102" s="240" t="str">
        <f>IFERROR(__xludf.DUMMYFUNCTION("IFERROR(
  FILTER('CBK Students'!H:H, TRIM('CBK Students'!B:B) = TRIM(A1102)),
  """"
)"),"#REF!")</f>
        <v>#REF!</v>
      </c>
      <c r="V1102" s="240" t="str">
        <f>IFERROR(__xludf.DUMMYFUNCTION("IFERROR(
  FILTER('CBK Students'!M:M, TRIM('CBK Students'!B:B) = TRIM(A1102)),
  """"
)"),"#REF!")</f>
        <v>#REF!</v>
      </c>
      <c r="W1102" s="240" t="str">
        <f t="shared" si="1"/>
        <v/>
      </c>
      <c r="X1102" s="240" t="str">
        <f>IFERROR(__xludf.DUMMYFUNCTION("IFERROR(
  FILTER('CBK Students'!R:R, TRIM('CBK Students'!B:B) = TRIM(A1102)),
  """"
)"),"#REF!")</f>
        <v>#REF!</v>
      </c>
      <c r="Y1102" s="4" t="str">
        <f t="shared" si="2"/>
        <v/>
      </c>
      <c r="Z1102" s="4" t="str">
        <f>IFERROR(__xludf.DUMMYFUNCTION("IFERROR(
  FILTER('CBK Students'!O:O, TRIM('CBK Students'!B:B) = TRIM(A1102)),
  """"
)"),"#REF!")</f>
        <v>#REF!</v>
      </c>
      <c r="AA1102" s="4" t="str">
        <f>IFERROR(__xludf.DUMMYFUNCTION("IFERROR(
  FILTER('CBK Students'!P:P, TRIM('CBK Students'!B:B) = TRIM(A1102)),
  """"
)"),"#REF!")</f>
        <v>#REF!</v>
      </c>
      <c r="AB1102" s="4" t="str">
        <f>IFERROR(__xludf.DUMMYFUNCTION("IFERROR(
  FILTER('CBK Students'!Q:Q, TRIM('CBK Students'!B:B) = TRIM(A1102)),
  """"
)"),"#REF!")</f>
        <v>#REF!</v>
      </c>
    </row>
    <row r="1103" ht="18.75" customHeight="1">
      <c r="T1103" s="240" t="str">
        <f>IFERROR(__xludf.DUMMYFUNCTION("IFERROR(
  FILTER('CBK Students'!F:F, TRIM('CBK Students'!B:B) = TRIM(A1103)),
  """"
)"),"#REF!")</f>
        <v>#REF!</v>
      </c>
      <c r="U1103" s="240" t="str">
        <f>IFERROR(__xludf.DUMMYFUNCTION("IFERROR(
  FILTER('CBK Students'!H:H, TRIM('CBK Students'!B:B) = TRIM(A1103)),
  """"
)"),"#REF!")</f>
        <v>#REF!</v>
      </c>
      <c r="V1103" s="240" t="str">
        <f>IFERROR(__xludf.DUMMYFUNCTION("IFERROR(
  FILTER('CBK Students'!M:M, TRIM('CBK Students'!B:B) = TRIM(A1103)),
  """"
)"),"#REF!")</f>
        <v>#REF!</v>
      </c>
      <c r="W1103" s="240" t="str">
        <f t="shared" si="1"/>
        <v/>
      </c>
      <c r="X1103" s="240" t="str">
        <f>IFERROR(__xludf.DUMMYFUNCTION("IFERROR(
  FILTER('CBK Students'!R:R, TRIM('CBK Students'!B:B) = TRIM(A1103)),
  """"
)"),"#REF!")</f>
        <v>#REF!</v>
      </c>
      <c r="Y1103" s="4" t="str">
        <f t="shared" si="2"/>
        <v/>
      </c>
      <c r="Z1103" s="4" t="str">
        <f>IFERROR(__xludf.DUMMYFUNCTION("IFERROR(
  FILTER('CBK Students'!O:O, TRIM('CBK Students'!B:B) = TRIM(A1103)),
  """"
)"),"#REF!")</f>
        <v>#REF!</v>
      </c>
      <c r="AA1103" s="4" t="str">
        <f>IFERROR(__xludf.DUMMYFUNCTION("IFERROR(
  FILTER('CBK Students'!P:P, TRIM('CBK Students'!B:B) = TRIM(A1103)),
  """"
)"),"#REF!")</f>
        <v>#REF!</v>
      </c>
      <c r="AB1103" s="4" t="str">
        <f>IFERROR(__xludf.DUMMYFUNCTION("IFERROR(
  FILTER('CBK Students'!Q:Q, TRIM('CBK Students'!B:B) = TRIM(A1103)),
  """"
)"),"#REF!")</f>
        <v>#REF!</v>
      </c>
    </row>
    <row r="1104" ht="18.75" customHeight="1">
      <c r="T1104" s="240" t="str">
        <f>IFERROR(__xludf.DUMMYFUNCTION("IFERROR(
  FILTER('CBK Students'!F:F, TRIM('CBK Students'!B:B) = TRIM(A1104)),
  """"
)"),"#REF!")</f>
        <v>#REF!</v>
      </c>
      <c r="U1104" s="240" t="str">
        <f>IFERROR(__xludf.DUMMYFUNCTION("IFERROR(
  FILTER('CBK Students'!H:H, TRIM('CBK Students'!B:B) = TRIM(A1104)),
  """"
)"),"#REF!")</f>
        <v>#REF!</v>
      </c>
      <c r="V1104" s="240" t="str">
        <f>IFERROR(__xludf.DUMMYFUNCTION("IFERROR(
  FILTER('CBK Students'!M:M, TRIM('CBK Students'!B:B) = TRIM(A1104)),
  """"
)"),"#REF!")</f>
        <v>#REF!</v>
      </c>
      <c r="W1104" s="240" t="str">
        <f t="shared" si="1"/>
        <v/>
      </c>
      <c r="X1104" s="240" t="str">
        <f>IFERROR(__xludf.DUMMYFUNCTION("IFERROR(
  FILTER('CBK Students'!R:R, TRIM('CBK Students'!B:B) = TRIM(A1104)),
  """"
)"),"#REF!")</f>
        <v>#REF!</v>
      </c>
      <c r="Y1104" s="4" t="str">
        <f t="shared" si="2"/>
        <v/>
      </c>
      <c r="Z1104" s="4" t="str">
        <f>IFERROR(__xludf.DUMMYFUNCTION("IFERROR(
  FILTER('CBK Students'!O:O, TRIM('CBK Students'!B:B) = TRIM(A1104)),
  """"
)"),"#REF!")</f>
        <v>#REF!</v>
      </c>
      <c r="AA1104" s="4" t="str">
        <f>IFERROR(__xludf.DUMMYFUNCTION("IFERROR(
  FILTER('CBK Students'!P:P, TRIM('CBK Students'!B:B) = TRIM(A1104)),
  """"
)"),"#REF!")</f>
        <v>#REF!</v>
      </c>
      <c r="AB1104" s="4" t="str">
        <f>IFERROR(__xludf.DUMMYFUNCTION("IFERROR(
  FILTER('CBK Students'!Q:Q, TRIM('CBK Students'!B:B) = TRIM(A1104)),
  """"
)"),"#REF!")</f>
        <v>#REF!</v>
      </c>
    </row>
    <row r="1105" ht="18.75" customHeight="1">
      <c r="T1105" s="240" t="str">
        <f>IFERROR(__xludf.DUMMYFUNCTION("IFERROR(
  FILTER('CBK Students'!F:F, TRIM('CBK Students'!B:B) = TRIM(A1105)),
  """"
)"),"#REF!")</f>
        <v>#REF!</v>
      </c>
      <c r="U1105" s="240" t="str">
        <f>IFERROR(__xludf.DUMMYFUNCTION("IFERROR(
  FILTER('CBK Students'!H:H, TRIM('CBK Students'!B:B) = TRIM(A1105)),
  """"
)"),"#REF!")</f>
        <v>#REF!</v>
      </c>
      <c r="V1105" s="240" t="str">
        <f>IFERROR(__xludf.DUMMYFUNCTION("IFERROR(
  FILTER('CBK Students'!M:M, TRIM('CBK Students'!B:B) = TRIM(A1105)),
  """"
)"),"#REF!")</f>
        <v>#REF!</v>
      </c>
      <c r="W1105" s="240" t="str">
        <f t="shared" si="1"/>
        <v/>
      </c>
      <c r="X1105" s="240" t="str">
        <f>IFERROR(__xludf.DUMMYFUNCTION("IFERROR(
  FILTER('CBK Students'!R:R, TRIM('CBK Students'!B:B) = TRIM(A1105)),
  """"
)"),"#REF!")</f>
        <v>#REF!</v>
      </c>
      <c r="Y1105" s="4" t="str">
        <f t="shared" si="2"/>
        <v/>
      </c>
      <c r="Z1105" s="4" t="str">
        <f>IFERROR(__xludf.DUMMYFUNCTION("IFERROR(
  FILTER('CBK Students'!O:O, TRIM('CBK Students'!B:B) = TRIM(A1105)),
  """"
)"),"#REF!")</f>
        <v>#REF!</v>
      </c>
      <c r="AA1105" s="4" t="str">
        <f>IFERROR(__xludf.DUMMYFUNCTION("IFERROR(
  FILTER('CBK Students'!P:P, TRIM('CBK Students'!B:B) = TRIM(A1105)),
  """"
)"),"#REF!")</f>
        <v>#REF!</v>
      </c>
      <c r="AB1105" s="4" t="str">
        <f>IFERROR(__xludf.DUMMYFUNCTION("IFERROR(
  FILTER('CBK Students'!Q:Q, TRIM('CBK Students'!B:B) = TRIM(A1105)),
  """"
)"),"#REF!")</f>
        <v>#REF!</v>
      </c>
    </row>
    <row r="1106" ht="18.75" customHeight="1">
      <c r="T1106" s="240" t="str">
        <f>IFERROR(__xludf.DUMMYFUNCTION("IFERROR(
  FILTER('CBK Students'!F:F, TRIM('CBK Students'!B:B) = TRIM(A1106)),
  """"
)"),"#REF!")</f>
        <v>#REF!</v>
      </c>
      <c r="U1106" s="240" t="str">
        <f>IFERROR(__xludf.DUMMYFUNCTION("IFERROR(
  FILTER('CBK Students'!H:H, TRIM('CBK Students'!B:B) = TRIM(A1106)),
  """"
)"),"#REF!")</f>
        <v>#REF!</v>
      </c>
      <c r="V1106" s="240" t="str">
        <f>IFERROR(__xludf.DUMMYFUNCTION("IFERROR(
  FILTER('CBK Students'!M:M, TRIM('CBK Students'!B:B) = TRIM(A1106)),
  """"
)"),"#REF!")</f>
        <v>#REF!</v>
      </c>
      <c r="W1106" s="240" t="str">
        <f t="shared" si="1"/>
        <v/>
      </c>
      <c r="X1106" s="240" t="str">
        <f>IFERROR(__xludf.DUMMYFUNCTION("IFERROR(
  FILTER('CBK Students'!R:R, TRIM('CBK Students'!B:B) = TRIM(A1106)),
  """"
)"),"#REF!")</f>
        <v>#REF!</v>
      </c>
      <c r="Y1106" s="4" t="str">
        <f t="shared" si="2"/>
        <v/>
      </c>
      <c r="Z1106" s="4" t="str">
        <f>IFERROR(__xludf.DUMMYFUNCTION("IFERROR(
  FILTER('CBK Students'!O:O, TRIM('CBK Students'!B:B) = TRIM(A1106)),
  """"
)"),"#REF!")</f>
        <v>#REF!</v>
      </c>
      <c r="AA1106" s="4" t="str">
        <f>IFERROR(__xludf.DUMMYFUNCTION("IFERROR(
  FILTER('CBK Students'!P:P, TRIM('CBK Students'!B:B) = TRIM(A1106)),
  """"
)"),"#REF!")</f>
        <v>#REF!</v>
      </c>
      <c r="AB1106" s="4" t="str">
        <f>IFERROR(__xludf.DUMMYFUNCTION("IFERROR(
  FILTER('CBK Students'!Q:Q, TRIM('CBK Students'!B:B) = TRIM(A1106)),
  """"
)"),"#REF!")</f>
        <v>#REF!</v>
      </c>
    </row>
    <row r="1107" ht="18.75" customHeight="1">
      <c r="T1107" s="240" t="str">
        <f>IFERROR(__xludf.DUMMYFUNCTION("IFERROR(
  FILTER('CBK Students'!F:F, TRIM('CBK Students'!B:B) = TRIM(A1107)),
  """"
)"),"#REF!")</f>
        <v>#REF!</v>
      </c>
      <c r="U1107" s="240" t="str">
        <f>IFERROR(__xludf.DUMMYFUNCTION("IFERROR(
  FILTER('CBK Students'!H:H, TRIM('CBK Students'!B:B) = TRIM(A1107)),
  """"
)"),"#REF!")</f>
        <v>#REF!</v>
      </c>
      <c r="V1107" s="240" t="str">
        <f>IFERROR(__xludf.DUMMYFUNCTION("IFERROR(
  FILTER('CBK Students'!M:M, TRIM('CBK Students'!B:B) = TRIM(A1107)),
  """"
)"),"#REF!")</f>
        <v>#REF!</v>
      </c>
      <c r="W1107" s="240" t="str">
        <f t="shared" si="1"/>
        <v/>
      </c>
      <c r="X1107" s="240" t="str">
        <f>IFERROR(__xludf.DUMMYFUNCTION("IFERROR(
  FILTER('CBK Students'!R:R, TRIM('CBK Students'!B:B) = TRIM(A1107)),
  """"
)"),"#REF!")</f>
        <v>#REF!</v>
      </c>
      <c r="Y1107" s="4" t="str">
        <f t="shared" si="2"/>
        <v/>
      </c>
      <c r="Z1107" s="4" t="str">
        <f>IFERROR(__xludf.DUMMYFUNCTION("IFERROR(
  FILTER('CBK Students'!O:O, TRIM('CBK Students'!B:B) = TRIM(A1107)),
  """"
)"),"#REF!")</f>
        <v>#REF!</v>
      </c>
      <c r="AA1107" s="4" t="str">
        <f>IFERROR(__xludf.DUMMYFUNCTION("IFERROR(
  FILTER('CBK Students'!P:P, TRIM('CBK Students'!B:B) = TRIM(A1107)),
  """"
)"),"#REF!")</f>
        <v>#REF!</v>
      </c>
      <c r="AB1107" s="4" t="str">
        <f>IFERROR(__xludf.DUMMYFUNCTION("IFERROR(
  FILTER('CBK Students'!Q:Q, TRIM('CBK Students'!B:B) = TRIM(A1107)),
  """"
)"),"#REF!")</f>
        <v>#REF!</v>
      </c>
    </row>
    <row r="1108" ht="18.75" customHeight="1">
      <c r="T1108" s="240" t="str">
        <f>IFERROR(__xludf.DUMMYFUNCTION("IFERROR(
  FILTER('CBK Students'!F:F, TRIM('CBK Students'!B:B) = TRIM(A1108)),
  """"
)"),"#REF!")</f>
        <v>#REF!</v>
      </c>
      <c r="U1108" s="240" t="str">
        <f>IFERROR(__xludf.DUMMYFUNCTION("IFERROR(
  FILTER('CBK Students'!H:H, TRIM('CBK Students'!B:B) = TRIM(A1108)),
  """"
)"),"#REF!")</f>
        <v>#REF!</v>
      </c>
      <c r="V1108" s="240" t="str">
        <f>IFERROR(__xludf.DUMMYFUNCTION("IFERROR(
  FILTER('CBK Students'!M:M, TRIM('CBK Students'!B:B) = TRIM(A1108)),
  """"
)"),"#REF!")</f>
        <v>#REF!</v>
      </c>
      <c r="W1108" s="240" t="str">
        <f t="shared" si="1"/>
        <v/>
      </c>
      <c r="X1108" s="240" t="str">
        <f>IFERROR(__xludf.DUMMYFUNCTION("IFERROR(
  FILTER('CBK Students'!R:R, TRIM('CBK Students'!B:B) = TRIM(A1108)),
  """"
)"),"#REF!")</f>
        <v>#REF!</v>
      </c>
      <c r="Y1108" s="4" t="str">
        <f t="shared" si="2"/>
        <v/>
      </c>
      <c r="Z1108" s="4" t="str">
        <f>IFERROR(__xludf.DUMMYFUNCTION("IFERROR(
  FILTER('CBK Students'!O:O, TRIM('CBK Students'!B:B) = TRIM(A1108)),
  """"
)"),"#REF!")</f>
        <v>#REF!</v>
      </c>
      <c r="AA1108" s="4" t="str">
        <f>IFERROR(__xludf.DUMMYFUNCTION("IFERROR(
  FILTER('CBK Students'!P:P, TRIM('CBK Students'!B:B) = TRIM(A1108)),
  """"
)"),"#REF!")</f>
        <v>#REF!</v>
      </c>
      <c r="AB1108" s="4" t="str">
        <f>IFERROR(__xludf.DUMMYFUNCTION("IFERROR(
  FILTER('CBK Students'!Q:Q, TRIM('CBK Students'!B:B) = TRIM(A1108)),
  """"
)"),"#REF!")</f>
        <v>#REF!</v>
      </c>
    </row>
    <row r="1109" ht="18.75" customHeight="1">
      <c r="T1109" s="240" t="str">
        <f>IFERROR(__xludf.DUMMYFUNCTION("IFERROR(
  FILTER('CBK Students'!F:F, TRIM('CBK Students'!B:B) = TRIM(A1109)),
  """"
)"),"#REF!")</f>
        <v>#REF!</v>
      </c>
      <c r="U1109" s="240" t="str">
        <f>IFERROR(__xludf.DUMMYFUNCTION("IFERROR(
  FILTER('CBK Students'!H:H, TRIM('CBK Students'!B:B) = TRIM(A1109)),
  """"
)"),"#REF!")</f>
        <v>#REF!</v>
      </c>
      <c r="V1109" s="240" t="str">
        <f>IFERROR(__xludf.DUMMYFUNCTION("IFERROR(
  FILTER('CBK Students'!M:M, TRIM('CBK Students'!B:B) = TRIM(A1109)),
  """"
)"),"#REF!")</f>
        <v>#REF!</v>
      </c>
      <c r="W1109" s="240" t="str">
        <f t="shared" si="1"/>
        <v/>
      </c>
      <c r="X1109" s="240" t="str">
        <f>IFERROR(__xludf.DUMMYFUNCTION("IFERROR(
  FILTER('CBK Students'!R:R, TRIM('CBK Students'!B:B) = TRIM(A1109)),
  """"
)"),"#REF!")</f>
        <v>#REF!</v>
      </c>
      <c r="Y1109" s="4" t="str">
        <f t="shared" si="2"/>
        <v/>
      </c>
      <c r="Z1109" s="4" t="str">
        <f>IFERROR(__xludf.DUMMYFUNCTION("IFERROR(
  FILTER('CBK Students'!O:O, TRIM('CBK Students'!B:B) = TRIM(A1109)),
  """"
)"),"#REF!")</f>
        <v>#REF!</v>
      </c>
      <c r="AA1109" s="4" t="str">
        <f>IFERROR(__xludf.DUMMYFUNCTION("IFERROR(
  FILTER('CBK Students'!P:P, TRIM('CBK Students'!B:B) = TRIM(A1109)),
  """"
)"),"#REF!")</f>
        <v>#REF!</v>
      </c>
      <c r="AB1109" s="4" t="str">
        <f>IFERROR(__xludf.DUMMYFUNCTION("IFERROR(
  FILTER('CBK Students'!Q:Q, TRIM('CBK Students'!B:B) = TRIM(A1109)),
  """"
)"),"#REF!")</f>
        <v>#REF!</v>
      </c>
    </row>
    <row r="1110" ht="18.75" customHeight="1">
      <c r="T1110" s="240" t="str">
        <f>IFERROR(__xludf.DUMMYFUNCTION("IFERROR(
  FILTER('CBK Students'!F:F, TRIM('CBK Students'!B:B) = TRIM(A1110)),
  """"
)"),"#REF!")</f>
        <v>#REF!</v>
      </c>
      <c r="U1110" s="240" t="str">
        <f>IFERROR(__xludf.DUMMYFUNCTION("IFERROR(
  FILTER('CBK Students'!H:H, TRIM('CBK Students'!B:B) = TRIM(A1110)),
  """"
)"),"#REF!")</f>
        <v>#REF!</v>
      </c>
      <c r="V1110" s="240" t="str">
        <f>IFERROR(__xludf.DUMMYFUNCTION("IFERROR(
  FILTER('CBK Students'!M:M, TRIM('CBK Students'!B:B) = TRIM(A1110)),
  """"
)"),"#REF!")</f>
        <v>#REF!</v>
      </c>
      <c r="W1110" s="240" t="str">
        <f t="shared" si="1"/>
        <v/>
      </c>
      <c r="X1110" s="240" t="str">
        <f>IFERROR(__xludf.DUMMYFUNCTION("IFERROR(
  FILTER('CBK Students'!R:R, TRIM('CBK Students'!B:B) = TRIM(A1110)),
  """"
)"),"#REF!")</f>
        <v>#REF!</v>
      </c>
      <c r="Y1110" s="4" t="str">
        <f t="shared" si="2"/>
        <v/>
      </c>
      <c r="Z1110" s="4" t="str">
        <f>IFERROR(__xludf.DUMMYFUNCTION("IFERROR(
  FILTER('CBK Students'!O:O, TRIM('CBK Students'!B:B) = TRIM(A1110)),
  """"
)"),"#REF!")</f>
        <v>#REF!</v>
      </c>
      <c r="AA1110" s="4" t="str">
        <f>IFERROR(__xludf.DUMMYFUNCTION("IFERROR(
  FILTER('CBK Students'!P:P, TRIM('CBK Students'!B:B) = TRIM(A1110)),
  """"
)"),"#REF!")</f>
        <v>#REF!</v>
      </c>
      <c r="AB1110" s="4" t="str">
        <f>IFERROR(__xludf.DUMMYFUNCTION("IFERROR(
  FILTER('CBK Students'!Q:Q, TRIM('CBK Students'!B:B) = TRIM(A1110)),
  """"
)"),"#REF!")</f>
        <v>#REF!</v>
      </c>
    </row>
    <row r="1111" ht="18.75" customHeight="1">
      <c r="T1111" s="240" t="str">
        <f>IFERROR(__xludf.DUMMYFUNCTION("IFERROR(
  FILTER('CBK Students'!F:F, TRIM('CBK Students'!B:B) = TRIM(A1111)),
  """"
)"),"#REF!")</f>
        <v>#REF!</v>
      </c>
      <c r="U1111" s="240" t="str">
        <f>IFERROR(__xludf.DUMMYFUNCTION("IFERROR(
  FILTER('CBK Students'!H:H, TRIM('CBK Students'!B:B) = TRIM(A1111)),
  """"
)"),"#REF!")</f>
        <v>#REF!</v>
      </c>
      <c r="V1111" s="240" t="str">
        <f>IFERROR(__xludf.DUMMYFUNCTION("IFERROR(
  FILTER('CBK Students'!M:M, TRIM('CBK Students'!B:B) = TRIM(A1111)),
  """"
)"),"#REF!")</f>
        <v>#REF!</v>
      </c>
      <c r="W1111" s="240" t="str">
        <f t="shared" si="1"/>
        <v/>
      </c>
      <c r="X1111" s="240" t="str">
        <f>IFERROR(__xludf.DUMMYFUNCTION("IFERROR(
  FILTER('CBK Students'!R:R, TRIM('CBK Students'!B:B) = TRIM(A1111)),
  """"
)"),"#REF!")</f>
        <v>#REF!</v>
      </c>
      <c r="Y1111" s="4" t="str">
        <f t="shared" si="2"/>
        <v/>
      </c>
      <c r="Z1111" s="4" t="str">
        <f>IFERROR(__xludf.DUMMYFUNCTION("IFERROR(
  FILTER('CBK Students'!O:O, TRIM('CBK Students'!B:B) = TRIM(A1111)),
  """"
)"),"#REF!")</f>
        <v>#REF!</v>
      </c>
      <c r="AA1111" s="4" t="str">
        <f>IFERROR(__xludf.DUMMYFUNCTION("IFERROR(
  FILTER('CBK Students'!P:P, TRIM('CBK Students'!B:B) = TRIM(A1111)),
  """"
)"),"#REF!")</f>
        <v>#REF!</v>
      </c>
      <c r="AB1111" s="4" t="str">
        <f>IFERROR(__xludf.DUMMYFUNCTION("IFERROR(
  FILTER('CBK Students'!Q:Q, TRIM('CBK Students'!B:B) = TRIM(A1111)),
  """"
)"),"#REF!")</f>
        <v>#REF!</v>
      </c>
    </row>
    <row r="1112" ht="18.75" customHeight="1">
      <c r="T1112" s="240" t="str">
        <f>IFERROR(__xludf.DUMMYFUNCTION("IFERROR(
  FILTER('CBK Students'!F:F, TRIM('CBK Students'!B:B) = TRIM(A1112)),
  """"
)"),"#REF!")</f>
        <v>#REF!</v>
      </c>
      <c r="U1112" s="240" t="str">
        <f>IFERROR(__xludf.DUMMYFUNCTION("IFERROR(
  FILTER('CBK Students'!H:H, TRIM('CBK Students'!B:B) = TRIM(A1112)),
  """"
)"),"#REF!")</f>
        <v>#REF!</v>
      </c>
      <c r="V1112" s="240" t="str">
        <f>IFERROR(__xludf.DUMMYFUNCTION("IFERROR(
  FILTER('CBK Students'!M:M, TRIM('CBK Students'!B:B) = TRIM(A1112)),
  """"
)"),"#REF!")</f>
        <v>#REF!</v>
      </c>
      <c r="W1112" s="240" t="str">
        <f t="shared" si="1"/>
        <v/>
      </c>
      <c r="X1112" s="240" t="str">
        <f>IFERROR(__xludf.DUMMYFUNCTION("IFERROR(
  FILTER('CBK Students'!R:R, TRIM('CBK Students'!B:B) = TRIM(A1112)),
  """"
)"),"#REF!")</f>
        <v>#REF!</v>
      </c>
      <c r="Y1112" s="4" t="str">
        <f t="shared" si="2"/>
        <v/>
      </c>
      <c r="Z1112" s="4" t="str">
        <f>IFERROR(__xludf.DUMMYFUNCTION("IFERROR(
  FILTER('CBK Students'!O:O, TRIM('CBK Students'!B:B) = TRIM(A1112)),
  """"
)"),"#REF!")</f>
        <v>#REF!</v>
      </c>
      <c r="AA1112" s="4" t="str">
        <f>IFERROR(__xludf.DUMMYFUNCTION("IFERROR(
  FILTER('CBK Students'!P:P, TRIM('CBK Students'!B:B) = TRIM(A1112)),
  """"
)"),"#REF!")</f>
        <v>#REF!</v>
      </c>
      <c r="AB1112" s="4" t="str">
        <f>IFERROR(__xludf.DUMMYFUNCTION("IFERROR(
  FILTER('CBK Students'!Q:Q, TRIM('CBK Students'!B:B) = TRIM(A1112)),
  """"
)"),"#REF!")</f>
        <v>#REF!</v>
      </c>
    </row>
    <row r="1113" ht="18.75" customHeight="1">
      <c r="T1113" s="240" t="str">
        <f>IFERROR(__xludf.DUMMYFUNCTION("IFERROR(
  FILTER('CBK Students'!F:F, TRIM('CBK Students'!B:B) = TRIM(A1113)),
  """"
)"),"#REF!")</f>
        <v>#REF!</v>
      </c>
      <c r="U1113" s="240" t="str">
        <f>IFERROR(__xludf.DUMMYFUNCTION("IFERROR(
  FILTER('CBK Students'!H:H, TRIM('CBK Students'!B:B) = TRIM(A1113)),
  """"
)"),"#REF!")</f>
        <v>#REF!</v>
      </c>
      <c r="V1113" s="240" t="str">
        <f>IFERROR(__xludf.DUMMYFUNCTION("IFERROR(
  FILTER('CBK Students'!M:M, TRIM('CBK Students'!B:B) = TRIM(A1113)),
  """"
)"),"#REF!")</f>
        <v>#REF!</v>
      </c>
      <c r="W1113" s="240" t="str">
        <f t="shared" si="1"/>
        <v/>
      </c>
      <c r="X1113" s="240" t="str">
        <f>IFERROR(__xludf.DUMMYFUNCTION("IFERROR(
  FILTER('CBK Students'!R:R, TRIM('CBK Students'!B:B) = TRIM(A1113)),
  """"
)"),"#REF!")</f>
        <v>#REF!</v>
      </c>
      <c r="Y1113" s="4" t="str">
        <f t="shared" si="2"/>
        <v/>
      </c>
      <c r="Z1113" s="4" t="str">
        <f>IFERROR(__xludf.DUMMYFUNCTION("IFERROR(
  FILTER('CBK Students'!O:O, TRIM('CBK Students'!B:B) = TRIM(A1113)),
  """"
)"),"#REF!")</f>
        <v>#REF!</v>
      </c>
      <c r="AA1113" s="4" t="str">
        <f>IFERROR(__xludf.DUMMYFUNCTION("IFERROR(
  FILTER('CBK Students'!P:P, TRIM('CBK Students'!B:B) = TRIM(A1113)),
  """"
)"),"#REF!")</f>
        <v>#REF!</v>
      </c>
      <c r="AB1113" s="4" t="str">
        <f>IFERROR(__xludf.DUMMYFUNCTION("IFERROR(
  FILTER('CBK Students'!Q:Q, TRIM('CBK Students'!B:B) = TRIM(A1113)),
  """"
)"),"#REF!")</f>
        <v>#REF!</v>
      </c>
    </row>
    <row r="1114" ht="18.75" customHeight="1">
      <c r="T1114" s="240" t="str">
        <f>IFERROR(__xludf.DUMMYFUNCTION("IFERROR(
  FILTER('CBK Students'!F:F, TRIM('CBK Students'!B:B) = TRIM(A1114)),
  """"
)"),"#REF!")</f>
        <v>#REF!</v>
      </c>
      <c r="U1114" s="240" t="str">
        <f>IFERROR(__xludf.DUMMYFUNCTION("IFERROR(
  FILTER('CBK Students'!H:H, TRIM('CBK Students'!B:B) = TRIM(A1114)),
  """"
)"),"#REF!")</f>
        <v>#REF!</v>
      </c>
      <c r="V1114" s="240" t="str">
        <f>IFERROR(__xludf.DUMMYFUNCTION("IFERROR(
  FILTER('CBK Students'!M:M, TRIM('CBK Students'!B:B) = TRIM(A1114)),
  """"
)"),"#REF!")</f>
        <v>#REF!</v>
      </c>
      <c r="W1114" s="240" t="str">
        <f t="shared" si="1"/>
        <v/>
      </c>
      <c r="X1114" s="240" t="str">
        <f>IFERROR(__xludf.DUMMYFUNCTION("IFERROR(
  FILTER('CBK Students'!R:R, TRIM('CBK Students'!B:B) = TRIM(A1114)),
  """"
)"),"#REF!")</f>
        <v>#REF!</v>
      </c>
      <c r="Y1114" s="4" t="str">
        <f t="shared" si="2"/>
        <v/>
      </c>
      <c r="Z1114" s="4" t="str">
        <f>IFERROR(__xludf.DUMMYFUNCTION("IFERROR(
  FILTER('CBK Students'!O:O, TRIM('CBK Students'!B:B) = TRIM(A1114)),
  """"
)"),"#REF!")</f>
        <v>#REF!</v>
      </c>
      <c r="AA1114" s="4" t="str">
        <f>IFERROR(__xludf.DUMMYFUNCTION("IFERROR(
  FILTER('CBK Students'!P:P, TRIM('CBK Students'!B:B) = TRIM(A1114)),
  """"
)"),"#REF!")</f>
        <v>#REF!</v>
      </c>
      <c r="AB1114" s="4" t="str">
        <f>IFERROR(__xludf.DUMMYFUNCTION("IFERROR(
  FILTER('CBK Students'!Q:Q, TRIM('CBK Students'!B:B) = TRIM(A1114)),
  """"
)"),"#REF!")</f>
        <v>#REF!</v>
      </c>
    </row>
    <row r="1115" ht="18.75" customHeight="1">
      <c r="T1115" s="240" t="str">
        <f>IFERROR(__xludf.DUMMYFUNCTION("IFERROR(
  FILTER('CBK Students'!F:F, TRIM('CBK Students'!B:B) = TRIM(A1115)),
  """"
)"),"#REF!")</f>
        <v>#REF!</v>
      </c>
      <c r="U1115" s="240" t="str">
        <f>IFERROR(__xludf.DUMMYFUNCTION("IFERROR(
  FILTER('CBK Students'!H:H, TRIM('CBK Students'!B:B) = TRIM(A1115)),
  """"
)"),"#REF!")</f>
        <v>#REF!</v>
      </c>
      <c r="V1115" s="240" t="str">
        <f>IFERROR(__xludf.DUMMYFUNCTION("IFERROR(
  FILTER('CBK Students'!M:M, TRIM('CBK Students'!B:B) = TRIM(A1115)),
  """"
)"),"#REF!")</f>
        <v>#REF!</v>
      </c>
      <c r="W1115" s="240" t="str">
        <f t="shared" si="1"/>
        <v/>
      </c>
      <c r="X1115" s="240" t="str">
        <f>IFERROR(__xludf.DUMMYFUNCTION("IFERROR(
  FILTER('CBK Students'!R:R, TRIM('CBK Students'!B:B) = TRIM(A1115)),
  """"
)"),"#REF!")</f>
        <v>#REF!</v>
      </c>
      <c r="Y1115" s="4" t="str">
        <f t="shared" si="2"/>
        <v/>
      </c>
      <c r="Z1115" s="4" t="str">
        <f>IFERROR(__xludf.DUMMYFUNCTION("IFERROR(
  FILTER('CBK Students'!O:O, TRIM('CBK Students'!B:B) = TRIM(A1115)),
  """"
)"),"#REF!")</f>
        <v>#REF!</v>
      </c>
      <c r="AA1115" s="4" t="str">
        <f>IFERROR(__xludf.DUMMYFUNCTION("IFERROR(
  FILTER('CBK Students'!P:P, TRIM('CBK Students'!B:B) = TRIM(A1115)),
  """"
)"),"#REF!")</f>
        <v>#REF!</v>
      </c>
      <c r="AB1115" s="4" t="str">
        <f>IFERROR(__xludf.DUMMYFUNCTION("IFERROR(
  FILTER('CBK Students'!Q:Q, TRIM('CBK Students'!B:B) = TRIM(A1115)),
  """"
)"),"#REF!")</f>
        <v>#REF!</v>
      </c>
    </row>
    <row r="1116" ht="18.75" customHeight="1">
      <c r="T1116" s="240" t="str">
        <f>IFERROR(__xludf.DUMMYFUNCTION("IFERROR(
  FILTER('CBK Students'!F:F, TRIM('CBK Students'!B:B) = TRIM(A1116)),
  """"
)"),"#REF!")</f>
        <v>#REF!</v>
      </c>
      <c r="U1116" s="240" t="str">
        <f>IFERROR(__xludf.DUMMYFUNCTION("IFERROR(
  FILTER('CBK Students'!H:H, TRIM('CBK Students'!B:B) = TRIM(A1116)),
  """"
)"),"#REF!")</f>
        <v>#REF!</v>
      </c>
      <c r="V1116" s="240" t="str">
        <f>IFERROR(__xludf.DUMMYFUNCTION("IFERROR(
  FILTER('CBK Students'!M:M, TRIM('CBK Students'!B:B) = TRIM(A1116)),
  """"
)"),"#REF!")</f>
        <v>#REF!</v>
      </c>
      <c r="W1116" s="240" t="str">
        <f t="shared" si="1"/>
        <v/>
      </c>
      <c r="X1116" s="240" t="str">
        <f>IFERROR(__xludf.DUMMYFUNCTION("IFERROR(
  FILTER('CBK Students'!R:R, TRIM('CBK Students'!B:B) = TRIM(A1116)),
  """"
)"),"#REF!")</f>
        <v>#REF!</v>
      </c>
      <c r="Y1116" s="4" t="str">
        <f t="shared" si="2"/>
        <v/>
      </c>
      <c r="Z1116" s="4" t="str">
        <f>IFERROR(__xludf.DUMMYFUNCTION("IFERROR(
  FILTER('CBK Students'!O:O, TRIM('CBK Students'!B:B) = TRIM(A1116)),
  """"
)"),"#REF!")</f>
        <v>#REF!</v>
      </c>
      <c r="AA1116" s="4" t="str">
        <f>IFERROR(__xludf.DUMMYFUNCTION("IFERROR(
  FILTER('CBK Students'!P:P, TRIM('CBK Students'!B:B) = TRIM(A1116)),
  """"
)"),"#REF!")</f>
        <v>#REF!</v>
      </c>
      <c r="AB1116" s="4" t="str">
        <f>IFERROR(__xludf.DUMMYFUNCTION("IFERROR(
  FILTER('CBK Students'!Q:Q, TRIM('CBK Students'!B:B) = TRIM(A1116)),
  """"
)"),"#REF!")</f>
        <v>#REF!</v>
      </c>
    </row>
    <row r="1117" ht="18.75" customHeight="1">
      <c r="T1117" s="240" t="str">
        <f>IFERROR(__xludf.DUMMYFUNCTION("IFERROR(
  FILTER('CBK Students'!F:F, TRIM('CBK Students'!B:B) = TRIM(A1117)),
  """"
)"),"#REF!")</f>
        <v>#REF!</v>
      </c>
      <c r="U1117" s="240" t="str">
        <f>IFERROR(__xludf.DUMMYFUNCTION("IFERROR(
  FILTER('CBK Students'!H:H, TRIM('CBK Students'!B:B) = TRIM(A1117)),
  """"
)"),"#REF!")</f>
        <v>#REF!</v>
      </c>
      <c r="V1117" s="240" t="str">
        <f>IFERROR(__xludf.DUMMYFUNCTION("IFERROR(
  FILTER('CBK Students'!M:M, TRIM('CBK Students'!B:B) = TRIM(A1117)),
  """"
)"),"#REF!")</f>
        <v>#REF!</v>
      </c>
      <c r="W1117" s="240" t="str">
        <f t="shared" si="1"/>
        <v/>
      </c>
      <c r="X1117" s="240" t="str">
        <f>IFERROR(__xludf.DUMMYFUNCTION("IFERROR(
  FILTER('CBK Students'!R:R, TRIM('CBK Students'!B:B) = TRIM(A1117)),
  """"
)"),"#REF!")</f>
        <v>#REF!</v>
      </c>
      <c r="Y1117" s="4" t="str">
        <f t="shared" si="2"/>
        <v/>
      </c>
      <c r="Z1117" s="4" t="str">
        <f>IFERROR(__xludf.DUMMYFUNCTION("IFERROR(
  FILTER('CBK Students'!O:O, TRIM('CBK Students'!B:B) = TRIM(A1117)),
  """"
)"),"#REF!")</f>
        <v>#REF!</v>
      </c>
      <c r="AA1117" s="4" t="str">
        <f>IFERROR(__xludf.DUMMYFUNCTION("IFERROR(
  FILTER('CBK Students'!P:P, TRIM('CBK Students'!B:B) = TRIM(A1117)),
  """"
)"),"#REF!")</f>
        <v>#REF!</v>
      </c>
      <c r="AB1117" s="4" t="str">
        <f>IFERROR(__xludf.DUMMYFUNCTION("IFERROR(
  FILTER('CBK Students'!Q:Q, TRIM('CBK Students'!B:B) = TRIM(A1117)),
  """"
)"),"#REF!")</f>
        <v>#REF!</v>
      </c>
    </row>
    <row r="1118" ht="18.75" customHeight="1">
      <c r="T1118" s="240" t="str">
        <f>IFERROR(__xludf.DUMMYFUNCTION("IFERROR(
  FILTER('CBK Students'!F:F, TRIM('CBK Students'!B:B) = TRIM(A1118)),
  """"
)"),"#REF!")</f>
        <v>#REF!</v>
      </c>
      <c r="U1118" s="240" t="str">
        <f>IFERROR(__xludf.DUMMYFUNCTION("IFERROR(
  FILTER('CBK Students'!H:H, TRIM('CBK Students'!B:B) = TRIM(A1118)),
  """"
)"),"#REF!")</f>
        <v>#REF!</v>
      </c>
      <c r="V1118" s="240" t="str">
        <f>IFERROR(__xludf.DUMMYFUNCTION("IFERROR(
  FILTER('CBK Students'!M:M, TRIM('CBK Students'!B:B) = TRIM(A1118)),
  """"
)"),"#REF!")</f>
        <v>#REF!</v>
      </c>
      <c r="W1118" s="240" t="str">
        <f t="shared" si="1"/>
        <v/>
      </c>
      <c r="X1118" s="240" t="str">
        <f>IFERROR(__xludf.DUMMYFUNCTION("IFERROR(
  FILTER('CBK Students'!R:R, TRIM('CBK Students'!B:B) = TRIM(A1118)),
  """"
)"),"#REF!")</f>
        <v>#REF!</v>
      </c>
      <c r="Y1118" s="4" t="str">
        <f t="shared" si="2"/>
        <v/>
      </c>
      <c r="Z1118" s="4" t="str">
        <f>IFERROR(__xludf.DUMMYFUNCTION("IFERROR(
  FILTER('CBK Students'!O:O, TRIM('CBK Students'!B:B) = TRIM(A1118)),
  """"
)"),"#REF!")</f>
        <v>#REF!</v>
      </c>
      <c r="AA1118" s="4" t="str">
        <f>IFERROR(__xludf.DUMMYFUNCTION("IFERROR(
  FILTER('CBK Students'!P:P, TRIM('CBK Students'!B:B) = TRIM(A1118)),
  """"
)"),"#REF!")</f>
        <v>#REF!</v>
      </c>
      <c r="AB1118" s="4" t="str">
        <f>IFERROR(__xludf.DUMMYFUNCTION("IFERROR(
  FILTER('CBK Students'!Q:Q, TRIM('CBK Students'!B:B) = TRIM(A1118)),
  """"
)"),"#REF!")</f>
        <v>#REF!</v>
      </c>
    </row>
    <row r="1119" ht="18.75" customHeight="1">
      <c r="T1119" s="240" t="str">
        <f>IFERROR(__xludf.DUMMYFUNCTION("IFERROR(
  FILTER('CBK Students'!F:F, TRIM('CBK Students'!B:B) = TRIM(A1119)),
  """"
)"),"#REF!")</f>
        <v>#REF!</v>
      </c>
      <c r="U1119" s="240" t="str">
        <f>IFERROR(__xludf.DUMMYFUNCTION("IFERROR(
  FILTER('CBK Students'!H:H, TRIM('CBK Students'!B:B) = TRIM(A1119)),
  """"
)"),"#REF!")</f>
        <v>#REF!</v>
      </c>
      <c r="V1119" s="240" t="str">
        <f>IFERROR(__xludf.DUMMYFUNCTION("IFERROR(
  FILTER('CBK Students'!M:M, TRIM('CBK Students'!B:B) = TRIM(A1119)),
  """"
)"),"#REF!")</f>
        <v>#REF!</v>
      </c>
      <c r="W1119" s="240" t="str">
        <f t="shared" si="1"/>
        <v/>
      </c>
      <c r="X1119" s="240" t="str">
        <f>IFERROR(__xludf.DUMMYFUNCTION("IFERROR(
  FILTER('CBK Students'!R:R, TRIM('CBK Students'!B:B) = TRIM(A1119)),
  """"
)"),"#REF!")</f>
        <v>#REF!</v>
      </c>
      <c r="Y1119" s="4" t="str">
        <f t="shared" si="2"/>
        <v/>
      </c>
      <c r="Z1119" s="4" t="str">
        <f>IFERROR(__xludf.DUMMYFUNCTION("IFERROR(
  FILTER('CBK Students'!O:O, TRIM('CBK Students'!B:B) = TRIM(A1119)),
  """"
)"),"#REF!")</f>
        <v>#REF!</v>
      </c>
      <c r="AA1119" s="4" t="str">
        <f>IFERROR(__xludf.DUMMYFUNCTION("IFERROR(
  FILTER('CBK Students'!P:P, TRIM('CBK Students'!B:B) = TRIM(A1119)),
  """"
)"),"#REF!")</f>
        <v>#REF!</v>
      </c>
      <c r="AB1119" s="4" t="str">
        <f>IFERROR(__xludf.DUMMYFUNCTION("IFERROR(
  FILTER('CBK Students'!Q:Q, TRIM('CBK Students'!B:B) = TRIM(A1119)),
  """"
)"),"#REF!")</f>
        <v>#REF!</v>
      </c>
    </row>
    <row r="1120" ht="18.75" customHeight="1">
      <c r="T1120" s="240" t="str">
        <f>IFERROR(__xludf.DUMMYFUNCTION("IFERROR(
  FILTER('CBK Students'!F:F, TRIM('CBK Students'!B:B) = TRIM(A1120)),
  """"
)"),"#REF!")</f>
        <v>#REF!</v>
      </c>
      <c r="U1120" s="240" t="str">
        <f>IFERROR(__xludf.DUMMYFUNCTION("IFERROR(
  FILTER('CBK Students'!H:H, TRIM('CBK Students'!B:B) = TRIM(A1120)),
  """"
)"),"#REF!")</f>
        <v>#REF!</v>
      </c>
      <c r="V1120" s="240" t="str">
        <f>IFERROR(__xludf.DUMMYFUNCTION("IFERROR(
  FILTER('CBK Students'!M:M, TRIM('CBK Students'!B:B) = TRIM(A1120)),
  """"
)"),"#REF!")</f>
        <v>#REF!</v>
      </c>
      <c r="W1120" s="240" t="str">
        <f t="shared" si="1"/>
        <v/>
      </c>
      <c r="X1120" s="240" t="str">
        <f>IFERROR(__xludf.DUMMYFUNCTION("IFERROR(
  FILTER('CBK Students'!R:R, TRIM('CBK Students'!B:B) = TRIM(A1120)),
  """"
)"),"#REF!")</f>
        <v>#REF!</v>
      </c>
      <c r="Y1120" s="4" t="str">
        <f t="shared" si="2"/>
        <v/>
      </c>
      <c r="Z1120" s="4" t="str">
        <f>IFERROR(__xludf.DUMMYFUNCTION("IFERROR(
  FILTER('CBK Students'!O:O, TRIM('CBK Students'!B:B) = TRIM(A1120)),
  """"
)"),"#REF!")</f>
        <v>#REF!</v>
      </c>
      <c r="AA1120" s="4" t="str">
        <f>IFERROR(__xludf.DUMMYFUNCTION("IFERROR(
  FILTER('CBK Students'!P:P, TRIM('CBK Students'!B:B) = TRIM(A1120)),
  """"
)"),"#REF!")</f>
        <v>#REF!</v>
      </c>
      <c r="AB1120" s="4" t="str">
        <f>IFERROR(__xludf.DUMMYFUNCTION("IFERROR(
  FILTER('CBK Students'!Q:Q, TRIM('CBK Students'!B:B) = TRIM(A1120)),
  """"
)"),"#REF!")</f>
        <v>#REF!</v>
      </c>
    </row>
    <row r="1121" ht="18.75" customHeight="1">
      <c r="T1121" s="240" t="str">
        <f>IFERROR(__xludf.DUMMYFUNCTION("IFERROR(
  FILTER('CBK Students'!F:F, TRIM('CBK Students'!B:B) = TRIM(A1121)),
  """"
)"),"#REF!")</f>
        <v>#REF!</v>
      </c>
      <c r="U1121" s="240" t="str">
        <f>IFERROR(__xludf.DUMMYFUNCTION("IFERROR(
  FILTER('CBK Students'!H:H, TRIM('CBK Students'!B:B) = TRIM(A1121)),
  """"
)"),"#REF!")</f>
        <v>#REF!</v>
      </c>
      <c r="V1121" s="240" t="str">
        <f>IFERROR(__xludf.DUMMYFUNCTION("IFERROR(
  FILTER('CBK Students'!M:M, TRIM('CBK Students'!B:B) = TRIM(A1121)),
  """"
)"),"#REF!")</f>
        <v>#REF!</v>
      </c>
      <c r="W1121" s="240" t="str">
        <f t="shared" si="1"/>
        <v/>
      </c>
      <c r="X1121" s="240" t="str">
        <f>IFERROR(__xludf.DUMMYFUNCTION("IFERROR(
  FILTER('CBK Students'!R:R, TRIM('CBK Students'!B:B) = TRIM(A1121)),
  """"
)"),"#REF!")</f>
        <v>#REF!</v>
      </c>
      <c r="Y1121" s="4" t="str">
        <f t="shared" si="2"/>
        <v/>
      </c>
      <c r="Z1121" s="4" t="str">
        <f>IFERROR(__xludf.DUMMYFUNCTION("IFERROR(
  FILTER('CBK Students'!O:O, TRIM('CBK Students'!B:B) = TRIM(A1121)),
  """"
)"),"#REF!")</f>
        <v>#REF!</v>
      </c>
      <c r="AA1121" s="4" t="str">
        <f>IFERROR(__xludf.DUMMYFUNCTION("IFERROR(
  FILTER('CBK Students'!P:P, TRIM('CBK Students'!B:B) = TRIM(A1121)),
  """"
)"),"#REF!")</f>
        <v>#REF!</v>
      </c>
      <c r="AB1121" s="4" t="str">
        <f>IFERROR(__xludf.DUMMYFUNCTION("IFERROR(
  FILTER('CBK Students'!Q:Q, TRIM('CBK Students'!B:B) = TRIM(A1121)),
  """"
)"),"#REF!")</f>
        <v>#REF!</v>
      </c>
    </row>
    <row r="1122" ht="18.75" customHeight="1">
      <c r="T1122" s="240" t="str">
        <f>IFERROR(__xludf.DUMMYFUNCTION("IFERROR(
  FILTER('CBK Students'!F:F, TRIM('CBK Students'!B:B) = TRIM(A1122)),
  """"
)"),"#REF!")</f>
        <v>#REF!</v>
      </c>
      <c r="U1122" s="240" t="str">
        <f>IFERROR(__xludf.DUMMYFUNCTION("IFERROR(
  FILTER('CBK Students'!H:H, TRIM('CBK Students'!B:B) = TRIM(A1122)),
  """"
)"),"#REF!")</f>
        <v>#REF!</v>
      </c>
      <c r="V1122" s="240" t="str">
        <f>IFERROR(__xludf.DUMMYFUNCTION("IFERROR(
  FILTER('CBK Students'!M:M, TRIM('CBK Students'!B:B) = TRIM(A1122)),
  """"
)"),"#REF!")</f>
        <v>#REF!</v>
      </c>
      <c r="W1122" s="240" t="str">
        <f t="shared" si="1"/>
        <v/>
      </c>
      <c r="X1122" s="240" t="str">
        <f>IFERROR(__xludf.DUMMYFUNCTION("IFERROR(
  FILTER('CBK Students'!R:R, TRIM('CBK Students'!B:B) = TRIM(A1122)),
  """"
)"),"#REF!")</f>
        <v>#REF!</v>
      </c>
      <c r="Y1122" s="4" t="str">
        <f t="shared" si="2"/>
        <v/>
      </c>
      <c r="Z1122" s="4" t="str">
        <f>IFERROR(__xludf.DUMMYFUNCTION("IFERROR(
  FILTER('CBK Students'!O:O, TRIM('CBK Students'!B:B) = TRIM(A1122)),
  """"
)"),"#REF!")</f>
        <v>#REF!</v>
      </c>
      <c r="AA1122" s="4" t="str">
        <f>IFERROR(__xludf.DUMMYFUNCTION("IFERROR(
  FILTER('CBK Students'!P:P, TRIM('CBK Students'!B:B) = TRIM(A1122)),
  """"
)"),"#REF!")</f>
        <v>#REF!</v>
      </c>
      <c r="AB1122" s="4" t="str">
        <f>IFERROR(__xludf.DUMMYFUNCTION("IFERROR(
  FILTER('CBK Students'!Q:Q, TRIM('CBK Students'!B:B) = TRIM(A1122)),
  """"
)"),"#REF!")</f>
        <v>#REF!</v>
      </c>
    </row>
    <row r="1123" ht="18.75" customHeight="1">
      <c r="T1123" s="240" t="str">
        <f>IFERROR(__xludf.DUMMYFUNCTION("IFERROR(
  FILTER('CBK Students'!F:F, TRIM('CBK Students'!B:B) = TRIM(A1123)),
  """"
)"),"#REF!")</f>
        <v>#REF!</v>
      </c>
      <c r="U1123" s="240" t="str">
        <f>IFERROR(__xludf.DUMMYFUNCTION("IFERROR(
  FILTER('CBK Students'!H:H, TRIM('CBK Students'!B:B) = TRIM(A1123)),
  """"
)"),"#REF!")</f>
        <v>#REF!</v>
      </c>
      <c r="V1123" s="240" t="str">
        <f>IFERROR(__xludf.DUMMYFUNCTION("IFERROR(
  FILTER('CBK Students'!M:M, TRIM('CBK Students'!B:B) = TRIM(A1123)),
  """"
)"),"#REF!")</f>
        <v>#REF!</v>
      </c>
      <c r="W1123" s="240" t="str">
        <f t="shared" si="1"/>
        <v/>
      </c>
      <c r="X1123" s="240" t="str">
        <f>IFERROR(__xludf.DUMMYFUNCTION("IFERROR(
  FILTER('CBK Students'!R:R, TRIM('CBK Students'!B:B) = TRIM(A1123)),
  """"
)"),"#REF!")</f>
        <v>#REF!</v>
      </c>
      <c r="Y1123" s="4" t="str">
        <f t="shared" si="2"/>
        <v/>
      </c>
      <c r="Z1123" s="4" t="str">
        <f>IFERROR(__xludf.DUMMYFUNCTION("IFERROR(
  FILTER('CBK Students'!O:O, TRIM('CBK Students'!B:B) = TRIM(A1123)),
  """"
)"),"#REF!")</f>
        <v>#REF!</v>
      </c>
      <c r="AA1123" s="4" t="str">
        <f>IFERROR(__xludf.DUMMYFUNCTION("IFERROR(
  FILTER('CBK Students'!P:P, TRIM('CBK Students'!B:B) = TRIM(A1123)),
  """"
)"),"#REF!")</f>
        <v>#REF!</v>
      </c>
      <c r="AB1123" s="4" t="str">
        <f>IFERROR(__xludf.DUMMYFUNCTION("IFERROR(
  FILTER('CBK Students'!Q:Q, TRIM('CBK Students'!B:B) = TRIM(A1123)),
  """"
)"),"#REF!")</f>
        <v>#REF!</v>
      </c>
    </row>
    <row r="1124" ht="18.75" customHeight="1">
      <c r="T1124" s="240" t="str">
        <f>IFERROR(__xludf.DUMMYFUNCTION("IFERROR(
  FILTER('CBK Students'!F:F, TRIM('CBK Students'!B:B) = TRIM(A1124)),
  """"
)"),"#REF!")</f>
        <v>#REF!</v>
      </c>
      <c r="U1124" s="240" t="str">
        <f>IFERROR(__xludf.DUMMYFUNCTION("IFERROR(
  FILTER('CBK Students'!H:H, TRIM('CBK Students'!B:B) = TRIM(A1124)),
  """"
)"),"#REF!")</f>
        <v>#REF!</v>
      </c>
      <c r="V1124" s="240" t="str">
        <f>IFERROR(__xludf.DUMMYFUNCTION("IFERROR(
  FILTER('CBK Students'!M:M, TRIM('CBK Students'!B:B) = TRIM(A1124)),
  """"
)"),"#REF!")</f>
        <v>#REF!</v>
      </c>
      <c r="W1124" s="240" t="str">
        <f t="shared" si="1"/>
        <v/>
      </c>
      <c r="X1124" s="240" t="str">
        <f>IFERROR(__xludf.DUMMYFUNCTION("IFERROR(
  FILTER('CBK Students'!R:R, TRIM('CBK Students'!B:B) = TRIM(A1124)),
  """"
)"),"#REF!")</f>
        <v>#REF!</v>
      </c>
      <c r="Y1124" s="4" t="str">
        <f t="shared" si="2"/>
        <v/>
      </c>
      <c r="Z1124" s="4" t="str">
        <f>IFERROR(__xludf.DUMMYFUNCTION("IFERROR(
  FILTER('CBK Students'!O:O, TRIM('CBK Students'!B:B) = TRIM(A1124)),
  """"
)"),"#REF!")</f>
        <v>#REF!</v>
      </c>
      <c r="AA1124" s="4" t="str">
        <f>IFERROR(__xludf.DUMMYFUNCTION("IFERROR(
  FILTER('CBK Students'!P:P, TRIM('CBK Students'!B:B) = TRIM(A1124)),
  """"
)"),"#REF!")</f>
        <v>#REF!</v>
      </c>
      <c r="AB1124" s="4" t="str">
        <f>IFERROR(__xludf.DUMMYFUNCTION("IFERROR(
  FILTER('CBK Students'!Q:Q, TRIM('CBK Students'!B:B) = TRIM(A1124)),
  """"
)"),"#REF!")</f>
        <v>#REF!</v>
      </c>
    </row>
    <row r="1125" ht="18.75" customHeight="1">
      <c r="T1125" s="240" t="str">
        <f>IFERROR(__xludf.DUMMYFUNCTION("IFERROR(
  FILTER('CBK Students'!F:F, TRIM('CBK Students'!B:B) = TRIM(A1125)),
  """"
)"),"#REF!")</f>
        <v>#REF!</v>
      </c>
      <c r="U1125" s="240" t="str">
        <f>IFERROR(__xludf.DUMMYFUNCTION("IFERROR(
  FILTER('CBK Students'!H:H, TRIM('CBK Students'!B:B) = TRIM(A1125)),
  """"
)"),"#REF!")</f>
        <v>#REF!</v>
      </c>
      <c r="V1125" s="240" t="str">
        <f>IFERROR(__xludf.DUMMYFUNCTION("IFERROR(
  FILTER('CBK Students'!M:M, TRIM('CBK Students'!B:B) = TRIM(A1125)),
  """"
)"),"#REF!")</f>
        <v>#REF!</v>
      </c>
      <c r="W1125" s="240" t="str">
        <f t="shared" si="1"/>
        <v/>
      </c>
      <c r="X1125" s="240" t="str">
        <f>IFERROR(__xludf.DUMMYFUNCTION("IFERROR(
  FILTER('CBK Students'!R:R, TRIM('CBK Students'!B:B) = TRIM(A1125)),
  """"
)"),"#REF!")</f>
        <v>#REF!</v>
      </c>
      <c r="Y1125" s="4" t="str">
        <f t="shared" si="2"/>
        <v/>
      </c>
      <c r="Z1125" s="4" t="str">
        <f>IFERROR(__xludf.DUMMYFUNCTION("IFERROR(
  FILTER('CBK Students'!O:O, TRIM('CBK Students'!B:B) = TRIM(A1125)),
  """"
)"),"#REF!")</f>
        <v>#REF!</v>
      </c>
      <c r="AA1125" s="4" t="str">
        <f>IFERROR(__xludf.DUMMYFUNCTION("IFERROR(
  FILTER('CBK Students'!P:P, TRIM('CBK Students'!B:B) = TRIM(A1125)),
  """"
)"),"#REF!")</f>
        <v>#REF!</v>
      </c>
      <c r="AB1125" s="4" t="str">
        <f>IFERROR(__xludf.DUMMYFUNCTION("IFERROR(
  FILTER('CBK Students'!Q:Q, TRIM('CBK Students'!B:B) = TRIM(A1125)),
  """"
)"),"#REF!")</f>
        <v>#REF!</v>
      </c>
    </row>
    <row r="1126" ht="18.75" customHeight="1">
      <c r="T1126" s="240" t="str">
        <f>IFERROR(__xludf.DUMMYFUNCTION("IFERROR(
  FILTER('CBK Students'!F:F, TRIM('CBK Students'!B:B) = TRIM(A1126)),
  """"
)"),"#REF!")</f>
        <v>#REF!</v>
      </c>
      <c r="U1126" s="240" t="str">
        <f>IFERROR(__xludf.DUMMYFUNCTION("IFERROR(
  FILTER('CBK Students'!H:H, TRIM('CBK Students'!B:B) = TRIM(A1126)),
  """"
)"),"#REF!")</f>
        <v>#REF!</v>
      </c>
      <c r="V1126" s="240" t="str">
        <f>IFERROR(__xludf.DUMMYFUNCTION("IFERROR(
  FILTER('CBK Students'!M:M, TRIM('CBK Students'!B:B) = TRIM(A1126)),
  """"
)"),"#REF!")</f>
        <v>#REF!</v>
      </c>
      <c r="W1126" s="240" t="str">
        <f t="shared" si="1"/>
        <v/>
      </c>
      <c r="X1126" s="240" t="str">
        <f>IFERROR(__xludf.DUMMYFUNCTION("IFERROR(
  FILTER('CBK Students'!R:R, TRIM('CBK Students'!B:B) = TRIM(A1126)),
  """"
)"),"#REF!")</f>
        <v>#REF!</v>
      </c>
      <c r="Y1126" s="4" t="str">
        <f t="shared" si="2"/>
        <v/>
      </c>
      <c r="Z1126" s="4" t="str">
        <f>IFERROR(__xludf.DUMMYFUNCTION("IFERROR(
  FILTER('CBK Students'!O:O, TRIM('CBK Students'!B:B) = TRIM(A1126)),
  """"
)"),"#REF!")</f>
        <v>#REF!</v>
      </c>
      <c r="AA1126" s="4" t="str">
        <f>IFERROR(__xludf.DUMMYFUNCTION("IFERROR(
  FILTER('CBK Students'!P:P, TRIM('CBK Students'!B:B) = TRIM(A1126)),
  """"
)"),"#REF!")</f>
        <v>#REF!</v>
      </c>
      <c r="AB1126" s="4" t="str">
        <f>IFERROR(__xludf.DUMMYFUNCTION("IFERROR(
  FILTER('CBK Students'!Q:Q, TRIM('CBK Students'!B:B) = TRIM(A1126)),
  """"
)"),"#REF!")</f>
        <v>#REF!</v>
      </c>
    </row>
    <row r="1127" ht="18.75" customHeight="1">
      <c r="T1127" s="240" t="str">
        <f>IFERROR(__xludf.DUMMYFUNCTION("IFERROR(
  FILTER('CBK Students'!F:F, TRIM('CBK Students'!B:B) = TRIM(A1127)),
  """"
)"),"#REF!")</f>
        <v>#REF!</v>
      </c>
      <c r="U1127" s="240" t="str">
        <f>IFERROR(__xludf.DUMMYFUNCTION("IFERROR(
  FILTER('CBK Students'!H:H, TRIM('CBK Students'!B:B) = TRIM(A1127)),
  """"
)"),"#REF!")</f>
        <v>#REF!</v>
      </c>
      <c r="V1127" s="240" t="str">
        <f>IFERROR(__xludf.DUMMYFUNCTION("IFERROR(
  FILTER('CBK Students'!M:M, TRIM('CBK Students'!B:B) = TRIM(A1127)),
  """"
)"),"#REF!")</f>
        <v>#REF!</v>
      </c>
      <c r="W1127" s="240" t="str">
        <f t="shared" si="1"/>
        <v/>
      </c>
      <c r="X1127" s="240" t="str">
        <f>IFERROR(__xludf.DUMMYFUNCTION("IFERROR(
  FILTER('CBK Students'!R:R, TRIM('CBK Students'!B:B) = TRIM(A1127)),
  """"
)"),"#REF!")</f>
        <v>#REF!</v>
      </c>
      <c r="Y1127" s="4" t="str">
        <f t="shared" si="2"/>
        <v/>
      </c>
      <c r="Z1127" s="4" t="str">
        <f>IFERROR(__xludf.DUMMYFUNCTION("IFERROR(
  FILTER('CBK Students'!O:O, TRIM('CBK Students'!B:B) = TRIM(A1127)),
  """"
)"),"#REF!")</f>
        <v>#REF!</v>
      </c>
      <c r="AA1127" s="4" t="str">
        <f>IFERROR(__xludf.DUMMYFUNCTION("IFERROR(
  FILTER('CBK Students'!P:P, TRIM('CBK Students'!B:B) = TRIM(A1127)),
  """"
)"),"#REF!")</f>
        <v>#REF!</v>
      </c>
      <c r="AB1127" s="4" t="str">
        <f>IFERROR(__xludf.DUMMYFUNCTION("IFERROR(
  FILTER('CBK Students'!Q:Q, TRIM('CBK Students'!B:B) = TRIM(A1127)),
  """"
)"),"#REF!")</f>
        <v>#REF!</v>
      </c>
    </row>
    <row r="1128" ht="18.75" customHeight="1">
      <c r="T1128" s="240" t="str">
        <f>IFERROR(__xludf.DUMMYFUNCTION("IFERROR(
  FILTER('CBK Students'!F:F, TRIM('CBK Students'!B:B) = TRIM(A1128)),
  """"
)"),"#REF!")</f>
        <v>#REF!</v>
      </c>
      <c r="U1128" s="240" t="str">
        <f>IFERROR(__xludf.DUMMYFUNCTION("IFERROR(
  FILTER('CBK Students'!H:H, TRIM('CBK Students'!B:B) = TRIM(A1128)),
  """"
)"),"#REF!")</f>
        <v>#REF!</v>
      </c>
      <c r="V1128" s="240" t="str">
        <f>IFERROR(__xludf.DUMMYFUNCTION("IFERROR(
  FILTER('CBK Students'!M:M, TRIM('CBK Students'!B:B) = TRIM(A1128)),
  """"
)"),"#REF!")</f>
        <v>#REF!</v>
      </c>
      <c r="W1128" s="240" t="str">
        <f t="shared" si="1"/>
        <v/>
      </c>
      <c r="X1128" s="240" t="str">
        <f>IFERROR(__xludf.DUMMYFUNCTION("IFERROR(
  FILTER('CBK Students'!R:R, TRIM('CBK Students'!B:B) = TRIM(A1128)),
  """"
)"),"#REF!")</f>
        <v>#REF!</v>
      </c>
      <c r="Y1128" s="4" t="str">
        <f t="shared" si="2"/>
        <v/>
      </c>
      <c r="Z1128" s="4" t="str">
        <f>IFERROR(__xludf.DUMMYFUNCTION("IFERROR(
  FILTER('CBK Students'!O:O, TRIM('CBK Students'!B:B) = TRIM(A1128)),
  """"
)"),"#REF!")</f>
        <v>#REF!</v>
      </c>
      <c r="AA1128" s="4" t="str">
        <f>IFERROR(__xludf.DUMMYFUNCTION("IFERROR(
  FILTER('CBK Students'!P:P, TRIM('CBK Students'!B:B) = TRIM(A1128)),
  """"
)"),"#REF!")</f>
        <v>#REF!</v>
      </c>
      <c r="AB1128" s="4" t="str">
        <f>IFERROR(__xludf.DUMMYFUNCTION("IFERROR(
  FILTER('CBK Students'!Q:Q, TRIM('CBK Students'!B:B) = TRIM(A1128)),
  """"
)"),"#REF!")</f>
        <v>#REF!</v>
      </c>
    </row>
    <row r="1129" ht="18.75" customHeight="1">
      <c r="T1129" s="240" t="str">
        <f>IFERROR(__xludf.DUMMYFUNCTION("IFERROR(
  FILTER('CBK Students'!F:F, TRIM('CBK Students'!B:B) = TRIM(A1129)),
  """"
)"),"#REF!")</f>
        <v>#REF!</v>
      </c>
      <c r="U1129" s="240" t="str">
        <f>IFERROR(__xludf.DUMMYFUNCTION("IFERROR(
  FILTER('CBK Students'!H:H, TRIM('CBK Students'!B:B) = TRIM(A1129)),
  """"
)"),"#REF!")</f>
        <v>#REF!</v>
      </c>
      <c r="V1129" s="240" t="str">
        <f>IFERROR(__xludf.DUMMYFUNCTION("IFERROR(
  FILTER('CBK Students'!M:M, TRIM('CBK Students'!B:B) = TRIM(A1129)),
  """"
)"),"#REF!")</f>
        <v>#REF!</v>
      </c>
      <c r="W1129" s="240" t="str">
        <f t="shared" si="1"/>
        <v/>
      </c>
      <c r="X1129" s="240" t="str">
        <f>IFERROR(__xludf.DUMMYFUNCTION("IFERROR(
  FILTER('CBK Students'!R:R, TRIM('CBK Students'!B:B) = TRIM(A1129)),
  """"
)"),"#REF!")</f>
        <v>#REF!</v>
      </c>
      <c r="Y1129" s="4" t="str">
        <f t="shared" si="2"/>
        <v/>
      </c>
      <c r="Z1129" s="4" t="str">
        <f>IFERROR(__xludf.DUMMYFUNCTION("IFERROR(
  FILTER('CBK Students'!O:O, TRIM('CBK Students'!B:B) = TRIM(A1129)),
  """"
)"),"#REF!")</f>
        <v>#REF!</v>
      </c>
      <c r="AA1129" s="4" t="str">
        <f>IFERROR(__xludf.DUMMYFUNCTION("IFERROR(
  FILTER('CBK Students'!P:P, TRIM('CBK Students'!B:B) = TRIM(A1129)),
  """"
)"),"#REF!")</f>
        <v>#REF!</v>
      </c>
      <c r="AB1129" s="4" t="str">
        <f>IFERROR(__xludf.DUMMYFUNCTION("IFERROR(
  FILTER('CBK Students'!Q:Q, TRIM('CBK Students'!B:B) = TRIM(A1129)),
  """"
)"),"#REF!")</f>
        <v>#REF!</v>
      </c>
    </row>
    <row r="1130" ht="18.75" customHeight="1">
      <c r="T1130" s="240" t="str">
        <f>IFERROR(__xludf.DUMMYFUNCTION("IFERROR(
  FILTER('CBK Students'!F:F, TRIM('CBK Students'!B:B) = TRIM(A1130)),
  """"
)"),"#REF!")</f>
        <v>#REF!</v>
      </c>
      <c r="U1130" s="240" t="str">
        <f>IFERROR(__xludf.DUMMYFUNCTION("IFERROR(
  FILTER('CBK Students'!H:H, TRIM('CBK Students'!B:B) = TRIM(A1130)),
  """"
)"),"#REF!")</f>
        <v>#REF!</v>
      </c>
      <c r="V1130" s="240" t="str">
        <f>IFERROR(__xludf.DUMMYFUNCTION("IFERROR(
  FILTER('CBK Students'!M:M, TRIM('CBK Students'!B:B) = TRIM(A1130)),
  """"
)"),"#REF!")</f>
        <v>#REF!</v>
      </c>
      <c r="W1130" s="240" t="str">
        <f t="shared" si="1"/>
        <v/>
      </c>
      <c r="X1130" s="240" t="str">
        <f>IFERROR(__xludf.DUMMYFUNCTION("IFERROR(
  FILTER('CBK Students'!R:R, TRIM('CBK Students'!B:B) = TRIM(A1130)),
  """"
)"),"#REF!")</f>
        <v>#REF!</v>
      </c>
      <c r="Y1130" s="4" t="str">
        <f t="shared" si="2"/>
        <v/>
      </c>
      <c r="Z1130" s="4" t="str">
        <f>IFERROR(__xludf.DUMMYFUNCTION("IFERROR(
  FILTER('CBK Students'!O:O, TRIM('CBK Students'!B:B) = TRIM(A1130)),
  """"
)"),"#REF!")</f>
        <v>#REF!</v>
      </c>
      <c r="AA1130" s="4" t="str">
        <f>IFERROR(__xludf.DUMMYFUNCTION("IFERROR(
  FILTER('CBK Students'!P:P, TRIM('CBK Students'!B:B) = TRIM(A1130)),
  """"
)"),"#REF!")</f>
        <v>#REF!</v>
      </c>
      <c r="AB1130" s="4" t="str">
        <f>IFERROR(__xludf.DUMMYFUNCTION("IFERROR(
  FILTER('CBK Students'!Q:Q, TRIM('CBK Students'!B:B) = TRIM(A1130)),
  """"
)"),"#REF!")</f>
        <v>#REF!</v>
      </c>
    </row>
    <row r="1131" ht="18.75" customHeight="1">
      <c r="T1131" s="240" t="str">
        <f>IFERROR(__xludf.DUMMYFUNCTION("IFERROR(
  FILTER('CBK Students'!F:F, TRIM('CBK Students'!B:B) = TRIM(A1131)),
  """"
)"),"#REF!")</f>
        <v>#REF!</v>
      </c>
      <c r="U1131" s="240" t="str">
        <f>IFERROR(__xludf.DUMMYFUNCTION("IFERROR(
  FILTER('CBK Students'!H:H, TRIM('CBK Students'!B:B) = TRIM(A1131)),
  """"
)"),"#REF!")</f>
        <v>#REF!</v>
      </c>
      <c r="V1131" s="240" t="str">
        <f>IFERROR(__xludf.DUMMYFUNCTION("IFERROR(
  FILTER('CBK Students'!M:M, TRIM('CBK Students'!B:B) = TRIM(A1131)),
  """"
)"),"#REF!")</f>
        <v>#REF!</v>
      </c>
      <c r="W1131" s="240" t="str">
        <f t="shared" si="1"/>
        <v/>
      </c>
      <c r="X1131" s="240" t="str">
        <f>IFERROR(__xludf.DUMMYFUNCTION("IFERROR(
  FILTER('CBK Students'!R:R, TRIM('CBK Students'!B:B) = TRIM(A1131)),
  """"
)"),"#REF!")</f>
        <v>#REF!</v>
      </c>
      <c r="Y1131" s="4" t="str">
        <f t="shared" si="2"/>
        <v/>
      </c>
      <c r="Z1131" s="4" t="str">
        <f>IFERROR(__xludf.DUMMYFUNCTION("IFERROR(
  FILTER('CBK Students'!O:O, TRIM('CBK Students'!B:B) = TRIM(A1131)),
  """"
)"),"#REF!")</f>
        <v>#REF!</v>
      </c>
      <c r="AA1131" s="4" t="str">
        <f>IFERROR(__xludf.DUMMYFUNCTION("IFERROR(
  FILTER('CBK Students'!P:P, TRIM('CBK Students'!B:B) = TRIM(A1131)),
  """"
)"),"#REF!")</f>
        <v>#REF!</v>
      </c>
      <c r="AB1131" s="4" t="str">
        <f>IFERROR(__xludf.DUMMYFUNCTION("IFERROR(
  FILTER('CBK Students'!Q:Q, TRIM('CBK Students'!B:B) = TRIM(A1131)),
  """"
)"),"#REF!")</f>
        <v>#REF!</v>
      </c>
    </row>
    <row r="1132" ht="18.75" customHeight="1">
      <c r="T1132" s="240" t="str">
        <f>IFERROR(__xludf.DUMMYFUNCTION("IFERROR(
  FILTER('CBK Students'!F:F, TRIM('CBK Students'!B:B) = TRIM(A1132)),
  """"
)"),"#REF!")</f>
        <v>#REF!</v>
      </c>
      <c r="U1132" s="240" t="str">
        <f>IFERROR(__xludf.DUMMYFUNCTION("IFERROR(
  FILTER('CBK Students'!H:H, TRIM('CBK Students'!B:B) = TRIM(A1132)),
  """"
)"),"#REF!")</f>
        <v>#REF!</v>
      </c>
      <c r="V1132" s="240" t="str">
        <f>IFERROR(__xludf.DUMMYFUNCTION("IFERROR(
  FILTER('CBK Students'!M:M, TRIM('CBK Students'!B:B) = TRIM(A1132)),
  """"
)"),"#REF!")</f>
        <v>#REF!</v>
      </c>
      <c r="W1132" s="240" t="str">
        <f t="shared" si="1"/>
        <v/>
      </c>
      <c r="X1132" s="240" t="str">
        <f>IFERROR(__xludf.DUMMYFUNCTION("IFERROR(
  FILTER('CBK Students'!R:R, TRIM('CBK Students'!B:B) = TRIM(A1132)),
  """"
)"),"#REF!")</f>
        <v>#REF!</v>
      </c>
      <c r="Y1132" s="4" t="str">
        <f t="shared" si="2"/>
        <v/>
      </c>
      <c r="Z1132" s="4" t="str">
        <f>IFERROR(__xludf.DUMMYFUNCTION("IFERROR(
  FILTER('CBK Students'!O:O, TRIM('CBK Students'!B:B) = TRIM(A1132)),
  """"
)"),"#REF!")</f>
        <v>#REF!</v>
      </c>
      <c r="AA1132" s="4" t="str">
        <f>IFERROR(__xludf.DUMMYFUNCTION("IFERROR(
  FILTER('CBK Students'!P:P, TRIM('CBK Students'!B:B) = TRIM(A1132)),
  """"
)"),"#REF!")</f>
        <v>#REF!</v>
      </c>
      <c r="AB1132" s="4" t="str">
        <f>IFERROR(__xludf.DUMMYFUNCTION("IFERROR(
  FILTER('CBK Students'!Q:Q, TRIM('CBK Students'!B:B) = TRIM(A1132)),
  """"
)"),"#REF!")</f>
        <v>#REF!</v>
      </c>
    </row>
    <row r="1133" ht="18.75" customHeight="1">
      <c r="T1133" s="240" t="str">
        <f>IFERROR(__xludf.DUMMYFUNCTION("IFERROR(
  FILTER('CBK Students'!F:F, TRIM('CBK Students'!B:B) = TRIM(A1133)),
  """"
)"),"#REF!")</f>
        <v>#REF!</v>
      </c>
      <c r="U1133" s="240" t="str">
        <f>IFERROR(__xludf.DUMMYFUNCTION("IFERROR(
  FILTER('CBK Students'!H:H, TRIM('CBK Students'!B:B) = TRIM(A1133)),
  """"
)"),"#REF!")</f>
        <v>#REF!</v>
      </c>
      <c r="V1133" s="240" t="str">
        <f>IFERROR(__xludf.DUMMYFUNCTION("IFERROR(
  FILTER('CBK Students'!M:M, TRIM('CBK Students'!B:B) = TRIM(A1133)),
  """"
)"),"#REF!")</f>
        <v>#REF!</v>
      </c>
      <c r="W1133" s="240" t="str">
        <f t="shared" si="1"/>
        <v/>
      </c>
      <c r="X1133" s="240" t="str">
        <f>IFERROR(__xludf.DUMMYFUNCTION("IFERROR(
  FILTER('CBK Students'!R:R, TRIM('CBK Students'!B:B) = TRIM(A1133)),
  """"
)"),"#REF!")</f>
        <v>#REF!</v>
      </c>
      <c r="Y1133" s="4" t="str">
        <f t="shared" si="2"/>
        <v/>
      </c>
      <c r="Z1133" s="4" t="str">
        <f>IFERROR(__xludf.DUMMYFUNCTION("IFERROR(
  FILTER('CBK Students'!O:O, TRIM('CBK Students'!B:B) = TRIM(A1133)),
  """"
)"),"#REF!")</f>
        <v>#REF!</v>
      </c>
      <c r="AA1133" s="4" t="str">
        <f>IFERROR(__xludf.DUMMYFUNCTION("IFERROR(
  FILTER('CBK Students'!P:P, TRIM('CBK Students'!B:B) = TRIM(A1133)),
  """"
)"),"#REF!")</f>
        <v>#REF!</v>
      </c>
      <c r="AB1133" s="4" t="str">
        <f>IFERROR(__xludf.DUMMYFUNCTION("IFERROR(
  FILTER('CBK Students'!Q:Q, TRIM('CBK Students'!B:B) = TRIM(A1133)),
  """"
)"),"#REF!")</f>
        <v>#REF!</v>
      </c>
    </row>
    <row r="1134" ht="18.75" customHeight="1">
      <c r="T1134" s="240" t="str">
        <f>IFERROR(__xludf.DUMMYFUNCTION("IFERROR(
  FILTER('CBK Students'!F:F, TRIM('CBK Students'!B:B) = TRIM(A1134)),
  """"
)"),"#REF!")</f>
        <v>#REF!</v>
      </c>
      <c r="U1134" s="240" t="str">
        <f>IFERROR(__xludf.DUMMYFUNCTION("IFERROR(
  FILTER('CBK Students'!H:H, TRIM('CBK Students'!B:B) = TRIM(A1134)),
  """"
)"),"#REF!")</f>
        <v>#REF!</v>
      </c>
      <c r="V1134" s="240" t="str">
        <f>IFERROR(__xludf.DUMMYFUNCTION("IFERROR(
  FILTER('CBK Students'!M:M, TRIM('CBK Students'!B:B) = TRIM(A1134)),
  """"
)"),"#REF!")</f>
        <v>#REF!</v>
      </c>
      <c r="W1134" s="240" t="str">
        <f t="shared" si="1"/>
        <v/>
      </c>
      <c r="X1134" s="240" t="str">
        <f>IFERROR(__xludf.DUMMYFUNCTION("IFERROR(
  FILTER('CBK Students'!R:R, TRIM('CBK Students'!B:B) = TRIM(A1134)),
  """"
)"),"#REF!")</f>
        <v>#REF!</v>
      </c>
      <c r="Y1134" s="4" t="str">
        <f t="shared" si="2"/>
        <v/>
      </c>
      <c r="Z1134" s="4" t="str">
        <f>IFERROR(__xludf.DUMMYFUNCTION("IFERROR(
  FILTER('CBK Students'!O:O, TRIM('CBK Students'!B:B) = TRIM(A1134)),
  """"
)"),"#REF!")</f>
        <v>#REF!</v>
      </c>
      <c r="AA1134" s="4" t="str">
        <f>IFERROR(__xludf.DUMMYFUNCTION("IFERROR(
  FILTER('CBK Students'!P:P, TRIM('CBK Students'!B:B) = TRIM(A1134)),
  """"
)"),"#REF!")</f>
        <v>#REF!</v>
      </c>
      <c r="AB1134" s="4" t="str">
        <f>IFERROR(__xludf.DUMMYFUNCTION("IFERROR(
  FILTER('CBK Students'!Q:Q, TRIM('CBK Students'!B:B) = TRIM(A1134)),
  """"
)"),"#REF!")</f>
        <v>#REF!</v>
      </c>
    </row>
    <row r="1135" ht="18.75" customHeight="1">
      <c r="T1135" s="240" t="str">
        <f>IFERROR(__xludf.DUMMYFUNCTION("IFERROR(
  FILTER('CBK Students'!F:F, TRIM('CBK Students'!B:B) = TRIM(A1135)),
  """"
)"),"#REF!")</f>
        <v>#REF!</v>
      </c>
      <c r="U1135" s="240" t="str">
        <f>IFERROR(__xludf.DUMMYFUNCTION("IFERROR(
  FILTER('CBK Students'!H:H, TRIM('CBK Students'!B:B) = TRIM(A1135)),
  """"
)"),"#REF!")</f>
        <v>#REF!</v>
      </c>
      <c r="V1135" s="240" t="str">
        <f>IFERROR(__xludf.DUMMYFUNCTION("IFERROR(
  FILTER('CBK Students'!M:M, TRIM('CBK Students'!B:B) = TRIM(A1135)),
  """"
)"),"#REF!")</f>
        <v>#REF!</v>
      </c>
      <c r="W1135" s="240" t="str">
        <f t="shared" si="1"/>
        <v/>
      </c>
      <c r="X1135" s="240" t="str">
        <f>IFERROR(__xludf.DUMMYFUNCTION("IFERROR(
  FILTER('CBK Students'!R:R, TRIM('CBK Students'!B:B) = TRIM(A1135)),
  """"
)"),"#REF!")</f>
        <v>#REF!</v>
      </c>
      <c r="Y1135" s="4" t="str">
        <f t="shared" si="2"/>
        <v/>
      </c>
      <c r="Z1135" s="4" t="str">
        <f>IFERROR(__xludf.DUMMYFUNCTION("IFERROR(
  FILTER('CBK Students'!O:O, TRIM('CBK Students'!B:B) = TRIM(A1135)),
  """"
)"),"#REF!")</f>
        <v>#REF!</v>
      </c>
      <c r="AA1135" s="4" t="str">
        <f>IFERROR(__xludf.DUMMYFUNCTION("IFERROR(
  FILTER('CBK Students'!P:P, TRIM('CBK Students'!B:B) = TRIM(A1135)),
  """"
)"),"#REF!")</f>
        <v>#REF!</v>
      </c>
      <c r="AB1135" s="4" t="str">
        <f>IFERROR(__xludf.DUMMYFUNCTION("IFERROR(
  FILTER('CBK Students'!Q:Q, TRIM('CBK Students'!B:B) = TRIM(A1135)),
  """"
)"),"#REF!")</f>
        <v>#REF!</v>
      </c>
    </row>
    <row r="1136" ht="18.75" customHeight="1">
      <c r="T1136" s="240" t="str">
        <f>IFERROR(__xludf.DUMMYFUNCTION("IFERROR(
  FILTER('CBK Students'!F:F, TRIM('CBK Students'!B:B) = TRIM(A1136)),
  """"
)"),"#REF!")</f>
        <v>#REF!</v>
      </c>
      <c r="U1136" s="240" t="str">
        <f>IFERROR(__xludf.DUMMYFUNCTION("IFERROR(
  FILTER('CBK Students'!H:H, TRIM('CBK Students'!B:B) = TRIM(A1136)),
  """"
)"),"#REF!")</f>
        <v>#REF!</v>
      </c>
      <c r="V1136" s="240" t="str">
        <f>IFERROR(__xludf.DUMMYFUNCTION("IFERROR(
  FILTER('CBK Students'!M:M, TRIM('CBK Students'!B:B) = TRIM(A1136)),
  """"
)"),"#REF!")</f>
        <v>#REF!</v>
      </c>
      <c r="W1136" s="240" t="str">
        <f t="shared" si="1"/>
        <v/>
      </c>
      <c r="X1136" s="240" t="str">
        <f>IFERROR(__xludf.DUMMYFUNCTION("IFERROR(
  FILTER('CBK Students'!R:R, TRIM('CBK Students'!B:B) = TRIM(A1136)),
  """"
)"),"#REF!")</f>
        <v>#REF!</v>
      </c>
      <c r="Y1136" s="4" t="str">
        <f t="shared" si="2"/>
        <v/>
      </c>
      <c r="Z1136" s="4" t="str">
        <f>IFERROR(__xludf.DUMMYFUNCTION("IFERROR(
  FILTER('CBK Students'!O:O, TRIM('CBK Students'!B:B) = TRIM(A1136)),
  """"
)"),"#REF!")</f>
        <v>#REF!</v>
      </c>
      <c r="AA1136" s="4" t="str">
        <f>IFERROR(__xludf.DUMMYFUNCTION("IFERROR(
  FILTER('CBK Students'!P:P, TRIM('CBK Students'!B:B) = TRIM(A1136)),
  """"
)"),"#REF!")</f>
        <v>#REF!</v>
      </c>
      <c r="AB1136" s="4" t="str">
        <f>IFERROR(__xludf.DUMMYFUNCTION("IFERROR(
  FILTER('CBK Students'!Q:Q, TRIM('CBK Students'!B:B) = TRIM(A1136)),
  """"
)"),"#REF!")</f>
        <v>#REF!</v>
      </c>
    </row>
    <row r="1137" ht="18.75" customHeight="1">
      <c r="T1137" s="240" t="str">
        <f>IFERROR(__xludf.DUMMYFUNCTION("IFERROR(
  FILTER('CBK Students'!F:F, TRIM('CBK Students'!B:B) = TRIM(A1137)),
  """"
)"),"#REF!")</f>
        <v>#REF!</v>
      </c>
      <c r="U1137" s="240" t="str">
        <f>IFERROR(__xludf.DUMMYFUNCTION("IFERROR(
  FILTER('CBK Students'!H:H, TRIM('CBK Students'!B:B) = TRIM(A1137)),
  """"
)"),"#REF!")</f>
        <v>#REF!</v>
      </c>
      <c r="V1137" s="240" t="str">
        <f>IFERROR(__xludf.DUMMYFUNCTION("IFERROR(
  FILTER('CBK Students'!M:M, TRIM('CBK Students'!B:B) = TRIM(A1137)),
  """"
)"),"#REF!")</f>
        <v>#REF!</v>
      </c>
      <c r="W1137" s="240" t="str">
        <f t="shared" si="1"/>
        <v/>
      </c>
      <c r="X1137" s="240" t="str">
        <f>IFERROR(__xludf.DUMMYFUNCTION("IFERROR(
  FILTER('CBK Students'!R:R, TRIM('CBK Students'!B:B) = TRIM(A1137)),
  """"
)"),"#REF!")</f>
        <v>#REF!</v>
      </c>
      <c r="Y1137" s="4" t="str">
        <f t="shared" si="2"/>
        <v/>
      </c>
      <c r="Z1137" s="4" t="str">
        <f>IFERROR(__xludf.DUMMYFUNCTION("IFERROR(
  FILTER('CBK Students'!O:O, TRIM('CBK Students'!B:B) = TRIM(A1137)),
  """"
)"),"#REF!")</f>
        <v>#REF!</v>
      </c>
      <c r="AA1137" s="4" t="str">
        <f>IFERROR(__xludf.DUMMYFUNCTION("IFERROR(
  FILTER('CBK Students'!P:P, TRIM('CBK Students'!B:B) = TRIM(A1137)),
  """"
)"),"#REF!")</f>
        <v>#REF!</v>
      </c>
      <c r="AB1137" s="4" t="str">
        <f>IFERROR(__xludf.DUMMYFUNCTION("IFERROR(
  FILTER('CBK Students'!Q:Q, TRIM('CBK Students'!B:B) = TRIM(A1137)),
  """"
)"),"#REF!")</f>
        <v>#REF!</v>
      </c>
    </row>
    <row r="1138" ht="18.75" customHeight="1">
      <c r="T1138" s="240" t="str">
        <f>IFERROR(__xludf.DUMMYFUNCTION("IFERROR(
  FILTER('CBK Students'!F:F, TRIM('CBK Students'!B:B) = TRIM(A1138)),
  """"
)"),"#REF!")</f>
        <v>#REF!</v>
      </c>
      <c r="U1138" s="240" t="str">
        <f>IFERROR(__xludf.DUMMYFUNCTION("IFERROR(
  FILTER('CBK Students'!H:H, TRIM('CBK Students'!B:B) = TRIM(A1138)),
  """"
)"),"#REF!")</f>
        <v>#REF!</v>
      </c>
      <c r="V1138" s="240" t="str">
        <f>IFERROR(__xludf.DUMMYFUNCTION("IFERROR(
  FILTER('CBK Students'!M:M, TRIM('CBK Students'!B:B) = TRIM(A1138)),
  """"
)"),"#REF!")</f>
        <v>#REF!</v>
      </c>
      <c r="W1138" s="240" t="str">
        <f t="shared" si="1"/>
        <v/>
      </c>
      <c r="X1138" s="240" t="str">
        <f>IFERROR(__xludf.DUMMYFUNCTION("IFERROR(
  FILTER('CBK Students'!R:R, TRIM('CBK Students'!B:B) = TRIM(A1138)),
  """"
)"),"#REF!")</f>
        <v>#REF!</v>
      </c>
      <c r="Y1138" s="4" t="str">
        <f t="shared" si="2"/>
        <v/>
      </c>
      <c r="Z1138" s="4" t="str">
        <f>IFERROR(__xludf.DUMMYFUNCTION("IFERROR(
  FILTER('CBK Students'!O:O, TRIM('CBK Students'!B:B) = TRIM(A1138)),
  """"
)"),"#REF!")</f>
        <v>#REF!</v>
      </c>
      <c r="AA1138" s="4" t="str">
        <f>IFERROR(__xludf.DUMMYFUNCTION("IFERROR(
  FILTER('CBK Students'!P:P, TRIM('CBK Students'!B:B) = TRIM(A1138)),
  """"
)"),"#REF!")</f>
        <v>#REF!</v>
      </c>
      <c r="AB1138" s="4" t="str">
        <f>IFERROR(__xludf.DUMMYFUNCTION("IFERROR(
  FILTER('CBK Students'!Q:Q, TRIM('CBK Students'!B:B) = TRIM(A1138)),
  """"
)"),"#REF!")</f>
        <v>#REF!</v>
      </c>
    </row>
    <row r="1139" ht="18.75" customHeight="1">
      <c r="T1139" s="240" t="str">
        <f>IFERROR(__xludf.DUMMYFUNCTION("IFERROR(
  FILTER('CBK Students'!F:F, TRIM('CBK Students'!B:B) = TRIM(A1139)),
  """"
)"),"#REF!")</f>
        <v>#REF!</v>
      </c>
      <c r="U1139" s="240" t="str">
        <f>IFERROR(__xludf.DUMMYFUNCTION("IFERROR(
  FILTER('CBK Students'!H:H, TRIM('CBK Students'!B:B) = TRIM(A1139)),
  """"
)"),"#REF!")</f>
        <v>#REF!</v>
      </c>
      <c r="V1139" s="240" t="str">
        <f>IFERROR(__xludf.DUMMYFUNCTION("IFERROR(
  FILTER('CBK Students'!M:M, TRIM('CBK Students'!B:B) = TRIM(A1139)),
  """"
)"),"#REF!")</f>
        <v>#REF!</v>
      </c>
      <c r="W1139" s="240" t="str">
        <f t="shared" si="1"/>
        <v/>
      </c>
      <c r="X1139" s="240" t="str">
        <f>IFERROR(__xludf.DUMMYFUNCTION("IFERROR(
  FILTER('CBK Students'!R:R, TRIM('CBK Students'!B:B) = TRIM(A1139)),
  """"
)"),"#REF!")</f>
        <v>#REF!</v>
      </c>
      <c r="Y1139" s="4" t="str">
        <f t="shared" si="2"/>
        <v/>
      </c>
      <c r="Z1139" s="4" t="str">
        <f>IFERROR(__xludf.DUMMYFUNCTION("IFERROR(
  FILTER('CBK Students'!O:O, TRIM('CBK Students'!B:B) = TRIM(A1139)),
  """"
)"),"#REF!")</f>
        <v>#REF!</v>
      </c>
      <c r="AA1139" s="4" t="str">
        <f>IFERROR(__xludf.DUMMYFUNCTION("IFERROR(
  FILTER('CBK Students'!P:P, TRIM('CBK Students'!B:B) = TRIM(A1139)),
  """"
)"),"#REF!")</f>
        <v>#REF!</v>
      </c>
      <c r="AB1139" s="4" t="str">
        <f>IFERROR(__xludf.DUMMYFUNCTION("IFERROR(
  FILTER('CBK Students'!Q:Q, TRIM('CBK Students'!B:B) = TRIM(A1139)),
  """"
)"),"#REF!")</f>
        <v>#REF!</v>
      </c>
    </row>
    <row r="1140" ht="18.75" customHeight="1">
      <c r="T1140" s="240" t="str">
        <f>IFERROR(__xludf.DUMMYFUNCTION("IFERROR(
  FILTER('CBK Students'!F:F, TRIM('CBK Students'!B:B) = TRIM(A1140)),
  """"
)"),"#REF!")</f>
        <v>#REF!</v>
      </c>
      <c r="U1140" s="240" t="str">
        <f>IFERROR(__xludf.DUMMYFUNCTION("IFERROR(
  FILTER('CBK Students'!H:H, TRIM('CBK Students'!B:B) = TRIM(A1140)),
  """"
)"),"#REF!")</f>
        <v>#REF!</v>
      </c>
      <c r="V1140" s="240" t="str">
        <f>IFERROR(__xludf.DUMMYFUNCTION("IFERROR(
  FILTER('CBK Students'!M:M, TRIM('CBK Students'!B:B) = TRIM(A1140)),
  """"
)"),"#REF!")</f>
        <v>#REF!</v>
      </c>
      <c r="W1140" s="240" t="str">
        <f t="shared" si="1"/>
        <v/>
      </c>
      <c r="X1140" s="240" t="str">
        <f>IFERROR(__xludf.DUMMYFUNCTION("IFERROR(
  FILTER('CBK Students'!R:R, TRIM('CBK Students'!B:B) = TRIM(A1140)),
  """"
)"),"#REF!")</f>
        <v>#REF!</v>
      </c>
      <c r="Y1140" s="4" t="str">
        <f t="shared" si="2"/>
        <v/>
      </c>
      <c r="Z1140" s="4" t="str">
        <f>IFERROR(__xludf.DUMMYFUNCTION("IFERROR(
  FILTER('CBK Students'!O:O, TRIM('CBK Students'!B:B) = TRIM(A1140)),
  """"
)"),"#REF!")</f>
        <v>#REF!</v>
      </c>
      <c r="AA1140" s="4" t="str">
        <f>IFERROR(__xludf.DUMMYFUNCTION("IFERROR(
  FILTER('CBK Students'!P:P, TRIM('CBK Students'!B:B) = TRIM(A1140)),
  """"
)"),"#REF!")</f>
        <v>#REF!</v>
      </c>
      <c r="AB1140" s="4" t="str">
        <f>IFERROR(__xludf.DUMMYFUNCTION("IFERROR(
  FILTER('CBK Students'!Q:Q, TRIM('CBK Students'!B:B) = TRIM(A1140)),
  """"
)"),"#REF!")</f>
        <v>#REF!</v>
      </c>
    </row>
    <row r="1141" ht="18.75" customHeight="1">
      <c r="T1141" s="240" t="str">
        <f>IFERROR(__xludf.DUMMYFUNCTION("IFERROR(
  FILTER('CBK Students'!F:F, TRIM('CBK Students'!B:B) = TRIM(A1141)),
  """"
)"),"#REF!")</f>
        <v>#REF!</v>
      </c>
      <c r="U1141" s="240" t="str">
        <f>IFERROR(__xludf.DUMMYFUNCTION("IFERROR(
  FILTER('CBK Students'!H:H, TRIM('CBK Students'!B:B) = TRIM(A1141)),
  """"
)"),"#REF!")</f>
        <v>#REF!</v>
      </c>
      <c r="V1141" s="240" t="str">
        <f>IFERROR(__xludf.DUMMYFUNCTION("IFERROR(
  FILTER('CBK Students'!M:M, TRIM('CBK Students'!B:B) = TRIM(A1141)),
  """"
)"),"#REF!")</f>
        <v>#REF!</v>
      </c>
      <c r="W1141" s="240" t="str">
        <f t="shared" si="1"/>
        <v/>
      </c>
      <c r="X1141" s="240" t="str">
        <f>IFERROR(__xludf.DUMMYFUNCTION("IFERROR(
  FILTER('CBK Students'!R:R, TRIM('CBK Students'!B:B) = TRIM(A1141)),
  """"
)"),"#REF!")</f>
        <v>#REF!</v>
      </c>
      <c r="Y1141" s="4" t="str">
        <f t="shared" si="2"/>
        <v/>
      </c>
      <c r="Z1141" s="4" t="str">
        <f>IFERROR(__xludf.DUMMYFUNCTION("IFERROR(
  FILTER('CBK Students'!O:O, TRIM('CBK Students'!B:B) = TRIM(A1141)),
  """"
)"),"#REF!")</f>
        <v>#REF!</v>
      </c>
      <c r="AA1141" s="4" t="str">
        <f>IFERROR(__xludf.DUMMYFUNCTION("IFERROR(
  FILTER('CBK Students'!P:P, TRIM('CBK Students'!B:B) = TRIM(A1141)),
  """"
)"),"#REF!")</f>
        <v>#REF!</v>
      </c>
      <c r="AB1141" s="4" t="str">
        <f>IFERROR(__xludf.DUMMYFUNCTION("IFERROR(
  FILTER('CBK Students'!Q:Q, TRIM('CBK Students'!B:B) = TRIM(A1141)),
  """"
)"),"#REF!")</f>
        <v>#REF!</v>
      </c>
    </row>
    <row r="1142" ht="18.75" customHeight="1">
      <c r="T1142" s="240" t="str">
        <f>IFERROR(__xludf.DUMMYFUNCTION("IFERROR(
  FILTER('CBK Students'!F:F, TRIM('CBK Students'!B:B) = TRIM(A1142)),
  """"
)"),"#REF!")</f>
        <v>#REF!</v>
      </c>
      <c r="U1142" s="240" t="str">
        <f>IFERROR(__xludf.DUMMYFUNCTION("IFERROR(
  FILTER('CBK Students'!H:H, TRIM('CBK Students'!B:B) = TRIM(A1142)),
  """"
)"),"#REF!")</f>
        <v>#REF!</v>
      </c>
      <c r="V1142" s="240" t="str">
        <f>IFERROR(__xludf.DUMMYFUNCTION("IFERROR(
  FILTER('CBK Students'!M:M, TRIM('CBK Students'!B:B) = TRIM(A1142)),
  """"
)"),"#REF!")</f>
        <v>#REF!</v>
      </c>
      <c r="W1142" s="240" t="str">
        <f t="shared" si="1"/>
        <v/>
      </c>
      <c r="X1142" s="240" t="str">
        <f>IFERROR(__xludf.DUMMYFUNCTION("IFERROR(
  FILTER('CBK Students'!R:R, TRIM('CBK Students'!B:B) = TRIM(A1142)),
  """"
)"),"#REF!")</f>
        <v>#REF!</v>
      </c>
      <c r="Y1142" s="4" t="str">
        <f t="shared" si="2"/>
        <v/>
      </c>
      <c r="Z1142" s="4" t="str">
        <f>IFERROR(__xludf.DUMMYFUNCTION("IFERROR(
  FILTER('CBK Students'!O:O, TRIM('CBK Students'!B:B) = TRIM(A1142)),
  """"
)"),"#REF!")</f>
        <v>#REF!</v>
      </c>
      <c r="AA1142" s="4" t="str">
        <f>IFERROR(__xludf.DUMMYFUNCTION("IFERROR(
  FILTER('CBK Students'!P:P, TRIM('CBK Students'!B:B) = TRIM(A1142)),
  """"
)"),"#REF!")</f>
        <v>#REF!</v>
      </c>
      <c r="AB1142" s="4" t="str">
        <f>IFERROR(__xludf.DUMMYFUNCTION("IFERROR(
  FILTER('CBK Students'!Q:Q, TRIM('CBK Students'!B:B) = TRIM(A1142)),
  """"
)"),"#REF!")</f>
        <v>#REF!</v>
      </c>
    </row>
    <row r="1143" ht="18.75" customHeight="1">
      <c r="T1143" s="240" t="str">
        <f>IFERROR(__xludf.DUMMYFUNCTION("IFERROR(
  FILTER('CBK Students'!F:F, TRIM('CBK Students'!B:B) = TRIM(A1143)),
  """"
)"),"#REF!")</f>
        <v>#REF!</v>
      </c>
      <c r="U1143" s="240" t="str">
        <f>IFERROR(__xludf.DUMMYFUNCTION("IFERROR(
  FILTER('CBK Students'!H:H, TRIM('CBK Students'!B:B) = TRIM(A1143)),
  """"
)"),"#REF!")</f>
        <v>#REF!</v>
      </c>
      <c r="V1143" s="240" t="str">
        <f>IFERROR(__xludf.DUMMYFUNCTION("IFERROR(
  FILTER('CBK Students'!M:M, TRIM('CBK Students'!B:B) = TRIM(A1143)),
  """"
)"),"#REF!")</f>
        <v>#REF!</v>
      </c>
      <c r="W1143" s="240" t="str">
        <f t="shared" si="1"/>
        <v/>
      </c>
      <c r="X1143" s="240" t="str">
        <f>IFERROR(__xludf.DUMMYFUNCTION("IFERROR(
  FILTER('CBK Students'!R:R, TRIM('CBK Students'!B:B) = TRIM(A1143)),
  """"
)"),"#REF!")</f>
        <v>#REF!</v>
      </c>
      <c r="Y1143" s="4" t="str">
        <f t="shared" si="2"/>
        <v/>
      </c>
      <c r="Z1143" s="4" t="str">
        <f>IFERROR(__xludf.DUMMYFUNCTION("IFERROR(
  FILTER('CBK Students'!O:O, TRIM('CBK Students'!B:B) = TRIM(A1143)),
  """"
)"),"#REF!")</f>
        <v>#REF!</v>
      </c>
      <c r="AA1143" s="4" t="str">
        <f>IFERROR(__xludf.DUMMYFUNCTION("IFERROR(
  FILTER('CBK Students'!P:P, TRIM('CBK Students'!B:B) = TRIM(A1143)),
  """"
)"),"#REF!")</f>
        <v>#REF!</v>
      </c>
      <c r="AB1143" s="4" t="str">
        <f>IFERROR(__xludf.DUMMYFUNCTION("IFERROR(
  FILTER('CBK Students'!Q:Q, TRIM('CBK Students'!B:B) = TRIM(A1143)),
  """"
)"),"#REF!")</f>
        <v>#REF!</v>
      </c>
    </row>
    <row r="1144" ht="18.75" customHeight="1">
      <c r="T1144" s="240" t="str">
        <f>IFERROR(__xludf.DUMMYFUNCTION("IFERROR(
  FILTER('CBK Students'!F:F, TRIM('CBK Students'!B:B) = TRIM(A1144)),
  """"
)"),"#REF!")</f>
        <v>#REF!</v>
      </c>
      <c r="U1144" s="240" t="str">
        <f>IFERROR(__xludf.DUMMYFUNCTION("IFERROR(
  FILTER('CBK Students'!H:H, TRIM('CBK Students'!B:B) = TRIM(A1144)),
  """"
)"),"#REF!")</f>
        <v>#REF!</v>
      </c>
      <c r="V1144" s="240" t="str">
        <f>IFERROR(__xludf.DUMMYFUNCTION("IFERROR(
  FILTER('CBK Students'!M:M, TRIM('CBK Students'!B:B) = TRIM(A1144)),
  """"
)"),"#REF!")</f>
        <v>#REF!</v>
      </c>
      <c r="W1144" s="240" t="str">
        <f t="shared" si="1"/>
        <v/>
      </c>
      <c r="X1144" s="240" t="str">
        <f>IFERROR(__xludf.DUMMYFUNCTION("IFERROR(
  FILTER('CBK Students'!R:R, TRIM('CBK Students'!B:B) = TRIM(A1144)),
  """"
)"),"#REF!")</f>
        <v>#REF!</v>
      </c>
      <c r="Y1144" s="4" t="str">
        <f t="shared" si="2"/>
        <v/>
      </c>
      <c r="Z1144" s="4" t="str">
        <f>IFERROR(__xludf.DUMMYFUNCTION("IFERROR(
  FILTER('CBK Students'!O:O, TRIM('CBK Students'!B:B) = TRIM(A1144)),
  """"
)"),"#REF!")</f>
        <v>#REF!</v>
      </c>
      <c r="AA1144" s="4" t="str">
        <f>IFERROR(__xludf.DUMMYFUNCTION("IFERROR(
  FILTER('CBK Students'!P:P, TRIM('CBK Students'!B:B) = TRIM(A1144)),
  """"
)"),"#REF!")</f>
        <v>#REF!</v>
      </c>
      <c r="AB1144" s="4" t="str">
        <f>IFERROR(__xludf.DUMMYFUNCTION("IFERROR(
  FILTER('CBK Students'!Q:Q, TRIM('CBK Students'!B:B) = TRIM(A1144)),
  """"
)"),"#REF!")</f>
        <v>#REF!</v>
      </c>
    </row>
    <row r="1145" ht="18.75" customHeight="1">
      <c r="T1145" s="240" t="str">
        <f>IFERROR(__xludf.DUMMYFUNCTION("IFERROR(
  FILTER('CBK Students'!F:F, TRIM('CBK Students'!B:B) = TRIM(A1145)),
  """"
)"),"#REF!")</f>
        <v>#REF!</v>
      </c>
      <c r="U1145" s="240" t="str">
        <f>IFERROR(__xludf.DUMMYFUNCTION("IFERROR(
  FILTER('CBK Students'!H:H, TRIM('CBK Students'!B:B) = TRIM(A1145)),
  """"
)"),"#REF!")</f>
        <v>#REF!</v>
      </c>
      <c r="V1145" s="240" t="str">
        <f>IFERROR(__xludf.DUMMYFUNCTION("IFERROR(
  FILTER('CBK Students'!M:M, TRIM('CBK Students'!B:B) = TRIM(A1145)),
  """"
)"),"#REF!")</f>
        <v>#REF!</v>
      </c>
      <c r="W1145" s="240" t="str">
        <f t="shared" si="1"/>
        <v/>
      </c>
      <c r="X1145" s="240" t="str">
        <f>IFERROR(__xludf.DUMMYFUNCTION("IFERROR(
  FILTER('CBK Students'!R:R, TRIM('CBK Students'!B:B) = TRIM(A1145)),
  """"
)"),"#REF!")</f>
        <v>#REF!</v>
      </c>
      <c r="Y1145" s="4" t="str">
        <f t="shared" si="2"/>
        <v/>
      </c>
      <c r="Z1145" s="4" t="str">
        <f>IFERROR(__xludf.DUMMYFUNCTION("IFERROR(
  FILTER('CBK Students'!O:O, TRIM('CBK Students'!B:B) = TRIM(A1145)),
  """"
)"),"#REF!")</f>
        <v>#REF!</v>
      </c>
      <c r="AA1145" s="4" t="str">
        <f>IFERROR(__xludf.DUMMYFUNCTION("IFERROR(
  FILTER('CBK Students'!P:P, TRIM('CBK Students'!B:B) = TRIM(A1145)),
  """"
)"),"#REF!")</f>
        <v>#REF!</v>
      </c>
      <c r="AB1145" s="4" t="str">
        <f>IFERROR(__xludf.DUMMYFUNCTION("IFERROR(
  FILTER('CBK Students'!Q:Q, TRIM('CBK Students'!B:B) = TRIM(A1145)),
  """"
)"),"#REF!")</f>
        <v>#REF!</v>
      </c>
    </row>
    <row r="1146" ht="18.75" customHeight="1">
      <c r="T1146" s="240" t="str">
        <f>IFERROR(__xludf.DUMMYFUNCTION("IFERROR(
  FILTER('CBK Students'!F:F, TRIM('CBK Students'!B:B) = TRIM(A1146)),
  """"
)"),"#REF!")</f>
        <v>#REF!</v>
      </c>
      <c r="U1146" s="240" t="str">
        <f>IFERROR(__xludf.DUMMYFUNCTION("IFERROR(
  FILTER('CBK Students'!H:H, TRIM('CBK Students'!B:B) = TRIM(A1146)),
  """"
)"),"#REF!")</f>
        <v>#REF!</v>
      </c>
      <c r="V1146" s="240" t="str">
        <f>IFERROR(__xludf.DUMMYFUNCTION("IFERROR(
  FILTER('CBK Students'!M:M, TRIM('CBK Students'!B:B) = TRIM(A1146)),
  """"
)"),"#REF!")</f>
        <v>#REF!</v>
      </c>
      <c r="W1146" s="240" t="str">
        <f t="shared" si="1"/>
        <v/>
      </c>
      <c r="X1146" s="240" t="str">
        <f>IFERROR(__xludf.DUMMYFUNCTION("IFERROR(
  FILTER('CBK Students'!R:R, TRIM('CBK Students'!B:B) = TRIM(A1146)),
  """"
)"),"#REF!")</f>
        <v>#REF!</v>
      </c>
      <c r="Y1146" s="4" t="str">
        <f t="shared" si="2"/>
        <v/>
      </c>
      <c r="Z1146" s="4" t="str">
        <f>IFERROR(__xludf.DUMMYFUNCTION("IFERROR(
  FILTER('CBK Students'!O:O, TRIM('CBK Students'!B:B) = TRIM(A1146)),
  """"
)"),"#REF!")</f>
        <v>#REF!</v>
      </c>
      <c r="AA1146" s="4" t="str">
        <f>IFERROR(__xludf.DUMMYFUNCTION("IFERROR(
  FILTER('CBK Students'!P:P, TRIM('CBK Students'!B:B) = TRIM(A1146)),
  """"
)"),"#REF!")</f>
        <v>#REF!</v>
      </c>
      <c r="AB1146" s="4" t="str">
        <f>IFERROR(__xludf.DUMMYFUNCTION("IFERROR(
  FILTER('CBK Students'!Q:Q, TRIM('CBK Students'!B:B) = TRIM(A1146)),
  """"
)"),"#REF!")</f>
        <v>#REF!</v>
      </c>
    </row>
    <row r="1147" ht="18.75" customHeight="1">
      <c r="T1147" s="240" t="str">
        <f>IFERROR(__xludf.DUMMYFUNCTION("IFERROR(
  FILTER('CBK Students'!F:F, TRIM('CBK Students'!B:B) = TRIM(A1147)),
  """"
)"),"#REF!")</f>
        <v>#REF!</v>
      </c>
      <c r="U1147" s="240" t="str">
        <f>IFERROR(__xludf.DUMMYFUNCTION("IFERROR(
  FILTER('CBK Students'!H:H, TRIM('CBK Students'!B:B) = TRIM(A1147)),
  """"
)"),"#REF!")</f>
        <v>#REF!</v>
      </c>
      <c r="V1147" s="240" t="str">
        <f>IFERROR(__xludf.DUMMYFUNCTION("IFERROR(
  FILTER('CBK Students'!M:M, TRIM('CBK Students'!B:B) = TRIM(A1147)),
  """"
)"),"#REF!")</f>
        <v>#REF!</v>
      </c>
      <c r="W1147" s="240" t="str">
        <f t="shared" si="1"/>
        <v/>
      </c>
      <c r="X1147" s="240" t="str">
        <f>IFERROR(__xludf.DUMMYFUNCTION("IFERROR(
  FILTER('CBK Students'!R:R, TRIM('CBK Students'!B:B) = TRIM(A1147)),
  """"
)"),"#REF!")</f>
        <v>#REF!</v>
      </c>
      <c r="Y1147" s="4" t="str">
        <f t="shared" si="2"/>
        <v/>
      </c>
      <c r="Z1147" s="4" t="str">
        <f>IFERROR(__xludf.DUMMYFUNCTION("IFERROR(
  FILTER('CBK Students'!O:O, TRIM('CBK Students'!B:B) = TRIM(A1147)),
  """"
)"),"#REF!")</f>
        <v>#REF!</v>
      </c>
      <c r="AA1147" s="4" t="str">
        <f>IFERROR(__xludf.DUMMYFUNCTION("IFERROR(
  FILTER('CBK Students'!P:P, TRIM('CBK Students'!B:B) = TRIM(A1147)),
  """"
)"),"#REF!")</f>
        <v>#REF!</v>
      </c>
      <c r="AB1147" s="4" t="str">
        <f>IFERROR(__xludf.DUMMYFUNCTION("IFERROR(
  FILTER('CBK Students'!Q:Q, TRIM('CBK Students'!B:B) = TRIM(A1147)),
  """"
)"),"#REF!")</f>
        <v>#REF!</v>
      </c>
    </row>
    <row r="1148" ht="18.75" customHeight="1">
      <c r="T1148" s="240" t="str">
        <f>IFERROR(__xludf.DUMMYFUNCTION("IFERROR(
  FILTER('CBK Students'!F:F, TRIM('CBK Students'!B:B) = TRIM(A1148)),
  """"
)"),"#REF!")</f>
        <v>#REF!</v>
      </c>
      <c r="U1148" s="240" t="str">
        <f>IFERROR(__xludf.DUMMYFUNCTION("IFERROR(
  FILTER('CBK Students'!H:H, TRIM('CBK Students'!B:B) = TRIM(A1148)),
  """"
)"),"#REF!")</f>
        <v>#REF!</v>
      </c>
      <c r="V1148" s="240" t="str">
        <f>IFERROR(__xludf.DUMMYFUNCTION("IFERROR(
  FILTER('CBK Students'!M:M, TRIM('CBK Students'!B:B) = TRIM(A1148)),
  """"
)"),"#REF!")</f>
        <v>#REF!</v>
      </c>
      <c r="W1148" s="240" t="str">
        <f t="shared" si="1"/>
        <v/>
      </c>
      <c r="X1148" s="240" t="str">
        <f>IFERROR(__xludf.DUMMYFUNCTION("IFERROR(
  FILTER('CBK Students'!R:R, TRIM('CBK Students'!B:B) = TRIM(A1148)),
  """"
)"),"#REF!")</f>
        <v>#REF!</v>
      </c>
      <c r="Y1148" s="4" t="str">
        <f t="shared" si="2"/>
        <v/>
      </c>
      <c r="Z1148" s="4" t="str">
        <f>IFERROR(__xludf.DUMMYFUNCTION("IFERROR(
  FILTER('CBK Students'!O:O, TRIM('CBK Students'!B:B) = TRIM(A1148)),
  """"
)"),"#REF!")</f>
        <v>#REF!</v>
      </c>
      <c r="AA1148" s="4" t="str">
        <f>IFERROR(__xludf.DUMMYFUNCTION("IFERROR(
  FILTER('CBK Students'!P:P, TRIM('CBK Students'!B:B) = TRIM(A1148)),
  """"
)"),"#REF!")</f>
        <v>#REF!</v>
      </c>
      <c r="AB1148" s="4" t="str">
        <f>IFERROR(__xludf.DUMMYFUNCTION("IFERROR(
  FILTER('CBK Students'!Q:Q, TRIM('CBK Students'!B:B) = TRIM(A1148)),
  """"
)"),"#REF!")</f>
        <v>#REF!</v>
      </c>
    </row>
    <row r="1149" ht="18.75" customHeight="1">
      <c r="T1149" s="240" t="str">
        <f>IFERROR(__xludf.DUMMYFUNCTION("IFERROR(
  FILTER('CBK Students'!F:F, TRIM('CBK Students'!B:B) = TRIM(A1149)),
  """"
)"),"#REF!")</f>
        <v>#REF!</v>
      </c>
      <c r="U1149" s="240" t="str">
        <f>IFERROR(__xludf.DUMMYFUNCTION("IFERROR(
  FILTER('CBK Students'!H:H, TRIM('CBK Students'!B:B) = TRIM(A1149)),
  """"
)"),"#REF!")</f>
        <v>#REF!</v>
      </c>
      <c r="V1149" s="240" t="str">
        <f>IFERROR(__xludf.DUMMYFUNCTION("IFERROR(
  FILTER('CBK Students'!M:M, TRIM('CBK Students'!B:B) = TRIM(A1149)),
  """"
)"),"#REF!")</f>
        <v>#REF!</v>
      </c>
      <c r="W1149" s="240" t="str">
        <f t="shared" si="1"/>
        <v/>
      </c>
      <c r="X1149" s="240" t="str">
        <f>IFERROR(__xludf.DUMMYFUNCTION("IFERROR(
  FILTER('CBK Students'!R:R, TRIM('CBK Students'!B:B) = TRIM(A1149)),
  """"
)"),"#REF!")</f>
        <v>#REF!</v>
      </c>
      <c r="Y1149" s="4" t="str">
        <f t="shared" si="2"/>
        <v/>
      </c>
      <c r="Z1149" s="4" t="str">
        <f>IFERROR(__xludf.DUMMYFUNCTION("IFERROR(
  FILTER('CBK Students'!O:O, TRIM('CBK Students'!B:B) = TRIM(A1149)),
  """"
)"),"#REF!")</f>
        <v>#REF!</v>
      </c>
      <c r="AA1149" s="4" t="str">
        <f>IFERROR(__xludf.DUMMYFUNCTION("IFERROR(
  FILTER('CBK Students'!P:P, TRIM('CBK Students'!B:B) = TRIM(A1149)),
  """"
)"),"#REF!")</f>
        <v>#REF!</v>
      </c>
      <c r="AB1149" s="4" t="str">
        <f>IFERROR(__xludf.DUMMYFUNCTION("IFERROR(
  FILTER('CBK Students'!Q:Q, TRIM('CBK Students'!B:B) = TRIM(A1149)),
  """"
)"),"#REF!")</f>
        <v>#REF!</v>
      </c>
    </row>
    <row r="1150" ht="18.75" customHeight="1">
      <c r="T1150" s="240" t="str">
        <f>IFERROR(__xludf.DUMMYFUNCTION("IFERROR(
  FILTER('CBK Students'!F:F, TRIM('CBK Students'!B:B) = TRIM(A1150)),
  """"
)"),"#REF!")</f>
        <v>#REF!</v>
      </c>
      <c r="U1150" s="240" t="str">
        <f>IFERROR(__xludf.DUMMYFUNCTION("IFERROR(
  FILTER('CBK Students'!H:H, TRIM('CBK Students'!B:B) = TRIM(A1150)),
  """"
)"),"#REF!")</f>
        <v>#REF!</v>
      </c>
      <c r="V1150" s="240" t="str">
        <f>IFERROR(__xludf.DUMMYFUNCTION("IFERROR(
  FILTER('CBK Students'!M:M, TRIM('CBK Students'!B:B) = TRIM(A1150)),
  """"
)"),"#REF!")</f>
        <v>#REF!</v>
      </c>
      <c r="W1150" s="240" t="str">
        <f t="shared" si="1"/>
        <v/>
      </c>
      <c r="X1150" s="240" t="str">
        <f>IFERROR(__xludf.DUMMYFUNCTION("IFERROR(
  FILTER('CBK Students'!R:R, TRIM('CBK Students'!B:B) = TRIM(A1150)),
  """"
)"),"#REF!")</f>
        <v>#REF!</v>
      </c>
      <c r="Y1150" s="4" t="str">
        <f t="shared" si="2"/>
        <v/>
      </c>
      <c r="Z1150" s="4" t="str">
        <f>IFERROR(__xludf.DUMMYFUNCTION("IFERROR(
  FILTER('CBK Students'!O:O, TRIM('CBK Students'!B:B) = TRIM(A1150)),
  """"
)"),"#REF!")</f>
        <v>#REF!</v>
      </c>
      <c r="AA1150" s="4" t="str">
        <f>IFERROR(__xludf.DUMMYFUNCTION("IFERROR(
  FILTER('CBK Students'!P:P, TRIM('CBK Students'!B:B) = TRIM(A1150)),
  """"
)"),"#REF!")</f>
        <v>#REF!</v>
      </c>
      <c r="AB1150" s="4" t="str">
        <f>IFERROR(__xludf.DUMMYFUNCTION("IFERROR(
  FILTER('CBK Students'!Q:Q, TRIM('CBK Students'!B:B) = TRIM(A1150)),
  """"
)"),"#REF!")</f>
        <v>#REF!</v>
      </c>
    </row>
    <row r="1151" ht="18.75" customHeight="1">
      <c r="T1151" s="240" t="str">
        <f>IFERROR(__xludf.DUMMYFUNCTION("IFERROR(
  FILTER('CBK Students'!F:F, TRIM('CBK Students'!B:B) = TRIM(A1151)),
  """"
)"),"#REF!")</f>
        <v>#REF!</v>
      </c>
      <c r="U1151" s="240" t="str">
        <f>IFERROR(__xludf.DUMMYFUNCTION("IFERROR(
  FILTER('CBK Students'!H:H, TRIM('CBK Students'!B:B) = TRIM(A1151)),
  """"
)"),"#REF!")</f>
        <v>#REF!</v>
      </c>
      <c r="V1151" s="240" t="str">
        <f>IFERROR(__xludf.DUMMYFUNCTION("IFERROR(
  FILTER('CBK Students'!M:M, TRIM('CBK Students'!B:B) = TRIM(A1151)),
  """"
)"),"#REF!")</f>
        <v>#REF!</v>
      </c>
      <c r="W1151" s="240" t="str">
        <f t="shared" si="1"/>
        <v/>
      </c>
      <c r="X1151" s="240" t="str">
        <f>IFERROR(__xludf.DUMMYFUNCTION("IFERROR(
  FILTER('CBK Students'!R:R, TRIM('CBK Students'!B:B) = TRIM(A1151)),
  """"
)"),"#REF!")</f>
        <v>#REF!</v>
      </c>
      <c r="Y1151" s="4" t="str">
        <f t="shared" si="2"/>
        <v/>
      </c>
      <c r="Z1151" s="4" t="str">
        <f>IFERROR(__xludf.DUMMYFUNCTION("IFERROR(
  FILTER('CBK Students'!O:O, TRIM('CBK Students'!B:B) = TRIM(A1151)),
  """"
)"),"#REF!")</f>
        <v>#REF!</v>
      </c>
      <c r="AA1151" s="4" t="str">
        <f>IFERROR(__xludf.DUMMYFUNCTION("IFERROR(
  FILTER('CBK Students'!P:P, TRIM('CBK Students'!B:B) = TRIM(A1151)),
  """"
)"),"#REF!")</f>
        <v>#REF!</v>
      </c>
      <c r="AB1151" s="4" t="str">
        <f>IFERROR(__xludf.DUMMYFUNCTION("IFERROR(
  FILTER('CBK Students'!Q:Q, TRIM('CBK Students'!B:B) = TRIM(A1151)),
  """"
)"),"#REF!")</f>
        <v>#REF!</v>
      </c>
    </row>
    <row r="1152" ht="18.75" customHeight="1">
      <c r="T1152" s="240" t="str">
        <f>IFERROR(__xludf.DUMMYFUNCTION("IFERROR(
  FILTER('CBK Students'!F:F, TRIM('CBK Students'!B:B) = TRIM(A1152)),
  """"
)"),"#REF!")</f>
        <v>#REF!</v>
      </c>
      <c r="U1152" s="240" t="str">
        <f>IFERROR(__xludf.DUMMYFUNCTION("IFERROR(
  FILTER('CBK Students'!H:H, TRIM('CBK Students'!B:B) = TRIM(A1152)),
  """"
)"),"#REF!")</f>
        <v>#REF!</v>
      </c>
      <c r="V1152" s="240" t="str">
        <f>IFERROR(__xludf.DUMMYFUNCTION("IFERROR(
  FILTER('CBK Students'!M:M, TRIM('CBK Students'!B:B) = TRIM(A1152)),
  """"
)"),"#REF!")</f>
        <v>#REF!</v>
      </c>
      <c r="W1152" s="240" t="str">
        <f t="shared" si="1"/>
        <v/>
      </c>
      <c r="X1152" s="240" t="str">
        <f>IFERROR(__xludf.DUMMYFUNCTION("IFERROR(
  FILTER('CBK Students'!R:R, TRIM('CBK Students'!B:B) = TRIM(A1152)),
  """"
)"),"#REF!")</f>
        <v>#REF!</v>
      </c>
      <c r="Y1152" s="4" t="str">
        <f t="shared" si="2"/>
        <v/>
      </c>
      <c r="Z1152" s="4" t="str">
        <f>IFERROR(__xludf.DUMMYFUNCTION("IFERROR(
  FILTER('CBK Students'!O:O, TRIM('CBK Students'!B:B) = TRIM(A1152)),
  """"
)"),"#REF!")</f>
        <v>#REF!</v>
      </c>
      <c r="AA1152" s="4" t="str">
        <f>IFERROR(__xludf.DUMMYFUNCTION("IFERROR(
  FILTER('CBK Students'!P:P, TRIM('CBK Students'!B:B) = TRIM(A1152)),
  """"
)"),"#REF!")</f>
        <v>#REF!</v>
      </c>
      <c r="AB1152" s="4" t="str">
        <f>IFERROR(__xludf.DUMMYFUNCTION("IFERROR(
  FILTER('CBK Students'!Q:Q, TRIM('CBK Students'!B:B) = TRIM(A1152)),
  """"
)"),"#REF!")</f>
        <v>#REF!</v>
      </c>
    </row>
    <row r="1153" ht="18.75" customHeight="1">
      <c r="T1153" s="240" t="str">
        <f>IFERROR(__xludf.DUMMYFUNCTION("IFERROR(
  FILTER('CBK Students'!F:F, TRIM('CBK Students'!B:B) = TRIM(A1153)),
  """"
)"),"#REF!")</f>
        <v>#REF!</v>
      </c>
      <c r="U1153" s="240" t="str">
        <f>IFERROR(__xludf.DUMMYFUNCTION("IFERROR(
  FILTER('CBK Students'!H:H, TRIM('CBK Students'!B:B) = TRIM(A1153)),
  """"
)"),"#REF!")</f>
        <v>#REF!</v>
      </c>
      <c r="V1153" s="240" t="str">
        <f>IFERROR(__xludf.DUMMYFUNCTION("IFERROR(
  FILTER('CBK Students'!M:M, TRIM('CBK Students'!B:B) = TRIM(A1153)),
  """"
)"),"#REF!")</f>
        <v>#REF!</v>
      </c>
      <c r="W1153" s="240" t="str">
        <f t="shared" si="1"/>
        <v/>
      </c>
      <c r="X1153" s="240" t="str">
        <f>IFERROR(__xludf.DUMMYFUNCTION("IFERROR(
  FILTER('CBK Students'!R:R, TRIM('CBK Students'!B:B) = TRIM(A1153)),
  """"
)"),"#REF!")</f>
        <v>#REF!</v>
      </c>
      <c r="Y1153" s="4" t="str">
        <f t="shared" si="2"/>
        <v/>
      </c>
      <c r="Z1153" s="4" t="str">
        <f>IFERROR(__xludf.DUMMYFUNCTION("IFERROR(
  FILTER('CBK Students'!O:O, TRIM('CBK Students'!B:B) = TRIM(A1153)),
  """"
)"),"#REF!")</f>
        <v>#REF!</v>
      </c>
      <c r="AA1153" s="4" t="str">
        <f>IFERROR(__xludf.DUMMYFUNCTION("IFERROR(
  FILTER('CBK Students'!P:P, TRIM('CBK Students'!B:B) = TRIM(A1153)),
  """"
)"),"#REF!")</f>
        <v>#REF!</v>
      </c>
      <c r="AB1153" s="4" t="str">
        <f>IFERROR(__xludf.DUMMYFUNCTION("IFERROR(
  FILTER('CBK Students'!Q:Q, TRIM('CBK Students'!B:B) = TRIM(A1153)),
  """"
)"),"#REF!")</f>
        <v>#REF!</v>
      </c>
    </row>
    <row r="1154" ht="18.75" customHeight="1">
      <c r="T1154" s="240" t="str">
        <f>IFERROR(__xludf.DUMMYFUNCTION("IFERROR(
  FILTER('CBK Students'!F:F, TRIM('CBK Students'!B:B) = TRIM(A1154)),
  """"
)"),"#REF!")</f>
        <v>#REF!</v>
      </c>
      <c r="U1154" s="240" t="str">
        <f>IFERROR(__xludf.DUMMYFUNCTION("IFERROR(
  FILTER('CBK Students'!H:H, TRIM('CBK Students'!B:B) = TRIM(A1154)),
  """"
)"),"#REF!")</f>
        <v>#REF!</v>
      </c>
      <c r="V1154" s="240" t="str">
        <f>IFERROR(__xludf.DUMMYFUNCTION("IFERROR(
  FILTER('CBK Students'!M:M, TRIM('CBK Students'!B:B) = TRIM(A1154)),
  """"
)"),"#REF!")</f>
        <v>#REF!</v>
      </c>
      <c r="W1154" s="240" t="str">
        <f t="shared" si="1"/>
        <v/>
      </c>
      <c r="X1154" s="240" t="str">
        <f>IFERROR(__xludf.DUMMYFUNCTION("IFERROR(
  FILTER('CBK Students'!R:R, TRIM('CBK Students'!B:B) = TRIM(A1154)),
  """"
)"),"#REF!")</f>
        <v>#REF!</v>
      </c>
      <c r="Y1154" s="4" t="str">
        <f t="shared" si="2"/>
        <v/>
      </c>
      <c r="Z1154" s="4" t="str">
        <f>IFERROR(__xludf.DUMMYFUNCTION("IFERROR(
  FILTER('CBK Students'!O:O, TRIM('CBK Students'!B:B) = TRIM(A1154)),
  """"
)"),"#REF!")</f>
        <v>#REF!</v>
      </c>
      <c r="AA1154" s="4" t="str">
        <f>IFERROR(__xludf.DUMMYFUNCTION("IFERROR(
  FILTER('CBK Students'!P:P, TRIM('CBK Students'!B:B) = TRIM(A1154)),
  """"
)"),"#REF!")</f>
        <v>#REF!</v>
      </c>
      <c r="AB1154" s="4" t="str">
        <f>IFERROR(__xludf.DUMMYFUNCTION("IFERROR(
  FILTER('CBK Students'!Q:Q, TRIM('CBK Students'!B:B) = TRIM(A1154)),
  """"
)"),"#REF!")</f>
        <v>#REF!</v>
      </c>
    </row>
    <row r="1155" ht="18.75" customHeight="1">
      <c r="T1155" s="240" t="str">
        <f>IFERROR(__xludf.DUMMYFUNCTION("IFERROR(
  FILTER('CBK Students'!F:F, TRIM('CBK Students'!B:B) = TRIM(A1155)),
  """"
)"),"#REF!")</f>
        <v>#REF!</v>
      </c>
      <c r="U1155" s="240" t="str">
        <f>IFERROR(__xludf.DUMMYFUNCTION("IFERROR(
  FILTER('CBK Students'!H:H, TRIM('CBK Students'!B:B) = TRIM(A1155)),
  """"
)"),"#REF!")</f>
        <v>#REF!</v>
      </c>
      <c r="V1155" s="240" t="str">
        <f>IFERROR(__xludf.DUMMYFUNCTION("IFERROR(
  FILTER('CBK Students'!M:M, TRIM('CBK Students'!B:B) = TRIM(A1155)),
  """"
)"),"#REF!")</f>
        <v>#REF!</v>
      </c>
      <c r="W1155" s="240" t="str">
        <f t="shared" si="1"/>
        <v/>
      </c>
      <c r="X1155" s="240" t="str">
        <f>IFERROR(__xludf.DUMMYFUNCTION("IFERROR(
  FILTER('CBK Students'!R:R, TRIM('CBK Students'!B:B) = TRIM(A1155)),
  """"
)"),"#REF!")</f>
        <v>#REF!</v>
      </c>
      <c r="Y1155" s="4" t="str">
        <f t="shared" si="2"/>
        <v/>
      </c>
      <c r="Z1155" s="4" t="str">
        <f>IFERROR(__xludf.DUMMYFUNCTION("IFERROR(
  FILTER('CBK Students'!O:O, TRIM('CBK Students'!B:B) = TRIM(A1155)),
  """"
)"),"#REF!")</f>
        <v>#REF!</v>
      </c>
      <c r="AA1155" s="4" t="str">
        <f>IFERROR(__xludf.DUMMYFUNCTION("IFERROR(
  FILTER('CBK Students'!P:P, TRIM('CBK Students'!B:B) = TRIM(A1155)),
  """"
)"),"#REF!")</f>
        <v>#REF!</v>
      </c>
      <c r="AB1155" s="4" t="str">
        <f>IFERROR(__xludf.DUMMYFUNCTION("IFERROR(
  FILTER('CBK Students'!Q:Q, TRIM('CBK Students'!B:B) = TRIM(A1155)),
  """"
)"),"#REF!")</f>
        <v>#REF!</v>
      </c>
    </row>
    <row r="1156" ht="18.75" customHeight="1">
      <c r="T1156" s="240" t="str">
        <f>IFERROR(__xludf.DUMMYFUNCTION("IFERROR(
  FILTER('CBK Students'!F:F, TRIM('CBK Students'!B:B) = TRIM(A1156)),
  """"
)"),"#REF!")</f>
        <v>#REF!</v>
      </c>
      <c r="U1156" s="240" t="str">
        <f>IFERROR(__xludf.DUMMYFUNCTION("IFERROR(
  FILTER('CBK Students'!H:H, TRIM('CBK Students'!B:B) = TRIM(A1156)),
  """"
)"),"#REF!")</f>
        <v>#REF!</v>
      </c>
      <c r="V1156" s="240" t="str">
        <f>IFERROR(__xludf.DUMMYFUNCTION("IFERROR(
  FILTER('CBK Students'!M:M, TRIM('CBK Students'!B:B) = TRIM(A1156)),
  """"
)"),"#REF!")</f>
        <v>#REF!</v>
      </c>
      <c r="W1156" s="240" t="str">
        <f t="shared" si="1"/>
        <v/>
      </c>
      <c r="X1156" s="240" t="str">
        <f>IFERROR(__xludf.DUMMYFUNCTION("IFERROR(
  FILTER('CBK Students'!R:R, TRIM('CBK Students'!B:B) = TRIM(A1156)),
  """"
)"),"#REF!")</f>
        <v>#REF!</v>
      </c>
      <c r="Y1156" s="4" t="str">
        <f t="shared" si="2"/>
        <v/>
      </c>
      <c r="Z1156" s="4" t="str">
        <f>IFERROR(__xludf.DUMMYFUNCTION("IFERROR(
  FILTER('CBK Students'!O:O, TRIM('CBK Students'!B:B) = TRIM(A1156)),
  """"
)"),"#REF!")</f>
        <v>#REF!</v>
      </c>
      <c r="AA1156" s="4" t="str">
        <f>IFERROR(__xludf.DUMMYFUNCTION("IFERROR(
  FILTER('CBK Students'!P:P, TRIM('CBK Students'!B:B) = TRIM(A1156)),
  """"
)"),"#REF!")</f>
        <v>#REF!</v>
      </c>
      <c r="AB1156" s="4" t="str">
        <f>IFERROR(__xludf.DUMMYFUNCTION("IFERROR(
  FILTER('CBK Students'!Q:Q, TRIM('CBK Students'!B:B) = TRIM(A1156)),
  """"
)"),"#REF!")</f>
        <v>#REF!</v>
      </c>
    </row>
    <row r="1157" ht="18.75" customHeight="1">
      <c r="T1157" s="240" t="str">
        <f>IFERROR(__xludf.DUMMYFUNCTION("IFERROR(
  FILTER('CBK Students'!F:F, TRIM('CBK Students'!B:B) = TRIM(A1157)),
  """"
)"),"#REF!")</f>
        <v>#REF!</v>
      </c>
      <c r="U1157" s="240" t="str">
        <f>IFERROR(__xludf.DUMMYFUNCTION("IFERROR(
  FILTER('CBK Students'!H:H, TRIM('CBK Students'!B:B) = TRIM(A1157)),
  """"
)"),"#REF!")</f>
        <v>#REF!</v>
      </c>
      <c r="V1157" s="240" t="str">
        <f>IFERROR(__xludf.DUMMYFUNCTION("IFERROR(
  FILTER('CBK Students'!M:M, TRIM('CBK Students'!B:B) = TRIM(A1157)),
  """"
)"),"#REF!")</f>
        <v>#REF!</v>
      </c>
      <c r="W1157" s="240" t="str">
        <f t="shared" si="1"/>
        <v/>
      </c>
      <c r="X1157" s="240" t="str">
        <f>IFERROR(__xludf.DUMMYFUNCTION("IFERROR(
  FILTER('CBK Students'!R:R, TRIM('CBK Students'!B:B) = TRIM(A1157)),
  """"
)"),"#REF!")</f>
        <v>#REF!</v>
      </c>
      <c r="Y1157" s="4" t="str">
        <f t="shared" si="2"/>
        <v/>
      </c>
      <c r="Z1157" s="4" t="str">
        <f>IFERROR(__xludf.DUMMYFUNCTION("IFERROR(
  FILTER('CBK Students'!O:O, TRIM('CBK Students'!B:B) = TRIM(A1157)),
  """"
)"),"#REF!")</f>
        <v>#REF!</v>
      </c>
      <c r="AA1157" s="4" t="str">
        <f>IFERROR(__xludf.DUMMYFUNCTION("IFERROR(
  FILTER('CBK Students'!P:P, TRIM('CBK Students'!B:B) = TRIM(A1157)),
  """"
)"),"#REF!")</f>
        <v>#REF!</v>
      </c>
      <c r="AB1157" s="4" t="str">
        <f>IFERROR(__xludf.DUMMYFUNCTION("IFERROR(
  FILTER('CBK Students'!Q:Q, TRIM('CBK Students'!B:B) = TRIM(A1157)),
  """"
)"),"#REF!")</f>
        <v>#REF!</v>
      </c>
    </row>
    <row r="1158" ht="18.75" customHeight="1">
      <c r="T1158" s="240" t="str">
        <f>IFERROR(__xludf.DUMMYFUNCTION("IFERROR(
  FILTER('CBK Students'!F:F, TRIM('CBK Students'!B:B) = TRIM(A1158)),
  """"
)"),"#REF!")</f>
        <v>#REF!</v>
      </c>
      <c r="U1158" s="240" t="str">
        <f>IFERROR(__xludf.DUMMYFUNCTION("IFERROR(
  FILTER('CBK Students'!H:H, TRIM('CBK Students'!B:B) = TRIM(A1158)),
  """"
)"),"#REF!")</f>
        <v>#REF!</v>
      </c>
      <c r="V1158" s="240" t="str">
        <f>IFERROR(__xludf.DUMMYFUNCTION("IFERROR(
  FILTER('CBK Students'!M:M, TRIM('CBK Students'!B:B) = TRIM(A1158)),
  """"
)"),"#REF!")</f>
        <v>#REF!</v>
      </c>
      <c r="W1158" s="240" t="str">
        <f t="shared" si="1"/>
        <v/>
      </c>
      <c r="X1158" s="240" t="str">
        <f>IFERROR(__xludf.DUMMYFUNCTION("IFERROR(
  FILTER('CBK Students'!R:R, TRIM('CBK Students'!B:B) = TRIM(A1158)),
  """"
)"),"#REF!")</f>
        <v>#REF!</v>
      </c>
      <c r="Y1158" s="4" t="str">
        <f t="shared" si="2"/>
        <v/>
      </c>
      <c r="Z1158" s="4" t="str">
        <f>IFERROR(__xludf.DUMMYFUNCTION("IFERROR(
  FILTER('CBK Students'!O:O, TRIM('CBK Students'!B:B) = TRIM(A1158)),
  """"
)"),"#REF!")</f>
        <v>#REF!</v>
      </c>
      <c r="AA1158" s="4" t="str">
        <f>IFERROR(__xludf.DUMMYFUNCTION("IFERROR(
  FILTER('CBK Students'!P:P, TRIM('CBK Students'!B:B) = TRIM(A1158)),
  """"
)"),"#REF!")</f>
        <v>#REF!</v>
      </c>
      <c r="AB1158" s="4" t="str">
        <f>IFERROR(__xludf.DUMMYFUNCTION("IFERROR(
  FILTER('CBK Students'!Q:Q, TRIM('CBK Students'!B:B) = TRIM(A1158)),
  """"
)"),"#REF!")</f>
        <v>#REF!</v>
      </c>
    </row>
    <row r="1159" ht="18.75" customHeight="1">
      <c r="T1159" s="240" t="str">
        <f>IFERROR(__xludf.DUMMYFUNCTION("IFERROR(
  FILTER('CBK Students'!F:F, TRIM('CBK Students'!B:B) = TRIM(A1159)),
  """"
)"),"#REF!")</f>
        <v>#REF!</v>
      </c>
      <c r="U1159" s="240" t="str">
        <f>IFERROR(__xludf.DUMMYFUNCTION("IFERROR(
  FILTER('CBK Students'!H:H, TRIM('CBK Students'!B:B) = TRIM(A1159)),
  """"
)"),"#REF!")</f>
        <v>#REF!</v>
      </c>
      <c r="V1159" s="240" t="str">
        <f>IFERROR(__xludf.DUMMYFUNCTION("IFERROR(
  FILTER('CBK Students'!M:M, TRIM('CBK Students'!B:B) = TRIM(A1159)),
  """"
)"),"#REF!")</f>
        <v>#REF!</v>
      </c>
      <c r="W1159" s="240" t="str">
        <f t="shared" si="1"/>
        <v/>
      </c>
      <c r="X1159" s="240" t="str">
        <f>IFERROR(__xludf.DUMMYFUNCTION("IFERROR(
  FILTER('CBK Students'!R:R, TRIM('CBK Students'!B:B) = TRIM(A1159)),
  """"
)"),"#REF!")</f>
        <v>#REF!</v>
      </c>
      <c r="Y1159" s="4" t="str">
        <f t="shared" si="2"/>
        <v/>
      </c>
      <c r="Z1159" s="4" t="str">
        <f>IFERROR(__xludf.DUMMYFUNCTION("IFERROR(
  FILTER('CBK Students'!O:O, TRIM('CBK Students'!B:B) = TRIM(A1159)),
  """"
)"),"#REF!")</f>
        <v>#REF!</v>
      </c>
      <c r="AA1159" s="4" t="str">
        <f>IFERROR(__xludf.DUMMYFUNCTION("IFERROR(
  FILTER('CBK Students'!P:P, TRIM('CBK Students'!B:B) = TRIM(A1159)),
  """"
)"),"#REF!")</f>
        <v>#REF!</v>
      </c>
      <c r="AB1159" s="4" t="str">
        <f>IFERROR(__xludf.DUMMYFUNCTION("IFERROR(
  FILTER('CBK Students'!Q:Q, TRIM('CBK Students'!B:B) = TRIM(A1159)),
  """"
)"),"#REF!")</f>
        <v>#REF!</v>
      </c>
    </row>
    <row r="1160" ht="18.75" customHeight="1">
      <c r="T1160" s="240" t="str">
        <f>IFERROR(__xludf.DUMMYFUNCTION("IFERROR(
  FILTER('CBK Students'!F:F, TRIM('CBK Students'!B:B) = TRIM(A1160)),
  """"
)"),"#REF!")</f>
        <v>#REF!</v>
      </c>
      <c r="U1160" s="240" t="str">
        <f>IFERROR(__xludf.DUMMYFUNCTION("IFERROR(
  FILTER('CBK Students'!H:H, TRIM('CBK Students'!B:B) = TRIM(A1160)),
  """"
)"),"#REF!")</f>
        <v>#REF!</v>
      </c>
      <c r="V1160" s="240" t="str">
        <f>IFERROR(__xludf.DUMMYFUNCTION("IFERROR(
  FILTER('CBK Students'!M:M, TRIM('CBK Students'!B:B) = TRIM(A1160)),
  """"
)"),"#REF!")</f>
        <v>#REF!</v>
      </c>
      <c r="W1160" s="240" t="str">
        <f t="shared" si="1"/>
        <v/>
      </c>
      <c r="X1160" s="240" t="str">
        <f>IFERROR(__xludf.DUMMYFUNCTION("IFERROR(
  FILTER('CBK Students'!R:R, TRIM('CBK Students'!B:B) = TRIM(A1160)),
  """"
)"),"#REF!")</f>
        <v>#REF!</v>
      </c>
      <c r="Y1160" s="4" t="str">
        <f t="shared" si="2"/>
        <v/>
      </c>
      <c r="Z1160" s="4" t="str">
        <f>IFERROR(__xludf.DUMMYFUNCTION("IFERROR(
  FILTER('CBK Students'!O:O, TRIM('CBK Students'!B:B) = TRIM(A1160)),
  """"
)"),"#REF!")</f>
        <v>#REF!</v>
      </c>
      <c r="AA1160" s="4" t="str">
        <f>IFERROR(__xludf.DUMMYFUNCTION("IFERROR(
  FILTER('CBK Students'!P:P, TRIM('CBK Students'!B:B) = TRIM(A1160)),
  """"
)"),"#REF!")</f>
        <v>#REF!</v>
      </c>
      <c r="AB1160" s="4" t="str">
        <f>IFERROR(__xludf.DUMMYFUNCTION("IFERROR(
  FILTER('CBK Students'!Q:Q, TRIM('CBK Students'!B:B) = TRIM(A1160)),
  """"
)"),"#REF!")</f>
        <v>#REF!</v>
      </c>
    </row>
    <row r="1161" ht="18.75" customHeight="1">
      <c r="T1161" s="240" t="str">
        <f>IFERROR(__xludf.DUMMYFUNCTION("IFERROR(
  FILTER('CBK Students'!F:F, TRIM('CBK Students'!B:B) = TRIM(A1161)),
  """"
)"),"#REF!")</f>
        <v>#REF!</v>
      </c>
      <c r="U1161" s="240" t="str">
        <f>IFERROR(__xludf.DUMMYFUNCTION("IFERROR(
  FILTER('CBK Students'!H:H, TRIM('CBK Students'!B:B) = TRIM(A1161)),
  """"
)"),"#REF!")</f>
        <v>#REF!</v>
      </c>
      <c r="V1161" s="240" t="str">
        <f>IFERROR(__xludf.DUMMYFUNCTION("IFERROR(
  FILTER('CBK Students'!M:M, TRIM('CBK Students'!B:B) = TRIM(A1161)),
  """"
)"),"#REF!")</f>
        <v>#REF!</v>
      </c>
      <c r="W1161" s="240" t="str">
        <f t="shared" si="1"/>
        <v/>
      </c>
      <c r="X1161" s="240" t="str">
        <f>IFERROR(__xludf.DUMMYFUNCTION("IFERROR(
  FILTER('CBK Students'!R:R, TRIM('CBK Students'!B:B) = TRIM(A1161)),
  """"
)"),"#REF!")</f>
        <v>#REF!</v>
      </c>
      <c r="Y1161" s="4" t="str">
        <f t="shared" si="2"/>
        <v/>
      </c>
      <c r="Z1161" s="4" t="str">
        <f>IFERROR(__xludf.DUMMYFUNCTION("IFERROR(
  FILTER('CBK Students'!O:O, TRIM('CBK Students'!B:B) = TRIM(A1161)),
  """"
)"),"#REF!")</f>
        <v>#REF!</v>
      </c>
      <c r="AA1161" s="4" t="str">
        <f>IFERROR(__xludf.DUMMYFUNCTION("IFERROR(
  FILTER('CBK Students'!P:P, TRIM('CBK Students'!B:B) = TRIM(A1161)),
  """"
)"),"#REF!")</f>
        <v>#REF!</v>
      </c>
      <c r="AB1161" s="4" t="str">
        <f>IFERROR(__xludf.DUMMYFUNCTION("IFERROR(
  FILTER('CBK Students'!Q:Q, TRIM('CBK Students'!B:B) = TRIM(A1161)),
  """"
)"),"#REF!")</f>
        <v>#REF!</v>
      </c>
    </row>
    <row r="1162" ht="18.75" customHeight="1">
      <c r="T1162" s="240" t="str">
        <f>IFERROR(__xludf.DUMMYFUNCTION("IFERROR(
  FILTER('CBK Students'!F:F, TRIM('CBK Students'!B:B) = TRIM(A1162)),
  """"
)"),"#REF!")</f>
        <v>#REF!</v>
      </c>
      <c r="U1162" s="240" t="str">
        <f>IFERROR(__xludf.DUMMYFUNCTION("IFERROR(
  FILTER('CBK Students'!H:H, TRIM('CBK Students'!B:B) = TRIM(A1162)),
  """"
)"),"#REF!")</f>
        <v>#REF!</v>
      </c>
      <c r="V1162" s="240" t="str">
        <f>IFERROR(__xludf.DUMMYFUNCTION("IFERROR(
  FILTER('CBK Students'!M:M, TRIM('CBK Students'!B:B) = TRIM(A1162)),
  """"
)"),"#REF!")</f>
        <v>#REF!</v>
      </c>
      <c r="W1162" s="240" t="str">
        <f t="shared" si="1"/>
        <v/>
      </c>
      <c r="X1162" s="240" t="str">
        <f>IFERROR(__xludf.DUMMYFUNCTION("IFERROR(
  FILTER('CBK Students'!R:R, TRIM('CBK Students'!B:B) = TRIM(A1162)),
  """"
)"),"#REF!")</f>
        <v>#REF!</v>
      </c>
      <c r="Y1162" s="4" t="str">
        <f t="shared" si="2"/>
        <v/>
      </c>
      <c r="Z1162" s="4" t="str">
        <f>IFERROR(__xludf.DUMMYFUNCTION("IFERROR(
  FILTER('CBK Students'!O:O, TRIM('CBK Students'!B:B) = TRIM(A1162)),
  """"
)"),"#REF!")</f>
        <v>#REF!</v>
      </c>
      <c r="AA1162" s="4" t="str">
        <f>IFERROR(__xludf.DUMMYFUNCTION("IFERROR(
  FILTER('CBK Students'!P:P, TRIM('CBK Students'!B:B) = TRIM(A1162)),
  """"
)"),"#REF!")</f>
        <v>#REF!</v>
      </c>
      <c r="AB1162" s="4" t="str">
        <f>IFERROR(__xludf.DUMMYFUNCTION("IFERROR(
  FILTER('CBK Students'!Q:Q, TRIM('CBK Students'!B:B) = TRIM(A1162)),
  """"
)"),"#REF!")</f>
        <v>#REF!</v>
      </c>
    </row>
    <row r="1163" ht="18.75" customHeight="1">
      <c r="T1163" s="240" t="str">
        <f>IFERROR(__xludf.DUMMYFUNCTION("IFERROR(
  FILTER('CBK Students'!F:F, TRIM('CBK Students'!B:B) = TRIM(A1163)),
  """"
)"),"#REF!")</f>
        <v>#REF!</v>
      </c>
      <c r="U1163" s="240" t="str">
        <f>IFERROR(__xludf.DUMMYFUNCTION("IFERROR(
  FILTER('CBK Students'!H:H, TRIM('CBK Students'!B:B) = TRIM(A1163)),
  """"
)"),"#REF!")</f>
        <v>#REF!</v>
      </c>
      <c r="V1163" s="240" t="str">
        <f>IFERROR(__xludf.DUMMYFUNCTION("IFERROR(
  FILTER('CBK Students'!M:M, TRIM('CBK Students'!B:B) = TRIM(A1163)),
  """"
)"),"#REF!")</f>
        <v>#REF!</v>
      </c>
      <c r="W1163" s="240" t="str">
        <f t="shared" si="1"/>
        <v/>
      </c>
      <c r="X1163" s="240" t="str">
        <f>IFERROR(__xludf.DUMMYFUNCTION("IFERROR(
  FILTER('CBK Students'!R:R, TRIM('CBK Students'!B:B) = TRIM(A1163)),
  """"
)"),"#REF!")</f>
        <v>#REF!</v>
      </c>
      <c r="Y1163" s="4" t="str">
        <f t="shared" si="2"/>
        <v/>
      </c>
      <c r="Z1163" s="4" t="str">
        <f>IFERROR(__xludf.DUMMYFUNCTION("IFERROR(
  FILTER('CBK Students'!O:O, TRIM('CBK Students'!B:B) = TRIM(A1163)),
  """"
)"),"#REF!")</f>
        <v>#REF!</v>
      </c>
      <c r="AA1163" s="4" t="str">
        <f>IFERROR(__xludf.DUMMYFUNCTION("IFERROR(
  FILTER('CBK Students'!P:P, TRIM('CBK Students'!B:B) = TRIM(A1163)),
  """"
)"),"#REF!")</f>
        <v>#REF!</v>
      </c>
      <c r="AB1163" s="4" t="str">
        <f>IFERROR(__xludf.DUMMYFUNCTION("IFERROR(
  FILTER('CBK Students'!Q:Q, TRIM('CBK Students'!B:B) = TRIM(A1163)),
  """"
)"),"#REF!")</f>
        <v>#REF!</v>
      </c>
    </row>
    <row r="1164" ht="18.75" customHeight="1">
      <c r="T1164" s="240" t="str">
        <f>IFERROR(__xludf.DUMMYFUNCTION("IFERROR(
  FILTER('CBK Students'!F:F, TRIM('CBK Students'!B:B) = TRIM(A1164)),
  """"
)"),"#REF!")</f>
        <v>#REF!</v>
      </c>
      <c r="U1164" s="240" t="str">
        <f>IFERROR(__xludf.DUMMYFUNCTION("IFERROR(
  FILTER('CBK Students'!H:H, TRIM('CBK Students'!B:B) = TRIM(A1164)),
  """"
)"),"#REF!")</f>
        <v>#REF!</v>
      </c>
      <c r="V1164" s="240" t="str">
        <f>IFERROR(__xludf.DUMMYFUNCTION("IFERROR(
  FILTER('CBK Students'!M:M, TRIM('CBK Students'!B:B) = TRIM(A1164)),
  """"
)"),"#REF!")</f>
        <v>#REF!</v>
      </c>
      <c r="W1164" s="240" t="str">
        <f t="shared" si="1"/>
        <v/>
      </c>
      <c r="X1164" s="240" t="str">
        <f>IFERROR(__xludf.DUMMYFUNCTION("IFERROR(
  FILTER('CBK Students'!R:R, TRIM('CBK Students'!B:B) = TRIM(A1164)),
  """"
)"),"#REF!")</f>
        <v>#REF!</v>
      </c>
      <c r="Y1164" s="4" t="str">
        <f t="shared" si="2"/>
        <v/>
      </c>
      <c r="Z1164" s="4" t="str">
        <f>IFERROR(__xludf.DUMMYFUNCTION("IFERROR(
  FILTER('CBK Students'!O:O, TRIM('CBK Students'!B:B) = TRIM(A1164)),
  """"
)"),"#REF!")</f>
        <v>#REF!</v>
      </c>
      <c r="AA1164" s="4" t="str">
        <f>IFERROR(__xludf.DUMMYFUNCTION("IFERROR(
  FILTER('CBK Students'!P:P, TRIM('CBK Students'!B:B) = TRIM(A1164)),
  """"
)"),"#REF!")</f>
        <v>#REF!</v>
      </c>
      <c r="AB1164" s="4" t="str">
        <f>IFERROR(__xludf.DUMMYFUNCTION("IFERROR(
  FILTER('CBK Students'!Q:Q, TRIM('CBK Students'!B:B) = TRIM(A1164)),
  """"
)"),"#REF!")</f>
        <v>#REF!</v>
      </c>
    </row>
    <row r="1165" ht="18.75" customHeight="1">
      <c r="T1165" s="240" t="str">
        <f>IFERROR(__xludf.DUMMYFUNCTION("IFERROR(
  FILTER('CBK Students'!F:F, TRIM('CBK Students'!B:B) = TRIM(A1165)),
  """"
)"),"#REF!")</f>
        <v>#REF!</v>
      </c>
      <c r="U1165" s="240" t="str">
        <f>IFERROR(__xludf.DUMMYFUNCTION("IFERROR(
  FILTER('CBK Students'!H:H, TRIM('CBK Students'!B:B) = TRIM(A1165)),
  """"
)"),"#REF!")</f>
        <v>#REF!</v>
      </c>
      <c r="V1165" s="240" t="str">
        <f>IFERROR(__xludf.DUMMYFUNCTION("IFERROR(
  FILTER('CBK Students'!M:M, TRIM('CBK Students'!B:B) = TRIM(A1165)),
  """"
)"),"#REF!")</f>
        <v>#REF!</v>
      </c>
      <c r="W1165" s="240" t="str">
        <f t="shared" si="1"/>
        <v/>
      </c>
      <c r="X1165" s="240" t="str">
        <f>IFERROR(__xludf.DUMMYFUNCTION("IFERROR(
  FILTER('CBK Students'!R:R, TRIM('CBK Students'!B:B) = TRIM(A1165)),
  """"
)"),"#REF!")</f>
        <v>#REF!</v>
      </c>
      <c r="Y1165" s="4" t="str">
        <f t="shared" si="2"/>
        <v/>
      </c>
      <c r="Z1165" s="4" t="str">
        <f>IFERROR(__xludf.DUMMYFUNCTION("IFERROR(
  FILTER('CBK Students'!O:O, TRIM('CBK Students'!B:B) = TRIM(A1165)),
  """"
)"),"#REF!")</f>
        <v>#REF!</v>
      </c>
      <c r="AA1165" s="4" t="str">
        <f>IFERROR(__xludf.DUMMYFUNCTION("IFERROR(
  FILTER('CBK Students'!P:P, TRIM('CBK Students'!B:B) = TRIM(A1165)),
  """"
)"),"#REF!")</f>
        <v>#REF!</v>
      </c>
      <c r="AB1165" s="4" t="str">
        <f>IFERROR(__xludf.DUMMYFUNCTION("IFERROR(
  FILTER('CBK Students'!Q:Q, TRIM('CBK Students'!B:B) = TRIM(A1165)),
  """"
)"),"#REF!")</f>
        <v>#REF!</v>
      </c>
    </row>
    <row r="1166" ht="18.75" customHeight="1">
      <c r="T1166" s="240" t="str">
        <f>IFERROR(__xludf.DUMMYFUNCTION("IFERROR(
  FILTER('CBK Students'!F:F, TRIM('CBK Students'!B:B) = TRIM(A1166)),
  """"
)"),"#REF!")</f>
        <v>#REF!</v>
      </c>
      <c r="U1166" s="240" t="str">
        <f>IFERROR(__xludf.DUMMYFUNCTION("IFERROR(
  FILTER('CBK Students'!H:H, TRIM('CBK Students'!B:B) = TRIM(A1166)),
  """"
)"),"#REF!")</f>
        <v>#REF!</v>
      </c>
      <c r="V1166" s="240" t="str">
        <f>IFERROR(__xludf.DUMMYFUNCTION("IFERROR(
  FILTER('CBK Students'!M:M, TRIM('CBK Students'!B:B) = TRIM(A1166)),
  """"
)"),"#REF!")</f>
        <v>#REF!</v>
      </c>
      <c r="W1166" s="240" t="str">
        <f t="shared" si="1"/>
        <v/>
      </c>
      <c r="X1166" s="240" t="str">
        <f>IFERROR(__xludf.DUMMYFUNCTION("IFERROR(
  FILTER('CBK Students'!R:R, TRIM('CBK Students'!B:B) = TRIM(A1166)),
  """"
)"),"#REF!")</f>
        <v>#REF!</v>
      </c>
      <c r="Y1166" s="4" t="str">
        <f t="shared" si="2"/>
        <v/>
      </c>
      <c r="Z1166" s="4" t="str">
        <f>IFERROR(__xludf.DUMMYFUNCTION("IFERROR(
  FILTER('CBK Students'!O:O, TRIM('CBK Students'!B:B) = TRIM(A1166)),
  """"
)"),"#REF!")</f>
        <v>#REF!</v>
      </c>
      <c r="AA1166" s="4" t="str">
        <f>IFERROR(__xludf.DUMMYFUNCTION("IFERROR(
  FILTER('CBK Students'!P:P, TRIM('CBK Students'!B:B) = TRIM(A1166)),
  """"
)"),"#REF!")</f>
        <v>#REF!</v>
      </c>
      <c r="AB1166" s="4" t="str">
        <f>IFERROR(__xludf.DUMMYFUNCTION("IFERROR(
  FILTER('CBK Students'!Q:Q, TRIM('CBK Students'!B:B) = TRIM(A1166)),
  """"
)"),"#REF!")</f>
        <v>#REF!</v>
      </c>
    </row>
    <row r="1167" ht="18.75" customHeight="1">
      <c r="T1167" s="240" t="str">
        <f>IFERROR(__xludf.DUMMYFUNCTION("IFERROR(
  FILTER('CBK Students'!F:F, TRIM('CBK Students'!B:B) = TRIM(A1167)),
  """"
)"),"#REF!")</f>
        <v>#REF!</v>
      </c>
      <c r="U1167" s="240" t="str">
        <f>IFERROR(__xludf.DUMMYFUNCTION("IFERROR(
  FILTER('CBK Students'!H:H, TRIM('CBK Students'!B:B) = TRIM(A1167)),
  """"
)"),"#REF!")</f>
        <v>#REF!</v>
      </c>
      <c r="V1167" s="240" t="str">
        <f>IFERROR(__xludf.DUMMYFUNCTION("IFERROR(
  FILTER('CBK Students'!M:M, TRIM('CBK Students'!B:B) = TRIM(A1167)),
  """"
)"),"#REF!")</f>
        <v>#REF!</v>
      </c>
      <c r="W1167" s="240" t="str">
        <f t="shared" si="1"/>
        <v/>
      </c>
      <c r="X1167" s="240" t="str">
        <f>IFERROR(__xludf.DUMMYFUNCTION("IFERROR(
  FILTER('CBK Students'!R:R, TRIM('CBK Students'!B:B) = TRIM(A1167)),
  """"
)"),"#REF!")</f>
        <v>#REF!</v>
      </c>
      <c r="Y1167" s="4" t="str">
        <f t="shared" si="2"/>
        <v/>
      </c>
      <c r="Z1167" s="4" t="str">
        <f>IFERROR(__xludf.DUMMYFUNCTION("IFERROR(
  FILTER('CBK Students'!O:O, TRIM('CBK Students'!B:B) = TRIM(A1167)),
  """"
)"),"#REF!")</f>
        <v>#REF!</v>
      </c>
      <c r="AA1167" s="4" t="str">
        <f>IFERROR(__xludf.DUMMYFUNCTION("IFERROR(
  FILTER('CBK Students'!P:P, TRIM('CBK Students'!B:B) = TRIM(A1167)),
  """"
)"),"#REF!")</f>
        <v>#REF!</v>
      </c>
      <c r="AB1167" s="4" t="str">
        <f>IFERROR(__xludf.DUMMYFUNCTION("IFERROR(
  FILTER('CBK Students'!Q:Q, TRIM('CBK Students'!B:B) = TRIM(A1167)),
  """"
)"),"#REF!")</f>
        <v>#REF!</v>
      </c>
    </row>
    <row r="1168" ht="18.75" customHeight="1">
      <c r="T1168" s="240" t="str">
        <f>IFERROR(__xludf.DUMMYFUNCTION("IFERROR(
  FILTER('CBK Students'!F:F, TRIM('CBK Students'!B:B) = TRIM(A1168)),
  """"
)"),"#REF!")</f>
        <v>#REF!</v>
      </c>
      <c r="U1168" s="240" t="str">
        <f>IFERROR(__xludf.DUMMYFUNCTION("IFERROR(
  FILTER('CBK Students'!H:H, TRIM('CBK Students'!B:B) = TRIM(A1168)),
  """"
)"),"#REF!")</f>
        <v>#REF!</v>
      </c>
      <c r="V1168" s="240" t="str">
        <f>IFERROR(__xludf.DUMMYFUNCTION("IFERROR(
  FILTER('CBK Students'!M:M, TRIM('CBK Students'!B:B) = TRIM(A1168)),
  """"
)"),"#REF!")</f>
        <v>#REF!</v>
      </c>
      <c r="W1168" s="240" t="str">
        <f t="shared" si="1"/>
        <v/>
      </c>
      <c r="X1168" s="240" t="str">
        <f>IFERROR(__xludf.DUMMYFUNCTION("IFERROR(
  FILTER('CBK Students'!R:R, TRIM('CBK Students'!B:B) = TRIM(A1168)),
  """"
)"),"#REF!")</f>
        <v>#REF!</v>
      </c>
      <c r="Y1168" s="4" t="str">
        <f t="shared" si="2"/>
        <v/>
      </c>
      <c r="Z1168" s="4" t="str">
        <f>IFERROR(__xludf.DUMMYFUNCTION("IFERROR(
  FILTER('CBK Students'!O:O, TRIM('CBK Students'!B:B) = TRIM(A1168)),
  """"
)"),"#REF!")</f>
        <v>#REF!</v>
      </c>
      <c r="AA1168" s="4" t="str">
        <f>IFERROR(__xludf.DUMMYFUNCTION("IFERROR(
  FILTER('CBK Students'!P:P, TRIM('CBK Students'!B:B) = TRIM(A1168)),
  """"
)"),"#REF!")</f>
        <v>#REF!</v>
      </c>
      <c r="AB1168" s="4" t="str">
        <f>IFERROR(__xludf.DUMMYFUNCTION("IFERROR(
  FILTER('CBK Students'!Q:Q, TRIM('CBK Students'!B:B) = TRIM(A1168)),
  """"
)"),"#REF!")</f>
        <v>#REF!</v>
      </c>
    </row>
    <row r="1169" ht="18.75" customHeight="1">
      <c r="T1169" s="240" t="str">
        <f>IFERROR(__xludf.DUMMYFUNCTION("IFERROR(
  FILTER('CBK Students'!F:F, TRIM('CBK Students'!B:B) = TRIM(A1169)),
  """"
)"),"#REF!")</f>
        <v>#REF!</v>
      </c>
      <c r="U1169" s="240" t="str">
        <f>IFERROR(__xludf.DUMMYFUNCTION("IFERROR(
  FILTER('CBK Students'!H:H, TRIM('CBK Students'!B:B) = TRIM(A1169)),
  """"
)"),"#REF!")</f>
        <v>#REF!</v>
      </c>
      <c r="V1169" s="240" t="str">
        <f>IFERROR(__xludf.DUMMYFUNCTION("IFERROR(
  FILTER('CBK Students'!M:M, TRIM('CBK Students'!B:B) = TRIM(A1169)),
  """"
)"),"#REF!")</f>
        <v>#REF!</v>
      </c>
      <c r="W1169" s="240" t="str">
        <f t="shared" si="1"/>
        <v/>
      </c>
      <c r="X1169" s="240" t="str">
        <f>IFERROR(__xludf.DUMMYFUNCTION("IFERROR(
  FILTER('CBK Students'!R:R, TRIM('CBK Students'!B:B) = TRIM(A1169)),
  """"
)"),"#REF!")</f>
        <v>#REF!</v>
      </c>
      <c r="Y1169" s="4" t="str">
        <f t="shared" si="2"/>
        <v/>
      </c>
      <c r="Z1169" s="4" t="str">
        <f>IFERROR(__xludf.DUMMYFUNCTION("IFERROR(
  FILTER('CBK Students'!O:O, TRIM('CBK Students'!B:B) = TRIM(A1169)),
  """"
)"),"#REF!")</f>
        <v>#REF!</v>
      </c>
      <c r="AA1169" s="4" t="str">
        <f>IFERROR(__xludf.DUMMYFUNCTION("IFERROR(
  FILTER('CBK Students'!P:P, TRIM('CBK Students'!B:B) = TRIM(A1169)),
  """"
)"),"#REF!")</f>
        <v>#REF!</v>
      </c>
      <c r="AB1169" s="4" t="str">
        <f>IFERROR(__xludf.DUMMYFUNCTION("IFERROR(
  FILTER('CBK Students'!Q:Q, TRIM('CBK Students'!B:B) = TRIM(A1169)),
  """"
)"),"#REF!")</f>
        <v>#REF!</v>
      </c>
    </row>
    <row r="1170" ht="18.75" customHeight="1">
      <c r="T1170" s="240" t="str">
        <f>IFERROR(__xludf.DUMMYFUNCTION("IFERROR(
  FILTER('CBK Students'!F:F, TRIM('CBK Students'!B:B) = TRIM(A1170)),
  """"
)"),"#REF!")</f>
        <v>#REF!</v>
      </c>
      <c r="U1170" s="240" t="str">
        <f>IFERROR(__xludf.DUMMYFUNCTION("IFERROR(
  FILTER('CBK Students'!H:H, TRIM('CBK Students'!B:B) = TRIM(A1170)),
  """"
)"),"#REF!")</f>
        <v>#REF!</v>
      </c>
      <c r="V1170" s="240" t="str">
        <f>IFERROR(__xludf.DUMMYFUNCTION("IFERROR(
  FILTER('CBK Students'!M:M, TRIM('CBK Students'!B:B) = TRIM(A1170)),
  """"
)"),"#REF!")</f>
        <v>#REF!</v>
      </c>
      <c r="W1170" s="240" t="str">
        <f t="shared" si="1"/>
        <v/>
      </c>
      <c r="X1170" s="240" t="str">
        <f>IFERROR(__xludf.DUMMYFUNCTION("IFERROR(
  FILTER('CBK Students'!R:R, TRIM('CBK Students'!B:B) = TRIM(A1170)),
  """"
)"),"#REF!")</f>
        <v>#REF!</v>
      </c>
      <c r="Y1170" s="4" t="str">
        <f t="shared" si="2"/>
        <v/>
      </c>
      <c r="Z1170" s="4" t="str">
        <f>IFERROR(__xludf.DUMMYFUNCTION("IFERROR(
  FILTER('CBK Students'!O:O, TRIM('CBK Students'!B:B) = TRIM(A1170)),
  """"
)"),"#REF!")</f>
        <v>#REF!</v>
      </c>
      <c r="AA1170" s="4" t="str">
        <f>IFERROR(__xludf.DUMMYFUNCTION("IFERROR(
  FILTER('CBK Students'!P:P, TRIM('CBK Students'!B:B) = TRIM(A1170)),
  """"
)"),"#REF!")</f>
        <v>#REF!</v>
      </c>
      <c r="AB1170" s="4" t="str">
        <f>IFERROR(__xludf.DUMMYFUNCTION("IFERROR(
  FILTER('CBK Students'!Q:Q, TRIM('CBK Students'!B:B) = TRIM(A1170)),
  """"
)"),"#REF!")</f>
        <v>#REF!</v>
      </c>
    </row>
    <row r="1171" ht="18.75" customHeight="1">
      <c r="T1171" s="240" t="str">
        <f>IFERROR(__xludf.DUMMYFUNCTION("IFERROR(
  FILTER('CBK Students'!F:F, TRIM('CBK Students'!B:B) = TRIM(A1171)),
  """"
)"),"#REF!")</f>
        <v>#REF!</v>
      </c>
      <c r="U1171" s="240" t="str">
        <f>IFERROR(__xludf.DUMMYFUNCTION("IFERROR(
  FILTER('CBK Students'!H:H, TRIM('CBK Students'!B:B) = TRIM(A1171)),
  """"
)"),"#REF!")</f>
        <v>#REF!</v>
      </c>
      <c r="V1171" s="240" t="str">
        <f>IFERROR(__xludf.DUMMYFUNCTION("IFERROR(
  FILTER('CBK Students'!M:M, TRIM('CBK Students'!B:B) = TRIM(A1171)),
  """"
)"),"#REF!")</f>
        <v>#REF!</v>
      </c>
      <c r="W1171" s="240" t="str">
        <f t="shared" si="1"/>
        <v/>
      </c>
      <c r="X1171" s="240" t="str">
        <f>IFERROR(__xludf.DUMMYFUNCTION("IFERROR(
  FILTER('CBK Students'!R:R, TRIM('CBK Students'!B:B) = TRIM(A1171)),
  """"
)"),"#REF!")</f>
        <v>#REF!</v>
      </c>
      <c r="Y1171" s="4" t="str">
        <f t="shared" si="2"/>
        <v/>
      </c>
      <c r="Z1171" s="4" t="str">
        <f>IFERROR(__xludf.DUMMYFUNCTION("IFERROR(
  FILTER('CBK Students'!O:O, TRIM('CBK Students'!B:B) = TRIM(A1171)),
  """"
)"),"#REF!")</f>
        <v>#REF!</v>
      </c>
      <c r="AA1171" s="4" t="str">
        <f>IFERROR(__xludf.DUMMYFUNCTION("IFERROR(
  FILTER('CBK Students'!P:P, TRIM('CBK Students'!B:B) = TRIM(A1171)),
  """"
)"),"#REF!")</f>
        <v>#REF!</v>
      </c>
      <c r="AB1171" s="4" t="str">
        <f>IFERROR(__xludf.DUMMYFUNCTION("IFERROR(
  FILTER('CBK Students'!Q:Q, TRIM('CBK Students'!B:B) = TRIM(A1171)),
  """"
)"),"#REF!")</f>
        <v>#REF!</v>
      </c>
    </row>
    <row r="1172" ht="18.75" customHeight="1">
      <c r="T1172" s="240" t="str">
        <f>IFERROR(__xludf.DUMMYFUNCTION("IFERROR(
  FILTER('CBK Students'!F:F, TRIM('CBK Students'!B:B) = TRIM(A1172)),
  """"
)"),"#REF!")</f>
        <v>#REF!</v>
      </c>
      <c r="U1172" s="240" t="str">
        <f>IFERROR(__xludf.DUMMYFUNCTION("IFERROR(
  FILTER('CBK Students'!H:H, TRIM('CBK Students'!B:B) = TRIM(A1172)),
  """"
)"),"#REF!")</f>
        <v>#REF!</v>
      </c>
      <c r="V1172" s="240" t="str">
        <f>IFERROR(__xludf.DUMMYFUNCTION("IFERROR(
  FILTER('CBK Students'!M:M, TRIM('CBK Students'!B:B) = TRIM(A1172)),
  """"
)"),"#REF!")</f>
        <v>#REF!</v>
      </c>
      <c r="W1172" s="240" t="str">
        <f t="shared" si="1"/>
        <v/>
      </c>
      <c r="X1172" s="240" t="str">
        <f>IFERROR(__xludf.DUMMYFUNCTION("IFERROR(
  FILTER('CBK Students'!R:R, TRIM('CBK Students'!B:B) = TRIM(A1172)),
  """"
)"),"#REF!")</f>
        <v>#REF!</v>
      </c>
      <c r="Y1172" s="4" t="str">
        <f t="shared" si="2"/>
        <v/>
      </c>
      <c r="Z1172" s="4" t="str">
        <f>IFERROR(__xludf.DUMMYFUNCTION("IFERROR(
  FILTER('CBK Students'!O:O, TRIM('CBK Students'!B:B) = TRIM(A1172)),
  """"
)"),"#REF!")</f>
        <v>#REF!</v>
      </c>
      <c r="AA1172" s="4" t="str">
        <f>IFERROR(__xludf.DUMMYFUNCTION("IFERROR(
  FILTER('CBK Students'!P:P, TRIM('CBK Students'!B:B) = TRIM(A1172)),
  """"
)"),"#REF!")</f>
        <v>#REF!</v>
      </c>
      <c r="AB1172" s="4" t="str">
        <f>IFERROR(__xludf.DUMMYFUNCTION("IFERROR(
  FILTER('CBK Students'!Q:Q, TRIM('CBK Students'!B:B) = TRIM(A1172)),
  """"
)"),"#REF!")</f>
        <v>#REF!</v>
      </c>
    </row>
    <row r="1173" ht="18.75" customHeight="1">
      <c r="T1173" s="240" t="str">
        <f>IFERROR(__xludf.DUMMYFUNCTION("IFERROR(
  FILTER('CBK Students'!F:F, TRIM('CBK Students'!B:B) = TRIM(A1173)),
  """"
)"),"#REF!")</f>
        <v>#REF!</v>
      </c>
      <c r="U1173" s="240" t="str">
        <f>IFERROR(__xludf.DUMMYFUNCTION("IFERROR(
  FILTER('CBK Students'!H:H, TRIM('CBK Students'!B:B) = TRIM(A1173)),
  """"
)"),"#REF!")</f>
        <v>#REF!</v>
      </c>
      <c r="V1173" s="240" t="str">
        <f>IFERROR(__xludf.DUMMYFUNCTION("IFERROR(
  FILTER('CBK Students'!M:M, TRIM('CBK Students'!B:B) = TRIM(A1173)),
  """"
)"),"#REF!")</f>
        <v>#REF!</v>
      </c>
      <c r="W1173" s="240" t="str">
        <f t="shared" si="1"/>
        <v/>
      </c>
      <c r="X1173" s="240" t="str">
        <f>IFERROR(__xludf.DUMMYFUNCTION("IFERROR(
  FILTER('CBK Students'!R:R, TRIM('CBK Students'!B:B) = TRIM(A1173)),
  """"
)"),"#REF!")</f>
        <v>#REF!</v>
      </c>
      <c r="Y1173" s="4" t="str">
        <f t="shared" si="2"/>
        <v/>
      </c>
      <c r="Z1173" s="4" t="str">
        <f>IFERROR(__xludf.DUMMYFUNCTION("IFERROR(
  FILTER('CBK Students'!O:O, TRIM('CBK Students'!B:B) = TRIM(A1173)),
  """"
)"),"#REF!")</f>
        <v>#REF!</v>
      </c>
      <c r="AA1173" s="4" t="str">
        <f>IFERROR(__xludf.DUMMYFUNCTION("IFERROR(
  FILTER('CBK Students'!P:P, TRIM('CBK Students'!B:B) = TRIM(A1173)),
  """"
)"),"#REF!")</f>
        <v>#REF!</v>
      </c>
      <c r="AB1173" s="4" t="str">
        <f>IFERROR(__xludf.DUMMYFUNCTION("IFERROR(
  FILTER('CBK Students'!Q:Q, TRIM('CBK Students'!B:B) = TRIM(A1173)),
  """"
)"),"#REF!")</f>
        <v>#REF!</v>
      </c>
    </row>
    <row r="1174" ht="18.75" customHeight="1">
      <c r="T1174" s="240" t="str">
        <f>IFERROR(__xludf.DUMMYFUNCTION("IFERROR(
  FILTER('CBK Students'!F:F, TRIM('CBK Students'!B:B) = TRIM(A1174)),
  """"
)"),"#REF!")</f>
        <v>#REF!</v>
      </c>
      <c r="U1174" s="240" t="str">
        <f>IFERROR(__xludf.DUMMYFUNCTION("IFERROR(
  FILTER('CBK Students'!H:H, TRIM('CBK Students'!B:B) = TRIM(A1174)),
  """"
)"),"#REF!")</f>
        <v>#REF!</v>
      </c>
      <c r="V1174" s="240" t="str">
        <f>IFERROR(__xludf.DUMMYFUNCTION("IFERROR(
  FILTER('CBK Students'!M:M, TRIM('CBK Students'!B:B) = TRIM(A1174)),
  """"
)"),"#REF!")</f>
        <v>#REF!</v>
      </c>
      <c r="W1174" s="240" t="str">
        <f t="shared" si="1"/>
        <v/>
      </c>
      <c r="X1174" s="240" t="str">
        <f>IFERROR(__xludf.DUMMYFUNCTION("IFERROR(
  FILTER('CBK Students'!R:R, TRIM('CBK Students'!B:B) = TRIM(A1174)),
  """"
)"),"#REF!")</f>
        <v>#REF!</v>
      </c>
      <c r="Y1174" s="4" t="str">
        <f t="shared" si="2"/>
        <v/>
      </c>
      <c r="Z1174" s="4" t="str">
        <f>IFERROR(__xludf.DUMMYFUNCTION("IFERROR(
  FILTER('CBK Students'!O:O, TRIM('CBK Students'!B:B) = TRIM(A1174)),
  """"
)"),"#REF!")</f>
        <v>#REF!</v>
      </c>
      <c r="AA1174" s="4" t="str">
        <f>IFERROR(__xludf.DUMMYFUNCTION("IFERROR(
  FILTER('CBK Students'!P:P, TRIM('CBK Students'!B:B) = TRIM(A1174)),
  """"
)"),"#REF!")</f>
        <v>#REF!</v>
      </c>
      <c r="AB1174" s="4" t="str">
        <f>IFERROR(__xludf.DUMMYFUNCTION("IFERROR(
  FILTER('CBK Students'!Q:Q, TRIM('CBK Students'!B:B) = TRIM(A1174)),
  """"
)"),"#REF!")</f>
        <v>#REF!</v>
      </c>
    </row>
    <row r="1175" ht="18.75" customHeight="1">
      <c r="T1175" s="240" t="str">
        <f>IFERROR(__xludf.DUMMYFUNCTION("IFERROR(
  FILTER('CBK Students'!F:F, TRIM('CBK Students'!B:B) = TRIM(A1175)),
  """"
)"),"#REF!")</f>
        <v>#REF!</v>
      </c>
      <c r="U1175" s="240" t="str">
        <f>IFERROR(__xludf.DUMMYFUNCTION("IFERROR(
  FILTER('CBK Students'!H:H, TRIM('CBK Students'!B:B) = TRIM(A1175)),
  """"
)"),"#REF!")</f>
        <v>#REF!</v>
      </c>
      <c r="V1175" s="240" t="str">
        <f>IFERROR(__xludf.DUMMYFUNCTION("IFERROR(
  FILTER('CBK Students'!M:M, TRIM('CBK Students'!B:B) = TRIM(A1175)),
  """"
)"),"#REF!")</f>
        <v>#REF!</v>
      </c>
      <c r="W1175" s="240" t="str">
        <f t="shared" si="1"/>
        <v/>
      </c>
      <c r="X1175" s="240" t="str">
        <f>IFERROR(__xludf.DUMMYFUNCTION("IFERROR(
  FILTER('CBK Students'!R:R, TRIM('CBK Students'!B:B) = TRIM(A1175)),
  """"
)"),"#REF!")</f>
        <v>#REF!</v>
      </c>
      <c r="Y1175" s="4" t="str">
        <f t="shared" si="2"/>
        <v/>
      </c>
      <c r="Z1175" s="4" t="str">
        <f>IFERROR(__xludf.DUMMYFUNCTION("IFERROR(
  FILTER('CBK Students'!O:O, TRIM('CBK Students'!B:B) = TRIM(A1175)),
  """"
)"),"#REF!")</f>
        <v>#REF!</v>
      </c>
      <c r="AA1175" s="4" t="str">
        <f>IFERROR(__xludf.DUMMYFUNCTION("IFERROR(
  FILTER('CBK Students'!P:P, TRIM('CBK Students'!B:B) = TRIM(A1175)),
  """"
)"),"#REF!")</f>
        <v>#REF!</v>
      </c>
      <c r="AB1175" s="4" t="str">
        <f>IFERROR(__xludf.DUMMYFUNCTION("IFERROR(
  FILTER('CBK Students'!Q:Q, TRIM('CBK Students'!B:B) = TRIM(A1175)),
  """"
)"),"#REF!")</f>
        <v>#REF!</v>
      </c>
    </row>
    <row r="1176" ht="18.75" customHeight="1">
      <c r="T1176" s="240" t="str">
        <f>IFERROR(__xludf.DUMMYFUNCTION("IFERROR(
  FILTER('CBK Students'!F:F, TRIM('CBK Students'!B:B) = TRIM(A1176)),
  """"
)"),"#REF!")</f>
        <v>#REF!</v>
      </c>
      <c r="U1176" s="240" t="str">
        <f>IFERROR(__xludf.DUMMYFUNCTION("IFERROR(
  FILTER('CBK Students'!H:H, TRIM('CBK Students'!B:B) = TRIM(A1176)),
  """"
)"),"#REF!")</f>
        <v>#REF!</v>
      </c>
      <c r="V1176" s="240" t="str">
        <f>IFERROR(__xludf.DUMMYFUNCTION("IFERROR(
  FILTER('CBK Students'!M:M, TRIM('CBK Students'!B:B) = TRIM(A1176)),
  """"
)"),"#REF!")</f>
        <v>#REF!</v>
      </c>
      <c r="W1176" s="240" t="str">
        <f t="shared" si="1"/>
        <v/>
      </c>
      <c r="X1176" s="240" t="str">
        <f>IFERROR(__xludf.DUMMYFUNCTION("IFERROR(
  FILTER('CBK Students'!R:R, TRIM('CBK Students'!B:B) = TRIM(A1176)),
  """"
)"),"#REF!")</f>
        <v>#REF!</v>
      </c>
      <c r="Y1176" s="4" t="str">
        <f t="shared" si="2"/>
        <v/>
      </c>
      <c r="Z1176" s="4" t="str">
        <f>IFERROR(__xludf.DUMMYFUNCTION("IFERROR(
  FILTER('CBK Students'!O:O, TRIM('CBK Students'!B:B) = TRIM(A1176)),
  """"
)"),"#REF!")</f>
        <v>#REF!</v>
      </c>
      <c r="AA1176" s="4" t="str">
        <f>IFERROR(__xludf.DUMMYFUNCTION("IFERROR(
  FILTER('CBK Students'!P:P, TRIM('CBK Students'!B:B) = TRIM(A1176)),
  """"
)"),"#REF!")</f>
        <v>#REF!</v>
      </c>
      <c r="AB1176" s="4" t="str">
        <f>IFERROR(__xludf.DUMMYFUNCTION("IFERROR(
  FILTER('CBK Students'!Q:Q, TRIM('CBK Students'!B:B) = TRIM(A1176)),
  """"
)"),"#REF!")</f>
        <v>#REF!</v>
      </c>
    </row>
    <row r="1177" ht="18.75" customHeight="1">
      <c r="T1177" s="240" t="str">
        <f>IFERROR(__xludf.DUMMYFUNCTION("IFERROR(
  FILTER('CBK Students'!F:F, TRIM('CBK Students'!B:B) = TRIM(A1177)),
  """"
)"),"#REF!")</f>
        <v>#REF!</v>
      </c>
      <c r="U1177" s="240" t="str">
        <f>IFERROR(__xludf.DUMMYFUNCTION("IFERROR(
  FILTER('CBK Students'!H:H, TRIM('CBK Students'!B:B) = TRIM(A1177)),
  """"
)"),"#REF!")</f>
        <v>#REF!</v>
      </c>
      <c r="V1177" s="240" t="str">
        <f>IFERROR(__xludf.DUMMYFUNCTION("IFERROR(
  FILTER('CBK Students'!M:M, TRIM('CBK Students'!B:B) = TRIM(A1177)),
  """"
)"),"#REF!")</f>
        <v>#REF!</v>
      </c>
      <c r="W1177" s="240" t="str">
        <f t="shared" si="1"/>
        <v/>
      </c>
      <c r="X1177" s="240" t="str">
        <f>IFERROR(__xludf.DUMMYFUNCTION("IFERROR(
  FILTER('CBK Students'!R:R, TRIM('CBK Students'!B:B) = TRIM(A1177)),
  """"
)"),"#REF!")</f>
        <v>#REF!</v>
      </c>
      <c r="Y1177" s="4" t="str">
        <f t="shared" si="2"/>
        <v/>
      </c>
      <c r="Z1177" s="4" t="str">
        <f>IFERROR(__xludf.DUMMYFUNCTION("IFERROR(
  FILTER('CBK Students'!O:O, TRIM('CBK Students'!B:B) = TRIM(A1177)),
  """"
)"),"#REF!")</f>
        <v>#REF!</v>
      </c>
      <c r="AA1177" s="4" t="str">
        <f>IFERROR(__xludf.DUMMYFUNCTION("IFERROR(
  FILTER('CBK Students'!P:P, TRIM('CBK Students'!B:B) = TRIM(A1177)),
  """"
)"),"#REF!")</f>
        <v>#REF!</v>
      </c>
      <c r="AB1177" s="4" t="str">
        <f>IFERROR(__xludf.DUMMYFUNCTION("IFERROR(
  FILTER('CBK Students'!Q:Q, TRIM('CBK Students'!B:B) = TRIM(A1177)),
  """"
)"),"#REF!")</f>
        <v>#REF!</v>
      </c>
    </row>
    <row r="1178" ht="18.75" customHeight="1">
      <c r="T1178" s="240" t="str">
        <f>IFERROR(__xludf.DUMMYFUNCTION("IFERROR(
  FILTER('CBK Students'!F:F, TRIM('CBK Students'!B:B) = TRIM(A1178)),
  """"
)"),"#REF!")</f>
        <v>#REF!</v>
      </c>
      <c r="U1178" s="240" t="str">
        <f>IFERROR(__xludf.DUMMYFUNCTION("IFERROR(
  FILTER('CBK Students'!H:H, TRIM('CBK Students'!B:B) = TRIM(A1178)),
  """"
)"),"#REF!")</f>
        <v>#REF!</v>
      </c>
      <c r="V1178" s="240" t="str">
        <f>IFERROR(__xludf.DUMMYFUNCTION("IFERROR(
  FILTER('CBK Students'!M:M, TRIM('CBK Students'!B:B) = TRIM(A1178)),
  """"
)"),"#REF!")</f>
        <v>#REF!</v>
      </c>
      <c r="W1178" s="240" t="str">
        <f t="shared" si="1"/>
        <v/>
      </c>
      <c r="X1178" s="240" t="str">
        <f>IFERROR(__xludf.DUMMYFUNCTION("IFERROR(
  FILTER('CBK Students'!R:R, TRIM('CBK Students'!B:B) = TRIM(A1178)),
  """"
)"),"#REF!")</f>
        <v>#REF!</v>
      </c>
      <c r="Y1178" s="4" t="str">
        <f t="shared" si="2"/>
        <v/>
      </c>
      <c r="Z1178" s="4" t="str">
        <f>IFERROR(__xludf.DUMMYFUNCTION("IFERROR(
  FILTER('CBK Students'!O:O, TRIM('CBK Students'!B:B) = TRIM(A1178)),
  """"
)"),"#REF!")</f>
        <v>#REF!</v>
      </c>
      <c r="AA1178" s="4" t="str">
        <f>IFERROR(__xludf.DUMMYFUNCTION("IFERROR(
  FILTER('CBK Students'!P:P, TRIM('CBK Students'!B:B) = TRIM(A1178)),
  """"
)"),"#REF!")</f>
        <v>#REF!</v>
      </c>
      <c r="AB1178" s="4" t="str">
        <f>IFERROR(__xludf.DUMMYFUNCTION("IFERROR(
  FILTER('CBK Students'!Q:Q, TRIM('CBK Students'!B:B) = TRIM(A1178)),
  """"
)"),"#REF!")</f>
        <v>#REF!</v>
      </c>
    </row>
    <row r="1179" ht="18.75" customHeight="1">
      <c r="T1179" s="240" t="str">
        <f>IFERROR(__xludf.DUMMYFUNCTION("IFERROR(
  FILTER('CBK Students'!F:F, TRIM('CBK Students'!B:B) = TRIM(A1179)),
  """"
)"),"#REF!")</f>
        <v>#REF!</v>
      </c>
      <c r="U1179" s="240" t="str">
        <f>IFERROR(__xludf.DUMMYFUNCTION("IFERROR(
  FILTER('CBK Students'!H:H, TRIM('CBK Students'!B:B) = TRIM(A1179)),
  """"
)"),"#REF!")</f>
        <v>#REF!</v>
      </c>
      <c r="V1179" s="240" t="str">
        <f>IFERROR(__xludf.DUMMYFUNCTION("IFERROR(
  FILTER('CBK Students'!M:M, TRIM('CBK Students'!B:B) = TRIM(A1179)),
  """"
)"),"#REF!")</f>
        <v>#REF!</v>
      </c>
      <c r="W1179" s="240" t="str">
        <f t="shared" si="1"/>
        <v/>
      </c>
      <c r="X1179" s="240" t="str">
        <f>IFERROR(__xludf.DUMMYFUNCTION("IFERROR(
  FILTER('CBK Students'!R:R, TRIM('CBK Students'!B:B) = TRIM(A1179)),
  """"
)"),"#REF!")</f>
        <v>#REF!</v>
      </c>
      <c r="Y1179" s="4" t="str">
        <f t="shared" si="2"/>
        <v/>
      </c>
      <c r="Z1179" s="4" t="str">
        <f>IFERROR(__xludf.DUMMYFUNCTION("IFERROR(
  FILTER('CBK Students'!O:O, TRIM('CBK Students'!B:B) = TRIM(A1179)),
  """"
)"),"#REF!")</f>
        <v>#REF!</v>
      </c>
      <c r="AA1179" s="4" t="str">
        <f>IFERROR(__xludf.DUMMYFUNCTION("IFERROR(
  FILTER('CBK Students'!P:P, TRIM('CBK Students'!B:B) = TRIM(A1179)),
  """"
)"),"#REF!")</f>
        <v>#REF!</v>
      </c>
      <c r="AB1179" s="4" t="str">
        <f>IFERROR(__xludf.DUMMYFUNCTION("IFERROR(
  FILTER('CBK Students'!Q:Q, TRIM('CBK Students'!B:B) = TRIM(A1179)),
  """"
)"),"#REF!")</f>
        <v>#REF!</v>
      </c>
    </row>
    <row r="1180" ht="18.75" customHeight="1">
      <c r="T1180" s="240" t="str">
        <f>IFERROR(__xludf.DUMMYFUNCTION("IFERROR(
  FILTER('CBK Students'!F:F, TRIM('CBK Students'!B:B) = TRIM(A1180)),
  """"
)"),"#REF!")</f>
        <v>#REF!</v>
      </c>
      <c r="U1180" s="240" t="str">
        <f>IFERROR(__xludf.DUMMYFUNCTION("IFERROR(
  FILTER('CBK Students'!H:H, TRIM('CBK Students'!B:B) = TRIM(A1180)),
  """"
)"),"#REF!")</f>
        <v>#REF!</v>
      </c>
      <c r="V1180" s="240" t="str">
        <f>IFERROR(__xludf.DUMMYFUNCTION("IFERROR(
  FILTER('CBK Students'!M:M, TRIM('CBK Students'!B:B) = TRIM(A1180)),
  """"
)"),"#REF!")</f>
        <v>#REF!</v>
      </c>
      <c r="W1180" s="240" t="str">
        <f t="shared" si="1"/>
        <v/>
      </c>
      <c r="X1180" s="240" t="str">
        <f>IFERROR(__xludf.DUMMYFUNCTION("IFERROR(
  FILTER('CBK Students'!R:R, TRIM('CBK Students'!B:B) = TRIM(A1180)),
  """"
)"),"#REF!")</f>
        <v>#REF!</v>
      </c>
      <c r="Y1180" s="4" t="str">
        <f t="shared" si="2"/>
        <v/>
      </c>
      <c r="Z1180" s="4" t="str">
        <f>IFERROR(__xludf.DUMMYFUNCTION("IFERROR(
  FILTER('CBK Students'!O:O, TRIM('CBK Students'!B:B) = TRIM(A1180)),
  """"
)"),"#REF!")</f>
        <v>#REF!</v>
      </c>
      <c r="AA1180" s="4" t="str">
        <f>IFERROR(__xludf.DUMMYFUNCTION("IFERROR(
  FILTER('CBK Students'!P:P, TRIM('CBK Students'!B:B) = TRIM(A1180)),
  """"
)"),"#REF!")</f>
        <v>#REF!</v>
      </c>
      <c r="AB1180" s="4" t="str">
        <f>IFERROR(__xludf.DUMMYFUNCTION("IFERROR(
  FILTER('CBK Students'!Q:Q, TRIM('CBK Students'!B:B) = TRIM(A1180)),
  """"
)"),"#REF!")</f>
        <v>#REF!</v>
      </c>
    </row>
    <row r="1181" ht="18.75" customHeight="1">
      <c r="T1181" s="240" t="str">
        <f>IFERROR(__xludf.DUMMYFUNCTION("IFERROR(
  FILTER('CBK Students'!F:F, TRIM('CBK Students'!B:B) = TRIM(A1181)),
  """"
)"),"#REF!")</f>
        <v>#REF!</v>
      </c>
      <c r="U1181" s="240" t="str">
        <f>IFERROR(__xludf.DUMMYFUNCTION("IFERROR(
  FILTER('CBK Students'!H:H, TRIM('CBK Students'!B:B) = TRIM(A1181)),
  """"
)"),"#REF!")</f>
        <v>#REF!</v>
      </c>
      <c r="V1181" s="240" t="str">
        <f>IFERROR(__xludf.DUMMYFUNCTION("IFERROR(
  FILTER('CBK Students'!M:M, TRIM('CBK Students'!B:B) = TRIM(A1181)),
  """"
)"),"#REF!")</f>
        <v>#REF!</v>
      </c>
      <c r="W1181" s="240" t="str">
        <f t="shared" si="1"/>
        <v/>
      </c>
      <c r="X1181" s="240" t="str">
        <f>IFERROR(__xludf.DUMMYFUNCTION("IFERROR(
  FILTER('CBK Students'!R:R, TRIM('CBK Students'!B:B) = TRIM(A1181)),
  """"
)"),"#REF!")</f>
        <v>#REF!</v>
      </c>
      <c r="Y1181" s="4" t="str">
        <f t="shared" si="2"/>
        <v/>
      </c>
      <c r="Z1181" s="4" t="str">
        <f>IFERROR(__xludf.DUMMYFUNCTION("IFERROR(
  FILTER('CBK Students'!O:O, TRIM('CBK Students'!B:B) = TRIM(A1181)),
  """"
)"),"#REF!")</f>
        <v>#REF!</v>
      </c>
      <c r="AA1181" s="4" t="str">
        <f>IFERROR(__xludf.DUMMYFUNCTION("IFERROR(
  FILTER('CBK Students'!P:P, TRIM('CBK Students'!B:B) = TRIM(A1181)),
  """"
)"),"#REF!")</f>
        <v>#REF!</v>
      </c>
      <c r="AB1181" s="4" t="str">
        <f>IFERROR(__xludf.DUMMYFUNCTION("IFERROR(
  FILTER('CBK Students'!Q:Q, TRIM('CBK Students'!B:B) = TRIM(A1181)),
  """"
)"),"#REF!")</f>
        <v>#REF!</v>
      </c>
    </row>
    <row r="1182" ht="18.75" customHeight="1">
      <c r="T1182" s="240" t="str">
        <f>IFERROR(__xludf.DUMMYFUNCTION("IFERROR(
  FILTER('CBK Students'!F:F, TRIM('CBK Students'!B:B) = TRIM(A1182)),
  """"
)"),"#REF!")</f>
        <v>#REF!</v>
      </c>
      <c r="U1182" s="240" t="str">
        <f>IFERROR(__xludf.DUMMYFUNCTION("IFERROR(
  FILTER('CBK Students'!H:H, TRIM('CBK Students'!B:B) = TRIM(A1182)),
  """"
)"),"#REF!")</f>
        <v>#REF!</v>
      </c>
      <c r="V1182" s="240" t="str">
        <f>IFERROR(__xludf.DUMMYFUNCTION("IFERROR(
  FILTER('CBK Students'!M:M, TRIM('CBK Students'!B:B) = TRIM(A1182)),
  """"
)"),"#REF!")</f>
        <v>#REF!</v>
      </c>
      <c r="W1182" s="240" t="str">
        <f t="shared" si="1"/>
        <v/>
      </c>
      <c r="X1182" s="240" t="str">
        <f>IFERROR(__xludf.DUMMYFUNCTION("IFERROR(
  FILTER('CBK Students'!R:R, TRIM('CBK Students'!B:B) = TRIM(A1182)),
  """"
)"),"#REF!")</f>
        <v>#REF!</v>
      </c>
      <c r="Y1182" s="4" t="str">
        <f t="shared" si="2"/>
        <v/>
      </c>
      <c r="Z1182" s="4" t="str">
        <f>IFERROR(__xludf.DUMMYFUNCTION("IFERROR(
  FILTER('CBK Students'!O:O, TRIM('CBK Students'!B:B) = TRIM(A1182)),
  """"
)"),"#REF!")</f>
        <v>#REF!</v>
      </c>
      <c r="AA1182" s="4" t="str">
        <f>IFERROR(__xludf.DUMMYFUNCTION("IFERROR(
  FILTER('CBK Students'!P:P, TRIM('CBK Students'!B:B) = TRIM(A1182)),
  """"
)"),"#REF!")</f>
        <v>#REF!</v>
      </c>
      <c r="AB1182" s="4" t="str">
        <f>IFERROR(__xludf.DUMMYFUNCTION("IFERROR(
  FILTER('CBK Students'!Q:Q, TRIM('CBK Students'!B:B) = TRIM(A1182)),
  """"
)"),"#REF!")</f>
        <v>#REF!</v>
      </c>
    </row>
    <row r="1183" ht="18.75" customHeight="1">
      <c r="T1183" s="240" t="str">
        <f>IFERROR(__xludf.DUMMYFUNCTION("IFERROR(
  FILTER('CBK Students'!F:F, TRIM('CBK Students'!B:B) = TRIM(A1183)),
  """"
)"),"#REF!")</f>
        <v>#REF!</v>
      </c>
      <c r="U1183" s="240" t="str">
        <f>IFERROR(__xludf.DUMMYFUNCTION("IFERROR(
  FILTER('CBK Students'!H:H, TRIM('CBK Students'!B:B) = TRIM(A1183)),
  """"
)"),"#REF!")</f>
        <v>#REF!</v>
      </c>
      <c r="V1183" s="240" t="str">
        <f>IFERROR(__xludf.DUMMYFUNCTION("IFERROR(
  FILTER('CBK Students'!M:M, TRIM('CBK Students'!B:B) = TRIM(A1183)),
  """"
)"),"#REF!")</f>
        <v>#REF!</v>
      </c>
      <c r="W1183" s="240" t="str">
        <f t="shared" si="1"/>
        <v/>
      </c>
      <c r="X1183" s="240" t="str">
        <f>IFERROR(__xludf.DUMMYFUNCTION("IFERROR(
  FILTER('CBK Students'!R:R, TRIM('CBK Students'!B:B) = TRIM(A1183)),
  """"
)"),"#REF!")</f>
        <v>#REF!</v>
      </c>
      <c r="Y1183" s="4" t="str">
        <f t="shared" si="2"/>
        <v/>
      </c>
      <c r="Z1183" s="4" t="str">
        <f>IFERROR(__xludf.DUMMYFUNCTION("IFERROR(
  FILTER('CBK Students'!O:O, TRIM('CBK Students'!B:B) = TRIM(A1183)),
  """"
)"),"#REF!")</f>
        <v>#REF!</v>
      </c>
      <c r="AA1183" s="4" t="str">
        <f>IFERROR(__xludf.DUMMYFUNCTION("IFERROR(
  FILTER('CBK Students'!P:P, TRIM('CBK Students'!B:B) = TRIM(A1183)),
  """"
)"),"#REF!")</f>
        <v>#REF!</v>
      </c>
      <c r="AB1183" s="4" t="str">
        <f>IFERROR(__xludf.DUMMYFUNCTION("IFERROR(
  FILTER('CBK Students'!Q:Q, TRIM('CBK Students'!B:B) = TRIM(A1183)),
  """"
)"),"#REF!")</f>
        <v>#REF!</v>
      </c>
    </row>
    <row r="1184" ht="18.75" customHeight="1">
      <c r="T1184" s="240" t="str">
        <f>IFERROR(__xludf.DUMMYFUNCTION("IFERROR(
  FILTER('CBK Students'!F:F, TRIM('CBK Students'!B:B) = TRIM(A1184)),
  """"
)"),"#REF!")</f>
        <v>#REF!</v>
      </c>
      <c r="U1184" s="240" t="str">
        <f>IFERROR(__xludf.DUMMYFUNCTION("IFERROR(
  FILTER('CBK Students'!H:H, TRIM('CBK Students'!B:B) = TRIM(A1184)),
  """"
)"),"#REF!")</f>
        <v>#REF!</v>
      </c>
      <c r="V1184" s="240" t="str">
        <f>IFERROR(__xludf.DUMMYFUNCTION("IFERROR(
  FILTER('CBK Students'!M:M, TRIM('CBK Students'!B:B) = TRIM(A1184)),
  """"
)"),"#REF!")</f>
        <v>#REF!</v>
      </c>
      <c r="W1184" s="240" t="str">
        <f t="shared" si="1"/>
        <v/>
      </c>
      <c r="X1184" s="240" t="str">
        <f>IFERROR(__xludf.DUMMYFUNCTION("IFERROR(
  FILTER('CBK Students'!R:R, TRIM('CBK Students'!B:B) = TRIM(A1184)),
  """"
)"),"#REF!")</f>
        <v>#REF!</v>
      </c>
      <c r="Y1184" s="4" t="str">
        <f t="shared" si="2"/>
        <v/>
      </c>
      <c r="Z1184" s="4" t="str">
        <f>IFERROR(__xludf.DUMMYFUNCTION("IFERROR(
  FILTER('CBK Students'!O:O, TRIM('CBK Students'!B:B) = TRIM(A1184)),
  """"
)"),"#REF!")</f>
        <v>#REF!</v>
      </c>
      <c r="AA1184" s="4" t="str">
        <f>IFERROR(__xludf.DUMMYFUNCTION("IFERROR(
  FILTER('CBK Students'!P:P, TRIM('CBK Students'!B:B) = TRIM(A1184)),
  """"
)"),"#REF!")</f>
        <v>#REF!</v>
      </c>
      <c r="AB1184" s="4" t="str">
        <f>IFERROR(__xludf.DUMMYFUNCTION("IFERROR(
  FILTER('CBK Students'!Q:Q, TRIM('CBK Students'!B:B) = TRIM(A1184)),
  """"
)"),"#REF!")</f>
        <v>#REF!</v>
      </c>
    </row>
    <row r="1185" ht="18.75" customHeight="1">
      <c r="T1185" s="240" t="str">
        <f>IFERROR(__xludf.DUMMYFUNCTION("IFERROR(
  FILTER('CBK Students'!F:F, TRIM('CBK Students'!B:B) = TRIM(A1185)),
  """"
)"),"#REF!")</f>
        <v>#REF!</v>
      </c>
      <c r="U1185" s="240" t="str">
        <f>IFERROR(__xludf.DUMMYFUNCTION("IFERROR(
  FILTER('CBK Students'!H:H, TRIM('CBK Students'!B:B) = TRIM(A1185)),
  """"
)"),"#REF!")</f>
        <v>#REF!</v>
      </c>
      <c r="V1185" s="240" t="str">
        <f>IFERROR(__xludf.DUMMYFUNCTION("IFERROR(
  FILTER('CBK Students'!M:M, TRIM('CBK Students'!B:B) = TRIM(A1185)),
  """"
)"),"#REF!")</f>
        <v>#REF!</v>
      </c>
      <c r="W1185" s="240" t="str">
        <f t="shared" si="1"/>
        <v/>
      </c>
      <c r="X1185" s="240" t="str">
        <f>IFERROR(__xludf.DUMMYFUNCTION("IFERROR(
  FILTER('CBK Students'!R:R, TRIM('CBK Students'!B:B) = TRIM(A1185)),
  """"
)"),"#REF!")</f>
        <v>#REF!</v>
      </c>
      <c r="Y1185" s="4" t="str">
        <f t="shared" si="2"/>
        <v/>
      </c>
      <c r="Z1185" s="4" t="str">
        <f>IFERROR(__xludf.DUMMYFUNCTION("IFERROR(
  FILTER('CBK Students'!O:O, TRIM('CBK Students'!B:B) = TRIM(A1185)),
  """"
)"),"#REF!")</f>
        <v>#REF!</v>
      </c>
      <c r="AA1185" s="4" t="str">
        <f>IFERROR(__xludf.DUMMYFUNCTION("IFERROR(
  FILTER('CBK Students'!P:P, TRIM('CBK Students'!B:B) = TRIM(A1185)),
  """"
)"),"#REF!")</f>
        <v>#REF!</v>
      </c>
      <c r="AB1185" s="4" t="str">
        <f>IFERROR(__xludf.DUMMYFUNCTION("IFERROR(
  FILTER('CBK Students'!Q:Q, TRIM('CBK Students'!B:B) = TRIM(A1185)),
  """"
)"),"#REF!")</f>
        <v>#REF!</v>
      </c>
    </row>
    <row r="1186" ht="18.75" customHeight="1">
      <c r="T1186" s="240" t="str">
        <f>IFERROR(__xludf.DUMMYFUNCTION("IFERROR(
  FILTER('CBK Students'!F:F, TRIM('CBK Students'!B:B) = TRIM(A1186)),
  """"
)"),"#REF!")</f>
        <v>#REF!</v>
      </c>
      <c r="U1186" s="240" t="str">
        <f>IFERROR(__xludf.DUMMYFUNCTION("IFERROR(
  FILTER('CBK Students'!H:H, TRIM('CBK Students'!B:B) = TRIM(A1186)),
  """"
)"),"#REF!")</f>
        <v>#REF!</v>
      </c>
      <c r="V1186" s="240" t="str">
        <f>IFERROR(__xludf.DUMMYFUNCTION("IFERROR(
  FILTER('CBK Students'!M:M, TRIM('CBK Students'!B:B) = TRIM(A1186)),
  """"
)"),"#REF!")</f>
        <v>#REF!</v>
      </c>
      <c r="W1186" s="240" t="str">
        <f t="shared" si="1"/>
        <v/>
      </c>
      <c r="X1186" s="240" t="str">
        <f>IFERROR(__xludf.DUMMYFUNCTION("IFERROR(
  FILTER('CBK Students'!R:R, TRIM('CBK Students'!B:B) = TRIM(A1186)),
  """"
)"),"#REF!")</f>
        <v>#REF!</v>
      </c>
      <c r="Y1186" s="4" t="str">
        <f t="shared" si="2"/>
        <v/>
      </c>
      <c r="Z1186" s="4" t="str">
        <f>IFERROR(__xludf.DUMMYFUNCTION("IFERROR(
  FILTER('CBK Students'!O:O, TRIM('CBK Students'!B:B) = TRIM(A1186)),
  """"
)"),"#REF!")</f>
        <v>#REF!</v>
      </c>
      <c r="AA1186" s="4" t="str">
        <f>IFERROR(__xludf.DUMMYFUNCTION("IFERROR(
  FILTER('CBK Students'!P:P, TRIM('CBK Students'!B:B) = TRIM(A1186)),
  """"
)"),"#REF!")</f>
        <v>#REF!</v>
      </c>
      <c r="AB1186" s="4" t="str">
        <f>IFERROR(__xludf.DUMMYFUNCTION("IFERROR(
  FILTER('CBK Students'!Q:Q, TRIM('CBK Students'!B:B) = TRIM(A1186)),
  """"
)"),"#REF!")</f>
        <v>#REF!</v>
      </c>
    </row>
    <row r="1187" ht="18.75" customHeight="1">
      <c r="T1187" s="240" t="str">
        <f>IFERROR(__xludf.DUMMYFUNCTION("IFERROR(
  FILTER('CBK Students'!F:F, TRIM('CBK Students'!B:B) = TRIM(A1187)),
  """"
)"),"#REF!")</f>
        <v>#REF!</v>
      </c>
      <c r="U1187" s="240" t="str">
        <f>IFERROR(__xludf.DUMMYFUNCTION("IFERROR(
  FILTER('CBK Students'!H:H, TRIM('CBK Students'!B:B) = TRIM(A1187)),
  """"
)"),"#REF!")</f>
        <v>#REF!</v>
      </c>
      <c r="V1187" s="240" t="str">
        <f>IFERROR(__xludf.DUMMYFUNCTION("IFERROR(
  FILTER('CBK Students'!M:M, TRIM('CBK Students'!B:B) = TRIM(A1187)),
  """"
)"),"#REF!")</f>
        <v>#REF!</v>
      </c>
      <c r="W1187" s="240" t="str">
        <f t="shared" si="1"/>
        <v/>
      </c>
      <c r="X1187" s="240" t="str">
        <f>IFERROR(__xludf.DUMMYFUNCTION("IFERROR(
  FILTER('CBK Students'!R:R, TRIM('CBK Students'!B:B) = TRIM(A1187)),
  """"
)"),"#REF!")</f>
        <v>#REF!</v>
      </c>
      <c r="Y1187" s="4" t="str">
        <f t="shared" si="2"/>
        <v/>
      </c>
      <c r="Z1187" s="4" t="str">
        <f>IFERROR(__xludf.DUMMYFUNCTION("IFERROR(
  FILTER('CBK Students'!O:O, TRIM('CBK Students'!B:B) = TRIM(A1187)),
  """"
)"),"#REF!")</f>
        <v>#REF!</v>
      </c>
      <c r="AA1187" s="4" t="str">
        <f>IFERROR(__xludf.DUMMYFUNCTION("IFERROR(
  FILTER('CBK Students'!P:P, TRIM('CBK Students'!B:B) = TRIM(A1187)),
  """"
)"),"#REF!")</f>
        <v>#REF!</v>
      </c>
      <c r="AB1187" s="4" t="str">
        <f>IFERROR(__xludf.DUMMYFUNCTION("IFERROR(
  FILTER('CBK Students'!Q:Q, TRIM('CBK Students'!B:B) = TRIM(A1187)),
  """"
)"),"#REF!")</f>
        <v>#REF!</v>
      </c>
    </row>
    <row r="1188" ht="18.75" customHeight="1">
      <c r="T1188" s="240" t="str">
        <f>IFERROR(__xludf.DUMMYFUNCTION("IFERROR(
  FILTER('CBK Students'!F:F, TRIM('CBK Students'!B:B) = TRIM(A1188)),
  """"
)"),"#REF!")</f>
        <v>#REF!</v>
      </c>
      <c r="U1188" s="240" t="str">
        <f>IFERROR(__xludf.DUMMYFUNCTION("IFERROR(
  FILTER('CBK Students'!H:H, TRIM('CBK Students'!B:B) = TRIM(A1188)),
  """"
)"),"#REF!")</f>
        <v>#REF!</v>
      </c>
      <c r="V1188" s="240" t="str">
        <f>IFERROR(__xludf.DUMMYFUNCTION("IFERROR(
  FILTER('CBK Students'!M:M, TRIM('CBK Students'!B:B) = TRIM(A1188)),
  """"
)"),"#REF!")</f>
        <v>#REF!</v>
      </c>
      <c r="W1188" s="240" t="str">
        <f t="shared" si="1"/>
        <v/>
      </c>
      <c r="X1188" s="240" t="str">
        <f>IFERROR(__xludf.DUMMYFUNCTION("IFERROR(
  FILTER('CBK Students'!R:R, TRIM('CBK Students'!B:B) = TRIM(A1188)),
  """"
)"),"#REF!")</f>
        <v>#REF!</v>
      </c>
      <c r="Y1188" s="4" t="str">
        <f t="shared" si="2"/>
        <v/>
      </c>
      <c r="Z1188" s="4" t="str">
        <f>IFERROR(__xludf.DUMMYFUNCTION("IFERROR(
  FILTER('CBK Students'!O:O, TRIM('CBK Students'!B:B) = TRIM(A1188)),
  """"
)"),"#REF!")</f>
        <v>#REF!</v>
      </c>
      <c r="AA1188" s="4" t="str">
        <f>IFERROR(__xludf.DUMMYFUNCTION("IFERROR(
  FILTER('CBK Students'!P:P, TRIM('CBK Students'!B:B) = TRIM(A1188)),
  """"
)"),"#REF!")</f>
        <v>#REF!</v>
      </c>
      <c r="AB1188" s="4" t="str">
        <f>IFERROR(__xludf.DUMMYFUNCTION("IFERROR(
  FILTER('CBK Students'!Q:Q, TRIM('CBK Students'!B:B) = TRIM(A1188)),
  """"
)"),"#REF!")</f>
        <v>#REF!</v>
      </c>
    </row>
    <row r="1189" ht="18.75" customHeight="1">
      <c r="T1189" s="240" t="str">
        <f>IFERROR(__xludf.DUMMYFUNCTION("IFERROR(
  FILTER('CBK Students'!F:F, TRIM('CBK Students'!B:B) = TRIM(A1189)),
  """"
)"),"#REF!")</f>
        <v>#REF!</v>
      </c>
      <c r="U1189" s="240" t="str">
        <f>IFERROR(__xludf.DUMMYFUNCTION("IFERROR(
  FILTER('CBK Students'!H:H, TRIM('CBK Students'!B:B) = TRIM(A1189)),
  """"
)"),"#REF!")</f>
        <v>#REF!</v>
      </c>
      <c r="V1189" s="240" t="str">
        <f>IFERROR(__xludf.DUMMYFUNCTION("IFERROR(
  FILTER('CBK Students'!M:M, TRIM('CBK Students'!B:B) = TRIM(A1189)),
  """"
)"),"#REF!")</f>
        <v>#REF!</v>
      </c>
      <c r="W1189" s="240" t="str">
        <f t="shared" si="1"/>
        <v/>
      </c>
      <c r="X1189" s="240" t="str">
        <f>IFERROR(__xludf.DUMMYFUNCTION("IFERROR(
  FILTER('CBK Students'!R:R, TRIM('CBK Students'!B:B) = TRIM(A1189)),
  """"
)"),"#REF!")</f>
        <v>#REF!</v>
      </c>
      <c r="Y1189" s="4" t="str">
        <f t="shared" si="2"/>
        <v/>
      </c>
      <c r="Z1189" s="4" t="str">
        <f>IFERROR(__xludf.DUMMYFUNCTION("IFERROR(
  FILTER('CBK Students'!O:O, TRIM('CBK Students'!B:B) = TRIM(A1189)),
  """"
)"),"#REF!")</f>
        <v>#REF!</v>
      </c>
      <c r="AA1189" s="4" t="str">
        <f>IFERROR(__xludf.DUMMYFUNCTION("IFERROR(
  FILTER('CBK Students'!P:P, TRIM('CBK Students'!B:B) = TRIM(A1189)),
  """"
)"),"#REF!")</f>
        <v>#REF!</v>
      </c>
      <c r="AB1189" s="4" t="str">
        <f>IFERROR(__xludf.DUMMYFUNCTION("IFERROR(
  FILTER('CBK Students'!Q:Q, TRIM('CBK Students'!B:B) = TRIM(A1189)),
  """"
)"),"#REF!")</f>
        <v>#REF!</v>
      </c>
    </row>
    <row r="1190" ht="18.75" customHeight="1">
      <c r="T1190" s="240" t="str">
        <f>IFERROR(__xludf.DUMMYFUNCTION("IFERROR(
  FILTER('CBK Students'!F:F, TRIM('CBK Students'!B:B) = TRIM(A1190)),
  """"
)"),"#REF!")</f>
        <v>#REF!</v>
      </c>
      <c r="U1190" s="240" t="str">
        <f>IFERROR(__xludf.DUMMYFUNCTION("IFERROR(
  FILTER('CBK Students'!H:H, TRIM('CBK Students'!B:B) = TRIM(A1190)),
  """"
)"),"#REF!")</f>
        <v>#REF!</v>
      </c>
      <c r="V1190" s="240" t="str">
        <f>IFERROR(__xludf.DUMMYFUNCTION("IFERROR(
  FILTER('CBK Students'!M:M, TRIM('CBK Students'!B:B) = TRIM(A1190)),
  """"
)"),"#REF!")</f>
        <v>#REF!</v>
      </c>
      <c r="W1190" s="240" t="str">
        <f t="shared" si="1"/>
        <v/>
      </c>
      <c r="X1190" s="240" t="str">
        <f>IFERROR(__xludf.DUMMYFUNCTION("IFERROR(
  FILTER('CBK Students'!R:R, TRIM('CBK Students'!B:B) = TRIM(A1190)),
  """"
)"),"#REF!")</f>
        <v>#REF!</v>
      </c>
      <c r="Y1190" s="4" t="str">
        <f t="shared" si="2"/>
        <v/>
      </c>
      <c r="Z1190" s="4" t="str">
        <f>IFERROR(__xludf.DUMMYFUNCTION("IFERROR(
  FILTER('CBK Students'!O:O, TRIM('CBK Students'!B:B) = TRIM(A1190)),
  """"
)"),"#REF!")</f>
        <v>#REF!</v>
      </c>
      <c r="AA1190" s="4" t="str">
        <f>IFERROR(__xludf.DUMMYFUNCTION("IFERROR(
  FILTER('CBK Students'!P:P, TRIM('CBK Students'!B:B) = TRIM(A1190)),
  """"
)"),"#REF!")</f>
        <v>#REF!</v>
      </c>
      <c r="AB1190" s="4" t="str">
        <f>IFERROR(__xludf.DUMMYFUNCTION("IFERROR(
  FILTER('CBK Students'!Q:Q, TRIM('CBK Students'!B:B) = TRIM(A1190)),
  """"
)"),"#REF!")</f>
        <v>#REF!</v>
      </c>
    </row>
    <row r="1191" ht="18.75" customHeight="1">
      <c r="T1191" s="240" t="str">
        <f>IFERROR(__xludf.DUMMYFUNCTION("IFERROR(
  FILTER('CBK Students'!F:F, TRIM('CBK Students'!B:B) = TRIM(A1191)),
  """"
)"),"#REF!")</f>
        <v>#REF!</v>
      </c>
      <c r="U1191" s="240" t="str">
        <f>IFERROR(__xludf.DUMMYFUNCTION("IFERROR(
  FILTER('CBK Students'!H:H, TRIM('CBK Students'!B:B) = TRIM(A1191)),
  """"
)"),"#REF!")</f>
        <v>#REF!</v>
      </c>
      <c r="V1191" s="240" t="str">
        <f>IFERROR(__xludf.DUMMYFUNCTION("IFERROR(
  FILTER('CBK Students'!M:M, TRIM('CBK Students'!B:B) = TRIM(A1191)),
  """"
)"),"#REF!")</f>
        <v>#REF!</v>
      </c>
      <c r="W1191" s="240" t="str">
        <f t="shared" si="1"/>
        <v/>
      </c>
      <c r="X1191" s="240" t="str">
        <f>IFERROR(__xludf.DUMMYFUNCTION("IFERROR(
  FILTER('CBK Students'!R:R, TRIM('CBK Students'!B:B) = TRIM(A1191)),
  """"
)"),"#REF!")</f>
        <v>#REF!</v>
      </c>
      <c r="Y1191" s="4" t="str">
        <f t="shared" si="2"/>
        <v/>
      </c>
      <c r="Z1191" s="4" t="str">
        <f>IFERROR(__xludf.DUMMYFUNCTION("IFERROR(
  FILTER('CBK Students'!O:O, TRIM('CBK Students'!B:B) = TRIM(A1191)),
  """"
)"),"#REF!")</f>
        <v>#REF!</v>
      </c>
      <c r="AA1191" s="4" t="str">
        <f>IFERROR(__xludf.DUMMYFUNCTION("IFERROR(
  FILTER('CBK Students'!P:P, TRIM('CBK Students'!B:B) = TRIM(A1191)),
  """"
)"),"#REF!")</f>
        <v>#REF!</v>
      </c>
      <c r="AB1191" s="4" t="str">
        <f>IFERROR(__xludf.DUMMYFUNCTION("IFERROR(
  FILTER('CBK Students'!Q:Q, TRIM('CBK Students'!B:B) = TRIM(A1191)),
  """"
)"),"#REF!")</f>
        <v>#REF!</v>
      </c>
    </row>
    <row r="1192" ht="18.75" customHeight="1">
      <c r="T1192" s="240" t="str">
        <f>IFERROR(__xludf.DUMMYFUNCTION("IFERROR(
  FILTER('CBK Students'!F:F, TRIM('CBK Students'!B:B) = TRIM(A1192)),
  """"
)"),"#REF!")</f>
        <v>#REF!</v>
      </c>
      <c r="U1192" s="240" t="str">
        <f>IFERROR(__xludf.DUMMYFUNCTION("IFERROR(
  FILTER('CBK Students'!H:H, TRIM('CBK Students'!B:B) = TRIM(A1192)),
  """"
)"),"#REF!")</f>
        <v>#REF!</v>
      </c>
      <c r="V1192" s="240" t="str">
        <f>IFERROR(__xludf.DUMMYFUNCTION("IFERROR(
  FILTER('CBK Students'!M:M, TRIM('CBK Students'!B:B) = TRIM(A1192)),
  """"
)"),"#REF!")</f>
        <v>#REF!</v>
      </c>
      <c r="W1192" s="240" t="str">
        <f t="shared" si="1"/>
        <v/>
      </c>
      <c r="X1192" s="240" t="str">
        <f>IFERROR(__xludf.DUMMYFUNCTION("IFERROR(
  FILTER('CBK Students'!R:R, TRIM('CBK Students'!B:B) = TRIM(A1192)),
  """"
)"),"#REF!")</f>
        <v>#REF!</v>
      </c>
      <c r="Y1192" s="4" t="str">
        <f t="shared" si="2"/>
        <v/>
      </c>
      <c r="Z1192" s="4" t="str">
        <f>IFERROR(__xludf.DUMMYFUNCTION("IFERROR(
  FILTER('CBK Students'!O:O, TRIM('CBK Students'!B:B) = TRIM(A1192)),
  """"
)"),"#REF!")</f>
        <v>#REF!</v>
      </c>
      <c r="AA1192" s="4" t="str">
        <f>IFERROR(__xludf.DUMMYFUNCTION("IFERROR(
  FILTER('CBK Students'!P:P, TRIM('CBK Students'!B:B) = TRIM(A1192)),
  """"
)"),"#REF!")</f>
        <v>#REF!</v>
      </c>
      <c r="AB1192" s="4" t="str">
        <f>IFERROR(__xludf.DUMMYFUNCTION("IFERROR(
  FILTER('CBK Students'!Q:Q, TRIM('CBK Students'!B:B) = TRIM(A1192)),
  """"
)"),"#REF!")</f>
        <v>#REF!</v>
      </c>
    </row>
    <row r="1193" ht="18.75" customHeight="1">
      <c r="T1193" s="240" t="str">
        <f>IFERROR(__xludf.DUMMYFUNCTION("IFERROR(
  FILTER('CBK Students'!F:F, TRIM('CBK Students'!B:B) = TRIM(A1193)),
  """"
)"),"#REF!")</f>
        <v>#REF!</v>
      </c>
      <c r="U1193" s="240" t="str">
        <f>IFERROR(__xludf.DUMMYFUNCTION("IFERROR(
  FILTER('CBK Students'!H:H, TRIM('CBK Students'!B:B) = TRIM(A1193)),
  """"
)"),"#REF!")</f>
        <v>#REF!</v>
      </c>
      <c r="V1193" s="240" t="str">
        <f>IFERROR(__xludf.DUMMYFUNCTION("IFERROR(
  FILTER('CBK Students'!M:M, TRIM('CBK Students'!B:B) = TRIM(A1193)),
  """"
)"),"#REF!")</f>
        <v>#REF!</v>
      </c>
      <c r="W1193" s="240" t="str">
        <f t="shared" si="1"/>
        <v/>
      </c>
      <c r="X1193" s="240" t="str">
        <f>IFERROR(__xludf.DUMMYFUNCTION("IFERROR(
  FILTER('CBK Students'!R:R, TRIM('CBK Students'!B:B) = TRIM(A1193)),
  """"
)"),"#REF!")</f>
        <v>#REF!</v>
      </c>
      <c r="Y1193" s="4" t="str">
        <f t="shared" si="2"/>
        <v/>
      </c>
      <c r="Z1193" s="4" t="str">
        <f>IFERROR(__xludf.DUMMYFUNCTION("IFERROR(
  FILTER('CBK Students'!O:O, TRIM('CBK Students'!B:B) = TRIM(A1193)),
  """"
)"),"#REF!")</f>
        <v>#REF!</v>
      </c>
      <c r="AA1193" s="4" t="str">
        <f>IFERROR(__xludf.DUMMYFUNCTION("IFERROR(
  FILTER('CBK Students'!P:P, TRIM('CBK Students'!B:B) = TRIM(A1193)),
  """"
)"),"#REF!")</f>
        <v>#REF!</v>
      </c>
      <c r="AB1193" s="4" t="str">
        <f>IFERROR(__xludf.DUMMYFUNCTION("IFERROR(
  FILTER('CBK Students'!Q:Q, TRIM('CBK Students'!B:B) = TRIM(A1193)),
  """"
)"),"#REF!")</f>
        <v>#REF!</v>
      </c>
    </row>
    <row r="1194" ht="18.75" customHeight="1">
      <c r="T1194" s="240" t="str">
        <f>IFERROR(__xludf.DUMMYFUNCTION("IFERROR(
  FILTER('CBK Students'!F:F, TRIM('CBK Students'!B:B) = TRIM(A1194)),
  """"
)"),"#REF!")</f>
        <v>#REF!</v>
      </c>
      <c r="U1194" s="240" t="str">
        <f>IFERROR(__xludf.DUMMYFUNCTION("IFERROR(
  FILTER('CBK Students'!H:H, TRIM('CBK Students'!B:B) = TRIM(A1194)),
  """"
)"),"#REF!")</f>
        <v>#REF!</v>
      </c>
      <c r="V1194" s="240" t="str">
        <f>IFERROR(__xludf.DUMMYFUNCTION("IFERROR(
  FILTER('CBK Students'!M:M, TRIM('CBK Students'!B:B) = TRIM(A1194)),
  """"
)"),"#REF!")</f>
        <v>#REF!</v>
      </c>
      <c r="W1194" s="240" t="str">
        <f t="shared" si="1"/>
        <v/>
      </c>
      <c r="X1194" s="240" t="str">
        <f>IFERROR(__xludf.DUMMYFUNCTION("IFERROR(
  FILTER('CBK Students'!R:R, TRIM('CBK Students'!B:B) = TRIM(A1194)),
  """"
)"),"#REF!")</f>
        <v>#REF!</v>
      </c>
      <c r="Y1194" s="4" t="str">
        <f t="shared" si="2"/>
        <v/>
      </c>
      <c r="Z1194" s="4" t="str">
        <f>IFERROR(__xludf.DUMMYFUNCTION("IFERROR(
  FILTER('CBK Students'!O:O, TRIM('CBK Students'!B:B) = TRIM(A1194)),
  """"
)"),"#REF!")</f>
        <v>#REF!</v>
      </c>
      <c r="AA1194" s="4" t="str">
        <f>IFERROR(__xludf.DUMMYFUNCTION("IFERROR(
  FILTER('CBK Students'!P:P, TRIM('CBK Students'!B:B) = TRIM(A1194)),
  """"
)"),"#REF!")</f>
        <v>#REF!</v>
      </c>
      <c r="AB1194" s="4" t="str">
        <f>IFERROR(__xludf.DUMMYFUNCTION("IFERROR(
  FILTER('CBK Students'!Q:Q, TRIM('CBK Students'!B:B) = TRIM(A1194)),
  """"
)"),"#REF!")</f>
        <v>#REF!</v>
      </c>
    </row>
    <row r="1195" ht="18.75" customHeight="1">
      <c r="T1195" s="240" t="str">
        <f>IFERROR(__xludf.DUMMYFUNCTION("IFERROR(
  FILTER('CBK Students'!F:F, TRIM('CBK Students'!B:B) = TRIM(A1195)),
  """"
)"),"#REF!")</f>
        <v>#REF!</v>
      </c>
      <c r="U1195" s="240" t="str">
        <f>IFERROR(__xludf.DUMMYFUNCTION("IFERROR(
  FILTER('CBK Students'!H:H, TRIM('CBK Students'!B:B) = TRIM(A1195)),
  """"
)"),"#REF!")</f>
        <v>#REF!</v>
      </c>
      <c r="V1195" s="240" t="str">
        <f>IFERROR(__xludf.DUMMYFUNCTION("IFERROR(
  FILTER('CBK Students'!M:M, TRIM('CBK Students'!B:B) = TRIM(A1195)),
  """"
)"),"#REF!")</f>
        <v>#REF!</v>
      </c>
      <c r="W1195" s="240" t="str">
        <f t="shared" si="1"/>
        <v/>
      </c>
      <c r="X1195" s="240" t="str">
        <f>IFERROR(__xludf.DUMMYFUNCTION("IFERROR(
  FILTER('CBK Students'!R:R, TRIM('CBK Students'!B:B) = TRIM(A1195)),
  """"
)"),"#REF!")</f>
        <v>#REF!</v>
      </c>
      <c r="Y1195" s="4" t="str">
        <f t="shared" si="2"/>
        <v/>
      </c>
      <c r="Z1195" s="4" t="str">
        <f>IFERROR(__xludf.DUMMYFUNCTION("IFERROR(
  FILTER('CBK Students'!O:O, TRIM('CBK Students'!B:B) = TRIM(A1195)),
  """"
)"),"#REF!")</f>
        <v>#REF!</v>
      </c>
      <c r="AA1195" s="4" t="str">
        <f>IFERROR(__xludf.DUMMYFUNCTION("IFERROR(
  FILTER('CBK Students'!P:P, TRIM('CBK Students'!B:B) = TRIM(A1195)),
  """"
)"),"#REF!")</f>
        <v>#REF!</v>
      </c>
      <c r="AB1195" s="4" t="str">
        <f>IFERROR(__xludf.DUMMYFUNCTION("IFERROR(
  FILTER('CBK Students'!Q:Q, TRIM('CBK Students'!B:B) = TRIM(A1195)),
  """"
)"),"#REF!")</f>
        <v>#REF!</v>
      </c>
    </row>
    <row r="1196" ht="18.75" customHeight="1">
      <c r="T1196" s="240" t="str">
        <f>IFERROR(__xludf.DUMMYFUNCTION("IFERROR(
  FILTER('CBK Students'!F:F, TRIM('CBK Students'!B:B) = TRIM(A1196)),
  """"
)"),"#REF!")</f>
        <v>#REF!</v>
      </c>
      <c r="U1196" s="240" t="str">
        <f>IFERROR(__xludf.DUMMYFUNCTION("IFERROR(
  FILTER('CBK Students'!H:H, TRIM('CBK Students'!B:B) = TRIM(A1196)),
  """"
)"),"#REF!")</f>
        <v>#REF!</v>
      </c>
      <c r="V1196" s="240" t="str">
        <f>IFERROR(__xludf.DUMMYFUNCTION("IFERROR(
  FILTER('CBK Students'!M:M, TRIM('CBK Students'!B:B) = TRIM(A1196)),
  """"
)"),"#REF!")</f>
        <v>#REF!</v>
      </c>
      <c r="W1196" s="240" t="str">
        <f t="shared" si="1"/>
        <v/>
      </c>
      <c r="X1196" s="240" t="str">
        <f>IFERROR(__xludf.DUMMYFUNCTION("IFERROR(
  FILTER('CBK Students'!R:R, TRIM('CBK Students'!B:B) = TRIM(A1196)),
  """"
)"),"#REF!")</f>
        <v>#REF!</v>
      </c>
      <c r="Y1196" s="4" t="str">
        <f t="shared" si="2"/>
        <v/>
      </c>
      <c r="Z1196" s="4" t="str">
        <f>IFERROR(__xludf.DUMMYFUNCTION("IFERROR(
  FILTER('CBK Students'!O:O, TRIM('CBK Students'!B:B) = TRIM(A1196)),
  """"
)"),"#REF!")</f>
        <v>#REF!</v>
      </c>
      <c r="AA1196" s="4" t="str">
        <f>IFERROR(__xludf.DUMMYFUNCTION("IFERROR(
  FILTER('CBK Students'!P:P, TRIM('CBK Students'!B:B) = TRIM(A1196)),
  """"
)"),"#REF!")</f>
        <v>#REF!</v>
      </c>
      <c r="AB1196" s="4" t="str">
        <f>IFERROR(__xludf.DUMMYFUNCTION("IFERROR(
  FILTER('CBK Students'!Q:Q, TRIM('CBK Students'!B:B) = TRIM(A1196)),
  """"
)"),"#REF!")</f>
        <v>#REF!</v>
      </c>
    </row>
    <row r="1197" ht="18.75" customHeight="1">
      <c r="T1197" s="240" t="str">
        <f>IFERROR(__xludf.DUMMYFUNCTION("IFERROR(
  FILTER('CBK Students'!F:F, TRIM('CBK Students'!B:B) = TRIM(A1197)),
  """"
)"),"#REF!")</f>
        <v>#REF!</v>
      </c>
      <c r="U1197" s="240" t="str">
        <f>IFERROR(__xludf.DUMMYFUNCTION("IFERROR(
  FILTER('CBK Students'!H:H, TRIM('CBK Students'!B:B) = TRIM(A1197)),
  """"
)"),"#REF!")</f>
        <v>#REF!</v>
      </c>
      <c r="V1197" s="240" t="str">
        <f>IFERROR(__xludf.DUMMYFUNCTION("IFERROR(
  FILTER('CBK Students'!M:M, TRIM('CBK Students'!B:B) = TRIM(A1197)),
  """"
)"),"#REF!")</f>
        <v>#REF!</v>
      </c>
      <c r="W1197" s="240" t="str">
        <f t="shared" si="1"/>
        <v/>
      </c>
      <c r="X1197" s="240" t="str">
        <f>IFERROR(__xludf.DUMMYFUNCTION("IFERROR(
  FILTER('CBK Students'!R:R, TRIM('CBK Students'!B:B) = TRIM(A1197)),
  """"
)"),"#REF!")</f>
        <v>#REF!</v>
      </c>
      <c r="Y1197" s="4" t="str">
        <f t="shared" si="2"/>
        <v/>
      </c>
      <c r="Z1197" s="4" t="str">
        <f>IFERROR(__xludf.DUMMYFUNCTION("IFERROR(
  FILTER('CBK Students'!O:O, TRIM('CBK Students'!B:B) = TRIM(A1197)),
  """"
)"),"#REF!")</f>
        <v>#REF!</v>
      </c>
      <c r="AA1197" s="4" t="str">
        <f>IFERROR(__xludf.DUMMYFUNCTION("IFERROR(
  FILTER('CBK Students'!P:P, TRIM('CBK Students'!B:B) = TRIM(A1197)),
  """"
)"),"#REF!")</f>
        <v>#REF!</v>
      </c>
      <c r="AB1197" s="4" t="str">
        <f>IFERROR(__xludf.DUMMYFUNCTION("IFERROR(
  FILTER('CBK Students'!Q:Q, TRIM('CBK Students'!B:B) = TRIM(A1197)),
  """"
)"),"#REF!")</f>
        <v>#REF!</v>
      </c>
    </row>
    <row r="1198" ht="18.75" customHeight="1">
      <c r="T1198" s="240" t="str">
        <f>IFERROR(__xludf.DUMMYFUNCTION("IFERROR(
  FILTER('CBK Students'!F:F, TRIM('CBK Students'!B:B) = TRIM(A1198)),
  """"
)"),"#REF!")</f>
        <v>#REF!</v>
      </c>
      <c r="U1198" s="240" t="str">
        <f>IFERROR(__xludf.DUMMYFUNCTION("IFERROR(
  FILTER('CBK Students'!H:H, TRIM('CBK Students'!B:B) = TRIM(A1198)),
  """"
)"),"#REF!")</f>
        <v>#REF!</v>
      </c>
      <c r="V1198" s="240" t="str">
        <f>IFERROR(__xludf.DUMMYFUNCTION("IFERROR(
  FILTER('CBK Students'!M:M, TRIM('CBK Students'!B:B) = TRIM(A1198)),
  """"
)"),"#REF!")</f>
        <v>#REF!</v>
      </c>
      <c r="W1198" s="240" t="str">
        <f t="shared" si="1"/>
        <v/>
      </c>
      <c r="X1198" s="240" t="str">
        <f>IFERROR(__xludf.DUMMYFUNCTION("IFERROR(
  FILTER('CBK Students'!R:R, TRIM('CBK Students'!B:B) = TRIM(A1198)),
  """"
)"),"#REF!")</f>
        <v>#REF!</v>
      </c>
      <c r="Y1198" s="4" t="str">
        <f t="shared" si="2"/>
        <v/>
      </c>
      <c r="Z1198" s="4" t="str">
        <f>IFERROR(__xludf.DUMMYFUNCTION("IFERROR(
  FILTER('CBK Students'!O:O, TRIM('CBK Students'!B:B) = TRIM(A1198)),
  """"
)"),"#REF!")</f>
        <v>#REF!</v>
      </c>
      <c r="AA1198" s="4" t="str">
        <f>IFERROR(__xludf.DUMMYFUNCTION("IFERROR(
  FILTER('CBK Students'!P:P, TRIM('CBK Students'!B:B) = TRIM(A1198)),
  """"
)"),"#REF!")</f>
        <v>#REF!</v>
      </c>
      <c r="AB1198" s="4" t="str">
        <f>IFERROR(__xludf.DUMMYFUNCTION("IFERROR(
  FILTER('CBK Students'!Q:Q, TRIM('CBK Students'!B:B) = TRIM(A1198)),
  """"
)"),"#REF!")</f>
        <v>#REF!</v>
      </c>
    </row>
    <row r="1199" ht="18.75" customHeight="1">
      <c r="T1199" s="240" t="str">
        <f>IFERROR(__xludf.DUMMYFUNCTION("IFERROR(
  FILTER('CBK Students'!F:F, TRIM('CBK Students'!B:B) = TRIM(A1199)),
  """"
)"),"#REF!")</f>
        <v>#REF!</v>
      </c>
      <c r="U1199" s="240" t="str">
        <f>IFERROR(__xludf.DUMMYFUNCTION("IFERROR(
  FILTER('CBK Students'!H:H, TRIM('CBK Students'!B:B) = TRIM(A1199)),
  """"
)"),"#REF!")</f>
        <v>#REF!</v>
      </c>
      <c r="V1199" s="240" t="str">
        <f>IFERROR(__xludf.DUMMYFUNCTION("IFERROR(
  FILTER('CBK Students'!M:M, TRIM('CBK Students'!B:B) = TRIM(A1199)),
  """"
)"),"#REF!")</f>
        <v>#REF!</v>
      </c>
      <c r="W1199" s="240" t="str">
        <f t="shared" si="1"/>
        <v/>
      </c>
      <c r="X1199" s="240" t="str">
        <f>IFERROR(__xludf.DUMMYFUNCTION("IFERROR(
  FILTER('CBK Students'!R:R, TRIM('CBK Students'!B:B) = TRIM(A1199)),
  """"
)"),"#REF!")</f>
        <v>#REF!</v>
      </c>
      <c r="Y1199" s="4" t="str">
        <f t="shared" si="2"/>
        <v/>
      </c>
      <c r="Z1199" s="4" t="str">
        <f>IFERROR(__xludf.DUMMYFUNCTION("IFERROR(
  FILTER('CBK Students'!O:O, TRIM('CBK Students'!B:B) = TRIM(A1199)),
  """"
)"),"#REF!")</f>
        <v>#REF!</v>
      </c>
      <c r="AA1199" s="4" t="str">
        <f>IFERROR(__xludf.DUMMYFUNCTION("IFERROR(
  FILTER('CBK Students'!P:P, TRIM('CBK Students'!B:B) = TRIM(A1199)),
  """"
)"),"#REF!")</f>
        <v>#REF!</v>
      </c>
      <c r="AB1199" s="4" t="str">
        <f>IFERROR(__xludf.DUMMYFUNCTION("IFERROR(
  FILTER('CBK Students'!Q:Q, TRIM('CBK Students'!B:B) = TRIM(A1199)),
  """"
)"),"#REF!")</f>
        <v>#REF!</v>
      </c>
    </row>
    <row r="1200" ht="18.75" customHeight="1">
      <c r="T1200" s="240" t="str">
        <f>IFERROR(__xludf.DUMMYFUNCTION("IFERROR(
  FILTER('CBK Students'!F:F, TRIM('CBK Students'!B:B) = TRIM(A1200)),
  """"
)"),"#REF!")</f>
        <v>#REF!</v>
      </c>
      <c r="U1200" s="240" t="str">
        <f>IFERROR(__xludf.DUMMYFUNCTION("IFERROR(
  FILTER('CBK Students'!H:H, TRIM('CBK Students'!B:B) = TRIM(A1200)),
  """"
)"),"#REF!")</f>
        <v>#REF!</v>
      </c>
      <c r="V1200" s="240" t="str">
        <f>IFERROR(__xludf.DUMMYFUNCTION("IFERROR(
  FILTER('CBK Students'!M:M, TRIM('CBK Students'!B:B) = TRIM(A1200)),
  """"
)"),"#REF!")</f>
        <v>#REF!</v>
      </c>
      <c r="W1200" s="240" t="str">
        <f t="shared" si="1"/>
        <v/>
      </c>
      <c r="X1200" s="240" t="str">
        <f>IFERROR(__xludf.DUMMYFUNCTION("IFERROR(
  FILTER('CBK Students'!R:R, TRIM('CBK Students'!B:B) = TRIM(A1200)),
  """"
)"),"#REF!")</f>
        <v>#REF!</v>
      </c>
      <c r="Y1200" s="4" t="str">
        <f t="shared" si="2"/>
        <v/>
      </c>
      <c r="Z1200" s="4" t="str">
        <f>IFERROR(__xludf.DUMMYFUNCTION("IFERROR(
  FILTER('CBK Students'!O:O, TRIM('CBK Students'!B:B) = TRIM(A1200)),
  """"
)"),"#REF!")</f>
        <v>#REF!</v>
      </c>
      <c r="AA1200" s="4" t="str">
        <f>IFERROR(__xludf.DUMMYFUNCTION("IFERROR(
  FILTER('CBK Students'!P:P, TRIM('CBK Students'!B:B) = TRIM(A1200)),
  """"
)"),"#REF!")</f>
        <v>#REF!</v>
      </c>
      <c r="AB1200" s="4" t="str">
        <f>IFERROR(__xludf.DUMMYFUNCTION("IFERROR(
  FILTER('CBK Students'!Q:Q, TRIM('CBK Students'!B:B) = TRIM(A1200)),
  """"
)"),"#REF!")</f>
        <v>#REF!</v>
      </c>
    </row>
    <row r="1201" ht="18.75" customHeight="1">
      <c r="T1201" s="240" t="str">
        <f>IFERROR(__xludf.DUMMYFUNCTION("IFERROR(
  FILTER('CBK Students'!F:F, TRIM('CBK Students'!B:B) = TRIM(A1201)),
  """"
)"),"#REF!")</f>
        <v>#REF!</v>
      </c>
      <c r="U1201" s="240" t="str">
        <f>IFERROR(__xludf.DUMMYFUNCTION("IFERROR(
  FILTER('CBK Students'!H:H, TRIM('CBK Students'!B:B) = TRIM(A1201)),
  """"
)"),"#REF!")</f>
        <v>#REF!</v>
      </c>
      <c r="V1201" s="240" t="str">
        <f>IFERROR(__xludf.DUMMYFUNCTION("IFERROR(
  FILTER('CBK Students'!M:M, TRIM('CBK Students'!B:B) = TRIM(A1201)),
  """"
)"),"#REF!")</f>
        <v>#REF!</v>
      </c>
      <c r="W1201" s="240" t="str">
        <f t="shared" si="1"/>
        <v/>
      </c>
      <c r="X1201" s="240" t="str">
        <f>IFERROR(__xludf.DUMMYFUNCTION("IFERROR(
  FILTER('CBK Students'!R:R, TRIM('CBK Students'!B:B) = TRIM(A1201)),
  """"
)"),"#REF!")</f>
        <v>#REF!</v>
      </c>
      <c r="Y1201" s="4" t="str">
        <f t="shared" si="2"/>
        <v/>
      </c>
      <c r="Z1201" s="4" t="str">
        <f>IFERROR(__xludf.DUMMYFUNCTION("IFERROR(
  FILTER('CBK Students'!O:O, TRIM('CBK Students'!B:B) = TRIM(A1201)),
  """"
)"),"#REF!")</f>
        <v>#REF!</v>
      </c>
      <c r="AA1201" s="4" t="str">
        <f>IFERROR(__xludf.DUMMYFUNCTION("IFERROR(
  FILTER('CBK Students'!P:P, TRIM('CBK Students'!B:B) = TRIM(A1201)),
  """"
)"),"#REF!")</f>
        <v>#REF!</v>
      </c>
      <c r="AB1201" s="4" t="str">
        <f>IFERROR(__xludf.DUMMYFUNCTION("IFERROR(
  FILTER('CBK Students'!Q:Q, TRIM('CBK Students'!B:B) = TRIM(A1201)),
  """"
)"),"#REF!")</f>
        <v>#REF!</v>
      </c>
    </row>
    <row r="1202" ht="18.75" customHeight="1">
      <c r="T1202" s="240" t="str">
        <f>IFERROR(__xludf.DUMMYFUNCTION("IFERROR(
  FILTER('CBK Students'!F:F, TRIM('CBK Students'!B:B) = TRIM(A1202)),
  """"
)"),"#REF!")</f>
        <v>#REF!</v>
      </c>
      <c r="U1202" s="240" t="str">
        <f>IFERROR(__xludf.DUMMYFUNCTION("IFERROR(
  FILTER('CBK Students'!H:H, TRIM('CBK Students'!B:B) = TRIM(A1202)),
  """"
)"),"#REF!")</f>
        <v>#REF!</v>
      </c>
      <c r="V1202" s="240" t="str">
        <f>IFERROR(__xludf.DUMMYFUNCTION("IFERROR(
  FILTER('CBK Students'!M:M, TRIM('CBK Students'!B:B) = TRIM(A1202)),
  """"
)"),"#REF!")</f>
        <v>#REF!</v>
      </c>
      <c r="W1202" s="240" t="str">
        <f t="shared" si="1"/>
        <v/>
      </c>
      <c r="X1202" s="240" t="str">
        <f>IFERROR(__xludf.DUMMYFUNCTION("IFERROR(
  FILTER('CBK Students'!R:R, TRIM('CBK Students'!B:B) = TRIM(A1202)),
  """"
)"),"#REF!")</f>
        <v>#REF!</v>
      </c>
      <c r="Y1202" s="4" t="str">
        <f t="shared" si="2"/>
        <v/>
      </c>
      <c r="Z1202" s="4" t="str">
        <f>IFERROR(__xludf.DUMMYFUNCTION("IFERROR(
  FILTER('CBK Students'!O:O, TRIM('CBK Students'!B:B) = TRIM(A1202)),
  """"
)"),"#REF!")</f>
        <v>#REF!</v>
      </c>
      <c r="AA1202" s="4" t="str">
        <f>IFERROR(__xludf.DUMMYFUNCTION("IFERROR(
  FILTER('CBK Students'!P:P, TRIM('CBK Students'!B:B) = TRIM(A1202)),
  """"
)"),"#REF!")</f>
        <v>#REF!</v>
      </c>
      <c r="AB1202" s="4" t="str">
        <f>IFERROR(__xludf.DUMMYFUNCTION("IFERROR(
  FILTER('CBK Students'!Q:Q, TRIM('CBK Students'!B:B) = TRIM(A1202)),
  """"
)"),"#REF!")</f>
        <v>#REF!</v>
      </c>
    </row>
    <row r="1203" ht="18.75" customHeight="1">
      <c r="T1203" s="240" t="str">
        <f>IFERROR(__xludf.DUMMYFUNCTION("IFERROR(
  FILTER('CBK Students'!F:F, TRIM('CBK Students'!B:B) = TRIM(A1203)),
  """"
)"),"#REF!")</f>
        <v>#REF!</v>
      </c>
      <c r="U1203" s="240" t="str">
        <f>IFERROR(__xludf.DUMMYFUNCTION("IFERROR(
  FILTER('CBK Students'!H:H, TRIM('CBK Students'!B:B) = TRIM(A1203)),
  """"
)"),"#REF!")</f>
        <v>#REF!</v>
      </c>
      <c r="V1203" s="240" t="str">
        <f>IFERROR(__xludf.DUMMYFUNCTION("IFERROR(
  FILTER('CBK Students'!M:M, TRIM('CBK Students'!B:B) = TRIM(A1203)),
  """"
)"),"#REF!")</f>
        <v>#REF!</v>
      </c>
      <c r="W1203" s="240" t="str">
        <f t="shared" si="1"/>
        <v/>
      </c>
      <c r="X1203" s="240" t="str">
        <f>IFERROR(__xludf.DUMMYFUNCTION("IFERROR(
  FILTER('CBK Students'!R:R, TRIM('CBK Students'!B:B) = TRIM(A1203)),
  """"
)"),"#REF!")</f>
        <v>#REF!</v>
      </c>
      <c r="Y1203" s="4" t="str">
        <f t="shared" si="2"/>
        <v/>
      </c>
      <c r="Z1203" s="4" t="str">
        <f>IFERROR(__xludf.DUMMYFUNCTION("IFERROR(
  FILTER('CBK Students'!O:O, TRIM('CBK Students'!B:B) = TRIM(A1203)),
  """"
)"),"#REF!")</f>
        <v>#REF!</v>
      </c>
      <c r="AA1203" s="4" t="str">
        <f>IFERROR(__xludf.DUMMYFUNCTION("IFERROR(
  FILTER('CBK Students'!P:P, TRIM('CBK Students'!B:B) = TRIM(A1203)),
  """"
)"),"#REF!")</f>
        <v>#REF!</v>
      </c>
      <c r="AB1203" s="4" t="str">
        <f>IFERROR(__xludf.DUMMYFUNCTION("IFERROR(
  FILTER('CBK Students'!Q:Q, TRIM('CBK Students'!B:B) = TRIM(A1203)),
  """"
)"),"#REF!")</f>
        <v>#REF!</v>
      </c>
    </row>
    <row r="1204" ht="18.75" customHeight="1">
      <c r="T1204" s="240" t="str">
        <f>IFERROR(__xludf.DUMMYFUNCTION("IFERROR(
  FILTER('CBK Students'!F:F, TRIM('CBK Students'!B:B) = TRIM(A1204)),
  """"
)"),"#REF!")</f>
        <v>#REF!</v>
      </c>
      <c r="U1204" s="240" t="str">
        <f>IFERROR(__xludf.DUMMYFUNCTION("IFERROR(
  FILTER('CBK Students'!H:H, TRIM('CBK Students'!B:B) = TRIM(A1204)),
  """"
)"),"#REF!")</f>
        <v>#REF!</v>
      </c>
      <c r="V1204" s="240" t="str">
        <f>IFERROR(__xludf.DUMMYFUNCTION("IFERROR(
  FILTER('CBK Students'!M:M, TRIM('CBK Students'!B:B) = TRIM(A1204)),
  """"
)"),"#REF!")</f>
        <v>#REF!</v>
      </c>
      <c r="W1204" s="240" t="str">
        <f t="shared" si="1"/>
        <v/>
      </c>
      <c r="X1204" s="240" t="str">
        <f>IFERROR(__xludf.DUMMYFUNCTION("IFERROR(
  FILTER('CBK Students'!R:R, TRIM('CBK Students'!B:B) = TRIM(A1204)),
  """"
)"),"#REF!")</f>
        <v>#REF!</v>
      </c>
      <c r="Y1204" s="4" t="str">
        <f t="shared" si="2"/>
        <v/>
      </c>
      <c r="Z1204" s="4" t="str">
        <f>IFERROR(__xludf.DUMMYFUNCTION("IFERROR(
  FILTER('CBK Students'!O:O, TRIM('CBK Students'!B:B) = TRIM(A1204)),
  """"
)"),"#REF!")</f>
        <v>#REF!</v>
      </c>
      <c r="AA1204" s="4" t="str">
        <f>IFERROR(__xludf.DUMMYFUNCTION("IFERROR(
  FILTER('CBK Students'!P:P, TRIM('CBK Students'!B:B) = TRIM(A1204)),
  """"
)"),"#REF!")</f>
        <v>#REF!</v>
      </c>
      <c r="AB1204" s="4" t="str">
        <f>IFERROR(__xludf.DUMMYFUNCTION("IFERROR(
  FILTER('CBK Students'!Q:Q, TRIM('CBK Students'!B:B) = TRIM(A1204)),
  """"
)"),"#REF!")</f>
        <v>#REF!</v>
      </c>
    </row>
    <row r="1205" ht="18.75" customHeight="1">
      <c r="T1205" s="240" t="str">
        <f>IFERROR(__xludf.DUMMYFUNCTION("IFERROR(
  FILTER('CBK Students'!F:F, TRIM('CBK Students'!B:B) = TRIM(A1205)),
  """"
)"),"#REF!")</f>
        <v>#REF!</v>
      </c>
      <c r="U1205" s="240" t="str">
        <f>IFERROR(__xludf.DUMMYFUNCTION("IFERROR(
  FILTER('CBK Students'!H:H, TRIM('CBK Students'!B:B) = TRIM(A1205)),
  """"
)"),"#REF!")</f>
        <v>#REF!</v>
      </c>
      <c r="V1205" s="240" t="str">
        <f>IFERROR(__xludf.DUMMYFUNCTION("IFERROR(
  FILTER('CBK Students'!M:M, TRIM('CBK Students'!B:B) = TRIM(A1205)),
  """"
)"),"#REF!")</f>
        <v>#REF!</v>
      </c>
      <c r="W1205" s="240" t="str">
        <f t="shared" si="1"/>
        <v/>
      </c>
      <c r="X1205" s="240" t="str">
        <f>IFERROR(__xludf.DUMMYFUNCTION("IFERROR(
  FILTER('CBK Students'!R:R, TRIM('CBK Students'!B:B) = TRIM(A1205)),
  """"
)"),"#REF!")</f>
        <v>#REF!</v>
      </c>
      <c r="Y1205" s="4" t="str">
        <f t="shared" si="2"/>
        <v/>
      </c>
      <c r="Z1205" s="4" t="str">
        <f>IFERROR(__xludf.DUMMYFUNCTION("IFERROR(
  FILTER('CBK Students'!O:O, TRIM('CBK Students'!B:B) = TRIM(A1205)),
  """"
)"),"#REF!")</f>
        <v>#REF!</v>
      </c>
      <c r="AA1205" s="4" t="str">
        <f>IFERROR(__xludf.DUMMYFUNCTION("IFERROR(
  FILTER('CBK Students'!P:P, TRIM('CBK Students'!B:B) = TRIM(A1205)),
  """"
)"),"#REF!")</f>
        <v>#REF!</v>
      </c>
      <c r="AB1205" s="4" t="str">
        <f>IFERROR(__xludf.DUMMYFUNCTION("IFERROR(
  FILTER('CBK Students'!Q:Q, TRIM('CBK Students'!B:B) = TRIM(A1205)),
  """"
)"),"#REF!")</f>
        <v>#REF!</v>
      </c>
    </row>
    <row r="1206" ht="18.75" customHeight="1">
      <c r="T1206" s="240" t="str">
        <f>IFERROR(__xludf.DUMMYFUNCTION("IFERROR(
  FILTER('CBK Students'!F:F, TRIM('CBK Students'!B:B) = TRIM(A1206)),
  """"
)"),"#REF!")</f>
        <v>#REF!</v>
      </c>
      <c r="U1206" s="240" t="str">
        <f>IFERROR(__xludf.DUMMYFUNCTION("IFERROR(
  FILTER('CBK Students'!H:H, TRIM('CBK Students'!B:B) = TRIM(A1206)),
  """"
)"),"#REF!")</f>
        <v>#REF!</v>
      </c>
      <c r="V1206" s="240" t="str">
        <f>IFERROR(__xludf.DUMMYFUNCTION("IFERROR(
  FILTER('CBK Students'!M:M, TRIM('CBK Students'!B:B) = TRIM(A1206)),
  """"
)"),"#REF!")</f>
        <v>#REF!</v>
      </c>
      <c r="W1206" s="240" t="str">
        <f t="shared" si="1"/>
        <v/>
      </c>
      <c r="X1206" s="240" t="str">
        <f>IFERROR(__xludf.DUMMYFUNCTION("IFERROR(
  FILTER('CBK Students'!R:R, TRIM('CBK Students'!B:B) = TRIM(A1206)),
  """"
)"),"#REF!")</f>
        <v>#REF!</v>
      </c>
      <c r="Y1206" s="4" t="str">
        <f t="shared" si="2"/>
        <v/>
      </c>
      <c r="Z1206" s="4" t="str">
        <f>IFERROR(__xludf.DUMMYFUNCTION("IFERROR(
  FILTER('CBK Students'!O:O, TRIM('CBK Students'!B:B) = TRIM(A1206)),
  """"
)"),"#REF!")</f>
        <v>#REF!</v>
      </c>
      <c r="AA1206" s="4" t="str">
        <f>IFERROR(__xludf.DUMMYFUNCTION("IFERROR(
  FILTER('CBK Students'!P:P, TRIM('CBK Students'!B:B) = TRIM(A1206)),
  """"
)"),"#REF!")</f>
        <v>#REF!</v>
      </c>
      <c r="AB1206" s="4" t="str">
        <f>IFERROR(__xludf.DUMMYFUNCTION("IFERROR(
  FILTER('CBK Students'!Q:Q, TRIM('CBK Students'!B:B) = TRIM(A1206)),
  """"
)"),"#REF!")</f>
        <v>#REF!</v>
      </c>
    </row>
    <row r="1207" ht="18.75" customHeight="1">
      <c r="T1207" s="240" t="str">
        <f>IFERROR(__xludf.DUMMYFUNCTION("IFERROR(
  FILTER('CBK Students'!F:F, TRIM('CBK Students'!B:B) = TRIM(A1207)),
  """"
)"),"#REF!")</f>
        <v>#REF!</v>
      </c>
      <c r="U1207" s="240" t="str">
        <f>IFERROR(__xludf.DUMMYFUNCTION("IFERROR(
  FILTER('CBK Students'!H:H, TRIM('CBK Students'!B:B) = TRIM(A1207)),
  """"
)"),"#REF!")</f>
        <v>#REF!</v>
      </c>
      <c r="V1207" s="240" t="str">
        <f>IFERROR(__xludf.DUMMYFUNCTION("IFERROR(
  FILTER('CBK Students'!M:M, TRIM('CBK Students'!B:B) = TRIM(A1207)),
  """"
)"),"#REF!")</f>
        <v>#REF!</v>
      </c>
      <c r="W1207" s="240" t="str">
        <f t="shared" si="1"/>
        <v/>
      </c>
      <c r="X1207" s="240" t="str">
        <f>IFERROR(__xludf.DUMMYFUNCTION("IFERROR(
  FILTER('CBK Students'!R:R, TRIM('CBK Students'!B:B) = TRIM(A1207)),
  """"
)"),"#REF!")</f>
        <v>#REF!</v>
      </c>
      <c r="Y1207" s="4" t="str">
        <f t="shared" si="2"/>
        <v/>
      </c>
      <c r="Z1207" s="4" t="str">
        <f>IFERROR(__xludf.DUMMYFUNCTION("IFERROR(
  FILTER('CBK Students'!O:O, TRIM('CBK Students'!B:B) = TRIM(A1207)),
  """"
)"),"#REF!")</f>
        <v>#REF!</v>
      </c>
      <c r="AA1207" s="4" t="str">
        <f>IFERROR(__xludf.DUMMYFUNCTION("IFERROR(
  FILTER('CBK Students'!P:P, TRIM('CBK Students'!B:B) = TRIM(A1207)),
  """"
)"),"#REF!")</f>
        <v>#REF!</v>
      </c>
      <c r="AB1207" s="4" t="str">
        <f>IFERROR(__xludf.DUMMYFUNCTION("IFERROR(
  FILTER('CBK Students'!Q:Q, TRIM('CBK Students'!B:B) = TRIM(A1207)),
  """"
)"),"#REF!")</f>
        <v>#REF!</v>
      </c>
    </row>
    <row r="1208" ht="18.75" customHeight="1">
      <c r="T1208" s="240" t="str">
        <f>IFERROR(__xludf.DUMMYFUNCTION("IFERROR(
  FILTER('CBK Students'!F:F, TRIM('CBK Students'!B:B) = TRIM(A1208)),
  """"
)"),"#REF!")</f>
        <v>#REF!</v>
      </c>
      <c r="U1208" s="240" t="str">
        <f>IFERROR(__xludf.DUMMYFUNCTION("IFERROR(
  FILTER('CBK Students'!H:H, TRIM('CBK Students'!B:B) = TRIM(A1208)),
  """"
)"),"#REF!")</f>
        <v>#REF!</v>
      </c>
      <c r="V1208" s="240" t="str">
        <f>IFERROR(__xludf.DUMMYFUNCTION("IFERROR(
  FILTER('CBK Students'!M:M, TRIM('CBK Students'!B:B) = TRIM(A1208)),
  """"
)"),"#REF!")</f>
        <v>#REF!</v>
      </c>
      <c r="W1208" s="240" t="str">
        <f t="shared" si="1"/>
        <v/>
      </c>
      <c r="X1208" s="240" t="str">
        <f>IFERROR(__xludf.DUMMYFUNCTION("IFERROR(
  FILTER('CBK Students'!R:R, TRIM('CBK Students'!B:B) = TRIM(A1208)),
  """"
)"),"#REF!")</f>
        <v>#REF!</v>
      </c>
      <c r="Y1208" s="4" t="str">
        <f t="shared" si="2"/>
        <v/>
      </c>
      <c r="Z1208" s="4" t="str">
        <f>IFERROR(__xludf.DUMMYFUNCTION("IFERROR(
  FILTER('CBK Students'!O:O, TRIM('CBK Students'!B:B) = TRIM(A1208)),
  """"
)"),"#REF!")</f>
        <v>#REF!</v>
      </c>
      <c r="AA1208" s="4" t="str">
        <f>IFERROR(__xludf.DUMMYFUNCTION("IFERROR(
  FILTER('CBK Students'!P:P, TRIM('CBK Students'!B:B) = TRIM(A1208)),
  """"
)"),"#REF!")</f>
        <v>#REF!</v>
      </c>
      <c r="AB1208" s="4" t="str">
        <f>IFERROR(__xludf.DUMMYFUNCTION("IFERROR(
  FILTER('CBK Students'!Q:Q, TRIM('CBK Students'!B:B) = TRIM(A1208)),
  """"
)"),"#REF!")</f>
        <v>#REF!</v>
      </c>
    </row>
    <row r="1209" ht="18.75" customHeight="1">
      <c r="T1209" s="240" t="str">
        <f>IFERROR(__xludf.DUMMYFUNCTION("IFERROR(
  FILTER('CBK Students'!F:F, TRIM('CBK Students'!B:B) = TRIM(A1209)),
  """"
)"),"#REF!")</f>
        <v>#REF!</v>
      </c>
      <c r="U1209" s="240" t="str">
        <f>IFERROR(__xludf.DUMMYFUNCTION("IFERROR(
  FILTER('CBK Students'!H:H, TRIM('CBK Students'!B:B) = TRIM(A1209)),
  """"
)"),"#REF!")</f>
        <v>#REF!</v>
      </c>
      <c r="V1209" s="240" t="str">
        <f>IFERROR(__xludf.DUMMYFUNCTION("IFERROR(
  FILTER('CBK Students'!M:M, TRIM('CBK Students'!B:B) = TRIM(A1209)),
  """"
)"),"#REF!")</f>
        <v>#REF!</v>
      </c>
      <c r="W1209" s="240" t="str">
        <f t="shared" si="1"/>
        <v/>
      </c>
      <c r="X1209" s="240" t="str">
        <f>IFERROR(__xludf.DUMMYFUNCTION("IFERROR(
  FILTER('CBK Students'!R:R, TRIM('CBK Students'!B:B) = TRIM(A1209)),
  """"
)"),"#REF!")</f>
        <v>#REF!</v>
      </c>
      <c r="Y1209" s="4" t="str">
        <f t="shared" si="2"/>
        <v/>
      </c>
      <c r="Z1209" s="4" t="str">
        <f>IFERROR(__xludf.DUMMYFUNCTION("IFERROR(
  FILTER('CBK Students'!O:O, TRIM('CBK Students'!B:B) = TRIM(A1209)),
  """"
)"),"#REF!")</f>
        <v>#REF!</v>
      </c>
      <c r="AA1209" s="4" t="str">
        <f>IFERROR(__xludf.DUMMYFUNCTION("IFERROR(
  FILTER('CBK Students'!P:P, TRIM('CBK Students'!B:B) = TRIM(A1209)),
  """"
)"),"#REF!")</f>
        <v>#REF!</v>
      </c>
      <c r="AB1209" s="4" t="str">
        <f>IFERROR(__xludf.DUMMYFUNCTION("IFERROR(
  FILTER('CBK Students'!Q:Q, TRIM('CBK Students'!B:B) = TRIM(A1209)),
  """"
)"),"#REF!")</f>
        <v>#REF!</v>
      </c>
    </row>
    <row r="1210" ht="18.75" customHeight="1">
      <c r="T1210" s="240" t="str">
        <f>IFERROR(__xludf.DUMMYFUNCTION("IFERROR(
  FILTER('CBK Students'!F:F, TRIM('CBK Students'!B:B) = TRIM(A1210)),
  """"
)"),"#REF!")</f>
        <v>#REF!</v>
      </c>
      <c r="U1210" s="240" t="str">
        <f>IFERROR(__xludf.DUMMYFUNCTION("IFERROR(
  FILTER('CBK Students'!H:H, TRIM('CBK Students'!B:B) = TRIM(A1210)),
  """"
)"),"#REF!")</f>
        <v>#REF!</v>
      </c>
      <c r="V1210" s="240" t="str">
        <f>IFERROR(__xludf.DUMMYFUNCTION("IFERROR(
  FILTER('CBK Students'!M:M, TRIM('CBK Students'!B:B) = TRIM(A1210)),
  """"
)"),"#REF!")</f>
        <v>#REF!</v>
      </c>
      <c r="W1210" s="240" t="str">
        <f t="shared" si="1"/>
        <v/>
      </c>
      <c r="X1210" s="240" t="str">
        <f>IFERROR(__xludf.DUMMYFUNCTION("IFERROR(
  FILTER('CBK Students'!R:R, TRIM('CBK Students'!B:B) = TRIM(A1210)),
  """"
)"),"#REF!")</f>
        <v>#REF!</v>
      </c>
      <c r="Y1210" s="4" t="str">
        <f t="shared" si="2"/>
        <v/>
      </c>
      <c r="Z1210" s="4" t="str">
        <f>IFERROR(__xludf.DUMMYFUNCTION("IFERROR(
  FILTER('CBK Students'!O:O, TRIM('CBK Students'!B:B) = TRIM(A1210)),
  """"
)"),"#REF!")</f>
        <v>#REF!</v>
      </c>
      <c r="AA1210" s="4" t="str">
        <f>IFERROR(__xludf.DUMMYFUNCTION("IFERROR(
  FILTER('CBK Students'!P:P, TRIM('CBK Students'!B:B) = TRIM(A1210)),
  """"
)"),"#REF!")</f>
        <v>#REF!</v>
      </c>
      <c r="AB1210" s="4" t="str">
        <f>IFERROR(__xludf.DUMMYFUNCTION("IFERROR(
  FILTER('CBK Students'!Q:Q, TRIM('CBK Students'!B:B) = TRIM(A1210)),
  """"
)"),"#REF!")</f>
        <v>#REF!</v>
      </c>
    </row>
    <row r="1211" ht="18.75" customHeight="1">
      <c r="T1211" s="240" t="str">
        <f>IFERROR(__xludf.DUMMYFUNCTION("IFERROR(
  FILTER('CBK Students'!F:F, TRIM('CBK Students'!B:B) = TRIM(A1211)),
  """"
)"),"#REF!")</f>
        <v>#REF!</v>
      </c>
      <c r="U1211" s="240" t="str">
        <f>IFERROR(__xludf.DUMMYFUNCTION("IFERROR(
  FILTER('CBK Students'!H:H, TRIM('CBK Students'!B:B) = TRIM(A1211)),
  """"
)"),"#REF!")</f>
        <v>#REF!</v>
      </c>
      <c r="V1211" s="240" t="str">
        <f>IFERROR(__xludf.DUMMYFUNCTION("IFERROR(
  FILTER('CBK Students'!M:M, TRIM('CBK Students'!B:B) = TRIM(A1211)),
  """"
)"),"#REF!")</f>
        <v>#REF!</v>
      </c>
      <c r="W1211" s="240" t="str">
        <f t="shared" si="1"/>
        <v/>
      </c>
      <c r="X1211" s="240" t="str">
        <f>IFERROR(__xludf.DUMMYFUNCTION("IFERROR(
  FILTER('CBK Students'!R:R, TRIM('CBK Students'!B:B) = TRIM(A1211)),
  """"
)"),"#REF!")</f>
        <v>#REF!</v>
      </c>
      <c r="Y1211" s="4" t="str">
        <f t="shared" si="2"/>
        <v/>
      </c>
      <c r="Z1211" s="4" t="str">
        <f>IFERROR(__xludf.DUMMYFUNCTION("IFERROR(
  FILTER('CBK Students'!O:O, TRIM('CBK Students'!B:B) = TRIM(A1211)),
  """"
)"),"#REF!")</f>
        <v>#REF!</v>
      </c>
      <c r="AA1211" s="4" t="str">
        <f>IFERROR(__xludf.DUMMYFUNCTION("IFERROR(
  FILTER('CBK Students'!P:P, TRIM('CBK Students'!B:B) = TRIM(A1211)),
  """"
)"),"#REF!")</f>
        <v>#REF!</v>
      </c>
      <c r="AB1211" s="4" t="str">
        <f>IFERROR(__xludf.DUMMYFUNCTION("IFERROR(
  FILTER('CBK Students'!Q:Q, TRIM('CBK Students'!B:B) = TRIM(A1211)),
  """"
)"),"#REF!")</f>
        <v>#REF!</v>
      </c>
    </row>
    <row r="1212" ht="18.75" customHeight="1">
      <c r="T1212" s="240" t="str">
        <f>IFERROR(__xludf.DUMMYFUNCTION("IFERROR(
  FILTER('CBK Students'!F:F, TRIM('CBK Students'!B:B) = TRIM(A1212)),
  """"
)"),"#REF!")</f>
        <v>#REF!</v>
      </c>
      <c r="U1212" s="240" t="str">
        <f>IFERROR(__xludf.DUMMYFUNCTION("IFERROR(
  FILTER('CBK Students'!H:H, TRIM('CBK Students'!B:B) = TRIM(A1212)),
  """"
)"),"#REF!")</f>
        <v>#REF!</v>
      </c>
      <c r="V1212" s="240" t="str">
        <f>IFERROR(__xludf.DUMMYFUNCTION("IFERROR(
  FILTER('CBK Students'!M:M, TRIM('CBK Students'!B:B) = TRIM(A1212)),
  """"
)"),"#REF!")</f>
        <v>#REF!</v>
      </c>
      <c r="W1212" s="240" t="str">
        <f t="shared" si="1"/>
        <v/>
      </c>
      <c r="X1212" s="240" t="str">
        <f>IFERROR(__xludf.DUMMYFUNCTION("IFERROR(
  FILTER('CBK Students'!R:R, TRIM('CBK Students'!B:B) = TRIM(A1212)),
  """"
)"),"#REF!")</f>
        <v>#REF!</v>
      </c>
      <c r="Y1212" s="4" t="str">
        <f t="shared" si="2"/>
        <v/>
      </c>
      <c r="Z1212" s="4" t="str">
        <f>IFERROR(__xludf.DUMMYFUNCTION("IFERROR(
  FILTER('CBK Students'!O:O, TRIM('CBK Students'!B:B) = TRIM(A1212)),
  """"
)"),"#REF!")</f>
        <v>#REF!</v>
      </c>
      <c r="AA1212" s="4" t="str">
        <f>IFERROR(__xludf.DUMMYFUNCTION("IFERROR(
  FILTER('CBK Students'!P:P, TRIM('CBK Students'!B:B) = TRIM(A1212)),
  """"
)"),"#REF!")</f>
        <v>#REF!</v>
      </c>
      <c r="AB1212" s="4" t="str">
        <f>IFERROR(__xludf.DUMMYFUNCTION("IFERROR(
  FILTER('CBK Students'!Q:Q, TRIM('CBK Students'!B:B) = TRIM(A1212)),
  """"
)"),"#REF!")</f>
        <v>#REF!</v>
      </c>
    </row>
    <row r="1213" ht="18.75" customHeight="1">
      <c r="T1213" s="240" t="str">
        <f>IFERROR(__xludf.DUMMYFUNCTION("IFERROR(
  FILTER('CBK Students'!F:F, TRIM('CBK Students'!B:B) = TRIM(A1213)),
  """"
)"),"#REF!")</f>
        <v>#REF!</v>
      </c>
      <c r="U1213" s="240" t="str">
        <f>IFERROR(__xludf.DUMMYFUNCTION("IFERROR(
  FILTER('CBK Students'!H:H, TRIM('CBK Students'!B:B) = TRIM(A1213)),
  """"
)"),"#REF!")</f>
        <v>#REF!</v>
      </c>
      <c r="V1213" s="240" t="str">
        <f>IFERROR(__xludf.DUMMYFUNCTION("IFERROR(
  FILTER('CBK Students'!M:M, TRIM('CBK Students'!B:B) = TRIM(A1213)),
  """"
)"),"#REF!")</f>
        <v>#REF!</v>
      </c>
      <c r="W1213" s="240" t="str">
        <f t="shared" si="1"/>
        <v/>
      </c>
      <c r="X1213" s="240" t="str">
        <f>IFERROR(__xludf.DUMMYFUNCTION("IFERROR(
  FILTER('CBK Students'!R:R, TRIM('CBK Students'!B:B) = TRIM(A1213)),
  """"
)"),"#REF!")</f>
        <v>#REF!</v>
      </c>
      <c r="Y1213" s="4" t="str">
        <f t="shared" si="2"/>
        <v/>
      </c>
      <c r="Z1213" s="4" t="str">
        <f>IFERROR(__xludf.DUMMYFUNCTION("IFERROR(
  FILTER('CBK Students'!O:O, TRIM('CBK Students'!B:B) = TRIM(A1213)),
  """"
)"),"#REF!")</f>
        <v>#REF!</v>
      </c>
      <c r="AA1213" s="4" t="str">
        <f>IFERROR(__xludf.DUMMYFUNCTION("IFERROR(
  FILTER('CBK Students'!P:P, TRIM('CBK Students'!B:B) = TRIM(A1213)),
  """"
)"),"#REF!")</f>
        <v>#REF!</v>
      </c>
      <c r="AB1213" s="4" t="str">
        <f>IFERROR(__xludf.DUMMYFUNCTION("IFERROR(
  FILTER('CBK Students'!Q:Q, TRIM('CBK Students'!B:B) = TRIM(A1213)),
  """"
)"),"#REF!")</f>
        <v>#REF!</v>
      </c>
    </row>
    <row r="1214" ht="18.75" customHeight="1">
      <c r="T1214" s="240" t="str">
        <f>IFERROR(__xludf.DUMMYFUNCTION("IFERROR(
  FILTER('CBK Students'!F:F, TRIM('CBK Students'!B:B) = TRIM(A1214)),
  """"
)"),"#REF!")</f>
        <v>#REF!</v>
      </c>
      <c r="U1214" s="240" t="str">
        <f>IFERROR(__xludf.DUMMYFUNCTION("IFERROR(
  FILTER('CBK Students'!H:H, TRIM('CBK Students'!B:B) = TRIM(A1214)),
  """"
)"),"#REF!")</f>
        <v>#REF!</v>
      </c>
      <c r="V1214" s="240" t="str">
        <f>IFERROR(__xludf.DUMMYFUNCTION("IFERROR(
  FILTER('CBK Students'!M:M, TRIM('CBK Students'!B:B) = TRIM(A1214)),
  """"
)"),"#REF!")</f>
        <v>#REF!</v>
      </c>
      <c r="W1214" s="240" t="str">
        <f t="shared" si="1"/>
        <v/>
      </c>
      <c r="X1214" s="240" t="str">
        <f>IFERROR(__xludf.DUMMYFUNCTION("IFERROR(
  FILTER('CBK Students'!R:R, TRIM('CBK Students'!B:B) = TRIM(A1214)),
  """"
)"),"#REF!")</f>
        <v>#REF!</v>
      </c>
      <c r="Y1214" s="4" t="str">
        <f t="shared" si="2"/>
        <v/>
      </c>
      <c r="Z1214" s="4" t="str">
        <f>IFERROR(__xludf.DUMMYFUNCTION("IFERROR(
  FILTER('CBK Students'!O:O, TRIM('CBK Students'!B:B) = TRIM(A1214)),
  """"
)"),"#REF!")</f>
        <v>#REF!</v>
      </c>
      <c r="AA1214" s="4" t="str">
        <f>IFERROR(__xludf.DUMMYFUNCTION("IFERROR(
  FILTER('CBK Students'!P:P, TRIM('CBK Students'!B:B) = TRIM(A1214)),
  """"
)"),"#REF!")</f>
        <v>#REF!</v>
      </c>
      <c r="AB1214" s="4" t="str">
        <f>IFERROR(__xludf.DUMMYFUNCTION("IFERROR(
  FILTER('CBK Students'!Q:Q, TRIM('CBK Students'!B:B) = TRIM(A1214)),
  """"
)"),"#REF!")</f>
        <v>#REF!</v>
      </c>
    </row>
    <row r="1215" ht="18.75" customHeight="1">
      <c r="T1215" s="240" t="str">
        <f>IFERROR(__xludf.DUMMYFUNCTION("IFERROR(
  FILTER('CBK Students'!F:F, TRIM('CBK Students'!B:B) = TRIM(A1215)),
  """"
)"),"#REF!")</f>
        <v>#REF!</v>
      </c>
      <c r="U1215" s="240" t="str">
        <f>IFERROR(__xludf.DUMMYFUNCTION("IFERROR(
  FILTER('CBK Students'!H:H, TRIM('CBK Students'!B:B) = TRIM(A1215)),
  """"
)"),"#REF!")</f>
        <v>#REF!</v>
      </c>
      <c r="V1215" s="240" t="str">
        <f>IFERROR(__xludf.DUMMYFUNCTION("IFERROR(
  FILTER('CBK Students'!M:M, TRIM('CBK Students'!B:B) = TRIM(A1215)),
  """"
)"),"#REF!")</f>
        <v>#REF!</v>
      </c>
      <c r="W1215" s="240" t="str">
        <f t="shared" si="1"/>
        <v/>
      </c>
      <c r="X1215" s="240" t="str">
        <f>IFERROR(__xludf.DUMMYFUNCTION("IFERROR(
  FILTER('CBK Students'!R:R, TRIM('CBK Students'!B:B) = TRIM(A1215)),
  """"
)"),"#REF!")</f>
        <v>#REF!</v>
      </c>
      <c r="Y1215" s="4" t="str">
        <f t="shared" si="2"/>
        <v/>
      </c>
      <c r="Z1215" s="4" t="str">
        <f>IFERROR(__xludf.DUMMYFUNCTION("IFERROR(
  FILTER('CBK Students'!O:O, TRIM('CBK Students'!B:B) = TRIM(A1215)),
  """"
)"),"#REF!")</f>
        <v>#REF!</v>
      </c>
      <c r="AA1215" s="4" t="str">
        <f>IFERROR(__xludf.DUMMYFUNCTION("IFERROR(
  FILTER('CBK Students'!P:P, TRIM('CBK Students'!B:B) = TRIM(A1215)),
  """"
)"),"#REF!")</f>
        <v>#REF!</v>
      </c>
      <c r="AB1215" s="4" t="str">
        <f>IFERROR(__xludf.DUMMYFUNCTION("IFERROR(
  FILTER('CBK Students'!Q:Q, TRIM('CBK Students'!B:B) = TRIM(A1215)),
  """"
)"),"#REF!")</f>
        <v>#REF!</v>
      </c>
    </row>
    <row r="1216" ht="18.75" customHeight="1">
      <c r="T1216" s="240" t="str">
        <f>IFERROR(__xludf.DUMMYFUNCTION("IFERROR(
  FILTER('CBK Students'!F:F, TRIM('CBK Students'!B:B) = TRIM(A1216)),
  """"
)"),"#REF!")</f>
        <v>#REF!</v>
      </c>
      <c r="U1216" s="240" t="str">
        <f>IFERROR(__xludf.DUMMYFUNCTION("IFERROR(
  FILTER('CBK Students'!H:H, TRIM('CBK Students'!B:B) = TRIM(A1216)),
  """"
)"),"#REF!")</f>
        <v>#REF!</v>
      </c>
      <c r="V1216" s="240" t="str">
        <f>IFERROR(__xludf.DUMMYFUNCTION("IFERROR(
  FILTER('CBK Students'!M:M, TRIM('CBK Students'!B:B) = TRIM(A1216)),
  """"
)"),"#REF!")</f>
        <v>#REF!</v>
      </c>
      <c r="W1216" s="240" t="str">
        <f t="shared" si="1"/>
        <v/>
      </c>
      <c r="X1216" s="240" t="str">
        <f>IFERROR(__xludf.DUMMYFUNCTION("IFERROR(
  FILTER('CBK Students'!R:R, TRIM('CBK Students'!B:B) = TRIM(A1216)),
  """"
)"),"#REF!")</f>
        <v>#REF!</v>
      </c>
      <c r="Y1216" s="4" t="str">
        <f t="shared" si="2"/>
        <v/>
      </c>
      <c r="Z1216" s="4" t="str">
        <f>IFERROR(__xludf.DUMMYFUNCTION("IFERROR(
  FILTER('CBK Students'!O:O, TRIM('CBK Students'!B:B) = TRIM(A1216)),
  """"
)"),"#REF!")</f>
        <v>#REF!</v>
      </c>
      <c r="AA1216" s="4" t="str">
        <f>IFERROR(__xludf.DUMMYFUNCTION("IFERROR(
  FILTER('CBK Students'!P:P, TRIM('CBK Students'!B:B) = TRIM(A1216)),
  """"
)"),"#REF!")</f>
        <v>#REF!</v>
      </c>
      <c r="AB1216" s="4" t="str">
        <f>IFERROR(__xludf.DUMMYFUNCTION("IFERROR(
  FILTER('CBK Students'!Q:Q, TRIM('CBK Students'!B:B) = TRIM(A1216)),
  """"
)"),"#REF!")</f>
        <v>#REF!</v>
      </c>
    </row>
    <row r="1217" ht="18.75" customHeight="1">
      <c r="T1217" s="240" t="str">
        <f>IFERROR(__xludf.DUMMYFUNCTION("IFERROR(
  FILTER('CBK Students'!F:F, TRIM('CBK Students'!B:B) = TRIM(A1217)),
  """"
)"),"#REF!")</f>
        <v>#REF!</v>
      </c>
      <c r="U1217" s="240" t="str">
        <f>IFERROR(__xludf.DUMMYFUNCTION("IFERROR(
  FILTER('CBK Students'!H:H, TRIM('CBK Students'!B:B) = TRIM(A1217)),
  """"
)"),"#REF!")</f>
        <v>#REF!</v>
      </c>
      <c r="V1217" s="240" t="str">
        <f>IFERROR(__xludf.DUMMYFUNCTION("IFERROR(
  FILTER('CBK Students'!M:M, TRIM('CBK Students'!B:B) = TRIM(A1217)),
  """"
)"),"#REF!")</f>
        <v>#REF!</v>
      </c>
      <c r="W1217" s="240" t="str">
        <f t="shared" si="1"/>
        <v/>
      </c>
      <c r="X1217" s="240" t="str">
        <f>IFERROR(__xludf.DUMMYFUNCTION("IFERROR(
  FILTER('CBK Students'!R:R, TRIM('CBK Students'!B:B) = TRIM(A1217)),
  """"
)"),"#REF!")</f>
        <v>#REF!</v>
      </c>
      <c r="Y1217" s="4" t="str">
        <f t="shared" si="2"/>
        <v/>
      </c>
      <c r="Z1217" s="4" t="str">
        <f>IFERROR(__xludf.DUMMYFUNCTION("IFERROR(
  FILTER('CBK Students'!O:O, TRIM('CBK Students'!B:B) = TRIM(A1217)),
  """"
)"),"#REF!")</f>
        <v>#REF!</v>
      </c>
      <c r="AA1217" s="4" t="str">
        <f>IFERROR(__xludf.DUMMYFUNCTION("IFERROR(
  FILTER('CBK Students'!P:P, TRIM('CBK Students'!B:B) = TRIM(A1217)),
  """"
)"),"#REF!")</f>
        <v>#REF!</v>
      </c>
      <c r="AB1217" s="4" t="str">
        <f>IFERROR(__xludf.DUMMYFUNCTION("IFERROR(
  FILTER('CBK Students'!Q:Q, TRIM('CBK Students'!B:B) = TRIM(A1217)),
  """"
)"),"#REF!")</f>
        <v>#REF!</v>
      </c>
    </row>
    <row r="1218" ht="18.75" customHeight="1">
      <c r="T1218" s="240" t="str">
        <f>IFERROR(__xludf.DUMMYFUNCTION("IFERROR(
  FILTER('CBK Students'!F:F, TRIM('CBK Students'!B:B) = TRIM(A1218)),
  """"
)"),"#REF!")</f>
        <v>#REF!</v>
      </c>
      <c r="U1218" s="240" t="str">
        <f>IFERROR(__xludf.DUMMYFUNCTION("IFERROR(
  FILTER('CBK Students'!H:H, TRIM('CBK Students'!B:B) = TRIM(A1218)),
  """"
)"),"#REF!")</f>
        <v>#REF!</v>
      </c>
      <c r="V1218" s="240" t="str">
        <f>IFERROR(__xludf.DUMMYFUNCTION("IFERROR(
  FILTER('CBK Students'!M:M, TRIM('CBK Students'!B:B) = TRIM(A1218)),
  """"
)"),"#REF!")</f>
        <v>#REF!</v>
      </c>
      <c r="W1218" s="240" t="str">
        <f t="shared" si="1"/>
        <v/>
      </c>
      <c r="X1218" s="240" t="str">
        <f>IFERROR(__xludf.DUMMYFUNCTION("IFERROR(
  FILTER('CBK Students'!R:R, TRIM('CBK Students'!B:B) = TRIM(A1218)),
  """"
)"),"#REF!")</f>
        <v>#REF!</v>
      </c>
      <c r="Y1218" s="4" t="str">
        <f t="shared" si="2"/>
        <v/>
      </c>
      <c r="Z1218" s="4" t="str">
        <f>IFERROR(__xludf.DUMMYFUNCTION("IFERROR(
  FILTER('CBK Students'!O:O, TRIM('CBK Students'!B:B) = TRIM(A1218)),
  """"
)"),"#REF!")</f>
        <v>#REF!</v>
      </c>
      <c r="AA1218" s="4" t="str">
        <f>IFERROR(__xludf.DUMMYFUNCTION("IFERROR(
  FILTER('CBK Students'!P:P, TRIM('CBK Students'!B:B) = TRIM(A1218)),
  """"
)"),"#REF!")</f>
        <v>#REF!</v>
      </c>
      <c r="AB1218" s="4" t="str">
        <f>IFERROR(__xludf.DUMMYFUNCTION("IFERROR(
  FILTER('CBK Students'!Q:Q, TRIM('CBK Students'!B:B) = TRIM(A1218)),
  """"
)"),"#REF!")</f>
        <v>#REF!</v>
      </c>
    </row>
    <row r="1219" ht="18.75" customHeight="1">
      <c r="T1219" s="240" t="str">
        <f>IFERROR(__xludf.DUMMYFUNCTION("IFERROR(
  FILTER('CBK Students'!F:F, TRIM('CBK Students'!B:B) = TRIM(A1219)),
  """"
)"),"#REF!")</f>
        <v>#REF!</v>
      </c>
      <c r="U1219" s="240" t="str">
        <f>IFERROR(__xludf.DUMMYFUNCTION("IFERROR(
  FILTER('CBK Students'!H:H, TRIM('CBK Students'!B:B) = TRIM(A1219)),
  """"
)"),"#REF!")</f>
        <v>#REF!</v>
      </c>
      <c r="V1219" s="240" t="str">
        <f>IFERROR(__xludf.DUMMYFUNCTION("IFERROR(
  FILTER('CBK Students'!M:M, TRIM('CBK Students'!B:B) = TRIM(A1219)),
  """"
)"),"#REF!")</f>
        <v>#REF!</v>
      </c>
      <c r="W1219" s="240" t="str">
        <f t="shared" si="1"/>
        <v/>
      </c>
      <c r="X1219" s="240" t="str">
        <f>IFERROR(__xludf.DUMMYFUNCTION("IFERROR(
  FILTER('CBK Students'!R:R, TRIM('CBK Students'!B:B) = TRIM(A1219)),
  """"
)"),"#REF!")</f>
        <v>#REF!</v>
      </c>
      <c r="Y1219" s="4" t="str">
        <f t="shared" si="2"/>
        <v/>
      </c>
      <c r="Z1219" s="4" t="str">
        <f>IFERROR(__xludf.DUMMYFUNCTION("IFERROR(
  FILTER('CBK Students'!O:O, TRIM('CBK Students'!B:B) = TRIM(A1219)),
  """"
)"),"#REF!")</f>
        <v>#REF!</v>
      </c>
      <c r="AA1219" s="4" t="str">
        <f>IFERROR(__xludf.DUMMYFUNCTION("IFERROR(
  FILTER('CBK Students'!P:P, TRIM('CBK Students'!B:B) = TRIM(A1219)),
  """"
)"),"#REF!")</f>
        <v>#REF!</v>
      </c>
      <c r="AB1219" s="4" t="str">
        <f>IFERROR(__xludf.DUMMYFUNCTION("IFERROR(
  FILTER('CBK Students'!Q:Q, TRIM('CBK Students'!B:B) = TRIM(A1219)),
  """"
)"),"#REF!")</f>
        <v>#REF!</v>
      </c>
    </row>
    <row r="1220" ht="18.75" customHeight="1">
      <c r="T1220" s="240" t="str">
        <f>IFERROR(__xludf.DUMMYFUNCTION("IFERROR(
  FILTER('CBK Students'!F:F, TRIM('CBK Students'!B:B) = TRIM(A1220)),
  """"
)"),"#REF!")</f>
        <v>#REF!</v>
      </c>
      <c r="U1220" s="240" t="str">
        <f>IFERROR(__xludf.DUMMYFUNCTION("IFERROR(
  FILTER('CBK Students'!H:H, TRIM('CBK Students'!B:B) = TRIM(A1220)),
  """"
)"),"#REF!")</f>
        <v>#REF!</v>
      </c>
      <c r="V1220" s="240" t="str">
        <f>IFERROR(__xludf.DUMMYFUNCTION("IFERROR(
  FILTER('CBK Students'!M:M, TRIM('CBK Students'!B:B) = TRIM(A1220)),
  """"
)"),"#REF!")</f>
        <v>#REF!</v>
      </c>
      <c r="W1220" s="240" t="str">
        <f t="shared" si="1"/>
        <v/>
      </c>
      <c r="X1220" s="240" t="str">
        <f>IFERROR(__xludf.DUMMYFUNCTION("IFERROR(
  FILTER('CBK Students'!R:R, TRIM('CBK Students'!B:B) = TRIM(A1220)),
  """"
)"),"#REF!")</f>
        <v>#REF!</v>
      </c>
      <c r="Y1220" s="4" t="str">
        <f t="shared" si="2"/>
        <v/>
      </c>
      <c r="Z1220" s="4" t="str">
        <f>IFERROR(__xludf.DUMMYFUNCTION("IFERROR(
  FILTER('CBK Students'!O:O, TRIM('CBK Students'!B:B) = TRIM(A1220)),
  """"
)"),"#REF!")</f>
        <v>#REF!</v>
      </c>
      <c r="AA1220" s="4" t="str">
        <f>IFERROR(__xludf.DUMMYFUNCTION("IFERROR(
  FILTER('CBK Students'!P:P, TRIM('CBK Students'!B:B) = TRIM(A1220)),
  """"
)"),"#REF!")</f>
        <v>#REF!</v>
      </c>
      <c r="AB1220" s="4" t="str">
        <f>IFERROR(__xludf.DUMMYFUNCTION("IFERROR(
  FILTER('CBK Students'!Q:Q, TRIM('CBK Students'!B:B) = TRIM(A1220)),
  """"
)"),"#REF!")</f>
        <v>#REF!</v>
      </c>
    </row>
    <row r="1221" ht="18.75" customHeight="1">
      <c r="T1221" s="240" t="str">
        <f>IFERROR(__xludf.DUMMYFUNCTION("IFERROR(
  FILTER('CBK Students'!F:F, TRIM('CBK Students'!B:B) = TRIM(A1221)),
  """"
)"),"#REF!")</f>
        <v>#REF!</v>
      </c>
      <c r="U1221" s="240" t="str">
        <f>IFERROR(__xludf.DUMMYFUNCTION("IFERROR(
  FILTER('CBK Students'!H:H, TRIM('CBK Students'!B:B) = TRIM(A1221)),
  """"
)"),"#REF!")</f>
        <v>#REF!</v>
      </c>
      <c r="V1221" s="240" t="str">
        <f>IFERROR(__xludf.DUMMYFUNCTION("IFERROR(
  FILTER('CBK Students'!M:M, TRIM('CBK Students'!B:B) = TRIM(A1221)),
  """"
)"),"#REF!")</f>
        <v>#REF!</v>
      </c>
      <c r="W1221" s="240" t="str">
        <f t="shared" si="1"/>
        <v/>
      </c>
      <c r="X1221" s="240" t="str">
        <f>IFERROR(__xludf.DUMMYFUNCTION("IFERROR(
  FILTER('CBK Students'!R:R, TRIM('CBK Students'!B:B) = TRIM(A1221)),
  """"
)"),"#REF!")</f>
        <v>#REF!</v>
      </c>
      <c r="Y1221" s="4" t="str">
        <f t="shared" si="2"/>
        <v/>
      </c>
      <c r="Z1221" s="4" t="str">
        <f>IFERROR(__xludf.DUMMYFUNCTION("IFERROR(
  FILTER('CBK Students'!O:O, TRIM('CBK Students'!B:B) = TRIM(A1221)),
  """"
)"),"#REF!")</f>
        <v>#REF!</v>
      </c>
      <c r="AA1221" s="4" t="str">
        <f>IFERROR(__xludf.DUMMYFUNCTION("IFERROR(
  FILTER('CBK Students'!P:P, TRIM('CBK Students'!B:B) = TRIM(A1221)),
  """"
)"),"#REF!")</f>
        <v>#REF!</v>
      </c>
      <c r="AB1221" s="4" t="str">
        <f>IFERROR(__xludf.DUMMYFUNCTION("IFERROR(
  FILTER('CBK Students'!Q:Q, TRIM('CBK Students'!B:B) = TRIM(A1221)),
  """"
)"),"#REF!")</f>
        <v>#REF!</v>
      </c>
    </row>
    <row r="1222" ht="18.75" customHeight="1">
      <c r="T1222" s="240" t="str">
        <f>IFERROR(__xludf.DUMMYFUNCTION("IFERROR(
  FILTER('CBK Students'!F:F, TRIM('CBK Students'!B:B) = TRIM(A1222)),
  """"
)"),"#REF!")</f>
        <v>#REF!</v>
      </c>
      <c r="U1222" s="240" t="str">
        <f>IFERROR(__xludf.DUMMYFUNCTION("IFERROR(
  FILTER('CBK Students'!H:H, TRIM('CBK Students'!B:B) = TRIM(A1222)),
  """"
)"),"#REF!")</f>
        <v>#REF!</v>
      </c>
      <c r="V1222" s="240" t="str">
        <f>IFERROR(__xludf.DUMMYFUNCTION("IFERROR(
  FILTER('CBK Students'!M:M, TRIM('CBK Students'!B:B) = TRIM(A1222)),
  """"
)"),"#REF!")</f>
        <v>#REF!</v>
      </c>
      <c r="W1222" s="240" t="str">
        <f t="shared" si="1"/>
        <v/>
      </c>
      <c r="X1222" s="240" t="str">
        <f>IFERROR(__xludf.DUMMYFUNCTION("IFERROR(
  FILTER('CBK Students'!R:R, TRIM('CBK Students'!B:B) = TRIM(A1222)),
  """"
)"),"#REF!")</f>
        <v>#REF!</v>
      </c>
      <c r="Y1222" s="4" t="str">
        <f t="shared" si="2"/>
        <v/>
      </c>
      <c r="Z1222" s="4" t="str">
        <f>IFERROR(__xludf.DUMMYFUNCTION("IFERROR(
  FILTER('CBK Students'!O:O, TRIM('CBK Students'!B:B) = TRIM(A1222)),
  """"
)"),"#REF!")</f>
        <v>#REF!</v>
      </c>
      <c r="AA1222" s="4" t="str">
        <f>IFERROR(__xludf.DUMMYFUNCTION("IFERROR(
  FILTER('CBK Students'!P:P, TRIM('CBK Students'!B:B) = TRIM(A1222)),
  """"
)"),"#REF!")</f>
        <v>#REF!</v>
      </c>
      <c r="AB1222" s="4" t="str">
        <f>IFERROR(__xludf.DUMMYFUNCTION("IFERROR(
  FILTER('CBK Students'!Q:Q, TRIM('CBK Students'!B:B) = TRIM(A1222)),
  """"
)"),"#REF!")</f>
        <v>#REF!</v>
      </c>
    </row>
    <row r="1223" ht="18.75" customHeight="1">
      <c r="T1223" s="240" t="str">
        <f>IFERROR(__xludf.DUMMYFUNCTION("IFERROR(
  FILTER('CBK Students'!F:F, TRIM('CBK Students'!B:B) = TRIM(A1223)),
  """"
)"),"#REF!")</f>
        <v>#REF!</v>
      </c>
      <c r="U1223" s="240" t="str">
        <f>IFERROR(__xludf.DUMMYFUNCTION("IFERROR(
  FILTER('CBK Students'!H:H, TRIM('CBK Students'!B:B) = TRIM(A1223)),
  """"
)"),"#REF!")</f>
        <v>#REF!</v>
      </c>
      <c r="V1223" s="240" t="str">
        <f>IFERROR(__xludf.DUMMYFUNCTION("IFERROR(
  FILTER('CBK Students'!M:M, TRIM('CBK Students'!B:B) = TRIM(A1223)),
  """"
)"),"#REF!")</f>
        <v>#REF!</v>
      </c>
      <c r="W1223" s="240" t="str">
        <f t="shared" si="1"/>
        <v/>
      </c>
      <c r="X1223" s="240" t="str">
        <f>IFERROR(__xludf.DUMMYFUNCTION("IFERROR(
  FILTER('CBK Students'!R:R, TRIM('CBK Students'!B:B) = TRIM(A1223)),
  """"
)"),"#REF!")</f>
        <v>#REF!</v>
      </c>
      <c r="Y1223" s="4" t="str">
        <f t="shared" si="2"/>
        <v/>
      </c>
      <c r="Z1223" s="4" t="str">
        <f>IFERROR(__xludf.DUMMYFUNCTION("IFERROR(
  FILTER('CBK Students'!O:O, TRIM('CBK Students'!B:B) = TRIM(A1223)),
  """"
)"),"#REF!")</f>
        <v>#REF!</v>
      </c>
      <c r="AA1223" s="4" t="str">
        <f>IFERROR(__xludf.DUMMYFUNCTION("IFERROR(
  FILTER('CBK Students'!P:P, TRIM('CBK Students'!B:B) = TRIM(A1223)),
  """"
)"),"#REF!")</f>
        <v>#REF!</v>
      </c>
      <c r="AB1223" s="4" t="str">
        <f>IFERROR(__xludf.DUMMYFUNCTION("IFERROR(
  FILTER('CBK Students'!Q:Q, TRIM('CBK Students'!B:B) = TRIM(A1223)),
  """"
)"),"#REF!")</f>
        <v>#REF!</v>
      </c>
    </row>
    <row r="1224" ht="18.75" customHeight="1">
      <c r="T1224" s="240" t="str">
        <f>IFERROR(__xludf.DUMMYFUNCTION("IFERROR(
  FILTER('CBK Students'!F:F, TRIM('CBK Students'!B:B) = TRIM(A1224)),
  """"
)"),"#REF!")</f>
        <v>#REF!</v>
      </c>
      <c r="U1224" s="240" t="str">
        <f>IFERROR(__xludf.DUMMYFUNCTION("IFERROR(
  FILTER('CBK Students'!H:H, TRIM('CBK Students'!B:B) = TRIM(A1224)),
  """"
)"),"#REF!")</f>
        <v>#REF!</v>
      </c>
      <c r="V1224" s="240" t="str">
        <f>IFERROR(__xludf.DUMMYFUNCTION("IFERROR(
  FILTER('CBK Students'!M:M, TRIM('CBK Students'!B:B) = TRIM(A1224)),
  """"
)"),"#REF!")</f>
        <v>#REF!</v>
      </c>
      <c r="W1224" s="240" t="str">
        <f t="shared" si="1"/>
        <v/>
      </c>
      <c r="X1224" s="240" t="str">
        <f>IFERROR(__xludf.DUMMYFUNCTION("IFERROR(
  FILTER('CBK Students'!R:R, TRIM('CBK Students'!B:B) = TRIM(A1224)),
  """"
)"),"#REF!")</f>
        <v>#REF!</v>
      </c>
      <c r="Y1224" s="4" t="str">
        <f t="shared" si="2"/>
        <v/>
      </c>
      <c r="Z1224" s="4" t="str">
        <f>IFERROR(__xludf.DUMMYFUNCTION("IFERROR(
  FILTER('CBK Students'!O:O, TRIM('CBK Students'!B:B) = TRIM(A1224)),
  """"
)"),"#REF!")</f>
        <v>#REF!</v>
      </c>
      <c r="AA1224" s="4" t="str">
        <f>IFERROR(__xludf.DUMMYFUNCTION("IFERROR(
  FILTER('CBK Students'!P:P, TRIM('CBK Students'!B:B) = TRIM(A1224)),
  """"
)"),"#REF!")</f>
        <v>#REF!</v>
      </c>
      <c r="AB1224" s="4" t="str">
        <f>IFERROR(__xludf.DUMMYFUNCTION("IFERROR(
  FILTER('CBK Students'!Q:Q, TRIM('CBK Students'!B:B) = TRIM(A1224)),
  """"
)"),"#REF!")</f>
        <v>#REF!</v>
      </c>
    </row>
    <row r="1225" ht="18.75" customHeight="1">
      <c r="T1225" s="240" t="str">
        <f>IFERROR(__xludf.DUMMYFUNCTION("IFERROR(
  FILTER('CBK Students'!F:F, TRIM('CBK Students'!B:B) = TRIM(A1225)),
  """"
)"),"#REF!")</f>
        <v>#REF!</v>
      </c>
      <c r="U1225" s="240" t="str">
        <f>IFERROR(__xludf.DUMMYFUNCTION("IFERROR(
  FILTER('CBK Students'!H:H, TRIM('CBK Students'!B:B) = TRIM(A1225)),
  """"
)"),"#REF!")</f>
        <v>#REF!</v>
      </c>
      <c r="V1225" s="240" t="str">
        <f>IFERROR(__xludf.DUMMYFUNCTION("IFERROR(
  FILTER('CBK Students'!M:M, TRIM('CBK Students'!B:B) = TRIM(A1225)),
  """"
)"),"#REF!")</f>
        <v>#REF!</v>
      </c>
      <c r="W1225" s="240" t="str">
        <f t="shared" si="1"/>
        <v/>
      </c>
      <c r="X1225" s="240" t="str">
        <f>IFERROR(__xludf.DUMMYFUNCTION("IFERROR(
  FILTER('CBK Students'!R:R, TRIM('CBK Students'!B:B) = TRIM(A1225)),
  """"
)"),"#REF!")</f>
        <v>#REF!</v>
      </c>
      <c r="Y1225" s="4" t="str">
        <f t="shared" si="2"/>
        <v/>
      </c>
      <c r="Z1225" s="4" t="str">
        <f>IFERROR(__xludf.DUMMYFUNCTION("IFERROR(
  FILTER('CBK Students'!O:O, TRIM('CBK Students'!B:B) = TRIM(A1225)),
  """"
)"),"#REF!")</f>
        <v>#REF!</v>
      </c>
      <c r="AA1225" s="4" t="str">
        <f>IFERROR(__xludf.DUMMYFUNCTION("IFERROR(
  FILTER('CBK Students'!P:P, TRIM('CBK Students'!B:B) = TRIM(A1225)),
  """"
)"),"#REF!")</f>
        <v>#REF!</v>
      </c>
      <c r="AB1225" s="4" t="str">
        <f>IFERROR(__xludf.DUMMYFUNCTION("IFERROR(
  FILTER('CBK Students'!Q:Q, TRIM('CBK Students'!B:B) = TRIM(A1225)),
  """"
)"),"#REF!")</f>
        <v>#REF!</v>
      </c>
    </row>
    <row r="1226" ht="18.75" customHeight="1">
      <c r="T1226" s="240" t="str">
        <f>IFERROR(__xludf.DUMMYFUNCTION("IFERROR(
  FILTER('CBK Students'!F:F, TRIM('CBK Students'!B:B) = TRIM(A1226)),
  """"
)"),"#REF!")</f>
        <v>#REF!</v>
      </c>
      <c r="U1226" s="240" t="str">
        <f>IFERROR(__xludf.DUMMYFUNCTION("IFERROR(
  FILTER('CBK Students'!H:H, TRIM('CBK Students'!B:B) = TRIM(A1226)),
  """"
)"),"#REF!")</f>
        <v>#REF!</v>
      </c>
      <c r="V1226" s="240" t="str">
        <f>IFERROR(__xludf.DUMMYFUNCTION("IFERROR(
  FILTER('CBK Students'!M:M, TRIM('CBK Students'!B:B) = TRIM(A1226)),
  """"
)"),"#REF!")</f>
        <v>#REF!</v>
      </c>
      <c r="W1226" s="240" t="str">
        <f t="shared" si="1"/>
        <v/>
      </c>
      <c r="X1226" s="240" t="str">
        <f>IFERROR(__xludf.DUMMYFUNCTION("IFERROR(
  FILTER('CBK Students'!R:R, TRIM('CBK Students'!B:B) = TRIM(A1226)),
  """"
)"),"#REF!")</f>
        <v>#REF!</v>
      </c>
      <c r="Y1226" s="4" t="str">
        <f t="shared" si="2"/>
        <v/>
      </c>
      <c r="Z1226" s="4" t="str">
        <f>IFERROR(__xludf.DUMMYFUNCTION("IFERROR(
  FILTER('CBK Students'!O:O, TRIM('CBK Students'!B:B) = TRIM(A1226)),
  """"
)"),"#REF!")</f>
        <v>#REF!</v>
      </c>
      <c r="AA1226" s="4" t="str">
        <f>IFERROR(__xludf.DUMMYFUNCTION("IFERROR(
  FILTER('CBK Students'!P:P, TRIM('CBK Students'!B:B) = TRIM(A1226)),
  """"
)"),"#REF!")</f>
        <v>#REF!</v>
      </c>
      <c r="AB1226" s="4" t="str">
        <f>IFERROR(__xludf.DUMMYFUNCTION("IFERROR(
  FILTER('CBK Students'!Q:Q, TRIM('CBK Students'!B:B) = TRIM(A1226)),
  """"
)"),"#REF!")</f>
        <v>#REF!</v>
      </c>
    </row>
    <row r="1227" ht="18.75" customHeight="1">
      <c r="T1227" s="240" t="str">
        <f>IFERROR(__xludf.DUMMYFUNCTION("IFERROR(
  FILTER('CBK Students'!F:F, TRIM('CBK Students'!B:B) = TRIM(A1227)),
  """"
)"),"#REF!")</f>
        <v>#REF!</v>
      </c>
      <c r="U1227" s="240" t="str">
        <f>IFERROR(__xludf.DUMMYFUNCTION("IFERROR(
  FILTER('CBK Students'!H:H, TRIM('CBK Students'!B:B) = TRIM(A1227)),
  """"
)"),"#REF!")</f>
        <v>#REF!</v>
      </c>
      <c r="V1227" s="240" t="str">
        <f>IFERROR(__xludf.DUMMYFUNCTION("IFERROR(
  FILTER('CBK Students'!M:M, TRIM('CBK Students'!B:B) = TRIM(A1227)),
  """"
)"),"#REF!")</f>
        <v>#REF!</v>
      </c>
      <c r="W1227" s="240" t="str">
        <f t="shared" si="1"/>
        <v/>
      </c>
      <c r="X1227" s="240" t="str">
        <f>IFERROR(__xludf.DUMMYFUNCTION("IFERROR(
  FILTER('CBK Students'!R:R, TRIM('CBK Students'!B:B) = TRIM(A1227)),
  """"
)"),"#REF!")</f>
        <v>#REF!</v>
      </c>
      <c r="Y1227" s="4" t="str">
        <f t="shared" si="2"/>
        <v/>
      </c>
      <c r="Z1227" s="4" t="str">
        <f>IFERROR(__xludf.DUMMYFUNCTION("IFERROR(
  FILTER('CBK Students'!O:O, TRIM('CBK Students'!B:B) = TRIM(A1227)),
  """"
)"),"#REF!")</f>
        <v>#REF!</v>
      </c>
      <c r="AA1227" s="4" t="str">
        <f>IFERROR(__xludf.DUMMYFUNCTION("IFERROR(
  FILTER('CBK Students'!P:P, TRIM('CBK Students'!B:B) = TRIM(A1227)),
  """"
)"),"#REF!")</f>
        <v>#REF!</v>
      </c>
      <c r="AB1227" s="4" t="str">
        <f>IFERROR(__xludf.DUMMYFUNCTION("IFERROR(
  FILTER('CBK Students'!Q:Q, TRIM('CBK Students'!B:B) = TRIM(A1227)),
  """"
)"),"#REF!")</f>
        <v>#REF!</v>
      </c>
    </row>
    <row r="1228" ht="18.75" customHeight="1">
      <c r="T1228" s="240" t="str">
        <f>IFERROR(__xludf.DUMMYFUNCTION("IFERROR(
  FILTER('CBK Students'!F:F, TRIM('CBK Students'!B:B) = TRIM(A1228)),
  """"
)"),"#REF!")</f>
        <v>#REF!</v>
      </c>
      <c r="U1228" s="240" t="str">
        <f>IFERROR(__xludf.DUMMYFUNCTION("IFERROR(
  FILTER('CBK Students'!H:H, TRIM('CBK Students'!B:B) = TRIM(A1228)),
  """"
)"),"#REF!")</f>
        <v>#REF!</v>
      </c>
      <c r="V1228" s="240" t="str">
        <f>IFERROR(__xludf.DUMMYFUNCTION("IFERROR(
  FILTER('CBK Students'!M:M, TRIM('CBK Students'!B:B) = TRIM(A1228)),
  """"
)"),"#REF!")</f>
        <v>#REF!</v>
      </c>
      <c r="W1228" s="240" t="str">
        <f t="shared" si="1"/>
        <v/>
      </c>
      <c r="X1228" s="240" t="str">
        <f>IFERROR(__xludf.DUMMYFUNCTION("IFERROR(
  FILTER('CBK Students'!R:R, TRIM('CBK Students'!B:B) = TRIM(A1228)),
  """"
)"),"#REF!")</f>
        <v>#REF!</v>
      </c>
      <c r="Y1228" s="4" t="str">
        <f t="shared" si="2"/>
        <v/>
      </c>
      <c r="Z1228" s="4" t="str">
        <f>IFERROR(__xludf.DUMMYFUNCTION("IFERROR(
  FILTER('CBK Students'!O:O, TRIM('CBK Students'!B:B) = TRIM(A1228)),
  """"
)"),"#REF!")</f>
        <v>#REF!</v>
      </c>
      <c r="AA1228" s="4" t="str">
        <f>IFERROR(__xludf.DUMMYFUNCTION("IFERROR(
  FILTER('CBK Students'!P:P, TRIM('CBK Students'!B:B) = TRIM(A1228)),
  """"
)"),"#REF!")</f>
        <v>#REF!</v>
      </c>
      <c r="AB1228" s="4" t="str">
        <f>IFERROR(__xludf.DUMMYFUNCTION("IFERROR(
  FILTER('CBK Students'!Q:Q, TRIM('CBK Students'!B:B) = TRIM(A1228)),
  """"
)"),"#REF!")</f>
        <v>#REF!</v>
      </c>
    </row>
    <row r="1229" ht="18.75" customHeight="1">
      <c r="T1229" s="240" t="str">
        <f>IFERROR(__xludf.DUMMYFUNCTION("IFERROR(
  FILTER('CBK Students'!F:F, TRIM('CBK Students'!B:B) = TRIM(A1229)),
  """"
)"),"#REF!")</f>
        <v>#REF!</v>
      </c>
      <c r="U1229" s="240" t="str">
        <f>IFERROR(__xludf.DUMMYFUNCTION("IFERROR(
  FILTER('CBK Students'!H:H, TRIM('CBK Students'!B:B) = TRIM(A1229)),
  """"
)"),"#REF!")</f>
        <v>#REF!</v>
      </c>
      <c r="V1229" s="240" t="str">
        <f>IFERROR(__xludf.DUMMYFUNCTION("IFERROR(
  FILTER('CBK Students'!M:M, TRIM('CBK Students'!B:B) = TRIM(A1229)),
  """"
)"),"#REF!")</f>
        <v>#REF!</v>
      </c>
      <c r="W1229" s="240" t="str">
        <f t="shared" si="1"/>
        <v/>
      </c>
      <c r="X1229" s="240" t="str">
        <f>IFERROR(__xludf.DUMMYFUNCTION("IFERROR(
  FILTER('CBK Students'!R:R, TRIM('CBK Students'!B:B) = TRIM(A1229)),
  """"
)"),"#REF!")</f>
        <v>#REF!</v>
      </c>
      <c r="Y1229" s="4" t="str">
        <f t="shared" si="2"/>
        <v/>
      </c>
      <c r="Z1229" s="4" t="str">
        <f>IFERROR(__xludf.DUMMYFUNCTION("IFERROR(
  FILTER('CBK Students'!O:O, TRIM('CBK Students'!B:B) = TRIM(A1229)),
  """"
)"),"#REF!")</f>
        <v>#REF!</v>
      </c>
      <c r="AA1229" s="4" t="str">
        <f>IFERROR(__xludf.DUMMYFUNCTION("IFERROR(
  FILTER('CBK Students'!P:P, TRIM('CBK Students'!B:B) = TRIM(A1229)),
  """"
)"),"#REF!")</f>
        <v>#REF!</v>
      </c>
      <c r="AB1229" s="4" t="str">
        <f>IFERROR(__xludf.DUMMYFUNCTION("IFERROR(
  FILTER('CBK Students'!Q:Q, TRIM('CBK Students'!B:B) = TRIM(A1229)),
  """"
)"),"#REF!")</f>
        <v>#REF!</v>
      </c>
    </row>
    <row r="1230" ht="18.75" customHeight="1">
      <c r="T1230" s="240" t="str">
        <f>IFERROR(__xludf.DUMMYFUNCTION("IFERROR(
  FILTER('CBK Students'!F:F, TRIM('CBK Students'!B:B) = TRIM(A1230)),
  """"
)"),"#REF!")</f>
        <v>#REF!</v>
      </c>
      <c r="U1230" s="240" t="str">
        <f>IFERROR(__xludf.DUMMYFUNCTION("IFERROR(
  FILTER('CBK Students'!H:H, TRIM('CBK Students'!B:B) = TRIM(A1230)),
  """"
)"),"#REF!")</f>
        <v>#REF!</v>
      </c>
      <c r="V1230" s="240" t="str">
        <f>IFERROR(__xludf.DUMMYFUNCTION("IFERROR(
  FILTER('CBK Students'!M:M, TRIM('CBK Students'!B:B) = TRIM(A1230)),
  """"
)"),"#REF!")</f>
        <v>#REF!</v>
      </c>
      <c r="W1230" s="240" t="str">
        <f t="shared" si="1"/>
        <v/>
      </c>
      <c r="X1230" s="240" t="str">
        <f>IFERROR(__xludf.DUMMYFUNCTION("IFERROR(
  FILTER('CBK Students'!R:R, TRIM('CBK Students'!B:B) = TRIM(A1230)),
  """"
)"),"#REF!")</f>
        <v>#REF!</v>
      </c>
      <c r="Y1230" s="4" t="str">
        <f t="shared" si="2"/>
        <v/>
      </c>
      <c r="Z1230" s="4" t="str">
        <f>IFERROR(__xludf.DUMMYFUNCTION("IFERROR(
  FILTER('CBK Students'!O:O, TRIM('CBK Students'!B:B) = TRIM(A1230)),
  """"
)"),"#REF!")</f>
        <v>#REF!</v>
      </c>
      <c r="AA1230" s="4" t="str">
        <f>IFERROR(__xludf.DUMMYFUNCTION("IFERROR(
  FILTER('CBK Students'!P:P, TRIM('CBK Students'!B:B) = TRIM(A1230)),
  """"
)"),"#REF!")</f>
        <v>#REF!</v>
      </c>
      <c r="AB1230" s="4" t="str">
        <f>IFERROR(__xludf.DUMMYFUNCTION("IFERROR(
  FILTER('CBK Students'!Q:Q, TRIM('CBK Students'!B:B) = TRIM(A1230)),
  """"
)"),"#REF!")</f>
        <v>#REF!</v>
      </c>
    </row>
    <row r="1231" ht="18.75" customHeight="1">
      <c r="T1231" s="240" t="str">
        <f>IFERROR(__xludf.DUMMYFUNCTION("IFERROR(
  FILTER('CBK Students'!F:F, TRIM('CBK Students'!B:B) = TRIM(A1231)),
  """"
)"),"#REF!")</f>
        <v>#REF!</v>
      </c>
      <c r="U1231" s="240" t="str">
        <f>IFERROR(__xludf.DUMMYFUNCTION("IFERROR(
  FILTER('CBK Students'!H:H, TRIM('CBK Students'!B:B) = TRIM(A1231)),
  """"
)"),"#REF!")</f>
        <v>#REF!</v>
      </c>
      <c r="V1231" s="240" t="str">
        <f>IFERROR(__xludf.DUMMYFUNCTION("IFERROR(
  FILTER('CBK Students'!M:M, TRIM('CBK Students'!B:B) = TRIM(A1231)),
  """"
)"),"#REF!")</f>
        <v>#REF!</v>
      </c>
      <c r="W1231" s="240" t="str">
        <f t="shared" si="1"/>
        <v/>
      </c>
      <c r="X1231" s="240" t="str">
        <f>IFERROR(__xludf.DUMMYFUNCTION("IFERROR(
  FILTER('CBK Students'!R:R, TRIM('CBK Students'!B:B) = TRIM(A1231)),
  """"
)"),"#REF!")</f>
        <v>#REF!</v>
      </c>
      <c r="Y1231" s="4" t="str">
        <f t="shared" si="2"/>
        <v/>
      </c>
      <c r="Z1231" s="4" t="str">
        <f>IFERROR(__xludf.DUMMYFUNCTION("IFERROR(
  FILTER('CBK Students'!O:O, TRIM('CBK Students'!B:B) = TRIM(A1231)),
  """"
)"),"#REF!")</f>
        <v>#REF!</v>
      </c>
      <c r="AA1231" s="4" t="str">
        <f>IFERROR(__xludf.DUMMYFUNCTION("IFERROR(
  FILTER('CBK Students'!P:P, TRIM('CBK Students'!B:B) = TRIM(A1231)),
  """"
)"),"#REF!")</f>
        <v>#REF!</v>
      </c>
      <c r="AB1231" s="4" t="str">
        <f>IFERROR(__xludf.DUMMYFUNCTION("IFERROR(
  FILTER('CBK Students'!Q:Q, TRIM('CBK Students'!B:B) = TRIM(A1231)),
  """"
)"),"#REF!")</f>
        <v>#REF!</v>
      </c>
    </row>
    <row r="1232" ht="18.75" customHeight="1">
      <c r="T1232" s="240" t="str">
        <f>IFERROR(__xludf.DUMMYFUNCTION("IFERROR(
  FILTER('CBK Students'!F:F, TRIM('CBK Students'!B:B) = TRIM(A1232)),
  """"
)"),"#REF!")</f>
        <v>#REF!</v>
      </c>
      <c r="U1232" s="240" t="str">
        <f>IFERROR(__xludf.DUMMYFUNCTION("IFERROR(
  FILTER('CBK Students'!H:H, TRIM('CBK Students'!B:B) = TRIM(A1232)),
  """"
)"),"#REF!")</f>
        <v>#REF!</v>
      </c>
      <c r="V1232" s="240" t="str">
        <f>IFERROR(__xludf.DUMMYFUNCTION("IFERROR(
  FILTER('CBK Students'!M:M, TRIM('CBK Students'!B:B) = TRIM(A1232)),
  """"
)"),"#REF!")</f>
        <v>#REF!</v>
      </c>
      <c r="W1232" s="240" t="str">
        <f t="shared" si="1"/>
        <v/>
      </c>
      <c r="X1232" s="240" t="str">
        <f>IFERROR(__xludf.DUMMYFUNCTION("IFERROR(
  FILTER('CBK Students'!R:R, TRIM('CBK Students'!B:B) = TRIM(A1232)),
  """"
)"),"#REF!")</f>
        <v>#REF!</v>
      </c>
      <c r="Y1232" s="4" t="str">
        <f t="shared" si="2"/>
        <v/>
      </c>
      <c r="Z1232" s="4" t="str">
        <f>IFERROR(__xludf.DUMMYFUNCTION("IFERROR(
  FILTER('CBK Students'!O:O, TRIM('CBK Students'!B:B) = TRIM(A1232)),
  """"
)"),"#REF!")</f>
        <v>#REF!</v>
      </c>
      <c r="AA1232" s="4" t="str">
        <f>IFERROR(__xludf.DUMMYFUNCTION("IFERROR(
  FILTER('CBK Students'!P:P, TRIM('CBK Students'!B:B) = TRIM(A1232)),
  """"
)"),"#REF!")</f>
        <v>#REF!</v>
      </c>
      <c r="AB1232" s="4" t="str">
        <f>IFERROR(__xludf.DUMMYFUNCTION("IFERROR(
  FILTER('CBK Students'!Q:Q, TRIM('CBK Students'!B:B) = TRIM(A1232)),
  """"
)"),"#REF!")</f>
        <v>#REF!</v>
      </c>
    </row>
    <row r="1233" ht="18.75" customHeight="1">
      <c r="T1233" s="240" t="str">
        <f>IFERROR(__xludf.DUMMYFUNCTION("IFERROR(
  FILTER('CBK Students'!F:F, TRIM('CBK Students'!B:B) = TRIM(A1233)),
  """"
)"),"#REF!")</f>
        <v>#REF!</v>
      </c>
      <c r="U1233" s="240" t="str">
        <f>IFERROR(__xludf.DUMMYFUNCTION("IFERROR(
  FILTER('CBK Students'!H:H, TRIM('CBK Students'!B:B) = TRIM(A1233)),
  """"
)"),"#REF!")</f>
        <v>#REF!</v>
      </c>
      <c r="V1233" s="240" t="str">
        <f>IFERROR(__xludf.DUMMYFUNCTION("IFERROR(
  FILTER('CBK Students'!M:M, TRIM('CBK Students'!B:B) = TRIM(A1233)),
  """"
)"),"#REF!")</f>
        <v>#REF!</v>
      </c>
      <c r="W1233" s="240" t="str">
        <f t="shared" si="1"/>
        <v/>
      </c>
      <c r="X1233" s="240" t="str">
        <f>IFERROR(__xludf.DUMMYFUNCTION("IFERROR(
  FILTER('CBK Students'!R:R, TRIM('CBK Students'!B:B) = TRIM(A1233)),
  """"
)"),"#REF!")</f>
        <v>#REF!</v>
      </c>
      <c r="Y1233" s="4" t="str">
        <f t="shared" si="2"/>
        <v/>
      </c>
      <c r="Z1233" s="4" t="str">
        <f>IFERROR(__xludf.DUMMYFUNCTION("IFERROR(
  FILTER('CBK Students'!O:O, TRIM('CBK Students'!B:B) = TRIM(A1233)),
  """"
)"),"#REF!")</f>
        <v>#REF!</v>
      </c>
      <c r="AA1233" s="4" t="str">
        <f>IFERROR(__xludf.DUMMYFUNCTION("IFERROR(
  FILTER('CBK Students'!P:P, TRIM('CBK Students'!B:B) = TRIM(A1233)),
  """"
)"),"#REF!")</f>
        <v>#REF!</v>
      </c>
      <c r="AB1233" s="4" t="str">
        <f>IFERROR(__xludf.DUMMYFUNCTION("IFERROR(
  FILTER('CBK Students'!Q:Q, TRIM('CBK Students'!B:B) = TRIM(A1233)),
  """"
)"),"#REF!")</f>
        <v>#REF!</v>
      </c>
    </row>
    <row r="1234" ht="18.75" customHeight="1">
      <c r="T1234" s="240" t="str">
        <f>IFERROR(__xludf.DUMMYFUNCTION("IFERROR(
  FILTER('CBK Students'!F:F, TRIM('CBK Students'!B:B) = TRIM(A1234)),
  """"
)"),"#REF!")</f>
        <v>#REF!</v>
      </c>
      <c r="U1234" s="240" t="str">
        <f>IFERROR(__xludf.DUMMYFUNCTION("IFERROR(
  FILTER('CBK Students'!H:H, TRIM('CBK Students'!B:B) = TRIM(A1234)),
  """"
)"),"#REF!")</f>
        <v>#REF!</v>
      </c>
      <c r="V1234" s="240" t="str">
        <f>IFERROR(__xludf.DUMMYFUNCTION("IFERROR(
  FILTER('CBK Students'!M:M, TRIM('CBK Students'!B:B) = TRIM(A1234)),
  """"
)"),"#REF!")</f>
        <v>#REF!</v>
      </c>
      <c r="W1234" s="240" t="str">
        <f t="shared" si="1"/>
        <v/>
      </c>
      <c r="X1234" s="240" t="str">
        <f>IFERROR(__xludf.DUMMYFUNCTION("IFERROR(
  FILTER('CBK Students'!R:R, TRIM('CBK Students'!B:B) = TRIM(A1234)),
  """"
)"),"#REF!")</f>
        <v>#REF!</v>
      </c>
      <c r="Y1234" s="4" t="str">
        <f t="shared" si="2"/>
        <v/>
      </c>
      <c r="Z1234" s="4" t="str">
        <f>IFERROR(__xludf.DUMMYFUNCTION("IFERROR(
  FILTER('CBK Students'!O:O, TRIM('CBK Students'!B:B) = TRIM(A1234)),
  """"
)"),"#REF!")</f>
        <v>#REF!</v>
      </c>
      <c r="AA1234" s="4" t="str">
        <f>IFERROR(__xludf.DUMMYFUNCTION("IFERROR(
  FILTER('CBK Students'!P:P, TRIM('CBK Students'!B:B) = TRIM(A1234)),
  """"
)"),"#REF!")</f>
        <v>#REF!</v>
      </c>
      <c r="AB1234" s="4" t="str">
        <f>IFERROR(__xludf.DUMMYFUNCTION("IFERROR(
  FILTER('CBK Students'!Q:Q, TRIM('CBK Students'!B:B) = TRIM(A1234)),
  """"
)"),"#REF!")</f>
        <v>#REF!</v>
      </c>
    </row>
    <row r="1235" ht="18.75" customHeight="1">
      <c r="T1235" s="240" t="str">
        <f>IFERROR(__xludf.DUMMYFUNCTION("IFERROR(
  FILTER('CBK Students'!F:F, TRIM('CBK Students'!B:B) = TRIM(A1235)),
  """"
)"),"#REF!")</f>
        <v>#REF!</v>
      </c>
      <c r="U1235" s="240" t="str">
        <f>IFERROR(__xludf.DUMMYFUNCTION("IFERROR(
  FILTER('CBK Students'!H:H, TRIM('CBK Students'!B:B) = TRIM(A1235)),
  """"
)"),"#REF!")</f>
        <v>#REF!</v>
      </c>
      <c r="V1235" s="240" t="str">
        <f>IFERROR(__xludf.DUMMYFUNCTION("IFERROR(
  FILTER('CBK Students'!M:M, TRIM('CBK Students'!B:B) = TRIM(A1235)),
  """"
)"),"#REF!")</f>
        <v>#REF!</v>
      </c>
      <c r="W1235" s="240" t="str">
        <f t="shared" si="1"/>
        <v/>
      </c>
      <c r="X1235" s="240" t="str">
        <f>IFERROR(__xludf.DUMMYFUNCTION("IFERROR(
  FILTER('CBK Students'!R:R, TRIM('CBK Students'!B:B) = TRIM(A1235)),
  """"
)"),"#REF!")</f>
        <v>#REF!</v>
      </c>
      <c r="Y1235" s="4" t="str">
        <f t="shared" si="2"/>
        <v/>
      </c>
      <c r="Z1235" s="4" t="str">
        <f>IFERROR(__xludf.DUMMYFUNCTION("IFERROR(
  FILTER('CBK Students'!O:O, TRIM('CBK Students'!B:B) = TRIM(A1235)),
  """"
)"),"#REF!")</f>
        <v>#REF!</v>
      </c>
      <c r="AA1235" s="4" t="str">
        <f>IFERROR(__xludf.DUMMYFUNCTION("IFERROR(
  FILTER('CBK Students'!P:P, TRIM('CBK Students'!B:B) = TRIM(A1235)),
  """"
)"),"#REF!")</f>
        <v>#REF!</v>
      </c>
      <c r="AB1235" s="4" t="str">
        <f>IFERROR(__xludf.DUMMYFUNCTION("IFERROR(
  FILTER('CBK Students'!Q:Q, TRIM('CBK Students'!B:B) = TRIM(A1235)),
  """"
)"),"#REF!")</f>
        <v>#REF!</v>
      </c>
    </row>
    <row r="1236" ht="18.75" customHeight="1">
      <c r="T1236" s="240" t="str">
        <f>IFERROR(__xludf.DUMMYFUNCTION("IFERROR(
  FILTER('CBK Students'!F:F, TRIM('CBK Students'!B:B) = TRIM(A1236)),
  """"
)"),"#REF!")</f>
        <v>#REF!</v>
      </c>
      <c r="U1236" s="240" t="str">
        <f>IFERROR(__xludf.DUMMYFUNCTION("IFERROR(
  FILTER('CBK Students'!H:H, TRIM('CBK Students'!B:B) = TRIM(A1236)),
  """"
)"),"#REF!")</f>
        <v>#REF!</v>
      </c>
      <c r="V1236" s="240" t="str">
        <f>IFERROR(__xludf.DUMMYFUNCTION("IFERROR(
  FILTER('CBK Students'!M:M, TRIM('CBK Students'!B:B) = TRIM(A1236)),
  """"
)"),"#REF!")</f>
        <v>#REF!</v>
      </c>
      <c r="W1236" s="240" t="str">
        <f t="shared" si="1"/>
        <v/>
      </c>
      <c r="X1236" s="240" t="str">
        <f>IFERROR(__xludf.DUMMYFUNCTION("IFERROR(
  FILTER('CBK Students'!R:R, TRIM('CBK Students'!B:B) = TRIM(A1236)),
  """"
)"),"#REF!")</f>
        <v>#REF!</v>
      </c>
      <c r="Y1236" s="4" t="str">
        <f t="shared" si="2"/>
        <v/>
      </c>
      <c r="Z1236" s="4" t="str">
        <f>IFERROR(__xludf.DUMMYFUNCTION("IFERROR(
  FILTER('CBK Students'!O:O, TRIM('CBK Students'!B:B) = TRIM(A1236)),
  """"
)"),"#REF!")</f>
        <v>#REF!</v>
      </c>
      <c r="AA1236" s="4" t="str">
        <f>IFERROR(__xludf.DUMMYFUNCTION("IFERROR(
  FILTER('CBK Students'!P:P, TRIM('CBK Students'!B:B) = TRIM(A1236)),
  """"
)"),"#REF!")</f>
        <v>#REF!</v>
      </c>
      <c r="AB1236" s="4" t="str">
        <f>IFERROR(__xludf.DUMMYFUNCTION("IFERROR(
  FILTER('CBK Students'!Q:Q, TRIM('CBK Students'!B:B) = TRIM(A1236)),
  """"
)"),"#REF!")</f>
        <v>#REF!</v>
      </c>
    </row>
    <row r="1237" ht="18.75" customHeight="1">
      <c r="T1237" s="240" t="str">
        <f>IFERROR(__xludf.DUMMYFUNCTION("IFERROR(
  FILTER('CBK Students'!F:F, TRIM('CBK Students'!B:B) = TRIM(A1237)),
  """"
)"),"#REF!")</f>
        <v>#REF!</v>
      </c>
      <c r="U1237" s="240" t="str">
        <f>IFERROR(__xludf.DUMMYFUNCTION("IFERROR(
  FILTER('CBK Students'!H:H, TRIM('CBK Students'!B:B) = TRIM(A1237)),
  """"
)"),"#REF!")</f>
        <v>#REF!</v>
      </c>
      <c r="V1237" s="240" t="str">
        <f>IFERROR(__xludf.DUMMYFUNCTION("IFERROR(
  FILTER('CBK Students'!M:M, TRIM('CBK Students'!B:B) = TRIM(A1237)),
  """"
)"),"#REF!")</f>
        <v>#REF!</v>
      </c>
      <c r="W1237" s="240" t="str">
        <f t="shared" si="1"/>
        <v/>
      </c>
      <c r="X1237" s="240" t="str">
        <f>IFERROR(__xludf.DUMMYFUNCTION("IFERROR(
  FILTER('CBK Students'!R:R, TRIM('CBK Students'!B:B) = TRIM(A1237)),
  """"
)"),"#REF!")</f>
        <v>#REF!</v>
      </c>
      <c r="Y1237" s="4" t="str">
        <f t="shared" si="2"/>
        <v/>
      </c>
      <c r="Z1237" s="4" t="str">
        <f>IFERROR(__xludf.DUMMYFUNCTION("IFERROR(
  FILTER('CBK Students'!O:O, TRIM('CBK Students'!B:B) = TRIM(A1237)),
  """"
)"),"#REF!")</f>
        <v>#REF!</v>
      </c>
      <c r="AA1237" s="4" t="str">
        <f>IFERROR(__xludf.DUMMYFUNCTION("IFERROR(
  FILTER('CBK Students'!P:P, TRIM('CBK Students'!B:B) = TRIM(A1237)),
  """"
)"),"#REF!")</f>
        <v>#REF!</v>
      </c>
      <c r="AB1237" s="4" t="str">
        <f>IFERROR(__xludf.DUMMYFUNCTION("IFERROR(
  FILTER('CBK Students'!Q:Q, TRIM('CBK Students'!B:B) = TRIM(A1237)),
  """"
)"),"#REF!")</f>
        <v>#REF!</v>
      </c>
    </row>
    <row r="1238" ht="18.75" customHeight="1">
      <c r="T1238" s="240" t="str">
        <f>IFERROR(__xludf.DUMMYFUNCTION("IFERROR(
  FILTER('CBK Students'!F:F, TRIM('CBK Students'!B:B) = TRIM(A1238)),
  """"
)"),"#REF!")</f>
        <v>#REF!</v>
      </c>
      <c r="U1238" s="240" t="str">
        <f>IFERROR(__xludf.DUMMYFUNCTION("IFERROR(
  FILTER('CBK Students'!H:H, TRIM('CBK Students'!B:B) = TRIM(A1238)),
  """"
)"),"#REF!")</f>
        <v>#REF!</v>
      </c>
      <c r="V1238" s="240" t="str">
        <f>IFERROR(__xludf.DUMMYFUNCTION("IFERROR(
  FILTER('CBK Students'!M:M, TRIM('CBK Students'!B:B) = TRIM(A1238)),
  """"
)"),"#REF!")</f>
        <v>#REF!</v>
      </c>
      <c r="W1238" s="240" t="str">
        <f t="shared" si="1"/>
        <v/>
      </c>
      <c r="X1238" s="240" t="str">
        <f>IFERROR(__xludf.DUMMYFUNCTION("IFERROR(
  FILTER('CBK Students'!R:R, TRIM('CBK Students'!B:B) = TRIM(A1238)),
  """"
)"),"#REF!")</f>
        <v>#REF!</v>
      </c>
      <c r="Y1238" s="4" t="str">
        <f t="shared" si="2"/>
        <v/>
      </c>
      <c r="Z1238" s="4" t="str">
        <f>IFERROR(__xludf.DUMMYFUNCTION("IFERROR(
  FILTER('CBK Students'!O:O, TRIM('CBK Students'!B:B) = TRIM(A1238)),
  """"
)"),"#REF!")</f>
        <v>#REF!</v>
      </c>
      <c r="AA1238" s="4" t="str">
        <f>IFERROR(__xludf.DUMMYFUNCTION("IFERROR(
  FILTER('CBK Students'!P:P, TRIM('CBK Students'!B:B) = TRIM(A1238)),
  """"
)"),"#REF!")</f>
        <v>#REF!</v>
      </c>
      <c r="AB1238" s="4" t="str">
        <f>IFERROR(__xludf.DUMMYFUNCTION("IFERROR(
  FILTER('CBK Students'!Q:Q, TRIM('CBK Students'!B:B) = TRIM(A1238)),
  """"
)"),"#REF!")</f>
        <v>#REF!</v>
      </c>
    </row>
    <row r="1239" ht="18.75" customHeight="1">
      <c r="T1239" s="240" t="str">
        <f>IFERROR(__xludf.DUMMYFUNCTION("IFERROR(
  FILTER('CBK Students'!F:F, TRIM('CBK Students'!B:B) = TRIM(A1239)),
  """"
)"),"#REF!")</f>
        <v>#REF!</v>
      </c>
      <c r="U1239" s="240" t="str">
        <f>IFERROR(__xludf.DUMMYFUNCTION("IFERROR(
  FILTER('CBK Students'!H:H, TRIM('CBK Students'!B:B) = TRIM(A1239)),
  """"
)"),"#REF!")</f>
        <v>#REF!</v>
      </c>
      <c r="V1239" s="240" t="str">
        <f>IFERROR(__xludf.DUMMYFUNCTION("IFERROR(
  FILTER('CBK Students'!M:M, TRIM('CBK Students'!B:B) = TRIM(A1239)),
  """"
)"),"#REF!")</f>
        <v>#REF!</v>
      </c>
      <c r="W1239" s="240" t="str">
        <f t="shared" si="1"/>
        <v/>
      </c>
      <c r="X1239" s="240" t="str">
        <f>IFERROR(__xludf.DUMMYFUNCTION("IFERROR(
  FILTER('CBK Students'!R:R, TRIM('CBK Students'!B:B) = TRIM(A1239)),
  """"
)"),"#REF!")</f>
        <v>#REF!</v>
      </c>
      <c r="Y1239" s="4" t="str">
        <f t="shared" si="2"/>
        <v/>
      </c>
      <c r="Z1239" s="4" t="str">
        <f>IFERROR(__xludf.DUMMYFUNCTION("IFERROR(
  FILTER('CBK Students'!O:O, TRIM('CBK Students'!B:B) = TRIM(A1239)),
  """"
)"),"#REF!")</f>
        <v>#REF!</v>
      </c>
      <c r="AA1239" s="4" t="str">
        <f>IFERROR(__xludf.DUMMYFUNCTION("IFERROR(
  FILTER('CBK Students'!P:P, TRIM('CBK Students'!B:B) = TRIM(A1239)),
  """"
)"),"#REF!")</f>
        <v>#REF!</v>
      </c>
      <c r="AB1239" s="4" t="str">
        <f>IFERROR(__xludf.DUMMYFUNCTION("IFERROR(
  FILTER('CBK Students'!Q:Q, TRIM('CBK Students'!B:B) = TRIM(A1239)),
  """"
)"),"#REF!")</f>
        <v>#REF!</v>
      </c>
    </row>
    <row r="1240" ht="18.75" customHeight="1">
      <c r="T1240" s="240" t="str">
        <f>IFERROR(__xludf.DUMMYFUNCTION("IFERROR(
  FILTER('CBK Students'!F:F, TRIM('CBK Students'!B:B) = TRIM(A1240)),
  """"
)"),"#REF!")</f>
        <v>#REF!</v>
      </c>
      <c r="U1240" s="240" t="str">
        <f>IFERROR(__xludf.DUMMYFUNCTION("IFERROR(
  FILTER('CBK Students'!H:H, TRIM('CBK Students'!B:B) = TRIM(A1240)),
  """"
)"),"#REF!")</f>
        <v>#REF!</v>
      </c>
      <c r="V1240" s="240" t="str">
        <f>IFERROR(__xludf.DUMMYFUNCTION("IFERROR(
  FILTER('CBK Students'!M:M, TRIM('CBK Students'!B:B) = TRIM(A1240)),
  """"
)"),"#REF!")</f>
        <v>#REF!</v>
      </c>
      <c r="W1240" s="240" t="str">
        <f t="shared" si="1"/>
        <v/>
      </c>
      <c r="X1240" s="240" t="str">
        <f>IFERROR(__xludf.DUMMYFUNCTION("IFERROR(
  FILTER('CBK Students'!R:R, TRIM('CBK Students'!B:B) = TRIM(A1240)),
  """"
)"),"#REF!")</f>
        <v>#REF!</v>
      </c>
      <c r="Y1240" s="4" t="str">
        <f t="shared" si="2"/>
        <v/>
      </c>
      <c r="Z1240" s="4" t="str">
        <f>IFERROR(__xludf.DUMMYFUNCTION("IFERROR(
  FILTER('CBK Students'!O:O, TRIM('CBK Students'!B:B) = TRIM(A1240)),
  """"
)"),"#REF!")</f>
        <v>#REF!</v>
      </c>
      <c r="AA1240" s="4" t="str">
        <f>IFERROR(__xludf.DUMMYFUNCTION("IFERROR(
  FILTER('CBK Students'!P:P, TRIM('CBK Students'!B:B) = TRIM(A1240)),
  """"
)"),"#REF!")</f>
        <v>#REF!</v>
      </c>
      <c r="AB1240" s="4" t="str">
        <f>IFERROR(__xludf.DUMMYFUNCTION("IFERROR(
  FILTER('CBK Students'!Q:Q, TRIM('CBK Students'!B:B) = TRIM(A1240)),
  """"
)"),"#REF!")</f>
        <v>#REF!</v>
      </c>
    </row>
    <row r="1241" ht="18.75" customHeight="1">
      <c r="T1241" s="240" t="str">
        <f>IFERROR(__xludf.DUMMYFUNCTION("IFERROR(
  FILTER('CBK Students'!F:F, TRIM('CBK Students'!B:B) = TRIM(A1241)),
  """"
)"),"#REF!")</f>
        <v>#REF!</v>
      </c>
      <c r="U1241" s="240" t="str">
        <f>IFERROR(__xludf.DUMMYFUNCTION("IFERROR(
  FILTER('CBK Students'!H:H, TRIM('CBK Students'!B:B) = TRIM(A1241)),
  """"
)"),"#REF!")</f>
        <v>#REF!</v>
      </c>
      <c r="V1241" s="240" t="str">
        <f>IFERROR(__xludf.DUMMYFUNCTION("IFERROR(
  FILTER('CBK Students'!M:M, TRIM('CBK Students'!B:B) = TRIM(A1241)),
  """"
)"),"#REF!")</f>
        <v>#REF!</v>
      </c>
      <c r="W1241" s="240" t="str">
        <f t="shared" si="1"/>
        <v/>
      </c>
      <c r="X1241" s="240" t="str">
        <f>IFERROR(__xludf.DUMMYFUNCTION("IFERROR(
  FILTER('CBK Students'!R:R, TRIM('CBK Students'!B:B) = TRIM(A1241)),
  """"
)"),"#REF!")</f>
        <v>#REF!</v>
      </c>
      <c r="Y1241" s="4" t="str">
        <f t="shared" si="2"/>
        <v/>
      </c>
      <c r="Z1241" s="4" t="str">
        <f>IFERROR(__xludf.DUMMYFUNCTION("IFERROR(
  FILTER('CBK Students'!O:O, TRIM('CBK Students'!B:B) = TRIM(A1241)),
  """"
)"),"#REF!")</f>
        <v>#REF!</v>
      </c>
      <c r="AA1241" s="4" t="str">
        <f>IFERROR(__xludf.DUMMYFUNCTION("IFERROR(
  FILTER('CBK Students'!P:P, TRIM('CBK Students'!B:B) = TRIM(A1241)),
  """"
)"),"#REF!")</f>
        <v>#REF!</v>
      </c>
      <c r="AB1241" s="4" t="str">
        <f>IFERROR(__xludf.DUMMYFUNCTION("IFERROR(
  FILTER('CBK Students'!Q:Q, TRIM('CBK Students'!B:B) = TRIM(A1241)),
  """"
)"),"#REF!")</f>
        <v>#REF!</v>
      </c>
    </row>
    <row r="1242" ht="18.75" customHeight="1">
      <c r="T1242" s="240" t="str">
        <f>IFERROR(__xludf.DUMMYFUNCTION("IFERROR(
  FILTER('CBK Students'!F:F, TRIM('CBK Students'!B:B) = TRIM(A1242)),
  """"
)"),"#REF!")</f>
        <v>#REF!</v>
      </c>
      <c r="U1242" s="240" t="str">
        <f>IFERROR(__xludf.DUMMYFUNCTION("IFERROR(
  FILTER('CBK Students'!H:H, TRIM('CBK Students'!B:B) = TRIM(A1242)),
  """"
)"),"#REF!")</f>
        <v>#REF!</v>
      </c>
      <c r="V1242" s="240" t="str">
        <f>IFERROR(__xludf.DUMMYFUNCTION("IFERROR(
  FILTER('CBK Students'!M:M, TRIM('CBK Students'!B:B) = TRIM(A1242)),
  """"
)"),"#REF!")</f>
        <v>#REF!</v>
      </c>
      <c r="W1242" s="240" t="str">
        <f t="shared" si="1"/>
        <v/>
      </c>
      <c r="X1242" s="240" t="str">
        <f>IFERROR(__xludf.DUMMYFUNCTION("IFERROR(
  FILTER('CBK Students'!R:R, TRIM('CBK Students'!B:B) = TRIM(A1242)),
  """"
)"),"#REF!")</f>
        <v>#REF!</v>
      </c>
      <c r="Y1242" s="4" t="str">
        <f t="shared" si="2"/>
        <v/>
      </c>
      <c r="Z1242" s="4" t="str">
        <f>IFERROR(__xludf.DUMMYFUNCTION("IFERROR(
  FILTER('CBK Students'!O:O, TRIM('CBK Students'!B:B) = TRIM(A1242)),
  """"
)"),"#REF!")</f>
        <v>#REF!</v>
      </c>
      <c r="AA1242" s="4" t="str">
        <f>IFERROR(__xludf.DUMMYFUNCTION("IFERROR(
  FILTER('CBK Students'!P:P, TRIM('CBK Students'!B:B) = TRIM(A1242)),
  """"
)"),"#REF!")</f>
        <v>#REF!</v>
      </c>
      <c r="AB1242" s="4" t="str">
        <f>IFERROR(__xludf.DUMMYFUNCTION("IFERROR(
  FILTER('CBK Students'!Q:Q, TRIM('CBK Students'!B:B) = TRIM(A1242)),
  """"
)"),"#REF!")</f>
        <v>#REF!</v>
      </c>
    </row>
    <row r="1243" ht="18.75" customHeight="1">
      <c r="T1243" s="240" t="str">
        <f>IFERROR(__xludf.DUMMYFUNCTION("IFERROR(
  FILTER('CBK Students'!F:F, TRIM('CBK Students'!B:B) = TRIM(A1243)),
  """"
)"),"#REF!")</f>
        <v>#REF!</v>
      </c>
      <c r="U1243" s="240" t="str">
        <f>IFERROR(__xludf.DUMMYFUNCTION("IFERROR(
  FILTER('CBK Students'!H:H, TRIM('CBK Students'!B:B) = TRIM(A1243)),
  """"
)"),"#REF!")</f>
        <v>#REF!</v>
      </c>
      <c r="V1243" s="240" t="str">
        <f>IFERROR(__xludf.DUMMYFUNCTION("IFERROR(
  FILTER('CBK Students'!M:M, TRIM('CBK Students'!B:B) = TRIM(A1243)),
  """"
)"),"#REF!")</f>
        <v>#REF!</v>
      </c>
      <c r="W1243" s="240" t="str">
        <f t="shared" si="1"/>
        <v/>
      </c>
      <c r="X1243" s="240" t="str">
        <f>IFERROR(__xludf.DUMMYFUNCTION("IFERROR(
  FILTER('CBK Students'!R:R, TRIM('CBK Students'!B:B) = TRIM(A1243)),
  """"
)"),"#REF!")</f>
        <v>#REF!</v>
      </c>
      <c r="Y1243" s="4" t="str">
        <f t="shared" si="2"/>
        <v/>
      </c>
      <c r="Z1243" s="4" t="str">
        <f>IFERROR(__xludf.DUMMYFUNCTION("IFERROR(
  FILTER('CBK Students'!O:O, TRIM('CBK Students'!B:B) = TRIM(A1243)),
  """"
)"),"#REF!")</f>
        <v>#REF!</v>
      </c>
      <c r="AA1243" s="4" t="str">
        <f>IFERROR(__xludf.DUMMYFUNCTION("IFERROR(
  FILTER('CBK Students'!P:P, TRIM('CBK Students'!B:B) = TRIM(A1243)),
  """"
)"),"#REF!")</f>
        <v>#REF!</v>
      </c>
      <c r="AB1243" s="4" t="str">
        <f>IFERROR(__xludf.DUMMYFUNCTION("IFERROR(
  FILTER('CBK Students'!Q:Q, TRIM('CBK Students'!B:B) = TRIM(A1243)),
  """"
)"),"#REF!")</f>
        <v>#REF!</v>
      </c>
    </row>
    <row r="1244" ht="18.75" customHeight="1">
      <c r="T1244" s="240" t="str">
        <f>IFERROR(__xludf.DUMMYFUNCTION("IFERROR(
  FILTER('CBK Students'!F:F, TRIM('CBK Students'!B:B) = TRIM(A1244)),
  """"
)"),"#REF!")</f>
        <v>#REF!</v>
      </c>
      <c r="U1244" s="240" t="str">
        <f>IFERROR(__xludf.DUMMYFUNCTION("IFERROR(
  FILTER('CBK Students'!H:H, TRIM('CBK Students'!B:B) = TRIM(A1244)),
  """"
)"),"#REF!")</f>
        <v>#REF!</v>
      </c>
      <c r="V1244" s="240" t="str">
        <f>IFERROR(__xludf.DUMMYFUNCTION("IFERROR(
  FILTER('CBK Students'!M:M, TRIM('CBK Students'!B:B) = TRIM(A1244)),
  """"
)"),"#REF!")</f>
        <v>#REF!</v>
      </c>
      <c r="W1244" s="240" t="str">
        <f t="shared" si="1"/>
        <v/>
      </c>
      <c r="X1244" s="240" t="str">
        <f>IFERROR(__xludf.DUMMYFUNCTION("IFERROR(
  FILTER('CBK Students'!R:R, TRIM('CBK Students'!B:B) = TRIM(A1244)),
  """"
)"),"#REF!")</f>
        <v>#REF!</v>
      </c>
      <c r="Y1244" s="4" t="str">
        <f t="shared" si="2"/>
        <v/>
      </c>
      <c r="Z1244" s="4" t="str">
        <f>IFERROR(__xludf.DUMMYFUNCTION("IFERROR(
  FILTER('CBK Students'!O:O, TRIM('CBK Students'!B:B) = TRIM(A1244)),
  """"
)"),"#REF!")</f>
        <v>#REF!</v>
      </c>
      <c r="AA1244" s="4" t="str">
        <f>IFERROR(__xludf.DUMMYFUNCTION("IFERROR(
  FILTER('CBK Students'!P:P, TRIM('CBK Students'!B:B) = TRIM(A1244)),
  """"
)"),"#REF!")</f>
        <v>#REF!</v>
      </c>
      <c r="AB1244" s="4" t="str">
        <f>IFERROR(__xludf.DUMMYFUNCTION("IFERROR(
  FILTER('CBK Students'!Q:Q, TRIM('CBK Students'!B:B) = TRIM(A1244)),
  """"
)"),"#REF!")</f>
        <v>#REF!</v>
      </c>
    </row>
    <row r="1245" ht="18.75" customHeight="1">
      <c r="T1245" s="240" t="str">
        <f>IFERROR(__xludf.DUMMYFUNCTION("IFERROR(
  FILTER('CBK Students'!F:F, TRIM('CBK Students'!B:B) = TRIM(A1245)),
  """"
)"),"#REF!")</f>
        <v>#REF!</v>
      </c>
      <c r="U1245" s="240" t="str">
        <f>IFERROR(__xludf.DUMMYFUNCTION("IFERROR(
  FILTER('CBK Students'!H:H, TRIM('CBK Students'!B:B) = TRIM(A1245)),
  """"
)"),"#REF!")</f>
        <v>#REF!</v>
      </c>
      <c r="V1245" s="240" t="str">
        <f>IFERROR(__xludf.DUMMYFUNCTION("IFERROR(
  FILTER('CBK Students'!M:M, TRIM('CBK Students'!B:B) = TRIM(A1245)),
  """"
)"),"#REF!")</f>
        <v>#REF!</v>
      </c>
      <c r="W1245" s="240" t="str">
        <f t="shared" si="1"/>
        <v/>
      </c>
      <c r="X1245" s="240" t="str">
        <f>IFERROR(__xludf.DUMMYFUNCTION("IFERROR(
  FILTER('CBK Students'!R:R, TRIM('CBK Students'!B:B) = TRIM(A1245)),
  """"
)"),"#REF!")</f>
        <v>#REF!</v>
      </c>
      <c r="Y1245" s="4" t="str">
        <f t="shared" si="2"/>
        <v/>
      </c>
      <c r="Z1245" s="4" t="str">
        <f>IFERROR(__xludf.DUMMYFUNCTION("IFERROR(
  FILTER('CBK Students'!O:O, TRIM('CBK Students'!B:B) = TRIM(A1245)),
  """"
)"),"#REF!")</f>
        <v>#REF!</v>
      </c>
      <c r="AA1245" s="4" t="str">
        <f>IFERROR(__xludf.DUMMYFUNCTION("IFERROR(
  FILTER('CBK Students'!P:P, TRIM('CBK Students'!B:B) = TRIM(A1245)),
  """"
)"),"#REF!")</f>
        <v>#REF!</v>
      </c>
      <c r="AB1245" s="4" t="str">
        <f>IFERROR(__xludf.DUMMYFUNCTION("IFERROR(
  FILTER('CBK Students'!Q:Q, TRIM('CBK Students'!B:B) = TRIM(A1245)),
  """"
)"),"#REF!")</f>
        <v>#REF!</v>
      </c>
    </row>
    <row r="1246" ht="18.75" customHeight="1">
      <c r="T1246" s="240" t="str">
        <f>IFERROR(__xludf.DUMMYFUNCTION("IFERROR(
  FILTER('CBK Students'!F:F, TRIM('CBK Students'!B:B) = TRIM(A1246)),
  """"
)"),"#REF!")</f>
        <v>#REF!</v>
      </c>
      <c r="U1246" s="240" t="str">
        <f>IFERROR(__xludf.DUMMYFUNCTION("IFERROR(
  FILTER('CBK Students'!H:H, TRIM('CBK Students'!B:B) = TRIM(A1246)),
  """"
)"),"#REF!")</f>
        <v>#REF!</v>
      </c>
      <c r="V1246" s="240" t="str">
        <f>IFERROR(__xludf.DUMMYFUNCTION("IFERROR(
  FILTER('CBK Students'!M:M, TRIM('CBK Students'!B:B) = TRIM(A1246)),
  """"
)"),"#REF!")</f>
        <v>#REF!</v>
      </c>
      <c r="W1246" s="240" t="str">
        <f t="shared" si="1"/>
        <v/>
      </c>
      <c r="X1246" s="240" t="str">
        <f>IFERROR(__xludf.DUMMYFUNCTION("IFERROR(
  FILTER('CBK Students'!R:R, TRIM('CBK Students'!B:B) = TRIM(A1246)),
  """"
)"),"#REF!")</f>
        <v>#REF!</v>
      </c>
      <c r="Y1246" s="4" t="str">
        <f t="shared" si="2"/>
        <v/>
      </c>
      <c r="Z1246" s="4" t="str">
        <f>IFERROR(__xludf.DUMMYFUNCTION("IFERROR(
  FILTER('CBK Students'!O:O, TRIM('CBK Students'!B:B) = TRIM(A1246)),
  """"
)"),"#REF!")</f>
        <v>#REF!</v>
      </c>
      <c r="AA1246" s="4" t="str">
        <f>IFERROR(__xludf.DUMMYFUNCTION("IFERROR(
  FILTER('CBK Students'!P:P, TRIM('CBK Students'!B:B) = TRIM(A1246)),
  """"
)"),"#REF!")</f>
        <v>#REF!</v>
      </c>
      <c r="AB1246" s="4" t="str">
        <f>IFERROR(__xludf.DUMMYFUNCTION("IFERROR(
  FILTER('CBK Students'!Q:Q, TRIM('CBK Students'!B:B) = TRIM(A1246)),
  """"
)"),"#REF!")</f>
        <v>#REF!</v>
      </c>
    </row>
    <row r="1247" ht="18.75" customHeight="1">
      <c r="T1247" s="240" t="str">
        <f>IFERROR(__xludf.DUMMYFUNCTION("IFERROR(
  FILTER('CBK Students'!F:F, TRIM('CBK Students'!B:B) = TRIM(A1247)),
  """"
)"),"#REF!")</f>
        <v>#REF!</v>
      </c>
      <c r="U1247" s="240" t="str">
        <f>IFERROR(__xludf.DUMMYFUNCTION("IFERROR(
  FILTER('CBK Students'!H:H, TRIM('CBK Students'!B:B) = TRIM(A1247)),
  """"
)"),"#REF!")</f>
        <v>#REF!</v>
      </c>
      <c r="V1247" s="240" t="str">
        <f>IFERROR(__xludf.DUMMYFUNCTION("IFERROR(
  FILTER('CBK Students'!M:M, TRIM('CBK Students'!B:B) = TRIM(A1247)),
  """"
)"),"#REF!")</f>
        <v>#REF!</v>
      </c>
      <c r="W1247" s="240" t="str">
        <f t="shared" si="1"/>
        <v/>
      </c>
      <c r="X1247" s="240" t="str">
        <f>IFERROR(__xludf.DUMMYFUNCTION("IFERROR(
  FILTER('CBK Students'!R:R, TRIM('CBK Students'!B:B) = TRIM(A1247)),
  """"
)"),"#REF!")</f>
        <v>#REF!</v>
      </c>
      <c r="Y1247" s="4" t="str">
        <f t="shared" si="2"/>
        <v/>
      </c>
      <c r="Z1247" s="4" t="str">
        <f>IFERROR(__xludf.DUMMYFUNCTION("IFERROR(
  FILTER('CBK Students'!O:O, TRIM('CBK Students'!B:B) = TRIM(A1247)),
  """"
)"),"#REF!")</f>
        <v>#REF!</v>
      </c>
      <c r="AA1247" s="4" t="str">
        <f>IFERROR(__xludf.DUMMYFUNCTION("IFERROR(
  FILTER('CBK Students'!P:P, TRIM('CBK Students'!B:B) = TRIM(A1247)),
  """"
)"),"#REF!")</f>
        <v>#REF!</v>
      </c>
      <c r="AB1247" s="4" t="str">
        <f>IFERROR(__xludf.DUMMYFUNCTION("IFERROR(
  FILTER('CBK Students'!Q:Q, TRIM('CBK Students'!B:B) = TRIM(A1247)),
  """"
)"),"#REF!")</f>
        <v>#REF!</v>
      </c>
    </row>
    <row r="1248" ht="18.75" customHeight="1">
      <c r="T1248" s="240" t="str">
        <f>IFERROR(__xludf.DUMMYFUNCTION("IFERROR(
  FILTER('CBK Students'!F:F, TRIM('CBK Students'!B:B) = TRIM(A1248)),
  """"
)"),"#REF!")</f>
        <v>#REF!</v>
      </c>
      <c r="U1248" s="240" t="str">
        <f>IFERROR(__xludf.DUMMYFUNCTION("IFERROR(
  FILTER('CBK Students'!H:H, TRIM('CBK Students'!B:B) = TRIM(A1248)),
  """"
)"),"#REF!")</f>
        <v>#REF!</v>
      </c>
      <c r="V1248" s="240" t="str">
        <f>IFERROR(__xludf.DUMMYFUNCTION("IFERROR(
  FILTER('CBK Students'!M:M, TRIM('CBK Students'!B:B) = TRIM(A1248)),
  """"
)"),"#REF!")</f>
        <v>#REF!</v>
      </c>
      <c r="W1248" s="240" t="str">
        <f t="shared" si="1"/>
        <v/>
      </c>
      <c r="X1248" s="240" t="str">
        <f>IFERROR(__xludf.DUMMYFUNCTION("IFERROR(
  FILTER('CBK Students'!R:R, TRIM('CBK Students'!B:B) = TRIM(A1248)),
  """"
)"),"#REF!")</f>
        <v>#REF!</v>
      </c>
      <c r="Y1248" s="4" t="str">
        <f t="shared" si="2"/>
        <v/>
      </c>
      <c r="Z1248" s="4" t="str">
        <f>IFERROR(__xludf.DUMMYFUNCTION("IFERROR(
  FILTER('CBK Students'!O:O, TRIM('CBK Students'!B:B) = TRIM(A1248)),
  """"
)"),"#REF!")</f>
        <v>#REF!</v>
      </c>
      <c r="AA1248" s="4" t="str">
        <f>IFERROR(__xludf.DUMMYFUNCTION("IFERROR(
  FILTER('CBK Students'!P:P, TRIM('CBK Students'!B:B) = TRIM(A1248)),
  """"
)"),"#REF!")</f>
        <v>#REF!</v>
      </c>
      <c r="AB1248" s="4" t="str">
        <f>IFERROR(__xludf.DUMMYFUNCTION("IFERROR(
  FILTER('CBK Students'!Q:Q, TRIM('CBK Students'!B:B) = TRIM(A1248)),
  """"
)"),"#REF!")</f>
        <v>#REF!</v>
      </c>
    </row>
    <row r="1249" ht="18.75" customHeight="1">
      <c r="T1249" s="240" t="str">
        <f>IFERROR(__xludf.DUMMYFUNCTION("IFERROR(
  FILTER('CBK Students'!F:F, TRIM('CBK Students'!B:B) = TRIM(A1249)),
  """"
)"),"#REF!")</f>
        <v>#REF!</v>
      </c>
      <c r="U1249" s="240" t="str">
        <f>IFERROR(__xludf.DUMMYFUNCTION("IFERROR(
  FILTER('CBK Students'!H:H, TRIM('CBK Students'!B:B) = TRIM(A1249)),
  """"
)"),"#REF!")</f>
        <v>#REF!</v>
      </c>
      <c r="V1249" s="240" t="str">
        <f>IFERROR(__xludf.DUMMYFUNCTION("IFERROR(
  FILTER('CBK Students'!M:M, TRIM('CBK Students'!B:B) = TRIM(A1249)),
  """"
)"),"#REF!")</f>
        <v>#REF!</v>
      </c>
      <c r="W1249" s="240" t="str">
        <f t="shared" si="1"/>
        <v/>
      </c>
      <c r="X1249" s="240" t="str">
        <f>IFERROR(__xludf.DUMMYFUNCTION("IFERROR(
  FILTER('CBK Students'!R:R, TRIM('CBK Students'!B:B) = TRIM(A1249)),
  """"
)"),"#REF!")</f>
        <v>#REF!</v>
      </c>
      <c r="Y1249" s="4" t="str">
        <f t="shared" si="2"/>
        <v/>
      </c>
      <c r="Z1249" s="4" t="str">
        <f>IFERROR(__xludf.DUMMYFUNCTION("IFERROR(
  FILTER('CBK Students'!O:O, TRIM('CBK Students'!B:B) = TRIM(A1249)),
  """"
)"),"#REF!")</f>
        <v>#REF!</v>
      </c>
      <c r="AA1249" s="4" t="str">
        <f>IFERROR(__xludf.DUMMYFUNCTION("IFERROR(
  FILTER('CBK Students'!P:P, TRIM('CBK Students'!B:B) = TRIM(A1249)),
  """"
)"),"#REF!")</f>
        <v>#REF!</v>
      </c>
      <c r="AB1249" s="4" t="str">
        <f>IFERROR(__xludf.DUMMYFUNCTION("IFERROR(
  FILTER('CBK Students'!Q:Q, TRIM('CBK Students'!B:B) = TRIM(A1249)),
  """"
)"),"#REF!")</f>
        <v>#REF!</v>
      </c>
    </row>
    <row r="1250" ht="18.75" customHeight="1">
      <c r="T1250" s="240" t="str">
        <f>IFERROR(__xludf.DUMMYFUNCTION("IFERROR(
  FILTER('CBK Students'!F:F, TRIM('CBK Students'!B:B) = TRIM(A1250)),
  """"
)"),"#REF!")</f>
        <v>#REF!</v>
      </c>
      <c r="U1250" s="240" t="str">
        <f>IFERROR(__xludf.DUMMYFUNCTION("IFERROR(
  FILTER('CBK Students'!H:H, TRIM('CBK Students'!B:B) = TRIM(A1250)),
  """"
)"),"#REF!")</f>
        <v>#REF!</v>
      </c>
      <c r="V1250" s="240" t="str">
        <f>IFERROR(__xludf.DUMMYFUNCTION("IFERROR(
  FILTER('CBK Students'!M:M, TRIM('CBK Students'!B:B) = TRIM(A1250)),
  """"
)"),"#REF!")</f>
        <v>#REF!</v>
      </c>
      <c r="W1250" s="240" t="str">
        <f t="shared" si="1"/>
        <v/>
      </c>
      <c r="X1250" s="240" t="str">
        <f>IFERROR(__xludf.DUMMYFUNCTION("IFERROR(
  FILTER('CBK Students'!R:R, TRIM('CBK Students'!B:B) = TRIM(A1250)),
  """"
)"),"#REF!")</f>
        <v>#REF!</v>
      </c>
      <c r="Y1250" s="4" t="str">
        <f t="shared" si="2"/>
        <v/>
      </c>
      <c r="Z1250" s="4" t="str">
        <f>IFERROR(__xludf.DUMMYFUNCTION("IFERROR(
  FILTER('CBK Students'!O:O, TRIM('CBK Students'!B:B) = TRIM(A1250)),
  """"
)"),"#REF!")</f>
        <v>#REF!</v>
      </c>
      <c r="AA1250" s="4" t="str">
        <f>IFERROR(__xludf.DUMMYFUNCTION("IFERROR(
  FILTER('CBK Students'!P:P, TRIM('CBK Students'!B:B) = TRIM(A1250)),
  """"
)"),"#REF!")</f>
        <v>#REF!</v>
      </c>
      <c r="AB1250" s="4" t="str">
        <f>IFERROR(__xludf.DUMMYFUNCTION("IFERROR(
  FILTER('CBK Students'!Q:Q, TRIM('CBK Students'!B:B) = TRIM(A1250)),
  """"
)"),"#REF!")</f>
        <v>#REF!</v>
      </c>
    </row>
    <row r="1251" ht="18.75" customHeight="1">
      <c r="T1251" s="240" t="str">
        <f>IFERROR(__xludf.DUMMYFUNCTION("IFERROR(
  FILTER('CBK Students'!F:F, TRIM('CBK Students'!B:B) = TRIM(A1251)),
  """"
)"),"#REF!")</f>
        <v>#REF!</v>
      </c>
      <c r="U1251" s="240" t="str">
        <f>IFERROR(__xludf.DUMMYFUNCTION("IFERROR(
  FILTER('CBK Students'!H:H, TRIM('CBK Students'!B:B) = TRIM(A1251)),
  """"
)"),"#REF!")</f>
        <v>#REF!</v>
      </c>
      <c r="V1251" s="240" t="str">
        <f>IFERROR(__xludf.DUMMYFUNCTION("IFERROR(
  FILTER('CBK Students'!M:M, TRIM('CBK Students'!B:B) = TRIM(A1251)),
  """"
)"),"#REF!")</f>
        <v>#REF!</v>
      </c>
      <c r="W1251" s="240" t="str">
        <f t="shared" si="1"/>
        <v/>
      </c>
      <c r="X1251" s="240" t="str">
        <f>IFERROR(__xludf.DUMMYFUNCTION("IFERROR(
  FILTER('CBK Students'!R:R, TRIM('CBK Students'!B:B) = TRIM(A1251)),
  """"
)"),"#REF!")</f>
        <v>#REF!</v>
      </c>
      <c r="Y1251" s="4" t="str">
        <f t="shared" si="2"/>
        <v/>
      </c>
      <c r="Z1251" s="4" t="str">
        <f>IFERROR(__xludf.DUMMYFUNCTION("IFERROR(
  FILTER('CBK Students'!O:O, TRIM('CBK Students'!B:B) = TRIM(A1251)),
  """"
)"),"#REF!")</f>
        <v>#REF!</v>
      </c>
      <c r="AA1251" s="4" t="str">
        <f>IFERROR(__xludf.DUMMYFUNCTION("IFERROR(
  FILTER('CBK Students'!P:P, TRIM('CBK Students'!B:B) = TRIM(A1251)),
  """"
)"),"#REF!")</f>
        <v>#REF!</v>
      </c>
      <c r="AB1251" s="4" t="str">
        <f>IFERROR(__xludf.DUMMYFUNCTION("IFERROR(
  FILTER('CBK Students'!Q:Q, TRIM('CBK Students'!B:B) = TRIM(A1251)),
  """"
)"),"#REF!")</f>
        <v>#REF!</v>
      </c>
    </row>
    <row r="1252" ht="18.75" customHeight="1">
      <c r="T1252" s="240" t="str">
        <f>IFERROR(__xludf.DUMMYFUNCTION("IFERROR(
  FILTER('CBK Students'!F:F, TRIM('CBK Students'!B:B) = TRIM(A1252)),
  """"
)"),"#REF!")</f>
        <v>#REF!</v>
      </c>
      <c r="U1252" s="240" t="str">
        <f>IFERROR(__xludf.DUMMYFUNCTION("IFERROR(
  FILTER('CBK Students'!H:H, TRIM('CBK Students'!B:B) = TRIM(A1252)),
  """"
)"),"#REF!")</f>
        <v>#REF!</v>
      </c>
      <c r="V1252" s="240" t="str">
        <f>IFERROR(__xludf.DUMMYFUNCTION("IFERROR(
  FILTER('CBK Students'!M:M, TRIM('CBK Students'!B:B) = TRIM(A1252)),
  """"
)"),"#REF!")</f>
        <v>#REF!</v>
      </c>
      <c r="W1252" s="240" t="str">
        <f t="shared" si="1"/>
        <v/>
      </c>
      <c r="X1252" s="240" t="str">
        <f>IFERROR(__xludf.DUMMYFUNCTION("IFERROR(
  FILTER('CBK Students'!R:R, TRIM('CBK Students'!B:B) = TRIM(A1252)),
  """"
)"),"#REF!")</f>
        <v>#REF!</v>
      </c>
      <c r="Y1252" s="4" t="str">
        <f t="shared" si="2"/>
        <v/>
      </c>
      <c r="Z1252" s="4" t="str">
        <f>IFERROR(__xludf.DUMMYFUNCTION("IFERROR(
  FILTER('CBK Students'!O:O, TRIM('CBK Students'!B:B) = TRIM(A1252)),
  """"
)"),"#REF!")</f>
        <v>#REF!</v>
      </c>
      <c r="AA1252" s="4" t="str">
        <f>IFERROR(__xludf.DUMMYFUNCTION("IFERROR(
  FILTER('CBK Students'!P:P, TRIM('CBK Students'!B:B) = TRIM(A1252)),
  """"
)"),"#REF!")</f>
        <v>#REF!</v>
      </c>
      <c r="AB1252" s="4" t="str">
        <f>IFERROR(__xludf.DUMMYFUNCTION("IFERROR(
  FILTER('CBK Students'!Q:Q, TRIM('CBK Students'!B:B) = TRIM(A1252)),
  """"
)"),"#REF!")</f>
        <v>#REF!</v>
      </c>
    </row>
    <row r="1253" ht="18.75" customHeight="1">
      <c r="T1253" s="240" t="str">
        <f>IFERROR(__xludf.DUMMYFUNCTION("IFERROR(
  FILTER('CBK Students'!F:F, TRIM('CBK Students'!B:B) = TRIM(A1253)),
  """"
)"),"#REF!")</f>
        <v>#REF!</v>
      </c>
      <c r="U1253" s="240" t="str">
        <f>IFERROR(__xludf.DUMMYFUNCTION("IFERROR(
  FILTER('CBK Students'!H:H, TRIM('CBK Students'!B:B) = TRIM(A1253)),
  """"
)"),"#REF!")</f>
        <v>#REF!</v>
      </c>
      <c r="V1253" s="240" t="str">
        <f>IFERROR(__xludf.DUMMYFUNCTION("IFERROR(
  FILTER('CBK Students'!M:M, TRIM('CBK Students'!B:B) = TRIM(A1253)),
  """"
)"),"#REF!")</f>
        <v>#REF!</v>
      </c>
      <c r="W1253" s="240" t="str">
        <f t="shared" si="1"/>
        <v/>
      </c>
      <c r="X1253" s="240" t="str">
        <f>IFERROR(__xludf.DUMMYFUNCTION("IFERROR(
  FILTER('CBK Students'!R:R, TRIM('CBK Students'!B:B) = TRIM(A1253)),
  """"
)"),"#REF!")</f>
        <v>#REF!</v>
      </c>
      <c r="Y1253" s="4" t="str">
        <f t="shared" si="2"/>
        <v/>
      </c>
      <c r="Z1253" s="4" t="str">
        <f>IFERROR(__xludf.DUMMYFUNCTION("IFERROR(
  FILTER('CBK Students'!O:O, TRIM('CBK Students'!B:B) = TRIM(A1253)),
  """"
)"),"#REF!")</f>
        <v>#REF!</v>
      </c>
      <c r="AA1253" s="4" t="str">
        <f>IFERROR(__xludf.DUMMYFUNCTION("IFERROR(
  FILTER('CBK Students'!P:P, TRIM('CBK Students'!B:B) = TRIM(A1253)),
  """"
)"),"#REF!")</f>
        <v>#REF!</v>
      </c>
      <c r="AB1253" s="4" t="str">
        <f>IFERROR(__xludf.DUMMYFUNCTION("IFERROR(
  FILTER('CBK Students'!Q:Q, TRIM('CBK Students'!B:B) = TRIM(A1253)),
  """"
)"),"#REF!")</f>
        <v>#REF!</v>
      </c>
    </row>
    <row r="1254" ht="18.75" customHeight="1">
      <c r="T1254" s="240" t="str">
        <f>IFERROR(__xludf.DUMMYFUNCTION("IFERROR(
  FILTER('CBK Students'!F:F, TRIM('CBK Students'!B:B) = TRIM(A1254)),
  """"
)"),"#REF!")</f>
        <v>#REF!</v>
      </c>
      <c r="U1254" s="240" t="str">
        <f>IFERROR(__xludf.DUMMYFUNCTION("IFERROR(
  FILTER('CBK Students'!H:H, TRIM('CBK Students'!B:B) = TRIM(A1254)),
  """"
)"),"#REF!")</f>
        <v>#REF!</v>
      </c>
      <c r="V1254" s="240" t="str">
        <f>IFERROR(__xludf.DUMMYFUNCTION("IFERROR(
  FILTER('CBK Students'!M:M, TRIM('CBK Students'!B:B) = TRIM(A1254)),
  """"
)"),"#REF!")</f>
        <v>#REF!</v>
      </c>
      <c r="W1254" s="240" t="str">
        <f t="shared" si="1"/>
        <v/>
      </c>
      <c r="X1254" s="240" t="str">
        <f>IFERROR(__xludf.DUMMYFUNCTION("IFERROR(
  FILTER('CBK Students'!R:R, TRIM('CBK Students'!B:B) = TRIM(A1254)),
  """"
)"),"#REF!")</f>
        <v>#REF!</v>
      </c>
      <c r="Y1254" s="4" t="str">
        <f t="shared" si="2"/>
        <v/>
      </c>
      <c r="Z1254" s="4" t="str">
        <f>IFERROR(__xludf.DUMMYFUNCTION("IFERROR(
  FILTER('CBK Students'!O:O, TRIM('CBK Students'!B:B) = TRIM(A1254)),
  """"
)"),"#REF!")</f>
        <v>#REF!</v>
      </c>
      <c r="AA1254" s="4" t="str">
        <f>IFERROR(__xludf.DUMMYFUNCTION("IFERROR(
  FILTER('CBK Students'!P:P, TRIM('CBK Students'!B:B) = TRIM(A1254)),
  """"
)"),"#REF!")</f>
        <v>#REF!</v>
      </c>
      <c r="AB1254" s="4" t="str">
        <f>IFERROR(__xludf.DUMMYFUNCTION("IFERROR(
  FILTER('CBK Students'!Q:Q, TRIM('CBK Students'!B:B) = TRIM(A1254)),
  """"
)"),"#REF!")</f>
        <v>#REF!</v>
      </c>
    </row>
    <row r="1255" ht="18.75" customHeight="1">
      <c r="T1255" s="240" t="str">
        <f>IFERROR(__xludf.DUMMYFUNCTION("IFERROR(
  FILTER('CBK Students'!F:F, TRIM('CBK Students'!B:B) = TRIM(A1255)),
  """"
)"),"#REF!")</f>
        <v>#REF!</v>
      </c>
      <c r="U1255" s="240" t="str">
        <f>IFERROR(__xludf.DUMMYFUNCTION("IFERROR(
  FILTER('CBK Students'!H:H, TRIM('CBK Students'!B:B) = TRIM(A1255)),
  """"
)"),"#REF!")</f>
        <v>#REF!</v>
      </c>
      <c r="V1255" s="240" t="str">
        <f>IFERROR(__xludf.DUMMYFUNCTION("IFERROR(
  FILTER('CBK Students'!M:M, TRIM('CBK Students'!B:B) = TRIM(A1255)),
  """"
)"),"#REF!")</f>
        <v>#REF!</v>
      </c>
      <c r="W1255" s="240" t="str">
        <f t="shared" si="1"/>
        <v/>
      </c>
      <c r="X1255" s="240" t="str">
        <f>IFERROR(__xludf.DUMMYFUNCTION("IFERROR(
  FILTER('CBK Students'!R:R, TRIM('CBK Students'!B:B) = TRIM(A1255)),
  """"
)"),"#REF!")</f>
        <v>#REF!</v>
      </c>
      <c r="Y1255" s="4" t="str">
        <f t="shared" si="2"/>
        <v/>
      </c>
      <c r="Z1255" s="4" t="str">
        <f>IFERROR(__xludf.DUMMYFUNCTION("IFERROR(
  FILTER('CBK Students'!O:O, TRIM('CBK Students'!B:B) = TRIM(A1255)),
  """"
)"),"#REF!")</f>
        <v>#REF!</v>
      </c>
      <c r="AA1255" s="4" t="str">
        <f>IFERROR(__xludf.DUMMYFUNCTION("IFERROR(
  FILTER('CBK Students'!P:P, TRIM('CBK Students'!B:B) = TRIM(A1255)),
  """"
)"),"#REF!")</f>
        <v>#REF!</v>
      </c>
      <c r="AB1255" s="4" t="str">
        <f>IFERROR(__xludf.DUMMYFUNCTION("IFERROR(
  FILTER('CBK Students'!Q:Q, TRIM('CBK Students'!B:B) = TRIM(A1255)),
  """"
)"),"#REF!")</f>
        <v>#REF!</v>
      </c>
    </row>
    <row r="1256" ht="18.75" customHeight="1">
      <c r="T1256" s="240" t="str">
        <f>IFERROR(__xludf.DUMMYFUNCTION("IFERROR(
  FILTER('CBK Students'!F:F, TRIM('CBK Students'!B:B) = TRIM(A1256)),
  """"
)"),"#REF!")</f>
        <v>#REF!</v>
      </c>
      <c r="U1256" s="240" t="str">
        <f>IFERROR(__xludf.DUMMYFUNCTION("IFERROR(
  FILTER('CBK Students'!H:H, TRIM('CBK Students'!B:B) = TRIM(A1256)),
  """"
)"),"#REF!")</f>
        <v>#REF!</v>
      </c>
      <c r="V1256" s="240" t="str">
        <f>IFERROR(__xludf.DUMMYFUNCTION("IFERROR(
  FILTER('CBK Students'!M:M, TRIM('CBK Students'!B:B) = TRIM(A1256)),
  """"
)"),"#REF!")</f>
        <v>#REF!</v>
      </c>
      <c r="W1256" s="240" t="str">
        <f t="shared" si="1"/>
        <v/>
      </c>
      <c r="X1256" s="240" t="str">
        <f>IFERROR(__xludf.DUMMYFUNCTION("IFERROR(
  FILTER('CBK Students'!R:R, TRIM('CBK Students'!B:B) = TRIM(A1256)),
  """"
)"),"#REF!")</f>
        <v>#REF!</v>
      </c>
      <c r="Y1256" s="4" t="str">
        <f t="shared" si="2"/>
        <v/>
      </c>
      <c r="Z1256" s="4" t="str">
        <f>IFERROR(__xludf.DUMMYFUNCTION("IFERROR(
  FILTER('CBK Students'!O:O, TRIM('CBK Students'!B:B) = TRIM(A1256)),
  """"
)"),"#REF!")</f>
        <v>#REF!</v>
      </c>
      <c r="AA1256" s="4" t="str">
        <f>IFERROR(__xludf.DUMMYFUNCTION("IFERROR(
  FILTER('CBK Students'!P:P, TRIM('CBK Students'!B:B) = TRIM(A1256)),
  """"
)"),"#REF!")</f>
        <v>#REF!</v>
      </c>
      <c r="AB1256" s="4" t="str">
        <f>IFERROR(__xludf.DUMMYFUNCTION("IFERROR(
  FILTER('CBK Students'!Q:Q, TRIM('CBK Students'!B:B) = TRIM(A1256)),
  """"
)"),"#REF!")</f>
        <v>#REF!</v>
      </c>
    </row>
    <row r="1257" ht="18.75" customHeight="1">
      <c r="T1257" s="240" t="str">
        <f>IFERROR(__xludf.DUMMYFUNCTION("IFERROR(
  FILTER('CBK Students'!F:F, TRIM('CBK Students'!B:B) = TRIM(A1257)),
  """"
)"),"#REF!")</f>
        <v>#REF!</v>
      </c>
      <c r="U1257" s="240" t="str">
        <f>IFERROR(__xludf.DUMMYFUNCTION("IFERROR(
  FILTER('CBK Students'!H:H, TRIM('CBK Students'!B:B) = TRIM(A1257)),
  """"
)"),"#REF!")</f>
        <v>#REF!</v>
      </c>
      <c r="V1257" s="240" t="str">
        <f>IFERROR(__xludf.DUMMYFUNCTION("IFERROR(
  FILTER('CBK Students'!M:M, TRIM('CBK Students'!B:B) = TRIM(A1257)),
  """"
)"),"#REF!")</f>
        <v>#REF!</v>
      </c>
      <c r="W1257" s="240" t="str">
        <f t="shared" si="1"/>
        <v/>
      </c>
      <c r="X1257" s="240" t="str">
        <f>IFERROR(__xludf.DUMMYFUNCTION("IFERROR(
  FILTER('CBK Students'!R:R, TRIM('CBK Students'!B:B) = TRIM(A1257)),
  """"
)"),"#REF!")</f>
        <v>#REF!</v>
      </c>
      <c r="Y1257" s="4" t="str">
        <f t="shared" si="2"/>
        <v/>
      </c>
      <c r="Z1257" s="4" t="str">
        <f>IFERROR(__xludf.DUMMYFUNCTION("IFERROR(
  FILTER('CBK Students'!O:O, TRIM('CBK Students'!B:B) = TRIM(A1257)),
  """"
)"),"#REF!")</f>
        <v>#REF!</v>
      </c>
      <c r="AA1257" s="4" t="str">
        <f>IFERROR(__xludf.DUMMYFUNCTION("IFERROR(
  FILTER('CBK Students'!P:P, TRIM('CBK Students'!B:B) = TRIM(A1257)),
  """"
)"),"#REF!")</f>
        <v>#REF!</v>
      </c>
      <c r="AB1257" s="4" t="str">
        <f>IFERROR(__xludf.DUMMYFUNCTION("IFERROR(
  FILTER('CBK Students'!Q:Q, TRIM('CBK Students'!B:B) = TRIM(A1257)),
  """"
)"),"#REF!")</f>
        <v>#REF!</v>
      </c>
    </row>
    <row r="1258" ht="18.75" customHeight="1">
      <c r="T1258" s="240" t="str">
        <f>IFERROR(__xludf.DUMMYFUNCTION("IFERROR(
  FILTER('CBK Students'!F:F, TRIM('CBK Students'!B:B) = TRIM(A1258)),
  """"
)"),"#REF!")</f>
        <v>#REF!</v>
      </c>
      <c r="U1258" s="240" t="str">
        <f>IFERROR(__xludf.DUMMYFUNCTION("IFERROR(
  FILTER('CBK Students'!H:H, TRIM('CBK Students'!B:B) = TRIM(A1258)),
  """"
)"),"#REF!")</f>
        <v>#REF!</v>
      </c>
      <c r="V1258" s="240" t="str">
        <f>IFERROR(__xludf.DUMMYFUNCTION("IFERROR(
  FILTER('CBK Students'!M:M, TRIM('CBK Students'!B:B) = TRIM(A1258)),
  """"
)"),"#REF!")</f>
        <v>#REF!</v>
      </c>
      <c r="W1258" s="240" t="str">
        <f t="shared" si="1"/>
        <v/>
      </c>
      <c r="X1258" s="240" t="str">
        <f>IFERROR(__xludf.DUMMYFUNCTION("IFERROR(
  FILTER('CBK Students'!R:R, TRIM('CBK Students'!B:B) = TRIM(A1258)),
  """"
)"),"#REF!")</f>
        <v>#REF!</v>
      </c>
      <c r="Y1258" s="4" t="str">
        <f t="shared" si="2"/>
        <v/>
      </c>
      <c r="Z1258" s="4" t="str">
        <f>IFERROR(__xludf.DUMMYFUNCTION("IFERROR(
  FILTER('CBK Students'!O:O, TRIM('CBK Students'!B:B) = TRIM(A1258)),
  """"
)"),"#REF!")</f>
        <v>#REF!</v>
      </c>
      <c r="AA1258" s="4" t="str">
        <f>IFERROR(__xludf.DUMMYFUNCTION("IFERROR(
  FILTER('CBK Students'!P:P, TRIM('CBK Students'!B:B) = TRIM(A1258)),
  """"
)"),"#REF!")</f>
        <v>#REF!</v>
      </c>
      <c r="AB1258" s="4" t="str">
        <f>IFERROR(__xludf.DUMMYFUNCTION("IFERROR(
  FILTER('CBK Students'!Q:Q, TRIM('CBK Students'!B:B) = TRIM(A1258)),
  """"
)"),"#REF!")</f>
        <v>#REF!</v>
      </c>
    </row>
    <row r="1259" ht="18.75" customHeight="1">
      <c r="T1259" s="240" t="str">
        <f>IFERROR(__xludf.DUMMYFUNCTION("IFERROR(
  FILTER('CBK Students'!F:F, TRIM('CBK Students'!B:B) = TRIM(A1259)),
  """"
)"),"#REF!")</f>
        <v>#REF!</v>
      </c>
      <c r="U1259" s="240" t="str">
        <f>IFERROR(__xludf.DUMMYFUNCTION("IFERROR(
  FILTER('CBK Students'!H:H, TRIM('CBK Students'!B:B) = TRIM(A1259)),
  """"
)"),"#REF!")</f>
        <v>#REF!</v>
      </c>
      <c r="V1259" s="240" t="str">
        <f>IFERROR(__xludf.DUMMYFUNCTION("IFERROR(
  FILTER('CBK Students'!M:M, TRIM('CBK Students'!B:B) = TRIM(A1259)),
  """"
)"),"#REF!")</f>
        <v>#REF!</v>
      </c>
      <c r="W1259" s="240" t="str">
        <f t="shared" si="1"/>
        <v/>
      </c>
      <c r="X1259" s="240" t="str">
        <f>IFERROR(__xludf.DUMMYFUNCTION("IFERROR(
  FILTER('CBK Students'!R:R, TRIM('CBK Students'!B:B) = TRIM(A1259)),
  """"
)"),"#REF!")</f>
        <v>#REF!</v>
      </c>
      <c r="Y1259" s="4" t="str">
        <f t="shared" si="2"/>
        <v/>
      </c>
      <c r="Z1259" s="4" t="str">
        <f>IFERROR(__xludf.DUMMYFUNCTION("IFERROR(
  FILTER('CBK Students'!O:O, TRIM('CBK Students'!B:B) = TRIM(A1259)),
  """"
)"),"#REF!")</f>
        <v>#REF!</v>
      </c>
      <c r="AA1259" s="4" t="str">
        <f>IFERROR(__xludf.DUMMYFUNCTION("IFERROR(
  FILTER('CBK Students'!P:P, TRIM('CBK Students'!B:B) = TRIM(A1259)),
  """"
)"),"#REF!")</f>
        <v>#REF!</v>
      </c>
      <c r="AB1259" s="4" t="str">
        <f>IFERROR(__xludf.DUMMYFUNCTION("IFERROR(
  FILTER('CBK Students'!Q:Q, TRIM('CBK Students'!B:B) = TRIM(A1259)),
  """"
)"),"#REF!")</f>
        <v>#REF!</v>
      </c>
    </row>
    <row r="1260" ht="18.75" customHeight="1">
      <c r="T1260" s="240" t="str">
        <f>IFERROR(__xludf.DUMMYFUNCTION("IFERROR(
  FILTER('CBK Students'!F:F, TRIM('CBK Students'!B:B) = TRIM(A1260)),
  """"
)"),"#REF!")</f>
        <v>#REF!</v>
      </c>
      <c r="U1260" s="240" t="str">
        <f>IFERROR(__xludf.DUMMYFUNCTION("IFERROR(
  FILTER('CBK Students'!H:H, TRIM('CBK Students'!B:B) = TRIM(A1260)),
  """"
)"),"#REF!")</f>
        <v>#REF!</v>
      </c>
      <c r="V1260" s="240" t="str">
        <f>IFERROR(__xludf.DUMMYFUNCTION("IFERROR(
  FILTER('CBK Students'!M:M, TRIM('CBK Students'!B:B) = TRIM(A1260)),
  """"
)"),"#REF!")</f>
        <v>#REF!</v>
      </c>
      <c r="W1260" s="240" t="str">
        <f t="shared" si="1"/>
        <v/>
      </c>
      <c r="X1260" s="240" t="str">
        <f>IFERROR(__xludf.DUMMYFUNCTION("IFERROR(
  FILTER('CBK Students'!R:R, TRIM('CBK Students'!B:B) = TRIM(A1260)),
  """"
)"),"#REF!")</f>
        <v>#REF!</v>
      </c>
      <c r="Y1260" s="4" t="str">
        <f t="shared" si="2"/>
        <v/>
      </c>
      <c r="Z1260" s="4" t="str">
        <f>IFERROR(__xludf.DUMMYFUNCTION("IFERROR(
  FILTER('CBK Students'!O:O, TRIM('CBK Students'!B:B) = TRIM(A1260)),
  """"
)"),"#REF!")</f>
        <v>#REF!</v>
      </c>
      <c r="AA1260" s="4" t="str">
        <f>IFERROR(__xludf.DUMMYFUNCTION("IFERROR(
  FILTER('CBK Students'!P:P, TRIM('CBK Students'!B:B) = TRIM(A1260)),
  """"
)"),"#REF!")</f>
        <v>#REF!</v>
      </c>
      <c r="AB1260" s="4" t="str">
        <f>IFERROR(__xludf.DUMMYFUNCTION("IFERROR(
  FILTER('CBK Students'!Q:Q, TRIM('CBK Students'!B:B) = TRIM(A1260)),
  """"
)"),"#REF!")</f>
        <v>#REF!</v>
      </c>
    </row>
    <row r="1261" ht="18.75" customHeight="1">
      <c r="T1261" s="240" t="str">
        <f>IFERROR(__xludf.DUMMYFUNCTION("IFERROR(
  FILTER('CBK Students'!F:F, TRIM('CBK Students'!B:B) = TRIM(A1261)),
  """"
)"),"#REF!")</f>
        <v>#REF!</v>
      </c>
      <c r="U1261" s="240" t="str">
        <f>IFERROR(__xludf.DUMMYFUNCTION("IFERROR(
  FILTER('CBK Students'!H:H, TRIM('CBK Students'!B:B) = TRIM(A1261)),
  """"
)"),"#REF!")</f>
        <v>#REF!</v>
      </c>
      <c r="V1261" s="240" t="str">
        <f>IFERROR(__xludf.DUMMYFUNCTION("IFERROR(
  FILTER('CBK Students'!M:M, TRIM('CBK Students'!B:B) = TRIM(A1261)),
  """"
)"),"#REF!")</f>
        <v>#REF!</v>
      </c>
      <c r="W1261" s="240" t="str">
        <f t="shared" si="1"/>
        <v/>
      </c>
      <c r="X1261" s="240" t="str">
        <f>IFERROR(__xludf.DUMMYFUNCTION("IFERROR(
  FILTER('CBK Students'!R:R, TRIM('CBK Students'!B:B) = TRIM(A1261)),
  """"
)"),"#REF!")</f>
        <v>#REF!</v>
      </c>
      <c r="Y1261" s="4" t="str">
        <f t="shared" si="2"/>
        <v/>
      </c>
      <c r="Z1261" s="4" t="str">
        <f>IFERROR(__xludf.DUMMYFUNCTION("IFERROR(
  FILTER('CBK Students'!O:O, TRIM('CBK Students'!B:B) = TRIM(A1261)),
  """"
)"),"#REF!")</f>
        <v>#REF!</v>
      </c>
      <c r="AA1261" s="4" t="str">
        <f>IFERROR(__xludf.DUMMYFUNCTION("IFERROR(
  FILTER('CBK Students'!P:P, TRIM('CBK Students'!B:B) = TRIM(A1261)),
  """"
)"),"#REF!")</f>
        <v>#REF!</v>
      </c>
      <c r="AB1261" s="4" t="str">
        <f>IFERROR(__xludf.DUMMYFUNCTION("IFERROR(
  FILTER('CBK Students'!Q:Q, TRIM('CBK Students'!B:B) = TRIM(A1261)),
  """"
)"),"#REF!")</f>
        <v>#REF!</v>
      </c>
    </row>
    <row r="1262" ht="18.75" customHeight="1">
      <c r="T1262" s="240" t="str">
        <f>IFERROR(__xludf.DUMMYFUNCTION("IFERROR(
  FILTER('CBK Students'!F:F, TRIM('CBK Students'!B:B) = TRIM(A1262)),
  """"
)"),"#REF!")</f>
        <v>#REF!</v>
      </c>
      <c r="U1262" s="240" t="str">
        <f>IFERROR(__xludf.DUMMYFUNCTION("IFERROR(
  FILTER('CBK Students'!H:H, TRIM('CBK Students'!B:B) = TRIM(A1262)),
  """"
)"),"#REF!")</f>
        <v>#REF!</v>
      </c>
      <c r="V1262" s="240" t="str">
        <f>IFERROR(__xludf.DUMMYFUNCTION("IFERROR(
  FILTER('CBK Students'!M:M, TRIM('CBK Students'!B:B) = TRIM(A1262)),
  """"
)"),"#REF!")</f>
        <v>#REF!</v>
      </c>
      <c r="W1262" s="240" t="str">
        <f t="shared" si="1"/>
        <v/>
      </c>
      <c r="X1262" s="240" t="str">
        <f>IFERROR(__xludf.DUMMYFUNCTION("IFERROR(
  FILTER('CBK Students'!R:R, TRIM('CBK Students'!B:B) = TRIM(A1262)),
  """"
)"),"#REF!")</f>
        <v>#REF!</v>
      </c>
      <c r="Y1262" s="4" t="str">
        <f t="shared" si="2"/>
        <v/>
      </c>
      <c r="Z1262" s="4" t="str">
        <f>IFERROR(__xludf.DUMMYFUNCTION("IFERROR(
  FILTER('CBK Students'!O:O, TRIM('CBK Students'!B:B) = TRIM(A1262)),
  """"
)"),"#REF!")</f>
        <v>#REF!</v>
      </c>
      <c r="AA1262" s="4" t="str">
        <f>IFERROR(__xludf.DUMMYFUNCTION("IFERROR(
  FILTER('CBK Students'!P:P, TRIM('CBK Students'!B:B) = TRIM(A1262)),
  """"
)"),"#REF!")</f>
        <v>#REF!</v>
      </c>
      <c r="AB1262" s="4" t="str">
        <f>IFERROR(__xludf.DUMMYFUNCTION("IFERROR(
  FILTER('CBK Students'!Q:Q, TRIM('CBK Students'!B:B) = TRIM(A1262)),
  """"
)"),"#REF!")</f>
        <v>#REF!</v>
      </c>
    </row>
    <row r="1263" ht="18.75" customHeight="1">
      <c r="T1263" s="240" t="str">
        <f>IFERROR(__xludf.DUMMYFUNCTION("IFERROR(
  FILTER('CBK Students'!F:F, TRIM('CBK Students'!B:B) = TRIM(A1263)),
  """"
)"),"#REF!")</f>
        <v>#REF!</v>
      </c>
      <c r="U1263" s="240" t="str">
        <f>IFERROR(__xludf.DUMMYFUNCTION("IFERROR(
  FILTER('CBK Students'!H:H, TRIM('CBK Students'!B:B) = TRIM(A1263)),
  """"
)"),"#REF!")</f>
        <v>#REF!</v>
      </c>
      <c r="V1263" s="240" t="str">
        <f>IFERROR(__xludf.DUMMYFUNCTION("IFERROR(
  FILTER('CBK Students'!M:M, TRIM('CBK Students'!B:B) = TRIM(A1263)),
  """"
)"),"#REF!")</f>
        <v>#REF!</v>
      </c>
      <c r="W1263" s="240" t="str">
        <f t="shared" si="1"/>
        <v/>
      </c>
      <c r="X1263" s="240" t="str">
        <f>IFERROR(__xludf.DUMMYFUNCTION("IFERROR(
  FILTER('CBK Students'!R:R, TRIM('CBK Students'!B:B) = TRIM(A1263)),
  """"
)"),"#REF!")</f>
        <v>#REF!</v>
      </c>
      <c r="Y1263" s="4" t="str">
        <f t="shared" si="2"/>
        <v/>
      </c>
      <c r="Z1263" s="4" t="str">
        <f>IFERROR(__xludf.DUMMYFUNCTION("IFERROR(
  FILTER('CBK Students'!O:O, TRIM('CBK Students'!B:B) = TRIM(A1263)),
  """"
)"),"#REF!")</f>
        <v>#REF!</v>
      </c>
      <c r="AA1263" s="4" t="str">
        <f>IFERROR(__xludf.DUMMYFUNCTION("IFERROR(
  FILTER('CBK Students'!P:P, TRIM('CBK Students'!B:B) = TRIM(A1263)),
  """"
)"),"#REF!")</f>
        <v>#REF!</v>
      </c>
      <c r="AB1263" s="4" t="str">
        <f>IFERROR(__xludf.DUMMYFUNCTION("IFERROR(
  FILTER('CBK Students'!Q:Q, TRIM('CBK Students'!B:B) = TRIM(A1263)),
  """"
)"),"#REF!")</f>
        <v>#REF!</v>
      </c>
    </row>
    <row r="1264" ht="18.75" customHeight="1">
      <c r="T1264" s="240" t="str">
        <f>IFERROR(__xludf.DUMMYFUNCTION("IFERROR(
  FILTER('CBK Students'!F:F, TRIM('CBK Students'!B:B) = TRIM(A1264)),
  """"
)"),"#REF!")</f>
        <v>#REF!</v>
      </c>
      <c r="U1264" s="240" t="str">
        <f>IFERROR(__xludf.DUMMYFUNCTION("IFERROR(
  FILTER('CBK Students'!H:H, TRIM('CBK Students'!B:B) = TRIM(A1264)),
  """"
)"),"#REF!")</f>
        <v>#REF!</v>
      </c>
      <c r="V1264" s="240" t="str">
        <f>IFERROR(__xludf.DUMMYFUNCTION("IFERROR(
  FILTER('CBK Students'!M:M, TRIM('CBK Students'!B:B) = TRIM(A1264)),
  """"
)"),"#REF!")</f>
        <v>#REF!</v>
      </c>
      <c r="W1264" s="240" t="str">
        <f t="shared" si="1"/>
        <v/>
      </c>
      <c r="X1264" s="240" t="str">
        <f>IFERROR(__xludf.DUMMYFUNCTION("IFERROR(
  FILTER('CBK Students'!R:R, TRIM('CBK Students'!B:B) = TRIM(A1264)),
  """"
)"),"#REF!")</f>
        <v>#REF!</v>
      </c>
      <c r="Y1264" s="4" t="str">
        <f t="shared" si="2"/>
        <v/>
      </c>
      <c r="Z1264" s="4" t="str">
        <f>IFERROR(__xludf.DUMMYFUNCTION("IFERROR(
  FILTER('CBK Students'!O:O, TRIM('CBK Students'!B:B) = TRIM(A1264)),
  """"
)"),"#REF!")</f>
        <v>#REF!</v>
      </c>
      <c r="AA1264" s="4" t="str">
        <f>IFERROR(__xludf.DUMMYFUNCTION("IFERROR(
  FILTER('CBK Students'!P:P, TRIM('CBK Students'!B:B) = TRIM(A1264)),
  """"
)"),"#REF!")</f>
        <v>#REF!</v>
      </c>
      <c r="AB1264" s="4" t="str">
        <f>IFERROR(__xludf.DUMMYFUNCTION("IFERROR(
  FILTER('CBK Students'!Q:Q, TRIM('CBK Students'!B:B) = TRIM(A1264)),
  """"
)"),"#REF!")</f>
        <v>#REF!</v>
      </c>
    </row>
    <row r="1265" ht="18.75" customHeight="1">
      <c r="T1265" s="240" t="str">
        <f>IFERROR(__xludf.DUMMYFUNCTION("IFERROR(
  FILTER('CBK Students'!F:F, TRIM('CBK Students'!B:B) = TRIM(A1265)),
  """"
)"),"#REF!")</f>
        <v>#REF!</v>
      </c>
      <c r="U1265" s="240" t="str">
        <f>IFERROR(__xludf.DUMMYFUNCTION("IFERROR(
  FILTER('CBK Students'!H:H, TRIM('CBK Students'!B:B) = TRIM(A1265)),
  """"
)"),"#REF!")</f>
        <v>#REF!</v>
      </c>
      <c r="V1265" s="240" t="str">
        <f>IFERROR(__xludf.DUMMYFUNCTION("IFERROR(
  FILTER('CBK Students'!M:M, TRIM('CBK Students'!B:B) = TRIM(A1265)),
  """"
)"),"#REF!")</f>
        <v>#REF!</v>
      </c>
      <c r="W1265" s="240" t="str">
        <f t="shared" si="1"/>
        <v/>
      </c>
      <c r="X1265" s="240" t="str">
        <f>IFERROR(__xludf.DUMMYFUNCTION("IFERROR(
  FILTER('CBK Students'!R:R, TRIM('CBK Students'!B:B) = TRIM(A1265)),
  """"
)"),"#REF!")</f>
        <v>#REF!</v>
      </c>
      <c r="Y1265" s="4" t="str">
        <f t="shared" si="2"/>
        <v/>
      </c>
      <c r="Z1265" s="4" t="str">
        <f>IFERROR(__xludf.DUMMYFUNCTION("IFERROR(
  FILTER('CBK Students'!O:O, TRIM('CBK Students'!B:B) = TRIM(A1265)),
  """"
)"),"#REF!")</f>
        <v>#REF!</v>
      </c>
      <c r="AA1265" s="4" t="str">
        <f>IFERROR(__xludf.DUMMYFUNCTION("IFERROR(
  FILTER('CBK Students'!P:P, TRIM('CBK Students'!B:B) = TRIM(A1265)),
  """"
)"),"#REF!")</f>
        <v>#REF!</v>
      </c>
      <c r="AB1265" s="4" t="str">
        <f>IFERROR(__xludf.DUMMYFUNCTION("IFERROR(
  FILTER('CBK Students'!Q:Q, TRIM('CBK Students'!B:B) = TRIM(A1265)),
  """"
)"),"#REF!")</f>
        <v>#REF!</v>
      </c>
    </row>
    <row r="1266" ht="18.75" customHeight="1">
      <c r="T1266" s="240" t="str">
        <f>IFERROR(__xludf.DUMMYFUNCTION("IFERROR(
  FILTER('CBK Students'!F:F, TRIM('CBK Students'!B:B) = TRIM(A1266)),
  """"
)"),"#REF!")</f>
        <v>#REF!</v>
      </c>
      <c r="U1266" s="240" t="str">
        <f>IFERROR(__xludf.DUMMYFUNCTION("IFERROR(
  FILTER('CBK Students'!H:H, TRIM('CBK Students'!B:B) = TRIM(A1266)),
  """"
)"),"#REF!")</f>
        <v>#REF!</v>
      </c>
      <c r="V1266" s="240" t="str">
        <f>IFERROR(__xludf.DUMMYFUNCTION("IFERROR(
  FILTER('CBK Students'!M:M, TRIM('CBK Students'!B:B) = TRIM(A1266)),
  """"
)"),"#REF!")</f>
        <v>#REF!</v>
      </c>
      <c r="W1266" s="240" t="str">
        <f t="shared" si="1"/>
        <v/>
      </c>
      <c r="X1266" s="240" t="str">
        <f>IFERROR(__xludf.DUMMYFUNCTION("IFERROR(
  FILTER('CBK Students'!R:R, TRIM('CBK Students'!B:B) = TRIM(A1266)),
  """"
)"),"#REF!")</f>
        <v>#REF!</v>
      </c>
      <c r="Y1266" s="4" t="str">
        <f t="shared" si="2"/>
        <v/>
      </c>
      <c r="Z1266" s="4" t="str">
        <f>IFERROR(__xludf.DUMMYFUNCTION("IFERROR(
  FILTER('CBK Students'!O:O, TRIM('CBK Students'!B:B) = TRIM(A1266)),
  """"
)"),"#REF!")</f>
        <v>#REF!</v>
      </c>
      <c r="AA1266" s="4" t="str">
        <f>IFERROR(__xludf.DUMMYFUNCTION("IFERROR(
  FILTER('CBK Students'!P:P, TRIM('CBK Students'!B:B) = TRIM(A1266)),
  """"
)"),"#REF!")</f>
        <v>#REF!</v>
      </c>
      <c r="AB1266" s="4" t="str">
        <f>IFERROR(__xludf.DUMMYFUNCTION("IFERROR(
  FILTER('CBK Students'!Q:Q, TRIM('CBK Students'!B:B) = TRIM(A1266)),
  """"
)"),"#REF!")</f>
        <v>#REF!</v>
      </c>
    </row>
    <row r="1267" ht="18.75" customHeight="1">
      <c r="T1267" s="240" t="str">
        <f>IFERROR(__xludf.DUMMYFUNCTION("IFERROR(
  FILTER('CBK Students'!F:F, TRIM('CBK Students'!B:B) = TRIM(A1267)),
  """"
)"),"#REF!")</f>
        <v>#REF!</v>
      </c>
      <c r="U1267" s="240" t="str">
        <f>IFERROR(__xludf.DUMMYFUNCTION("IFERROR(
  FILTER('CBK Students'!H:H, TRIM('CBK Students'!B:B) = TRIM(A1267)),
  """"
)"),"#REF!")</f>
        <v>#REF!</v>
      </c>
      <c r="V1267" s="240" t="str">
        <f>IFERROR(__xludf.DUMMYFUNCTION("IFERROR(
  FILTER('CBK Students'!M:M, TRIM('CBK Students'!B:B) = TRIM(A1267)),
  """"
)"),"#REF!")</f>
        <v>#REF!</v>
      </c>
      <c r="W1267" s="240" t="str">
        <f t="shared" si="1"/>
        <v/>
      </c>
      <c r="X1267" s="240" t="str">
        <f>IFERROR(__xludf.DUMMYFUNCTION("IFERROR(
  FILTER('CBK Students'!R:R, TRIM('CBK Students'!B:B) = TRIM(A1267)),
  """"
)"),"#REF!")</f>
        <v>#REF!</v>
      </c>
      <c r="Y1267" s="4" t="str">
        <f t="shared" si="2"/>
        <v/>
      </c>
      <c r="Z1267" s="4" t="str">
        <f>IFERROR(__xludf.DUMMYFUNCTION("IFERROR(
  FILTER('CBK Students'!O:O, TRIM('CBK Students'!B:B) = TRIM(A1267)),
  """"
)"),"#REF!")</f>
        <v>#REF!</v>
      </c>
      <c r="AA1267" s="4" t="str">
        <f>IFERROR(__xludf.DUMMYFUNCTION("IFERROR(
  FILTER('CBK Students'!P:P, TRIM('CBK Students'!B:B) = TRIM(A1267)),
  """"
)"),"#REF!")</f>
        <v>#REF!</v>
      </c>
      <c r="AB1267" s="4" t="str">
        <f>IFERROR(__xludf.DUMMYFUNCTION("IFERROR(
  FILTER('CBK Students'!Q:Q, TRIM('CBK Students'!B:B) = TRIM(A1267)),
  """"
)"),"#REF!")</f>
        <v>#REF!</v>
      </c>
    </row>
    <row r="1268" ht="18.75" customHeight="1">
      <c r="T1268" s="240" t="str">
        <f>IFERROR(__xludf.DUMMYFUNCTION("IFERROR(
  FILTER('CBK Students'!F:F, TRIM('CBK Students'!B:B) = TRIM(A1268)),
  """"
)"),"#REF!")</f>
        <v>#REF!</v>
      </c>
      <c r="U1268" s="240" t="str">
        <f>IFERROR(__xludf.DUMMYFUNCTION("IFERROR(
  FILTER('CBK Students'!H:H, TRIM('CBK Students'!B:B) = TRIM(A1268)),
  """"
)"),"#REF!")</f>
        <v>#REF!</v>
      </c>
      <c r="V1268" s="240" t="str">
        <f>IFERROR(__xludf.DUMMYFUNCTION("IFERROR(
  FILTER('CBK Students'!M:M, TRIM('CBK Students'!B:B) = TRIM(A1268)),
  """"
)"),"#REF!")</f>
        <v>#REF!</v>
      </c>
      <c r="W1268" s="240" t="str">
        <f t="shared" si="1"/>
        <v/>
      </c>
      <c r="X1268" s="240" t="str">
        <f>IFERROR(__xludf.DUMMYFUNCTION("IFERROR(
  FILTER('CBK Students'!R:R, TRIM('CBK Students'!B:B) = TRIM(A1268)),
  """"
)"),"#REF!")</f>
        <v>#REF!</v>
      </c>
      <c r="Y1268" s="4" t="str">
        <f t="shared" si="2"/>
        <v/>
      </c>
      <c r="Z1268" s="4" t="str">
        <f>IFERROR(__xludf.DUMMYFUNCTION("IFERROR(
  FILTER('CBK Students'!O:O, TRIM('CBK Students'!B:B) = TRIM(A1268)),
  """"
)"),"#REF!")</f>
        <v>#REF!</v>
      </c>
      <c r="AA1268" s="4" t="str">
        <f>IFERROR(__xludf.DUMMYFUNCTION("IFERROR(
  FILTER('CBK Students'!P:P, TRIM('CBK Students'!B:B) = TRIM(A1268)),
  """"
)"),"#REF!")</f>
        <v>#REF!</v>
      </c>
      <c r="AB1268" s="4" t="str">
        <f>IFERROR(__xludf.DUMMYFUNCTION("IFERROR(
  FILTER('CBK Students'!Q:Q, TRIM('CBK Students'!B:B) = TRIM(A1268)),
  """"
)"),"#REF!")</f>
        <v>#REF!</v>
      </c>
    </row>
    <row r="1269" ht="18.75" customHeight="1">
      <c r="T1269" s="240" t="str">
        <f>IFERROR(__xludf.DUMMYFUNCTION("IFERROR(
  FILTER('CBK Students'!F:F, TRIM('CBK Students'!B:B) = TRIM(A1269)),
  """"
)"),"#REF!")</f>
        <v>#REF!</v>
      </c>
      <c r="U1269" s="240" t="str">
        <f>IFERROR(__xludf.DUMMYFUNCTION("IFERROR(
  FILTER('CBK Students'!H:H, TRIM('CBK Students'!B:B) = TRIM(A1269)),
  """"
)"),"#REF!")</f>
        <v>#REF!</v>
      </c>
      <c r="V1269" s="240" t="str">
        <f>IFERROR(__xludf.DUMMYFUNCTION("IFERROR(
  FILTER('CBK Students'!M:M, TRIM('CBK Students'!B:B) = TRIM(A1269)),
  """"
)"),"#REF!")</f>
        <v>#REF!</v>
      </c>
      <c r="W1269" s="240" t="str">
        <f t="shared" si="1"/>
        <v/>
      </c>
      <c r="X1269" s="240" t="str">
        <f>IFERROR(__xludf.DUMMYFUNCTION("IFERROR(
  FILTER('CBK Students'!R:R, TRIM('CBK Students'!B:B) = TRIM(A1269)),
  """"
)"),"#REF!")</f>
        <v>#REF!</v>
      </c>
      <c r="Y1269" s="4" t="str">
        <f t="shared" si="2"/>
        <v/>
      </c>
      <c r="Z1269" s="4" t="str">
        <f>IFERROR(__xludf.DUMMYFUNCTION("IFERROR(
  FILTER('CBK Students'!O:O, TRIM('CBK Students'!B:B) = TRIM(A1269)),
  """"
)"),"#REF!")</f>
        <v>#REF!</v>
      </c>
      <c r="AA1269" s="4" t="str">
        <f>IFERROR(__xludf.DUMMYFUNCTION("IFERROR(
  FILTER('CBK Students'!P:P, TRIM('CBK Students'!B:B) = TRIM(A1269)),
  """"
)"),"#REF!")</f>
        <v>#REF!</v>
      </c>
      <c r="AB1269" s="4" t="str">
        <f>IFERROR(__xludf.DUMMYFUNCTION("IFERROR(
  FILTER('CBK Students'!Q:Q, TRIM('CBK Students'!B:B) = TRIM(A1269)),
  """"
)"),"#REF!")</f>
        <v>#REF!</v>
      </c>
    </row>
    <row r="1270" ht="18.75" customHeight="1">
      <c r="T1270" s="240" t="str">
        <f>IFERROR(__xludf.DUMMYFUNCTION("IFERROR(
  FILTER('CBK Students'!F:F, TRIM('CBK Students'!B:B) = TRIM(A1270)),
  """"
)"),"#REF!")</f>
        <v>#REF!</v>
      </c>
      <c r="U1270" s="240" t="str">
        <f>IFERROR(__xludf.DUMMYFUNCTION("IFERROR(
  FILTER('CBK Students'!H:H, TRIM('CBK Students'!B:B) = TRIM(A1270)),
  """"
)"),"#REF!")</f>
        <v>#REF!</v>
      </c>
      <c r="V1270" s="240" t="str">
        <f>IFERROR(__xludf.DUMMYFUNCTION("IFERROR(
  FILTER('CBK Students'!M:M, TRIM('CBK Students'!B:B) = TRIM(A1270)),
  """"
)"),"#REF!")</f>
        <v>#REF!</v>
      </c>
      <c r="W1270" s="240" t="str">
        <f t="shared" si="1"/>
        <v/>
      </c>
      <c r="X1270" s="240" t="str">
        <f>IFERROR(__xludf.DUMMYFUNCTION("IFERROR(
  FILTER('CBK Students'!R:R, TRIM('CBK Students'!B:B) = TRIM(A1270)),
  """"
)"),"#REF!")</f>
        <v>#REF!</v>
      </c>
      <c r="Y1270" s="4" t="str">
        <f t="shared" si="2"/>
        <v/>
      </c>
      <c r="Z1270" s="4" t="str">
        <f>IFERROR(__xludf.DUMMYFUNCTION("IFERROR(
  FILTER('CBK Students'!O:O, TRIM('CBK Students'!B:B) = TRIM(A1270)),
  """"
)"),"#REF!")</f>
        <v>#REF!</v>
      </c>
      <c r="AA1270" s="4" t="str">
        <f>IFERROR(__xludf.DUMMYFUNCTION("IFERROR(
  FILTER('CBK Students'!P:P, TRIM('CBK Students'!B:B) = TRIM(A1270)),
  """"
)"),"#REF!")</f>
        <v>#REF!</v>
      </c>
      <c r="AB1270" s="4" t="str">
        <f>IFERROR(__xludf.DUMMYFUNCTION("IFERROR(
  FILTER('CBK Students'!Q:Q, TRIM('CBK Students'!B:B) = TRIM(A1270)),
  """"
)"),"#REF!")</f>
        <v>#REF!</v>
      </c>
    </row>
    <row r="1271" ht="18.75" customHeight="1">
      <c r="T1271" s="240" t="str">
        <f>IFERROR(__xludf.DUMMYFUNCTION("IFERROR(
  FILTER('CBK Students'!F:F, TRIM('CBK Students'!B:B) = TRIM(A1271)),
  """"
)"),"#REF!")</f>
        <v>#REF!</v>
      </c>
      <c r="U1271" s="240" t="str">
        <f>IFERROR(__xludf.DUMMYFUNCTION("IFERROR(
  FILTER('CBK Students'!H:H, TRIM('CBK Students'!B:B) = TRIM(A1271)),
  """"
)"),"#REF!")</f>
        <v>#REF!</v>
      </c>
      <c r="V1271" s="240" t="str">
        <f>IFERROR(__xludf.DUMMYFUNCTION("IFERROR(
  FILTER('CBK Students'!M:M, TRIM('CBK Students'!B:B) = TRIM(A1271)),
  """"
)"),"#REF!")</f>
        <v>#REF!</v>
      </c>
      <c r="W1271" s="240" t="str">
        <f t="shared" si="1"/>
        <v/>
      </c>
      <c r="X1271" s="240" t="str">
        <f>IFERROR(__xludf.DUMMYFUNCTION("IFERROR(
  FILTER('CBK Students'!R:R, TRIM('CBK Students'!B:B) = TRIM(A1271)),
  """"
)"),"#REF!")</f>
        <v>#REF!</v>
      </c>
      <c r="Y1271" s="4" t="str">
        <f t="shared" si="2"/>
        <v/>
      </c>
      <c r="Z1271" s="4" t="str">
        <f>IFERROR(__xludf.DUMMYFUNCTION("IFERROR(
  FILTER('CBK Students'!O:O, TRIM('CBK Students'!B:B) = TRIM(A1271)),
  """"
)"),"#REF!")</f>
        <v>#REF!</v>
      </c>
      <c r="AA1271" s="4" t="str">
        <f>IFERROR(__xludf.DUMMYFUNCTION("IFERROR(
  FILTER('CBK Students'!P:P, TRIM('CBK Students'!B:B) = TRIM(A1271)),
  """"
)"),"#REF!")</f>
        <v>#REF!</v>
      </c>
      <c r="AB1271" s="4" t="str">
        <f>IFERROR(__xludf.DUMMYFUNCTION("IFERROR(
  FILTER('CBK Students'!Q:Q, TRIM('CBK Students'!B:B) = TRIM(A1271)),
  """"
)"),"#REF!")</f>
        <v>#REF!</v>
      </c>
    </row>
    <row r="1272" ht="18.75" customHeight="1">
      <c r="T1272" s="240" t="str">
        <f>IFERROR(__xludf.DUMMYFUNCTION("IFERROR(
  FILTER('CBK Students'!F:F, TRIM('CBK Students'!B:B) = TRIM(A1272)),
  """"
)"),"#REF!")</f>
        <v>#REF!</v>
      </c>
      <c r="U1272" s="240" t="str">
        <f>IFERROR(__xludf.DUMMYFUNCTION("IFERROR(
  FILTER('CBK Students'!H:H, TRIM('CBK Students'!B:B) = TRIM(A1272)),
  """"
)"),"#REF!")</f>
        <v>#REF!</v>
      </c>
      <c r="V1272" s="240" t="str">
        <f>IFERROR(__xludf.DUMMYFUNCTION("IFERROR(
  FILTER('CBK Students'!M:M, TRIM('CBK Students'!B:B) = TRIM(A1272)),
  """"
)"),"#REF!")</f>
        <v>#REF!</v>
      </c>
      <c r="W1272" s="240" t="str">
        <f t="shared" si="1"/>
        <v/>
      </c>
      <c r="X1272" s="240" t="str">
        <f>IFERROR(__xludf.DUMMYFUNCTION("IFERROR(
  FILTER('CBK Students'!R:R, TRIM('CBK Students'!B:B) = TRIM(A1272)),
  """"
)"),"#REF!")</f>
        <v>#REF!</v>
      </c>
      <c r="Y1272" s="4" t="str">
        <f t="shared" si="2"/>
        <v/>
      </c>
      <c r="Z1272" s="4" t="str">
        <f>IFERROR(__xludf.DUMMYFUNCTION("IFERROR(
  FILTER('CBK Students'!O:O, TRIM('CBK Students'!B:B) = TRIM(A1272)),
  """"
)"),"#REF!")</f>
        <v>#REF!</v>
      </c>
      <c r="AA1272" s="4" t="str">
        <f>IFERROR(__xludf.DUMMYFUNCTION("IFERROR(
  FILTER('CBK Students'!P:P, TRIM('CBK Students'!B:B) = TRIM(A1272)),
  """"
)"),"#REF!")</f>
        <v>#REF!</v>
      </c>
      <c r="AB1272" s="4" t="str">
        <f>IFERROR(__xludf.DUMMYFUNCTION("IFERROR(
  FILTER('CBK Students'!Q:Q, TRIM('CBK Students'!B:B) = TRIM(A1272)),
  """"
)"),"#REF!")</f>
        <v>#REF!</v>
      </c>
    </row>
    <row r="1273" ht="18.75" customHeight="1">
      <c r="T1273" s="240" t="str">
        <f>IFERROR(__xludf.DUMMYFUNCTION("IFERROR(
  FILTER('CBK Students'!F:F, TRIM('CBK Students'!B:B) = TRIM(A1273)),
  """"
)"),"#REF!")</f>
        <v>#REF!</v>
      </c>
      <c r="U1273" s="240" t="str">
        <f>IFERROR(__xludf.DUMMYFUNCTION("IFERROR(
  FILTER('CBK Students'!H:H, TRIM('CBK Students'!B:B) = TRIM(A1273)),
  """"
)"),"#REF!")</f>
        <v>#REF!</v>
      </c>
      <c r="V1273" s="240" t="str">
        <f>IFERROR(__xludf.DUMMYFUNCTION("IFERROR(
  FILTER('CBK Students'!M:M, TRIM('CBK Students'!B:B) = TRIM(A1273)),
  """"
)"),"#REF!")</f>
        <v>#REF!</v>
      </c>
      <c r="W1273" s="240" t="str">
        <f t="shared" si="1"/>
        <v/>
      </c>
      <c r="X1273" s="240" t="str">
        <f>IFERROR(__xludf.DUMMYFUNCTION("IFERROR(
  FILTER('CBK Students'!R:R, TRIM('CBK Students'!B:B) = TRIM(A1273)),
  """"
)"),"#REF!")</f>
        <v>#REF!</v>
      </c>
      <c r="Y1273" s="4" t="str">
        <f t="shared" si="2"/>
        <v/>
      </c>
      <c r="Z1273" s="4" t="str">
        <f>IFERROR(__xludf.DUMMYFUNCTION("IFERROR(
  FILTER('CBK Students'!O:O, TRIM('CBK Students'!B:B) = TRIM(A1273)),
  """"
)"),"#REF!")</f>
        <v>#REF!</v>
      </c>
      <c r="AA1273" s="4" t="str">
        <f>IFERROR(__xludf.DUMMYFUNCTION("IFERROR(
  FILTER('CBK Students'!P:P, TRIM('CBK Students'!B:B) = TRIM(A1273)),
  """"
)"),"#REF!")</f>
        <v>#REF!</v>
      </c>
      <c r="AB1273" s="4" t="str">
        <f>IFERROR(__xludf.DUMMYFUNCTION("IFERROR(
  FILTER('CBK Students'!Q:Q, TRIM('CBK Students'!B:B) = TRIM(A1273)),
  """"
)"),"#REF!")</f>
        <v>#REF!</v>
      </c>
    </row>
    <row r="1274" ht="18.75" customHeight="1">
      <c r="T1274" s="240" t="str">
        <f>IFERROR(__xludf.DUMMYFUNCTION("IFERROR(
  FILTER('CBK Students'!F:F, TRIM('CBK Students'!B:B) = TRIM(A1274)),
  """"
)"),"#REF!")</f>
        <v>#REF!</v>
      </c>
      <c r="U1274" s="240" t="str">
        <f>IFERROR(__xludf.DUMMYFUNCTION("IFERROR(
  FILTER('CBK Students'!H:H, TRIM('CBK Students'!B:B) = TRIM(A1274)),
  """"
)"),"#REF!")</f>
        <v>#REF!</v>
      </c>
      <c r="V1274" s="240" t="str">
        <f>IFERROR(__xludf.DUMMYFUNCTION("IFERROR(
  FILTER('CBK Students'!M:M, TRIM('CBK Students'!B:B) = TRIM(A1274)),
  """"
)"),"#REF!")</f>
        <v>#REF!</v>
      </c>
      <c r="W1274" s="240" t="str">
        <f t="shared" si="1"/>
        <v/>
      </c>
      <c r="X1274" s="240" t="str">
        <f>IFERROR(__xludf.DUMMYFUNCTION("IFERROR(
  FILTER('CBK Students'!R:R, TRIM('CBK Students'!B:B) = TRIM(A1274)),
  """"
)"),"#REF!")</f>
        <v>#REF!</v>
      </c>
      <c r="Y1274" s="4" t="str">
        <f t="shared" si="2"/>
        <v/>
      </c>
      <c r="Z1274" s="4" t="str">
        <f>IFERROR(__xludf.DUMMYFUNCTION("IFERROR(
  FILTER('CBK Students'!O:O, TRIM('CBK Students'!B:B) = TRIM(A1274)),
  """"
)"),"#REF!")</f>
        <v>#REF!</v>
      </c>
      <c r="AA1274" s="4" t="str">
        <f>IFERROR(__xludf.DUMMYFUNCTION("IFERROR(
  FILTER('CBK Students'!P:P, TRIM('CBK Students'!B:B) = TRIM(A1274)),
  """"
)"),"#REF!")</f>
        <v>#REF!</v>
      </c>
      <c r="AB1274" s="4" t="str">
        <f>IFERROR(__xludf.DUMMYFUNCTION("IFERROR(
  FILTER('CBK Students'!Q:Q, TRIM('CBK Students'!B:B) = TRIM(A1274)),
  """"
)"),"#REF!")</f>
        <v>#REF!</v>
      </c>
    </row>
    <row r="1275" ht="18.75" customHeight="1">
      <c r="T1275" s="240" t="str">
        <f>IFERROR(__xludf.DUMMYFUNCTION("IFERROR(
  FILTER('CBK Students'!F:F, TRIM('CBK Students'!B:B) = TRIM(A1275)),
  """"
)"),"#REF!")</f>
        <v>#REF!</v>
      </c>
      <c r="U1275" s="240" t="str">
        <f>IFERROR(__xludf.DUMMYFUNCTION("IFERROR(
  FILTER('CBK Students'!H:H, TRIM('CBK Students'!B:B) = TRIM(A1275)),
  """"
)"),"#REF!")</f>
        <v>#REF!</v>
      </c>
      <c r="V1275" s="240" t="str">
        <f>IFERROR(__xludf.DUMMYFUNCTION("IFERROR(
  FILTER('CBK Students'!M:M, TRIM('CBK Students'!B:B) = TRIM(A1275)),
  """"
)"),"#REF!")</f>
        <v>#REF!</v>
      </c>
      <c r="W1275" s="240" t="str">
        <f t="shared" si="1"/>
        <v/>
      </c>
      <c r="X1275" s="240" t="str">
        <f>IFERROR(__xludf.DUMMYFUNCTION("IFERROR(
  FILTER('CBK Students'!R:R, TRIM('CBK Students'!B:B) = TRIM(A1275)),
  """"
)"),"#REF!")</f>
        <v>#REF!</v>
      </c>
      <c r="Y1275" s="4" t="str">
        <f t="shared" si="2"/>
        <v/>
      </c>
      <c r="Z1275" s="4" t="str">
        <f>IFERROR(__xludf.DUMMYFUNCTION("IFERROR(
  FILTER('CBK Students'!O:O, TRIM('CBK Students'!B:B) = TRIM(A1275)),
  """"
)"),"#REF!")</f>
        <v>#REF!</v>
      </c>
      <c r="AA1275" s="4" t="str">
        <f>IFERROR(__xludf.DUMMYFUNCTION("IFERROR(
  FILTER('CBK Students'!P:P, TRIM('CBK Students'!B:B) = TRIM(A1275)),
  """"
)"),"#REF!")</f>
        <v>#REF!</v>
      </c>
      <c r="AB1275" s="4" t="str">
        <f>IFERROR(__xludf.DUMMYFUNCTION("IFERROR(
  FILTER('CBK Students'!Q:Q, TRIM('CBK Students'!B:B) = TRIM(A1275)),
  """"
)"),"#REF!")</f>
        <v>#REF!</v>
      </c>
    </row>
    <row r="1276" ht="18.75" customHeight="1">
      <c r="T1276" s="240" t="str">
        <f>IFERROR(__xludf.DUMMYFUNCTION("IFERROR(
  FILTER('CBK Students'!F:F, TRIM('CBK Students'!B:B) = TRIM(A1276)),
  """"
)"),"#REF!")</f>
        <v>#REF!</v>
      </c>
      <c r="U1276" s="240" t="str">
        <f>IFERROR(__xludf.DUMMYFUNCTION("IFERROR(
  FILTER('CBK Students'!H:H, TRIM('CBK Students'!B:B) = TRIM(A1276)),
  """"
)"),"#REF!")</f>
        <v>#REF!</v>
      </c>
      <c r="V1276" s="240" t="str">
        <f>IFERROR(__xludf.DUMMYFUNCTION("IFERROR(
  FILTER('CBK Students'!M:M, TRIM('CBK Students'!B:B) = TRIM(A1276)),
  """"
)"),"#REF!")</f>
        <v>#REF!</v>
      </c>
      <c r="W1276" s="240" t="str">
        <f t="shared" si="1"/>
        <v/>
      </c>
      <c r="X1276" s="240" t="str">
        <f>IFERROR(__xludf.DUMMYFUNCTION("IFERROR(
  FILTER('CBK Students'!R:R, TRIM('CBK Students'!B:B) = TRIM(A1276)),
  """"
)"),"#REF!")</f>
        <v>#REF!</v>
      </c>
      <c r="Y1276" s="4" t="str">
        <f t="shared" si="2"/>
        <v/>
      </c>
      <c r="Z1276" s="4" t="str">
        <f>IFERROR(__xludf.DUMMYFUNCTION("IFERROR(
  FILTER('CBK Students'!O:O, TRIM('CBK Students'!B:B) = TRIM(A1276)),
  """"
)"),"#REF!")</f>
        <v>#REF!</v>
      </c>
      <c r="AA1276" s="4" t="str">
        <f>IFERROR(__xludf.DUMMYFUNCTION("IFERROR(
  FILTER('CBK Students'!P:P, TRIM('CBK Students'!B:B) = TRIM(A1276)),
  """"
)"),"#REF!")</f>
        <v>#REF!</v>
      </c>
      <c r="AB1276" s="4" t="str">
        <f>IFERROR(__xludf.DUMMYFUNCTION("IFERROR(
  FILTER('CBK Students'!Q:Q, TRIM('CBK Students'!B:B) = TRIM(A1276)),
  """"
)"),"#REF!")</f>
        <v>#REF!</v>
      </c>
    </row>
    <row r="1277" ht="18.75" customHeight="1">
      <c r="T1277" s="240" t="str">
        <f>IFERROR(__xludf.DUMMYFUNCTION("IFERROR(
  FILTER('CBK Students'!F:F, TRIM('CBK Students'!B:B) = TRIM(A1277)),
  """"
)"),"#REF!")</f>
        <v>#REF!</v>
      </c>
      <c r="U1277" s="240" t="str">
        <f>IFERROR(__xludf.DUMMYFUNCTION("IFERROR(
  FILTER('CBK Students'!H:H, TRIM('CBK Students'!B:B) = TRIM(A1277)),
  """"
)"),"#REF!")</f>
        <v>#REF!</v>
      </c>
      <c r="V1277" s="240" t="str">
        <f>IFERROR(__xludf.DUMMYFUNCTION("IFERROR(
  FILTER('CBK Students'!M:M, TRIM('CBK Students'!B:B) = TRIM(A1277)),
  """"
)"),"#REF!")</f>
        <v>#REF!</v>
      </c>
      <c r="W1277" s="240" t="str">
        <f t="shared" si="1"/>
        <v/>
      </c>
      <c r="X1277" s="240" t="str">
        <f>IFERROR(__xludf.DUMMYFUNCTION("IFERROR(
  FILTER('CBK Students'!R:R, TRIM('CBK Students'!B:B) = TRIM(A1277)),
  """"
)"),"#REF!")</f>
        <v>#REF!</v>
      </c>
      <c r="Y1277" s="4" t="str">
        <f t="shared" si="2"/>
        <v/>
      </c>
      <c r="Z1277" s="4" t="str">
        <f>IFERROR(__xludf.DUMMYFUNCTION("IFERROR(
  FILTER('CBK Students'!O:O, TRIM('CBK Students'!B:B) = TRIM(A1277)),
  """"
)"),"#REF!")</f>
        <v>#REF!</v>
      </c>
      <c r="AA1277" s="4" t="str">
        <f>IFERROR(__xludf.DUMMYFUNCTION("IFERROR(
  FILTER('CBK Students'!P:P, TRIM('CBK Students'!B:B) = TRIM(A1277)),
  """"
)"),"#REF!")</f>
        <v>#REF!</v>
      </c>
      <c r="AB1277" s="4" t="str">
        <f>IFERROR(__xludf.DUMMYFUNCTION("IFERROR(
  FILTER('CBK Students'!Q:Q, TRIM('CBK Students'!B:B) = TRIM(A1277)),
  """"
)"),"#REF!")</f>
        <v>#REF!</v>
      </c>
    </row>
    <row r="1278" ht="18.75" customHeight="1">
      <c r="T1278" s="240" t="str">
        <f>IFERROR(__xludf.DUMMYFUNCTION("IFERROR(
  FILTER('CBK Students'!F:F, TRIM('CBK Students'!B:B) = TRIM(A1278)),
  """"
)"),"#REF!")</f>
        <v>#REF!</v>
      </c>
      <c r="U1278" s="240" t="str">
        <f>IFERROR(__xludf.DUMMYFUNCTION("IFERROR(
  FILTER('CBK Students'!H:H, TRIM('CBK Students'!B:B) = TRIM(A1278)),
  """"
)"),"#REF!")</f>
        <v>#REF!</v>
      </c>
      <c r="V1278" s="240" t="str">
        <f>IFERROR(__xludf.DUMMYFUNCTION("IFERROR(
  FILTER('CBK Students'!M:M, TRIM('CBK Students'!B:B) = TRIM(A1278)),
  """"
)"),"#REF!")</f>
        <v>#REF!</v>
      </c>
      <c r="W1278" s="240" t="str">
        <f t="shared" si="1"/>
        <v/>
      </c>
      <c r="X1278" s="240" t="str">
        <f>IFERROR(__xludf.DUMMYFUNCTION("IFERROR(
  FILTER('CBK Students'!R:R, TRIM('CBK Students'!B:B) = TRIM(A1278)),
  """"
)"),"#REF!")</f>
        <v>#REF!</v>
      </c>
      <c r="Y1278" s="4" t="str">
        <f t="shared" si="2"/>
        <v/>
      </c>
      <c r="Z1278" s="4" t="str">
        <f>IFERROR(__xludf.DUMMYFUNCTION("IFERROR(
  FILTER('CBK Students'!O:O, TRIM('CBK Students'!B:B) = TRIM(A1278)),
  """"
)"),"#REF!")</f>
        <v>#REF!</v>
      </c>
      <c r="AA1278" s="4" t="str">
        <f>IFERROR(__xludf.DUMMYFUNCTION("IFERROR(
  FILTER('CBK Students'!P:P, TRIM('CBK Students'!B:B) = TRIM(A1278)),
  """"
)"),"#REF!")</f>
        <v>#REF!</v>
      </c>
      <c r="AB1278" s="4" t="str">
        <f>IFERROR(__xludf.DUMMYFUNCTION("IFERROR(
  FILTER('CBK Students'!Q:Q, TRIM('CBK Students'!B:B) = TRIM(A1278)),
  """"
)"),"#REF!")</f>
        <v>#REF!</v>
      </c>
    </row>
    <row r="1279" ht="18.75" customHeight="1">
      <c r="T1279" s="240" t="str">
        <f>IFERROR(__xludf.DUMMYFUNCTION("IFERROR(
  FILTER('CBK Students'!F:F, TRIM('CBK Students'!B:B) = TRIM(A1279)),
  """"
)"),"#REF!")</f>
        <v>#REF!</v>
      </c>
      <c r="U1279" s="240" t="str">
        <f>IFERROR(__xludf.DUMMYFUNCTION("IFERROR(
  FILTER('CBK Students'!H:H, TRIM('CBK Students'!B:B) = TRIM(A1279)),
  """"
)"),"#REF!")</f>
        <v>#REF!</v>
      </c>
      <c r="V1279" s="240" t="str">
        <f>IFERROR(__xludf.DUMMYFUNCTION("IFERROR(
  FILTER('CBK Students'!M:M, TRIM('CBK Students'!B:B) = TRIM(A1279)),
  """"
)"),"#REF!")</f>
        <v>#REF!</v>
      </c>
      <c r="W1279" s="240" t="str">
        <f t="shared" si="1"/>
        <v/>
      </c>
      <c r="X1279" s="240" t="str">
        <f>IFERROR(__xludf.DUMMYFUNCTION("IFERROR(
  FILTER('CBK Students'!R:R, TRIM('CBK Students'!B:B) = TRIM(A1279)),
  """"
)"),"#REF!")</f>
        <v>#REF!</v>
      </c>
      <c r="Y1279" s="4" t="str">
        <f t="shared" si="2"/>
        <v/>
      </c>
      <c r="Z1279" s="4" t="str">
        <f>IFERROR(__xludf.DUMMYFUNCTION("IFERROR(
  FILTER('CBK Students'!O:O, TRIM('CBK Students'!B:B) = TRIM(A1279)),
  """"
)"),"#REF!")</f>
        <v>#REF!</v>
      </c>
      <c r="AA1279" s="4" t="str">
        <f>IFERROR(__xludf.DUMMYFUNCTION("IFERROR(
  FILTER('CBK Students'!P:P, TRIM('CBK Students'!B:B) = TRIM(A1279)),
  """"
)"),"#REF!")</f>
        <v>#REF!</v>
      </c>
      <c r="AB1279" s="4" t="str">
        <f>IFERROR(__xludf.DUMMYFUNCTION("IFERROR(
  FILTER('CBK Students'!Q:Q, TRIM('CBK Students'!B:B) = TRIM(A1279)),
  """"
)"),"#REF!")</f>
        <v>#REF!</v>
      </c>
    </row>
    <row r="1280" ht="18.75" customHeight="1">
      <c r="T1280" s="240" t="str">
        <f>IFERROR(__xludf.DUMMYFUNCTION("IFERROR(
  FILTER('CBK Students'!F:F, TRIM('CBK Students'!B:B) = TRIM(A1280)),
  """"
)"),"#REF!")</f>
        <v>#REF!</v>
      </c>
      <c r="U1280" s="240" t="str">
        <f>IFERROR(__xludf.DUMMYFUNCTION("IFERROR(
  FILTER('CBK Students'!H:H, TRIM('CBK Students'!B:B) = TRIM(A1280)),
  """"
)"),"#REF!")</f>
        <v>#REF!</v>
      </c>
      <c r="V1280" s="240" t="str">
        <f>IFERROR(__xludf.DUMMYFUNCTION("IFERROR(
  FILTER('CBK Students'!M:M, TRIM('CBK Students'!B:B) = TRIM(A1280)),
  """"
)"),"#REF!")</f>
        <v>#REF!</v>
      </c>
      <c r="W1280" s="240" t="str">
        <f t="shared" si="1"/>
        <v/>
      </c>
      <c r="X1280" s="240" t="str">
        <f>IFERROR(__xludf.DUMMYFUNCTION("IFERROR(
  FILTER('CBK Students'!R:R, TRIM('CBK Students'!B:B) = TRIM(A1280)),
  """"
)"),"#REF!")</f>
        <v>#REF!</v>
      </c>
      <c r="Y1280" s="4" t="str">
        <f t="shared" si="2"/>
        <v/>
      </c>
      <c r="Z1280" s="4" t="str">
        <f>IFERROR(__xludf.DUMMYFUNCTION("IFERROR(
  FILTER('CBK Students'!O:O, TRIM('CBK Students'!B:B) = TRIM(A1280)),
  """"
)"),"#REF!")</f>
        <v>#REF!</v>
      </c>
      <c r="AA1280" s="4" t="str">
        <f>IFERROR(__xludf.DUMMYFUNCTION("IFERROR(
  FILTER('CBK Students'!P:P, TRIM('CBK Students'!B:B) = TRIM(A1280)),
  """"
)"),"#REF!")</f>
        <v>#REF!</v>
      </c>
      <c r="AB1280" s="4" t="str">
        <f>IFERROR(__xludf.DUMMYFUNCTION("IFERROR(
  FILTER('CBK Students'!Q:Q, TRIM('CBK Students'!B:B) = TRIM(A1280)),
  """"
)"),"#REF!")</f>
        <v>#REF!</v>
      </c>
    </row>
    <row r="1281" ht="18.75" customHeight="1">
      <c r="T1281" s="240" t="str">
        <f>IFERROR(__xludf.DUMMYFUNCTION("IFERROR(
  FILTER('CBK Students'!F:F, TRIM('CBK Students'!B:B) = TRIM(A1281)),
  """"
)"),"#REF!")</f>
        <v>#REF!</v>
      </c>
      <c r="U1281" s="240" t="str">
        <f>IFERROR(__xludf.DUMMYFUNCTION("IFERROR(
  FILTER('CBK Students'!H:H, TRIM('CBK Students'!B:B) = TRIM(A1281)),
  """"
)"),"#REF!")</f>
        <v>#REF!</v>
      </c>
      <c r="V1281" s="240" t="str">
        <f>IFERROR(__xludf.DUMMYFUNCTION("IFERROR(
  FILTER('CBK Students'!M:M, TRIM('CBK Students'!B:B) = TRIM(A1281)),
  """"
)"),"#REF!")</f>
        <v>#REF!</v>
      </c>
      <c r="W1281" s="240" t="str">
        <f t="shared" si="1"/>
        <v/>
      </c>
      <c r="X1281" s="240" t="str">
        <f>IFERROR(__xludf.DUMMYFUNCTION("IFERROR(
  FILTER('CBK Students'!R:R, TRIM('CBK Students'!B:B) = TRIM(A1281)),
  """"
)"),"#REF!")</f>
        <v>#REF!</v>
      </c>
      <c r="Y1281" s="4" t="str">
        <f t="shared" si="2"/>
        <v/>
      </c>
      <c r="Z1281" s="4" t="str">
        <f>IFERROR(__xludf.DUMMYFUNCTION("IFERROR(
  FILTER('CBK Students'!O:O, TRIM('CBK Students'!B:B) = TRIM(A1281)),
  """"
)"),"#REF!")</f>
        <v>#REF!</v>
      </c>
      <c r="AA1281" s="4" t="str">
        <f>IFERROR(__xludf.DUMMYFUNCTION("IFERROR(
  FILTER('CBK Students'!P:P, TRIM('CBK Students'!B:B) = TRIM(A1281)),
  """"
)"),"#REF!")</f>
        <v>#REF!</v>
      </c>
      <c r="AB1281" s="4" t="str">
        <f>IFERROR(__xludf.DUMMYFUNCTION("IFERROR(
  FILTER('CBK Students'!Q:Q, TRIM('CBK Students'!B:B) = TRIM(A1281)),
  """"
)"),"#REF!")</f>
        <v>#REF!</v>
      </c>
    </row>
    <row r="1282" ht="18.75" customHeight="1">
      <c r="T1282" s="240" t="str">
        <f>IFERROR(__xludf.DUMMYFUNCTION("IFERROR(
  FILTER('CBK Students'!F:F, TRIM('CBK Students'!B:B) = TRIM(A1282)),
  """"
)"),"#REF!")</f>
        <v>#REF!</v>
      </c>
      <c r="U1282" s="240" t="str">
        <f>IFERROR(__xludf.DUMMYFUNCTION("IFERROR(
  FILTER('CBK Students'!H:H, TRIM('CBK Students'!B:B) = TRIM(A1282)),
  """"
)"),"#REF!")</f>
        <v>#REF!</v>
      </c>
      <c r="V1282" s="240" t="str">
        <f>IFERROR(__xludf.DUMMYFUNCTION("IFERROR(
  FILTER('CBK Students'!M:M, TRIM('CBK Students'!B:B) = TRIM(A1282)),
  """"
)"),"#REF!")</f>
        <v>#REF!</v>
      </c>
      <c r="W1282" s="240" t="str">
        <f t="shared" si="1"/>
        <v/>
      </c>
      <c r="X1282" s="240" t="str">
        <f>IFERROR(__xludf.DUMMYFUNCTION("IFERROR(
  FILTER('CBK Students'!R:R, TRIM('CBK Students'!B:B) = TRIM(A1282)),
  """"
)"),"#REF!")</f>
        <v>#REF!</v>
      </c>
      <c r="Y1282" s="4" t="str">
        <f t="shared" si="2"/>
        <v/>
      </c>
      <c r="Z1282" s="4" t="str">
        <f>IFERROR(__xludf.DUMMYFUNCTION("IFERROR(
  FILTER('CBK Students'!O:O, TRIM('CBK Students'!B:B) = TRIM(A1282)),
  """"
)"),"#REF!")</f>
        <v>#REF!</v>
      </c>
      <c r="AA1282" s="4" t="str">
        <f>IFERROR(__xludf.DUMMYFUNCTION("IFERROR(
  FILTER('CBK Students'!P:P, TRIM('CBK Students'!B:B) = TRIM(A1282)),
  """"
)"),"#REF!")</f>
        <v>#REF!</v>
      </c>
      <c r="AB1282" s="4" t="str">
        <f>IFERROR(__xludf.DUMMYFUNCTION("IFERROR(
  FILTER('CBK Students'!Q:Q, TRIM('CBK Students'!B:B) = TRIM(A1282)),
  """"
)"),"#REF!")</f>
        <v>#REF!</v>
      </c>
    </row>
    <row r="1283" ht="18.75" customHeight="1">
      <c r="T1283" s="240" t="str">
        <f>IFERROR(__xludf.DUMMYFUNCTION("IFERROR(
  FILTER('CBK Students'!F:F, TRIM('CBK Students'!B:B) = TRIM(A1283)),
  """"
)"),"#REF!")</f>
        <v>#REF!</v>
      </c>
      <c r="U1283" s="240" t="str">
        <f>IFERROR(__xludf.DUMMYFUNCTION("IFERROR(
  FILTER('CBK Students'!H:H, TRIM('CBK Students'!B:B) = TRIM(A1283)),
  """"
)"),"#REF!")</f>
        <v>#REF!</v>
      </c>
      <c r="V1283" s="240" t="str">
        <f>IFERROR(__xludf.DUMMYFUNCTION("IFERROR(
  FILTER('CBK Students'!M:M, TRIM('CBK Students'!B:B) = TRIM(A1283)),
  """"
)"),"#REF!")</f>
        <v>#REF!</v>
      </c>
      <c r="W1283" s="240" t="str">
        <f t="shared" si="1"/>
        <v/>
      </c>
      <c r="X1283" s="240" t="str">
        <f>IFERROR(__xludf.DUMMYFUNCTION("IFERROR(
  FILTER('CBK Students'!R:R, TRIM('CBK Students'!B:B) = TRIM(A1283)),
  """"
)"),"#REF!")</f>
        <v>#REF!</v>
      </c>
      <c r="Y1283" s="4" t="str">
        <f t="shared" si="2"/>
        <v/>
      </c>
      <c r="Z1283" s="4" t="str">
        <f>IFERROR(__xludf.DUMMYFUNCTION("IFERROR(
  FILTER('CBK Students'!O:O, TRIM('CBK Students'!B:B) = TRIM(A1283)),
  """"
)"),"#REF!")</f>
        <v>#REF!</v>
      </c>
      <c r="AA1283" s="4" t="str">
        <f>IFERROR(__xludf.DUMMYFUNCTION("IFERROR(
  FILTER('CBK Students'!P:P, TRIM('CBK Students'!B:B) = TRIM(A1283)),
  """"
)"),"#REF!")</f>
        <v>#REF!</v>
      </c>
      <c r="AB1283" s="4" t="str">
        <f>IFERROR(__xludf.DUMMYFUNCTION("IFERROR(
  FILTER('CBK Students'!Q:Q, TRIM('CBK Students'!B:B) = TRIM(A1283)),
  """"
)"),"#REF!")</f>
        <v>#REF!</v>
      </c>
    </row>
    <row r="1284" ht="18.75" customHeight="1">
      <c r="T1284" s="240" t="str">
        <f>IFERROR(__xludf.DUMMYFUNCTION("IFERROR(
  FILTER('CBK Students'!F:F, TRIM('CBK Students'!B:B) = TRIM(A1284)),
  """"
)"),"#REF!")</f>
        <v>#REF!</v>
      </c>
      <c r="U1284" s="240" t="str">
        <f>IFERROR(__xludf.DUMMYFUNCTION("IFERROR(
  FILTER('CBK Students'!H:H, TRIM('CBK Students'!B:B) = TRIM(A1284)),
  """"
)"),"#REF!")</f>
        <v>#REF!</v>
      </c>
      <c r="V1284" s="240" t="str">
        <f>IFERROR(__xludf.DUMMYFUNCTION("IFERROR(
  FILTER('CBK Students'!M:M, TRIM('CBK Students'!B:B) = TRIM(A1284)),
  """"
)"),"#REF!")</f>
        <v>#REF!</v>
      </c>
      <c r="W1284" s="240" t="str">
        <f t="shared" si="1"/>
        <v/>
      </c>
      <c r="X1284" s="240" t="str">
        <f>IFERROR(__xludf.DUMMYFUNCTION("IFERROR(
  FILTER('CBK Students'!R:R, TRIM('CBK Students'!B:B) = TRIM(A1284)),
  """"
)"),"#REF!")</f>
        <v>#REF!</v>
      </c>
      <c r="Y1284" s="4" t="str">
        <f t="shared" si="2"/>
        <v/>
      </c>
      <c r="Z1284" s="4" t="str">
        <f>IFERROR(__xludf.DUMMYFUNCTION("IFERROR(
  FILTER('CBK Students'!O:O, TRIM('CBK Students'!B:B) = TRIM(A1284)),
  """"
)"),"#REF!")</f>
        <v>#REF!</v>
      </c>
      <c r="AA1284" s="4" t="str">
        <f>IFERROR(__xludf.DUMMYFUNCTION("IFERROR(
  FILTER('CBK Students'!P:P, TRIM('CBK Students'!B:B) = TRIM(A1284)),
  """"
)"),"#REF!")</f>
        <v>#REF!</v>
      </c>
      <c r="AB1284" s="4" t="str">
        <f>IFERROR(__xludf.DUMMYFUNCTION("IFERROR(
  FILTER('CBK Students'!Q:Q, TRIM('CBK Students'!B:B) = TRIM(A1284)),
  """"
)"),"#REF!")</f>
        <v>#REF!</v>
      </c>
    </row>
    <row r="1285" ht="18.75" customHeight="1">
      <c r="T1285" s="240" t="str">
        <f>IFERROR(__xludf.DUMMYFUNCTION("IFERROR(
  FILTER('CBK Students'!F:F, TRIM('CBK Students'!B:B) = TRIM(A1285)),
  """"
)"),"#REF!")</f>
        <v>#REF!</v>
      </c>
      <c r="U1285" s="240" t="str">
        <f>IFERROR(__xludf.DUMMYFUNCTION("IFERROR(
  FILTER('CBK Students'!H:H, TRIM('CBK Students'!B:B) = TRIM(A1285)),
  """"
)"),"#REF!")</f>
        <v>#REF!</v>
      </c>
      <c r="V1285" s="240" t="str">
        <f>IFERROR(__xludf.DUMMYFUNCTION("IFERROR(
  FILTER('CBK Students'!M:M, TRIM('CBK Students'!B:B) = TRIM(A1285)),
  """"
)"),"#REF!")</f>
        <v>#REF!</v>
      </c>
      <c r="W1285" s="240" t="str">
        <f t="shared" si="1"/>
        <v/>
      </c>
      <c r="X1285" s="240" t="str">
        <f>IFERROR(__xludf.DUMMYFUNCTION("IFERROR(
  FILTER('CBK Students'!R:R, TRIM('CBK Students'!B:B) = TRIM(A1285)),
  """"
)"),"#REF!")</f>
        <v>#REF!</v>
      </c>
      <c r="Y1285" s="4" t="str">
        <f t="shared" si="2"/>
        <v/>
      </c>
      <c r="Z1285" s="4" t="str">
        <f>IFERROR(__xludf.DUMMYFUNCTION("IFERROR(
  FILTER('CBK Students'!O:O, TRIM('CBK Students'!B:B) = TRIM(A1285)),
  """"
)"),"#REF!")</f>
        <v>#REF!</v>
      </c>
      <c r="AA1285" s="4" t="str">
        <f>IFERROR(__xludf.DUMMYFUNCTION("IFERROR(
  FILTER('CBK Students'!P:P, TRIM('CBK Students'!B:B) = TRIM(A1285)),
  """"
)"),"#REF!")</f>
        <v>#REF!</v>
      </c>
      <c r="AB1285" s="4" t="str">
        <f>IFERROR(__xludf.DUMMYFUNCTION("IFERROR(
  FILTER('CBK Students'!Q:Q, TRIM('CBK Students'!B:B) = TRIM(A1285)),
  """"
)"),"#REF!")</f>
        <v>#REF!</v>
      </c>
    </row>
    <row r="1286" ht="18.75" customHeight="1">
      <c r="T1286" s="240" t="str">
        <f>IFERROR(__xludf.DUMMYFUNCTION("IFERROR(
  FILTER('CBK Students'!F:F, TRIM('CBK Students'!B:B) = TRIM(A1286)),
  """"
)"),"#REF!")</f>
        <v>#REF!</v>
      </c>
      <c r="U1286" s="240" t="str">
        <f>IFERROR(__xludf.DUMMYFUNCTION("IFERROR(
  FILTER('CBK Students'!H:H, TRIM('CBK Students'!B:B) = TRIM(A1286)),
  """"
)"),"#REF!")</f>
        <v>#REF!</v>
      </c>
      <c r="V1286" s="240" t="str">
        <f>IFERROR(__xludf.DUMMYFUNCTION("IFERROR(
  FILTER('CBK Students'!M:M, TRIM('CBK Students'!B:B) = TRIM(A1286)),
  """"
)"),"#REF!")</f>
        <v>#REF!</v>
      </c>
      <c r="W1286" s="240" t="str">
        <f t="shared" si="1"/>
        <v/>
      </c>
      <c r="X1286" s="240" t="str">
        <f>IFERROR(__xludf.DUMMYFUNCTION("IFERROR(
  FILTER('CBK Students'!R:R, TRIM('CBK Students'!B:B) = TRIM(A1286)),
  """"
)"),"#REF!")</f>
        <v>#REF!</v>
      </c>
      <c r="Y1286" s="4" t="str">
        <f t="shared" si="2"/>
        <v/>
      </c>
      <c r="Z1286" s="4" t="str">
        <f>IFERROR(__xludf.DUMMYFUNCTION("IFERROR(
  FILTER('CBK Students'!O:O, TRIM('CBK Students'!B:B) = TRIM(A1286)),
  """"
)"),"#REF!")</f>
        <v>#REF!</v>
      </c>
      <c r="AA1286" s="4" t="str">
        <f>IFERROR(__xludf.DUMMYFUNCTION("IFERROR(
  FILTER('CBK Students'!P:P, TRIM('CBK Students'!B:B) = TRIM(A1286)),
  """"
)"),"#REF!")</f>
        <v>#REF!</v>
      </c>
      <c r="AB1286" s="4" t="str">
        <f>IFERROR(__xludf.DUMMYFUNCTION("IFERROR(
  FILTER('CBK Students'!Q:Q, TRIM('CBK Students'!B:B) = TRIM(A1286)),
  """"
)"),"#REF!")</f>
        <v>#REF!</v>
      </c>
    </row>
    <row r="1287" ht="18.75" customHeight="1">
      <c r="T1287" s="240" t="str">
        <f>IFERROR(__xludf.DUMMYFUNCTION("IFERROR(
  FILTER('CBK Students'!F:F, TRIM('CBK Students'!B:B) = TRIM(A1287)),
  """"
)"),"#REF!")</f>
        <v>#REF!</v>
      </c>
      <c r="U1287" s="240" t="str">
        <f>IFERROR(__xludf.DUMMYFUNCTION("IFERROR(
  FILTER('CBK Students'!H:H, TRIM('CBK Students'!B:B) = TRIM(A1287)),
  """"
)"),"#REF!")</f>
        <v>#REF!</v>
      </c>
      <c r="V1287" s="240" t="str">
        <f>IFERROR(__xludf.DUMMYFUNCTION("IFERROR(
  FILTER('CBK Students'!M:M, TRIM('CBK Students'!B:B) = TRIM(A1287)),
  """"
)"),"#REF!")</f>
        <v>#REF!</v>
      </c>
      <c r="W1287" s="240" t="str">
        <f t="shared" si="1"/>
        <v/>
      </c>
      <c r="X1287" s="240" t="str">
        <f>IFERROR(__xludf.DUMMYFUNCTION("IFERROR(
  FILTER('CBK Students'!R:R, TRIM('CBK Students'!B:B) = TRIM(A1287)),
  """"
)"),"#REF!")</f>
        <v>#REF!</v>
      </c>
      <c r="Y1287" s="4" t="str">
        <f t="shared" si="2"/>
        <v/>
      </c>
      <c r="Z1287" s="4" t="str">
        <f>IFERROR(__xludf.DUMMYFUNCTION("IFERROR(
  FILTER('CBK Students'!O:O, TRIM('CBK Students'!B:B) = TRIM(A1287)),
  """"
)"),"#REF!")</f>
        <v>#REF!</v>
      </c>
      <c r="AA1287" s="4" t="str">
        <f>IFERROR(__xludf.DUMMYFUNCTION("IFERROR(
  FILTER('CBK Students'!P:P, TRIM('CBK Students'!B:B) = TRIM(A1287)),
  """"
)"),"#REF!")</f>
        <v>#REF!</v>
      </c>
      <c r="AB1287" s="4" t="str">
        <f>IFERROR(__xludf.DUMMYFUNCTION("IFERROR(
  FILTER('CBK Students'!Q:Q, TRIM('CBK Students'!B:B) = TRIM(A1287)),
  """"
)"),"#REF!")</f>
        <v>#REF!</v>
      </c>
    </row>
    <row r="1288" ht="18.75" customHeight="1">
      <c r="T1288" s="240" t="str">
        <f>IFERROR(__xludf.DUMMYFUNCTION("IFERROR(
  FILTER('CBK Students'!F:F, TRIM('CBK Students'!B:B) = TRIM(A1288)),
  """"
)"),"#REF!")</f>
        <v>#REF!</v>
      </c>
      <c r="U1288" s="240" t="str">
        <f>IFERROR(__xludf.DUMMYFUNCTION("IFERROR(
  FILTER('CBK Students'!H:H, TRIM('CBK Students'!B:B) = TRIM(A1288)),
  """"
)"),"#REF!")</f>
        <v>#REF!</v>
      </c>
      <c r="V1288" s="240" t="str">
        <f>IFERROR(__xludf.DUMMYFUNCTION("IFERROR(
  FILTER('CBK Students'!M:M, TRIM('CBK Students'!B:B) = TRIM(A1288)),
  """"
)"),"#REF!")</f>
        <v>#REF!</v>
      </c>
      <c r="W1288" s="240" t="str">
        <f t="shared" si="1"/>
        <v/>
      </c>
      <c r="X1288" s="240" t="str">
        <f>IFERROR(__xludf.DUMMYFUNCTION("IFERROR(
  FILTER('CBK Students'!R:R, TRIM('CBK Students'!B:B) = TRIM(A1288)),
  """"
)"),"#REF!")</f>
        <v>#REF!</v>
      </c>
      <c r="Y1288" s="4" t="str">
        <f t="shared" si="2"/>
        <v/>
      </c>
      <c r="Z1288" s="4" t="str">
        <f>IFERROR(__xludf.DUMMYFUNCTION("IFERROR(
  FILTER('CBK Students'!O:O, TRIM('CBK Students'!B:B) = TRIM(A1288)),
  """"
)"),"#REF!")</f>
        <v>#REF!</v>
      </c>
      <c r="AA1288" s="4" t="str">
        <f>IFERROR(__xludf.DUMMYFUNCTION("IFERROR(
  FILTER('CBK Students'!P:P, TRIM('CBK Students'!B:B) = TRIM(A1288)),
  """"
)"),"#REF!")</f>
        <v>#REF!</v>
      </c>
      <c r="AB1288" s="4" t="str">
        <f>IFERROR(__xludf.DUMMYFUNCTION("IFERROR(
  FILTER('CBK Students'!Q:Q, TRIM('CBK Students'!B:B) = TRIM(A1288)),
  """"
)"),"#REF!")</f>
        <v>#REF!</v>
      </c>
    </row>
    <row r="1289" ht="18.75" customHeight="1">
      <c r="T1289" s="240" t="str">
        <f>IFERROR(__xludf.DUMMYFUNCTION("IFERROR(
  FILTER('CBK Students'!F:F, TRIM('CBK Students'!B:B) = TRIM(A1289)),
  """"
)"),"#REF!")</f>
        <v>#REF!</v>
      </c>
      <c r="U1289" s="240" t="str">
        <f>IFERROR(__xludf.DUMMYFUNCTION("IFERROR(
  FILTER('CBK Students'!H:H, TRIM('CBK Students'!B:B) = TRIM(A1289)),
  """"
)"),"#REF!")</f>
        <v>#REF!</v>
      </c>
      <c r="V1289" s="240" t="str">
        <f>IFERROR(__xludf.DUMMYFUNCTION("IFERROR(
  FILTER('CBK Students'!M:M, TRIM('CBK Students'!B:B) = TRIM(A1289)),
  """"
)"),"#REF!")</f>
        <v>#REF!</v>
      </c>
      <c r="W1289" s="240" t="str">
        <f t="shared" si="1"/>
        <v/>
      </c>
      <c r="X1289" s="240" t="str">
        <f>IFERROR(__xludf.DUMMYFUNCTION("IFERROR(
  FILTER('CBK Students'!R:R, TRIM('CBK Students'!B:B) = TRIM(A1289)),
  """"
)"),"#REF!")</f>
        <v>#REF!</v>
      </c>
      <c r="Y1289" s="4" t="str">
        <f t="shared" si="2"/>
        <v/>
      </c>
      <c r="Z1289" s="4" t="str">
        <f>IFERROR(__xludf.DUMMYFUNCTION("IFERROR(
  FILTER('CBK Students'!O:O, TRIM('CBK Students'!B:B) = TRIM(A1289)),
  """"
)"),"#REF!")</f>
        <v>#REF!</v>
      </c>
      <c r="AA1289" s="4" t="str">
        <f>IFERROR(__xludf.DUMMYFUNCTION("IFERROR(
  FILTER('CBK Students'!P:P, TRIM('CBK Students'!B:B) = TRIM(A1289)),
  """"
)"),"#REF!")</f>
        <v>#REF!</v>
      </c>
      <c r="AB1289" s="4" t="str">
        <f>IFERROR(__xludf.DUMMYFUNCTION("IFERROR(
  FILTER('CBK Students'!Q:Q, TRIM('CBK Students'!B:B) = TRIM(A1289)),
  """"
)"),"#REF!")</f>
        <v>#REF!</v>
      </c>
    </row>
    <row r="1290" ht="18.75" customHeight="1">
      <c r="T1290" s="240" t="str">
        <f>IFERROR(__xludf.DUMMYFUNCTION("IFERROR(
  FILTER('CBK Students'!F:F, TRIM('CBK Students'!B:B) = TRIM(A1290)),
  """"
)"),"#REF!")</f>
        <v>#REF!</v>
      </c>
      <c r="U1290" s="240" t="str">
        <f>IFERROR(__xludf.DUMMYFUNCTION("IFERROR(
  FILTER('CBK Students'!H:H, TRIM('CBK Students'!B:B) = TRIM(A1290)),
  """"
)"),"#REF!")</f>
        <v>#REF!</v>
      </c>
      <c r="V1290" s="240" t="str">
        <f>IFERROR(__xludf.DUMMYFUNCTION("IFERROR(
  FILTER('CBK Students'!M:M, TRIM('CBK Students'!B:B) = TRIM(A1290)),
  """"
)"),"#REF!")</f>
        <v>#REF!</v>
      </c>
      <c r="W1290" s="240" t="str">
        <f t="shared" si="1"/>
        <v/>
      </c>
      <c r="X1290" s="240" t="str">
        <f>IFERROR(__xludf.DUMMYFUNCTION("IFERROR(
  FILTER('CBK Students'!R:R, TRIM('CBK Students'!B:B) = TRIM(A1290)),
  """"
)"),"#REF!")</f>
        <v>#REF!</v>
      </c>
      <c r="Y1290" s="4" t="str">
        <f t="shared" si="2"/>
        <v/>
      </c>
      <c r="Z1290" s="4" t="str">
        <f>IFERROR(__xludf.DUMMYFUNCTION("IFERROR(
  FILTER('CBK Students'!O:O, TRIM('CBK Students'!B:B) = TRIM(A1290)),
  """"
)"),"#REF!")</f>
        <v>#REF!</v>
      </c>
      <c r="AA1290" s="4" t="str">
        <f>IFERROR(__xludf.DUMMYFUNCTION("IFERROR(
  FILTER('CBK Students'!P:P, TRIM('CBK Students'!B:B) = TRIM(A1290)),
  """"
)"),"#REF!")</f>
        <v>#REF!</v>
      </c>
      <c r="AB1290" s="4" t="str">
        <f>IFERROR(__xludf.DUMMYFUNCTION("IFERROR(
  FILTER('CBK Students'!Q:Q, TRIM('CBK Students'!B:B) = TRIM(A1290)),
  """"
)"),"#REF!")</f>
        <v>#REF!</v>
      </c>
    </row>
    <row r="1291" ht="18.75" customHeight="1">
      <c r="T1291" s="240" t="str">
        <f>IFERROR(__xludf.DUMMYFUNCTION("IFERROR(
  FILTER('CBK Students'!F:F, TRIM('CBK Students'!B:B) = TRIM(A1291)),
  """"
)"),"#REF!")</f>
        <v>#REF!</v>
      </c>
      <c r="U1291" s="240" t="str">
        <f>IFERROR(__xludf.DUMMYFUNCTION("IFERROR(
  FILTER('CBK Students'!H:H, TRIM('CBK Students'!B:B) = TRIM(A1291)),
  """"
)"),"#REF!")</f>
        <v>#REF!</v>
      </c>
      <c r="V1291" s="240" t="str">
        <f>IFERROR(__xludf.DUMMYFUNCTION("IFERROR(
  FILTER('CBK Students'!M:M, TRIM('CBK Students'!B:B) = TRIM(A1291)),
  """"
)"),"#REF!")</f>
        <v>#REF!</v>
      </c>
      <c r="W1291" s="240" t="str">
        <f t="shared" si="1"/>
        <v/>
      </c>
      <c r="X1291" s="240" t="str">
        <f>IFERROR(__xludf.DUMMYFUNCTION("IFERROR(
  FILTER('CBK Students'!R:R, TRIM('CBK Students'!B:B) = TRIM(A1291)),
  """"
)"),"#REF!")</f>
        <v>#REF!</v>
      </c>
      <c r="Y1291" s="4" t="str">
        <f t="shared" si="2"/>
        <v/>
      </c>
      <c r="Z1291" s="4" t="str">
        <f>IFERROR(__xludf.DUMMYFUNCTION("IFERROR(
  FILTER('CBK Students'!O:O, TRIM('CBK Students'!B:B) = TRIM(A1291)),
  """"
)"),"#REF!")</f>
        <v>#REF!</v>
      </c>
      <c r="AA1291" s="4" t="str">
        <f>IFERROR(__xludf.DUMMYFUNCTION("IFERROR(
  FILTER('CBK Students'!P:P, TRIM('CBK Students'!B:B) = TRIM(A1291)),
  """"
)"),"#REF!")</f>
        <v>#REF!</v>
      </c>
      <c r="AB1291" s="4" t="str">
        <f>IFERROR(__xludf.DUMMYFUNCTION("IFERROR(
  FILTER('CBK Students'!Q:Q, TRIM('CBK Students'!B:B) = TRIM(A1291)),
  """"
)"),"#REF!")</f>
        <v>#REF!</v>
      </c>
    </row>
    <row r="1292" ht="18.75" customHeight="1">
      <c r="T1292" s="240" t="str">
        <f>IFERROR(__xludf.DUMMYFUNCTION("IFERROR(
  FILTER('CBK Students'!F:F, TRIM('CBK Students'!B:B) = TRIM(A1292)),
  """"
)"),"#REF!")</f>
        <v>#REF!</v>
      </c>
      <c r="U1292" s="240" t="str">
        <f>IFERROR(__xludf.DUMMYFUNCTION("IFERROR(
  FILTER('CBK Students'!H:H, TRIM('CBK Students'!B:B) = TRIM(A1292)),
  """"
)"),"#REF!")</f>
        <v>#REF!</v>
      </c>
      <c r="V1292" s="240" t="str">
        <f>IFERROR(__xludf.DUMMYFUNCTION("IFERROR(
  FILTER('CBK Students'!M:M, TRIM('CBK Students'!B:B) = TRIM(A1292)),
  """"
)"),"#REF!")</f>
        <v>#REF!</v>
      </c>
      <c r="W1292" s="240" t="str">
        <f t="shared" si="1"/>
        <v/>
      </c>
      <c r="X1292" s="240" t="str">
        <f>IFERROR(__xludf.DUMMYFUNCTION("IFERROR(
  FILTER('CBK Students'!R:R, TRIM('CBK Students'!B:B) = TRIM(A1292)),
  """"
)"),"#REF!")</f>
        <v>#REF!</v>
      </c>
      <c r="Y1292" s="4" t="str">
        <f t="shared" si="2"/>
        <v/>
      </c>
      <c r="Z1292" s="4" t="str">
        <f>IFERROR(__xludf.DUMMYFUNCTION("IFERROR(
  FILTER('CBK Students'!O:O, TRIM('CBK Students'!B:B) = TRIM(A1292)),
  """"
)"),"#REF!")</f>
        <v>#REF!</v>
      </c>
      <c r="AA1292" s="4" t="str">
        <f>IFERROR(__xludf.DUMMYFUNCTION("IFERROR(
  FILTER('CBK Students'!P:P, TRIM('CBK Students'!B:B) = TRIM(A1292)),
  """"
)"),"#REF!")</f>
        <v>#REF!</v>
      </c>
      <c r="AB1292" s="4" t="str">
        <f>IFERROR(__xludf.DUMMYFUNCTION("IFERROR(
  FILTER('CBK Students'!Q:Q, TRIM('CBK Students'!B:B) = TRIM(A1292)),
  """"
)"),"#REF!")</f>
        <v>#REF!</v>
      </c>
    </row>
    <row r="1293" ht="18.75" customHeight="1">
      <c r="T1293" s="240" t="str">
        <f>IFERROR(__xludf.DUMMYFUNCTION("IFERROR(
  FILTER('CBK Students'!F:F, TRIM('CBK Students'!B:B) = TRIM(A1293)),
  """"
)"),"#REF!")</f>
        <v>#REF!</v>
      </c>
      <c r="U1293" s="240" t="str">
        <f>IFERROR(__xludf.DUMMYFUNCTION("IFERROR(
  FILTER('CBK Students'!H:H, TRIM('CBK Students'!B:B) = TRIM(A1293)),
  """"
)"),"#REF!")</f>
        <v>#REF!</v>
      </c>
      <c r="V1293" s="240" t="str">
        <f>IFERROR(__xludf.DUMMYFUNCTION("IFERROR(
  FILTER('CBK Students'!M:M, TRIM('CBK Students'!B:B) = TRIM(A1293)),
  """"
)"),"#REF!")</f>
        <v>#REF!</v>
      </c>
      <c r="W1293" s="240" t="str">
        <f t="shared" si="1"/>
        <v/>
      </c>
      <c r="X1293" s="240" t="str">
        <f>IFERROR(__xludf.DUMMYFUNCTION("IFERROR(
  FILTER('CBK Students'!R:R, TRIM('CBK Students'!B:B) = TRIM(A1293)),
  """"
)"),"#REF!")</f>
        <v>#REF!</v>
      </c>
      <c r="Y1293" s="4" t="str">
        <f t="shared" si="2"/>
        <v/>
      </c>
      <c r="Z1293" s="4" t="str">
        <f>IFERROR(__xludf.DUMMYFUNCTION("IFERROR(
  FILTER('CBK Students'!O:O, TRIM('CBK Students'!B:B) = TRIM(A1293)),
  """"
)"),"#REF!")</f>
        <v>#REF!</v>
      </c>
      <c r="AA1293" s="4" t="str">
        <f>IFERROR(__xludf.DUMMYFUNCTION("IFERROR(
  FILTER('CBK Students'!P:P, TRIM('CBK Students'!B:B) = TRIM(A1293)),
  """"
)"),"#REF!")</f>
        <v>#REF!</v>
      </c>
      <c r="AB1293" s="4" t="str">
        <f>IFERROR(__xludf.DUMMYFUNCTION("IFERROR(
  FILTER('CBK Students'!Q:Q, TRIM('CBK Students'!B:B) = TRIM(A1293)),
  """"
)"),"#REF!")</f>
        <v>#REF!</v>
      </c>
    </row>
    <row r="1294" ht="18.75" customHeight="1">
      <c r="T1294" s="240" t="str">
        <f>IFERROR(__xludf.DUMMYFUNCTION("IFERROR(
  FILTER('CBK Students'!F:F, TRIM('CBK Students'!B:B) = TRIM(A1294)),
  """"
)"),"#REF!")</f>
        <v>#REF!</v>
      </c>
      <c r="U1294" s="240" t="str">
        <f>IFERROR(__xludf.DUMMYFUNCTION("IFERROR(
  FILTER('CBK Students'!H:H, TRIM('CBK Students'!B:B) = TRIM(A1294)),
  """"
)"),"#REF!")</f>
        <v>#REF!</v>
      </c>
      <c r="V1294" s="240" t="str">
        <f>IFERROR(__xludf.DUMMYFUNCTION("IFERROR(
  FILTER('CBK Students'!M:M, TRIM('CBK Students'!B:B) = TRIM(A1294)),
  """"
)"),"#REF!")</f>
        <v>#REF!</v>
      </c>
      <c r="W1294" s="240" t="str">
        <f t="shared" si="1"/>
        <v/>
      </c>
      <c r="X1294" s="240" t="str">
        <f>IFERROR(__xludf.DUMMYFUNCTION("IFERROR(
  FILTER('CBK Students'!R:R, TRIM('CBK Students'!B:B) = TRIM(A1294)),
  """"
)"),"#REF!")</f>
        <v>#REF!</v>
      </c>
      <c r="Y1294" s="4" t="str">
        <f t="shared" si="2"/>
        <v/>
      </c>
      <c r="Z1294" s="4" t="str">
        <f>IFERROR(__xludf.DUMMYFUNCTION("IFERROR(
  FILTER('CBK Students'!O:O, TRIM('CBK Students'!B:B) = TRIM(A1294)),
  """"
)"),"#REF!")</f>
        <v>#REF!</v>
      </c>
      <c r="AA1294" s="4" t="str">
        <f>IFERROR(__xludf.DUMMYFUNCTION("IFERROR(
  FILTER('CBK Students'!P:P, TRIM('CBK Students'!B:B) = TRIM(A1294)),
  """"
)"),"#REF!")</f>
        <v>#REF!</v>
      </c>
      <c r="AB1294" s="4" t="str">
        <f>IFERROR(__xludf.DUMMYFUNCTION("IFERROR(
  FILTER('CBK Students'!Q:Q, TRIM('CBK Students'!B:B) = TRIM(A1294)),
  """"
)"),"#REF!")</f>
        <v>#REF!</v>
      </c>
    </row>
    <row r="1295" ht="18.75" customHeight="1">
      <c r="T1295" s="240" t="str">
        <f>IFERROR(__xludf.DUMMYFUNCTION("IFERROR(
  FILTER('CBK Students'!F:F, TRIM('CBK Students'!B:B) = TRIM(A1295)),
  """"
)"),"#REF!")</f>
        <v>#REF!</v>
      </c>
      <c r="U1295" s="240" t="str">
        <f>IFERROR(__xludf.DUMMYFUNCTION("IFERROR(
  FILTER('CBK Students'!H:H, TRIM('CBK Students'!B:B) = TRIM(A1295)),
  """"
)"),"#REF!")</f>
        <v>#REF!</v>
      </c>
      <c r="V1295" s="240" t="str">
        <f>IFERROR(__xludf.DUMMYFUNCTION("IFERROR(
  FILTER('CBK Students'!M:M, TRIM('CBK Students'!B:B) = TRIM(A1295)),
  """"
)"),"#REF!")</f>
        <v>#REF!</v>
      </c>
      <c r="W1295" s="240" t="str">
        <f t="shared" si="1"/>
        <v/>
      </c>
      <c r="X1295" s="240" t="str">
        <f>IFERROR(__xludf.DUMMYFUNCTION("IFERROR(
  FILTER('CBK Students'!R:R, TRIM('CBK Students'!B:B) = TRIM(A1295)),
  """"
)"),"#REF!")</f>
        <v>#REF!</v>
      </c>
      <c r="Y1295" s="4" t="str">
        <f t="shared" si="2"/>
        <v/>
      </c>
      <c r="Z1295" s="4" t="str">
        <f>IFERROR(__xludf.DUMMYFUNCTION("IFERROR(
  FILTER('CBK Students'!O:O, TRIM('CBK Students'!B:B) = TRIM(A1295)),
  """"
)"),"#REF!")</f>
        <v>#REF!</v>
      </c>
      <c r="AA1295" s="4" t="str">
        <f>IFERROR(__xludf.DUMMYFUNCTION("IFERROR(
  FILTER('CBK Students'!P:P, TRIM('CBK Students'!B:B) = TRIM(A1295)),
  """"
)"),"#REF!")</f>
        <v>#REF!</v>
      </c>
      <c r="AB1295" s="4" t="str">
        <f>IFERROR(__xludf.DUMMYFUNCTION("IFERROR(
  FILTER('CBK Students'!Q:Q, TRIM('CBK Students'!B:B) = TRIM(A1295)),
  """"
)"),"#REF!")</f>
        <v>#REF!</v>
      </c>
    </row>
    <row r="1296" ht="18.75" customHeight="1">
      <c r="T1296" s="240" t="str">
        <f>IFERROR(__xludf.DUMMYFUNCTION("IFERROR(
  FILTER('CBK Students'!F:F, TRIM('CBK Students'!B:B) = TRIM(A1296)),
  """"
)"),"#REF!")</f>
        <v>#REF!</v>
      </c>
      <c r="U1296" s="240" t="str">
        <f>IFERROR(__xludf.DUMMYFUNCTION("IFERROR(
  FILTER('CBK Students'!H:H, TRIM('CBK Students'!B:B) = TRIM(A1296)),
  """"
)"),"#REF!")</f>
        <v>#REF!</v>
      </c>
      <c r="V1296" s="240" t="str">
        <f>IFERROR(__xludf.DUMMYFUNCTION("IFERROR(
  FILTER('CBK Students'!M:M, TRIM('CBK Students'!B:B) = TRIM(A1296)),
  """"
)"),"#REF!")</f>
        <v>#REF!</v>
      </c>
      <c r="W1296" s="240" t="str">
        <f t="shared" si="1"/>
        <v/>
      </c>
      <c r="X1296" s="240" t="str">
        <f>IFERROR(__xludf.DUMMYFUNCTION("IFERROR(
  FILTER('CBK Students'!R:R, TRIM('CBK Students'!B:B) = TRIM(A1296)),
  """"
)"),"#REF!")</f>
        <v>#REF!</v>
      </c>
      <c r="Y1296" s="4" t="str">
        <f t="shared" si="2"/>
        <v/>
      </c>
      <c r="Z1296" s="4" t="str">
        <f>IFERROR(__xludf.DUMMYFUNCTION("IFERROR(
  FILTER('CBK Students'!O:O, TRIM('CBK Students'!B:B) = TRIM(A1296)),
  """"
)"),"#REF!")</f>
        <v>#REF!</v>
      </c>
      <c r="AA1296" s="4" t="str">
        <f>IFERROR(__xludf.DUMMYFUNCTION("IFERROR(
  FILTER('CBK Students'!P:P, TRIM('CBK Students'!B:B) = TRIM(A1296)),
  """"
)"),"#REF!")</f>
        <v>#REF!</v>
      </c>
      <c r="AB1296" s="4" t="str">
        <f>IFERROR(__xludf.DUMMYFUNCTION("IFERROR(
  FILTER('CBK Students'!Q:Q, TRIM('CBK Students'!B:B) = TRIM(A1296)),
  """"
)"),"#REF!")</f>
        <v>#REF!</v>
      </c>
    </row>
    <row r="1297" ht="18.75" customHeight="1">
      <c r="T1297" s="240" t="str">
        <f>IFERROR(__xludf.DUMMYFUNCTION("IFERROR(
  FILTER('CBK Students'!F:F, TRIM('CBK Students'!B:B) = TRIM(A1297)),
  """"
)"),"")</f>
        <v/>
      </c>
      <c r="U1297" s="240" t="str">
        <f>IFERROR(__xludf.DUMMYFUNCTION("IFERROR(
  FILTER('CBK Students'!H:H, TRIM('CBK Students'!B:B) = TRIM(A1297)),
  """"
)"),"")</f>
        <v/>
      </c>
      <c r="V1297" s="240">
        <f>IFERROR(__xludf.DUMMYFUNCTION("IFERROR(
  FILTER('CBK Students'!M:M, TRIM('CBK Students'!B:B) = TRIM(A1297)),
  """"
)"),6590.0)</f>
        <v>6590</v>
      </c>
      <c r="W1297" s="240" t="str">
        <f t="shared" si="1"/>
        <v/>
      </c>
      <c r="X1297" s="240" t="str">
        <f>IFERROR(__xludf.DUMMYFUNCTION("IFERROR(
  FILTER('CBK Students'!R:R, TRIM('CBK Students'!B:B) = TRIM(A1297)),
  """"
)"),"Prepare for Showcase")</f>
        <v>Prepare for Showcase</v>
      </c>
      <c r="Y1297" s="4" t="str">
        <f t="shared" si="2"/>
        <v/>
      </c>
      <c r="Z1297" s="4" t="str">
        <f>IFERROR(__xludf.DUMMYFUNCTION("IFERROR(
  FILTER('CBK Students'!O:O, TRIM('CBK Students'!B:B) = TRIM(A1297)),
  """"
)"),"#REF!")</f>
        <v>#REF!</v>
      </c>
      <c r="AA1297" s="4" t="str">
        <f>IFERROR(__xludf.DUMMYFUNCTION("IFERROR(
  FILTER('CBK Students'!P:P, TRIM('CBK Students'!B:B) = TRIM(A1297)),
  """"
)"),"#REF!")</f>
        <v>#REF!</v>
      </c>
      <c r="AB1297" s="4" t="str">
        <f>IFERROR(__xludf.DUMMYFUNCTION("IFERROR(
  FILTER('CBK Students'!Q:Q, TRIM('CBK Students'!B:B) = TRIM(A1297)),
  """"
)"),"#REF!")</f>
        <v>#REF!</v>
      </c>
    </row>
    <row r="1298" ht="18.75" customHeight="1">
      <c r="T1298" s="239"/>
      <c r="U1298" s="239"/>
      <c r="V1298" s="239">
        <f>IFERROR(__xludf.DUMMYFUNCTION("""COMPUTED_VALUE"""),6590.0)</f>
        <v>6590</v>
      </c>
      <c r="W1298" s="240" t="str">
        <f t="shared" si="1"/>
        <v/>
      </c>
      <c r="X1298" s="239" t="str">
        <f>IFERROR(__xludf.DUMMYFUNCTION("""COMPUTED_VALUE"""),"Prepare for Showcase")</f>
        <v>Prepare for Showcase</v>
      </c>
      <c r="Y1298" s="4" t="str">
        <f t="shared" si="2"/>
        <v/>
      </c>
      <c r="Z1298" s="4" t="str">
        <f>IFERROR(__xludf.DUMMYFUNCTION("IFERROR(
  FILTER('CBK Students'!O:O, TRIM('CBK Students'!B:B) = TRIM(A1298)),
  """"
)"),"#REF!")</f>
        <v>#REF!</v>
      </c>
      <c r="AA1298" s="4" t="str">
        <f>IFERROR(__xludf.DUMMYFUNCTION("IFERROR(
  FILTER('CBK Students'!P:P, TRIM('CBK Students'!B:B) = TRIM(A1298)),
  """"
)"),"#REF!")</f>
        <v>#REF!</v>
      </c>
      <c r="AB1298" s="4" t="str">
        <f>IFERROR(__xludf.DUMMYFUNCTION("IFERROR(
  FILTER('CBK Students'!Q:Q, TRIM('CBK Students'!B:B) = TRIM(A1298)),
  """"
)"),"#REF!")</f>
        <v>#REF!</v>
      </c>
    </row>
    <row r="1299" ht="18.75" customHeight="1">
      <c r="T1299" s="239"/>
      <c r="U1299" s="239"/>
      <c r="V1299" s="239">
        <f>IFERROR(__xludf.DUMMYFUNCTION("""COMPUTED_VALUE"""),6590.0)</f>
        <v>6590</v>
      </c>
      <c r="W1299" s="240" t="str">
        <f t="shared" si="1"/>
        <v/>
      </c>
      <c r="X1299" s="239" t="str">
        <f>IFERROR(__xludf.DUMMYFUNCTION("""COMPUTED_VALUE"""),"Prepare for Showcase")</f>
        <v>Prepare for Showcase</v>
      </c>
      <c r="Y1299" s="4" t="str">
        <f t="shared" si="2"/>
        <v/>
      </c>
      <c r="Z1299" s="4" t="str">
        <f>IFERROR(__xludf.DUMMYFUNCTION("IFERROR(
  FILTER('CBK Students'!O:O, TRIM('CBK Students'!B:B) = TRIM(A1299)),
  """"
)"),"#REF!")</f>
        <v>#REF!</v>
      </c>
      <c r="AA1299" s="4" t="str">
        <f>IFERROR(__xludf.DUMMYFUNCTION("IFERROR(
  FILTER('CBK Students'!P:P, TRIM('CBK Students'!B:B) = TRIM(A1299)),
  """"
)"),"#REF!")</f>
        <v>#REF!</v>
      </c>
      <c r="AB1299" s="4" t="str">
        <f>IFERROR(__xludf.DUMMYFUNCTION("IFERROR(
  FILTER('CBK Students'!Q:Q, TRIM('CBK Students'!B:B) = TRIM(A1299)),
  """"
)"),"#REF!")</f>
        <v>#REF!</v>
      </c>
    </row>
    <row r="1300" ht="18.75" customHeight="1">
      <c r="T1300" s="239"/>
      <c r="U1300" s="239"/>
      <c r="V1300" s="239">
        <f>IFERROR(__xludf.DUMMYFUNCTION("""COMPUTED_VALUE"""),6590.0)</f>
        <v>6590</v>
      </c>
      <c r="W1300" s="240" t="str">
        <f t="shared" si="1"/>
        <v/>
      </c>
      <c r="X1300" s="239" t="str">
        <f>IFERROR(__xludf.DUMMYFUNCTION("""COMPUTED_VALUE"""),"Prepare for Showcase")</f>
        <v>Prepare for Showcase</v>
      </c>
      <c r="Y1300" s="4" t="str">
        <f t="shared" si="2"/>
        <v/>
      </c>
      <c r="Z1300" s="4" t="str">
        <f>IFERROR(__xludf.DUMMYFUNCTION("IFERROR(
  FILTER('CBK Students'!O:O, TRIM('CBK Students'!B:B) = TRIM(A1300)),
  """"
)"),"#REF!")</f>
        <v>#REF!</v>
      </c>
      <c r="AA1300" s="4" t="str">
        <f>IFERROR(__xludf.DUMMYFUNCTION("IFERROR(
  FILTER('CBK Students'!P:P, TRIM('CBK Students'!B:B) = TRIM(A1300)),
  """"
)"),"#REF!")</f>
        <v>#REF!</v>
      </c>
      <c r="AB1300" s="4" t="str">
        <f>IFERROR(__xludf.DUMMYFUNCTION("IFERROR(
  FILTER('CBK Students'!Q:Q, TRIM('CBK Students'!B:B) = TRIM(A1300)),
  """"
)"),"#REF!")</f>
        <v>#REF!</v>
      </c>
    </row>
    <row r="1301" ht="18.75" customHeight="1">
      <c r="T1301" s="239"/>
      <c r="U1301" s="239"/>
      <c r="V1301" s="239">
        <f>IFERROR(__xludf.DUMMYFUNCTION("""COMPUTED_VALUE"""),6590.0)</f>
        <v>6590</v>
      </c>
      <c r="W1301" s="240" t="str">
        <f t="shared" si="1"/>
        <v/>
      </c>
      <c r="X1301" s="239" t="str">
        <f>IFERROR(__xludf.DUMMYFUNCTION("""COMPUTED_VALUE"""),"Prepare for Showcase")</f>
        <v>Prepare for Showcase</v>
      </c>
      <c r="Y1301" s="4" t="str">
        <f t="shared" si="2"/>
        <v/>
      </c>
      <c r="Z1301" s="4" t="str">
        <f>IFERROR(__xludf.DUMMYFUNCTION("IFERROR(
  FILTER('CBK Students'!O:O, TRIM('CBK Students'!B:B) = TRIM(A1301)),
  """"
)"),"#REF!")</f>
        <v>#REF!</v>
      </c>
      <c r="AA1301" s="4" t="str">
        <f>IFERROR(__xludf.DUMMYFUNCTION("IFERROR(
  FILTER('CBK Students'!P:P, TRIM('CBK Students'!B:B) = TRIM(A1301)),
  """"
)"),"#REF!")</f>
        <v>#REF!</v>
      </c>
      <c r="AB1301" s="4" t="str">
        <f>IFERROR(__xludf.DUMMYFUNCTION("IFERROR(
  FILTER('CBK Students'!Q:Q, TRIM('CBK Students'!B:B) = TRIM(A1301)),
  """"
)"),"#REF!")</f>
        <v>#REF!</v>
      </c>
    </row>
    <row r="1302" ht="18.75" customHeight="1">
      <c r="T1302" s="239"/>
      <c r="U1302" s="239"/>
      <c r="V1302" s="239">
        <f>IFERROR(__xludf.DUMMYFUNCTION("""COMPUTED_VALUE"""),6590.0)</f>
        <v>6590</v>
      </c>
      <c r="W1302" s="240" t="str">
        <f t="shared" si="1"/>
        <v/>
      </c>
      <c r="X1302" s="239" t="str">
        <f>IFERROR(__xludf.DUMMYFUNCTION("""COMPUTED_VALUE"""),"Prepare for Showcase")</f>
        <v>Prepare for Showcase</v>
      </c>
      <c r="Y1302" s="4" t="str">
        <f t="shared" si="2"/>
        <v/>
      </c>
      <c r="Z1302" s="4" t="str">
        <f>IFERROR(__xludf.DUMMYFUNCTION("IFERROR(
  FILTER('CBK Students'!O:O, TRIM('CBK Students'!B:B) = TRIM(A1302)),
  """"
)"),"#REF!")</f>
        <v>#REF!</v>
      </c>
      <c r="AA1302" s="4" t="str">
        <f>IFERROR(__xludf.DUMMYFUNCTION("IFERROR(
  FILTER('CBK Students'!P:P, TRIM('CBK Students'!B:B) = TRIM(A1302)),
  """"
)"),"#REF!")</f>
        <v>#REF!</v>
      </c>
      <c r="AB1302" s="4" t="str">
        <f>IFERROR(__xludf.DUMMYFUNCTION("IFERROR(
  FILTER('CBK Students'!Q:Q, TRIM('CBK Students'!B:B) = TRIM(A1302)),
  """"
)"),"#REF!")</f>
        <v>#REF!</v>
      </c>
    </row>
    <row r="1303" ht="18.75" customHeight="1">
      <c r="T1303" s="239"/>
      <c r="U1303" s="239"/>
      <c r="V1303" s="239">
        <f>IFERROR(__xludf.DUMMYFUNCTION("""COMPUTED_VALUE"""),6590.0)</f>
        <v>6590</v>
      </c>
      <c r="W1303" s="240" t="str">
        <f t="shared" si="1"/>
        <v/>
      </c>
      <c r="X1303" s="239" t="str">
        <f>IFERROR(__xludf.DUMMYFUNCTION("""COMPUTED_VALUE"""),"Prepare for Showcase")</f>
        <v>Prepare for Showcase</v>
      </c>
      <c r="Y1303" s="4" t="str">
        <f t="shared" si="2"/>
        <v/>
      </c>
      <c r="Z1303" s="4" t="str">
        <f>IFERROR(__xludf.DUMMYFUNCTION("IFERROR(
  FILTER('CBK Students'!O:O, TRIM('CBK Students'!B:B) = TRIM(A1303)),
  """"
)"),"#REF!")</f>
        <v>#REF!</v>
      </c>
      <c r="AA1303" s="4" t="str">
        <f>IFERROR(__xludf.DUMMYFUNCTION("IFERROR(
  FILTER('CBK Students'!P:P, TRIM('CBK Students'!B:B) = TRIM(A1303)),
  """"
)"),"#REF!")</f>
        <v>#REF!</v>
      </c>
      <c r="AB1303" s="4" t="str">
        <f>IFERROR(__xludf.DUMMYFUNCTION("IFERROR(
  FILTER('CBK Students'!Q:Q, TRIM('CBK Students'!B:B) = TRIM(A1303)),
  """"
)"),"#REF!")</f>
        <v>#REF!</v>
      </c>
    </row>
    <row r="1304" ht="18.75" customHeight="1">
      <c r="T1304" s="239"/>
      <c r="U1304" s="239"/>
      <c r="V1304" s="239">
        <f>IFERROR(__xludf.DUMMYFUNCTION("""COMPUTED_VALUE"""),6590.0)</f>
        <v>6590</v>
      </c>
      <c r="W1304" s="240" t="str">
        <f t="shared" si="1"/>
        <v/>
      </c>
      <c r="X1304" s="239" t="str">
        <f>IFERROR(__xludf.DUMMYFUNCTION("""COMPUTED_VALUE"""),"Prepare for Showcase")</f>
        <v>Prepare for Showcase</v>
      </c>
      <c r="Y1304" s="4" t="str">
        <f t="shared" si="2"/>
        <v/>
      </c>
      <c r="Z1304" s="4" t="str">
        <f>IFERROR(__xludf.DUMMYFUNCTION("IFERROR(
  FILTER('CBK Students'!O:O, TRIM('CBK Students'!B:B) = TRIM(A1304)),
  """"
)"),"#REF!")</f>
        <v>#REF!</v>
      </c>
      <c r="AA1304" s="4" t="str">
        <f>IFERROR(__xludf.DUMMYFUNCTION("IFERROR(
  FILTER('CBK Students'!P:P, TRIM('CBK Students'!B:B) = TRIM(A1304)),
  """"
)"),"#REF!")</f>
        <v>#REF!</v>
      </c>
      <c r="AB1304" s="4" t="str">
        <f>IFERROR(__xludf.DUMMYFUNCTION("IFERROR(
  FILTER('CBK Students'!Q:Q, TRIM('CBK Students'!B:B) = TRIM(A1304)),
  """"
)"),"#REF!")</f>
        <v>#REF!</v>
      </c>
    </row>
    <row r="1305" ht="18.75" customHeight="1">
      <c r="T1305" s="239"/>
      <c r="U1305" s="239"/>
      <c r="V1305" s="239">
        <f>IFERROR(__xludf.DUMMYFUNCTION("""COMPUTED_VALUE"""),6590.0)</f>
        <v>6590</v>
      </c>
      <c r="W1305" s="240" t="str">
        <f t="shared" si="1"/>
        <v/>
      </c>
      <c r="X1305" s="239" t="str">
        <f>IFERROR(__xludf.DUMMYFUNCTION("""COMPUTED_VALUE"""),"Prepare for Showcase")</f>
        <v>Prepare for Showcase</v>
      </c>
      <c r="Y1305" s="4" t="str">
        <f t="shared" si="2"/>
        <v/>
      </c>
      <c r="Z1305" s="4" t="str">
        <f>IFERROR(__xludf.DUMMYFUNCTION("IFERROR(
  FILTER('CBK Students'!O:O, TRIM('CBK Students'!B:B) = TRIM(A1305)),
  """"
)"),"#REF!")</f>
        <v>#REF!</v>
      </c>
      <c r="AA1305" s="4" t="str">
        <f>IFERROR(__xludf.DUMMYFUNCTION("IFERROR(
  FILTER('CBK Students'!P:P, TRIM('CBK Students'!B:B) = TRIM(A1305)),
  """"
)"),"#REF!")</f>
        <v>#REF!</v>
      </c>
      <c r="AB1305" s="4" t="str">
        <f>IFERROR(__xludf.DUMMYFUNCTION("IFERROR(
  FILTER('CBK Students'!Q:Q, TRIM('CBK Students'!B:B) = TRIM(A1305)),
  """"
)"),"#REF!")</f>
        <v>#REF!</v>
      </c>
    </row>
    <row r="1306" ht="18.75" customHeight="1">
      <c r="T1306" s="239"/>
      <c r="U1306" s="239"/>
      <c r="V1306" s="239">
        <f>IFERROR(__xludf.DUMMYFUNCTION("""COMPUTED_VALUE"""),6590.0)</f>
        <v>6590</v>
      </c>
      <c r="W1306" s="240" t="str">
        <f t="shared" si="1"/>
        <v/>
      </c>
      <c r="X1306" s="239" t="str">
        <f>IFERROR(__xludf.DUMMYFUNCTION("""COMPUTED_VALUE"""),"Prepare for Showcase")</f>
        <v>Prepare for Showcase</v>
      </c>
      <c r="Y1306" s="4" t="str">
        <f t="shared" si="2"/>
        <v/>
      </c>
      <c r="Z1306" s="4" t="str">
        <f>IFERROR(__xludf.DUMMYFUNCTION("IFERROR(
  FILTER('CBK Students'!O:O, TRIM('CBK Students'!B:B) = TRIM(A1306)),
  """"
)"),"#REF!")</f>
        <v>#REF!</v>
      </c>
      <c r="AA1306" s="4" t="str">
        <f>IFERROR(__xludf.DUMMYFUNCTION("IFERROR(
  FILTER('CBK Students'!P:P, TRIM('CBK Students'!B:B) = TRIM(A1306)),
  """"
)"),"#REF!")</f>
        <v>#REF!</v>
      </c>
      <c r="AB1306" s="4" t="str">
        <f>IFERROR(__xludf.DUMMYFUNCTION("IFERROR(
  FILTER('CBK Students'!Q:Q, TRIM('CBK Students'!B:B) = TRIM(A1306)),
  """"
)"),"#REF!")</f>
        <v>#REF!</v>
      </c>
    </row>
    <row r="1307" ht="18.75" customHeight="1">
      <c r="T1307" s="239"/>
      <c r="U1307" s="239"/>
      <c r="V1307" s="239">
        <f>IFERROR(__xludf.DUMMYFUNCTION("""COMPUTED_VALUE"""),6590.0)</f>
        <v>6590</v>
      </c>
      <c r="W1307" s="240" t="str">
        <f t="shared" si="1"/>
        <v/>
      </c>
      <c r="X1307" s="239" t="str">
        <f>IFERROR(__xludf.DUMMYFUNCTION("""COMPUTED_VALUE"""),"Prepare for Showcase")</f>
        <v>Prepare for Showcase</v>
      </c>
      <c r="Y1307" s="4" t="str">
        <f t="shared" si="2"/>
        <v/>
      </c>
      <c r="Z1307" s="4" t="str">
        <f>IFERROR(__xludf.DUMMYFUNCTION("IFERROR(
  FILTER('CBK Students'!O:O, TRIM('CBK Students'!B:B) = TRIM(A1307)),
  """"
)"),"#REF!")</f>
        <v>#REF!</v>
      </c>
      <c r="AA1307" s="4" t="str">
        <f>IFERROR(__xludf.DUMMYFUNCTION("IFERROR(
  FILTER('CBK Students'!P:P, TRIM('CBK Students'!B:B) = TRIM(A1307)),
  """"
)"),"#REF!")</f>
        <v>#REF!</v>
      </c>
      <c r="AB1307" s="4" t="str">
        <f>IFERROR(__xludf.DUMMYFUNCTION("IFERROR(
  FILTER('CBK Students'!Q:Q, TRIM('CBK Students'!B:B) = TRIM(A1307)),
  """"
)"),"#REF!")</f>
        <v>#REF!</v>
      </c>
    </row>
    <row r="1308" ht="18.75" customHeight="1">
      <c r="T1308" s="239"/>
      <c r="U1308" s="239"/>
      <c r="V1308" s="239">
        <f>IFERROR(__xludf.DUMMYFUNCTION("""COMPUTED_VALUE"""),6590.0)</f>
        <v>6590</v>
      </c>
      <c r="W1308" s="240" t="str">
        <f t="shared" si="1"/>
        <v/>
      </c>
      <c r="X1308" s="239" t="str">
        <f>IFERROR(__xludf.DUMMYFUNCTION("""COMPUTED_VALUE"""),"Prepare for Showcase")</f>
        <v>Prepare for Showcase</v>
      </c>
      <c r="Y1308" s="4" t="str">
        <f t="shared" si="2"/>
        <v/>
      </c>
      <c r="Z1308" s="4" t="str">
        <f>IFERROR(__xludf.DUMMYFUNCTION("IFERROR(
  FILTER('CBK Students'!O:O, TRIM('CBK Students'!B:B) = TRIM(A1308)),
  """"
)"),"#REF!")</f>
        <v>#REF!</v>
      </c>
      <c r="AA1308" s="4" t="str">
        <f>IFERROR(__xludf.DUMMYFUNCTION("IFERROR(
  FILTER('CBK Students'!P:P, TRIM('CBK Students'!B:B) = TRIM(A1308)),
  """"
)"),"#REF!")</f>
        <v>#REF!</v>
      </c>
      <c r="AB1308" s="4" t="str">
        <f>IFERROR(__xludf.DUMMYFUNCTION("IFERROR(
  FILTER('CBK Students'!Q:Q, TRIM('CBK Students'!B:B) = TRIM(A1308)),
  """"
)"),"#REF!")</f>
        <v>#REF!</v>
      </c>
    </row>
    <row r="1309" ht="18.75" customHeight="1">
      <c r="T1309" s="239"/>
      <c r="U1309" s="239"/>
      <c r="V1309" s="239">
        <f>IFERROR(__xludf.DUMMYFUNCTION("""COMPUTED_VALUE"""),6590.0)</f>
        <v>6590</v>
      </c>
      <c r="W1309" s="240" t="str">
        <f t="shared" si="1"/>
        <v/>
      </c>
      <c r="X1309" s="239" t="str">
        <f>IFERROR(__xludf.DUMMYFUNCTION("""COMPUTED_VALUE"""),"Prepare for Showcase")</f>
        <v>Prepare for Showcase</v>
      </c>
      <c r="Y1309" s="4" t="str">
        <f t="shared" si="2"/>
        <v/>
      </c>
      <c r="Z1309" s="4" t="str">
        <f>IFERROR(__xludf.DUMMYFUNCTION("IFERROR(
  FILTER('CBK Students'!O:O, TRIM('CBK Students'!B:B) = TRIM(A1309)),
  """"
)"),"#REF!")</f>
        <v>#REF!</v>
      </c>
      <c r="AA1309" s="4" t="str">
        <f>IFERROR(__xludf.DUMMYFUNCTION("IFERROR(
  FILTER('CBK Students'!P:P, TRIM('CBK Students'!B:B) = TRIM(A1309)),
  """"
)"),"#REF!")</f>
        <v>#REF!</v>
      </c>
      <c r="AB1309" s="4" t="str">
        <f>IFERROR(__xludf.DUMMYFUNCTION("IFERROR(
  FILTER('CBK Students'!Q:Q, TRIM('CBK Students'!B:B) = TRIM(A1309)),
  """"
)"),"#REF!")</f>
        <v>#REF!</v>
      </c>
    </row>
    <row r="1310" ht="18.75" customHeight="1">
      <c r="T1310" s="239"/>
      <c r="U1310" s="239"/>
      <c r="V1310" s="239">
        <f>IFERROR(__xludf.DUMMYFUNCTION("""COMPUTED_VALUE"""),6590.0)</f>
        <v>6590</v>
      </c>
      <c r="W1310" s="240" t="str">
        <f t="shared" si="1"/>
        <v/>
      </c>
      <c r="X1310" s="239" t="str">
        <f>IFERROR(__xludf.DUMMYFUNCTION("""COMPUTED_VALUE"""),"Prepare for Showcase")</f>
        <v>Prepare for Showcase</v>
      </c>
      <c r="Y1310" s="4" t="str">
        <f t="shared" si="2"/>
        <v/>
      </c>
      <c r="Z1310" s="4" t="str">
        <f>IFERROR(__xludf.DUMMYFUNCTION("IFERROR(
  FILTER('CBK Students'!O:O, TRIM('CBK Students'!B:B) = TRIM(A1310)),
  """"
)"),"#REF!")</f>
        <v>#REF!</v>
      </c>
      <c r="AA1310" s="4" t="str">
        <f>IFERROR(__xludf.DUMMYFUNCTION("IFERROR(
  FILTER('CBK Students'!P:P, TRIM('CBK Students'!B:B) = TRIM(A1310)),
  """"
)"),"#REF!")</f>
        <v>#REF!</v>
      </c>
      <c r="AB1310" s="4" t="str">
        <f>IFERROR(__xludf.DUMMYFUNCTION("IFERROR(
  FILTER('CBK Students'!Q:Q, TRIM('CBK Students'!B:B) = TRIM(A1310)),
  """"
)"),"#REF!")</f>
        <v>#REF!</v>
      </c>
    </row>
    <row r="1311" ht="18.75" customHeight="1">
      <c r="T1311" s="239"/>
      <c r="U1311" s="239"/>
      <c r="V1311" s="239">
        <f>IFERROR(__xludf.DUMMYFUNCTION("""COMPUTED_VALUE"""),6590.0)</f>
        <v>6590</v>
      </c>
      <c r="W1311" s="240" t="str">
        <f t="shared" si="1"/>
        <v/>
      </c>
      <c r="X1311" s="239" t="str">
        <f>IFERROR(__xludf.DUMMYFUNCTION("""COMPUTED_VALUE"""),"Prepare for Showcase")</f>
        <v>Prepare for Showcase</v>
      </c>
      <c r="Y1311" s="4" t="str">
        <f t="shared" si="2"/>
        <v/>
      </c>
      <c r="Z1311" s="4" t="str">
        <f>IFERROR(__xludf.DUMMYFUNCTION("IFERROR(
  FILTER('CBK Students'!O:O, TRIM('CBK Students'!B:B) = TRIM(A1311)),
  """"
)"),"#REF!")</f>
        <v>#REF!</v>
      </c>
      <c r="AA1311" s="4" t="str">
        <f>IFERROR(__xludf.DUMMYFUNCTION("IFERROR(
  FILTER('CBK Students'!P:P, TRIM('CBK Students'!B:B) = TRIM(A1311)),
  """"
)"),"#REF!")</f>
        <v>#REF!</v>
      </c>
      <c r="AB1311" s="4" t="str">
        <f>IFERROR(__xludf.DUMMYFUNCTION("IFERROR(
  FILTER('CBK Students'!Q:Q, TRIM('CBK Students'!B:B) = TRIM(A1311)),
  """"
)"),"#REF!")</f>
        <v>#REF!</v>
      </c>
    </row>
    <row r="1312" ht="18.75" customHeight="1">
      <c r="T1312" s="239"/>
      <c r="U1312" s="239"/>
      <c r="V1312" s="239">
        <f>IFERROR(__xludf.DUMMYFUNCTION("""COMPUTED_VALUE"""),6590.0)</f>
        <v>6590</v>
      </c>
      <c r="W1312" s="240" t="str">
        <f t="shared" si="1"/>
        <v/>
      </c>
      <c r="X1312" s="239" t="str">
        <f>IFERROR(__xludf.DUMMYFUNCTION("""COMPUTED_VALUE"""),"Prepare for Showcase")</f>
        <v>Prepare for Showcase</v>
      </c>
      <c r="Y1312" s="4" t="str">
        <f t="shared" si="2"/>
        <v/>
      </c>
      <c r="Z1312" s="4" t="str">
        <f>IFERROR(__xludf.DUMMYFUNCTION("IFERROR(
  FILTER('CBK Students'!O:O, TRIM('CBK Students'!B:B) = TRIM(A1312)),
  """"
)"),"#REF!")</f>
        <v>#REF!</v>
      </c>
      <c r="AA1312" s="4" t="str">
        <f>IFERROR(__xludf.DUMMYFUNCTION("IFERROR(
  FILTER('CBK Students'!P:P, TRIM('CBK Students'!B:B) = TRIM(A1312)),
  """"
)"),"#REF!")</f>
        <v>#REF!</v>
      </c>
      <c r="AB1312" s="4" t="str">
        <f>IFERROR(__xludf.DUMMYFUNCTION("IFERROR(
  FILTER('CBK Students'!Q:Q, TRIM('CBK Students'!B:B) = TRIM(A1312)),
  """"
)"),"#REF!")</f>
        <v>#REF!</v>
      </c>
    </row>
    <row r="1313" ht="18.75" customHeight="1">
      <c r="T1313" s="239"/>
      <c r="U1313" s="239"/>
      <c r="V1313" s="239">
        <f>IFERROR(__xludf.DUMMYFUNCTION("""COMPUTED_VALUE"""),6590.0)</f>
        <v>6590</v>
      </c>
      <c r="W1313" s="240" t="str">
        <f t="shared" si="1"/>
        <v/>
      </c>
      <c r="X1313" s="239" t="str">
        <f>IFERROR(__xludf.DUMMYFUNCTION("""COMPUTED_VALUE"""),"Prepare for Showcase")</f>
        <v>Prepare for Showcase</v>
      </c>
      <c r="Y1313" s="4" t="str">
        <f t="shared" si="2"/>
        <v/>
      </c>
      <c r="Z1313" s="4" t="str">
        <f>IFERROR(__xludf.DUMMYFUNCTION("IFERROR(
  FILTER('CBK Students'!O:O, TRIM('CBK Students'!B:B) = TRIM(A1313)),
  """"
)"),"#REF!")</f>
        <v>#REF!</v>
      </c>
      <c r="AA1313" s="4" t="str">
        <f>IFERROR(__xludf.DUMMYFUNCTION("IFERROR(
  FILTER('CBK Students'!P:P, TRIM('CBK Students'!B:B) = TRIM(A1313)),
  """"
)"),"#REF!")</f>
        <v>#REF!</v>
      </c>
      <c r="AB1313" s="4" t="str">
        <f>IFERROR(__xludf.DUMMYFUNCTION("IFERROR(
  FILTER('CBK Students'!Q:Q, TRIM('CBK Students'!B:B) = TRIM(A1313)),
  """"
)"),"#REF!")</f>
        <v>#REF!</v>
      </c>
    </row>
    <row r="1314" ht="18.75" customHeight="1">
      <c r="T1314" s="239"/>
      <c r="U1314" s="239"/>
      <c r="V1314" s="239">
        <f>IFERROR(__xludf.DUMMYFUNCTION("""COMPUTED_VALUE"""),6590.0)</f>
        <v>6590</v>
      </c>
      <c r="W1314" s="240" t="str">
        <f t="shared" si="1"/>
        <v/>
      </c>
      <c r="X1314" s="239" t="str">
        <f>IFERROR(__xludf.DUMMYFUNCTION("""COMPUTED_VALUE"""),"Prepare for Showcase")</f>
        <v>Prepare for Showcase</v>
      </c>
      <c r="Y1314" s="4" t="str">
        <f t="shared" si="2"/>
        <v/>
      </c>
      <c r="Z1314" s="4" t="str">
        <f>IFERROR(__xludf.DUMMYFUNCTION("IFERROR(
  FILTER('CBK Students'!O:O, TRIM('CBK Students'!B:B) = TRIM(A1314)),
  """"
)"),"#REF!")</f>
        <v>#REF!</v>
      </c>
      <c r="AA1314" s="4" t="str">
        <f>IFERROR(__xludf.DUMMYFUNCTION("IFERROR(
  FILTER('CBK Students'!P:P, TRIM('CBK Students'!B:B) = TRIM(A1314)),
  """"
)"),"#REF!")</f>
        <v>#REF!</v>
      </c>
      <c r="AB1314" s="4" t="str">
        <f>IFERROR(__xludf.DUMMYFUNCTION("IFERROR(
  FILTER('CBK Students'!Q:Q, TRIM('CBK Students'!B:B) = TRIM(A1314)),
  """"
)"),"#REF!")</f>
        <v>#REF!</v>
      </c>
    </row>
    <row r="1315" ht="18.75" customHeight="1">
      <c r="T1315" s="239"/>
      <c r="U1315" s="239"/>
      <c r="V1315" s="239">
        <f>IFERROR(__xludf.DUMMYFUNCTION("""COMPUTED_VALUE"""),6590.0)</f>
        <v>6590</v>
      </c>
      <c r="W1315" s="240" t="str">
        <f t="shared" si="1"/>
        <v/>
      </c>
      <c r="X1315" s="239" t="str">
        <f>IFERROR(__xludf.DUMMYFUNCTION("""COMPUTED_VALUE"""),"Prepare for Showcase")</f>
        <v>Prepare for Showcase</v>
      </c>
      <c r="Y1315" s="4" t="str">
        <f t="shared" si="2"/>
        <v/>
      </c>
      <c r="Z1315" s="4" t="str">
        <f>IFERROR(__xludf.DUMMYFUNCTION("IFERROR(
  FILTER('CBK Students'!O:O, TRIM('CBK Students'!B:B) = TRIM(A1315)),
  """"
)"),"#REF!")</f>
        <v>#REF!</v>
      </c>
      <c r="AA1315" s="4" t="str">
        <f>IFERROR(__xludf.DUMMYFUNCTION("IFERROR(
  FILTER('CBK Students'!P:P, TRIM('CBK Students'!B:B) = TRIM(A1315)),
  """"
)"),"#REF!")</f>
        <v>#REF!</v>
      </c>
      <c r="AB1315" s="4" t="str">
        <f>IFERROR(__xludf.DUMMYFUNCTION("IFERROR(
  FILTER('CBK Students'!Q:Q, TRIM('CBK Students'!B:B) = TRIM(A1315)),
  """"
)"),"#REF!")</f>
        <v>#REF!</v>
      </c>
    </row>
    <row r="1316" ht="18.75" customHeight="1">
      <c r="T1316" s="239"/>
      <c r="U1316" s="239"/>
      <c r="V1316" s="239">
        <f>IFERROR(__xludf.DUMMYFUNCTION("""COMPUTED_VALUE"""),6590.0)</f>
        <v>6590</v>
      </c>
      <c r="W1316" s="240" t="str">
        <f t="shared" si="1"/>
        <v/>
      </c>
      <c r="X1316" s="239" t="str">
        <f>IFERROR(__xludf.DUMMYFUNCTION("""COMPUTED_VALUE"""),"Prepare for Showcase")</f>
        <v>Prepare for Showcase</v>
      </c>
      <c r="Y1316" s="4" t="str">
        <f t="shared" si="2"/>
        <v/>
      </c>
      <c r="Z1316" s="4" t="str">
        <f>IFERROR(__xludf.DUMMYFUNCTION("IFERROR(
  FILTER('CBK Students'!O:O, TRIM('CBK Students'!B:B) = TRIM(A1316)),
  """"
)"),"#REF!")</f>
        <v>#REF!</v>
      </c>
      <c r="AA1316" s="4" t="str">
        <f>IFERROR(__xludf.DUMMYFUNCTION("IFERROR(
  FILTER('CBK Students'!P:P, TRIM('CBK Students'!B:B) = TRIM(A1316)),
  """"
)"),"#REF!")</f>
        <v>#REF!</v>
      </c>
      <c r="AB1316" s="4" t="str">
        <f>IFERROR(__xludf.DUMMYFUNCTION("IFERROR(
  FILTER('CBK Students'!Q:Q, TRIM('CBK Students'!B:B) = TRIM(A1316)),
  """"
)"),"#REF!")</f>
        <v>#REF!</v>
      </c>
    </row>
    <row r="1317" ht="18.75" customHeight="1">
      <c r="T1317" s="239"/>
      <c r="U1317" s="239"/>
      <c r="V1317" s="239">
        <f>IFERROR(__xludf.DUMMYFUNCTION("""COMPUTED_VALUE"""),6590.0)</f>
        <v>6590</v>
      </c>
      <c r="W1317" s="240" t="str">
        <f t="shared" si="1"/>
        <v/>
      </c>
      <c r="X1317" s="239" t="str">
        <f>IFERROR(__xludf.DUMMYFUNCTION("""COMPUTED_VALUE"""),"Prepare for Showcase")</f>
        <v>Prepare for Showcase</v>
      </c>
      <c r="Y1317" s="4" t="str">
        <f t="shared" si="2"/>
        <v/>
      </c>
      <c r="Z1317" s="4" t="str">
        <f>IFERROR(__xludf.DUMMYFUNCTION("IFERROR(
  FILTER('CBK Students'!O:O, TRIM('CBK Students'!B:B) = TRIM(A1317)),
  """"
)"),"#REF!")</f>
        <v>#REF!</v>
      </c>
      <c r="AA1317" s="4" t="str">
        <f>IFERROR(__xludf.DUMMYFUNCTION("IFERROR(
  FILTER('CBK Students'!P:P, TRIM('CBK Students'!B:B) = TRIM(A1317)),
  """"
)"),"#REF!")</f>
        <v>#REF!</v>
      </c>
      <c r="AB1317" s="4" t="str">
        <f>IFERROR(__xludf.DUMMYFUNCTION("IFERROR(
  FILTER('CBK Students'!Q:Q, TRIM('CBK Students'!B:B) = TRIM(A1317)),
  """"
)"),"#REF!")</f>
        <v>#REF!</v>
      </c>
    </row>
    <row r="1318" ht="18.75" customHeight="1">
      <c r="T1318" s="239"/>
      <c r="U1318" s="239"/>
      <c r="V1318" s="239">
        <f>IFERROR(__xludf.DUMMYFUNCTION("""COMPUTED_VALUE"""),6590.0)</f>
        <v>6590</v>
      </c>
      <c r="W1318" s="240" t="str">
        <f t="shared" si="1"/>
        <v/>
      </c>
      <c r="X1318" s="239" t="str">
        <f>IFERROR(__xludf.DUMMYFUNCTION("""COMPUTED_VALUE"""),"Prepare for Showcase")</f>
        <v>Prepare for Showcase</v>
      </c>
      <c r="Y1318" s="4" t="str">
        <f t="shared" si="2"/>
        <v/>
      </c>
      <c r="Z1318" s="4" t="str">
        <f>IFERROR(__xludf.DUMMYFUNCTION("IFERROR(
  FILTER('CBK Students'!O:O, TRIM('CBK Students'!B:B) = TRIM(A1318)),
  """"
)"),"#REF!")</f>
        <v>#REF!</v>
      </c>
      <c r="AA1318" s="4" t="str">
        <f>IFERROR(__xludf.DUMMYFUNCTION("IFERROR(
  FILTER('CBK Students'!P:P, TRIM('CBK Students'!B:B) = TRIM(A1318)),
  """"
)"),"#REF!")</f>
        <v>#REF!</v>
      </c>
      <c r="AB1318" s="4" t="str">
        <f>IFERROR(__xludf.DUMMYFUNCTION("IFERROR(
  FILTER('CBK Students'!Q:Q, TRIM('CBK Students'!B:B) = TRIM(A1318)),
  """"
)"),"#REF!")</f>
        <v>#REF!</v>
      </c>
    </row>
    <row r="1319" ht="18.75" customHeight="1">
      <c r="T1319" s="239"/>
      <c r="U1319" s="239"/>
      <c r="V1319" s="239">
        <f>IFERROR(__xludf.DUMMYFUNCTION("""COMPUTED_VALUE"""),6590.0)</f>
        <v>6590</v>
      </c>
      <c r="W1319" s="240" t="str">
        <f t="shared" si="1"/>
        <v/>
      </c>
      <c r="X1319" s="239" t="str">
        <f>IFERROR(__xludf.DUMMYFUNCTION("""COMPUTED_VALUE"""),"Prepare for Showcase")</f>
        <v>Prepare for Showcase</v>
      </c>
      <c r="Y1319" s="4" t="str">
        <f t="shared" si="2"/>
        <v/>
      </c>
      <c r="Z1319" s="4" t="str">
        <f>IFERROR(__xludf.DUMMYFUNCTION("IFERROR(
  FILTER('CBK Students'!O:O, TRIM('CBK Students'!B:B) = TRIM(A1319)),
  """"
)"),"#REF!")</f>
        <v>#REF!</v>
      </c>
      <c r="AA1319" s="4" t="str">
        <f>IFERROR(__xludf.DUMMYFUNCTION("IFERROR(
  FILTER('CBK Students'!P:P, TRIM('CBK Students'!B:B) = TRIM(A1319)),
  """"
)"),"#REF!")</f>
        <v>#REF!</v>
      </c>
      <c r="AB1319" s="4" t="str">
        <f>IFERROR(__xludf.DUMMYFUNCTION("IFERROR(
  FILTER('CBK Students'!Q:Q, TRIM('CBK Students'!B:B) = TRIM(A1319)),
  """"
)"),"#REF!")</f>
        <v>#REF!</v>
      </c>
    </row>
    <row r="1320" ht="18.75" customHeight="1">
      <c r="T1320" s="239"/>
      <c r="U1320" s="239"/>
      <c r="V1320" s="239">
        <f>IFERROR(__xludf.DUMMYFUNCTION("""COMPUTED_VALUE"""),6590.0)</f>
        <v>6590</v>
      </c>
      <c r="W1320" s="240" t="str">
        <f t="shared" si="1"/>
        <v/>
      </c>
      <c r="X1320" s="239" t="str">
        <f>IFERROR(__xludf.DUMMYFUNCTION("""COMPUTED_VALUE"""),"Prepare for Showcase")</f>
        <v>Prepare for Showcase</v>
      </c>
      <c r="Y1320" s="4" t="str">
        <f t="shared" si="2"/>
        <v/>
      </c>
      <c r="Z1320" s="4" t="str">
        <f>IFERROR(__xludf.DUMMYFUNCTION("IFERROR(
  FILTER('CBK Students'!O:O, TRIM('CBK Students'!B:B) = TRIM(A1320)),
  """"
)"),"#REF!")</f>
        <v>#REF!</v>
      </c>
      <c r="AA1320" s="4" t="str">
        <f>IFERROR(__xludf.DUMMYFUNCTION("IFERROR(
  FILTER('CBK Students'!P:P, TRIM('CBK Students'!B:B) = TRIM(A1320)),
  """"
)"),"#REF!")</f>
        <v>#REF!</v>
      </c>
      <c r="AB1320" s="4" t="str">
        <f>IFERROR(__xludf.DUMMYFUNCTION("IFERROR(
  FILTER('CBK Students'!Q:Q, TRIM('CBK Students'!B:B) = TRIM(A1320)),
  """"
)"),"#REF!")</f>
        <v>#REF!</v>
      </c>
    </row>
    <row r="1321" ht="18.75" customHeight="1">
      <c r="T1321" s="239"/>
      <c r="U1321" s="239"/>
      <c r="V1321" s="239">
        <f>IFERROR(__xludf.DUMMYFUNCTION("""COMPUTED_VALUE"""),6590.0)</f>
        <v>6590</v>
      </c>
      <c r="W1321" s="240" t="str">
        <f t="shared" si="1"/>
        <v/>
      </c>
      <c r="X1321" s="239" t="str">
        <f>IFERROR(__xludf.DUMMYFUNCTION("""COMPUTED_VALUE"""),"Prepare for Showcase")</f>
        <v>Prepare for Showcase</v>
      </c>
      <c r="Y1321" s="4" t="str">
        <f t="shared" si="2"/>
        <v/>
      </c>
      <c r="Z1321" s="4" t="str">
        <f>IFERROR(__xludf.DUMMYFUNCTION("IFERROR(
  FILTER('CBK Students'!O:O, TRIM('CBK Students'!B:B) = TRIM(A1321)),
  """"
)"),"#REF!")</f>
        <v>#REF!</v>
      </c>
      <c r="AA1321" s="4" t="str">
        <f>IFERROR(__xludf.DUMMYFUNCTION("IFERROR(
  FILTER('CBK Students'!P:P, TRIM('CBK Students'!B:B) = TRIM(A1321)),
  """"
)"),"#REF!")</f>
        <v>#REF!</v>
      </c>
      <c r="AB1321" s="4" t="str">
        <f>IFERROR(__xludf.DUMMYFUNCTION("IFERROR(
  FILTER('CBK Students'!Q:Q, TRIM('CBK Students'!B:B) = TRIM(A1321)),
  """"
)"),"#REF!")</f>
        <v>#REF!</v>
      </c>
    </row>
    <row r="1322" ht="18.75" customHeight="1">
      <c r="T1322" s="239"/>
      <c r="U1322" s="239"/>
      <c r="V1322" s="239">
        <f>IFERROR(__xludf.DUMMYFUNCTION("""COMPUTED_VALUE"""),6590.0)</f>
        <v>6590</v>
      </c>
      <c r="W1322" s="240" t="str">
        <f t="shared" si="1"/>
        <v/>
      </c>
      <c r="X1322" s="239" t="str">
        <f>IFERROR(__xludf.DUMMYFUNCTION("""COMPUTED_VALUE"""),"Prepare for Showcase")</f>
        <v>Prepare for Showcase</v>
      </c>
      <c r="Y1322" s="4" t="str">
        <f t="shared" si="2"/>
        <v/>
      </c>
      <c r="Z1322" s="4" t="str">
        <f>IFERROR(__xludf.DUMMYFUNCTION("IFERROR(
  FILTER('CBK Students'!O:O, TRIM('CBK Students'!B:B) = TRIM(A1322)),
  """"
)"),"#REF!")</f>
        <v>#REF!</v>
      </c>
      <c r="AA1322" s="4" t="str">
        <f>IFERROR(__xludf.DUMMYFUNCTION("IFERROR(
  FILTER('CBK Students'!P:P, TRIM('CBK Students'!B:B) = TRIM(A1322)),
  """"
)"),"#REF!")</f>
        <v>#REF!</v>
      </c>
      <c r="AB1322" s="4" t="str">
        <f>IFERROR(__xludf.DUMMYFUNCTION("IFERROR(
  FILTER('CBK Students'!Q:Q, TRIM('CBK Students'!B:B) = TRIM(A1322)),
  """"
)"),"#REF!")</f>
        <v>#REF!</v>
      </c>
    </row>
    <row r="1323" ht="18.75" customHeight="1">
      <c r="T1323" s="239"/>
      <c r="U1323" s="239"/>
      <c r="V1323" s="239">
        <f>IFERROR(__xludf.DUMMYFUNCTION("""COMPUTED_VALUE"""),6590.0)</f>
        <v>6590</v>
      </c>
      <c r="W1323" s="240" t="str">
        <f t="shared" si="1"/>
        <v/>
      </c>
      <c r="X1323" s="239" t="str">
        <f>IFERROR(__xludf.DUMMYFUNCTION("""COMPUTED_VALUE"""),"Prepare for Showcase")</f>
        <v>Prepare for Showcase</v>
      </c>
      <c r="Y1323" s="4" t="str">
        <f t="shared" si="2"/>
        <v/>
      </c>
      <c r="Z1323" s="4" t="str">
        <f>IFERROR(__xludf.DUMMYFUNCTION("IFERROR(
  FILTER('CBK Students'!O:O, TRIM('CBK Students'!B:B) = TRIM(A1323)),
  """"
)"),"#REF!")</f>
        <v>#REF!</v>
      </c>
      <c r="AA1323" s="4" t="str">
        <f>IFERROR(__xludf.DUMMYFUNCTION("IFERROR(
  FILTER('CBK Students'!P:P, TRIM('CBK Students'!B:B) = TRIM(A1323)),
  """"
)"),"#REF!")</f>
        <v>#REF!</v>
      </c>
      <c r="AB1323" s="4" t="str">
        <f>IFERROR(__xludf.DUMMYFUNCTION("IFERROR(
  FILTER('CBK Students'!Q:Q, TRIM('CBK Students'!B:B) = TRIM(A1323)),
  """"
)"),"#REF!")</f>
        <v>#REF!</v>
      </c>
    </row>
    <row r="1324" ht="18.75" customHeight="1">
      <c r="T1324" s="239"/>
      <c r="U1324" s="239"/>
      <c r="V1324" s="239">
        <f>IFERROR(__xludf.DUMMYFUNCTION("""COMPUTED_VALUE"""),6590.0)</f>
        <v>6590</v>
      </c>
      <c r="W1324" s="240" t="str">
        <f t="shared" si="1"/>
        <v/>
      </c>
      <c r="X1324" s="239" t="str">
        <f>IFERROR(__xludf.DUMMYFUNCTION("""COMPUTED_VALUE"""),"Prepare for Showcase")</f>
        <v>Prepare for Showcase</v>
      </c>
      <c r="Y1324" s="4" t="str">
        <f t="shared" si="2"/>
        <v/>
      </c>
      <c r="Z1324" s="4" t="str">
        <f>IFERROR(__xludf.DUMMYFUNCTION("IFERROR(
  FILTER('CBK Students'!O:O, TRIM('CBK Students'!B:B) = TRIM(A1324)),
  """"
)"),"#REF!")</f>
        <v>#REF!</v>
      </c>
      <c r="AA1324" s="4" t="str">
        <f>IFERROR(__xludf.DUMMYFUNCTION("IFERROR(
  FILTER('CBK Students'!P:P, TRIM('CBK Students'!B:B) = TRIM(A1324)),
  """"
)"),"#REF!")</f>
        <v>#REF!</v>
      </c>
      <c r="AB1324" s="4" t="str">
        <f>IFERROR(__xludf.DUMMYFUNCTION("IFERROR(
  FILTER('CBK Students'!Q:Q, TRIM('CBK Students'!B:B) = TRIM(A1324)),
  """"
)"),"#REF!")</f>
        <v>#REF!</v>
      </c>
    </row>
    <row r="1325" ht="18.75" customHeight="1">
      <c r="T1325" s="239"/>
      <c r="U1325" s="239"/>
      <c r="V1325" s="239">
        <f>IFERROR(__xludf.DUMMYFUNCTION("""COMPUTED_VALUE"""),6590.0)</f>
        <v>6590</v>
      </c>
      <c r="W1325" s="240" t="str">
        <f t="shared" si="1"/>
        <v/>
      </c>
      <c r="X1325" s="239" t="str">
        <f>IFERROR(__xludf.DUMMYFUNCTION("""COMPUTED_VALUE"""),"Prepare for Showcase")</f>
        <v>Prepare for Showcase</v>
      </c>
      <c r="Y1325" s="4" t="str">
        <f t="shared" si="2"/>
        <v/>
      </c>
      <c r="Z1325" s="4" t="str">
        <f>IFERROR(__xludf.DUMMYFUNCTION("IFERROR(
  FILTER('CBK Students'!O:O, TRIM('CBK Students'!B:B) = TRIM(A1325)),
  """"
)"),"#REF!")</f>
        <v>#REF!</v>
      </c>
      <c r="AA1325" s="4" t="str">
        <f>IFERROR(__xludf.DUMMYFUNCTION("IFERROR(
  FILTER('CBK Students'!P:P, TRIM('CBK Students'!B:B) = TRIM(A1325)),
  """"
)"),"#REF!")</f>
        <v>#REF!</v>
      </c>
      <c r="AB1325" s="4" t="str">
        <f>IFERROR(__xludf.DUMMYFUNCTION("IFERROR(
  FILTER('CBK Students'!Q:Q, TRIM('CBK Students'!B:B) = TRIM(A1325)),
  """"
)"),"#REF!")</f>
        <v>#REF!</v>
      </c>
    </row>
    <row r="1326" ht="18.75" customHeight="1">
      <c r="T1326" s="239"/>
      <c r="U1326" s="239"/>
      <c r="V1326" s="239">
        <f>IFERROR(__xludf.DUMMYFUNCTION("""COMPUTED_VALUE"""),6590.0)</f>
        <v>6590</v>
      </c>
      <c r="W1326" s="240" t="str">
        <f t="shared" si="1"/>
        <v/>
      </c>
      <c r="X1326" s="239" t="str">
        <f>IFERROR(__xludf.DUMMYFUNCTION("""COMPUTED_VALUE"""),"Prepare for Showcase")</f>
        <v>Prepare for Showcase</v>
      </c>
      <c r="Y1326" s="4" t="str">
        <f t="shared" si="2"/>
        <v/>
      </c>
      <c r="Z1326" s="4" t="str">
        <f>IFERROR(__xludf.DUMMYFUNCTION("IFERROR(
  FILTER('CBK Students'!O:O, TRIM('CBK Students'!B:B) = TRIM(A1326)),
  """"
)"),"#REF!")</f>
        <v>#REF!</v>
      </c>
      <c r="AA1326" s="4" t="str">
        <f>IFERROR(__xludf.DUMMYFUNCTION("IFERROR(
  FILTER('CBK Students'!P:P, TRIM('CBK Students'!B:B) = TRIM(A1326)),
  """"
)"),"#REF!")</f>
        <v>#REF!</v>
      </c>
      <c r="AB1326" s="4" t="str">
        <f>IFERROR(__xludf.DUMMYFUNCTION("IFERROR(
  FILTER('CBK Students'!Q:Q, TRIM('CBK Students'!B:B) = TRIM(A1326)),
  """"
)"),"#REF!")</f>
        <v>#REF!</v>
      </c>
    </row>
    <row r="1327" ht="18.75" customHeight="1">
      <c r="T1327" s="239"/>
      <c r="U1327" s="239"/>
      <c r="V1327" s="239">
        <f>IFERROR(__xludf.DUMMYFUNCTION("""COMPUTED_VALUE"""),6590.0)</f>
        <v>6590</v>
      </c>
      <c r="W1327" s="240" t="str">
        <f t="shared" si="1"/>
        <v/>
      </c>
      <c r="X1327" s="239" t="str">
        <f>IFERROR(__xludf.DUMMYFUNCTION("""COMPUTED_VALUE"""),"Prepare for Showcase")</f>
        <v>Prepare for Showcase</v>
      </c>
      <c r="Y1327" s="4" t="str">
        <f t="shared" si="2"/>
        <v/>
      </c>
      <c r="Z1327" s="4" t="str">
        <f>IFERROR(__xludf.DUMMYFUNCTION("IFERROR(
  FILTER('CBK Students'!O:O, TRIM('CBK Students'!B:B) = TRIM(A1327)),
  """"
)"),"#REF!")</f>
        <v>#REF!</v>
      </c>
      <c r="AA1327" s="4" t="str">
        <f>IFERROR(__xludf.DUMMYFUNCTION("IFERROR(
  FILTER('CBK Students'!P:P, TRIM('CBK Students'!B:B) = TRIM(A1327)),
  """"
)"),"#REF!")</f>
        <v>#REF!</v>
      </c>
      <c r="AB1327" s="4" t="str">
        <f>IFERROR(__xludf.DUMMYFUNCTION("IFERROR(
  FILTER('CBK Students'!Q:Q, TRIM('CBK Students'!B:B) = TRIM(A1327)),
  """"
)"),"#REF!")</f>
        <v>#REF!</v>
      </c>
    </row>
    <row r="1328" ht="18.75" customHeight="1">
      <c r="T1328" s="239"/>
      <c r="U1328" s="239"/>
      <c r="V1328" s="239">
        <f>IFERROR(__xludf.DUMMYFUNCTION("""COMPUTED_VALUE"""),6590.0)</f>
        <v>6590</v>
      </c>
      <c r="W1328" s="240" t="str">
        <f t="shared" si="1"/>
        <v/>
      </c>
      <c r="X1328" s="239" t="str">
        <f>IFERROR(__xludf.DUMMYFUNCTION("""COMPUTED_VALUE"""),"Prepare for Showcase")</f>
        <v>Prepare for Showcase</v>
      </c>
      <c r="Y1328" s="4" t="str">
        <f t="shared" si="2"/>
        <v/>
      </c>
      <c r="Z1328" s="4" t="str">
        <f>IFERROR(__xludf.DUMMYFUNCTION("IFERROR(
  FILTER('CBK Students'!O:O, TRIM('CBK Students'!B:B) = TRIM(A1328)),
  """"
)"),"#REF!")</f>
        <v>#REF!</v>
      </c>
      <c r="AA1328" s="4" t="str">
        <f>IFERROR(__xludf.DUMMYFUNCTION("IFERROR(
  FILTER('CBK Students'!P:P, TRIM('CBK Students'!B:B) = TRIM(A1328)),
  """"
)"),"#REF!")</f>
        <v>#REF!</v>
      </c>
      <c r="AB1328" s="4" t="str">
        <f>IFERROR(__xludf.DUMMYFUNCTION("IFERROR(
  FILTER('CBK Students'!Q:Q, TRIM('CBK Students'!B:B) = TRIM(A1328)),
  """"
)"),"#REF!")</f>
        <v>#REF!</v>
      </c>
    </row>
    <row r="1329" ht="18.75" customHeight="1">
      <c r="T1329" s="239"/>
      <c r="U1329" s="239"/>
      <c r="V1329" s="239">
        <f>IFERROR(__xludf.DUMMYFUNCTION("""COMPUTED_VALUE"""),6590.0)</f>
        <v>6590</v>
      </c>
      <c r="W1329" s="240" t="str">
        <f t="shared" si="1"/>
        <v/>
      </c>
      <c r="X1329" s="239" t="str">
        <f>IFERROR(__xludf.DUMMYFUNCTION("""COMPUTED_VALUE"""),"Prepare for Showcase")</f>
        <v>Prepare for Showcase</v>
      </c>
      <c r="Y1329" s="4" t="str">
        <f t="shared" si="2"/>
        <v/>
      </c>
      <c r="Z1329" s="4" t="str">
        <f>IFERROR(__xludf.DUMMYFUNCTION("IFERROR(
  FILTER('CBK Students'!O:O, TRIM('CBK Students'!B:B) = TRIM(A1329)),
  """"
)"),"#REF!")</f>
        <v>#REF!</v>
      </c>
      <c r="AA1329" s="4" t="str">
        <f>IFERROR(__xludf.DUMMYFUNCTION("IFERROR(
  FILTER('CBK Students'!P:P, TRIM('CBK Students'!B:B) = TRIM(A1329)),
  """"
)"),"#REF!")</f>
        <v>#REF!</v>
      </c>
      <c r="AB1329" s="4" t="str">
        <f>IFERROR(__xludf.DUMMYFUNCTION("IFERROR(
  FILTER('CBK Students'!Q:Q, TRIM('CBK Students'!B:B) = TRIM(A1329)),
  """"
)"),"#REF!")</f>
        <v>#REF!</v>
      </c>
    </row>
    <row r="1330" ht="18.75" customHeight="1">
      <c r="T1330" s="239"/>
      <c r="U1330" s="239"/>
      <c r="V1330" s="239">
        <f>IFERROR(__xludf.DUMMYFUNCTION("""COMPUTED_VALUE"""),6590.0)</f>
        <v>6590</v>
      </c>
      <c r="W1330" s="240" t="str">
        <f t="shared" si="1"/>
        <v/>
      </c>
      <c r="X1330" s="239" t="str">
        <f>IFERROR(__xludf.DUMMYFUNCTION("""COMPUTED_VALUE"""),"Prepare for Showcase")</f>
        <v>Prepare for Showcase</v>
      </c>
      <c r="Y1330" s="4" t="str">
        <f t="shared" si="2"/>
        <v/>
      </c>
      <c r="Z1330" s="4" t="str">
        <f>IFERROR(__xludf.DUMMYFUNCTION("IFERROR(
  FILTER('CBK Students'!O:O, TRIM('CBK Students'!B:B) = TRIM(A1330)),
  """"
)"),"#REF!")</f>
        <v>#REF!</v>
      </c>
      <c r="AA1330" s="4" t="str">
        <f>IFERROR(__xludf.DUMMYFUNCTION("IFERROR(
  FILTER('CBK Students'!P:P, TRIM('CBK Students'!B:B) = TRIM(A1330)),
  """"
)"),"#REF!")</f>
        <v>#REF!</v>
      </c>
      <c r="AB1330" s="4" t="str">
        <f>IFERROR(__xludf.DUMMYFUNCTION("IFERROR(
  FILTER('CBK Students'!Q:Q, TRIM('CBK Students'!B:B) = TRIM(A1330)),
  """"
)"),"#REF!")</f>
        <v>#REF!</v>
      </c>
    </row>
    <row r="1331" ht="18.75" customHeight="1">
      <c r="T1331" s="239"/>
      <c r="U1331" s="239"/>
      <c r="V1331" s="239">
        <f>IFERROR(__xludf.DUMMYFUNCTION("""COMPUTED_VALUE"""),6590.0)</f>
        <v>6590</v>
      </c>
      <c r="W1331" s="240" t="str">
        <f t="shared" si="1"/>
        <v/>
      </c>
      <c r="X1331" s="239" t="str">
        <f>IFERROR(__xludf.DUMMYFUNCTION("""COMPUTED_VALUE"""),"Prepare for Showcase")</f>
        <v>Prepare for Showcase</v>
      </c>
      <c r="Y1331" s="4" t="str">
        <f t="shared" si="2"/>
        <v/>
      </c>
      <c r="Z1331" s="4" t="str">
        <f>IFERROR(__xludf.DUMMYFUNCTION("IFERROR(
  FILTER('CBK Students'!O:O, TRIM('CBK Students'!B:B) = TRIM(A1331)),
  """"
)"),"#REF!")</f>
        <v>#REF!</v>
      </c>
      <c r="AA1331" s="4" t="str">
        <f>IFERROR(__xludf.DUMMYFUNCTION("IFERROR(
  FILTER('CBK Students'!P:P, TRIM('CBK Students'!B:B) = TRIM(A1331)),
  """"
)"),"#REF!")</f>
        <v>#REF!</v>
      </c>
      <c r="AB1331" s="4" t="str">
        <f>IFERROR(__xludf.DUMMYFUNCTION("IFERROR(
  FILTER('CBK Students'!Q:Q, TRIM('CBK Students'!B:B) = TRIM(A1331)),
  """"
)"),"#REF!")</f>
        <v>#REF!</v>
      </c>
    </row>
    <row r="1332" ht="18.75" customHeight="1">
      <c r="T1332" s="239"/>
      <c r="U1332" s="239"/>
      <c r="V1332" s="239">
        <f>IFERROR(__xludf.DUMMYFUNCTION("""COMPUTED_VALUE"""),6590.0)</f>
        <v>6590</v>
      </c>
      <c r="W1332" s="240" t="str">
        <f t="shared" si="1"/>
        <v/>
      </c>
      <c r="X1332" s="239" t="str">
        <f>IFERROR(__xludf.DUMMYFUNCTION("""COMPUTED_VALUE"""),"Prepare for Showcase")</f>
        <v>Prepare for Showcase</v>
      </c>
      <c r="Y1332" s="4" t="str">
        <f t="shared" si="2"/>
        <v/>
      </c>
      <c r="Z1332" s="4" t="str">
        <f>IFERROR(__xludf.DUMMYFUNCTION("IFERROR(
  FILTER('CBK Students'!O:O, TRIM('CBK Students'!B:B) = TRIM(A1332)),
  """"
)"),"#REF!")</f>
        <v>#REF!</v>
      </c>
      <c r="AA1332" s="4" t="str">
        <f>IFERROR(__xludf.DUMMYFUNCTION("IFERROR(
  FILTER('CBK Students'!P:P, TRIM('CBK Students'!B:B) = TRIM(A1332)),
  """"
)"),"#REF!")</f>
        <v>#REF!</v>
      </c>
      <c r="AB1332" s="4" t="str">
        <f>IFERROR(__xludf.DUMMYFUNCTION("IFERROR(
  FILTER('CBK Students'!Q:Q, TRIM('CBK Students'!B:B) = TRIM(A1332)),
  """"
)"),"#REF!")</f>
        <v>#REF!</v>
      </c>
    </row>
    <row r="1333" ht="18.75" customHeight="1">
      <c r="T1333" s="239"/>
      <c r="U1333" s="239"/>
      <c r="V1333" s="239">
        <f>IFERROR(__xludf.DUMMYFUNCTION("""COMPUTED_VALUE"""),6590.0)</f>
        <v>6590</v>
      </c>
      <c r="W1333" s="240" t="str">
        <f t="shared" si="1"/>
        <v/>
      </c>
      <c r="X1333" s="239" t="str">
        <f>IFERROR(__xludf.DUMMYFUNCTION("""COMPUTED_VALUE"""),"Prepare for Showcase")</f>
        <v>Prepare for Showcase</v>
      </c>
      <c r="Y1333" s="4" t="str">
        <f t="shared" si="2"/>
        <v/>
      </c>
      <c r="Z1333" s="4" t="str">
        <f>IFERROR(__xludf.DUMMYFUNCTION("IFERROR(
  FILTER('CBK Students'!O:O, TRIM('CBK Students'!B:B) = TRIM(A1333)),
  """"
)"),"#REF!")</f>
        <v>#REF!</v>
      </c>
      <c r="AA1333" s="4" t="str">
        <f>IFERROR(__xludf.DUMMYFUNCTION("IFERROR(
  FILTER('CBK Students'!P:P, TRIM('CBK Students'!B:B) = TRIM(A1333)),
  """"
)"),"#REF!")</f>
        <v>#REF!</v>
      </c>
      <c r="AB1333" s="4" t="str">
        <f>IFERROR(__xludf.DUMMYFUNCTION("IFERROR(
  FILTER('CBK Students'!Q:Q, TRIM('CBK Students'!B:B) = TRIM(A1333)),
  """"
)"),"#REF!")</f>
        <v>#REF!</v>
      </c>
    </row>
    <row r="1334" ht="18.75" customHeight="1">
      <c r="T1334" s="239"/>
      <c r="U1334" s="239"/>
      <c r="V1334" s="239">
        <f>IFERROR(__xludf.DUMMYFUNCTION("""COMPUTED_VALUE"""),6590.0)</f>
        <v>6590</v>
      </c>
      <c r="W1334" s="240" t="str">
        <f t="shared" si="1"/>
        <v/>
      </c>
      <c r="X1334" s="239" t="str">
        <f>IFERROR(__xludf.DUMMYFUNCTION("""COMPUTED_VALUE"""),"Prepare for Showcase")</f>
        <v>Prepare for Showcase</v>
      </c>
      <c r="Y1334" s="4" t="str">
        <f t="shared" si="2"/>
        <v/>
      </c>
      <c r="Z1334" s="4" t="str">
        <f>IFERROR(__xludf.DUMMYFUNCTION("IFERROR(
  FILTER('CBK Students'!O:O, TRIM('CBK Students'!B:B) = TRIM(A1334)),
  """"
)"),"#REF!")</f>
        <v>#REF!</v>
      </c>
      <c r="AA1334" s="4" t="str">
        <f>IFERROR(__xludf.DUMMYFUNCTION("IFERROR(
  FILTER('CBK Students'!P:P, TRIM('CBK Students'!B:B) = TRIM(A1334)),
  """"
)"),"#REF!")</f>
        <v>#REF!</v>
      </c>
      <c r="AB1334" s="4" t="str">
        <f>IFERROR(__xludf.DUMMYFUNCTION("IFERROR(
  FILTER('CBK Students'!Q:Q, TRIM('CBK Students'!B:B) = TRIM(A1334)),
  """"
)"),"#REF!")</f>
        <v>#REF!</v>
      </c>
    </row>
    <row r="1335" ht="18.75" customHeight="1">
      <c r="T1335" s="239"/>
      <c r="U1335" s="239"/>
      <c r="V1335" s="239">
        <f>IFERROR(__xludf.DUMMYFUNCTION("""COMPUTED_VALUE"""),6590.0)</f>
        <v>6590</v>
      </c>
      <c r="W1335" s="240" t="str">
        <f t="shared" si="1"/>
        <v/>
      </c>
      <c r="X1335" s="239" t="str">
        <f>IFERROR(__xludf.DUMMYFUNCTION("""COMPUTED_VALUE"""),"Prepare for Showcase")</f>
        <v>Prepare for Showcase</v>
      </c>
      <c r="Y1335" s="4" t="str">
        <f t="shared" si="2"/>
        <v/>
      </c>
      <c r="Z1335" s="4" t="str">
        <f>IFERROR(__xludf.DUMMYFUNCTION("IFERROR(
  FILTER('CBK Students'!O:O, TRIM('CBK Students'!B:B) = TRIM(A1335)),
  """"
)"),"#REF!")</f>
        <v>#REF!</v>
      </c>
      <c r="AA1335" s="4" t="str">
        <f>IFERROR(__xludf.DUMMYFUNCTION("IFERROR(
  FILTER('CBK Students'!P:P, TRIM('CBK Students'!B:B) = TRIM(A1335)),
  """"
)"),"#REF!")</f>
        <v>#REF!</v>
      </c>
      <c r="AB1335" s="4" t="str">
        <f>IFERROR(__xludf.DUMMYFUNCTION("IFERROR(
  FILTER('CBK Students'!Q:Q, TRIM('CBK Students'!B:B) = TRIM(A1335)),
  """"
)"),"#REF!")</f>
        <v>#REF!</v>
      </c>
    </row>
    <row r="1336" ht="18.75" customHeight="1">
      <c r="T1336" s="239"/>
      <c r="U1336" s="239"/>
      <c r="V1336" s="239">
        <f>IFERROR(__xludf.DUMMYFUNCTION("""COMPUTED_VALUE"""),6590.0)</f>
        <v>6590</v>
      </c>
      <c r="W1336" s="240" t="str">
        <f t="shared" si="1"/>
        <v/>
      </c>
      <c r="X1336" s="239" t="str">
        <f>IFERROR(__xludf.DUMMYFUNCTION("""COMPUTED_VALUE"""),"Prepare for Showcase")</f>
        <v>Prepare for Showcase</v>
      </c>
      <c r="Y1336" s="4" t="str">
        <f t="shared" si="2"/>
        <v/>
      </c>
      <c r="Z1336" s="4" t="str">
        <f>IFERROR(__xludf.DUMMYFUNCTION("IFERROR(
  FILTER('CBK Students'!O:O, TRIM('CBK Students'!B:B) = TRIM(A1336)),
  """"
)"),"#REF!")</f>
        <v>#REF!</v>
      </c>
      <c r="AA1336" s="4" t="str">
        <f>IFERROR(__xludf.DUMMYFUNCTION("IFERROR(
  FILTER('CBK Students'!P:P, TRIM('CBK Students'!B:B) = TRIM(A1336)),
  """"
)"),"#REF!")</f>
        <v>#REF!</v>
      </c>
      <c r="AB1336" s="4" t="str">
        <f>IFERROR(__xludf.DUMMYFUNCTION("IFERROR(
  FILTER('CBK Students'!Q:Q, TRIM('CBK Students'!B:B) = TRIM(A1336)),
  """"
)"),"#REF!")</f>
        <v>#REF!</v>
      </c>
    </row>
    <row r="1337" ht="18.75" customHeight="1">
      <c r="T1337" s="239"/>
      <c r="U1337" s="239"/>
      <c r="V1337" s="239">
        <f>IFERROR(__xludf.DUMMYFUNCTION("""COMPUTED_VALUE"""),6590.0)</f>
        <v>6590</v>
      </c>
      <c r="W1337" s="240" t="str">
        <f t="shared" si="1"/>
        <v/>
      </c>
      <c r="X1337" s="239" t="str">
        <f>IFERROR(__xludf.DUMMYFUNCTION("""COMPUTED_VALUE"""),"Prepare for Showcase")</f>
        <v>Prepare for Showcase</v>
      </c>
      <c r="Y1337" s="4" t="str">
        <f t="shared" si="2"/>
        <v/>
      </c>
      <c r="Z1337" s="4" t="str">
        <f>IFERROR(__xludf.DUMMYFUNCTION("IFERROR(
  FILTER('CBK Students'!O:O, TRIM('CBK Students'!B:B) = TRIM(A1337)),
  """"
)"),"#REF!")</f>
        <v>#REF!</v>
      </c>
      <c r="AA1337" s="4" t="str">
        <f>IFERROR(__xludf.DUMMYFUNCTION("IFERROR(
  FILTER('CBK Students'!P:P, TRIM('CBK Students'!B:B) = TRIM(A1337)),
  """"
)"),"#REF!")</f>
        <v>#REF!</v>
      </c>
      <c r="AB1337" s="4" t="str">
        <f>IFERROR(__xludf.DUMMYFUNCTION("IFERROR(
  FILTER('CBK Students'!Q:Q, TRIM('CBK Students'!B:B) = TRIM(A1337)),
  """"
)"),"#REF!")</f>
        <v>#REF!</v>
      </c>
    </row>
    <row r="1338" ht="18.75" customHeight="1">
      <c r="T1338" s="239"/>
      <c r="U1338" s="239"/>
      <c r="V1338" s="239">
        <f>IFERROR(__xludf.DUMMYFUNCTION("""COMPUTED_VALUE"""),6590.0)</f>
        <v>6590</v>
      </c>
      <c r="W1338" s="240" t="str">
        <f t="shared" si="1"/>
        <v/>
      </c>
      <c r="X1338" s="239" t="str">
        <f>IFERROR(__xludf.DUMMYFUNCTION("""COMPUTED_VALUE"""),"Prepare for Showcase")</f>
        <v>Prepare for Showcase</v>
      </c>
      <c r="Y1338" s="4" t="str">
        <f t="shared" si="2"/>
        <v/>
      </c>
      <c r="Z1338" s="4" t="str">
        <f>IFERROR(__xludf.DUMMYFUNCTION("IFERROR(
  FILTER('CBK Students'!O:O, TRIM('CBK Students'!B:B) = TRIM(A1338)),
  """"
)"),"#REF!")</f>
        <v>#REF!</v>
      </c>
      <c r="AA1338" s="4" t="str">
        <f>IFERROR(__xludf.DUMMYFUNCTION("IFERROR(
  FILTER('CBK Students'!P:P, TRIM('CBK Students'!B:B) = TRIM(A1338)),
  """"
)"),"#REF!")</f>
        <v>#REF!</v>
      </c>
      <c r="AB1338" s="4" t="str">
        <f>IFERROR(__xludf.DUMMYFUNCTION("IFERROR(
  FILTER('CBK Students'!Q:Q, TRIM('CBK Students'!B:B) = TRIM(A1338)),
  """"
)"),"#REF!")</f>
        <v>#REF!</v>
      </c>
    </row>
    <row r="1339" ht="18.75" customHeight="1">
      <c r="T1339" s="239"/>
      <c r="U1339" s="239"/>
      <c r="V1339" s="239">
        <f>IFERROR(__xludf.DUMMYFUNCTION("""COMPUTED_VALUE"""),6590.0)</f>
        <v>6590</v>
      </c>
      <c r="W1339" s="240" t="str">
        <f t="shared" si="1"/>
        <v/>
      </c>
      <c r="X1339" s="239" t="str">
        <f>IFERROR(__xludf.DUMMYFUNCTION("""COMPUTED_VALUE"""),"Prepare for Showcase")</f>
        <v>Prepare for Showcase</v>
      </c>
      <c r="Y1339" s="4" t="str">
        <f t="shared" si="2"/>
        <v/>
      </c>
      <c r="Z1339" s="4" t="str">
        <f>IFERROR(__xludf.DUMMYFUNCTION("IFERROR(
  FILTER('CBK Students'!O:O, TRIM('CBK Students'!B:B) = TRIM(A1339)),
  """"
)"),"#REF!")</f>
        <v>#REF!</v>
      </c>
      <c r="AA1339" s="4" t="str">
        <f>IFERROR(__xludf.DUMMYFUNCTION("IFERROR(
  FILTER('CBK Students'!P:P, TRIM('CBK Students'!B:B) = TRIM(A1339)),
  """"
)"),"#REF!")</f>
        <v>#REF!</v>
      </c>
      <c r="AB1339" s="4" t="str">
        <f>IFERROR(__xludf.DUMMYFUNCTION("IFERROR(
  FILTER('CBK Students'!Q:Q, TRIM('CBK Students'!B:B) = TRIM(A1339)),
  """"
)"),"#REF!")</f>
        <v>#REF!</v>
      </c>
    </row>
    <row r="1340" ht="18.75" customHeight="1">
      <c r="T1340" s="239"/>
      <c r="U1340" s="239"/>
      <c r="V1340" s="239">
        <f>IFERROR(__xludf.DUMMYFUNCTION("""COMPUTED_VALUE"""),6590.0)</f>
        <v>6590</v>
      </c>
      <c r="W1340" s="240" t="str">
        <f t="shared" si="1"/>
        <v/>
      </c>
      <c r="X1340" s="239" t="str">
        <f>IFERROR(__xludf.DUMMYFUNCTION("""COMPUTED_VALUE"""),"Prepare for Showcase")</f>
        <v>Prepare for Showcase</v>
      </c>
      <c r="Y1340" s="4" t="str">
        <f t="shared" si="2"/>
        <v/>
      </c>
      <c r="Z1340" s="4" t="str">
        <f>IFERROR(__xludf.DUMMYFUNCTION("IFERROR(
  FILTER('CBK Students'!O:O, TRIM('CBK Students'!B:B) = TRIM(A1340)),
  """"
)"),"#REF!")</f>
        <v>#REF!</v>
      </c>
      <c r="AA1340" s="4" t="str">
        <f>IFERROR(__xludf.DUMMYFUNCTION("IFERROR(
  FILTER('CBK Students'!P:P, TRIM('CBK Students'!B:B) = TRIM(A1340)),
  """"
)"),"#REF!")</f>
        <v>#REF!</v>
      </c>
      <c r="AB1340" s="4" t="str">
        <f>IFERROR(__xludf.DUMMYFUNCTION("IFERROR(
  FILTER('CBK Students'!Q:Q, TRIM('CBK Students'!B:B) = TRIM(A1340)),
  """"
)"),"#REF!")</f>
        <v>#REF!</v>
      </c>
    </row>
    <row r="1341" ht="18.75" customHeight="1">
      <c r="T1341" s="239"/>
      <c r="U1341" s="239"/>
      <c r="V1341" s="239">
        <f>IFERROR(__xludf.DUMMYFUNCTION("""COMPUTED_VALUE"""),6590.0)</f>
        <v>6590</v>
      </c>
      <c r="W1341" s="240" t="str">
        <f t="shared" si="1"/>
        <v/>
      </c>
      <c r="X1341" s="239" t="str">
        <f>IFERROR(__xludf.DUMMYFUNCTION("""COMPUTED_VALUE"""),"Prepare for Showcase")</f>
        <v>Prepare for Showcase</v>
      </c>
      <c r="Y1341" s="4" t="str">
        <f t="shared" si="2"/>
        <v/>
      </c>
      <c r="Z1341" s="4" t="str">
        <f>IFERROR(__xludf.DUMMYFUNCTION("IFERROR(
  FILTER('CBK Students'!O:O, TRIM('CBK Students'!B:B) = TRIM(A1341)),
  """"
)"),"#REF!")</f>
        <v>#REF!</v>
      </c>
      <c r="AA1341" s="4" t="str">
        <f>IFERROR(__xludf.DUMMYFUNCTION("IFERROR(
  FILTER('CBK Students'!P:P, TRIM('CBK Students'!B:B) = TRIM(A1341)),
  """"
)"),"#REF!")</f>
        <v>#REF!</v>
      </c>
      <c r="AB1341" s="4" t="str">
        <f>IFERROR(__xludf.DUMMYFUNCTION("IFERROR(
  FILTER('CBK Students'!Q:Q, TRIM('CBK Students'!B:B) = TRIM(A1341)),
  """"
)"),"#REF!")</f>
        <v>#REF!</v>
      </c>
    </row>
    <row r="1342" ht="18.75" customHeight="1">
      <c r="T1342" s="239"/>
      <c r="U1342" s="239"/>
      <c r="V1342" s="239">
        <f>IFERROR(__xludf.DUMMYFUNCTION("""COMPUTED_VALUE"""),6590.0)</f>
        <v>6590</v>
      </c>
      <c r="W1342" s="240" t="str">
        <f t="shared" si="1"/>
        <v/>
      </c>
      <c r="X1342" s="239" t="str">
        <f>IFERROR(__xludf.DUMMYFUNCTION("""COMPUTED_VALUE"""),"Prepare for Showcase")</f>
        <v>Prepare for Showcase</v>
      </c>
      <c r="Y1342" s="4" t="str">
        <f t="shared" si="2"/>
        <v/>
      </c>
      <c r="Z1342" s="4" t="str">
        <f>IFERROR(__xludf.DUMMYFUNCTION("IFERROR(
  FILTER('CBK Students'!O:O, TRIM('CBK Students'!B:B) = TRIM(A1342)),
  """"
)"),"#REF!")</f>
        <v>#REF!</v>
      </c>
      <c r="AA1342" s="4" t="str">
        <f>IFERROR(__xludf.DUMMYFUNCTION("IFERROR(
  FILTER('CBK Students'!P:P, TRIM('CBK Students'!B:B) = TRIM(A1342)),
  """"
)"),"#REF!")</f>
        <v>#REF!</v>
      </c>
      <c r="AB1342" s="4" t="str">
        <f>IFERROR(__xludf.DUMMYFUNCTION("IFERROR(
  FILTER('CBK Students'!Q:Q, TRIM('CBK Students'!B:B) = TRIM(A1342)),
  """"
)"),"#REF!")</f>
        <v>#REF!</v>
      </c>
    </row>
    <row r="1343" ht="18.75" customHeight="1">
      <c r="T1343" s="239"/>
      <c r="U1343" s="239"/>
      <c r="V1343" s="239">
        <f>IFERROR(__xludf.DUMMYFUNCTION("""COMPUTED_VALUE"""),6590.0)</f>
        <v>6590</v>
      </c>
      <c r="W1343" s="240" t="str">
        <f t="shared" si="1"/>
        <v/>
      </c>
      <c r="X1343" s="239" t="str">
        <f>IFERROR(__xludf.DUMMYFUNCTION("""COMPUTED_VALUE"""),"Prepare for Showcase")</f>
        <v>Prepare for Showcase</v>
      </c>
      <c r="Y1343" s="4" t="str">
        <f t="shared" si="2"/>
        <v/>
      </c>
      <c r="Z1343" s="4" t="str">
        <f>IFERROR(__xludf.DUMMYFUNCTION("IFERROR(
  FILTER('CBK Students'!O:O, TRIM('CBK Students'!B:B) = TRIM(A1343)),
  """"
)"),"#REF!")</f>
        <v>#REF!</v>
      </c>
      <c r="AA1343" s="4" t="str">
        <f>IFERROR(__xludf.DUMMYFUNCTION("IFERROR(
  FILTER('CBK Students'!P:P, TRIM('CBK Students'!B:B) = TRIM(A1343)),
  """"
)"),"#REF!")</f>
        <v>#REF!</v>
      </c>
      <c r="AB1343" s="4" t="str">
        <f>IFERROR(__xludf.DUMMYFUNCTION("IFERROR(
  FILTER('CBK Students'!Q:Q, TRIM('CBK Students'!B:B) = TRIM(A1343)),
  """"
)"),"#REF!")</f>
        <v>#REF!</v>
      </c>
    </row>
    <row r="1344" ht="18.75" customHeight="1">
      <c r="T1344" s="239"/>
      <c r="U1344" s="239"/>
      <c r="V1344" s="239">
        <f>IFERROR(__xludf.DUMMYFUNCTION("""COMPUTED_VALUE"""),6590.0)</f>
        <v>6590</v>
      </c>
      <c r="W1344" s="240" t="str">
        <f t="shared" si="1"/>
        <v/>
      </c>
      <c r="X1344" s="239" t="str">
        <f>IFERROR(__xludf.DUMMYFUNCTION("""COMPUTED_VALUE"""),"Prepare for Showcase")</f>
        <v>Prepare for Showcase</v>
      </c>
      <c r="Y1344" s="4" t="str">
        <f t="shared" si="2"/>
        <v/>
      </c>
      <c r="Z1344" s="4" t="str">
        <f>IFERROR(__xludf.DUMMYFUNCTION("IFERROR(
  FILTER('CBK Students'!O:O, TRIM('CBK Students'!B:B) = TRIM(A1344)),
  """"
)"),"#REF!")</f>
        <v>#REF!</v>
      </c>
      <c r="AA1344" s="4" t="str">
        <f>IFERROR(__xludf.DUMMYFUNCTION("IFERROR(
  FILTER('CBK Students'!P:P, TRIM('CBK Students'!B:B) = TRIM(A1344)),
  """"
)"),"#REF!")</f>
        <v>#REF!</v>
      </c>
      <c r="AB1344" s="4" t="str">
        <f>IFERROR(__xludf.DUMMYFUNCTION("IFERROR(
  FILTER('CBK Students'!Q:Q, TRIM('CBK Students'!B:B) = TRIM(A1344)),
  """"
)"),"#REF!")</f>
        <v>#REF!</v>
      </c>
    </row>
    <row r="1345" ht="18.75" customHeight="1">
      <c r="T1345" s="239"/>
      <c r="U1345" s="239"/>
      <c r="V1345" s="239">
        <f>IFERROR(__xludf.DUMMYFUNCTION("""COMPUTED_VALUE"""),6590.0)</f>
        <v>6590</v>
      </c>
      <c r="W1345" s="240" t="str">
        <f t="shared" si="1"/>
        <v/>
      </c>
      <c r="X1345" s="239" t="str">
        <f>IFERROR(__xludf.DUMMYFUNCTION("""COMPUTED_VALUE"""),"Prepare for Showcase")</f>
        <v>Prepare for Showcase</v>
      </c>
      <c r="Y1345" s="4" t="str">
        <f t="shared" si="2"/>
        <v/>
      </c>
      <c r="Z1345" s="4" t="str">
        <f>IFERROR(__xludf.DUMMYFUNCTION("IFERROR(
  FILTER('CBK Students'!O:O, TRIM('CBK Students'!B:B) = TRIM(A1345)),
  """"
)"),"#REF!")</f>
        <v>#REF!</v>
      </c>
      <c r="AA1345" s="4" t="str">
        <f>IFERROR(__xludf.DUMMYFUNCTION("IFERROR(
  FILTER('CBK Students'!P:P, TRIM('CBK Students'!B:B) = TRIM(A1345)),
  """"
)"),"#REF!")</f>
        <v>#REF!</v>
      </c>
      <c r="AB1345" s="4" t="str">
        <f>IFERROR(__xludf.DUMMYFUNCTION("IFERROR(
  FILTER('CBK Students'!Q:Q, TRIM('CBK Students'!B:B) = TRIM(A1345)),
  """"
)"),"#REF!")</f>
        <v>#REF!</v>
      </c>
    </row>
    <row r="1346" ht="18.75" customHeight="1">
      <c r="T1346" s="239"/>
      <c r="U1346" s="239"/>
      <c r="V1346" s="239">
        <f>IFERROR(__xludf.DUMMYFUNCTION("""COMPUTED_VALUE"""),6590.0)</f>
        <v>6590</v>
      </c>
      <c r="W1346" s="240" t="str">
        <f t="shared" si="1"/>
        <v/>
      </c>
      <c r="X1346" s="239" t="str">
        <f>IFERROR(__xludf.DUMMYFUNCTION("""COMPUTED_VALUE"""),"Prepare for Showcase")</f>
        <v>Prepare for Showcase</v>
      </c>
      <c r="Y1346" s="4" t="str">
        <f t="shared" si="2"/>
        <v/>
      </c>
      <c r="Z1346" s="4" t="str">
        <f>IFERROR(__xludf.DUMMYFUNCTION("IFERROR(
  FILTER('CBK Students'!O:O, TRIM('CBK Students'!B:B) = TRIM(A1346)),
  """"
)"),"#REF!")</f>
        <v>#REF!</v>
      </c>
      <c r="AA1346" s="4" t="str">
        <f>IFERROR(__xludf.DUMMYFUNCTION("IFERROR(
  FILTER('CBK Students'!P:P, TRIM('CBK Students'!B:B) = TRIM(A1346)),
  """"
)"),"#REF!")</f>
        <v>#REF!</v>
      </c>
      <c r="AB1346" s="4" t="str">
        <f>IFERROR(__xludf.DUMMYFUNCTION("IFERROR(
  FILTER('CBK Students'!Q:Q, TRIM('CBK Students'!B:B) = TRIM(A1346)),
  """"
)"),"#REF!")</f>
        <v>#REF!</v>
      </c>
    </row>
    <row r="1347" ht="18.75" customHeight="1">
      <c r="T1347" s="239"/>
      <c r="U1347" s="239"/>
      <c r="V1347" s="239">
        <f>IFERROR(__xludf.DUMMYFUNCTION("""COMPUTED_VALUE"""),6590.0)</f>
        <v>6590</v>
      </c>
      <c r="W1347" s="240" t="str">
        <f t="shared" si="1"/>
        <v/>
      </c>
      <c r="X1347" s="239" t="str">
        <f>IFERROR(__xludf.DUMMYFUNCTION("""COMPUTED_VALUE"""),"Prepare for Showcase")</f>
        <v>Prepare for Showcase</v>
      </c>
      <c r="Y1347" s="4" t="str">
        <f t="shared" si="2"/>
        <v/>
      </c>
      <c r="Z1347" s="4" t="str">
        <f>IFERROR(__xludf.DUMMYFUNCTION("IFERROR(
  FILTER('CBK Students'!O:O, TRIM('CBK Students'!B:B) = TRIM(A1347)),
  """"
)"),"#REF!")</f>
        <v>#REF!</v>
      </c>
      <c r="AA1347" s="4" t="str">
        <f>IFERROR(__xludf.DUMMYFUNCTION("IFERROR(
  FILTER('CBK Students'!P:P, TRIM('CBK Students'!B:B) = TRIM(A1347)),
  """"
)"),"#REF!")</f>
        <v>#REF!</v>
      </c>
      <c r="AB1347" s="4" t="str">
        <f>IFERROR(__xludf.DUMMYFUNCTION("IFERROR(
  FILTER('CBK Students'!Q:Q, TRIM('CBK Students'!B:B) = TRIM(A1347)),
  """"
)"),"#REF!")</f>
        <v>#REF!</v>
      </c>
    </row>
    <row r="1348" ht="18.75" customHeight="1">
      <c r="T1348" s="239"/>
      <c r="U1348" s="239"/>
      <c r="V1348" s="239">
        <f>IFERROR(__xludf.DUMMYFUNCTION("""COMPUTED_VALUE"""),6590.0)</f>
        <v>6590</v>
      </c>
      <c r="W1348" s="240" t="str">
        <f t="shared" si="1"/>
        <v/>
      </c>
      <c r="X1348" s="239" t="str">
        <f>IFERROR(__xludf.DUMMYFUNCTION("""COMPUTED_VALUE"""),"Prepare for Showcase")</f>
        <v>Prepare for Showcase</v>
      </c>
      <c r="Y1348" s="4" t="str">
        <f t="shared" si="2"/>
        <v/>
      </c>
      <c r="Z1348" s="4" t="str">
        <f>IFERROR(__xludf.DUMMYFUNCTION("IFERROR(
  FILTER('CBK Students'!O:O, TRIM('CBK Students'!B:B) = TRIM(A1348)),
  """"
)"),"#REF!")</f>
        <v>#REF!</v>
      </c>
      <c r="AA1348" s="4" t="str">
        <f>IFERROR(__xludf.DUMMYFUNCTION("IFERROR(
  FILTER('CBK Students'!P:P, TRIM('CBK Students'!B:B) = TRIM(A1348)),
  """"
)"),"#REF!")</f>
        <v>#REF!</v>
      </c>
      <c r="AB1348" s="4" t="str">
        <f>IFERROR(__xludf.DUMMYFUNCTION("IFERROR(
  FILTER('CBK Students'!Q:Q, TRIM('CBK Students'!B:B) = TRIM(A1348)),
  """"
)"),"#REF!")</f>
        <v>#REF!</v>
      </c>
    </row>
    <row r="1349" ht="18.75" customHeight="1">
      <c r="T1349" s="239"/>
      <c r="U1349" s="239"/>
      <c r="V1349" s="239">
        <f>IFERROR(__xludf.DUMMYFUNCTION("""COMPUTED_VALUE"""),6590.0)</f>
        <v>6590</v>
      </c>
      <c r="W1349" s="240" t="str">
        <f t="shared" si="1"/>
        <v/>
      </c>
      <c r="X1349" s="239" t="str">
        <f>IFERROR(__xludf.DUMMYFUNCTION("""COMPUTED_VALUE"""),"Prepare for Showcase")</f>
        <v>Prepare for Showcase</v>
      </c>
      <c r="Y1349" s="4" t="str">
        <f t="shared" si="2"/>
        <v/>
      </c>
      <c r="Z1349" s="4" t="str">
        <f>IFERROR(__xludf.DUMMYFUNCTION("IFERROR(
  FILTER('CBK Students'!O:O, TRIM('CBK Students'!B:B) = TRIM(A1349)),
  """"
)"),"#REF!")</f>
        <v>#REF!</v>
      </c>
      <c r="AA1349" s="4" t="str">
        <f>IFERROR(__xludf.DUMMYFUNCTION("IFERROR(
  FILTER('CBK Students'!P:P, TRIM('CBK Students'!B:B) = TRIM(A1349)),
  """"
)"),"#REF!")</f>
        <v>#REF!</v>
      </c>
      <c r="AB1349" s="4" t="str">
        <f>IFERROR(__xludf.DUMMYFUNCTION("IFERROR(
  FILTER('CBK Students'!Q:Q, TRIM('CBK Students'!B:B) = TRIM(A1349)),
  """"
)"),"#REF!")</f>
        <v>#REF!</v>
      </c>
    </row>
    <row r="1350" ht="18.75" customHeight="1">
      <c r="T1350" s="239"/>
      <c r="U1350" s="239"/>
      <c r="V1350" s="239">
        <f>IFERROR(__xludf.DUMMYFUNCTION("""COMPUTED_VALUE"""),6590.0)</f>
        <v>6590</v>
      </c>
      <c r="W1350" s="240" t="str">
        <f t="shared" si="1"/>
        <v/>
      </c>
      <c r="X1350" s="239" t="str">
        <f>IFERROR(__xludf.DUMMYFUNCTION("""COMPUTED_VALUE"""),"Prepare for Showcase")</f>
        <v>Prepare for Showcase</v>
      </c>
      <c r="Y1350" s="4" t="str">
        <f t="shared" si="2"/>
        <v/>
      </c>
      <c r="Z1350" s="4" t="str">
        <f>IFERROR(__xludf.DUMMYFUNCTION("IFERROR(
  FILTER('CBK Students'!O:O, TRIM('CBK Students'!B:B) = TRIM(A1350)),
  """"
)"),"#REF!")</f>
        <v>#REF!</v>
      </c>
      <c r="AA1350" s="4" t="str">
        <f>IFERROR(__xludf.DUMMYFUNCTION("IFERROR(
  FILTER('CBK Students'!P:P, TRIM('CBK Students'!B:B) = TRIM(A1350)),
  """"
)"),"#REF!")</f>
        <v>#REF!</v>
      </c>
      <c r="AB1350" s="4" t="str">
        <f>IFERROR(__xludf.DUMMYFUNCTION("IFERROR(
  FILTER('CBK Students'!Q:Q, TRIM('CBK Students'!B:B) = TRIM(A1350)),
  """"
)"),"#REF!")</f>
        <v>#REF!</v>
      </c>
    </row>
    <row r="1351" ht="18.75" customHeight="1">
      <c r="T1351" s="239"/>
      <c r="U1351" s="239"/>
      <c r="V1351" s="239">
        <f>IFERROR(__xludf.DUMMYFUNCTION("""COMPUTED_VALUE"""),6590.0)</f>
        <v>6590</v>
      </c>
      <c r="W1351" s="240" t="str">
        <f t="shared" si="1"/>
        <v/>
      </c>
      <c r="X1351" s="239" t="str">
        <f>IFERROR(__xludf.DUMMYFUNCTION("""COMPUTED_VALUE"""),"Prepare for Showcase")</f>
        <v>Prepare for Showcase</v>
      </c>
      <c r="Y1351" s="4" t="str">
        <f t="shared" si="2"/>
        <v/>
      </c>
      <c r="Z1351" s="4" t="str">
        <f>IFERROR(__xludf.DUMMYFUNCTION("IFERROR(
  FILTER('CBK Students'!O:O, TRIM('CBK Students'!B:B) = TRIM(A1351)),
  """"
)"),"#REF!")</f>
        <v>#REF!</v>
      </c>
      <c r="AA1351" s="4" t="str">
        <f>IFERROR(__xludf.DUMMYFUNCTION("IFERROR(
  FILTER('CBK Students'!P:P, TRIM('CBK Students'!B:B) = TRIM(A1351)),
  """"
)"),"#REF!")</f>
        <v>#REF!</v>
      </c>
      <c r="AB1351" s="4" t="str">
        <f>IFERROR(__xludf.DUMMYFUNCTION("IFERROR(
  FILTER('CBK Students'!Q:Q, TRIM('CBK Students'!B:B) = TRIM(A1351)),
  """"
)"),"#REF!")</f>
        <v>#REF!</v>
      </c>
    </row>
    <row r="1352" ht="18.75" customHeight="1">
      <c r="T1352" s="239"/>
      <c r="U1352" s="239"/>
      <c r="V1352" s="239">
        <f>IFERROR(__xludf.DUMMYFUNCTION("""COMPUTED_VALUE"""),6590.0)</f>
        <v>6590</v>
      </c>
      <c r="W1352" s="240" t="str">
        <f t="shared" si="1"/>
        <v/>
      </c>
      <c r="X1352" s="239" t="str">
        <f>IFERROR(__xludf.DUMMYFUNCTION("""COMPUTED_VALUE"""),"Prepare for Showcase")</f>
        <v>Prepare for Showcase</v>
      </c>
      <c r="Y1352" s="4" t="str">
        <f t="shared" si="2"/>
        <v/>
      </c>
      <c r="Z1352" s="4" t="str">
        <f>IFERROR(__xludf.DUMMYFUNCTION("IFERROR(
  FILTER('CBK Students'!O:O, TRIM('CBK Students'!B:B) = TRIM(A1352)),
  """"
)"),"#REF!")</f>
        <v>#REF!</v>
      </c>
      <c r="AA1352" s="4" t="str">
        <f>IFERROR(__xludf.DUMMYFUNCTION("IFERROR(
  FILTER('CBK Students'!P:P, TRIM('CBK Students'!B:B) = TRIM(A1352)),
  """"
)"),"#REF!")</f>
        <v>#REF!</v>
      </c>
      <c r="AB1352" s="4" t="str">
        <f>IFERROR(__xludf.DUMMYFUNCTION("IFERROR(
  FILTER('CBK Students'!Q:Q, TRIM('CBK Students'!B:B) = TRIM(A1352)),
  """"
)"),"#REF!")</f>
        <v>#REF!</v>
      </c>
    </row>
    <row r="1353" ht="18.75" customHeight="1">
      <c r="T1353" s="239"/>
      <c r="U1353" s="239"/>
      <c r="V1353" s="239">
        <f>IFERROR(__xludf.DUMMYFUNCTION("""COMPUTED_VALUE"""),6590.0)</f>
        <v>6590</v>
      </c>
      <c r="W1353" s="240" t="str">
        <f t="shared" si="1"/>
        <v/>
      </c>
      <c r="X1353" s="239" t="str">
        <f>IFERROR(__xludf.DUMMYFUNCTION("""COMPUTED_VALUE"""),"Prepare for Showcase")</f>
        <v>Prepare for Showcase</v>
      </c>
      <c r="Y1353" s="4" t="str">
        <f t="shared" si="2"/>
        <v/>
      </c>
      <c r="Z1353" s="4" t="str">
        <f>IFERROR(__xludf.DUMMYFUNCTION("IFERROR(
  FILTER('CBK Students'!O:O, TRIM('CBK Students'!B:B) = TRIM(A1353)),
  """"
)"),"#REF!")</f>
        <v>#REF!</v>
      </c>
      <c r="AA1353" s="4" t="str">
        <f>IFERROR(__xludf.DUMMYFUNCTION("IFERROR(
  FILTER('CBK Students'!P:P, TRIM('CBK Students'!B:B) = TRIM(A1353)),
  """"
)"),"#REF!")</f>
        <v>#REF!</v>
      </c>
      <c r="AB1353" s="4" t="str">
        <f>IFERROR(__xludf.DUMMYFUNCTION("IFERROR(
  FILTER('CBK Students'!Q:Q, TRIM('CBK Students'!B:B) = TRIM(A1353)),
  """"
)"),"#REF!")</f>
        <v>#REF!</v>
      </c>
    </row>
    <row r="1354" ht="18.75" customHeight="1">
      <c r="T1354" s="239"/>
      <c r="U1354" s="239"/>
      <c r="V1354" s="239">
        <f>IFERROR(__xludf.DUMMYFUNCTION("""COMPUTED_VALUE"""),6590.0)</f>
        <v>6590</v>
      </c>
      <c r="W1354" s="240" t="str">
        <f t="shared" si="1"/>
        <v/>
      </c>
      <c r="X1354" s="239" t="str">
        <f>IFERROR(__xludf.DUMMYFUNCTION("""COMPUTED_VALUE"""),"Prepare for Showcase")</f>
        <v>Prepare for Showcase</v>
      </c>
      <c r="Y1354" s="4" t="str">
        <f t="shared" si="2"/>
        <v/>
      </c>
      <c r="Z1354" s="4" t="str">
        <f>IFERROR(__xludf.DUMMYFUNCTION("IFERROR(
  FILTER('CBK Students'!O:O, TRIM('CBK Students'!B:B) = TRIM(A1354)),
  """"
)"),"#REF!")</f>
        <v>#REF!</v>
      </c>
      <c r="AA1354" s="4" t="str">
        <f>IFERROR(__xludf.DUMMYFUNCTION("IFERROR(
  FILTER('CBK Students'!P:P, TRIM('CBK Students'!B:B) = TRIM(A1354)),
  """"
)"),"#REF!")</f>
        <v>#REF!</v>
      </c>
      <c r="AB1354" s="4" t="str">
        <f>IFERROR(__xludf.DUMMYFUNCTION("IFERROR(
  FILTER('CBK Students'!Q:Q, TRIM('CBK Students'!B:B) = TRIM(A1354)),
  """"
)"),"#REF!")</f>
        <v>#REF!</v>
      </c>
    </row>
    <row r="1355" ht="18.75" customHeight="1">
      <c r="T1355" s="239"/>
      <c r="U1355" s="239"/>
      <c r="V1355" s="239">
        <f>IFERROR(__xludf.DUMMYFUNCTION("""COMPUTED_VALUE"""),6590.0)</f>
        <v>6590</v>
      </c>
      <c r="W1355" s="240" t="str">
        <f t="shared" si="1"/>
        <v/>
      </c>
      <c r="X1355" s="239" t="str">
        <f>IFERROR(__xludf.DUMMYFUNCTION("""COMPUTED_VALUE"""),"Prepare for Showcase")</f>
        <v>Prepare for Showcase</v>
      </c>
      <c r="Y1355" s="4" t="str">
        <f t="shared" si="2"/>
        <v/>
      </c>
      <c r="Z1355" s="4" t="str">
        <f>IFERROR(__xludf.DUMMYFUNCTION("IFERROR(
  FILTER('CBK Students'!O:O, TRIM('CBK Students'!B:B) = TRIM(A1355)),
  """"
)"),"#REF!")</f>
        <v>#REF!</v>
      </c>
      <c r="AA1355" s="4" t="str">
        <f>IFERROR(__xludf.DUMMYFUNCTION("IFERROR(
  FILTER('CBK Students'!P:P, TRIM('CBK Students'!B:B) = TRIM(A1355)),
  """"
)"),"#REF!")</f>
        <v>#REF!</v>
      </c>
      <c r="AB1355" s="4" t="str">
        <f>IFERROR(__xludf.DUMMYFUNCTION("IFERROR(
  FILTER('CBK Students'!Q:Q, TRIM('CBK Students'!B:B) = TRIM(A1355)),
  """"
)"),"#REF!")</f>
        <v>#REF!</v>
      </c>
    </row>
    <row r="1356" ht="18.75" customHeight="1">
      <c r="T1356" s="239"/>
      <c r="U1356" s="239"/>
      <c r="V1356" s="239">
        <f>IFERROR(__xludf.DUMMYFUNCTION("""COMPUTED_VALUE"""),6590.0)</f>
        <v>6590</v>
      </c>
      <c r="W1356" s="240" t="str">
        <f t="shared" si="1"/>
        <v/>
      </c>
      <c r="X1356" s="239" t="str">
        <f>IFERROR(__xludf.DUMMYFUNCTION("""COMPUTED_VALUE"""),"Prepare for Showcase")</f>
        <v>Prepare for Showcase</v>
      </c>
      <c r="Y1356" s="4" t="str">
        <f t="shared" si="2"/>
        <v/>
      </c>
      <c r="Z1356" s="4" t="str">
        <f>IFERROR(__xludf.DUMMYFUNCTION("IFERROR(
  FILTER('CBK Students'!O:O, TRIM('CBK Students'!B:B) = TRIM(A1356)),
  """"
)"),"#REF!")</f>
        <v>#REF!</v>
      </c>
      <c r="AA1356" s="4" t="str">
        <f>IFERROR(__xludf.DUMMYFUNCTION("IFERROR(
  FILTER('CBK Students'!P:P, TRIM('CBK Students'!B:B) = TRIM(A1356)),
  """"
)"),"#REF!")</f>
        <v>#REF!</v>
      </c>
      <c r="AB1356" s="4" t="str">
        <f>IFERROR(__xludf.DUMMYFUNCTION("IFERROR(
  FILTER('CBK Students'!Q:Q, TRIM('CBK Students'!B:B) = TRIM(A1356)),
  """"
)"),"#REF!")</f>
        <v>#REF!</v>
      </c>
    </row>
    <row r="1357" ht="18.75" customHeight="1">
      <c r="T1357" s="239"/>
      <c r="U1357" s="239"/>
      <c r="V1357" s="239">
        <f>IFERROR(__xludf.DUMMYFUNCTION("""COMPUTED_VALUE"""),6590.0)</f>
        <v>6590</v>
      </c>
      <c r="W1357" s="240" t="str">
        <f t="shared" si="1"/>
        <v/>
      </c>
      <c r="X1357" s="239" t="str">
        <f>IFERROR(__xludf.DUMMYFUNCTION("""COMPUTED_VALUE"""),"Prepare for Showcase")</f>
        <v>Prepare for Showcase</v>
      </c>
      <c r="Y1357" s="4" t="str">
        <f t="shared" si="2"/>
        <v/>
      </c>
      <c r="Z1357" s="4" t="str">
        <f>IFERROR(__xludf.DUMMYFUNCTION("IFERROR(
  FILTER('CBK Students'!O:O, TRIM('CBK Students'!B:B) = TRIM(A1357)),
  """"
)"),"#REF!")</f>
        <v>#REF!</v>
      </c>
      <c r="AA1357" s="4" t="str">
        <f>IFERROR(__xludf.DUMMYFUNCTION("IFERROR(
  FILTER('CBK Students'!P:P, TRIM('CBK Students'!B:B) = TRIM(A1357)),
  """"
)"),"#REF!")</f>
        <v>#REF!</v>
      </c>
      <c r="AB1357" s="4" t="str">
        <f>IFERROR(__xludf.DUMMYFUNCTION("IFERROR(
  FILTER('CBK Students'!Q:Q, TRIM('CBK Students'!B:B) = TRIM(A1357)),
  """"
)"),"#REF!")</f>
        <v>#REF!</v>
      </c>
    </row>
    <row r="1358" ht="18.75" customHeight="1">
      <c r="T1358" s="239"/>
      <c r="U1358" s="239"/>
      <c r="V1358" s="239">
        <f>IFERROR(__xludf.DUMMYFUNCTION("""COMPUTED_VALUE"""),6590.0)</f>
        <v>6590</v>
      </c>
      <c r="W1358" s="240" t="str">
        <f t="shared" si="1"/>
        <v/>
      </c>
      <c r="X1358" s="239" t="str">
        <f>IFERROR(__xludf.DUMMYFUNCTION("""COMPUTED_VALUE"""),"Prepare for Showcase")</f>
        <v>Prepare for Showcase</v>
      </c>
      <c r="Y1358" s="4" t="str">
        <f t="shared" si="2"/>
        <v/>
      </c>
      <c r="Z1358" s="4" t="str">
        <f>IFERROR(__xludf.DUMMYFUNCTION("IFERROR(
  FILTER('CBK Students'!O:O, TRIM('CBK Students'!B:B) = TRIM(A1358)),
  """"
)"),"#REF!")</f>
        <v>#REF!</v>
      </c>
      <c r="AA1358" s="4" t="str">
        <f>IFERROR(__xludf.DUMMYFUNCTION("IFERROR(
  FILTER('CBK Students'!P:P, TRIM('CBK Students'!B:B) = TRIM(A1358)),
  """"
)"),"#REF!")</f>
        <v>#REF!</v>
      </c>
      <c r="AB1358" s="4" t="str">
        <f>IFERROR(__xludf.DUMMYFUNCTION("IFERROR(
  FILTER('CBK Students'!Q:Q, TRIM('CBK Students'!B:B) = TRIM(A1358)),
  """"
)"),"#REF!")</f>
        <v>#REF!</v>
      </c>
    </row>
    <row r="1359" ht="18.75" customHeight="1">
      <c r="T1359" s="239"/>
      <c r="U1359" s="239"/>
      <c r="V1359" s="239">
        <f>IFERROR(__xludf.DUMMYFUNCTION("""COMPUTED_VALUE"""),6590.0)</f>
        <v>6590</v>
      </c>
      <c r="W1359" s="240" t="str">
        <f t="shared" si="1"/>
        <v/>
      </c>
      <c r="X1359" s="239" t="str">
        <f>IFERROR(__xludf.DUMMYFUNCTION("""COMPUTED_VALUE"""),"Prepare for Showcase")</f>
        <v>Prepare for Showcase</v>
      </c>
      <c r="Y1359" s="4" t="str">
        <f t="shared" si="2"/>
        <v/>
      </c>
      <c r="Z1359" s="4" t="str">
        <f>IFERROR(__xludf.DUMMYFUNCTION("IFERROR(
  FILTER('CBK Students'!O:O, TRIM('CBK Students'!B:B) = TRIM(A1359)),
  """"
)"),"#REF!")</f>
        <v>#REF!</v>
      </c>
      <c r="AA1359" s="4" t="str">
        <f>IFERROR(__xludf.DUMMYFUNCTION("IFERROR(
  FILTER('CBK Students'!P:P, TRIM('CBK Students'!B:B) = TRIM(A1359)),
  """"
)"),"#REF!")</f>
        <v>#REF!</v>
      </c>
      <c r="AB1359" s="4" t="str">
        <f>IFERROR(__xludf.DUMMYFUNCTION("IFERROR(
  FILTER('CBK Students'!Q:Q, TRIM('CBK Students'!B:B) = TRIM(A1359)),
  """"
)"),"#REF!")</f>
        <v>#REF!</v>
      </c>
    </row>
    <row r="1360" ht="18.75" customHeight="1">
      <c r="T1360" s="239"/>
      <c r="U1360" s="239"/>
      <c r="V1360" s="239">
        <f>IFERROR(__xludf.DUMMYFUNCTION("""COMPUTED_VALUE"""),6590.0)</f>
        <v>6590</v>
      </c>
      <c r="W1360" s="240" t="str">
        <f t="shared" si="1"/>
        <v/>
      </c>
      <c r="X1360" s="239" t="str">
        <f>IFERROR(__xludf.DUMMYFUNCTION("""COMPUTED_VALUE"""),"Prepare for Showcase")</f>
        <v>Prepare for Showcase</v>
      </c>
      <c r="Y1360" s="4" t="str">
        <f t="shared" si="2"/>
        <v/>
      </c>
      <c r="Z1360" s="4" t="str">
        <f>IFERROR(__xludf.DUMMYFUNCTION("IFERROR(
  FILTER('CBK Students'!O:O, TRIM('CBK Students'!B:B) = TRIM(A1360)),
  """"
)"),"#REF!")</f>
        <v>#REF!</v>
      </c>
      <c r="AA1360" s="4" t="str">
        <f>IFERROR(__xludf.DUMMYFUNCTION("IFERROR(
  FILTER('CBK Students'!P:P, TRIM('CBK Students'!B:B) = TRIM(A1360)),
  """"
)"),"#REF!")</f>
        <v>#REF!</v>
      </c>
      <c r="AB1360" s="4" t="str">
        <f>IFERROR(__xludf.DUMMYFUNCTION("IFERROR(
  FILTER('CBK Students'!Q:Q, TRIM('CBK Students'!B:B) = TRIM(A1360)),
  """"
)"),"#REF!")</f>
        <v>#REF!</v>
      </c>
    </row>
    <row r="1361" ht="18.75" customHeight="1">
      <c r="T1361" s="239"/>
      <c r="U1361" s="239"/>
      <c r="V1361" s="239">
        <f>IFERROR(__xludf.DUMMYFUNCTION("""COMPUTED_VALUE"""),6590.0)</f>
        <v>6590</v>
      </c>
      <c r="W1361" s="240" t="str">
        <f t="shared" si="1"/>
        <v/>
      </c>
      <c r="X1361" s="239" t="str">
        <f>IFERROR(__xludf.DUMMYFUNCTION("""COMPUTED_VALUE"""),"Prepare for Showcase")</f>
        <v>Prepare for Showcase</v>
      </c>
      <c r="Y1361" s="4" t="str">
        <f t="shared" si="2"/>
        <v/>
      </c>
      <c r="Z1361" s="4" t="str">
        <f>IFERROR(__xludf.DUMMYFUNCTION("IFERROR(
  FILTER('CBK Students'!O:O, TRIM('CBK Students'!B:B) = TRIM(A1361)),
  """"
)"),"#REF!")</f>
        <v>#REF!</v>
      </c>
      <c r="AA1361" s="4" t="str">
        <f>IFERROR(__xludf.DUMMYFUNCTION("IFERROR(
  FILTER('CBK Students'!P:P, TRIM('CBK Students'!B:B) = TRIM(A1361)),
  """"
)"),"#REF!")</f>
        <v>#REF!</v>
      </c>
      <c r="AB1361" s="4" t="str">
        <f>IFERROR(__xludf.DUMMYFUNCTION("IFERROR(
  FILTER('CBK Students'!Q:Q, TRIM('CBK Students'!B:B) = TRIM(A1361)),
  """"
)"),"#REF!")</f>
        <v>#REF!</v>
      </c>
    </row>
    <row r="1362" ht="18.75" customHeight="1">
      <c r="T1362" s="239"/>
      <c r="U1362" s="239"/>
      <c r="V1362" s="239">
        <f>IFERROR(__xludf.DUMMYFUNCTION("""COMPUTED_VALUE"""),6590.0)</f>
        <v>6590</v>
      </c>
      <c r="W1362" s="240" t="str">
        <f t="shared" si="1"/>
        <v/>
      </c>
      <c r="X1362" s="239" t="str">
        <f>IFERROR(__xludf.DUMMYFUNCTION("""COMPUTED_VALUE"""),"Prepare for Showcase")</f>
        <v>Prepare for Showcase</v>
      </c>
      <c r="Y1362" s="4" t="str">
        <f t="shared" si="2"/>
        <v/>
      </c>
      <c r="Z1362" s="4" t="str">
        <f>IFERROR(__xludf.DUMMYFUNCTION("IFERROR(
  FILTER('CBK Students'!O:O, TRIM('CBK Students'!B:B) = TRIM(A1362)),
  """"
)"),"#REF!")</f>
        <v>#REF!</v>
      </c>
      <c r="AA1362" s="4" t="str">
        <f>IFERROR(__xludf.DUMMYFUNCTION("IFERROR(
  FILTER('CBK Students'!P:P, TRIM('CBK Students'!B:B) = TRIM(A1362)),
  """"
)"),"#REF!")</f>
        <v>#REF!</v>
      </c>
      <c r="AB1362" s="4" t="str">
        <f>IFERROR(__xludf.DUMMYFUNCTION("IFERROR(
  FILTER('CBK Students'!Q:Q, TRIM('CBK Students'!B:B) = TRIM(A1362)),
  """"
)"),"#REF!")</f>
        <v>#REF!</v>
      </c>
    </row>
    <row r="1363" ht="18.75" customHeight="1">
      <c r="T1363" s="239"/>
      <c r="U1363" s="239"/>
      <c r="V1363" s="239">
        <f>IFERROR(__xludf.DUMMYFUNCTION("""COMPUTED_VALUE"""),6590.0)</f>
        <v>6590</v>
      </c>
      <c r="W1363" s="240" t="str">
        <f t="shared" si="1"/>
        <v/>
      </c>
      <c r="X1363" s="239" t="str">
        <f>IFERROR(__xludf.DUMMYFUNCTION("""COMPUTED_VALUE"""),"Prepare for Showcase")</f>
        <v>Prepare for Showcase</v>
      </c>
      <c r="Y1363" s="4" t="str">
        <f t="shared" si="2"/>
        <v/>
      </c>
      <c r="Z1363" s="4" t="str">
        <f>IFERROR(__xludf.DUMMYFUNCTION("IFERROR(
  FILTER('CBK Students'!O:O, TRIM('CBK Students'!B:B) = TRIM(A1363)),
  """"
)"),"#REF!")</f>
        <v>#REF!</v>
      </c>
      <c r="AA1363" s="4" t="str">
        <f>IFERROR(__xludf.DUMMYFUNCTION("IFERROR(
  FILTER('CBK Students'!P:P, TRIM('CBK Students'!B:B) = TRIM(A1363)),
  """"
)"),"#REF!")</f>
        <v>#REF!</v>
      </c>
      <c r="AB1363" s="4" t="str">
        <f>IFERROR(__xludf.DUMMYFUNCTION("IFERROR(
  FILTER('CBK Students'!Q:Q, TRIM('CBK Students'!B:B) = TRIM(A1363)),
  """"
)"),"#REF!")</f>
        <v>#REF!</v>
      </c>
    </row>
    <row r="1364" ht="18.75" customHeight="1">
      <c r="T1364" s="239"/>
      <c r="U1364" s="239"/>
      <c r="V1364" s="239">
        <f>IFERROR(__xludf.DUMMYFUNCTION("""COMPUTED_VALUE"""),6590.0)</f>
        <v>6590</v>
      </c>
      <c r="W1364" s="240" t="str">
        <f t="shared" si="1"/>
        <v/>
      </c>
      <c r="X1364" s="239" t="str">
        <f>IFERROR(__xludf.DUMMYFUNCTION("""COMPUTED_VALUE"""),"Prepare for Showcase")</f>
        <v>Prepare for Showcase</v>
      </c>
      <c r="Y1364" s="4" t="str">
        <f t="shared" si="2"/>
        <v/>
      </c>
      <c r="Z1364" s="4" t="str">
        <f>IFERROR(__xludf.DUMMYFUNCTION("IFERROR(
  FILTER('CBK Students'!O:O, TRIM('CBK Students'!B:B) = TRIM(A1364)),
  """"
)"),"#REF!")</f>
        <v>#REF!</v>
      </c>
      <c r="AA1364" s="4" t="str">
        <f>IFERROR(__xludf.DUMMYFUNCTION("IFERROR(
  FILTER('CBK Students'!P:P, TRIM('CBK Students'!B:B) = TRIM(A1364)),
  """"
)"),"#REF!")</f>
        <v>#REF!</v>
      </c>
      <c r="AB1364" s="4" t="str">
        <f>IFERROR(__xludf.DUMMYFUNCTION("IFERROR(
  FILTER('CBK Students'!Q:Q, TRIM('CBK Students'!B:B) = TRIM(A1364)),
  """"
)"),"#REF!")</f>
        <v>#REF!</v>
      </c>
    </row>
    <row r="1365" ht="18.75" customHeight="1">
      <c r="T1365" s="239"/>
      <c r="U1365" s="239"/>
      <c r="V1365" s="239">
        <f>IFERROR(__xludf.DUMMYFUNCTION("""COMPUTED_VALUE"""),6590.0)</f>
        <v>6590</v>
      </c>
      <c r="W1365" s="240" t="str">
        <f t="shared" si="1"/>
        <v/>
      </c>
      <c r="X1365" s="239" t="str">
        <f>IFERROR(__xludf.DUMMYFUNCTION("""COMPUTED_VALUE"""),"Prepare for Showcase")</f>
        <v>Prepare for Showcase</v>
      </c>
      <c r="Y1365" s="4" t="str">
        <f t="shared" si="2"/>
        <v/>
      </c>
      <c r="Z1365" s="4" t="str">
        <f>IFERROR(__xludf.DUMMYFUNCTION("IFERROR(
  FILTER('CBK Students'!O:O, TRIM('CBK Students'!B:B) = TRIM(A1365)),
  """"
)"),"#REF!")</f>
        <v>#REF!</v>
      </c>
      <c r="AA1365" s="4" t="str">
        <f>IFERROR(__xludf.DUMMYFUNCTION("IFERROR(
  FILTER('CBK Students'!P:P, TRIM('CBK Students'!B:B) = TRIM(A1365)),
  """"
)"),"#REF!")</f>
        <v>#REF!</v>
      </c>
      <c r="AB1365" s="4" t="str">
        <f>IFERROR(__xludf.DUMMYFUNCTION("IFERROR(
  FILTER('CBK Students'!Q:Q, TRIM('CBK Students'!B:B) = TRIM(A1365)),
  """"
)"),"#REF!")</f>
        <v>#REF!</v>
      </c>
    </row>
    <row r="1366" ht="18.75" customHeight="1">
      <c r="T1366" s="239"/>
      <c r="U1366" s="239"/>
      <c r="V1366" s="239">
        <f>IFERROR(__xludf.DUMMYFUNCTION("""COMPUTED_VALUE"""),6590.0)</f>
        <v>6590</v>
      </c>
      <c r="W1366" s="240" t="str">
        <f t="shared" si="1"/>
        <v/>
      </c>
      <c r="X1366" s="239" t="str">
        <f>IFERROR(__xludf.DUMMYFUNCTION("""COMPUTED_VALUE"""),"Prepare for Showcase")</f>
        <v>Prepare for Showcase</v>
      </c>
      <c r="Y1366" s="4" t="str">
        <f t="shared" si="2"/>
        <v/>
      </c>
      <c r="Z1366" s="4" t="str">
        <f>IFERROR(__xludf.DUMMYFUNCTION("IFERROR(
  FILTER('CBK Students'!O:O, TRIM('CBK Students'!B:B) = TRIM(A1366)),
  """"
)"),"#REF!")</f>
        <v>#REF!</v>
      </c>
      <c r="AA1366" s="4" t="str">
        <f>IFERROR(__xludf.DUMMYFUNCTION("IFERROR(
  FILTER('CBK Students'!P:P, TRIM('CBK Students'!B:B) = TRIM(A1366)),
  """"
)"),"#REF!")</f>
        <v>#REF!</v>
      </c>
      <c r="AB1366" s="4" t="str">
        <f>IFERROR(__xludf.DUMMYFUNCTION("IFERROR(
  FILTER('CBK Students'!Q:Q, TRIM('CBK Students'!B:B) = TRIM(A1366)),
  """"
)"),"#REF!")</f>
        <v>#REF!</v>
      </c>
    </row>
    <row r="1367" ht="18.75" customHeight="1">
      <c r="T1367" s="239"/>
      <c r="U1367" s="239"/>
      <c r="V1367" s="239">
        <f>IFERROR(__xludf.DUMMYFUNCTION("""COMPUTED_VALUE"""),6590.0)</f>
        <v>6590</v>
      </c>
      <c r="W1367" s="240" t="str">
        <f t="shared" si="1"/>
        <v/>
      </c>
      <c r="X1367" s="239" t="str">
        <f>IFERROR(__xludf.DUMMYFUNCTION("""COMPUTED_VALUE"""),"Prepare for Showcase")</f>
        <v>Prepare for Showcase</v>
      </c>
      <c r="Y1367" s="4" t="str">
        <f t="shared" si="2"/>
        <v/>
      </c>
      <c r="Z1367" s="4" t="str">
        <f>IFERROR(__xludf.DUMMYFUNCTION("IFERROR(
  FILTER('CBK Students'!O:O, TRIM('CBK Students'!B:B) = TRIM(A1367)),
  """"
)"),"#REF!")</f>
        <v>#REF!</v>
      </c>
      <c r="AA1367" s="4" t="str">
        <f>IFERROR(__xludf.DUMMYFUNCTION("IFERROR(
  FILTER('CBK Students'!P:P, TRIM('CBK Students'!B:B) = TRIM(A1367)),
  """"
)"),"#REF!")</f>
        <v>#REF!</v>
      </c>
      <c r="AB1367" s="4" t="str">
        <f>IFERROR(__xludf.DUMMYFUNCTION("IFERROR(
  FILTER('CBK Students'!Q:Q, TRIM('CBK Students'!B:B) = TRIM(A1367)),
  """"
)"),"#REF!")</f>
        <v>#REF!</v>
      </c>
    </row>
    <row r="1368" ht="18.75" customHeight="1">
      <c r="T1368" s="239"/>
      <c r="U1368" s="239"/>
      <c r="V1368" s="239">
        <f>IFERROR(__xludf.DUMMYFUNCTION("""COMPUTED_VALUE"""),6590.0)</f>
        <v>6590</v>
      </c>
      <c r="W1368" s="240" t="str">
        <f t="shared" si="1"/>
        <v/>
      </c>
      <c r="X1368" s="239" t="str">
        <f>IFERROR(__xludf.DUMMYFUNCTION("""COMPUTED_VALUE"""),"Prepare for Showcase")</f>
        <v>Prepare for Showcase</v>
      </c>
      <c r="Y1368" s="4" t="str">
        <f t="shared" si="2"/>
        <v/>
      </c>
      <c r="Z1368" s="4" t="str">
        <f>IFERROR(__xludf.DUMMYFUNCTION("IFERROR(
  FILTER('CBK Students'!O:O, TRIM('CBK Students'!B:B) = TRIM(A1368)),
  """"
)"),"#REF!")</f>
        <v>#REF!</v>
      </c>
      <c r="AA1368" s="4" t="str">
        <f>IFERROR(__xludf.DUMMYFUNCTION("IFERROR(
  FILTER('CBK Students'!P:P, TRIM('CBK Students'!B:B) = TRIM(A1368)),
  """"
)"),"#REF!")</f>
        <v>#REF!</v>
      </c>
      <c r="AB1368" s="4" t="str">
        <f>IFERROR(__xludf.DUMMYFUNCTION("IFERROR(
  FILTER('CBK Students'!Q:Q, TRIM('CBK Students'!B:B) = TRIM(A1368)),
  """"
)"),"#REF!")</f>
        <v>#REF!</v>
      </c>
    </row>
    <row r="1369" ht="18.75" customHeight="1">
      <c r="T1369" s="239"/>
      <c r="U1369" s="239"/>
      <c r="V1369" s="239">
        <f>IFERROR(__xludf.DUMMYFUNCTION("""COMPUTED_VALUE"""),6590.0)</f>
        <v>6590</v>
      </c>
      <c r="W1369" s="240" t="str">
        <f t="shared" si="1"/>
        <v/>
      </c>
      <c r="X1369" s="239" t="str">
        <f>IFERROR(__xludf.DUMMYFUNCTION("""COMPUTED_VALUE"""),"Prepare for Showcase")</f>
        <v>Prepare for Showcase</v>
      </c>
      <c r="Y1369" s="4" t="str">
        <f t="shared" si="2"/>
        <v/>
      </c>
      <c r="Z1369" s="4" t="str">
        <f>IFERROR(__xludf.DUMMYFUNCTION("IFERROR(
  FILTER('CBK Students'!O:O, TRIM('CBK Students'!B:B) = TRIM(A1369)),
  """"
)"),"#REF!")</f>
        <v>#REF!</v>
      </c>
      <c r="AA1369" s="4" t="str">
        <f>IFERROR(__xludf.DUMMYFUNCTION("IFERROR(
  FILTER('CBK Students'!P:P, TRIM('CBK Students'!B:B) = TRIM(A1369)),
  """"
)"),"#REF!")</f>
        <v>#REF!</v>
      </c>
      <c r="AB1369" s="4" t="str">
        <f>IFERROR(__xludf.DUMMYFUNCTION("IFERROR(
  FILTER('CBK Students'!Q:Q, TRIM('CBK Students'!B:B) = TRIM(A1369)),
  """"
)"),"#REF!")</f>
        <v>#REF!</v>
      </c>
    </row>
    <row r="1370" ht="18.75" customHeight="1">
      <c r="T1370" s="239"/>
      <c r="U1370" s="239"/>
      <c r="V1370" s="239">
        <f>IFERROR(__xludf.DUMMYFUNCTION("""COMPUTED_VALUE"""),6590.0)</f>
        <v>6590</v>
      </c>
      <c r="W1370" s="240" t="str">
        <f t="shared" si="1"/>
        <v/>
      </c>
      <c r="X1370" s="239" t="str">
        <f>IFERROR(__xludf.DUMMYFUNCTION("""COMPUTED_VALUE"""),"Prepare for Showcase")</f>
        <v>Prepare for Showcase</v>
      </c>
      <c r="Y1370" s="4" t="str">
        <f t="shared" si="2"/>
        <v/>
      </c>
      <c r="Z1370" s="4" t="str">
        <f>IFERROR(__xludf.DUMMYFUNCTION("IFERROR(
  FILTER('CBK Students'!O:O, TRIM('CBK Students'!B:B) = TRIM(A1370)),
  """"
)"),"#REF!")</f>
        <v>#REF!</v>
      </c>
      <c r="AA1370" s="4" t="str">
        <f>IFERROR(__xludf.DUMMYFUNCTION("IFERROR(
  FILTER('CBK Students'!P:P, TRIM('CBK Students'!B:B) = TRIM(A1370)),
  """"
)"),"#REF!")</f>
        <v>#REF!</v>
      </c>
      <c r="AB1370" s="4" t="str">
        <f>IFERROR(__xludf.DUMMYFUNCTION("IFERROR(
  FILTER('CBK Students'!Q:Q, TRIM('CBK Students'!B:B) = TRIM(A1370)),
  """"
)"),"#REF!")</f>
        <v>#REF!</v>
      </c>
    </row>
    <row r="1371" ht="18.75" customHeight="1">
      <c r="T1371" s="239"/>
      <c r="U1371" s="239"/>
      <c r="V1371" s="239">
        <f>IFERROR(__xludf.DUMMYFUNCTION("""COMPUTED_VALUE"""),6590.0)</f>
        <v>6590</v>
      </c>
      <c r="W1371" s="240" t="str">
        <f t="shared" si="1"/>
        <v/>
      </c>
      <c r="X1371" s="239" t="str">
        <f>IFERROR(__xludf.DUMMYFUNCTION("""COMPUTED_VALUE"""),"Prepare for Showcase")</f>
        <v>Prepare for Showcase</v>
      </c>
      <c r="Y1371" s="4" t="str">
        <f t="shared" si="2"/>
        <v/>
      </c>
      <c r="Z1371" s="4" t="str">
        <f>IFERROR(__xludf.DUMMYFUNCTION("IFERROR(
  FILTER('CBK Students'!O:O, TRIM('CBK Students'!B:B) = TRIM(A1371)),
  """"
)"),"#REF!")</f>
        <v>#REF!</v>
      </c>
      <c r="AA1371" s="4" t="str">
        <f>IFERROR(__xludf.DUMMYFUNCTION("IFERROR(
  FILTER('CBK Students'!P:P, TRIM('CBK Students'!B:B) = TRIM(A1371)),
  """"
)"),"#REF!")</f>
        <v>#REF!</v>
      </c>
      <c r="AB1371" s="4" t="str">
        <f>IFERROR(__xludf.DUMMYFUNCTION("IFERROR(
  FILTER('CBK Students'!Q:Q, TRIM('CBK Students'!B:B) = TRIM(A1371)),
  """"
)"),"#REF!")</f>
        <v>#REF!</v>
      </c>
    </row>
    <row r="1372" ht="18.75" customHeight="1">
      <c r="T1372" s="239"/>
      <c r="U1372" s="239"/>
      <c r="V1372" s="239">
        <f>IFERROR(__xludf.DUMMYFUNCTION("""COMPUTED_VALUE"""),6590.0)</f>
        <v>6590</v>
      </c>
      <c r="W1372" s="240" t="str">
        <f t="shared" si="1"/>
        <v/>
      </c>
      <c r="X1372" s="239" t="str">
        <f>IFERROR(__xludf.DUMMYFUNCTION("""COMPUTED_VALUE"""),"Prepare for Showcase")</f>
        <v>Prepare for Showcase</v>
      </c>
      <c r="Y1372" s="4" t="str">
        <f t="shared" si="2"/>
        <v/>
      </c>
      <c r="Z1372" s="4" t="str">
        <f>IFERROR(__xludf.DUMMYFUNCTION("IFERROR(
  FILTER('CBK Students'!O:O, TRIM('CBK Students'!B:B) = TRIM(A1372)),
  """"
)"),"#REF!")</f>
        <v>#REF!</v>
      </c>
      <c r="AA1372" s="4" t="str">
        <f>IFERROR(__xludf.DUMMYFUNCTION("IFERROR(
  FILTER('CBK Students'!P:P, TRIM('CBK Students'!B:B) = TRIM(A1372)),
  """"
)"),"#REF!")</f>
        <v>#REF!</v>
      </c>
      <c r="AB1372" s="4" t="str">
        <f>IFERROR(__xludf.DUMMYFUNCTION("IFERROR(
  FILTER('CBK Students'!Q:Q, TRIM('CBK Students'!B:B) = TRIM(A1372)),
  """"
)"),"#REF!")</f>
        <v>#REF!</v>
      </c>
    </row>
    <row r="1373" ht="18.75" customHeight="1">
      <c r="T1373" s="239"/>
      <c r="U1373" s="239"/>
      <c r="V1373" s="239">
        <f>IFERROR(__xludf.DUMMYFUNCTION("""COMPUTED_VALUE"""),6590.0)</f>
        <v>6590</v>
      </c>
      <c r="W1373" s="240" t="str">
        <f t="shared" si="1"/>
        <v/>
      </c>
      <c r="X1373" s="239" t="str">
        <f>IFERROR(__xludf.DUMMYFUNCTION("""COMPUTED_VALUE"""),"Prepare for Showcase")</f>
        <v>Prepare for Showcase</v>
      </c>
      <c r="Y1373" s="4" t="str">
        <f t="shared" si="2"/>
        <v/>
      </c>
      <c r="Z1373" s="4" t="str">
        <f>IFERROR(__xludf.DUMMYFUNCTION("IFERROR(
  FILTER('CBK Students'!O:O, TRIM('CBK Students'!B:B) = TRIM(A1373)),
  """"
)"),"#REF!")</f>
        <v>#REF!</v>
      </c>
      <c r="AA1373" s="4" t="str">
        <f>IFERROR(__xludf.DUMMYFUNCTION("IFERROR(
  FILTER('CBK Students'!P:P, TRIM('CBK Students'!B:B) = TRIM(A1373)),
  """"
)"),"#REF!")</f>
        <v>#REF!</v>
      </c>
      <c r="AB1373" s="4" t="str">
        <f>IFERROR(__xludf.DUMMYFUNCTION("IFERROR(
  FILTER('CBK Students'!Q:Q, TRIM('CBK Students'!B:B) = TRIM(A1373)),
  """"
)"),"#REF!")</f>
        <v>#REF!</v>
      </c>
    </row>
    <row r="1374" ht="18.75" customHeight="1">
      <c r="T1374" s="239"/>
      <c r="U1374" s="239"/>
      <c r="V1374" s="239">
        <f>IFERROR(__xludf.DUMMYFUNCTION("""COMPUTED_VALUE"""),6590.0)</f>
        <v>6590</v>
      </c>
      <c r="W1374" s="240" t="str">
        <f t="shared" si="1"/>
        <v/>
      </c>
      <c r="X1374" s="239" t="str">
        <f>IFERROR(__xludf.DUMMYFUNCTION("""COMPUTED_VALUE"""),"Prepare for Showcase")</f>
        <v>Prepare for Showcase</v>
      </c>
      <c r="Y1374" s="4" t="str">
        <f t="shared" si="2"/>
        <v/>
      </c>
      <c r="Z1374" s="4" t="str">
        <f>IFERROR(__xludf.DUMMYFUNCTION("IFERROR(
  FILTER('CBK Students'!O:O, TRIM('CBK Students'!B:B) = TRIM(A1374)),
  """"
)"),"#REF!")</f>
        <v>#REF!</v>
      </c>
      <c r="AA1374" s="4" t="str">
        <f>IFERROR(__xludf.DUMMYFUNCTION("IFERROR(
  FILTER('CBK Students'!P:P, TRIM('CBK Students'!B:B) = TRIM(A1374)),
  """"
)"),"#REF!")</f>
        <v>#REF!</v>
      </c>
      <c r="AB1374" s="4" t="str">
        <f>IFERROR(__xludf.DUMMYFUNCTION("IFERROR(
  FILTER('CBK Students'!Q:Q, TRIM('CBK Students'!B:B) = TRIM(A1374)),
  """"
)"),"#REF!")</f>
        <v>#REF!</v>
      </c>
    </row>
    <row r="1375" ht="18.75" customHeight="1">
      <c r="T1375" s="239"/>
      <c r="U1375" s="239"/>
      <c r="V1375" s="239">
        <f>IFERROR(__xludf.DUMMYFUNCTION("""COMPUTED_VALUE"""),6590.0)</f>
        <v>6590</v>
      </c>
      <c r="W1375" s="240" t="str">
        <f t="shared" si="1"/>
        <v/>
      </c>
      <c r="X1375" s="239" t="str">
        <f>IFERROR(__xludf.DUMMYFUNCTION("""COMPUTED_VALUE"""),"Prepare for Showcase")</f>
        <v>Prepare for Showcase</v>
      </c>
      <c r="Y1375" s="4" t="str">
        <f t="shared" si="2"/>
        <v/>
      </c>
      <c r="Z1375" s="4" t="str">
        <f>IFERROR(__xludf.DUMMYFUNCTION("IFERROR(
  FILTER('CBK Students'!O:O, TRIM('CBK Students'!B:B) = TRIM(A1375)),
  """"
)"),"#REF!")</f>
        <v>#REF!</v>
      </c>
      <c r="AA1375" s="4" t="str">
        <f>IFERROR(__xludf.DUMMYFUNCTION("IFERROR(
  FILTER('CBK Students'!P:P, TRIM('CBK Students'!B:B) = TRIM(A1375)),
  """"
)"),"#REF!")</f>
        <v>#REF!</v>
      </c>
      <c r="AB1375" s="4" t="str">
        <f>IFERROR(__xludf.DUMMYFUNCTION("IFERROR(
  FILTER('CBK Students'!Q:Q, TRIM('CBK Students'!B:B) = TRIM(A1375)),
  """"
)"),"#REF!")</f>
        <v>#REF!</v>
      </c>
    </row>
    <row r="1376" ht="18.75" customHeight="1">
      <c r="T1376" s="239"/>
      <c r="U1376" s="239"/>
      <c r="V1376" s="239">
        <f>IFERROR(__xludf.DUMMYFUNCTION("""COMPUTED_VALUE"""),6590.0)</f>
        <v>6590</v>
      </c>
      <c r="W1376" s="240" t="str">
        <f t="shared" si="1"/>
        <v/>
      </c>
      <c r="X1376" s="239" t="str">
        <f>IFERROR(__xludf.DUMMYFUNCTION("""COMPUTED_VALUE"""),"Prepare for Showcase")</f>
        <v>Prepare for Showcase</v>
      </c>
      <c r="Y1376" s="4" t="str">
        <f t="shared" si="2"/>
        <v/>
      </c>
      <c r="Z1376" s="4" t="str">
        <f>IFERROR(__xludf.DUMMYFUNCTION("IFERROR(
  FILTER('CBK Students'!O:O, TRIM('CBK Students'!B:B) = TRIM(A1376)),
  """"
)"),"#REF!")</f>
        <v>#REF!</v>
      </c>
      <c r="AA1376" s="4" t="str">
        <f>IFERROR(__xludf.DUMMYFUNCTION("IFERROR(
  FILTER('CBK Students'!P:P, TRIM('CBK Students'!B:B) = TRIM(A1376)),
  """"
)"),"#REF!")</f>
        <v>#REF!</v>
      </c>
      <c r="AB1376" s="4" t="str">
        <f>IFERROR(__xludf.DUMMYFUNCTION("IFERROR(
  FILTER('CBK Students'!Q:Q, TRIM('CBK Students'!B:B) = TRIM(A1376)),
  """"
)"),"#REF!")</f>
        <v>#REF!</v>
      </c>
    </row>
    <row r="1377" ht="18.75" customHeight="1">
      <c r="T1377" s="239"/>
      <c r="U1377" s="239"/>
      <c r="V1377" s="239">
        <f>IFERROR(__xludf.DUMMYFUNCTION("""COMPUTED_VALUE"""),6590.0)</f>
        <v>6590</v>
      </c>
      <c r="W1377" s="240" t="str">
        <f t="shared" si="1"/>
        <v/>
      </c>
      <c r="X1377" s="239" t="str">
        <f>IFERROR(__xludf.DUMMYFUNCTION("""COMPUTED_VALUE"""),"Prepare for Showcase")</f>
        <v>Prepare for Showcase</v>
      </c>
      <c r="Y1377" s="4" t="str">
        <f t="shared" si="2"/>
        <v/>
      </c>
      <c r="Z1377" s="4" t="str">
        <f>IFERROR(__xludf.DUMMYFUNCTION("IFERROR(
  FILTER('CBK Students'!O:O, TRIM('CBK Students'!B:B) = TRIM(A1377)),
  """"
)"),"#REF!")</f>
        <v>#REF!</v>
      </c>
      <c r="AA1377" s="4" t="str">
        <f>IFERROR(__xludf.DUMMYFUNCTION("IFERROR(
  FILTER('CBK Students'!P:P, TRIM('CBK Students'!B:B) = TRIM(A1377)),
  """"
)"),"#REF!")</f>
        <v>#REF!</v>
      </c>
      <c r="AB1377" s="4" t="str">
        <f>IFERROR(__xludf.DUMMYFUNCTION("IFERROR(
  FILTER('CBK Students'!Q:Q, TRIM('CBK Students'!B:B) = TRIM(A1377)),
  """"
)"),"#REF!")</f>
        <v>#REF!</v>
      </c>
    </row>
    <row r="1378" ht="18.75" customHeight="1">
      <c r="T1378" s="239"/>
      <c r="U1378" s="239"/>
      <c r="V1378" s="239">
        <f>IFERROR(__xludf.DUMMYFUNCTION("""COMPUTED_VALUE"""),6590.0)</f>
        <v>6590</v>
      </c>
      <c r="W1378" s="240" t="str">
        <f t="shared" si="1"/>
        <v/>
      </c>
      <c r="X1378" s="239" t="str">
        <f>IFERROR(__xludf.DUMMYFUNCTION("""COMPUTED_VALUE"""),"Prepare for Showcase")</f>
        <v>Prepare for Showcase</v>
      </c>
      <c r="Y1378" s="4" t="str">
        <f t="shared" si="2"/>
        <v/>
      </c>
      <c r="Z1378" s="4" t="str">
        <f>IFERROR(__xludf.DUMMYFUNCTION("IFERROR(
  FILTER('CBK Students'!O:O, TRIM('CBK Students'!B:B) = TRIM(A1378)),
  """"
)"),"#REF!")</f>
        <v>#REF!</v>
      </c>
      <c r="AA1378" s="4" t="str">
        <f>IFERROR(__xludf.DUMMYFUNCTION("IFERROR(
  FILTER('CBK Students'!P:P, TRIM('CBK Students'!B:B) = TRIM(A1378)),
  """"
)"),"#REF!")</f>
        <v>#REF!</v>
      </c>
      <c r="AB1378" s="4" t="str">
        <f>IFERROR(__xludf.DUMMYFUNCTION("IFERROR(
  FILTER('CBK Students'!Q:Q, TRIM('CBK Students'!B:B) = TRIM(A1378)),
  """"
)"),"#REF!")</f>
        <v>#REF!</v>
      </c>
    </row>
    <row r="1379" ht="18.75" customHeight="1">
      <c r="T1379" s="239"/>
      <c r="U1379" s="239"/>
      <c r="V1379" s="239">
        <f>IFERROR(__xludf.DUMMYFUNCTION("""COMPUTED_VALUE"""),6590.0)</f>
        <v>6590</v>
      </c>
      <c r="W1379" s="240" t="str">
        <f t="shared" si="1"/>
        <v/>
      </c>
      <c r="X1379" s="239" t="str">
        <f>IFERROR(__xludf.DUMMYFUNCTION("""COMPUTED_VALUE"""),"Prepare for Showcase")</f>
        <v>Prepare for Showcase</v>
      </c>
      <c r="Y1379" s="4" t="str">
        <f t="shared" si="2"/>
        <v/>
      </c>
      <c r="Z1379" s="4" t="str">
        <f>IFERROR(__xludf.DUMMYFUNCTION("IFERROR(
  FILTER('CBK Students'!O:O, TRIM('CBK Students'!B:B) = TRIM(A1379)),
  """"
)"),"#REF!")</f>
        <v>#REF!</v>
      </c>
      <c r="AA1379" s="4" t="str">
        <f>IFERROR(__xludf.DUMMYFUNCTION("IFERROR(
  FILTER('CBK Students'!P:P, TRIM('CBK Students'!B:B) = TRIM(A1379)),
  """"
)"),"#REF!")</f>
        <v>#REF!</v>
      </c>
      <c r="AB1379" s="4" t="str">
        <f>IFERROR(__xludf.DUMMYFUNCTION("IFERROR(
  FILTER('CBK Students'!Q:Q, TRIM('CBK Students'!B:B) = TRIM(A1379)),
  """"
)"),"#REF!")</f>
        <v>#REF!</v>
      </c>
    </row>
    <row r="1380" ht="18.75" customHeight="1">
      <c r="T1380" s="239"/>
      <c r="U1380" s="239"/>
      <c r="V1380" s="239">
        <f>IFERROR(__xludf.DUMMYFUNCTION("""COMPUTED_VALUE"""),6590.0)</f>
        <v>6590</v>
      </c>
      <c r="W1380" s="240" t="str">
        <f t="shared" si="1"/>
        <v/>
      </c>
      <c r="X1380" s="239" t="str">
        <f>IFERROR(__xludf.DUMMYFUNCTION("""COMPUTED_VALUE"""),"Prepare for Showcase")</f>
        <v>Prepare for Showcase</v>
      </c>
      <c r="Y1380" s="4" t="str">
        <f t="shared" si="2"/>
        <v/>
      </c>
      <c r="Z1380" s="4" t="str">
        <f>IFERROR(__xludf.DUMMYFUNCTION("IFERROR(
  FILTER('CBK Students'!O:O, TRIM('CBK Students'!B:B) = TRIM(A1380)),
  """"
)"),"#REF!")</f>
        <v>#REF!</v>
      </c>
      <c r="AA1380" s="4" t="str">
        <f>IFERROR(__xludf.DUMMYFUNCTION("IFERROR(
  FILTER('CBK Students'!P:P, TRIM('CBK Students'!B:B) = TRIM(A1380)),
  """"
)"),"#REF!")</f>
        <v>#REF!</v>
      </c>
      <c r="AB1380" s="4" t="str">
        <f>IFERROR(__xludf.DUMMYFUNCTION("IFERROR(
  FILTER('CBK Students'!Q:Q, TRIM('CBK Students'!B:B) = TRIM(A1380)),
  """"
)"),"#REF!")</f>
        <v>#REF!</v>
      </c>
    </row>
    <row r="1381" ht="18.75" customHeight="1">
      <c r="T1381" s="239"/>
      <c r="U1381" s="239"/>
      <c r="V1381" s="239">
        <f>IFERROR(__xludf.DUMMYFUNCTION("""COMPUTED_VALUE"""),6590.0)</f>
        <v>6590</v>
      </c>
      <c r="W1381" s="240" t="str">
        <f t="shared" si="1"/>
        <v/>
      </c>
      <c r="X1381" s="239" t="str">
        <f>IFERROR(__xludf.DUMMYFUNCTION("""COMPUTED_VALUE"""),"Prepare for Showcase")</f>
        <v>Prepare for Showcase</v>
      </c>
      <c r="Y1381" s="4" t="str">
        <f t="shared" si="2"/>
        <v/>
      </c>
      <c r="Z1381" s="4" t="str">
        <f>IFERROR(__xludf.DUMMYFUNCTION("IFERROR(
  FILTER('CBK Students'!O:O, TRIM('CBK Students'!B:B) = TRIM(A1381)),
  """"
)"),"#REF!")</f>
        <v>#REF!</v>
      </c>
      <c r="AA1381" s="4" t="str">
        <f>IFERROR(__xludf.DUMMYFUNCTION("IFERROR(
  FILTER('CBK Students'!P:P, TRIM('CBK Students'!B:B) = TRIM(A1381)),
  """"
)"),"#REF!")</f>
        <v>#REF!</v>
      </c>
      <c r="AB1381" s="4" t="str">
        <f>IFERROR(__xludf.DUMMYFUNCTION("IFERROR(
  FILTER('CBK Students'!Q:Q, TRIM('CBK Students'!B:B) = TRIM(A1381)),
  """"
)"),"#REF!")</f>
        <v>#REF!</v>
      </c>
    </row>
    <row r="1382" ht="18.75" customHeight="1">
      <c r="T1382" s="239"/>
      <c r="U1382" s="239"/>
      <c r="V1382" s="239">
        <f>IFERROR(__xludf.DUMMYFUNCTION("""COMPUTED_VALUE"""),6590.0)</f>
        <v>6590</v>
      </c>
      <c r="W1382" s="240" t="str">
        <f t="shared" si="1"/>
        <v/>
      </c>
      <c r="X1382" s="239" t="str">
        <f>IFERROR(__xludf.DUMMYFUNCTION("""COMPUTED_VALUE"""),"Prepare for Showcase")</f>
        <v>Prepare for Showcase</v>
      </c>
      <c r="Y1382" s="4" t="str">
        <f t="shared" si="2"/>
        <v/>
      </c>
      <c r="Z1382" s="4" t="str">
        <f>IFERROR(__xludf.DUMMYFUNCTION("IFERROR(
  FILTER('CBK Students'!O:O, TRIM('CBK Students'!B:B) = TRIM(A1382)),
  """"
)"),"#REF!")</f>
        <v>#REF!</v>
      </c>
      <c r="AA1382" s="4" t="str">
        <f>IFERROR(__xludf.DUMMYFUNCTION("IFERROR(
  FILTER('CBK Students'!P:P, TRIM('CBK Students'!B:B) = TRIM(A1382)),
  """"
)"),"#REF!")</f>
        <v>#REF!</v>
      </c>
      <c r="AB1382" s="4" t="str">
        <f>IFERROR(__xludf.DUMMYFUNCTION("IFERROR(
  FILTER('CBK Students'!Q:Q, TRIM('CBK Students'!B:B) = TRIM(A1382)),
  """"
)"),"#REF!")</f>
        <v>#REF!</v>
      </c>
    </row>
    <row r="1383" ht="18.75" customHeight="1">
      <c r="T1383" s="239"/>
      <c r="U1383" s="239"/>
      <c r="V1383" s="239">
        <f>IFERROR(__xludf.DUMMYFUNCTION("""COMPUTED_VALUE"""),6590.0)</f>
        <v>6590</v>
      </c>
      <c r="W1383" s="240" t="str">
        <f t="shared" si="1"/>
        <v/>
      </c>
      <c r="X1383" s="239" t="str">
        <f>IFERROR(__xludf.DUMMYFUNCTION("""COMPUTED_VALUE"""),"Prepare for Showcase")</f>
        <v>Prepare for Showcase</v>
      </c>
      <c r="Y1383" s="4" t="str">
        <f t="shared" si="2"/>
        <v/>
      </c>
      <c r="Z1383" s="4" t="str">
        <f>IFERROR(__xludf.DUMMYFUNCTION("IFERROR(
  FILTER('CBK Students'!O:O, TRIM('CBK Students'!B:B) = TRIM(A1383)),
  """"
)"),"#REF!")</f>
        <v>#REF!</v>
      </c>
      <c r="AA1383" s="4" t="str">
        <f>IFERROR(__xludf.DUMMYFUNCTION("IFERROR(
  FILTER('CBK Students'!P:P, TRIM('CBK Students'!B:B) = TRIM(A1383)),
  """"
)"),"#REF!")</f>
        <v>#REF!</v>
      </c>
      <c r="AB1383" s="4" t="str">
        <f>IFERROR(__xludf.DUMMYFUNCTION("IFERROR(
  FILTER('CBK Students'!Q:Q, TRIM('CBK Students'!B:B) = TRIM(A1383)),
  """"
)"),"#REF!")</f>
        <v>#REF!</v>
      </c>
    </row>
    <row r="1384" ht="18.75" customHeight="1">
      <c r="T1384" s="239"/>
      <c r="U1384" s="239"/>
      <c r="V1384" s="239">
        <f>IFERROR(__xludf.DUMMYFUNCTION("""COMPUTED_VALUE"""),6590.0)</f>
        <v>6590</v>
      </c>
      <c r="W1384" s="240" t="str">
        <f t="shared" si="1"/>
        <v/>
      </c>
      <c r="X1384" s="239" t="str">
        <f>IFERROR(__xludf.DUMMYFUNCTION("""COMPUTED_VALUE"""),"Prepare for Showcase")</f>
        <v>Prepare for Showcase</v>
      </c>
      <c r="Y1384" s="4" t="str">
        <f t="shared" si="2"/>
        <v/>
      </c>
      <c r="Z1384" s="4" t="str">
        <f>IFERROR(__xludf.DUMMYFUNCTION("IFERROR(
  FILTER('CBK Students'!O:O, TRIM('CBK Students'!B:B) = TRIM(A1384)),
  """"
)"),"#REF!")</f>
        <v>#REF!</v>
      </c>
      <c r="AA1384" s="4" t="str">
        <f>IFERROR(__xludf.DUMMYFUNCTION("IFERROR(
  FILTER('CBK Students'!P:P, TRIM('CBK Students'!B:B) = TRIM(A1384)),
  """"
)"),"#REF!")</f>
        <v>#REF!</v>
      </c>
      <c r="AB1384" s="4" t="str">
        <f>IFERROR(__xludf.DUMMYFUNCTION("IFERROR(
  FILTER('CBK Students'!Q:Q, TRIM('CBK Students'!B:B) = TRIM(A1384)),
  """"
)"),"#REF!")</f>
        <v>#REF!</v>
      </c>
    </row>
    <row r="1385" ht="18.75" customHeight="1">
      <c r="T1385" s="239"/>
      <c r="U1385" s="239"/>
      <c r="V1385" s="239">
        <f>IFERROR(__xludf.DUMMYFUNCTION("""COMPUTED_VALUE"""),6590.0)</f>
        <v>6590</v>
      </c>
      <c r="W1385" s="240" t="str">
        <f t="shared" si="1"/>
        <v/>
      </c>
      <c r="X1385" s="239" t="str">
        <f>IFERROR(__xludf.DUMMYFUNCTION("""COMPUTED_VALUE"""),"Prepare for Showcase")</f>
        <v>Prepare for Showcase</v>
      </c>
      <c r="Y1385" s="4" t="str">
        <f t="shared" si="2"/>
        <v/>
      </c>
      <c r="Z1385" s="4" t="str">
        <f>IFERROR(__xludf.DUMMYFUNCTION("IFERROR(
  FILTER('CBK Students'!O:O, TRIM('CBK Students'!B:B) = TRIM(A1385)),
  """"
)"),"#REF!")</f>
        <v>#REF!</v>
      </c>
      <c r="AA1385" s="4" t="str">
        <f>IFERROR(__xludf.DUMMYFUNCTION("IFERROR(
  FILTER('CBK Students'!P:P, TRIM('CBK Students'!B:B) = TRIM(A1385)),
  """"
)"),"#REF!")</f>
        <v>#REF!</v>
      </c>
      <c r="AB1385" s="4" t="str">
        <f>IFERROR(__xludf.DUMMYFUNCTION("IFERROR(
  FILTER('CBK Students'!Q:Q, TRIM('CBK Students'!B:B) = TRIM(A1385)),
  """"
)"),"#REF!")</f>
        <v>#REF!</v>
      </c>
    </row>
    <row r="1386" ht="18.75" customHeight="1">
      <c r="T1386" s="239"/>
      <c r="U1386" s="239"/>
      <c r="V1386" s="239">
        <f>IFERROR(__xludf.DUMMYFUNCTION("""COMPUTED_VALUE"""),6590.0)</f>
        <v>6590</v>
      </c>
      <c r="W1386" s="240" t="str">
        <f t="shared" si="1"/>
        <v/>
      </c>
      <c r="X1386" s="239" t="str">
        <f>IFERROR(__xludf.DUMMYFUNCTION("""COMPUTED_VALUE"""),"Prepare for Showcase")</f>
        <v>Prepare for Showcase</v>
      </c>
      <c r="Y1386" s="4" t="str">
        <f t="shared" si="2"/>
        <v/>
      </c>
      <c r="Z1386" s="4" t="str">
        <f>IFERROR(__xludf.DUMMYFUNCTION("IFERROR(
  FILTER('CBK Students'!O:O, TRIM('CBK Students'!B:B) = TRIM(A1386)),
  """"
)"),"#REF!")</f>
        <v>#REF!</v>
      </c>
      <c r="AA1386" s="4" t="str">
        <f>IFERROR(__xludf.DUMMYFUNCTION("IFERROR(
  FILTER('CBK Students'!P:P, TRIM('CBK Students'!B:B) = TRIM(A1386)),
  """"
)"),"#REF!")</f>
        <v>#REF!</v>
      </c>
      <c r="AB1386" s="4" t="str">
        <f>IFERROR(__xludf.DUMMYFUNCTION("IFERROR(
  FILTER('CBK Students'!Q:Q, TRIM('CBK Students'!B:B) = TRIM(A1386)),
  """"
)"),"#REF!")</f>
        <v>#REF!</v>
      </c>
    </row>
    <row r="1387" ht="18.75" customHeight="1">
      <c r="T1387" s="239"/>
      <c r="U1387" s="239"/>
      <c r="V1387" s="239">
        <f>IFERROR(__xludf.DUMMYFUNCTION("""COMPUTED_VALUE"""),6590.0)</f>
        <v>6590</v>
      </c>
      <c r="W1387" s="240" t="str">
        <f t="shared" si="1"/>
        <v/>
      </c>
      <c r="X1387" s="239" t="str">
        <f>IFERROR(__xludf.DUMMYFUNCTION("""COMPUTED_VALUE"""),"Prepare for Showcase")</f>
        <v>Prepare for Showcase</v>
      </c>
      <c r="Y1387" s="4" t="str">
        <f t="shared" si="2"/>
        <v/>
      </c>
      <c r="Z1387" s="4" t="str">
        <f>IFERROR(__xludf.DUMMYFUNCTION("IFERROR(
  FILTER('CBK Students'!O:O, TRIM('CBK Students'!B:B) = TRIM(A1387)),
  """"
)"),"#REF!")</f>
        <v>#REF!</v>
      </c>
      <c r="AA1387" s="4" t="str">
        <f>IFERROR(__xludf.DUMMYFUNCTION("IFERROR(
  FILTER('CBK Students'!P:P, TRIM('CBK Students'!B:B) = TRIM(A1387)),
  """"
)"),"#REF!")</f>
        <v>#REF!</v>
      </c>
      <c r="AB1387" s="4" t="str">
        <f>IFERROR(__xludf.DUMMYFUNCTION("IFERROR(
  FILTER('CBK Students'!Q:Q, TRIM('CBK Students'!B:B) = TRIM(A1387)),
  """"
)"),"#REF!")</f>
        <v>#REF!</v>
      </c>
    </row>
    <row r="1388" ht="18.75" customHeight="1">
      <c r="T1388" s="239"/>
      <c r="U1388" s="239"/>
      <c r="V1388" s="239">
        <f>IFERROR(__xludf.DUMMYFUNCTION("""COMPUTED_VALUE"""),6590.0)</f>
        <v>6590</v>
      </c>
      <c r="W1388" s="240" t="str">
        <f t="shared" si="1"/>
        <v/>
      </c>
      <c r="X1388" s="239" t="str">
        <f>IFERROR(__xludf.DUMMYFUNCTION("""COMPUTED_VALUE"""),"Prepare for Showcase")</f>
        <v>Prepare for Showcase</v>
      </c>
      <c r="Y1388" s="4" t="str">
        <f t="shared" si="2"/>
        <v/>
      </c>
      <c r="Z1388" s="4" t="str">
        <f>IFERROR(__xludf.DUMMYFUNCTION("IFERROR(
  FILTER('CBK Students'!O:O, TRIM('CBK Students'!B:B) = TRIM(A1388)),
  """"
)"),"#REF!")</f>
        <v>#REF!</v>
      </c>
      <c r="AA1388" s="4" t="str">
        <f>IFERROR(__xludf.DUMMYFUNCTION("IFERROR(
  FILTER('CBK Students'!P:P, TRIM('CBK Students'!B:B) = TRIM(A1388)),
  """"
)"),"#REF!")</f>
        <v>#REF!</v>
      </c>
      <c r="AB1388" s="4" t="str">
        <f>IFERROR(__xludf.DUMMYFUNCTION("IFERROR(
  FILTER('CBK Students'!Q:Q, TRIM('CBK Students'!B:B) = TRIM(A1388)),
  """"
)"),"#REF!")</f>
        <v>#REF!</v>
      </c>
    </row>
    <row r="1389" ht="18.75" customHeight="1">
      <c r="T1389" s="239"/>
      <c r="U1389" s="239"/>
      <c r="V1389" s="239">
        <f>IFERROR(__xludf.DUMMYFUNCTION("""COMPUTED_VALUE"""),6590.0)</f>
        <v>6590</v>
      </c>
      <c r="W1389" s="240" t="str">
        <f t="shared" si="1"/>
        <v/>
      </c>
      <c r="X1389" s="239" t="str">
        <f>IFERROR(__xludf.DUMMYFUNCTION("""COMPUTED_VALUE"""),"Prepare for Showcase")</f>
        <v>Prepare for Showcase</v>
      </c>
      <c r="Y1389" s="4" t="str">
        <f t="shared" si="2"/>
        <v/>
      </c>
      <c r="Z1389" s="4" t="str">
        <f>IFERROR(__xludf.DUMMYFUNCTION("IFERROR(
  FILTER('CBK Students'!O:O, TRIM('CBK Students'!B:B) = TRIM(A1389)),
  """"
)"),"#REF!")</f>
        <v>#REF!</v>
      </c>
      <c r="AA1389" s="4" t="str">
        <f>IFERROR(__xludf.DUMMYFUNCTION("IFERROR(
  FILTER('CBK Students'!P:P, TRIM('CBK Students'!B:B) = TRIM(A1389)),
  """"
)"),"#REF!")</f>
        <v>#REF!</v>
      </c>
      <c r="AB1389" s="4" t="str">
        <f>IFERROR(__xludf.DUMMYFUNCTION("IFERROR(
  FILTER('CBK Students'!Q:Q, TRIM('CBK Students'!B:B) = TRIM(A1389)),
  """"
)"),"#REF!")</f>
        <v>#REF!</v>
      </c>
    </row>
    <row r="1390" ht="18.75" customHeight="1">
      <c r="T1390" s="239"/>
      <c r="U1390" s="239"/>
      <c r="V1390" s="239">
        <f>IFERROR(__xludf.DUMMYFUNCTION("""COMPUTED_VALUE"""),6590.0)</f>
        <v>6590</v>
      </c>
      <c r="W1390" s="240" t="str">
        <f t="shared" si="1"/>
        <v/>
      </c>
      <c r="X1390" s="239" t="str">
        <f>IFERROR(__xludf.DUMMYFUNCTION("""COMPUTED_VALUE"""),"Prepare for Showcase")</f>
        <v>Prepare for Showcase</v>
      </c>
      <c r="Y1390" s="4" t="str">
        <f t="shared" si="2"/>
        <v/>
      </c>
      <c r="Z1390" s="4" t="str">
        <f>IFERROR(__xludf.DUMMYFUNCTION("IFERROR(
  FILTER('CBK Students'!O:O, TRIM('CBK Students'!B:B) = TRIM(A1390)),
  """"
)"),"#REF!")</f>
        <v>#REF!</v>
      </c>
      <c r="AA1390" s="4" t="str">
        <f>IFERROR(__xludf.DUMMYFUNCTION("IFERROR(
  FILTER('CBK Students'!P:P, TRIM('CBK Students'!B:B) = TRIM(A1390)),
  """"
)"),"#REF!")</f>
        <v>#REF!</v>
      </c>
      <c r="AB1390" s="4" t="str">
        <f>IFERROR(__xludf.DUMMYFUNCTION("IFERROR(
  FILTER('CBK Students'!Q:Q, TRIM('CBK Students'!B:B) = TRIM(A1390)),
  """"
)"),"#REF!")</f>
        <v>#REF!</v>
      </c>
    </row>
    <row r="1391" ht="18.75" customHeight="1">
      <c r="T1391" s="239"/>
      <c r="U1391" s="239"/>
      <c r="V1391" s="239">
        <f>IFERROR(__xludf.DUMMYFUNCTION("""COMPUTED_VALUE"""),6590.0)</f>
        <v>6590</v>
      </c>
      <c r="W1391" s="240" t="str">
        <f t="shared" si="1"/>
        <v/>
      </c>
      <c r="X1391" s="239" t="str">
        <f>IFERROR(__xludf.DUMMYFUNCTION("""COMPUTED_VALUE"""),"Prepare for Showcase")</f>
        <v>Prepare for Showcase</v>
      </c>
      <c r="Y1391" s="4" t="str">
        <f t="shared" si="2"/>
        <v/>
      </c>
      <c r="Z1391" s="4" t="str">
        <f>IFERROR(__xludf.DUMMYFUNCTION("IFERROR(
  FILTER('CBK Students'!O:O, TRIM('CBK Students'!B:B) = TRIM(A1391)),
  """"
)"),"#REF!")</f>
        <v>#REF!</v>
      </c>
      <c r="AA1391" s="4" t="str">
        <f>IFERROR(__xludf.DUMMYFUNCTION("IFERROR(
  FILTER('CBK Students'!P:P, TRIM('CBK Students'!B:B) = TRIM(A1391)),
  """"
)"),"#REF!")</f>
        <v>#REF!</v>
      </c>
      <c r="AB1391" s="4" t="str">
        <f>IFERROR(__xludf.DUMMYFUNCTION("IFERROR(
  FILTER('CBK Students'!Q:Q, TRIM('CBK Students'!B:B) = TRIM(A1391)),
  """"
)"),"#REF!")</f>
        <v>#REF!</v>
      </c>
    </row>
    <row r="1392" ht="18.75" customHeight="1">
      <c r="T1392" s="239"/>
      <c r="U1392" s="239"/>
      <c r="V1392" s="239">
        <f>IFERROR(__xludf.DUMMYFUNCTION("""COMPUTED_VALUE"""),6590.0)</f>
        <v>6590</v>
      </c>
      <c r="W1392" s="240" t="str">
        <f t="shared" si="1"/>
        <v/>
      </c>
      <c r="X1392" s="239" t="str">
        <f>IFERROR(__xludf.DUMMYFUNCTION("""COMPUTED_VALUE"""),"Prepare for Showcase")</f>
        <v>Prepare for Showcase</v>
      </c>
      <c r="Y1392" s="4" t="str">
        <f t="shared" si="2"/>
        <v/>
      </c>
      <c r="Z1392" s="4" t="str">
        <f>IFERROR(__xludf.DUMMYFUNCTION("IFERROR(
  FILTER('CBK Students'!O:O, TRIM('CBK Students'!B:B) = TRIM(A1392)),
  """"
)"),"#REF!")</f>
        <v>#REF!</v>
      </c>
      <c r="AA1392" s="4" t="str">
        <f>IFERROR(__xludf.DUMMYFUNCTION("IFERROR(
  FILTER('CBK Students'!P:P, TRIM('CBK Students'!B:B) = TRIM(A1392)),
  """"
)"),"#REF!")</f>
        <v>#REF!</v>
      </c>
      <c r="AB1392" s="4" t="str">
        <f>IFERROR(__xludf.DUMMYFUNCTION("IFERROR(
  FILTER('CBK Students'!Q:Q, TRIM('CBK Students'!B:B) = TRIM(A1392)),
  """"
)"),"#REF!")</f>
        <v>#REF!</v>
      </c>
    </row>
    <row r="1393" ht="18.75" customHeight="1">
      <c r="T1393" s="239"/>
      <c r="U1393" s="239"/>
      <c r="V1393" s="239">
        <f>IFERROR(__xludf.DUMMYFUNCTION("""COMPUTED_VALUE"""),6590.0)</f>
        <v>6590</v>
      </c>
      <c r="W1393" s="240" t="str">
        <f t="shared" si="1"/>
        <v/>
      </c>
      <c r="X1393" s="239" t="str">
        <f>IFERROR(__xludf.DUMMYFUNCTION("""COMPUTED_VALUE"""),"Prepare for Showcase")</f>
        <v>Prepare for Showcase</v>
      </c>
      <c r="Y1393" s="4" t="str">
        <f t="shared" si="2"/>
        <v/>
      </c>
      <c r="Z1393" s="4" t="str">
        <f>IFERROR(__xludf.DUMMYFUNCTION("IFERROR(
  FILTER('CBK Students'!O:O, TRIM('CBK Students'!B:B) = TRIM(A1393)),
  """"
)"),"#REF!")</f>
        <v>#REF!</v>
      </c>
      <c r="AA1393" s="4" t="str">
        <f>IFERROR(__xludf.DUMMYFUNCTION("IFERROR(
  FILTER('CBK Students'!P:P, TRIM('CBK Students'!B:B) = TRIM(A1393)),
  """"
)"),"#REF!")</f>
        <v>#REF!</v>
      </c>
      <c r="AB1393" s="4" t="str">
        <f>IFERROR(__xludf.DUMMYFUNCTION("IFERROR(
  FILTER('CBK Students'!Q:Q, TRIM('CBK Students'!B:B) = TRIM(A1393)),
  """"
)"),"#REF!")</f>
        <v>#REF!</v>
      </c>
    </row>
    <row r="1394" ht="18.75" customHeight="1">
      <c r="T1394" s="239"/>
      <c r="U1394" s="239"/>
      <c r="V1394" s="239">
        <f>IFERROR(__xludf.DUMMYFUNCTION("""COMPUTED_VALUE"""),6590.0)</f>
        <v>6590</v>
      </c>
      <c r="W1394" s="240" t="str">
        <f t="shared" si="1"/>
        <v/>
      </c>
      <c r="X1394" s="239" t="str">
        <f>IFERROR(__xludf.DUMMYFUNCTION("""COMPUTED_VALUE"""),"Prepare for Showcase")</f>
        <v>Prepare for Showcase</v>
      </c>
      <c r="Y1394" s="4" t="str">
        <f t="shared" si="2"/>
        <v/>
      </c>
      <c r="Z1394" s="4" t="str">
        <f>IFERROR(__xludf.DUMMYFUNCTION("IFERROR(
  FILTER('CBK Students'!O:O, TRIM('CBK Students'!B:B) = TRIM(A1394)),
  """"
)"),"#REF!")</f>
        <v>#REF!</v>
      </c>
      <c r="AA1394" s="4" t="str">
        <f>IFERROR(__xludf.DUMMYFUNCTION("IFERROR(
  FILTER('CBK Students'!P:P, TRIM('CBK Students'!B:B) = TRIM(A1394)),
  """"
)"),"#REF!")</f>
        <v>#REF!</v>
      </c>
      <c r="AB1394" s="4" t="str">
        <f>IFERROR(__xludf.DUMMYFUNCTION("IFERROR(
  FILTER('CBK Students'!Q:Q, TRIM('CBK Students'!B:B) = TRIM(A1394)),
  """"
)"),"#REF!")</f>
        <v>#REF!</v>
      </c>
    </row>
    <row r="1395" ht="18.75" customHeight="1">
      <c r="T1395" s="239"/>
      <c r="U1395" s="239"/>
      <c r="V1395" s="239">
        <f>IFERROR(__xludf.DUMMYFUNCTION("""COMPUTED_VALUE"""),6590.0)</f>
        <v>6590</v>
      </c>
      <c r="W1395" s="240" t="str">
        <f t="shared" si="1"/>
        <v/>
      </c>
      <c r="X1395" s="239" t="str">
        <f>IFERROR(__xludf.DUMMYFUNCTION("""COMPUTED_VALUE"""),"Prepare for Showcase")</f>
        <v>Prepare for Showcase</v>
      </c>
      <c r="Y1395" s="4" t="str">
        <f t="shared" si="2"/>
        <v/>
      </c>
      <c r="Z1395" s="4" t="str">
        <f>IFERROR(__xludf.DUMMYFUNCTION("IFERROR(
  FILTER('CBK Students'!O:O, TRIM('CBK Students'!B:B) = TRIM(A1395)),
  """"
)"),"#REF!")</f>
        <v>#REF!</v>
      </c>
      <c r="AA1395" s="4" t="str">
        <f>IFERROR(__xludf.DUMMYFUNCTION("IFERROR(
  FILTER('CBK Students'!P:P, TRIM('CBK Students'!B:B) = TRIM(A1395)),
  """"
)"),"#REF!")</f>
        <v>#REF!</v>
      </c>
      <c r="AB1395" s="4" t="str">
        <f>IFERROR(__xludf.DUMMYFUNCTION("IFERROR(
  FILTER('CBK Students'!Q:Q, TRIM('CBK Students'!B:B) = TRIM(A1395)),
  """"
)"),"#REF!")</f>
        <v>#REF!</v>
      </c>
    </row>
    <row r="1396" ht="18.75" customHeight="1">
      <c r="T1396" s="239"/>
      <c r="U1396" s="239"/>
      <c r="V1396" s="239">
        <f>IFERROR(__xludf.DUMMYFUNCTION("""COMPUTED_VALUE"""),6590.0)</f>
        <v>6590</v>
      </c>
      <c r="W1396" s="240" t="str">
        <f t="shared" si="1"/>
        <v/>
      </c>
      <c r="X1396" s="239" t="str">
        <f>IFERROR(__xludf.DUMMYFUNCTION("""COMPUTED_VALUE"""),"Prepare for Showcase")</f>
        <v>Prepare for Showcase</v>
      </c>
      <c r="Y1396" s="4" t="str">
        <f t="shared" si="2"/>
        <v/>
      </c>
      <c r="Z1396" s="4" t="str">
        <f>IFERROR(__xludf.DUMMYFUNCTION("IFERROR(
  FILTER('CBK Students'!O:O, TRIM('CBK Students'!B:B) = TRIM(A1396)),
  """"
)"),"#REF!")</f>
        <v>#REF!</v>
      </c>
      <c r="AA1396" s="4" t="str">
        <f>IFERROR(__xludf.DUMMYFUNCTION("IFERROR(
  FILTER('CBK Students'!P:P, TRIM('CBK Students'!B:B) = TRIM(A1396)),
  """"
)"),"#REF!")</f>
        <v>#REF!</v>
      </c>
      <c r="AB1396" s="4" t="str">
        <f>IFERROR(__xludf.DUMMYFUNCTION("IFERROR(
  FILTER('CBK Students'!Q:Q, TRIM('CBK Students'!B:B) = TRIM(A1396)),
  """"
)"),"#REF!")</f>
        <v>#REF!</v>
      </c>
    </row>
    <row r="1397" ht="18.75" customHeight="1">
      <c r="T1397" s="239"/>
      <c r="U1397" s="239"/>
      <c r="V1397" s="239">
        <f>IFERROR(__xludf.DUMMYFUNCTION("""COMPUTED_VALUE"""),6590.0)</f>
        <v>6590</v>
      </c>
      <c r="W1397" s="240" t="str">
        <f t="shared" si="1"/>
        <v/>
      </c>
      <c r="X1397" s="239" t="str">
        <f>IFERROR(__xludf.DUMMYFUNCTION("""COMPUTED_VALUE"""),"Prepare for Showcase")</f>
        <v>Prepare for Showcase</v>
      </c>
      <c r="Y1397" s="4" t="str">
        <f t="shared" si="2"/>
        <v/>
      </c>
      <c r="Z1397" s="4" t="str">
        <f>IFERROR(__xludf.DUMMYFUNCTION("IFERROR(
  FILTER('CBK Students'!O:O, TRIM('CBK Students'!B:B) = TRIM(A1397)),
  """"
)"),"#REF!")</f>
        <v>#REF!</v>
      </c>
      <c r="AA1397" s="4" t="str">
        <f>IFERROR(__xludf.DUMMYFUNCTION("IFERROR(
  FILTER('CBK Students'!P:P, TRIM('CBK Students'!B:B) = TRIM(A1397)),
  """"
)"),"#REF!")</f>
        <v>#REF!</v>
      </c>
      <c r="AB1397" s="4" t="str">
        <f>IFERROR(__xludf.DUMMYFUNCTION("IFERROR(
  FILTER('CBK Students'!Q:Q, TRIM('CBK Students'!B:B) = TRIM(A1397)),
  """"
)"),"#REF!")</f>
        <v>#REF!</v>
      </c>
    </row>
    <row r="1398" ht="18.75" customHeight="1">
      <c r="T1398" s="239"/>
      <c r="U1398" s="239"/>
      <c r="V1398" s="239">
        <f>IFERROR(__xludf.DUMMYFUNCTION("""COMPUTED_VALUE"""),6590.0)</f>
        <v>6590</v>
      </c>
      <c r="W1398" s="240" t="str">
        <f t="shared" si="1"/>
        <v/>
      </c>
      <c r="X1398" s="239" t="str">
        <f>IFERROR(__xludf.DUMMYFUNCTION("""COMPUTED_VALUE"""),"Prepare for Showcase")</f>
        <v>Prepare for Showcase</v>
      </c>
      <c r="Y1398" s="4" t="str">
        <f t="shared" si="2"/>
        <v/>
      </c>
      <c r="Z1398" s="4" t="str">
        <f>IFERROR(__xludf.DUMMYFUNCTION("IFERROR(
  FILTER('CBK Students'!O:O, TRIM('CBK Students'!B:B) = TRIM(A1398)),
  """"
)"),"#REF!")</f>
        <v>#REF!</v>
      </c>
      <c r="AA1398" s="4" t="str">
        <f>IFERROR(__xludf.DUMMYFUNCTION("IFERROR(
  FILTER('CBK Students'!P:P, TRIM('CBK Students'!B:B) = TRIM(A1398)),
  """"
)"),"#REF!")</f>
        <v>#REF!</v>
      </c>
      <c r="AB1398" s="4" t="str">
        <f>IFERROR(__xludf.DUMMYFUNCTION("IFERROR(
  FILTER('CBK Students'!Q:Q, TRIM('CBK Students'!B:B) = TRIM(A1398)),
  """"
)"),"#REF!")</f>
        <v>#REF!</v>
      </c>
    </row>
    <row r="1399" ht="18.75" customHeight="1">
      <c r="T1399" s="239"/>
      <c r="U1399" s="239"/>
      <c r="V1399" s="239">
        <f>IFERROR(__xludf.DUMMYFUNCTION("""COMPUTED_VALUE"""),6590.0)</f>
        <v>6590</v>
      </c>
      <c r="W1399" s="240" t="str">
        <f t="shared" si="1"/>
        <v/>
      </c>
      <c r="X1399" s="239" t="str">
        <f>IFERROR(__xludf.DUMMYFUNCTION("""COMPUTED_VALUE"""),"Prepare for Showcase")</f>
        <v>Prepare for Showcase</v>
      </c>
      <c r="Y1399" s="4" t="str">
        <f t="shared" si="2"/>
        <v/>
      </c>
      <c r="Z1399" s="4" t="str">
        <f>IFERROR(__xludf.DUMMYFUNCTION("IFERROR(
  FILTER('CBK Students'!O:O, TRIM('CBK Students'!B:B) = TRIM(A1399)),
  """"
)"),"#REF!")</f>
        <v>#REF!</v>
      </c>
      <c r="AA1399" s="4" t="str">
        <f>IFERROR(__xludf.DUMMYFUNCTION("IFERROR(
  FILTER('CBK Students'!P:P, TRIM('CBK Students'!B:B) = TRIM(A1399)),
  """"
)"),"#REF!")</f>
        <v>#REF!</v>
      </c>
      <c r="AB1399" s="4" t="str">
        <f>IFERROR(__xludf.DUMMYFUNCTION("IFERROR(
  FILTER('CBK Students'!Q:Q, TRIM('CBK Students'!B:B) = TRIM(A1399)),
  """"
)"),"#REF!")</f>
        <v>#REF!</v>
      </c>
    </row>
    <row r="1400" ht="18.75" customHeight="1">
      <c r="T1400" s="239"/>
      <c r="U1400" s="239"/>
      <c r="V1400" s="239">
        <f>IFERROR(__xludf.DUMMYFUNCTION("""COMPUTED_VALUE"""),6590.0)</f>
        <v>6590</v>
      </c>
      <c r="W1400" s="240" t="str">
        <f t="shared" si="1"/>
        <v/>
      </c>
      <c r="X1400" s="239" t="str">
        <f>IFERROR(__xludf.DUMMYFUNCTION("""COMPUTED_VALUE"""),"Prepare for Showcase")</f>
        <v>Prepare for Showcase</v>
      </c>
      <c r="Y1400" s="4" t="str">
        <f t="shared" si="2"/>
        <v/>
      </c>
      <c r="Z1400" s="4" t="str">
        <f>IFERROR(__xludf.DUMMYFUNCTION("IFERROR(
  FILTER('CBK Students'!O:O, TRIM('CBK Students'!B:B) = TRIM(A1400)),
  """"
)"),"#REF!")</f>
        <v>#REF!</v>
      </c>
      <c r="AA1400" s="4" t="str">
        <f>IFERROR(__xludf.DUMMYFUNCTION("IFERROR(
  FILTER('CBK Students'!P:P, TRIM('CBK Students'!B:B) = TRIM(A1400)),
  """"
)"),"#REF!")</f>
        <v>#REF!</v>
      </c>
      <c r="AB1400" s="4" t="str">
        <f>IFERROR(__xludf.DUMMYFUNCTION("IFERROR(
  FILTER('CBK Students'!Q:Q, TRIM('CBK Students'!B:B) = TRIM(A1400)),
  """"
)"),"#REF!")</f>
        <v>#REF!</v>
      </c>
    </row>
    <row r="1401" ht="18.75" customHeight="1">
      <c r="T1401" s="239"/>
      <c r="U1401" s="239"/>
      <c r="V1401" s="239">
        <f>IFERROR(__xludf.DUMMYFUNCTION("""COMPUTED_VALUE"""),6590.0)</f>
        <v>6590</v>
      </c>
      <c r="W1401" s="240" t="str">
        <f t="shared" si="1"/>
        <v/>
      </c>
      <c r="X1401" s="239" t="str">
        <f>IFERROR(__xludf.DUMMYFUNCTION("""COMPUTED_VALUE"""),"Prepare for Showcase")</f>
        <v>Prepare for Showcase</v>
      </c>
      <c r="Y1401" s="4" t="str">
        <f t="shared" si="2"/>
        <v/>
      </c>
      <c r="Z1401" s="4" t="str">
        <f>IFERROR(__xludf.DUMMYFUNCTION("IFERROR(
  FILTER('CBK Students'!O:O, TRIM('CBK Students'!B:B) = TRIM(A1401)),
  """"
)"),"#REF!")</f>
        <v>#REF!</v>
      </c>
      <c r="AA1401" s="4" t="str">
        <f>IFERROR(__xludf.DUMMYFUNCTION("IFERROR(
  FILTER('CBK Students'!P:P, TRIM('CBK Students'!B:B) = TRIM(A1401)),
  """"
)"),"#REF!")</f>
        <v>#REF!</v>
      </c>
      <c r="AB1401" s="4" t="str">
        <f>IFERROR(__xludf.DUMMYFUNCTION("IFERROR(
  FILTER('CBK Students'!Q:Q, TRIM('CBK Students'!B:B) = TRIM(A1401)),
  """"
)"),"#REF!")</f>
        <v>#REF!</v>
      </c>
    </row>
    <row r="1402" ht="18.75" customHeight="1">
      <c r="T1402" s="239"/>
      <c r="U1402" s="239"/>
      <c r="V1402" s="239">
        <f>IFERROR(__xludf.DUMMYFUNCTION("""COMPUTED_VALUE"""),6590.0)</f>
        <v>6590</v>
      </c>
      <c r="W1402" s="240" t="str">
        <f t="shared" si="1"/>
        <v/>
      </c>
      <c r="X1402" s="239" t="str">
        <f>IFERROR(__xludf.DUMMYFUNCTION("""COMPUTED_VALUE"""),"Prepare for Showcase")</f>
        <v>Prepare for Showcase</v>
      </c>
      <c r="Y1402" s="4" t="str">
        <f t="shared" si="2"/>
        <v/>
      </c>
      <c r="Z1402" s="4" t="str">
        <f>IFERROR(__xludf.DUMMYFUNCTION("IFERROR(
  FILTER('CBK Students'!O:O, TRIM('CBK Students'!B:B) = TRIM(A1402)),
  """"
)"),"#REF!")</f>
        <v>#REF!</v>
      </c>
      <c r="AA1402" s="4" t="str">
        <f>IFERROR(__xludf.DUMMYFUNCTION("IFERROR(
  FILTER('CBK Students'!P:P, TRIM('CBK Students'!B:B) = TRIM(A1402)),
  """"
)"),"#REF!")</f>
        <v>#REF!</v>
      </c>
      <c r="AB1402" s="4" t="str">
        <f>IFERROR(__xludf.DUMMYFUNCTION("IFERROR(
  FILTER('CBK Students'!Q:Q, TRIM('CBK Students'!B:B) = TRIM(A1402)),
  """"
)"),"#REF!")</f>
        <v>#REF!</v>
      </c>
    </row>
    <row r="1403" ht="18.75" customHeight="1">
      <c r="T1403" s="239"/>
      <c r="U1403" s="239"/>
      <c r="V1403" s="239">
        <f>IFERROR(__xludf.DUMMYFUNCTION("""COMPUTED_VALUE"""),6590.0)</f>
        <v>6590</v>
      </c>
      <c r="W1403" s="240" t="str">
        <f t="shared" si="1"/>
        <v/>
      </c>
      <c r="X1403" s="239" t="str">
        <f>IFERROR(__xludf.DUMMYFUNCTION("""COMPUTED_VALUE"""),"Prepare for Showcase")</f>
        <v>Prepare for Showcase</v>
      </c>
      <c r="Y1403" s="4" t="str">
        <f t="shared" si="2"/>
        <v/>
      </c>
      <c r="Z1403" s="4" t="str">
        <f>IFERROR(__xludf.DUMMYFUNCTION("IFERROR(
  FILTER('CBK Students'!O:O, TRIM('CBK Students'!B:B) = TRIM(A1403)),
  """"
)"),"#REF!")</f>
        <v>#REF!</v>
      </c>
      <c r="AA1403" s="4" t="str">
        <f>IFERROR(__xludf.DUMMYFUNCTION("IFERROR(
  FILTER('CBK Students'!P:P, TRIM('CBK Students'!B:B) = TRIM(A1403)),
  """"
)"),"#REF!")</f>
        <v>#REF!</v>
      </c>
      <c r="AB1403" s="4" t="str">
        <f>IFERROR(__xludf.DUMMYFUNCTION("IFERROR(
  FILTER('CBK Students'!Q:Q, TRIM('CBK Students'!B:B) = TRIM(A1403)),
  """"
)"),"#REF!")</f>
        <v>#REF!</v>
      </c>
    </row>
    <row r="1404" ht="18.75" customHeight="1">
      <c r="T1404" s="239"/>
      <c r="U1404" s="239"/>
      <c r="V1404" s="239">
        <f>IFERROR(__xludf.DUMMYFUNCTION("""COMPUTED_VALUE"""),6590.0)</f>
        <v>6590</v>
      </c>
      <c r="W1404" s="240" t="str">
        <f t="shared" si="1"/>
        <v/>
      </c>
      <c r="X1404" s="239" t="str">
        <f>IFERROR(__xludf.DUMMYFUNCTION("""COMPUTED_VALUE"""),"Prepare for Showcase")</f>
        <v>Prepare for Showcase</v>
      </c>
      <c r="Y1404" s="4" t="str">
        <f t="shared" si="2"/>
        <v/>
      </c>
      <c r="Z1404" s="4" t="str">
        <f>IFERROR(__xludf.DUMMYFUNCTION("IFERROR(
  FILTER('CBK Students'!O:O, TRIM('CBK Students'!B:B) = TRIM(A1404)),
  """"
)"),"#REF!")</f>
        <v>#REF!</v>
      </c>
      <c r="AA1404" s="4" t="str">
        <f>IFERROR(__xludf.DUMMYFUNCTION("IFERROR(
  FILTER('CBK Students'!P:P, TRIM('CBK Students'!B:B) = TRIM(A1404)),
  """"
)"),"#REF!")</f>
        <v>#REF!</v>
      </c>
      <c r="AB1404" s="4" t="str">
        <f>IFERROR(__xludf.DUMMYFUNCTION("IFERROR(
  FILTER('CBK Students'!Q:Q, TRIM('CBK Students'!B:B) = TRIM(A1404)),
  """"
)"),"#REF!")</f>
        <v>#REF!</v>
      </c>
    </row>
    <row r="1405" ht="18.75" customHeight="1">
      <c r="T1405" s="239"/>
      <c r="U1405" s="239"/>
      <c r="V1405" s="239">
        <f>IFERROR(__xludf.DUMMYFUNCTION("""COMPUTED_VALUE"""),6590.0)</f>
        <v>6590</v>
      </c>
      <c r="W1405" s="240" t="str">
        <f t="shared" si="1"/>
        <v/>
      </c>
      <c r="X1405" s="239" t="str">
        <f>IFERROR(__xludf.DUMMYFUNCTION("""COMPUTED_VALUE"""),"Prepare for Showcase")</f>
        <v>Prepare for Showcase</v>
      </c>
      <c r="Y1405" s="4" t="str">
        <f t="shared" si="2"/>
        <v/>
      </c>
      <c r="Z1405" s="4" t="str">
        <f>IFERROR(__xludf.DUMMYFUNCTION("IFERROR(
  FILTER('CBK Students'!O:O, TRIM('CBK Students'!B:B) = TRIM(A1405)),
  """"
)"),"#REF!")</f>
        <v>#REF!</v>
      </c>
      <c r="AA1405" s="4" t="str">
        <f>IFERROR(__xludf.DUMMYFUNCTION("IFERROR(
  FILTER('CBK Students'!P:P, TRIM('CBK Students'!B:B) = TRIM(A1405)),
  """"
)"),"#REF!")</f>
        <v>#REF!</v>
      </c>
      <c r="AB1405" s="4" t="str">
        <f>IFERROR(__xludf.DUMMYFUNCTION("IFERROR(
  FILTER('CBK Students'!Q:Q, TRIM('CBK Students'!B:B) = TRIM(A1405)),
  """"
)"),"#REF!")</f>
        <v>#REF!</v>
      </c>
    </row>
    <row r="1406" ht="18.75" customHeight="1">
      <c r="T1406" s="239"/>
      <c r="U1406" s="239"/>
      <c r="V1406" s="239">
        <f>IFERROR(__xludf.DUMMYFUNCTION("""COMPUTED_VALUE"""),6590.0)</f>
        <v>6590</v>
      </c>
      <c r="W1406" s="240" t="str">
        <f t="shared" si="1"/>
        <v/>
      </c>
      <c r="X1406" s="239" t="str">
        <f>IFERROR(__xludf.DUMMYFUNCTION("""COMPUTED_VALUE"""),"Prepare for Showcase")</f>
        <v>Prepare for Showcase</v>
      </c>
      <c r="Y1406" s="4" t="str">
        <f t="shared" si="2"/>
        <v/>
      </c>
      <c r="Z1406" s="4" t="str">
        <f>IFERROR(__xludf.DUMMYFUNCTION("IFERROR(
  FILTER('CBK Students'!O:O, TRIM('CBK Students'!B:B) = TRIM(A1406)),
  """"
)"),"#REF!")</f>
        <v>#REF!</v>
      </c>
      <c r="AA1406" s="4" t="str">
        <f>IFERROR(__xludf.DUMMYFUNCTION("IFERROR(
  FILTER('CBK Students'!P:P, TRIM('CBK Students'!B:B) = TRIM(A1406)),
  """"
)"),"#REF!")</f>
        <v>#REF!</v>
      </c>
      <c r="AB1406" s="4" t="str">
        <f>IFERROR(__xludf.DUMMYFUNCTION("IFERROR(
  FILTER('CBK Students'!Q:Q, TRIM('CBK Students'!B:B) = TRIM(A1406)),
  """"
)"),"#REF!")</f>
        <v>#REF!</v>
      </c>
    </row>
    <row r="1407" ht="18.75" customHeight="1">
      <c r="T1407" s="239"/>
      <c r="U1407" s="239"/>
      <c r="V1407" s="239">
        <f>IFERROR(__xludf.DUMMYFUNCTION("""COMPUTED_VALUE"""),6590.0)</f>
        <v>6590</v>
      </c>
      <c r="W1407" s="240" t="str">
        <f t="shared" si="1"/>
        <v/>
      </c>
      <c r="X1407" s="239" t="str">
        <f>IFERROR(__xludf.DUMMYFUNCTION("""COMPUTED_VALUE"""),"Prepare for Showcase")</f>
        <v>Prepare for Showcase</v>
      </c>
      <c r="Y1407" s="4" t="str">
        <f t="shared" si="2"/>
        <v/>
      </c>
      <c r="Z1407" s="4" t="str">
        <f>IFERROR(__xludf.DUMMYFUNCTION("IFERROR(
  FILTER('CBK Students'!O:O, TRIM('CBK Students'!B:B) = TRIM(A1407)),
  """"
)"),"#REF!")</f>
        <v>#REF!</v>
      </c>
      <c r="AA1407" s="4" t="str">
        <f>IFERROR(__xludf.DUMMYFUNCTION("IFERROR(
  FILTER('CBK Students'!P:P, TRIM('CBK Students'!B:B) = TRIM(A1407)),
  """"
)"),"#REF!")</f>
        <v>#REF!</v>
      </c>
      <c r="AB1407" s="4" t="str">
        <f>IFERROR(__xludf.DUMMYFUNCTION("IFERROR(
  FILTER('CBK Students'!Q:Q, TRIM('CBK Students'!B:B) = TRIM(A1407)),
  """"
)"),"#REF!")</f>
        <v>#REF!</v>
      </c>
    </row>
    <row r="1408" ht="18.75" customHeight="1">
      <c r="T1408" s="239"/>
      <c r="U1408" s="239"/>
      <c r="V1408" s="239">
        <f>IFERROR(__xludf.DUMMYFUNCTION("""COMPUTED_VALUE"""),6590.0)</f>
        <v>6590</v>
      </c>
      <c r="W1408" s="240" t="str">
        <f t="shared" si="1"/>
        <v/>
      </c>
      <c r="X1408" s="239" t="str">
        <f>IFERROR(__xludf.DUMMYFUNCTION("""COMPUTED_VALUE"""),"Prepare for Showcase")</f>
        <v>Prepare for Showcase</v>
      </c>
      <c r="Y1408" s="4" t="str">
        <f t="shared" si="2"/>
        <v/>
      </c>
      <c r="Z1408" s="4" t="str">
        <f>IFERROR(__xludf.DUMMYFUNCTION("IFERROR(
  FILTER('CBK Students'!O:O, TRIM('CBK Students'!B:B) = TRIM(A1408)),
  """"
)"),"#REF!")</f>
        <v>#REF!</v>
      </c>
      <c r="AA1408" s="4" t="str">
        <f>IFERROR(__xludf.DUMMYFUNCTION("IFERROR(
  FILTER('CBK Students'!P:P, TRIM('CBK Students'!B:B) = TRIM(A1408)),
  """"
)"),"#REF!")</f>
        <v>#REF!</v>
      </c>
      <c r="AB1408" s="4" t="str">
        <f>IFERROR(__xludf.DUMMYFUNCTION("IFERROR(
  FILTER('CBK Students'!Q:Q, TRIM('CBK Students'!B:B) = TRIM(A1408)),
  """"
)"),"#REF!")</f>
        <v>#REF!</v>
      </c>
    </row>
    <row r="1409" ht="18.75" customHeight="1">
      <c r="T1409" s="239"/>
      <c r="U1409" s="239"/>
      <c r="V1409" s="239">
        <f>IFERROR(__xludf.DUMMYFUNCTION("""COMPUTED_VALUE"""),6590.0)</f>
        <v>6590</v>
      </c>
      <c r="W1409" s="240" t="str">
        <f t="shared" si="1"/>
        <v/>
      </c>
      <c r="X1409" s="239" t="str">
        <f>IFERROR(__xludf.DUMMYFUNCTION("""COMPUTED_VALUE"""),"Prepare for Showcase")</f>
        <v>Prepare for Showcase</v>
      </c>
      <c r="Y1409" s="4" t="str">
        <f t="shared" si="2"/>
        <v/>
      </c>
      <c r="Z1409" s="4" t="str">
        <f>IFERROR(__xludf.DUMMYFUNCTION("IFERROR(
  FILTER('CBK Students'!O:O, TRIM('CBK Students'!B:B) = TRIM(A1409)),
  """"
)"),"#REF!")</f>
        <v>#REF!</v>
      </c>
      <c r="AA1409" s="4" t="str">
        <f>IFERROR(__xludf.DUMMYFUNCTION("IFERROR(
  FILTER('CBK Students'!P:P, TRIM('CBK Students'!B:B) = TRIM(A1409)),
  """"
)"),"#REF!")</f>
        <v>#REF!</v>
      </c>
      <c r="AB1409" s="4" t="str">
        <f>IFERROR(__xludf.DUMMYFUNCTION("IFERROR(
  FILTER('CBK Students'!Q:Q, TRIM('CBK Students'!B:B) = TRIM(A1409)),
  """"
)"),"#REF!")</f>
        <v>#REF!</v>
      </c>
    </row>
    <row r="1410" ht="18.75" customHeight="1">
      <c r="T1410" s="239"/>
      <c r="U1410" s="239"/>
      <c r="V1410" s="239">
        <f>IFERROR(__xludf.DUMMYFUNCTION("""COMPUTED_VALUE"""),6590.0)</f>
        <v>6590</v>
      </c>
      <c r="W1410" s="240" t="str">
        <f t="shared" si="1"/>
        <v/>
      </c>
      <c r="X1410" s="239" t="str">
        <f>IFERROR(__xludf.DUMMYFUNCTION("""COMPUTED_VALUE"""),"Prepare for Showcase")</f>
        <v>Prepare for Showcase</v>
      </c>
      <c r="Y1410" s="4" t="str">
        <f t="shared" si="2"/>
        <v/>
      </c>
      <c r="Z1410" s="4" t="str">
        <f>IFERROR(__xludf.DUMMYFUNCTION("IFERROR(
  FILTER('CBK Students'!O:O, TRIM('CBK Students'!B:B) = TRIM(A1410)),
  """"
)"),"#REF!")</f>
        <v>#REF!</v>
      </c>
      <c r="AA1410" s="4" t="str">
        <f>IFERROR(__xludf.DUMMYFUNCTION("IFERROR(
  FILTER('CBK Students'!P:P, TRIM('CBK Students'!B:B) = TRIM(A1410)),
  """"
)"),"#REF!")</f>
        <v>#REF!</v>
      </c>
      <c r="AB1410" s="4" t="str">
        <f>IFERROR(__xludf.DUMMYFUNCTION("IFERROR(
  FILTER('CBK Students'!Q:Q, TRIM('CBK Students'!B:B) = TRIM(A1410)),
  """"
)"),"#REF!")</f>
        <v>#REF!</v>
      </c>
    </row>
    <row r="1411" ht="18.75" customHeight="1">
      <c r="T1411" s="239"/>
      <c r="U1411" s="239"/>
      <c r="V1411" s="239">
        <f>IFERROR(__xludf.DUMMYFUNCTION("""COMPUTED_VALUE"""),6590.0)</f>
        <v>6590</v>
      </c>
      <c r="W1411" s="240" t="str">
        <f t="shared" si="1"/>
        <v/>
      </c>
      <c r="X1411" s="239" t="str">
        <f>IFERROR(__xludf.DUMMYFUNCTION("""COMPUTED_VALUE"""),"Prepare for Showcase")</f>
        <v>Prepare for Showcase</v>
      </c>
      <c r="Y1411" s="4" t="str">
        <f t="shared" si="2"/>
        <v/>
      </c>
      <c r="Z1411" s="4" t="str">
        <f>IFERROR(__xludf.DUMMYFUNCTION("IFERROR(
  FILTER('CBK Students'!O:O, TRIM('CBK Students'!B:B) = TRIM(A1411)),
  """"
)"),"#REF!")</f>
        <v>#REF!</v>
      </c>
      <c r="AA1411" s="4" t="str">
        <f>IFERROR(__xludf.DUMMYFUNCTION("IFERROR(
  FILTER('CBK Students'!P:P, TRIM('CBK Students'!B:B) = TRIM(A1411)),
  """"
)"),"#REF!")</f>
        <v>#REF!</v>
      </c>
      <c r="AB1411" s="4" t="str">
        <f>IFERROR(__xludf.DUMMYFUNCTION("IFERROR(
  FILTER('CBK Students'!Q:Q, TRIM('CBK Students'!B:B) = TRIM(A1411)),
  """"
)"),"#REF!")</f>
        <v>#REF!</v>
      </c>
    </row>
    <row r="1412" ht="18.75" customHeight="1">
      <c r="T1412" s="239"/>
      <c r="U1412" s="239"/>
      <c r="V1412" s="239">
        <f>IFERROR(__xludf.DUMMYFUNCTION("""COMPUTED_VALUE"""),6590.0)</f>
        <v>6590</v>
      </c>
      <c r="W1412" s="240" t="str">
        <f t="shared" si="1"/>
        <v/>
      </c>
      <c r="X1412" s="239" t="str">
        <f>IFERROR(__xludf.DUMMYFUNCTION("""COMPUTED_VALUE"""),"Prepare for Showcase")</f>
        <v>Prepare for Showcase</v>
      </c>
      <c r="Y1412" s="4" t="str">
        <f t="shared" si="2"/>
        <v/>
      </c>
      <c r="Z1412" s="4" t="str">
        <f>IFERROR(__xludf.DUMMYFUNCTION("IFERROR(
  FILTER('CBK Students'!O:O, TRIM('CBK Students'!B:B) = TRIM(A1412)),
  """"
)"),"#REF!")</f>
        <v>#REF!</v>
      </c>
      <c r="AA1412" s="4" t="str">
        <f>IFERROR(__xludf.DUMMYFUNCTION("IFERROR(
  FILTER('CBK Students'!P:P, TRIM('CBK Students'!B:B) = TRIM(A1412)),
  """"
)"),"#REF!")</f>
        <v>#REF!</v>
      </c>
      <c r="AB1412" s="4" t="str">
        <f>IFERROR(__xludf.DUMMYFUNCTION("IFERROR(
  FILTER('CBK Students'!Q:Q, TRIM('CBK Students'!B:B) = TRIM(A1412)),
  """"
)"),"#REF!")</f>
        <v>#REF!</v>
      </c>
    </row>
    <row r="1413" ht="18.75" customHeight="1">
      <c r="T1413" s="239"/>
      <c r="U1413" s="239"/>
      <c r="V1413" s="239">
        <f>IFERROR(__xludf.DUMMYFUNCTION("""COMPUTED_VALUE"""),6590.0)</f>
        <v>6590</v>
      </c>
      <c r="W1413" s="240" t="str">
        <f t="shared" si="1"/>
        <v/>
      </c>
      <c r="X1413" s="239" t="str">
        <f>IFERROR(__xludf.DUMMYFUNCTION("""COMPUTED_VALUE"""),"Prepare for Showcase")</f>
        <v>Prepare for Showcase</v>
      </c>
      <c r="Y1413" s="4" t="str">
        <f t="shared" si="2"/>
        <v/>
      </c>
      <c r="Z1413" s="4" t="str">
        <f>IFERROR(__xludf.DUMMYFUNCTION("IFERROR(
  FILTER('CBK Students'!O:O, TRIM('CBK Students'!B:B) = TRIM(A1413)),
  """"
)"),"#REF!")</f>
        <v>#REF!</v>
      </c>
      <c r="AA1413" s="4" t="str">
        <f>IFERROR(__xludf.DUMMYFUNCTION("IFERROR(
  FILTER('CBK Students'!P:P, TRIM('CBK Students'!B:B) = TRIM(A1413)),
  """"
)"),"#REF!")</f>
        <v>#REF!</v>
      </c>
      <c r="AB1413" s="4" t="str">
        <f>IFERROR(__xludf.DUMMYFUNCTION("IFERROR(
  FILTER('CBK Students'!Q:Q, TRIM('CBK Students'!B:B) = TRIM(A1413)),
  """"
)"),"#REF!")</f>
        <v>#REF!</v>
      </c>
    </row>
    <row r="1414" ht="18.75" customHeight="1">
      <c r="T1414" s="239"/>
      <c r="U1414" s="239"/>
      <c r="V1414" s="239">
        <f>IFERROR(__xludf.DUMMYFUNCTION("""COMPUTED_VALUE"""),6590.0)</f>
        <v>6590</v>
      </c>
      <c r="W1414" s="240" t="str">
        <f t="shared" si="1"/>
        <v/>
      </c>
      <c r="X1414" s="239" t="str">
        <f>IFERROR(__xludf.DUMMYFUNCTION("""COMPUTED_VALUE"""),"Prepare for Showcase")</f>
        <v>Prepare for Showcase</v>
      </c>
      <c r="Y1414" s="4" t="str">
        <f t="shared" si="2"/>
        <v/>
      </c>
      <c r="Z1414" s="4" t="str">
        <f>IFERROR(__xludf.DUMMYFUNCTION("IFERROR(
  FILTER('CBK Students'!O:O, TRIM('CBK Students'!B:B) = TRIM(A1414)),
  """"
)"),"#REF!")</f>
        <v>#REF!</v>
      </c>
      <c r="AA1414" s="4" t="str">
        <f>IFERROR(__xludf.DUMMYFUNCTION("IFERROR(
  FILTER('CBK Students'!P:P, TRIM('CBK Students'!B:B) = TRIM(A1414)),
  """"
)"),"#REF!")</f>
        <v>#REF!</v>
      </c>
      <c r="AB1414" s="4" t="str">
        <f>IFERROR(__xludf.DUMMYFUNCTION("IFERROR(
  FILTER('CBK Students'!Q:Q, TRIM('CBK Students'!B:B) = TRIM(A1414)),
  """"
)"),"#REF!")</f>
        <v>#REF!</v>
      </c>
    </row>
    <row r="1415" ht="18.75" customHeight="1">
      <c r="T1415" s="239"/>
      <c r="U1415" s="239"/>
      <c r="V1415" s="239">
        <f>IFERROR(__xludf.DUMMYFUNCTION("""COMPUTED_VALUE"""),6590.0)</f>
        <v>6590</v>
      </c>
      <c r="W1415" s="240" t="str">
        <f t="shared" si="1"/>
        <v/>
      </c>
      <c r="X1415" s="239" t="str">
        <f>IFERROR(__xludf.DUMMYFUNCTION("""COMPUTED_VALUE"""),"Prepare for Showcase")</f>
        <v>Prepare for Showcase</v>
      </c>
      <c r="Y1415" s="4" t="str">
        <f t="shared" si="2"/>
        <v/>
      </c>
      <c r="Z1415" s="4" t="str">
        <f>IFERROR(__xludf.DUMMYFUNCTION("IFERROR(
  FILTER('CBK Students'!O:O, TRIM('CBK Students'!B:B) = TRIM(A1415)),
  """"
)"),"#REF!")</f>
        <v>#REF!</v>
      </c>
      <c r="AA1415" s="4" t="str">
        <f>IFERROR(__xludf.DUMMYFUNCTION("IFERROR(
  FILTER('CBK Students'!P:P, TRIM('CBK Students'!B:B) = TRIM(A1415)),
  """"
)"),"#REF!")</f>
        <v>#REF!</v>
      </c>
      <c r="AB1415" s="4" t="str">
        <f>IFERROR(__xludf.DUMMYFUNCTION("IFERROR(
  FILTER('CBK Students'!Q:Q, TRIM('CBK Students'!B:B) = TRIM(A1415)),
  """"
)"),"#REF!")</f>
        <v>#REF!</v>
      </c>
    </row>
    <row r="1416" ht="18.75" customHeight="1">
      <c r="T1416" s="239"/>
      <c r="U1416" s="239"/>
      <c r="V1416" s="239">
        <f>IFERROR(__xludf.DUMMYFUNCTION("""COMPUTED_VALUE"""),6590.0)</f>
        <v>6590</v>
      </c>
      <c r="W1416" s="240" t="str">
        <f t="shared" si="1"/>
        <v/>
      </c>
      <c r="X1416" s="239" t="str">
        <f>IFERROR(__xludf.DUMMYFUNCTION("""COMPUTED_VALUE"""),"Prepare for Showcase")</f>
        <v>Prepare for Showcase</v>
      </c>
      <c r="Y1416" s="4" t="str">
        <f t="shared" si="2"/>
        <v/>
      </c>
      <c r="Z1416" s="4" t="str">
        <f>IFERROR(__xludf.DUMMYFUNCTION("IFERROR(
  FILTER('CBK Students'!O:O, TRIM('CBK Students'!B:B) = TRIM(A1416)),
  """"
)"),"#REF!")</f>
        <v>#REF!</v>
      </c>
      <c r="AA1416" s="4" t="str">
        <f>IFERROR(__xludf.DUMMYFUNCTION("IFERROR(
  FILTER('CBK Students'!P:P, TRIM('CBK Students'!B:B) = TRIM(A1416)),
  """"
)"),"#REF!")</f>
        <v>#REF!</v>
      </c>
      <c r="AB1416" s="4" t="str">
        <f>IFERROR(__xludf.DUMMYFUNCTION("IFERROR(
  FILTER('CBK Students'!Q:Q, TRIM('CBK Students'!B:B) = TRIM(A1416)),
  """"
)"),"#REF!")</f>
        <v>#REF!</v>
      </c>
    </row>
    <row r="1417" ht="18.75" customHeight="1">
      <c r="T1417" s="239"/>
      <c r="U1417" s="239"/>
      <c r="V1417" s="239">
        <f>IFERROR(__xludf.DUMMYFUNCTION("""COMPUTED_VALUE"""),6590.0)</f>
        <v>6590</v>
      </c>
      <c r="W1417" s="240" t="str">
        <f t="shared" si="1"/>
        <v/>
      </c>
      <c r="X1417" s="239" t="str">
        <f>IFERROR(__xludf.DUMMYFUNCTION("""COMPUTED_VALUE"""),"Prepare for Showcase")</f>
        <v>Prepare for Showcase</v>
      </c>
      <c r="Y1417" s="4" t="str">
        <f t="shared" si="2"/>
        <v/>
      </c>
      <c r="Z1417" s="4" t="str">
        <f>IFERROR(__xludf.DUMMYFUNCTION("IFERROR(
  FILTER('CBK Students'!O:O, TRIM('CBK Students'!B:B) = TRIM(A1417)),
  """"
)"),"#REF!")</f>
        <v>#REF!</v>
      </c>
      <c r="AA1417" s="4" t="str">
        <f>IFERROR(__xludf.DUMMYFUNCTION("IFERROR(
  FILTER('CBK Students'!P:P, TRIM('CBK Students'!B:B) = TRIM(A1417)),
  """"
)"),"#REF!")</f>
        <v>#REF!</v>
      </c>
      <c r="AB1417" s="4" t="str">
        <f>IFERROR(__xludf.DUMMYFUNCTION("IFERROR(
  FILTER('CBK Students'!Q:Q, TRIM('CBK Students'!B:B) = TRIM(A1417)),
  """"
)"),"#REF!")</f>
        <v>#REF!</v>
      </c>
    </row>
    <row r="1418" ht="18.75" customHeight="1">
      <c r="T1418" s="239"/>
      <c r="U1418" s="239"/>
      <c r="V1418" s="239">
        <f>IFERROR(__xludf.DUMMYFUNCTION("""COMPUTED_VALUE"""),6590.0)</f>
        <v>6590</v>
      </c>
      <c r="W1418" s="240" t="str">
        <f t="shared" si="1"/>
        <v/>
      </c>
      <c r="X1418" s="239" t="str">
        <f>IFERROR(__xludf.DUMMYFUNCTION("""COMPUTED_VALUE"""),"Prepare for Showcase")</f>
        <v>Prepare for Showcase</v>
      </c>
      <c r="Y1418" s="4" t="str">
        <f t="shared" si="2"/>
        <v/>
      </c>
      <c r="Z1418" s="4" t="str">
        <f>IFERROR(__xludf.DUMMYFUNCTION("IFERROR(
  FILTER('CBK Students'!O:O, TRIM('CBK Students'!B:B) = TRIM(A1418)),
  """"
)"),"#REF!")</f>
        <v>#REF!</v>
      </c>
      <c r="AA1418" s="4" t="str">
        <f>IFERROR(__xludf.DUMMYFUNCTION("IFERROR(
  FILTER('CBK Students'!P:P, TRIM('CBK Students'!B:B) = TRIM(A1418)),
  """"
)"),"#REF!")</f>
        <v>#REF!</v>
      </c>
      <c r="AB1418" s="4" t="str">
        <f>IFERROR(__xludf.DUMMYFUNCTION("IFERROR(
  FILTER('CBK Students'!Q:Q, TRIM('CBK Students'!B:B) = TRIM(A1418)),
  """"
)"),"#REF!")</f>
        <v>#REF!</v>
      </c>
    </row>
    <row r="1419" ht="18.75" customHeight="1">
      <c r="T1419" s="239"/>
      <c r="U1419" s="239"/>
      <c r="V1419" s="239">
        <f>IFERROR(__xludf.DUMMYFUNCTION("""COMPUTED_VALUE"""),6590.0)</f>
        <v>6590</v>
      </c>
      <c r="W1419" s="240" t="str">
        <f t="shared" si="1"/>
        <v/>
      </c>
      <c r="X1419" s="239" t="str">
        <f>IFERROR(__xludf.DUMMYFUNCTION("""COMPUTED_VALUE"""),"Prepare for Showcase")</f>
        <v>Prepare for Showcase</v>
      </c>
      <c r="Y1419" s="4" t="str">
        <f t="shared" si="2"/>
        <v/>
      </c>
      <c r="Z1419" s="4" t="str">
        <f>IFERROR(__xludf.DUMMYFUNCTION("IFERROR(
  FILTER('CBK Students'!O:O, TRIM('CBK Students'!B:B) = TRIM(A1419)),
  """"
)"),"#REF!")</f>
        <v>#REF!</v>
      </c>
      <c r="AA1419" s="4" t="str">
        <f>IFERROR(__xludf.DUMMYFUNCTION("IFERROR(
  FILTER('CBK Students'!P:P, TRIM('CBK Students'!B:B) = TRIM(A1419)),
  """"
)"),"#REF!")</f>
        <v>#REF!</v>
      </c>
      <c r="AB1419" s="4" t="str">
        <f>IFERROR(__xludf.DUMMYFUNCTION("IFERROR(
  FILTER('CBK Students'!Q:Q, TRIM('CBK Students'!B:B) = TRIM(A1419)),
  """"
)"),"#REF!")</f>
        <v>#REF!</v>
      </c>
    </row>
    <row r="1420" ht="18.75" customHeight="1">
      <c r="T1420" s="239"/>
      <c r="U1420" s="239"/>
      <c r="V1420" s="239">
        <f>IFERROR(__xludf.DUMMYFUNCTION("""COMPUTED_VALUE"""),6590.0)</f>
        <v>6590</v>
      </c>
      <c r="W1420" s="240" t="str">
        <f t="shared" si="1"/>
        <v/>
      </c>
      <c r="X1420" s="239" t="str">
        <f>IFERROR(__xludf.DUMMYFUNCTION("""COMPUTED_VALUE"""),"Prepare for Showcase")</f>
        <v>Prepare for Showcase</v>
      </c>
      <c r="Y1420" s="4" t="str">
        <f t="shared" si="2"/>
        <v/>
      </c>
      <c r="Z1420" s="4" t="str">
        <f>IFERROR(__xludf.DUMMYFUNCTION("IFERROR(
  FILTER('CBK Students'!O:O, TRIM('CBK Students'!B:B) = TRIM(A1420)),
  """"
)"),"#REF!")</f>
        <v>#REF!</v>
      </c>
      <c r="AA1420" s="4" t="str">
        <f>IFERROR(__xludf.DUMMYFUNCTION("IFERROR(
  FILTER('CBK Students'!P:P, TRIM('CBK Students'!B:B) = TRIM(A1420)),
  """"
)"),"#REF!")</f>
        <v>#REF!</v>
      </c>
      <c r="AB1420" s="4" t="str">
        <f>IFERROR(__xludf.DUMMYFUNCTION("IFERROR(
  FILTER('CBK Students'!Q:Q, TRIM('CBK Students'!B:B) = TRIM(A1420)),
  """"
)"),"#REF!")</f>
        <v>#REF!</v>
      </c>
    </row>
    <row r="1421" ht="18.75" customHeight="1">
      <c r="T1421" s="239"/>
      <c r="U1421" s="239"/>
      <c r="V1421" s="239">
        <f>IFERROR(__xludf.DUMMYFUNCTION("""COMPUTED_VALUE"""),6590.0)</f>
        <v>6590</v>
      </c>
      <c r="W1421" s="240" t="str">
        <f t="shared" si="1"/>
        <v/>
      </c>
      <c r="X1421" s="239" t="str">
        <f>IFERROR(__xludf.DUMMYFUNCTION("""COMPUTED_VALUE"""),"Prepare for Showcase")</f>
        <v>Prepare for Showcase</v>
      </c>
      <c r="Y1421" s="4" t="str">
        <f t="shared" si="2"/>
        <v/>
      </c>
      <c r="Z1421" s="4" t="str">
        <f>IFERROR(__xludf.DUMMYFUNCTION("IFERROR(
  FILTER('CBK Students'!O:O, TRIM('CBK Students'!B:B) = TRIM(A1421)),
  """"
)"),"#REF!")</f>
        <v>#REF!</v>
      </c>
      <c r="AA1421" s="4" t="str">
        <f>IFERROR(__xludf.DUMMYFUNCTION("IFERROR(
  FILTER('CBK Students'!P:P, TRIM('CBK Students'!B:B) = TRIM(A1421)),
  """"
)"),"#REF!")</f>
        <v>#REF!</v>
      </c>
      <c r="AB1421" s="4" t="str">
        <f>IFERROR(__xludf.DUMMYFUNCTION("IFERROR(
  FILTER('CBK Students'!Q:Q, TRIM('CBK Students'!B:B) = TRIM(A1421)),
  """"
)"),"#REF!")</f>
        <v>#REF!</v>
      </c>
    </row>
    <row r="1422" ht="18.75" customHeight="1">
      <c r="T1422" s="239"/>
      <c r="U1422" s="239"/>
      <c r="V1422" s="239">
        <f>IFERROR(__xludf.DUMMYFUNCTION("""COMPUTED_VALUE"""),6590.0)</f>
        <v>6590</v>
      </c>
      <c r="W1422" s="240" t="str">
        <f t="shared" si="1"/>
        <v/>
      </c>
      <c r="X1422" s="239" t="str">
        <f>IFERROR(__xludf.DUMMYFUNCTION("""COMPUTED_VALUE"""),"Prepare for Showcase")</f>
        <v>Prepare for Showcase</v>
      </c>
      <c r="Y1422" s="4" t="str">
        <f t="shared" si="2"/>
        <v/>
      </c>
      <c r="Z1422" s="4" t="str">
        <f>IFERROR(__xludf.DUMMYFUNCTION("IFERROR(
  FILTER('CBK Students'!O:O, TRIM('CBK Students'!B:B) = TRIM(A1422)),
  """"
)"),"#REF!")</f>
        <v>#REF!</v>
      </c>
      <c r="AA1422" s="4" t="str">
        <f>IFERROR(__xludf.DUMMYFUNCTION("IFERROR(
  FILTER('CBK Students'!P:P, TRIM('CBK Students'!B:B) = TRIM(A1422)),
  """"
)"),"#REF!")</f>
        <v>#REF!</v>
      </c>
      <c r="AB1422" s="4" t="str">
        <f>IFERROR(__xludf.DUMMYFUNCTION("IFERROR(
  FILTER('CBK Students'!Q:Q, TRIM('CBK Students'!B:B) = TRIM(A1422)),
  """"
)"),"#REF!")</f>
        <v>#REF!</v>
      </c>
    </row>
    <row r="1423" ht="18.75" customHeight="1">
      <c r="T1423" s="239"/>
      <c r="U1423" s="239"/>
      <c r="V1423" s="239">
        <f>IFERROR(__xludf.DUMMYFUNCTION("""COMPUTED_VALUE"""),6590.0)</f>
        <v>6590</v>
      </c>
      <c r="W1423" s="240" t="str">
        <f t="shared" si="1"/>
        <v/>
      </c>
      <c r="X1423" s="239" t="str">
        <f>IFERROR(__xludf.DUMMYFUNCTION("""COMPUTED_VALUE"""),"Prepare for Showcase")</f>
        <v>Prepare for Showcase</v>
      </c>
      <c r="Y1423" s="4" t="str">
        <f t="shared" si="2"/>
        <v/>
      </c>
      <c r="Z1423" s="4" t="str">
        <f>IFERROR(__xludf.DUMMYFUNCTION("IFERROR(
  FILTER('CBK Students'!O:O, TRIM('CBK Students'!B:B) = TRIM(A1423)),
  """"
)"),"#REF!")</f>
        <v>#REF!</v>
      </c>
      <c r="AA1423" s="4" t="str">
        <f>IFERROR(__xludf.DUMMYFUNCTION("IFERROR(
  FILTER('CBK Students'!P:P, TRIM('CBK Students'!B:B) = TRIM(A1423)),
  """"
)"),"#REF!")</f>
        <v>#REF!</v>
      </c>
      <c r="AB1423" s="4" t="str">
        <f>IFERROR(__xludf.DUMMYFUNCTION("IFERROR(
  FILTER('CBK Students'!Q:Q, TRIM('CBK Students'!B:B) = TRIM(A1423)),
  """"
)"),"#REF!")</f>
        <v>#REF!</v>
      </c>
    </row>
    <row r="1424" ht="18.75" customHeight="1">
      <c r="T1424" s="239"/>
      <c r="U1424" s="239"/>
      <c r="V1424" s="239">
        <f>IFERROR(__xludf.DUMMYFUNCTION("""COMPUTED_VALUE"""),6590.0)</f>
        <v>6590</v>
      </c>
      <c r="W1424" s="240" t="str">
        <f t="shared" si="1"/>
        <v/>
      </c>
      <c r="X1424" s="239" t="str">
        <f>IFERROR(__xludf.DUMMYFUNCTION("""COMPUTED_VALUE"""),"Prepare for Showcase")</f>
        <v>Prepare for Showcase</v>
      </c>
      <c r="Y1424" s="4" t="str">
        <f t="shared" si="2"/>
        <v/>
      </c>
      <c r="Z1424" s="4" t="str">
        <f>IFERROR(__xludf.DUMMYFUNCTION("IFERROR(
  FILTER('CBK Students'!O:O, TRIM('CBK Students'!B:B) = TRIM(A1424)),
  """"
)"),"#REF!")</f>
        <v>#REF!</v>
      </c>
      <c r="AA1424" s="4" t="str">
        <f>IFERROR(__xludf.DUMMYFUNCTION("IFERROR(
  FILTER('CBK Students'!P:P, TRIM('CBK Students'!B:B) = TRIM(A1424)),
  """"
)"),"#REF!")</f>
        <v>#REF!</v>
      </c>
      <c r="AB1424" s="4" t="str">
        <f>IFERROR(__xludf.DUMMYFUNCTION("IFERROR(
  FILTER('CBK Students'!Q:Q, TRIM('CBK Students'!B:B) = TRIM(A1424)),
  """"
)"),"#REF!")</f>
        <v>#REF!</v>
      </c>
    </row>
    <row r="1425" ht="18.75" customHeight="1">
      <c r="T1425" s="239"/>
      <c r="U1425" s="239"/>
      <c r="V1425" s="239">
        <f>IFERROR(__xludf.DUMMYFUNCTION("""COMPUTED_VALUE"""),6590.0)</f>
        <v>6590</v>
      </c>
      <c r="W1425" s="240" t="str">
        <f t="shared" si="1"/>
        <v/>
      </c>
      <c r="X1425" s="239" t="str">
        <f>IFERROR(__xludf.DUMMYFUNCTION("""COMPUTED_VALUE"""),"Prepare for Showcase")</f>
        <v>Prepare for Showcase</v>
      </c>
      <c r="Y1425" s="4" t="str">
        <f t="shared" si="2"/>
        <v/>
      </c>
      <c r="Z1425" s="4" t="str">
        <f>IFERROR(__xludf.DUMMYFUNCTION("IFERROR(
  FILTER('CBK Students'!O:O, TRIM('CBK Students'!B:B) = TRIM(A1425)),
  """"
)"),"#REF!")</f>
        <v>#REF!</v>
      </c>
      <c r="AA1425" s="4" t="str">
        <f>IFERROR(__xludf.DUMMYFUNCTION("IFERROR(
  FILTER('CBK Students'!P:P, TRIM('CBK Students'!B:B) = TRIM(A1425)),
  """"
)"),"#REF!")</f>
        <v>#REF!</v>
      </c>
      <c r="AB1425" s="4" t="str">
        <f>IFERROR(__xludf.DUMMYFUNCTION("IFERROR(
  FILTER('CBK Students'!Q:Q, TRIM('CBK Students'!B:B) = TRIM(A1425)),
  """"
)"),"#REF!")</f>
        <v>#REF!</v>
      </c>
    </row>
    <row r="1426" ht="18.75" customHeight="1">
      <c r="T1426" s="239"/>
      <c r="U1426" s="239"/>
      <c r="V1426" s="239">
        <f>IFERROR(__xludf.DUMMYFUNCTION("""COMPUTED_VALUE"""),6590.0)</f>
        <v>6590</v>
      </c>
      <c r="W1426" s="240" t="str">
        <f t="shared" si="1"/>
        <v/>
      </c>
      <c r="X1426" s="239" t="str">
        <f>IFERROR(__xludf.DUMMYFUNCTION("""COMPUTED_VALUE"""),"Prepare for Showcase")</f>
        <v>Prepare for Showcase</v>
      </c>
      <c r="Y1426" s="4" t="str">
        <f t="shared" si="2"/>
        <v/>
      </c>
      <c r="Z1426" s="4" t="str">
        <f>IFERROR(__xludf.DUMMYFUNCTION("IFERROR(
  FILTER('CBK Students'!O:O, TRIM('CBK Students'!B:B) = TRIM(A1426)),
  """"
)"),"#REF!")</f>
        <v>#REF!</v>
      </c>
      <c r="AA1426" s="4" t="str">
        <f>IFERROR(__xludf.DUMMYFUNCTION("IFERROR(
  FILTER('CBK Students'!P:P, TRIM('CBK Students'!B:B) = TRIM(A1426)),
  """"
)"),"#REF!")</f>
        <v>#REF!</v>
      </c>
      <c r="AB1426" s="4" t="str">
        <f>IFERROR(__xludf.DUMMYFUNCTION("IFERROR(
  FILTER('CBK Students'!Q:Q, TRIM('CBK Students'!B:B) = TRIM(A1426)),
  """"
)"),"#REF!")</f>
        <v>#REF!</v>
      </c>
    </row>
    <row r="1427" ht="18.75" customHeight="1">
      <c r="T1427" s="239"/>
      <c r="U1427" s="239"/>
      <c r="V1427" s="239">
        <f>IFERROR(__xludf.DUMMYFUNCTION("""COMPUTED_VALUE"""),6590.0)</f>
        <v>6590</v>
      </c>
      <c r="W1427" s="240" t="str">
        <f t="shared" si="1"/>
        <v/>
      </c>
      <c r="X1427" s="239" t="str">
        <f>IFERROR(__xludf.DUMMYFUNCTION("""COMPUTED_VALUE"""),"Prepare for Showcase")</f>
        <v>Prepare for Showcase</v>
      </c>
      <c r="Y1427" s="4" t="str">
        <f t="shared" si="2"/>
        <v/>
      </c>
      <c r="Z1427" s="4" t="str">
        <f>IFERROR(__xludf.DUMMYFUNCTION("IFERROR(
  FILTER('CBK Students'!O:O, TRIM('CBK Students'!B:B) = TRIM(A1427)),
  """"
)"),"#REF!")</f>
        <v>#REF!</v>
      </c>
      <c r="AA1427" s="4" t="str">
        <f>IFERROR(__xludf.DUMMYFUNCTION("IFERROR(
  FILTER('CBK Students'!P:P, TRIM('CBK Students'!B:B) = TRIM(A1427)),
  """"
)"),"#REF!")</f>
        <v>#REF!</v>
      </c>
      <c r="AB1427" s="4" t="str">
        <f>IFERROR(__xludf.DUMMYFUNCTION("IFERROR(
  FILTER('CBK Students'!Q:Q, TRIM('CBK Students'!B:B) = TRIM(A1427)),
  """"
)"),"#REF!")</f>
        <v>#REF!</v>
      </c>
    </row>
    <row r="1428" ht="18.75" customHeight="1">
      <c r="T1428" s="239"/>
      <c r="U1428" s="239"/>
      <c r="V1428" s="239">
        <f>IFERROR(__xludf.DUMMYFUNCTION("""COMPUTED_VALUE"""),6590.0)</f>
        <v>6590</v>
      </c>
      <c r="W1428" s="240" t="str">
        <f t="shared" si="1"/>
        <v/>
      </c>
      <c r="X1428" s="239" t="str">
        <f>IFERROR(__xludf.DUMMYFUNCTION("""COMPUTED_VALUE"""),"Prepare for Showcase")</f>
        <v>Prepare for Showcase</v>
      </c>
      <c r="Y1428" s="4" t="str">
        <f t="shared" si="2"/>
        <v/>
      </c>
      <c r="Z1428" s="4" t="str">
        <f>IFERROR(__xludf.DUMMYFUNCTION("IFERROR(
  FILTER('CBK Students'!O:O, TRIM('CBK Students'!B:B) = TRIM(A1428)),
  """"
)"),"#REF!")</f>
        <v>#REF!</v>
      </c>
      <c r="AA1428" s="4" t="str">
        <f>IFERROR(__xludf.DUMMYFUNCTION("IFERROR(
  FILTER('CBK Students'!P:P, TRIM('CBK Students'!B:B) = TRIM(A1428)),
  """"
)"),"#REF!")</f>
        <v>#REF!</v>
      </c>
      <c r="AB1428" s="4" t="str">
        <f>IFERROR(__xludf.DUMMYFUNCTION("IFERROR(
  FILTER('CBK Students'!Q:Q, TRIM('CBK Students'!B:B) = TRIM(A1428)),
  """"
)"),"#REF!")</f>
        <v>#REF!</v>
      </c>
    </row>
    <row r="1429" ht="18.75" customHeight="1">
      <c r="T1429" s="239"/>
      <c r="U1429" s="239"/>
      <c r="V1429" s="239">
        <f>IFERROR(__xludf.DUMMYFUNCTION("""COMPUTED_VALUE"""),6590.0)</f>
        <v>6590</v>
      </c>
      <c r="W1429" s="240" t="str">
        <f t="shared" si="1"/>
        <v/>
      </c>
      <c r="X1429" s="239" t="str">
        <f>IFERROR(__xludf.DUMMYFUNCTION("""COMPUTED_VALUE"""),"Prepare for Showcase")</f>
        <v>Prepare for Showcase</v>
      </c>
      <c r="Y1429" s="4" t="str">
        <f t="shared" si="2"/>
        <v/>
      </c>
      <c r="Z1429" s="4" t="str">
        <f>IFERROR(__xludf.DUMMYFUNCTION("IFERROR(
  FILTER('CBK Students'!O:O, TRIM('CBK Students'!B:B) = TRIM(A1429)),
  """"
)"),"#REF!")</f>
        <v>#REF!</v>
      </c>
      <c r="AA1429" s="4" t="str">
        <f>IFERROR(__xludf.DUMMYFUNCTION("IFERROR(
  FILTER('CBK Students'!P:P, TRIM('CBK Students'!B:B) = TRIM(A1429)),
  """"
)"),"#REF!")</f>
        <v>#REF!</v>
      </c>
      <c r="AB1429" s="4" t="str">
        <f>IFERROR(__xludf.DUMMYFUNCTION("IFERROR(
  FILTER('CBK Students'!Q:Q, TRIM('CBK Students'!B:B) = TRIM(A1429)),
  """"
)"),"#REF!")</f>
        <v>#REF!</v>
      </c>
    </row>
    <row r="1430" ht="18.75" customHeight="1">
      <c r="T1430" s="239"/>
      <c r="U1430" s="239"/>
      <c r="V1430" s="239">
        <f>IFERROR(__xludf.DUMMYFUNCTION("""COMPUTED_VALUE"""),6590.0)</f>
        <v>6590</v>
      </c>
      <c r="W1430" s="240" t="str">
        <f t="shared" si="1"/>
        <v/>
      </c>
      <c r="X1430" s="239" t="str">
        <f>IFERROR(__xludf.DUMMYFUNCTION("""COMPUTED_VALUE"""),"Prepare for Showcase")</f>
        <v>Prepare for Showcase</v>
      </c>
      <c r="Y1430" s="4" t="str">
        <f t="shared" si="2"/>
        <v/>
      </c>
      <c r="Z1430" s="4" t="str">
        <f>IFERROR(__xludf.DUMMYFUNCTION("IFERROR(
  FILTER('CBK Students'!O:O, TRIM('CBK Students'!B:B) = TRIM(A1430)),
  """"
)"),"#REF!")</f>
        <v>#REF!</v>
      </c>
      <c r="AA1430" s="4" t="str">
        <f>IFERROR(__xludf.DUMMYFUNCTION("IFERROR(
  FILTER('CBK Students'!P:P, TRIM('CBK Students'!B:B) = TRIM(A1430)),
  """"
)"),"#REF!")</f>
        <v>#REF!</v>
      </c>
      <c r="AB1430" s="4" t="str">
        <f>IFERROR(__xludf.DUMMYFUNCTION("IFERROR(
  FILTER('CBK Students'!Q:Q, TRIM('CBK Students'!B:B) = TRIM(A1430)),
  """"
)"),"#REF!")</f>
        <v>#REF!</v>
      </c>
    </row>
    <row r="1431" ht="18.75" customHeight="1">
      <c r="T1431" s="239"/>
      <c r="U1431" s="239"/>
      <c r="V1431" s="239">
        <f>IFERROR(__xludf.DUMMYFUNCTION("""COMPUTED_VALUE"""),6590.0)</f>
        <v>6590</v>
      </c>
      <c r="W1431" s="240" t="str">
        <f t="shared" si="1"/>
        <v/>
      </c>
      <c r="X1431" s="239" t="str">
        <f>IFERROR(__xludf.DUMMYFUNCTION("""COMPUTED_VALUE"""),"Prepare for Showcase")</f>
        <v>Prepare for Showcase</v>
      </c>
      <c r="Y1431" s="4" t="str">
        <f t="shared" si="2"/>
        <v/>
      </c>
      <c r="Z1431" s="4" t="str">
        <f>IFERROR(__xludf.DUMMYFUNCTION("IFERROR(
  FILTER('CBK Students'!O:O, TRIM('CBK Students'!B:B) = TRIM(A1431)),
  """"
)"),"#REF!")</f>
        <v>#REF!</v>
      </c>
      <c r="AA1431" s="4" t="str">
        <f>IFERROR(__xludf.DUMMYFUNCTION("IFERROR(
  FILTER('CBK Students'!P:P, TRIM('CBK Students'!B:B) = TRIM(A1431)),
  """"
)"),"#REF!")</f>
        <v>#REF!</v>
      </c>
      <c r="AB1431" s="4" t="str">
        <f>IFERROR(__xludf.DUMMYFUNCTION("IFERROR(
  FILTER('CBK Students'!Q:Q, TRIM('CBK Students'!B:B) = TRIM(A1431)),
  """"
)"),"#REF!")</f>
        <v>#REF!</v>
      </c>
    </row>
    <row r="1432" ht="18.75" customHeight="1">
      <c r="T1432" s="239"/>
      <c r="U1432" s="239"/>
      <c r="V1432" s="239">
        <f>IFERROR(__xludf.DUMMYFUNCTION("""COMPUTED_VALUE"""),6590.0)</f>
        <v>6590</v>
      </c>
      <c r="W1432" s="240" t="str">
        <f t="shared" si="1"/>
        <v/>
      </c>
      <c r="X1432" s="239" t="str">
        <f>IFERROR(__xludf.DUMMYFUNCTION("""COMPUTED_VALUE"""),"Prepare for Showcase")</f>
        <v>Prepare for Showcase</v>
      </c>
      <c r="Y1432" s="4" t="str">
        <f t="shared" si="2"/>
        <v/>
      </c>
      <c r="Z1432" s="4" t="str">
        <f>IFERROR(__xludf.DUMMYFUNCTION("IFERROR(
  FILTER('CBK Students'!O:O, TRIM('CBK Students'!B:B) = TRIM(A1432)),
  """"
)"),"#REF!")</f>
        <v>#REF!</v>
      </c>
      <c r="AA1432" s="4" t="str">
        <f>IFERROR(__xludf.DUMMYFUNCTION("IFERROR(
  FILTER('CBK Students'!P:P, TRIM('CBK Students'!B:B) = TRIM(A1432)),
  """"
)"),"#REF!")</f>
        <v>#REF!</v>
      </c>
      <c r="AB1432" s="4" t="str">
        <f>IFERROR(__xludf.DUMMYFUNCTION("IFERROR(
  FILTER('CBK Students'!Q:Q, TRIM('CBK Students'!B:B) = TRIM(A1432)),
  """"
)"),"#REF!")</f>
        <v>#REF!</v>
      </c>
    </row>
    <row r="1433" ht="18.75" customHeight="1">
      <c r="T1433" s="239"/>
      <c r="U1433" s="239"/>
      <c r="V1433" s="239">
        <f>IFERROR(__xludf.DUMMYFUNCTION("""COMPUTED_VALUE"""),6590.0)</f>
        <v>6590</v>
      </c>
      <c r="W1433" s="240" t="str">
        <f t="shared" si="1"/>
        <v/>
      </c>
      <c r="X1433" s="239" t="str">
        <f>IFERROR(__xludf.DUMMYFUNCTION("""COMPUTED_VALUE"""),"Prepare for Showcase")</f>
        <v>Prepare for Showcase</v>
      </c>
      <c r="Y1433" s="4" t="str">
        <f t="shared" si="2"/>
        <v/>
      </c>
      <c r="Z1433" s="4" t="str">
        <f>IFERROR(__xludf.DUMMYFUNCTION("IFERROR(
  FILTER('CBK Students'!O:O, TRIM('CBK Students'!B:B) = TRIM(A1433)),
  """"
)"),"#REF!")</f>
        <v>#REF!</v>
      </c>
      <c r="AA1433" s="4" t="str">
        <f>IFERROR(__xludf.DUMMYFUNCTION("IFERROR(
  FILTER('CBK Students'!P:P, TRIM('CBK Students'!B:B) = TRIM(A1433)),
  """"
)"),"#REF!")</f>
        <v>#REF!</v>
      </c>
      <c r="AB1433" s="4" t="str">
        <f>IFERROR(__xludf.DUMMYFUNCTION("IFERROR(
  FILTER('CBK Students'!Q:Q, TRIM('CBK Students'!B:B) = TRIM(A1433)),
  """"
)"),"#REF!")</f>
        <v>#REF!</v>
      </c>
    </row>
    <row r="1434" ht="18.75" customHeight="1">
      <c r="T1434" s="239"/>
      <c r="U1434" s="239"/>
      <c r="V1434" s="239">
        <f>IFERROR(__xludf.DUMMYFUNCTION("""COMPUTED_VALUE"""),6590.0)</f>
        <v>6590</v>
      </c>
      <c r="W1434" s="240" t="str">
        <f t="shared" si="1"/>
        <v/>
      </c>
      <c r="X1434" s="239" t="str">
        <f>IFERROR(__xludf.DUMMYFUNCTION("""COMPUTED_VALUE"""),"Prepare for Showcase")</f>
        <v>Prepare for Showcase</v>
      </c>
      <c r="Y1434" s="4" t="str">
        <f t="shared" si="2"/>
        <v/>
      </c>
      <c r="Z1434" s="4" t="str">
        <f>IFERROR(__xludf.DUMMYFUNCTION("IFERROR(
  FILTER('CBK Students'!O:O, TRIM('CBK Students'!B:B) = TRIM(A1434)),
  """"
)"),"#REF!")</f>
        <v>#REF!</v>
      </c>
      <c r="AA1434" s="4" t="str">
        <f>IFERROR(__xludf.DUMMYFUNCTION("IFERROR(
  FILTER('CBK Students'!P:P, TRIM('CBK Students'!B:B) = TRIM(A1434)),
  """"
)"),"#REF!")</f>
        <v>#REF!</v>
      </c>
      <c r="AB1434" s="4" t="str">
        <f>IFERROR(__xludf.DUMMYFUNCTION("IFERROR(
  FILTER('CBK Students'!Q:Q, TRIM('CBK Students'!B:B) = TRIM(A1434)),
  """"
)"),"#REF!")</f>
        <v>#REF!</v>
      </c>
    </row>
    <row r="1435" ht="18.75" customHeight="1">
      <c r="T1435" s="239"/>
      <c r="U1435" s="239"/>
      <c r="V1435" s="239">
        <f>IFERROR(__xludf.DUMMYFUNCTION("""COMPUTED_VALUE"""),6590.0)</f>
        <v>6590</v>
      </c>
      <c r="W1435" s="240" t="str">
        <f t="shared" si="1"/>
        <v/>
      </c>
      <c r="X1435" s="239" t="str">
        <f>IFERROR(__xludf.DUMMYFUNCTION("""COMPUTED_VALUE"""),"Prepare for Showcase")</f>
        <v>Prepare for Showcase</v>
      </c>
      <c r="Y1435" s="4" t="str">
        <f t="shared" si="2"/>
        <v/>
      </c>
      <c r="Z1435" s="4" t="str">
        <f>IFERROR(__xludf.DUMMYFUNCTION("IFERROR(
  FILTER('CBK Students'!O:O, TRIM('CBK Students'!B:B) = TRIM(A1435)),
  """"
)"),"#REF!")</f>
        <v>#REF!</v>
      </c>
      <c r="AA1435" s="4" t="str">
        <f>IFERROR(__xludf.DUMMYFUNCTION("IFERROR(
  FILTER('CBK Students'!P:P, TRIM('CBK Students'!B:B) = TRIM(A1435)),
  """"
)"),"#REF!")</f>
        <v>#REF!</v>
      </c>
      <c r="AB1435" s="4" t="str">
        <f>IFERROR(__xludf.DUMMYFUNCTION("IFERROR(
  FILTER('CBK Students'!Q:Q, TRIM('CBK Students'!B:B) = TRIM(A1435)),
  """"
)"),"#REF!")</f>
        <v>#REF!</v>
      </c>
    </row>
    <row r="1436" ht="18.75" customHeight="1">
      <c r="T1436" s="239"/>
      <c r="U1436" s="239"/>
      <c r="V1436" s="239">
        <f>IFERROR(__xludf.DUMMYFUNCTION("""COMPUTED_VALUE"""),6590.0)</f>
        <v>6590</v>
      </c>
      <c r="W1436" s="240" t="str">
        <f t="shared" si="1"/>
        <v/>
      </c>
      <c r="X1436" s="239" t="str">
        <f>IFERROR(__xludf.DUMMYFUNCTION("""COMPUTED_VALUE"""),"Prepare for Showcase")</f>
        <v>Prepare for Showcase</v>
      </c>
      <c r="Y1436" s="4" t="str">
        <f t="shared" si="2"/>
        <v/>
      </c>
      <c r="Z1436" s="4" t="str">
        <f>IFERROR(__xludf.DUMMYFUNCTION("IFERROR(
  FILTER('CBK Students'!O:O, TRIM('CBK Students'!B:B) = TRIM(A1436)),
  """"
)"),"#REF!")</f>
        <v>#REF!</v>
      </c>
      <c r="AA1436" s="4" t="str">
        <f>IFERROR(__xludf.DUMMYFUNCTION("IFERROR(
  FILTER('CBK Students'!P:P, TRIM('CBK Students'!B:B) = TRIM(A1436)),
  """"
)"),"#REF!")</f>
        <v>#REF!</v>
      </c>
      <c r="AB1436" s="4" t="str">
        <f>IFERROR(__xludf.DUMMYFUNCTION("IFERROR(
  FILTER('CBK Students'!Q:Q, TRIM('CBK Students'!B:B) = TRIM(A1436)),
  """"
)"),"#REF!")</f>
        <v>#REF!</v>
      </c>
    </row>
    <row r="1437" ht="18.75" customHeight="1">
      <c r="T1437" s="239"/>
      <c r="U1437" s="239"/>
      <c r="V1437" s="239">
        <f>IFERROR(__xludf.DUMMYFUNCTION("""COMPUTED_VALUE"""),6590.0)</f>
        <v>6590</v>
      </c>
      <c r="W1437" s="240" t="str">
        <f t="shared" si="1"/>
        <v/>
      </c>
      <c r="X1437" s="239" t="str">
        <f>IFERROR(__xludf.DUMMYFUNCTION("""COMPUTED_VALUE"""),"Prepare for Showcase")</f>
        <v>Prepare for Showcase</v>
      </c>
      <c r="Y1437" s="4" t="str">
        <f t="shared" si="2"/>
        <v/>
      </c>
      <c r="Z1437" s="4" t="str">
        <f>IFERROR(__xludf.DUMMYFUNCTION("IFERROR(
  FILTER('CBK Students'!O:O, TRIM('CBK Students'!B:B) = TRIM(A1437)),
  """"
)"),"#REF!")</f>
        <v>#REF!</v>
      </c>
      <c r="AA1437" s="4" t="str">
        <f>IFERROR(__xludf.DUMMYFUNCTION("IFERROR(
  FILTER('CBK Students'!P:P, TRIM('CBK Students'!B:B) = TRIM(A1437)),
  """"
)"),"#REF!")</f>
        <v>#REF!</v>
      </c>
      <c r="AB1437" s="4" t="str">
        <f>IFERROR(__xludf.DUMMYFUNCTION("IFERROR(
  FILTER('CBK Students'!Q:Q, TRIM('CBK Students'!B:B) = TRIM(A1437)),
  """"
)"),"#REF!")</f>
        <v>#REF!</v>
      </c>
    </row>
    <row r="1438" ht="18.75" customHeight="1">
      <c r="T1438" s="239"/>
      <c r="U1438" s="239"/>
      <c r="V1438" s="239">
        <f>IFERROR(__xludf.DUMMYFUNCTION("""COMPUTED_VALUE"""),6590.0)</f>
        <v>6590</v>
      </c>
      <c r="W1438" s="240" t="str">
        <f t="shared" si="1"/>
        <v/>
      </c>
      <c r="X1438" s="239" t="str">
        <f>IFERROR(__xludf.DUMMYFUNCTION("""COMPUTED_VALUE"""),"Prepare for Showcase")</f>
        <v>Prepare for Showcase</v>
      </c>
      <c r="Y1438" s="4" t="str">
        <f t="shared" si="2"/>
        <v/>
      </c>
      <c r="Z1438" s="4" t="str">
        <f>IFERROR(__xludf.DUMMYFUNCTION("IFERROR(
  FILTER('CBK Students'!O:O, TRIM('CBK Students'!B:B) = TRIM(A1438)),
  """"
)"),"#REF!")</f>
        <v>#REF!</v>
      </c>
      <c r="AA1438" s="4" t="str">
        <f>IFERROR(__xludf.DUMMYFUNCTION("IFERROR(
  FILTER('CBK Students'!P:P, TRIM('CBK Students'!B:B) = TRIM(A1438)),
  """"
)"),"#REF!")</f>
        <v>#REF!</v>
      </c>
      <c r="AB1438" s="4" t="str">
        <f>IFERROR(__xludf.DUMMYFUNCTION("IFERROR(
  FILTER('CBK Students'!Q:Q, TRIM('CBK Students'!B:B) = TRIM(A1438)),
  """"
)"),"#REF!")</f>
        <v>#REF!</v>
      </c>
    </row>
    <row r="1439" ht="18.75" customHeight="1">
      <c r="T1439" s="239"/>
      <c r="U1439" s="239"/>
      <c r="V1439" s="239">
        <f>IFERROR(__xludf.DUMMYFUNCTION("""COMPUTED_VALUE"""),6590.0)</f>
        <v>6590</v>
      </c>
      <c r="W1439" s="240" t="str">
        <f t="shared" si="1"/>
        <v/>
      </c>
      <c r="X1439" s="239" t="str">
        <f>IFERROR(__xludf.DUMMYFUNCTION("""COMPUTED_VALUE"""),"Prepare for Showcase")</f>
        <v>Prepare for Showcase</v>
      </c>
      <c r="Y1439" s="4" t="str">
        <f t="shared" si="2"/>
        <v/>
      </c>
      <c r="Z1439" s="4" t="str">
        <f>IFERROR(__xludf.DUMMYFUNCTION("IFERROR(
  FILTER('CBK Students'!O:O, TRIM('CBK Students'!B:B) = TRIM(A1439)),
  """"
)"),"#REF!")</f>
        <v>#REF!</v>
      </c>
      <c r="AA1439" s="4" t="str">
        <f>IFERROR(__xludf.DUMMYFUNCTION("IFERROR(
  FILTER('CBK Students'!P:P, TRIM('CBK Students'!B:B) = TRIM(A1439)),
  """"
)"),"#REF!")</f>
        <v>#REF!</v>
      </c>
      <c r="AB1439" s="4" t="str">
        <f>IFERROR(__xludf.DUMMYFUNCTION("IFERROR(
  FILTER('CBK Students'!Q:Q, TRIM('CBK Students'!B:B) = TRIM(A1439)),
  """"
)"),"#REF!")</f>
        <v>#REF!</v>
      </c>
    </row>
    <row r="1440" ht="18.75" customHeight="1">
      <c r="T1440" s="239"/>
      <c r="U1440" s="239"/>
      <c r="V1440" s="239">
        <f>IFERROR(__xludf.DUMMYFUNCTION("""COMPUTED_VALUE"""),6590.0)</f>
        <v>6590</v>
      </c>
      <c r="W1440" s="240" t="str">
        <f t="shared" si="1"/>
        <v/>
      </c>
      <c r="X1440" s="239" t="str">
        <f>IFERROR(__xludf.DUMMYFUNCTION("""COMPUTED_VALUE"""),"Prepare for Showcase")</f>
        <v>Prepare for Showcase</v>
      </c>
      <c r="Y1440" s="4" t="str">
        <f t="shared" si="2"/>
        <v/>
      </c>
      <c r="Z1440" s="4" t="str">
        <f>IFERROR(__xludf.DUMMYFUNCTION("IFERROR(
  FILTER('CBK Students'!O:O, TRIM('CBK Students'!B:B) = TRIM(A1440)),
  """"
)"),"#REF!")</f>
        <v>#REF!</v>
      </c>
      <c r="AA1440" s="4" t="str">
        <f>IFERROR(__xludf.DUMMYFUNCTION("IFERROR(
  FILTER('CBK Students'!P:P, TRIM('CBK Students'!B:B) = TRIM(A1440)),
  """"
)"),"#REF!")</f>
        <v>#REF!</v>
      </c>
      <c r="AB1440" s="4" t="str">
        <f>IFERROR(__xludf.DUMMYFUNCTION("IFERROR(
  FILTER('CBK Students'!Q:Q, TRIM('CBK Students'!B:B) = TRIM(A1440)),
  """"
)"),"#REF!")</f>
        <v>#REF!</v>
      </c>
    </row>
    <row r="1441" ht="18.75" customHeight="1">
      <c r="T1441" s="239"/>
      <c r="U1441" s="239"/>
      <c r="V1441" s="239">
        <f>IFERROR(__xludf.DUMMYFUNCTION("""COMPUTED_VALUE"""),6590.0)</f>
        <v>6590</v>
      </c>
      <c r="W1441" s="240" t="str">
        <f t="shared" si="1"/>
        <v/>
      </c>
      <c r="X1441" s="239" t="str">
        <f>IFERROR(__xludf.DUMMYFUNCTION("""COMPUTED_VALUE"""),"Prepare for Showcase")</f>
        <v>Prepare for Showcase</v>
      </c>
      <c r="Y1441" s="4" t="str">
        <f t="shared" si="2"/>
        <v/>
      </c>
      <c r="Z1441" s="4" t="str">
        <f>IFERROR(__xludf.DUMMYFUNCTION("IFERROR(
  FILTER('CBK Students'!O:O, TRIM('CBK Students'!B:B) = TRIM(A1441)),
  """"
)"),"#REF!")</f>
        <v>#REF!</v>
      </c>
      <c r="AA1441" s="4" t="str">
        <f>IFERROR(__xludf.DUMMYFUNCTION("IFERROR(
  FILTER('CBK Students'!P:P, TRIM('CBK Students'!B:B) = TRIM(A1441)),
  """"
)"),"#REF!")</f>
        <v>#REF!</v>
      </c>
      <c r="AB1441" s="4" t="str">
        <f>IFERROR(__xludf.DUMMYFUNCTION("IFERROR(
  FILTER('CBK Students'!Q:Q, TRIM('CBK Students'!B:B) = TRIM(A1441)),
  """"
)"),"#REF!")</f>
        <v>#REF!</v>
      </c>
    </row>
    <row r="1442" ht="18.75" customHeight="1">
      <c r="T1442" s="239"/>
      <c r="U1442" s="239"/>
      <c r="V1442" s="239">
        <f>IFERROR(__xludf.DUMMYFUNCTION("""COMPUTED_VALUE"""),6590.0)</f>
        <v>6590</v>
      </c>
      <c r="W1442" s="240" t="str">
        <f t="shared" si="1"/>
        <v/>
      </c>
      <c r="X1442" s="239" t="str">
        <f>IFERROR(__xludf.DUMMYFUNCTION("""COMPUTED_VALUE"""),"Prepare for Showcase")</f>
        <v>Prepare for Showcase</v>
      </c>
      <c r="Y1442" s="4" t="str">
        <f t="shared" si="2"/>
        <v/>
      </c>
      <c r="Z1442" s="4" t="str">
        <f>IFERROR(__xludf.DUMMYFUNCTION("IFERROR(
  FILTER('CBK Students'!O:O, TRIM('CBK Students'!B:B) = TRIM(A1442)),
  """"
)"),"#REF!")</f>
        <v>#REF!</v>
      </c>
      <c r="AA1442" s="4" t="str">
        <f>IFERROR(__xludf.DUMMYFUNCTION("IFERROR(
  FILTER('CBK Students'!P:P, TRIM('CBK Students'!B:B) = TRIM(A1442)),
  """"
)"),"#REF!")</f>
        <v>#REF!</v>
      </c>
      <c r="AB1442" s="4" t="str">
        <f>IFERROR(__xludf.DUMMYFUNCTION("IFERROR(
  FILTER('CBK Students'!Q:Q, TRIM('CBK Students'!B:B) = TRIM(A1442)),
  """"
)"),"#REF!")</f>
        <v>#REF!</v>
      </c>
    </row>
    <row r="1443" ht="18.75" customHeight="1">
      <c r="T1443" s="239"/>
      <c r="U1443" s="239"/>
      <c r="V1443" s="239">
        <f>IFERROR(__xludf.DUMMYFUNCTION("""COMPUTED_VALUE"""),6590.0)</f>
        <v>6590</v>
      </c>
      <c r="W1443" s="240" t="str">
        <f t="shared" si="1"/>
        <v/>
      </c>
      <c r="X1443" s="239" t="str">
        <f>IFERROR(__xludf.DUMMYFUNCTION("""COMPUTED_VALUE"""),"Prepare for Showcase")</f>
        <v>Prepare for Showcase</v>
      </c>
      <c r="Y1443" s="4" t="str">
        <f t="shared" si="2"/>
        <v/>
      </c>
      <c r="Z1443" s="4" t="str">
        <f>IFERROR(__xludf.DUMMYFUNCTION("IFERROR(
  FILTER('CBK Students'!O:O, TRIM('CBK Students'!B:B) = TRIM(A1443)),
  """"
)"),"#REF!")</f>
        <v>#REF!</v>
      </c>
      <c r="AA1443" s="4" t="str">
        <f>IFERROR(__xludf.DUMMYFUNCTION("IFERROR(
  FILTER('CBK Students'!P:P, TRIM('CBK Students'!B:B) = TRIM(A1443)),
  """"
)"),"#REF!")</f>
        <v>#REF!</v>
      </c>
      <c r="AB1443" s="4" t="str">
        <f>IFERROR(__xludf.DUMMYFUNCTION("IFERROR(
  FILTER('CBK Students'!Q:Q, TRIM('CBK Students'!B:B) = TRIM(A1443)),
  """"
)"),"#REF!")</f>
        <v>#REF!</v>
      </c>
    </row>
    <row r="1444" ht="18.75" customHeight="1">
      <c r="T1444" s="239"/>
      <c r="U1444" s="239"/>
      <c r="V1444" s="239">
        <f>IFERROR(__xludf.DUMMYFUNCTION("""COMPUTED_VALUE"""),6590.0)</f>
        <v>6590</v>
      </c>
      <c r="W1444" s="240" t="str">
        <f t="shared" si="1"/>
        <v/>
      </c>
      <c r="X1444" s="239" t="str">
        <f>IFERROR(__xludf.DUMMYFUNCTION("""COMPUTED_VALUE"""),"Prepare for Showcase")</f>
        <v>Prepare for Showcase</v>
      </c>
      <c r="Y1444" s="4" t="str">
        <f t="shared" si="2"/>
        <v/>
      </c>
      <c r="Z1444" s="4" t="str">
        <f>IFERROR(__xludf.DUMMYFUNCTION("IFERROR(
  FILTER('CBK Students'!O:O, TRIM('CBK Students'!B:B) = TRIM(A1444)),
  """"
)"),"#REF!")</f>
        <v>#REF!</v>
      </c>
      <c r="AA1444" s="4" t="str">
        <f>IFERROR(__xludf.DUMMYFUNCTION("IFERROR(
  FILTER('CBK Students'!P:P, TRIM('CBK Students'!B:B) = TRIM(A1444)),
  """"
)"),"#REF!")</f>
        <v>#REF!</v>
      </c>
      <c r="AB1444" s="4" t="str">
        <f>IFERROR(__xludf.DUMMYFUNCTION("IFERROR(
  FILTER('CBK Students'!Q:Q, TRIM('CBK Students'!B:B) = TRIM(A1444)),
  """"
)"),"#REF!")</f>
        <v>#REF!</v>
      </c>
    </row>
    <row r="1445" ht="18.75" customHeight="1">
      <c r="T1445" s="239"/>
      <c r="U1445" s="239"/>
      <c r="V1445" s="239">
        <f>IFERROR(__xludf.DUMMYFUNCTION("""COMPUTED_VALUE"""),6590.0)</f>
        <v>6590</v>
      </c>
      <c r="W1445" s="240" t="str">
        <f t="shared" si="1"/>
        <v/>
      </c>
      <c r="X1445" s="239" t="str">
        <f>IFERROR(__xludf.DUMMYFUNCTION("""COMPUTED_VALUE"""),"Prepare for Showcase")</f>
        <v>Prepare for Showcase</v>
      </c>
      <c r="Y1445" s="4" t="str">
        <f t="shared" si="2"/>
        <v/>
      </c>
      <c r="Z1445" s="4" t="str">
        <f>IFERROR(__xludf.DUMMYFUNCTION("IFERROR(
  FILTER('CBK Students'!O:O, TRIM('CBK Students'!B:B) = TRIM(A1445)),
  """"
)"),"#REF!")</f>
        <v>#REF!</v>
      </c>
      <c r="AA1445" s="4" t="str">
        <f>IFERROR(__xludf.DUMMYFUNCTION("IFERROR(
  FILTER('CBK Students'!P:P, TRIM('CBK Students'!B:B) = TRIM(A1445)),
  """"
)"),"#REF!")</f>
        <v>#REF!</v>
      </c>
      <c r="AB1445" s="4" t="str">
        <f>IFERROR(__xludf.DUMMYFUNCTION("IFERROR(
  FILTER('CBK Students'!Q:Q, TRIM('CBK Students'!B:B) = TRIM(A1445)),
  """"
)"),"#REF!")</f>
        <v>#REF!</v>
      </c>
    </row>
    <row r="1446" ht="18.75" customHeight="1">
      <c r="T1446" s="239"/>
      <c r="U1446" s="239"/>
      <c r="V1446" s="239">
        <f>IFERROR(__xludf.DUMMYFUNCTION("""COMPUTED_VALUE"""),6590.0)</f>
        <v>6590</v>
      </c>
      <c r="W1446" s="240" t="str">
        <f t="shared" si="1"/>
        <v/>
      </c>
      <c r="X1446" s="239" t="str">
        <f>IFERROR(__xludf.DUMMYFUNCTION("""COMPUTED_VALUE"""),"Prepare for Showcase")</f>
        <v>Prepare for Showcase</v>
      </c>
      <c r="Y1446" s="4" t="str">
        <f t="shared" si="2"/>
        <v/>
      </c>
      <c r="Z1446" s="4" t="str">
        <f>IFERROR(__xludf.DUMMYFUNCTION("IFERROR(
  FILTER('CBK Students'!O:O, TRIM('CBK Students'!B:B) = TRIM(A1446)),
  """"
)"),"#REF!")</f>
        <v>#REF!</v>
      </c>
      <c r="AA1446" s="4" t="str">
        <f>IFERROR(__xludf.DUMMYFUNCTION("IFERROR(
  FILTER('CBK Students'!P:P, TRIM('CBK Students'!B:B) = TRIM(A1446)),
  """"
)"),"#REF!")</f>
        <v>#REF!</v>
      </c>
      <c r="AB1446" s="4" t="str">
        <f>IFERROR(__xludf.DUMMYFUNCTION("IFERROR(
  FILTER('CBK Students'!Q:Q, TRIM('CBK Students'!B:B) = TRIM(A1446)),
  """"
)"),"#REF!")</f>
        <v>#REF!</v>
      </c>
    </row>
    <row r="1447" ht="18.75" customHeight="1">
      <c r="T1447" s="239"/>
      <c r="U1447" s="239"/>
      <c r="V1447" s="239">
        <f>IFERROR(__xludf.DUMMYFUNCTION("""COMPUTED_VALUE"""),6590.0)</f>
        <v>6590</v>
      </c>
      <c r="W1447" s="240" t="str">
        <f t="shared" si="1"/>
        <v/>
      </c>
      <c r="X1447" s="239" t="str">
        <f>IFERROR(__xludf.DUMMYFUNCTION("""COMPUTED_VALUE"""),"Prepare for Showcase")</f>
        <v>Prepare for Showcase</v>
      </c>
      <c r="Y1447" s="4" t="str">
        <f t="shared" si="2"/>
        <v/>
      </c>
      <c r="Z1447" s="4" t="str">
        <f>IFERROR(__xludf.DUMMYFUNCTION("IFERROR(
  FILTER('CBK Students'!O:O, TRIM('CBK Students'!B:B) = TRIM(A1447)),
  """"
)"),"#REF!")</f>
        <v>#REF!</v>
      </c>
      <c r="AA1447" s="4" t="str">
        <f>IFERROR(__xludf.DUMMYFUNCTION("IFERROR(
  FILTER('CBK Students'!P:P, TRIM('CBK Students'!B:B) = TRIM(A1447)),
  """"
)"),"#REF!")</f>
        <v>#REF!</v>
      </c>
      <c r="AB1447" s="4" t="str">
        <f>IFERROR(__xludf.DUMMYFUNCTION("IFERROR(
  FILTER('CBK Students'!Q:Q, TRIM('CBK Students'!B:B) = TRIM(A1447)),
  """"
)"),"#REF!")</f>
        <v>#REF!</v>
      </c>
    </row>
    <row r="1448" ht="18.75" customHeight="1">
      <c r="T1448" s="239"/>
      <c r="U1448" s="239"/>
      <c r="V1448" s="239">
        <f>IFERROR(__xludf.DUMMYFUNCTION("""COMPUTED_VALUE"""),6590.0)</f>
        <v>6590</v>
      </c>
      <c r="W1448" s="240" t="str">
        <f t="shared" si="1"/>
        <v/>
      </c>
      <c r="X1448" s="239" t="str">
        <f>IFERROR(__xludf.DUMMYFUNCTION("""COMPUTED_VALUE"""),"Prepare for Showcase")</f>
        <v>Prepare for Showcase</v>
      </c>
      <c r="Y1448" s="4" t="str">
        <f t="shared" si="2"/>
        <v/>
      </c>
      <c r="Z1448" s="4" t="str">
        <f>IFERROR(__xludf.DUMMYFUNCTION("IFERROR(
  FILTER('CBK Students'!O:O, TRIM('CBK Students'!B:B) = TRIM(A1448)),
  """"
)"),"#REF!")</f>
        <v>#REF!</v>
      </c>
      <c r="AA1448" s="4" t="str">
        <f>IFERROR(__xludf.DUMMYFUNCTION("IFERROR(
  FILTER('CBK Students'!P:P, TRIM('CBK Students'!B:B) = TRIM(A1448)),
  """"
)"),"#REF!")</f>
        <v>#REF!</v>
      </c>
      <c r="AB1448" s="4" t="str">
        <f>IFERROR(__xludf.DUMMYFUNCTION("IFERROR(
  FILTER('CBK Students'!Q:Q, TRIM('CBK Students'!B:B) = TRIM(A1448)),
  """"
)"),"#REF!")</f>
        <v>#REF!</v>
      </c>
    </row>
    <row r="1449" ht="18.75" customHeight="1">
      <c r="T1449" s="239"/>
      <c r="U1449" s="239"/>
      <c r="V1449" s="239">
        <f>IFERROR(__xludf.DUMMYFUNCTION("""COMPUTED_VALUE"""),6590.0)</f>
        <v>6590</v>
      </c>
      <c r="W1449" s="240" t="str">
        <f t="shared" si="1"/>
        <v/>
      </c>
      <c r="X1449" s="239" t="str">
        <f>IFERROR(__xludf.DUMMYFUNCTION("""COMPUTED_VALUE"""),"Prepare for Showcase")</f>
        <v>Prepare for Showcase</v>
      </c>
      <c r="Y1449" s="4" t="str">
        <f t="shared" si="2"/>
        <v/>
      </c>
      <c r="Z1449" s="4" t="str">
        <f>IFERROR(__xludf.DUMMYFUNCTION("IFERROR(
  FILTER('CBK Students'!O:O, TRIM('CBK Students'!B:B) = TRIM(A1449)),
  """"
)"),"#REF!")</f>
        <v>#REF!</v>
      </c>
      <c r="AA1449" s="4" t="str">
        <f>IFERROR(__xludf.DUMMYFUNCTION("IFERROR(
  FILTER('CBK Students'!P:P, TRIM('CBK Students'!B:B) = TRIM(A1449)),
  """"
)"),"#REF!")</f>
        <v>#REF!</v>
      </c>
      <c r="AB1449" s="4" t="str">
        <f>IFERROR(__xludf.DUMMYFUNCTION("IFERROR(
  FILTER('CBK Students'!Q:Q, TRIM('CBK Students'!B:B) = TRIM(A1449)),
  """"
)"),"#REF!")</f>
        <v>#REF!</v>
      </c>
    </row>
    <row r="1450" ht="18.75" customHeight="1">
      <c r="T1450" s="239"/>
      <c r="U1450" s="239"/>
      <c r="V1450" s="239">
        <f>IFERROR(__xludf.DUMMYFUNCTION("""COMPUTED_VALUE"""),6590.0)</f>
        <v>6590</v>
      </c>
      <c r="W1450" s="240" t="str">
        <f t="shared" si="1"/>
        <v/>
      </c>
      <c r="X1450" s="239" t="str">
        <f>IFERROR(__xludf.DUMMYFUNCTION("""COMPUTED_VALUE"""),"Prepare for Showcase")</f>
        <v>Prepare for Showcase</v>
      </c>
      <c r="Y1450" s="4" t="str">
        <f t="shared" si="2"/>
        <v/>
      </c>
      <c r="Z1450" s="4" t="str">
        <f>IFERROR(__xludf.DUMMYFUNCTION("IFERROR(
  FILTER('CBK Students'!O:O, TRIM('CBK Students'!B:B) = TRIM(A1450)),
  """"
)"),"#REF!")</f>
        <v>#REF!</v>
      </c>
      <c r="AA1450" s="4" t="str">
        <f>IFERROR(__xludf.DUMMYFUNCTION("IFERROR(
  FILTER('CBK Students'!P:P, TRIM('CBK Students'!B:B) = TRIM(A1450)),
  """"
)"),"#REF!")</f>
        <v>#REF!</v>
      </c>
      <c r="AB1450" s="4" t="str">
        <f>IFERROR(__xludf.DUMMYFUNCTION("IFERROR(
  FILTER('CBK Students'!Q:Q, TRIM('CBK Students'!B:B) = TRIM(A1450)),
  """"
)"),"#REF!")</f>
        <v>#REF!</v>
      </c>
    </row>
    <row r="1451" ht="18.75" customHeight="1">
      <c r="T1451" s="239"/>
      <c r="U1451" s="239"/>
      <c r="V1451" s="239">
        <f>IFERROR(__xludf.DUMMYFUNCTION("""COMPUTED_VALUE"""),6590.0)</f>
        <v>6590</v>
      </c>
      <c r="W1451" s="240" t="str">
        <f t="shared" si="1"/>
        <v/>
      </c>
      <c r="X1451" s="239" t="str">
        <f>IFERROR(__xludf.DUMMYFUNCTION("""COMPUTED_VALUE"""),"Prepare for Showcase")</f>
        <v>Prepare for Showcase</v>
      </c>
      <c r="Y1451" s="4" t="str">
        <f t="shared" si="2"/>
        <v/>
      </c>
      <c r="Z1451" s="4" t="str">
        <f>IFERROR(__xludf.DUMMYFUNCTION("IFERROR(
  FILTER('CBK Students'!O:O, TRIM('CBK Students'!B:B) = TRIM(A1451)),
  """"
)"),"#REF!")</f>
        <v>#REF!</v>
      </c>
      <c r="AA1451" s="4" t="str">
        <f>IFERROR(__xludf.DUMMYFUNCTION("IFERROR(
  FILTER('CBK Students'!P:P, TRIM('CBK Students'!B:B) = TRIM(A1451)),
  """"
)"),"#REF!")</f>
        <v>#REF!</v>
      </c>
      <c r="AB1451" s="4" t="str">
        <f>IFERROR(__xludf.DUMMYFUNCTION("IFERROR(
  FILTER('CBK Students'!Q:Q, TRIM('CBK Students'!B:B) = TRIM(A1451)),
  """"
)"),"#REF!")</f>
        <v>#REF!</v>
      </c>
    </row>
    <row r="1452" ht="18.75" customHeight="1">
      <c r="T1452" s="239"/>
      <c r="U1452" s="239"/>
      <c r="V1452" s="239">
        <f>IFERROR(__xludf.DUMMYFUNCTION("""COMPUTED_VALUE"""),6590.0)</f>
        <v>6590</v>
      </c>
      <c r="W1452" s="240" t="str">
        <f t="shared" si="1"/>
        <v/>
      </c>
      <c r="X1452" s="239" t="str">
        <f>IFERROR(__xludf.DUMMYFUNCTION("""COMPUTED_VALUE"""),"Prepare for Showcase")</f>
        <v>Prepare for Showcase</v>
      </c>
      <c r="Y1452" s="4" t="str">
        <f t="shared" si="2"/>
        <v/>
      </c>
      <c r="Z1452" s="4" t="str">
        <f>IFERROR(__xludf.DUMMYFUNCTION("IFERROR(
  FILTER('CBK Students'!O:O, TRIM('CBK Students'!B:B) = TRIM(A1452)),
  """"
)"),"#REF!")</f>
        <v>#REF!</v>
      </c>
      <c r="AA1452" s="4" t="str">
        <f>IFERROR(__xludf.DUMMYFUNCTION("IFERROR(
  FILTER('CBK Students'!P:P, TRIM('CBK Students'!B:B) = TRIM(A1452)),
  """"
)"),"#REF!")</f>
        <v>#REF!</v>
      </c>
      <c r="AB1452" s="4" t="str">
        <f>IFERROR(__xludf.DUMMYFUNCTION("IFERROR(
  FILTER('CBK Students'!Q:Q, TRIM('CBK Students'!B:B) = TRIM(A1452)),
  """"
)"),"#REF!")</f>
        <v>#REF!</v>
      </c>
    </row>
    <row r="1453" ht="18.75" customHeight="1">
      <c r="T1453" s="239"/>
      <c r="U1453" s="239"/>
      <c r="V1453" s="239">
        <f>IFERROR(__xludf.DUMMYFUNCTION("""COMPUTED_VALUE"""),6590.0)</f>
        <v>6590</v>
      </c>
      <c r="W1453" s="240" t="str">
        <f t="shared" si="1"/>
        <v/>
      </c>
      <c r="X1453" s="239" t="str">
        <f>IFERROR(__xludf.DUMMYFUNCTION("""COMPUTED_VALUE"""),"Prepare for Showcase")</f>
        <v>Prepare for Showcase</v>
      </c>
      <c r="Y1453" s="4" t="str">
        <f t="shared" si="2"/>
        <v/>
      </c>
      <c r="Z1453" s="4" t="str">
        <f>IFERROR(__xludf.DUMMYFUNCTION("IFERROR(
  FILTER('CBK Students'!O:O, TRIM('CBK Students'!B:B) = TRIM(A1453)),
  """"
)"),"#REF!")</f>
        <v>#REF!</v>
      </c>
      <c r="AA1453" s="4" t="str">
        <f>IFERROR(__xludf.DUMMYFUNCTION("IFERROR(
  FILTER('CBK Students'!P:P, TRIM('CBK Students'!B:B) = TRIM(A1453)),
  """"
)"),"#REF!")</f>
        <v>#REF!</v>
      </c>
      <c r="AB1453" s="4" t="str">
        <f>IFERROR(__xludf.DUMMYFUNCTION("IFERROR(
  FILTER('CBK Students'!Q:Q, TRIM('CBK Students'!B:B) = TRIM(A1453)),
  """"
)"),"#REF!")</f>
        <v>#REF!</v>
      </c>
    </row>
    <row r="1454" ht="18.75" customHeight="1">
      <c r="T1454" s="239"/>
      <c r="U1454" s="239"/>
      <c r="V1454" s="239">
        <f>IFERROR(__xludf.DUMMYFUNCTION("""COMPUTED_VALUE"""),6590.0)</f>
        <v>6590</v>
      </c>
      <c r="W1454" s="240" t="str">
        <f t="shared" si="1"/>
        <v/>
      </c>
      <c r="X1454" s="239" t="str">
        <f>IFERROR(__xludf.DUMMYFUNCTION("""COMPUTED_VALUE"""),"Prepare for Showcase")</f>
        <v>Prepare for Showcase</v>
      </c>
      <c r="Y1454" s="4" t="str">
        <f t="shared" si="2"/>
        <v/>
      </c>
      <c r="Z1454" s="4" t="str">
        <f>IFERROR(__xludf.DUMMYFUNCTION("IFERROR(
  FILTER('CBK Students'!O:O, TRIM('CBK Students'!B:B) = TRIM(A1454)),
  """"
)"),"#REF!")</f>
        <v>#REF!</v>
      </c>
      <c r="AA1454" s="4" t="str">
        <f>IFERROR(__xludf.DUMMYFUNCTION("IFERROR(
  FILTER('CBK Students'!P:P, TRIM('CBK Students'!B:B) = TRIM(A1454)),
  """"
)"),"#REF!")</f>
        <v>#REF!</v>
      </c>
      <c r="AB1454" s="4" t="str">
        <f>IFERROR(__xludf.DUMMYFUNCTION("IFERROR(
  FILTER('CBK Students'!Q:Q, TRIM('CBK Students'!B:B) = TRIM(A1454)),
  """"
)"),"#REF!")</f>
        <v>#REF!</v>
      </c>
    </row>
    <row r="1455" ht="18.75" customHeight="1">
      <c r="T1455" s="239"/>
      <c r="U1455" s="239"/>
      <c r="V1455" s="239">
        <f>IFERROR(__xludf.DUMMYFUNCTION("""COMPUTED_VALUE"""),6590.0)</f>
        <v>6590</v>
      </c>
      <c r="W1455" s="240" t="str">
        <f t="shared" si="1"/>
        <v/>
      </c>
      <c r="X1455" s="239" t="str">
        <f>IFERROR(__xludf.DUMMYFUNCTION("""COMPUTED_VALUE"""),"Prepare for Showcase")</f>
        <v>Prepare for Showcase</v>
      </c>
      <c r="Y1455" s="4" t="str">
        <f t="shared" si="2"/>
        <v/>
      </c>
      <c r="Z1455" s="4" t="str">
        <f>IFERROR(__xludf.DUMMYFUNCTION("IFERROR(
  FILTER('CBK Students'!O:O, TRIM('CBK Students'!B:B) = TRIM(A1455)),
  """"
)"),"#REF!")</f>
        <v>#REF!</v>
      </c>
      <c r="AA1455" s="4" t="str">
        <f>IFERROR(__xludf.DUMMYFUNCTION("IFERROR(
  FILTER('CBK Students'!P:P, TRIM('CBK Students'!B:B) = TRIM(A1455)),
  """"
)"),"#REF!")</f>
        <v>#REF!</v>
      </c>
      <c r="AB1455" s="4" t="str">
        <f>IFERROR(__xludf.DUMMYFUNCTION("IFERROR(
  FILTER('CBK Students'!Q:Q, TRIM('CBK Students'!B:B) = TRIM(A1455)),
  """"
)"),"#REF!")</f>
        <v>#REF!</v>
      </c>
    </row>
    <row r="1456" ht="18.75" customHeight="1">
      <c r="T1456" s="239"/>
      <c r="U1456" s="239"/>
      <c r="V1456" s="239">
        <f>IFERROR(__xludf.DUMMYFUNCTION("""COMPUTED_VALUE"""),6590.0)</f>
        <v>6590</v>
      </c>
      <c r="W1456" s="240" t="str">
        <f t="shared" si="1"/>
        <v/>
      </c>
      <c r="X1456" s="239" t="str">
        <f>IFERROR(__xludf.DUMMYFUNCTION("""COMPUTED_VALUE"""),"Prepare for Showcase")</f>
        <v>Prepare for Showcase</v>
      </c>
      <c r="Y1456" s="4" t="str">
        <f t="shared" si="2"/>
        <v/>
      </c>
      <c r="Z1456" s="4" t="str">
        <f>IFERROR(__xludf.DUMMYFUNCTION("IFERROR(
  FILTER('CBK Students'!O:O, TRIM('CBK Students'!B:B) = TRIM(A1456)),
  """"
)"),"#REF!")</f>
        <v>#REF!</v>
      </c>
      <c r="AA1456" s="4" t="str">
        <f>IFERROR(__xludf.DUMMYFUNCTION("IFERROR(
  FILTER('CBK Students'!P:P, TRIM('CBK Students'!B:B) = TRIM(A1456)),
  """"
)"),"#REF!")</f>
        <v>#REF!</v>
      </c>
      <c r="AB1456" s="4" t="str">
        <f>IFERROR(__xludf.DUMMYFUNCTION("IFERROR(
  FILTER('CBK Students'!Q:Q, TRIM('CBK Students'!B:B) = TRIM(A1456)),
  """"
)"),"#REF!")</f>
        <v>#REF!</v>
      </c>
    </row>
    <row r="1457" ht="18.75" customHeight="1">
      <c r="T1457" s="239"/>
      <c r="U1457" s="239"/>
      <c r="V1457" s="239">
        <f>IFERROR(__xludf.DUMMYFUNCTION("""COMPUTED_VALUE"""),6590.0)</f>
        <v>6590</v>
      </c>
      <c r="W1457" s="240" t="str">
        <f t="shared" si="1"/>
        <v/>
      </c>
      <c r="X1457" s="239" t="str">
        <f>IFERROR(__xludf.DUMMYFUNCTION("""COMPUTED_VALUE"""),"Prepare for Showcase")</f>
        <v>Prepare for Showcase</v>
      </c>
      <c r="Y1457" s="4" t="str">
        <f t="shared" si="2"/>
        <v/>
      </c>
      <c r="Z1457" s="4" t="str">
        <f>IFERROR(__xludf.DUMMYFUNCTION("IFERROR(
  FILTER('CBK Students'!O:O, TRIM('CBK Students'!B:B) = TRIM(A1457)),
  """"
)"),"#REF!")</f>
        <v>#REF!</v>
      </c>
      <c r="AA1457" s="4" t="str">
        <f>IFERROR(__xludf.DUMMYFUNCTION("IFERROR(
  FILTER('CBK Students'!P:P, TRIM('CBK Students'!B:B) = TRIM(A1457)),
  """"
)"),"#REF!")</f>
        <v>#REF!</v>
      </c>
      <c r="AB1457" s="4" t="str">
        <f>IFERROR(__xludf.DUMMYFUNCTION("IFERROR(
  FILTER('CBK Students'!Q:Q, TRIM('CBK Students'!B:B) = TRIM(A1457)),
  """"
)"),"#REF!")</f>
        <v>#REF!</v>
      </c>
    </row>
    <row r="1458" ht="18.75" customHeight="1">
      <c r="T1458" s="239"/>
      <c r="U1458" s="239"/>
      <c r="V1458" s="239">
        <f>IFERROR(__xludf.DUMMYFUNCTION("""COMPUTED_VALUE"""),6590.0)</f>
        <v>6590</v>
      </c>
      <c r="W1458" s="240" t="str">
        <f t="shared" si="1"/>
        <v/>
      </c>
      <c r="X1458" s="239" t="str">
        <f>IFERROR(__xludf.DUMMYFUNCTION("""COMPUTED_VALUE"""),"Prepare for Showcase")</f>
        <v>Prepare for Showcase</v>
      </c>
      <c r="Y1458" s="4" t="str">
        <f t="shared" si="2"/>
        <v/>
      </c>
      <c r="Z1458" s="4" t="str">
        <f>IFERROR(__xludf.DUMMYFUNCTION("IFERROR(
  FILTER('CBK Students'!O:O, TRIM('CBK Students'!B:B) = TRIM(A1458)),
  """"
)"),"#REF!")</f>
        <v>#REF!</v>
      </c>
      <c r="AA1458" s="4" t="str">
        <f>IFERROR(__xludf.DUMMYFUNCTION("IFERROR(
  FILTER('CBK Students'!P:P, TRIM('CBK Students'!B:B) = TRIM(A1458)),
  """"
)"),"#REF!")</f>
        <v>#REF!</v>
      </c>
      <c r="AB1458" s="4" t="str">
        <f>IFERROR(__xludf.DUMMYFUNCTION("IFERROR(
  FILTER('CBK Students'!Q:Q, TRIM('CBK Students'!B:B) = TRIM(A1458)),
  """"
)"),"#REF!")</f>
        <v>#REF!</v>
      </c>
    </row>
    <row r="1459" ht="18.75" customHeight="1">
      <c r="T1459" s="239"/>
      <c r="U1459" s="239"/>
      <c r="V1459" s="239">
        <f>IFERROR(__xludf.DUMMYFUNCTION("""COMPUTED_VALUE"""),6590.0)</f>
        <v>6590</v>
      </c>
      <c r="W1459" s="240" t="str">
        <f t="shared" si="1"/>
        <v/>
      </c>
      <c r="X1459" s="239" t="str">
        <f>IFERROR(__xludf.DUMMYFUNCTION("""COMPUTED_VALUE"""),"Prepare for Showcase")</f>
        <v>Prepare for Showcase</v>
      </c>
      <c r="Y1459" s="4" t="str">
        <f t="shared" si="2"/>
        <v/>
      </c>
      <c r="Z1459" s="4" t="str">
        <f>IFERROR(__xludf.DUMMYFUNCTION("IFERROR(
  FILTER('CBK Students'!O:O, TRIM('CBK Students'!B:B) = TRIM(A1459)),
  """"
)"),"#REF!")</f>
        <v>#REF!</v>
      </c>
      <c r="AA1459" s="4" t="str">
        <f>IFERROR(__xludf.DUMMYFUNCTION("IFERROR(
  FILTER('CBK Students'!P:P, TRIM('CBK Students'!B:B) = TRIM(A1459)),
  """"
)"),"#REF!")</f>
        <v>#REF!</v>
      </c>
      <c r="AB1459" s="4" t="str">
        <f>IFERROR(__xludf.DUMMYFUNCTION("IFERROR(
  FILTER('CBK Students'!Q:Q, TRIM('CBK Students'!B:B) = TRIM(A1459)),
  """"
)"),"#REF!")</f>
        <v>#REF!</v>
      </c>
    </row>
    <row r="1460" ht="18.75" customHeight="1">
      <c r="T1460" s="239"/>
      <c r="U1460" s="239"/>
      <c r="V1460" s="239">
        <f>IFERROR(__xludf.DUMMYFUNCTION("""COMPUTED_VALUE"""),6590.0)</f>
        <v>6590</v>
      </c>
      <c r="W1460" s="240" t="str">
        <f t="shared" si="1"/>
        <v/>
      </c>
      <c r="X1460" s="239" t="str">
        <f>IFERROR(__xludf.DUMMYFUNCTION("""COMPUTED_VALUE"""),"Prepare for Showcase")</f>
        <v>Prepare for Showcase</v>
      </c>
      <c r="Y1460" s="4" t="str">
        <f t="shared" si="2"/>
        <v/>
      </c>
      <c r="Z1460" s="4" t="str">
        <f>IFERROR(__xludf.DUMMYFUNCTION("IFERROR(
  FILTER('CBK Students'!O:O, TRIM('CBK Students'!B:B) = TRIM(A1460)),
  """"
)"),"#REF!")</f>
        <v>#REF!</v>
      </c>
      <c r="AA1460" s="4" t="str">
        <f>IFERROR(__xludf.DUMMYFUNCTION("IFERROR(
  FILTER('CBK Students'!P:P, TRIM('CBK Students'!B:B) = TRIM(A1460)),
  """"
)"),"#REF!")</f>
        <v>#REF!</v>
      </c>
      <c r="AB1460" s="4" t="str">
        <f>IFERROR(__xludf.DUMMYFUNCTION("IFERROR(
  FILTER('CBK Students'!Q:Q, TRIM('CBK Students'!B:B) = TRIM(A1460)),
  """"
)"),"#REF!")</f>
        <v>#REF!</v>
      </c>
    </row>
    <row r="1461" ht="18.75" customHeight="1">
      <c r="T1461" s="239"/>
      <c r="U1461" s="239"/>
      <c r="V1461" s="239">
        <f>IFERROR(__xludf.DUMMYFUNCTION("""COMPUTED_VALUE"""),6590.0)</f>
        <v>6590</v>
      </c>
      <c r="W1461" s="240" t="str">
        <f t="shared" si="1"/>
        <v/>
      </c>
      <c r="X1461" s="239" t="str">
        <f>IFERROR(__xludf.DUMMYFUNCTION("""COMPUTED_VALUE"""),"Prepare for Showcase")</f>
        <v>Prepare for Showcase</v>
      </c>
      <c r="Y1461" s="4" t="str">
        <f t="shared" si="2"/>
        <v/>
      </c>
      <c r="Z1461" s="4" t="str">
        <f>IFERROR(__xludf.DUMMYFUNCTION("IFERROR(
  FILTER('CBK Students'!O:O, TRIM('CBK Students'!B:B) = TRIM(A1461)),
  """"
)"),"#REF!")</f>
        <v>#REF!</v>
      </c>
      <c r="AA1461" s="4" t="str">
        <f>IFERROR(__xludf.DUMMYFUNCTION("IFERROR(
  FILTER('CBK Students'!P:P, TRIM('CBK Students'!B:B) = TRIM(A1461)),
  """"
)"),"#REF!")</f>
        <v>#REF!</v>
      </c>
      <c r="AB1461" s="4" t="str">
        <f>IFERROR(__xludf.DUMMYFUNCTION("IFERROR(
  FILTER('CBK Students'!Q:Q, TRIM('CBK Students'!B:B) = TRIM(A1461)),
  """"
)"),"#REF!")</f>
        <v>#REF!</v>
      </c>
    </row>
    <row r="1462" ht="18.75" customHeight="1">
      <c r="T1462" s="239"/>
      <c r="U1462" s="239"/>
      <c r="V1462" s="239">
        <f>IFERROR(__xludf.DUMMYFUNCTION("""COMPUTED_VALUE"""),6590.0)</f>
        <v>6590</v>
      </c>
      <c r="W1462" s="240" t="str">
        <f t="shared" si="1"/>
        <v/>
      </c>
      <c r="X1462" s="239" t="str">
        <f>IFERROR(__xludf.DUMMYFUNCTION("""COMPUTED_VALUE"""),"Prepare for Showcase")</f>
        <v>Prepare for Showcase</v>
      </c>
      <c r="Y1462" s="4" t="str">
        <f t="shared" si="2"/>
        <v/>
      </c>
      <c r="Z1462" s="4" t="str">
        <f>IFERROR(__xludf.DUMMYFUNCTION("IFERROR(
  FILTER('CBK Students'!O:O, TRIM('CBK Students'!B:B) = TRIM(A1462)),
  """"
)"),"#REF!")</f>
        <v>#REF!</v>
      </c>
      <c r="AA1462" s="4" t="str">
        <f>IFERROR(__xludf.DUMMYFUNCTION("IFERROR(
  FILTER('CBK Students'!P:P, TRIM('CBK Students'!B:B) = TRIM(A1462)),
  """"
)"),"#REF!")</f>
        <v>#REF!</v>
      </c>
      <c r="AB1462" s="4" t="str">
        <f>IFERROR(__xludf.DUMMYFUNCTION("IFERROR(
  FILTER('CBK Students'!Q:Q, TRIM('CBK Students'!B:B) = TRIM(A1462)),
  """"
)"),"#REF!")</f>
        <v>#REF!</v>
      </c>
    </row>
    <row r="1463" ht="18.75" customHeight="1">
      <c r="T1463" s="239"/>
      <c r="U1463" s="239"/>
      <c r="V1463" s="239">
        <f>IFERROR(__xludf.DUMMYFUNCTION("""COMPUTED_VALUE"""),6590.0)</f>
        <v>6590</v>
      </c>
      <c r="W1463" s="240" t="str">
        <f t="shared" si="1"/>
        <v/>
      </c>
      <c r="X1463" s="239" t="str">
        <f>IFERROR(__xludf.DUMMYFUNCTION("""COMPUTED_VALUE"""),"Prepare for Showcase")</f>
        <v>Prepare for Showcase</v>
      </c>
      <c r="Y1463" s="4" t="str">
        <f t="shared" si="2"/>
        <v/>
      </c>
      <c r="Z1463" s="4" t="str">
        <f>IFERROR(__xludf.DUMMYFUNCTION("IFERROR(
  FILTER('CBK Students'!O:O, TRIM('CBK Students'!B:B) = TRIM(A1463)),
  """"
)"),"#REF!")</f>
        <v>#REF!</v>
      </c>
      <c r="AA1463" s="4" t="str">
        <f>IFERROR(__xludf.DUMMYFUNCTION("IFERROR(
  FILTER('CBK Students'!P:P, TRIM('CBK Students'!B:B) = TRIM(A1463)),
  """"
)"),"#REF!")</f>
        <v>#REF!</v>
      </c>
      <c r="AB1463" s="4" t="str">
        <f>IFERROR(__xludf.DUMMYFUNCTION("IFERROR(
  FILTER('CBK Students'!Q:Q, TRIM('CBK Students'!B:B) = TRIM(A1463)),
  """"
)"),"#REF!")</f>
        <v>#REF!</v>
      </c>
    </row>
    <row r="1464" ht="18.75" customHeight="1">
      <c r="T1464" s="239"/>
      <c r="U1464" s="239"/>
      <c r="V1464" s="239">
        <f>IFERROR(__xludf.DUMMYFUNCTION("""COMPUTED_VALUE"""),6590.0)</f>
        <v>6590</v>
      </c>
      <c r="W1464" s="240" t="str">
        <f t="shared" si="1"/>
        <v/>
      </c>
      <c r="X1464" s="239" t="str">
        <f>IFERROR(__xludf.DUMMYFUNCTION("""COMPUTED_VALUE"""),"Prepare for Showcase")</f>
        <v>Prepare for Showcase</v>
      </c>
      <c r="Y1464" s="4" t="str">
        <f t="shared" si="2"/>
        <v/>
      </c>
      <c r="Z1464" s="4" t="str">
        <f>IFERROR(__xludf.DUMMYFUNCTION("IFERROR(
  FILTER('CBK Students'!O:O, TRIM('CBK Students'!B:B) = TRIM(A1464)),
  """"
)"),"#REF!")</f>
        <v>#REF!</v>
      </c>
      <c r="AA1464" s="4" t="str">
        <f>IFERROR(__xludf.DUMMYFUNCTION("IFERROR(
  FILTER('CBK Students'!P:P, TRIM('CBK Students'!B:B) = TRIM(A1464)),
  """"
)"),"#REF!")</f>
        <v>#REF!</v>
      </c>
      <c r="AB1464" s="4" t="str">
        <f>IFERROR(__xludf.DUMMYFUNCTION("IFERROR(
  FILTER('CBK Students'!Q:Q, TRIM('CBK Students'!B:B) = TRIM(A1464)),
  """"
)"),"#REF!")</f>
        <v>#REF!</v>
      </c>
    </row>
    <row r="1465" ht="18.75" customHeight="1">
      <c r="T1465" s="239"/>
      <c r="U1465" s="239"/>
      <c r="V1465" s="239">
        <f>IFERROR(__xludf.DUMMYFUNCTION("""COMPUTED_VALUE"""),6590.0)</f>
        <v>6590</v>
      </c>
      <c r="W1465" s="240" t="str">
        <f t="shared" si="1"/>
        <v/>
      </c>
      <c r="X1465" s="239" t="str">
        <f>IFERROR(__xludf.DUMMYFUNCTION("""COMPUTED_VALUE"""),"Prepare for Showcase")</f>
        <v>Prepare for Showcase</v>
      </c>
      <c r="Y1465" s="4" t="str">
        <f t="shared" si="2"/>
        <v/>
      </c>
      <c r="Z1465" s="4" t="str">
        <f>IFERROR(__xludf.DUMMYFUNCTION("IFERROR(
  FILTER('CBK Students'!O:O, TRIM('CBK Students'!B:B) = TRIM(A1465)),
  """"
)"),"#REF!")</f>
        <v>#REF!</v>
      </c>
      <c r="AA1465" s="4" t="str">
        <f>IFERROR(__xludf.DUMMYFUNCTION("IFERROR(
  FILTER('CBK Students'!P:P, TRIM('CBK Students'!B:B) = TRIM(A1465)),
  """"
)"),"#REF!")</f>
        <v>#REF!</v>
      </c>
      <c r="AB1465" s="4" t="str">
        <f>IFERROR(__xludf.DUMMYFUNCTION("IFERROR(
  FILTER('CBK Students'!Q:Q, TRIM('CBK Students'!B:B) = TRIM(A1465)),
  """"
)"),"#REF!")</f>
        <v>#REF!</v>
      </c>
    </row>
    <row r="1466" ht="18.75" customHeight="1">
      <c r="T1466" s="239"/>
      <c r="U1466" s="239"/>
      <c r="V1466" s="239">
        <f>IFERROR(__xludf.DUMMYFUNCTION("""COMPUTED_VALUE"""),6590.0)</f>
        <v>6590</v>
      </c>
      <c r="W1466" s="240" t="str">
        <f t="shared" si="1"/>
        <v/>
      </c>
      <c r="X1466" s="239" t="str">
        <f>IFERROR(__xludf.DUMMYFUNCTION("""COMPUTED_VALUE"""),"Prepare for Showcase")</f>
        <v>Prepare for Showcase</v>
      </c>
      <c r="Y1466" s="4" t="str">
        <f t="shared" si="2"/>
        <v/>
      </c>
      <c r="Z1466" s="4" t="str">
        <f>IFERROR(__xludf.DUMMYFUNCTION("IFERROR(
  FILTER('CBK Students'!O:O, TRIM('CBK Students'!B:B) = TRIM(A1466)),
  """"
)"),"#REF!")</f>
        <v>#REF!</v>
      </c>
      <c r="AA1466" s="4" t="str">
        <f>IFERROR(__xludf.DUMMYFUNCTION("IFERROR(
  FILTER('CBK Students'!P:P, TRIM('CBK Students'!B:B) = TRIM(A1466)),
  """"
)"),"#REF!")</f>
        <v>#REF!</v>
      </c>
      <c r="AB1466" s="4" t="str">
        <f>IFERROR(__xludf.DUMMYFUNCTION("IFERROR(
  FILTER('CBK Students'!Q:Q, TRIM('CBK Students'!B:B) = TRIM(A1466)),
  """"
)"),"#REF!")</f>
        <v>#REF!</v>
      </c>
    </row>
    <row r="1467" ht="18.75" customHeight="1">
      <c r="T1467" s="239"/>
      <c r="U1467" s="239"/>
      <c r="V1467" s="239">
        <f>IFERROR(__xludf.DUMMYFUNCTION("""COMPUTED_VALUE"""),6590.0)</f>
        <v>6590</v>
      </c>
      <c r="W1467" s="240" t="str">
        <f t="shared" si="1"/>
        <v/>
      </c>
      <c r="X1467" s="239" t="str">
        <f>IFERROR(__xludf.DUMMYFUNCTION("""COMPUTED_VALUE"""),"Prepare for Showcase")</f>
        <v>Prepare for Showcase</v>
      </c>
      <c r="Y1467" s="4" t="str">
        <f t="shared" si="2"/>
        <v/>
      </c>
      <c r="Z1467" s="4" t="str">
        <f>IFERROR(__xludf.DUMMYFUNCTION("IFERROR(
  FILTER('CBK Students'!O:O, TRIM('CBK Students'!B:B) = TRIM(A1467)),
  """"
)"),"#REF!")</f>
        <v>#REF!</v>
      </c>
      <c r="AA1467" s="4" t="str">
        <f>IFERROR(__xludf.DUMMYFUNCTION("IFERROR(
  FILTER('CBK Students'!P:P, TRIM('CBK Students'!B:B) = TRIM(A1467)),
  """"
)"),"#REF!")</f>
        <v>#REF!</v>
      </c>
      <c r="AB1467" s="4" t="str">
        <f>IFERROR(__xludf.DUMMYFUNCTION("IFERROR(
  FILTER('CBK Students'!Q:Q, TRIM('CBK Students'!B:B) = TRIM(A1467)),
  """"
)"),"#REF!")</f>
        <v>#REF!</v>
      </c>
    </row>
    <row r="1468" ht="18.75" customHeight="1">
      <c r="T1468" s="239"/>
      <c r="U1468" s="239"/>
      <c r="V1468" s="239">
        <f>IFERROR(__xludf.DUMMYFUNCTION("""COMPUTED_VALUE"""),6590.0)</f>
        <v>6590</v>
      </c>
      <c r="W1468" s="240" t="str">
        <f t="shared" si="1"/>
        <v/>
      </c>
      <c r="X1468" s="239" t="str">
        <f>IFERROR(__xludf.DUMMYFUNCTION("""COMPUTED_VALUE"""),"Prepare for Showcase")</f>
        <v>Prepare for Showcase</v>
      </c>
      <c r="Y1468" s="4" t="str">
        <f t="shared" si="2"/>
        <v/>
      </c>
      <c r="Z1468" s="4" t="str">
        <f>IFERROR(__xludf.DUMMYFUNCTION("IFERROR(
  FILTER('CBK Students'!O:O, TRIM('CBK Students'!B:B) = TRIM(A1468)),
  """"
)"),"#REF!")</f>
        <v>#REF!</v>
      </c>
      <c r="AA1468" s="4" t="str">
        <f>IFERROR(__xludf.DUMMYFUNCTION("IFERROR(
  FILTER('CBK Students'!P:P, TRIM('CBK Students'!B:B) = TRIM(A1468)),
  """"
)"),"#REF!")</f>
        <v>#REF!</v>
      </c>
      <c r="AB1468" s="4" t="str">
        <f>IFERROR(__xludf.DUMMYFUNCTION("IFERROR(
  FILTER('CBK Students'!Q:Q, TRIM('CBK Students'!B:B) = TRIM(A1468)),
  """"
)"),"#REF!")</f>
        <v>#REF!</v>
      </c>
    </row>
    <row r="1469" ht="18.75" customHeight="1">
      <c r="T1469" s="239"/>
      <c r="U1469" s="239"/>
      <c r="V1469" s="239">
        <f>IFERROR(__xludf.DUMMYFUNCTION("""COMPUTED_VALUE"""),6590.0)</f>
        <v>6590</v>
      </c>
      <c r="W1469" s="240" t="str">
        <f t="shared" si="1"/>
        <v/>
      </c>
      <c r="X1469" s="239" t="str">
        <f>IFERROR(__xludf.DUMMYFUNCTION("""COMPUTED_VALUE"""),"Prepare for Showcase")</f>
        <v>Prepare for Showcase</v>
      </c>
      <c r="Y1469" s="4" t="str">
        <f t="shared" si="2"/>
        <v/>
      </c>
      <c r="Z1469" s="4" t="str">
        <f>IFERROR(__xludf.DUMMYFUNCTION("IFERROR(
  FILTER('CBK Students'!O:O, TRIM('CBK Students'!B:B) = TRIM(A1469)),
  """"
)"),"#REF!")</f>
        <v>#REF!</v>
      </c>
      <c r="AA1469" s="4" t="str">
        <f>IFERROR(__xludf.DUMMYFUNCTION("IFERROR(
  FILTER('CBK Students'!P:P, TRIM('CBK Students'!B:B) = TRIM(A1469)),
  """"
)"),"#REF!")</f>
        <v>#REF!</v>
      </c>
      <c r="AB1469" s="4" t="str">
        <f>IFERROR(__xludf.DUMMYFUNCTION("IFERROR(
  FILTER('CBK Students'!Q:Q, TRIM('CBK Students'!B:B) = TRIM(A1469)),
  """"
)"),"#REF!")</f>
        <v>#REF!</v>
      </c>
    </row>
    <row r="1470" ht="18.75" customHeight="1">
      <c r="T1470" s="239"/>
      <c r="U1470" s="239"/>
      <c r="V1470" s="239">
        <f>IFERROR(__xludf.DUMMYFUNCTION("""COMPUTED_VALUE"""),6590.0)</f>
        <v>6590</v>
      </c>
      <c r="W1470" s="240" t="str">
        <f t="shared" si="1"/>
        <v/>
      </c>
      <c r="X1470" s="239" t="str">
        <f>IFERROR(__xludf.DUMMYFUNCTION("""COMPUTED_VALUE"""),"Prepare for Showcase")</f>
        <v>Prepare for Showcase</v>
      </c>
      <c r="Y1470" s="4" t="str">
        <f t="shared" si="2"/>
        <v/>
      </c>
      <c r="Z1470" s="4" t="str">
        <f>IFERROR(__xludf.DUMMYFUNCTION("IFERROR(
  FILTER('CBK Students'!O:O, TRIM('CBK Students'!B:B) = TRIM(A1470)),
  """"
)"),"#REF!")</f>
        <v>#REF!</v>
      </c>
      <c r="AA1470" s="4" t="str">
        <f>IFERROR(__xludf.DUMMYFUNCTION("IFERROR(
  FILTER('CBK Students'!P:P, TRIM('CBK Students'!B:B) = TRIM(A1470)),
  """"
)"),"#REF!")</f>
        <v>#REF!</v>
      </c>
      <c r="AB1470" s="4" t="str">
        <f>IFERROR(__xludf.DUMMYFUNCTION("IFERROR(
  FILTER('CBK Students'!Q:Q, TRIM('CBK Students'!B:B) = TRIM(A1470)),
  """"
)"),"#REF!")</f>
        <v>#REF!</v>
      </c>
    </row>
    <row r="1471" ht="18.75" customHeight="1">
      <c r="T1471" s="239"/>
      <c r="U1471" s="239"/>
      <c r="V1471" s="239">
        <f>IFERROR(__xludf.DUMMYFUNCTION("""COMPUTED_VALUE"""),6590.0)</f>
        <v>6590</v>
      </c>
      <c r="W1471" s="240" t="str">
        <f t="shared" si="1"/>
        <v/>
      </c>
      <c r="X1471" s="239" t="str">
        <f>IFERROR(__xludf.DUMMYFUNCTION("""COMPUTED_VALUE"""),"Prepare for Showcase")</f>
        <v>Prepare for Showcase</v>
      </c>
      <c r="Y1471" s="4" t="str">
        <f t="shared" si="2"/>
        <v/>
      </c>
      <c r="Z1471" s="4" t="str">
        <f>IFERROR(__xludf.DUMMYFUNCTION("IFERROR(
  FILTER('CBK Students'!O:O, TRIM('CBK Students'!B:B) = TRIM(A1471)),
  """"
)"),"#REF!")</f>
        <v>#REF!</v>
      </c>
      <c r="AA1471" s="4" t="str">
        <f>IFERROR(__xludf.DUMMYFUNCTION("IFERROR(
  FILTER('CBK Students'!P:P, TRIM('CBK Students'!B:B) = TRIM(A1471)),
  """"
)"),"#REF!")</f>
        <v>#REF!</v>
      </c>
      <c r="AB1471" s="4" t="str">
        <f>IFERROR(__xludf.DUMMYFUNCTION("IFERROR(
  FILTER('CBK Students'!Q:Q, TRIM('CBK Students'!B:B) = TRIM(A1471)),
  """"
)"),"#REF!")</f>
        <v>#REF!</v>
      </c>
    </row>
    <row r="1472" ht="18.75" customHeight="1">
      <c r="T1472" s="239"/>
      <c r="U1472" s="239"/>
      <c r="V1472" s="239">
        <f>IFERROR(__xludf.DUMMYFUNCTION("""COMPUTED_VALUE"""),6590.0)</f>
        <v>6590</v>
      </c>
      <c r="W1472" s="240" t="str">
        <f t="shared" si="1"/>
        <v/>
      </c>
      <c r="X1472" s="239" t="str">
        <f>IFERROR(__xludf.DUMMYFUNCTION("""COMPUTED_VALUE"""),"Prepare for Showcase")</f>
        <v>Prepare for Showcase</v>
      </c>
      <c r="Y1472" s="4" t="str">
        <f t="shared" si="2"/>
        <v/>
      </c>
      <c r="Z1472" s="4" t="str">
        <f>IFERROR(__xludf.DUMMYFUNCTION("IFERROR(
  FILTER('CBK Students'!O:O, TRIM('CBK Students'!B:B) = TRIM(A1472)),
  """"
)"),"#REF!")</f>
        <v>#REF!</v>
      </c>
      <c r="AA1472" s="4" t="str">
        <f>IFERROR(__xludf.DUMMYFUNCTION("IFERROR(
  FILTER('CBK Students'!P:P, TRIM('CBK Students'!B:B) = TRIM(A1472)),
  """"
)"),"#REF!")</f>
        <v>#REF!</v>
      </c>
      <c r="AB1472" s="4" t="str">
        <f>IFERROR(__xludf.DUMMYFUNCTION("IFERROR(
  FILTER('CBK Students'!Q:Q, TRIM('CBK Students'!B:B) = TRIM(A1472)),
  """"
)"),"#REF!")</f>
        <v>#REF!</v>
      </c>
    </row>
    <row r="1473" ht="18.75" customHeight="1">
      <c r="T1473" s="239"/>
      <c r="U1473" s="239"/>
      <c r="V1473" s="239">
        <f>IFERROR(__xludf.DUMMYFUNCTION("""COMPUTED_VALUE"""),6590.0)</f>
        <v>6590</v>
      </c>
      <c r="W1473" s="240" t="str">
        <f t="shared" si="1"/>
        <v/>
      </c>
      <c r="X1473" s="239" t="str">
        <f>IFERROR(__xludf.DUMMYFUNCTION("""COMPUTED_VALUE"""),"Prepare for Showcase")</f>
        <v>Prepare for Showcase</v>
      </c>
      <c r="Y1473" s="4" t="str">
        <f t="shared" si="2"/>
        <v/>
      </c>
      <c r="Z1473" s="4" t="str">
        <f>IFERROR(__xludf.DUMMYFUNCTION("IFERROR(
  FILTER('CBK Students'!O:O, TRIM('CBK Students'!B:B) = TRIM(A1473)),
  """"
)"),"#REF!")</f>
        <v>#REF!</v>
      </c>
      <c r="AA1473" s="4" t="str">
        <f>IFERROR(__xludf.DUMMYFUNCTION("IFERROR(
  FILTER('CBK Students'!P:P, TRIM('CBK Students'!B:B) = TRIM(A1473)),
  """"
)"),"#REF!")</f>
        <v>#REF!</v>
      </c>
      <c r="AB1473" s="4" t="str">
        <f>IFERROR(__xludf.DUMMYFUNCTION("IFERROR(
  FILTER('CBK Students'!Q:Q, TRIM('CBK Students'!B:B) = TRIM(A1473)),
  """"
)"),"#REF!")</f>
        <v>#REF!</v>
      </c>
    </row>
    <row r="1474" ht="18.75" customHeight="1">
      <c r="T1474" s="239"/>
      <c r="U1474" s="239"/>
      <c r="V1474" s="239">
        <f>IFERROR(__xludf.DUMMYFUNCTION("""COMPUTED_VALUE"""),6590.0)</f>
        <v>6590</v>
      </c>
      <c r="W1474" s="240" t="str">
        <f t="shared" si="1"/>
        <v/>
      </c>
      <c r="X1474" s="239" t="str">
        <f>IFERROR(__xludf.DUMMYFUNCTION("""COMPUTED_VALUE"""),"Prepare for Showcase")</f>
        <v>Prepare for Showcase</v>
      </c>
      <c r="Y1474" s="4" t="str">
        <f t="shared" si="2"/>
        <v/>
      </c>
      <c r="Z1474" s="4" t="str">
        <f>IFERROR(__xludf.DUMMYFUNCTION("IFERROR(
  FILTER('CBK Students'!O:O, TRIM('CBK Students'!B:B) = TRIM(A1474)),
  """"
)"),"#REF!")</f>
        <v>#REF!</v>
      </c>
      <c r="AA1474" s="4" t="str">
        <f>IFERROR(__xludf.DUMMYFUNCTION("IFERROR(
  FILTER('CBK Students'!P:P, TRIM('CBK Students'!B:B) = TRIM(A1474)),
  """"
)"),"#REF!")</f>
        <v>#REF!</v>
      </c>
      <c r="AB1474" s="4" t="str">
        <f>IFERROR(__xludf.DUMMYFUNCTION("IFERROR(
  FILTER('CBK Students'!Q:Q, TRIM('CBK Students'!B:B) = TRIM(A1474)),
  """"
)"),"#REF!")</f>
        <v>#REF!</v>
      </c>
    </row>
    <row r="1475" ht="18.75" customHeight="1">
      <c r="T1475" s="239"/>
      <c r="U1475" s="239"/>
      <c r="V1475" s="239">
        <f>IFERROR(__xludf.DUMMYFUNCTION("""COMPUTED_VALUE"""),6590.0)</f>
        <v>6590</v>
      </c>
      <c r="W1475" s="240" t="str">
        <f t="shared" si="1"/>
        <v/>
      </c>
      <c r="X1475" s="239" t="str">
        <f>IFERROR(__xludf.DUMMYFUNCTION("""COMPUTED_VALUE"""),"Prepare for Showcase")</f>
        <v>Prepare for Showcase</v>
      </c>
      <c r="Y1475" s="4" t="str">
        <f t="shared" si="2"/>
        <v/>
      </c>
      <c r="Z1475" s="4" t="str">
        <f>IFERROR(__xludf.DUMMYFUNCTION("IFERROR(
  FILTER('CBK Students'!O:O, TRIM('CBK Students'!B:B) = TRIM(A1475)),
  """"
)"),"#REF!")</f>
        <v>#REF!</v>
      </c>
      <c r="AA1475" s="4" t="str">
        <f>IFERROR(__xludf.DUMMYFUNCTION("IFERROR(
  FILTER('CBK Students'!P:P, TRIM('CBK Students'!B:B) = TRIM(A1475)),
  """"
)"),"#REF!")</f>
        <v>#REF!</v>
      </c>
      <c r="AB1475" s="4" t="str">
        <f>IFERROR(__xludf.DUMMYFUNCTION("IFERROR(
  FILTER('CBK Students'!Q:Q, TRIM('CBK Students'!B:B) = TRIM(A1475)),
  """"
)"),"#REF!")</f>
        <v>#REF!</v>
      </c>
    </row>
    <row r="1476" ht="18.75" customHeight="1">
      <c r="T1476" s="239"/>
      <c r="U1476" s="239"/>
      <c r="V1476" s="239">
        <f>IFERROR(__xludf.DUMMYFUNCTION("""COMPUTED_VALUE"""),6590.0)</f>
        <v>6590</v>
      </c>
      <c r="W1476" s="240" t="str">
        <f t="shared" si="1"/>
        <v/>
      </c>
      <c r="X1476" s="239" t="str">
        <f>IFERROR(__xludf.DUMMYFUNCTION("""COMPUTED_VALUE"""),"Prepare for Showcase")</f>
        <v>Prepare for Showcase</v>
      </c>
      <c r="Y1476" s="4" t="str">
        <f t="shared" si="2"/>
        <v/>
      </c>
      <c r="Z1476" s="4" t="str">
        <f>IFERROR(__xludf.DUMMYFUNCTION("IFERROR(
  FILTER('CBK Students'!O:O, TRIM('CBK Students'!B:B) = TRIM(A1476)),
  """"
)"),"#REF!")</f>
        <v>#REF!</v>
      </c>
      <c r="AA1476" s="4" t="str">
        <f>IFERROR(__xludf.DUMMYFUNCTION("IFERROR(
  FILTER('CBK Students'!P:P, TRIM('CBK Students'!B:B) = TRIM(A1476)),
  """"
)"),"#REF!")</f>
        <v>#REF!</v>
      </c>
      <c r="AB1476" s="4" t="str">
        <f>IFERROR(__xludf.DUMMYFUNCTION("IFERROR(
  FILTER('CBK Students'!Q:Q, TRIM('CBK Students'!B:B) = TRIM(A1476)),
  """"
)"),"#REF!")</f>
        <v>#REF!</v>
      </c>
    </row>
    <row r="1477" ht="18.75" customHeight="1">
      <c r="T1477" s="239"/>
      <c r="U1477" s="239"/>
      <c r="V1477" s="239">
        <f>IFERROR(__xludf.DUMMYFUNCTION("""COMPUTED_VALUE"""),6590.0)</f>
        <v>6590</v>
      </c>
      <c r="W1477" s="240" t="str">
        <f t="shared" si="1"/>
        <v/>
      </c>
      <c r="X1477" s="239" t="str">
        <f>IFERROR(__xludf.DUMMYFUNCTION("""COMPUTED_VALUE"""),"Prepare for Showcase")</f>
        <v>Prepare for Showcase</v>
      </c>
      <c r="Y1477" s="4" t="str">
        <f t="shared" si="2"/>
        <v/>
      </c>
      <c r="Z1477" s="4" t="str">
        <f>IFERROR(__xludf.DUMMYFUNCTION("IFERROR(
  FILTER('CBK Students'!O:O, TRIM('CBK Students'!B:B) = TRIM(A1477)),
  """"
)"),"#REF!")</f>
        <v>#REF!</v>
      </c>
      <c r="AA1477" s="4" t="str">
        <f>IFERROR(__xludf.DUMMYFUNCTION("IFERROR(
  FILTER('CBK Students'!P:P, TRIM('CBK Students'!B:B) = TRIM(A1477)),
  """"
)"),"#REF!")</f>
        <v>#REF!</v>
      </c>
      <c r="AB1477" s="4" t="str">
        <f>IFERROR(__xludf.DUMMYFUNCTION("IFERROR(
  FILTER('CBK Students'!Q:Q, TRIM('CBK Students'!B:B) = TRIM(A1477)),
  """"
)"),"#REF!")</f>
        <v>#REF!</v>
      </c>
    </row>
    <row r="1478" ht="18.75" customHeight="1">
      <c r="T1478" s="239"/>
      <c r="U1478" s="239"/>
      <c r="V1478" s="239">
        <f>IFERROR(__xludf.DUMMYFUNCTION("""COMPUTED_VALUE"""),6590.0)</f>
        <v>6590</v>
      </c>
      <c r="W1478" s="240" t="str">
        <f t="shared" si="1"/>
        <v/>
      </c>
      <c r="X1478" s="239" t="str">
        <f>IFERROR(__xludf.DUMMYFUNCTION("""COMPUTED_VALUE"""),"Prepare for Showcase")</f>
        <v>Prepare for Showcase</v>
      </c>
      <c r="Y1478" s="4" t="str">
        <f t="shared" si="2"/>
        <v/>
      </c>
      <c r="Z1478" s="4" t="str">
        <f>IFERROR(__xludf.DUMMYFUNCTION("IFERROR(
  FILTER('CBK Students'!O:O, TRIM('CBK Students'!B:B) = TRIM(A1478)),
  """"
)"),"#REF!")</f>
        <v>#REF!</v>
      </c>
      <c r="AA1478" s="4" t="str">
        <f>IFERROR(__xludf.DUMMYFUNCTION("IFERROR(
  FILTER('CBK Students'!P:P, TRIM('CBK Students'!B:B) = TRIM(A1478)),
  """"
)"),"#REF!")</f>
        <v>#REF!</v>
      </c>
      <c r="AB1478" s="4" t="str">
        <f>IFERROR(__xludf.DUMMYFUNCTION("IFERROR(
  FILTER('CBK Students'!Q:Q, TRIM('CBK Students'!B:B) = TRIM(A1478)),
  """"
)"),"#REF!")</f>
        <v>#REF!</v>
      </c>
    </row>
    <row r="1479" ht="18.75" customHeight="1">
      <c r="T1479" s="239"/>
      <c r="U1479" s="239"/>
      <c r="V1479" s="239">
        <f>IFERROR(__xludf.DUMMYFUNCTION("""COMPUTED_VALUE"""),6590.0)</f>
        <v>6590</v>
      </c>
      <c r="W1479" s="240" t="str">
        <f t="shared" si="1"/>
        <v/>
      </c>
      <c r="X1479" s="239" t="str">
        <f>IFERROR(__xludf.DUMMYFUNCTION("""COMPUTED_VALUE"""),"Prepare for Showcase")</f>
        <v>Prepare for Showcase</v>
      </c>
      <c r="Y1479" s="4" t="str">
        <f t="shared" si="2"/>
        <v/>
      </c>
      <c r="Z1479" s="4" t="str">
        <f>IFERROR(__xludf.DUMMYFUNCTION("IFERROR(
  FILTER('CBK Students'!O:O, TRIM('CBK Students'!B:B) = TRIM(A1479)),
  """"
)"),"#REF!")</f>
        <v>#REF!</v>
      </c>
      <c r="AA1479" s="4" t="str">
        <f>IFERROR(__xludf.DUMMYFUNCTION("IFERROR(
  FILTER('CBK Students'!P:P, TRIM('CBK Students'!B:B) = TRIM(A1479)),
  """"
)"),"#REF!")</f>
        <v>#REF!</v>
      </c>
      <c r="AB1479" s="4" t="str">
        <f>IFERROR(__xludf.DUMMYFUNCTION("IFERROR(
  FILTER('CBK Students'!Q:Q, TRIM('CBK Students'!B:B) = TRIM(A1479)),
  """"
)"),"#REF!")</f>
        <v>#REF!</v>
      </c>
    </row>
    <row r="1480" ht="18.75" customHeight="1">
      <c r="T1480" s="239"/>
      <c r="U1480" s="239"/>
      <c r="V1480" s="239">
        <f>IFERROR(__xludf.DUMMYFUNCTION("""COMPUTED_VALUE"""),6590.0)</f>
        <v>6590</v>
      </c>
      <c r="W1480" s="240" t="str">
        <f t="shared" si="1"/>
        <v/>
      </c>
      <c r="X1480" s="239" t="str">
        <f>IFERROR(__xludf.DUMMYFUNCTION("""COMPUTED_VALUE"""),"Prepare for Showcase")</f>
        <v>Prepare for Showcase</v>
      </c>
      <c r="Y1480" s="4" t="str">
        <f t="shared" si="2"/>
        <v/>
      </c>
      <c r="Z1480" s="4" t="str">
        <f>IFERROR(__xludf.DUMMYFUNCTION("IFERROR(
  FILTER('CBK Students'!O:O, TRIM('CBK Students'!B:B) = TRIM(A1480)),
  """"
)"),"#REF!")</f>
        <v>#REF!</v>
      </c>
      <c r="AA1480" s="4" t="str">
        <f>IFERROR(__xludf.DUMMYFUNCTION("IFERROR(
  FILTER('CBK Students'!P:P, TRIM('CBK Students'!B:B) = TRIM(A1480)),
  """"
)"),"#REF!")</f>
        <v>#REF!</v>
      </c>
      <c r="AB1480" s="4" t="str">
        <f>IFERROR(__xludf.DUMMYFUNCTION("IFERROR(
  FILTER('CBK Students'!Q:Q, TRIM('CBK Students'!B:B) = TRIM(A1480)),
  """"
)"),"#REF!")</f>
        <v>#REF!</v>
      </c>
    </row>
    <row r="1481" ht="18.75" customHeight="1">
      <c r="T1481" s="239"/>
      <c r="U1481" s="239"/>
      <c r="V1481" s="239">
        <f>IFERROR(__xludf.DUMMYFUNCTION("""COMPUTED_VALUE"""),6590.0)</f>
        <v>6590</v>
      </c>
      <c r="W1481" s="240" t="str">
        <f t="shared" si="1"/>
        <v/>
      </c>
      <c r="X1481" s="239" t="str">
        <f>IFERROR(__xludf.DUMMYFUNCTION("""COMPUTED_VALUE"""),"Prepare for Showcase")</f>
        <v>Prepare for Showcase</v>
      </c>
      <c r="Y1481" s="4" t="str">
        <f t="shared" si="2"/>
        <v/>
      </c>
      <c r="Z1481" s="4" t="str">
        <f>IFERROR(__xludf.DUMMYFUNCTION("IFERROR(
  FILTER('CBK Students'!O:O, TRIM('CBK Students'!B:B) = TRIM(A1481)),
  """"
)"),"#REF!")</f>
        <v>#REF!</v>
      </c>
      <c r="AA1481" s="4" t="str">
        <f>IFERROR(__xludf.DUMMYFUNCTION("IFERROR(
  FILTER('CBK Students'!P:P, TRIM('CBK Students'!B:B) = TRIM(A1481)),
  """"
)"),"#REF!")</f>
        <v>#REF!</v>
      </c>
      <c r="AB1481" s="4" t="str">
        <f>IFERROR(__xludf.DUMMYFUNCTION("IFERROR(
  FILTER('CBK Students'!Q:Q, TRIM('CBK Students'!B:B) = TRIM(A1481)),
  """"
)"),"#REF!")</f>
        <v>#REF!</v>
      </c>
    </row>
    <row r="1482" ht="18.75" customHeight="1">
      <c r="T1482" s="239"/>
      <c r="U1482" s="239"/>
      <c r="V1482" s="239">
        <f>IFERROR(__xludf.DUMMYFUNCTION("""COMPUTED_VALUE"""),6590.0)</f>
        <v>6590</v>
      </c>
      <c r="W1482" s="240" t="str">
        <f t="shared" si="1"/>
        <v/>
      </c>
      <c r="X1482" s="239" t="str">
        <f>IFERROR(__xludf.DUMMYFUNCTION("""COMPUTED_VALUE"""),"Prepare for Showcase")</f>
        <v>Prepare for Showcase</v>
      </c>
      <c r="Y1482" s="4" t="str">
        <f t="shared" si="2"/>
        <v/>
      </c>
      <c r="Z1482" s="4" t="str">
        <f>IFERROR(__xludf.DUMMYFUNCTION("IFERROR(
  FILTER('CBK Students'!O:O, TRIM('CBK Students'!B:B) = TRIM(A1482)),
  """"
)"),"#REF!")</f>
        <v>#REF!</v>
      </c>
      <c r="AA1482" s="4" t="str">
        <f>IFERROR(__xludf.DUMMYFUNCTION("IFERROR(
  FILTER('CBK Students'!P:P, TRIM('CBK Students'!B:B) = TRIM(A1482)),
  """"
)"),"#REF!")</f>
        <v>#REF!</v>
      </c>
      <c r="AB1482" s="4" t="str">
        <f>IFERROR(__xludf.DUMMYFUNCTION("IFERROR(
  FILTER('CBK Students'!Q:Q, TRIM('CBK Students'!B:B) = TRIM(A1482)),
  """"
)"),"#REF!")</f>
        <v>#REF!</v>
      </c>
    </row>
    <row r="1483" ht="18.75" customHeight="1">
      <c r="T1483" s="239"/>
      <c r="U1483" s="239"/>
      <c r="V1483" s="239">
        <f>IFERROR(__xludf.DUMMYFUNCTION("""COMPUTED_VALUE"""),6590.0)</f>
        <v>6590</v>
      </c>
      <c r="W1483" s="240" t="str">
        <f t="shared" si="1"/>
        <v/>
      </c>
      <c r="X1483" s="239" t="str">
        <f>IFERROR(__xludf.DUMMYFUNCTION("""COMPUTED_VALUE"""),"Prepare for Showcase")</f>
        <v>Prepare for Showcase</v>
      </c>
      <c r="Y1483" s="4" t="str">
        <f t="shared" si="2"/>
        <v/>
      </c>
      <c r="Z1483" s="4" t="str">
        <f>IFERROR(__xludf.DUMMYFUNCTION("IFERROR(
  FILTER('CBK Students'!O:O, TRIM('CBK Students'!B:B) = TRIM(A1483)),
  """"
)"),"#REF!")</f>
        <v>#REF!</v>
      </c>
      <c r="AA1483" s="4" t="str">
        <f>IFERROR(__xludf.DUMMYFUNCTION("IFERROR(
  FILTER('CBK Students'!P:P, TRIM('CBK Students'!B:B) = TRIM(A1483)),
  """"
)"),"#REF!")</f>
        <v>#REF!</v>
      </c>
      <c r="AB1483" s="4" t="str">
        <f>IFERROR(__xludf.DUMMYFUNCTION("IFERROR(
  FILTER('CBK Students'!Q:Q, TRIM('CBK Students'!B:B) = TRIM(A1483)),
  """"
)"),"#REF!")</f>
        <v>#REF!</v>
      </c>
    </row>
    <row r="1484" ht="18.75" customHeight="1">
      <c r="T1484" s="239"/>
      <c r="U1484" s="239"/>
      <c r="V1484" s="239">
        <f>IFERROR(__xludf.DUMMYFUNCTION("""COMPUTED_VALUE"""),6590.0)</f>
        <v>6590</v>
      </c>
      <c r="W1484" s="240" t="str">
        <f t="shared" si="1"/>
        <v/>
      </c>
      <c r="X1484" s="239" t="str">
        <f>IFERROR(__xludf.DUMMYFUNCTION("""COMPUTED_VALUE"""),"Prepare for Showcase")</f>
        <v>Prepare for Showcase</v>
      </c>
      <c r="Y1484" s="4" t="str">
        <f t="shared" si="2"/>
        <v/>
      </c>
      <c r="Z1484" s="4" t="str">
        <f>IFERROR(__xludf.DUMMYFUNCTION("IFERROR(
  FILTER('CBK Students'!O:O, TRIM('CBK Students'!B:B) = TRIM(A1484)),
  """"
)"),"#REF!")</f>
        <v>#REF!</v>
      </c>
      <c r="AA1484" s="4" t="str">
        <f>IFERROR(__xludf.DUMMYFUNCTION("IFERROR(
  FILTER('CBK Students'!P:P, TRIM('CBK Students'!B:B) = TRIM(A1484)),
  """"
)"),"#REF!")</f>
        <v>#REF!</v>
      </c>
      <c r="AB1484" s="4" t="str">
        <f>IFERROR(__xludf.DUMMYFUNCTION("IFERROR(
  FILTER('CBK Students'!Q:Q, TRIM('CBK Students'!B:B) = TRIM(A1484)),
  """"
)"),"#REF!")</f>
        <v>#REF!</v>
      </c>
    </row>
    <row r="1485" ht="18.75" customHeight="1">
      <c r="T1485" s="239"/>
      <c r="U1485" s="239"/>
      <c r="V1485" s="239">
        <f>IFERROR(__xludf.DUMMYFUNCTION("""COMPUTED_VALUE"""),6590.0)</f>
        <v>6590</v>
      </c>
      <c r="W1485" s="240" t="str">
        <f t="shared" si="1"/>
        <v/>
      </c>
      <c r="X1485" s="239" t="str">
        <f>IFERROR(__xludf.DUMMYFUNCTION("""COMPUTED_VALUE"""),"Prepare for Showcase")</f>
        <v>Prepare for Showcase</v>
      </c>
      <c r="Y1485" s="4" t="str">
        <f t="shared" si="2"/>
        <v/>
      </c>
      <c r="Z1485" s="4" t="str">
        <f>IFERROR(__xludf.DUMMYFUNCTION("IFERROR(
  FILTER('CBK Students'!O:O, TRIM('CBK Students'!B:B) = TRIM(A1485)),
  """"
)"),"#REF!")</f>
        <v>#REF!</v>
      </c>
      <c r="AA1485" s="4" t="str">
        <f>IFERROR(__xludf.DUMMYFUNCTION("IFERROR(
  FILTER('CBK Students'!P:P, TRIM('CBK Students'!B:B) = TRIM(A1485)),
  """"
)"),"#REF!")</f>
        <v>#REF!</v>
      </c>
      <c r="AB1485" s="4" t="str">
        <f>IFERROR(__xludf.DUMMYFUNCTION("IFERROR(
  FILTER('CBK Students'!Q:Q, TRIM('CBK Students'!B:B) = TRIM(A1485)),
  """"
)"),"#REF!")</f>
        <v>#REF!</v>
      </c>
    </row>
    <row r="1486" ht="18.75" customHeight="1">
      <c r="T1486" s="239"/>
      <c r="U1486" s="239"/>
      <c r="V1486" s="239">
        <f>IFERROR(__xludf.DUMMYFUNCTION("""COMPUTED_VALUE"""),6590.0)</f>
        <v>6590</v>
      </c>
      <c r="W1486" s="240" t="str">
        <f t="shared" si="1"/>
        <v/>
      </c>
      <c r="X1486" s="239" t="str">
        <f>IFERROR(__xludf.DUMMYFUNCTION("""COMPUTED_VALUE"""),"Prepare for Showcase")</f>
        <v>Prepare for Showcase</v>
      </c>
      <c r="Y1486" s="4" t="str">
        <f t="shared" si="2"/>
        <v/>
      </c>
      <c r="Z1486" s="4" t="str">
        <f>IFERROR(__xludf.DUMMYFUNCTION("IFERROR(
  FILTER('CBK Students'!O:O, TRIM('CBK Students'!B:B) = TRIM(A1486)),
  """"
)"),"#REF!")</f>
        <v>#REF!</v>
      </c>
      <c r="AA1486" s="4" t="str">
        <f>IFERROR(__xludf.DUMMYFUNCTION("IFERROR(
  FILTER('CBK Students'!P:P, TRIM('CBK Students'!B:B) = TRIM(A1486)),
  """"
)"),"#REF!")</f>
        <v>#REF!</v>
      </c>
      <c r="AB1486" s="4" t="str">
        <f>IFERROR(__xludf.DUMMYFUNCTION("IFERROR(
  FILTER('CBK Students'!Q:Q, TRIM('CBK Students'!B:B) = TRIM(A1486)),
  """"
)"),"#REF!")</f>
        <v>#REF!</v>
      </c>
    </row>
    <row r="1487" ht="18.75" customHeight="1">
      <c r="T1487" s="239"/>
      <c r="U1487" s="239"/>
      <c r="V1487" s="239">
        <f>IFERROR(__xludf.DUMMYFUNCTION("""COMPUTED_VALUE"""),6590.0)</f>
        <v>6590</v>
      </c>
      <c r="W1487" s="240" t="str">
        <f t="shared" si="1"/>
        <v/>
      </c>
      <c r="X1487" s="239" t="str">
        <f>IFERROR(__xludf.DUMMYFUNCTION("""COMPUTED_VALUE"""),"Prepare for Showcase")</f>
        <v>Prepare for Showcase</v>
      </c>
      <c r="Y1487" s="4" t="str">
        <f t="shared" si="2"/>
        <v/>
      </c>
      <c r="Z1487" s="4" t="str">
        <f>IFERROR(__xludf.DUMMYFUNCTION("IFERROR(
  FILTER('CBK Students'!O:O, TRIM('CBK Students'!B:B) = TRIM(A1487)),
  """"
)"),"#REF!")</f>
        <v>#REF!</v>
      </c>
      <c r="AA1487" s="4" t="str">
        <f>IFERROR(__xludf.DUMMYFUNCTION("IFERROR(
  FILTER('CBK Students'!P:P, TRIM('CBK Students'!B:B) = TRIM(A1487)),
  """"
)"),"#REF!")</f>
        <v>#REF!</v>
      </c>
      <c r="AB1487" s="4" t="str">
        <f>IFERROR(__xludf.DUMMYFUNCTION("IFERROR(
  FILTER('CBK Students'!Q:Q, TRIM('CBK Students'!B:B) = TRIM(A1487)),
  """"
)"),"#REF!")</f>
        <v>#REF!</v>
      </c>
    </row>
    <row r="1488" ht="18.75" customHeight="1">
      <c r="T1488" s="239"/>
      <c r="U1488" s="239"/>
      <c r="V1488" s="239">
        <f>IFERROR(__xludf.DUMMYFUNCTION("""COMPUTED_VALUE"""),6590.0)</f>
        <v>6590</v>
      </c>
      <c r="W1488" s="240" t="str">
        <f t="shared" si="1"/>
        <v/>
      </c>
      <c r="X1488" s="239" t="str">
        <f>IFERROR(__xludf.DUMMYFUNCTION("""COMPUTED_VALUE"""),"Prepare for Showcase")</f>
        <v>Prepare for Showcase</v>
      </c>
      <c r="Y1488" s="4" t="str">
        <f t="shared" si="2"/>
        <v/>
      </c>
      <c r="Z1488" s="4" t="str">
        <f>IFERROR(__xludf.DUMMYFUNCTION("IFERROR(
  FILTER('CBK Students'!O:O, TRIM('CBK Students'!B:B) = TRIM(A1488)),
  """"
)"),"#REF!")</f>
        <v>#REF!</v>
      </c>
      <c r="AA1488" s="4" t="str">
        <f>IFERROR(__xludf.DUMMYFUNCTION("IFERROR(
  FILTER('CBK Students'!P:P, TRIM('CBK Students'!B:B) = TRIM(A1488)),
  """"
)"),"#REF!")</f>
        <v>#REF!</v>
      </c>
      <c r="AB1488" s="4" t="str">
        <f>IFERROR(__xludf.DUMMYFUNCTION("IFERROR(
  FILTER('CBK Students'!Q:Q, TRIM('CBK Students'!B:B) = TRIM(A1488)),
  """"
)"),"#REF!")</f>
        <v>#REF!</v>
      </c>
    </row>
    <row r="1489" ht="18.75" customHeight="1">
      <c r="T1489" s="239"/>
      <c r="U1489" s="239"/>
      <c r="V1489" s="239">
        <f>IFERROR(__xludf.DUMMYFUNCTION("""COMPUTED_VALUE"""),6590.0)</f>
        <v>6590</v>
      </c>
      <c r="W1489" s="240" t="str">
        <f t="shared" si="1"/>
        <v/>
      </c>
      <c r="X1489" s="239" t="str">
        <f>IFERROR(__xludf.DUMMYFUNCTION("""COMPUTED_VALUE"""),"Prepare for Showcase")</f>
        <v>Prepare for Showcase</v>
      </c>
      <c r="Y1489" s="4" t="str">
        <f t="shared" si="2"/>
        <v/>
      </c>
      <c r="Z1489" s="4" t="str">
        <f>IFERROR(__xludf.DUMMYFUNCTION("IFERROR(
  FILTER('CBK Students'!O:O, TRIM('CBK Students'!B:B) = TRIM(A1489)),
  """"
)"),"#REF!")</f>
        <v>#REF!</v>
      </c>
      <c r="AA1489" s="4" t="str">
        <f>IFERROR(__xludf.DUMMYFUNCTION("IFERROR(
  FILTER('CBK Students'!P:P, TRIM('CBK Students'!B:B) = TRIM(A1489)),
  """"
)"),"#REF!")</f>
        <v>#REF!</v>
      </c>
      <c r="AB1489" s="4" t="str">
        <f>IFERROR(__xludf.DUMMYFUNCTION("IFERROR(
  FILTER('CBK Students'!Q:Q, TRIM('CBK Students'!B:B) = TRIM(A1489)),
  """"
)"),"#REF!")</f>
        <v>#REF!</v>
      </c>
    </row>
    <row r="1490" ht="18.75" customHeight="1">
      <c r="T1490" s="239"/>
      <c r="U1490" s="239"/>
      <c r="V1490" s="239">
        <f>IFERROR(__xludf.DUMMYFUNCTION("""COMPUTED_VALUE"""),6590.0)</f>
        <v>6590</v>
      </c>
      <c r="W1490" s="240" t="str">
        <f t="shared" si="1"/>
        <v/>
      </c>
      <c r="X1490" s="239" t="str">
        <f>IFERROR(__xludf.DUMMYFUNCTION("""COMPUTED_VALUE"""),"Prepare for Showcase")</f>
        <v>Prepare for Showcase</v>
      </c>
      <c r="Y1490" s="4" t="str">
        <f t="shared" si="2"/>
        <v/>
      </c>
      <c r="Z1490" s="4" t="str">
        <f>IFERROR(__xludf.DUMMYFUNCTION("IFERROR(
  FILTER('CBK Students'!O:O, TRIM('CBK Students'!B:B) = TRIM(A1490)),
  """"
)"),"#REF!")</f>
        <v>#REF!</v>
      </c>
      <c r="AA1490" s="4" t="str">
        <f>IFERROR(__xludf.DUMMYFUNCTION("IFERROR(
  FILTER('CBK Students'!P:P, TRIM('CBK Students'!B:B) = TRIM(A1490)),
  """"
)"),"#REF!")</f>
        <v>#REF!</v>
      </c>
      <c r="AB1490" s="4" t="str">
        <f>IFERROR(__xludf.DUMMYFUNCTION("IFERROR(
  FILTER('CBK Students'!Q:Q, TRIM('CBK Students'!B:B) = TRIM(A1490)),
  """"
)"),"#REF!")</f>
        <v>#REF!</v>
      </c>
    </row>
    <row r="1491" ht="18.75" customHeight="1">
      <c r="T1491" s="239"/>
      <c r="U1491" s="239"/>
      <c r="V1491" s="239">
        <f>IFERROR(__xludf.DUMMYFUNCTION("""COMPUTED_VALUE"""),6590.0)</f>
        <v>6590</v>
      </c>
      <c r="W1491" s="240" t="str">
        <f t="shared" si="1"/>
        <v/>
      </c>
      <c r="X1491" s="239" t="str">
        <f>IFERROR(__xludf.DUMMYFUNCTION("""COMPUTED_VALUE"""),"Prepare for Showcase")</f>
        <v>Prepare for Showcase</v>
      </c>
      <c r="Y1491" s="4" t="str">
        <f t="shared" si="2"/>
        <v/>
      </c>
      <c r="Z1491" s="4" t="str">
        <f>IFERROR(__xludf.DUMMYFUNCTION("IFERROR(
  FILTER('CBK Students'!O:O, TRIM('CBK Students'!B:B) = TRIM(A1491)),
  """"
)"),"#REF!")</f>
        <v>#REF!</v>
      </c>
      <c r="AA1491" s="4" t="str">
        <f>IFERROR(__xludf.DUMMYFUNCTION("IFERROR(
  FILTER('CBK Students'!P:P, TRIM('CBK Students'!B:B) = TRIM(A1491)),
  """"
)"),"#REF!")</f>
        <v>#REF!</v>
      </c>
      <c r="AB1491" s="4" t="str">
        <f>IFERROR(__xludf.DUMMYFUNCTION("IFERROR(
  FILTER('CBK Students'!Q:Q, TRIM('CBK Students'!B:B) = TRIM(A1491)),
  """"
)"),"#REF!")</f>
        <v>#REF!</v>
      </c>
    </row>
    <row r="1492" ht="18.75" customHeight="1">
      <c r="T1492" s="239"/>
      <c r="U1492" s="239"/>
      <c r="V1492" s="239">
        <f>IFERROR(__xludf.DUMMYFUNCTION("""COMPUTED_VALUE"""),6590.0)</f>
        <v>6590</v>
      </c>
      <c r="W1492" s="240" t="str">
        <f t="shared" si="1"/>
        <v/>
      </c>
      <c r="X1492" s="239" t="str">
        <f>IFERROR(__xludf.DUMMYFUNCTION("""COMPUTED_VALUE"""),"Prepare for Showcase")</f>
        <v>Prepare for Showcase</v>
      </c>
      <c r="Y1492" s="4" t="str">
        <f t="shared" si="2"/>
        <v/>
      </c>
      <c r="Z1492" s="4" t="str">
        <f>IFERROR(__xludf.DUMMYFUNCTION("IFERROR(
  FILTER('CBK Students'!O:O, TRIM('CBK Students'!B:B) = TRIM(A1492)),
  """"
)"),"#REF!")</f>
        <v>#REF!</v>
      </c>
      <c r="AA1492" s="4" t="str">
        <f>IFERROR(__xludf.DUMMYFUNCTION("IFERROR(
  FILTER('CBK Students'!P:P, TRIM('CBK Students'!B:B) = TRIM(A1492)),
  """"
)"),"#REF!")</f>
        <v>#REF!</v>
      </c>
      <c r="AB1492" s="4" t="str">
        <f>IFERROR(__xludf.DUMMYFUNCTION("IFERROR(
  FILTER('CBK Students'!Q:Q, TRIM('CBK Students'!B:B) = TRIM(A1492)),
  """"
)"),"#REF!")</f>
        <v>#REF!</v>
      </c>
    </row>
    <row r="1493" ht="18.75" customHeight="1">
      <c r="T1493" s="239"/>
      <c r="U1493" s="239"/>
      <c r="V1493" s="239">
        <f>IFERROR(__xludf.DUMMYFUNCTION("""COMPUTED_VALUE"""),6590.0)</f>
        <v>6590</v>
      </c>
      <c r="W1493" s="240" t="str">
        <f t="shared" si="1"/>
        <v/>
      </c>
      <c r="X1493" s="239" t="str">
        <f>IFERROR(__xludf.DUMMYFUNCTION("""COMPUTED_VALUE"""),"Prepare for Showcase")</f>
        <v>Prepare for Showcase</v>
      </c>
      <c r="Y1493" s="4" t="str">
        <f t="shared" si="2"/>
        <v/>
      </c>
      <c r="Z1493" s="4" t="str">
        <f>IFERROR(__xludf.DUMMYFUNCTION("IFERROR(
  FILTER('CBK Students'!O:O, TRIM('CBK Students'!B:B) = TRIM(A1493)),
  """"
)"),"#REF!")</f>
        <v>#REF!</v>
      </c>
      <c r="AA1493" s="4" t="str">
        <f>IFERROR(__xludf.DUMMYFUNCTION("IFERROR(
  FILTER('CBK Students'!P:P, TRIM('CBK Students'!B:B) = TRIM(A1493)),
  """"
)"),"#REF!")</f>
        <v>#REF!</v>
      </c>
      <c r="AB1493" s="4" t="str">
        <f>IFERROR(__xludf.DUMMYFUNCTION("IFERROR(
  FILTER('CBK Students'!Q:Q, TRIM('CBK Students'!B:B) = TRIM(A1493)),
  """"
)"),"#REF!")</f>
        <v>#REF!</v>
      </c>
    </row>
    <row r="1494" ht="18.75" customHeight="1">
      <c r="T1494" s="239"/>
      <c r="U1494" s="239"/>
      <c r="V1494" s="239">
        <f>IFERROR(__xludf.DUMMYFUNCTION("""COMPUTED_VALUE"""),6590.0)</f>
        <v>6590</v>
      </c>
      <c r="W1494" s="240" t="str">
        <f t="shared" si="1"/>
        <v/>
      </c>
      <c r="X1494" s="239" t="str">
        <f>IFERROR(__xludf.DUMMYFUNCTION("""COMPUTED_VALUE"""),"Prepare for Showcase")</f>
        <v>Prepare for Showcase</v>
      </c>
      <c r="Y1494" s="4" t="str">
        <f t="shared" si="2"/>
        <v/>
      </c>
      <c r="Z1494" s="4" t="str">
        <f>IFERROR(__xludf.DUMMYFUNCTION("IFERROR(
  FILTER('CBK Students'!O:O, TRIM('CBK Students'!B:B) = TRIM(A1494)),
  """"
)"),"#REF!")</f>
        <v>#REF!</v>
      </c>
      <c r="AA1494" s="4" t="str">
        <f>IFERROR(__xludf.DUMMYFUNCTION("IFERROR(
  FILTER('CBK Students'!P:P, TRIM('CBK Students'!B:B) = TRIM(A1494)),
  """"
)"),"#REF!")</f>
        <v>#REF!</v>
      </c>
      <c r="AB1494" s="4" t="str">
        <f>IFERROR(__xludf.DUMMYFUNCTION("IFERROR(
  FILTER('CBK Students'!Q:Q, TRIM('CBK Students'!B:B) = TRIM(A1494)),
  """"
)"),"#REF!")</f>
        <v>#REF!</v>
      </c>
    </row>
    <row r="1495" ht="18.75" customHeight="1">
      <c r="T1495" s="239"/>
      <c r="U1495" s="239"/>
      <c r="V1495" s="239">
        <f>IFERROR(__xludf.DUMMYFUNCTION("""COMPUTED_VALUE"""),6590.0)</f>
        <v>6590</v>
      </c>
      <c r="W1495" s="240" t="str">
        <f t="shared" si="1"/>
        <v/>
      </c>
      <c r="X1495" s="239" t="str">
        <f>IFERROR(__xludf.DUMMYFUNCTION("""COMPUTED_VALUE"""),"Prepare for Showcase")</f>
        <v>Prepare for Showcase</v>
      </c>
      <c r="Y1495" s="4" t="str">
        <f t="shared" si="2"/>
        <v/>
      </c>
      <c r="Z1495" s="4" t="str">
        <f>IFERROR(__xludf.DUMMYFUNCTION("IFERROR(
  FILTER('CBK Students'!O:O, TRIM('CBK Students'!B:B) = TRIM(A1495)),
  """"
)"),"#REF!")</f>
        <v>#REF!</v>
      </c>
      <c r="AA1495" s="4" t="str">
        <f>IFERROR(__xludf.DUMMYFUNCTION("IFERROR(
  FILTER('CBK Students'!P:P, TRIM('CBK Students'!B:B) = TRIM(A1495)),
  """"
)"),"#REF!")</f>
        <v>#REF!</v>
      </c>
      <c r="AB1495" s="4" t="str">
        <f>IFERROR(__xludf.DUMMYFUNCTION("IFERROR(
  FILTER('CBK Students'!Q:Q, TRIM('CBK Students'!B:B) = TRIM(A1495)),
  """"
)"),"#REF!")</f>
        <v>#REF!</v>
      </c>
    </row>
    <row r="1496" ht="18.75" customHeight="1">
      <c r="T1496" s="239"/>
      <c r="U1496" s="239"/>
      <c r="V1496" s="239">
        <f>IFERROR(__xludf.DUMMYFUNCTION("""COMPUTED_VALUE"""),6590.0)</f>
        <v>6590</v>
      </c>
      <c r="W1496" s="240" t="str">
        <f t="shared" si="1"/>
        <v/>
      </c>
      <c r="X1496" s="239" t="str">
        <f>IFERROR(__xludf.DUMMYFUNCTION("""COMPUTED_VALUE"""),"Prepare for Showcase")</f>
        <v>Prepare for Showcase</v>
      </c>
      <c r="Y1496" s="4" t="str">
        <f t="shared" si="2"/>
        <v/>
      </c>
      <c r="Z1496" s="4" t="str">
        <f>IFERROR(__xludf.DUMMYFUNCTION("IFERROR(
  FILTER('CBK Students'!O:O, TRIM('CBK Students'!B:B) = TRIM(A1496)),
  """"
)"),"#REF!")</f>
        <v>#REF!</v>
      </c>
      <c r="AA1496" s="4" t="str">
        <f>IFERROR(__xludf.DUMMYFUNCTION("IFERROR(
  FILTER('CBK Students'!P:P, TRIM('CBK Students'!B:B) = TRIM(A1496)),
  """"
)"),"#REF!")</f>
        <v>#REF!</v>
      </c>
      <c r="AB1496" s="4" t="str">
        <f>IFERROR(__xludf.DUMMYFUNCTION("IFERROR(
  FILTER('CBK Students'!Q:Q, TRIM('CBK Students'!B:B) = TRIM(A1496)),
  """"
)"),"#REF!")</f>
        <v>#REF!</v>
      </c>
    </row>
    <row r="1497" ht="18.75" customHeight="1">
      <c r="T1497" s="239"/>
      <c r="U1497" s="239"/>
      <c r="V1497" s="239">
        <f>IFERROR(__xludf.DUMMYFUNCTION("""COMPUTED_VALUE"""),6590.0)</f>
        <v>6590</v>
      </c>
      <c r="W1497" s="240" t="str">
        <f t="shared" si="1"/>
        <v/>
      </c>
      <c r="X1497" s="239" t="str">
        <f>IFERROR(__xludf.DUMMYFUNCTION("""COMPUTED_VALUE"""),"Prepare for Showcase")</f>
        <v>Prepare for Showcase</v>
      </c>
      <c r="Y1497" s="4" t="str">
        <f t="shared" si="2"/>
        <v/>
      </c>
      <c r="Z1497" s="4" t="str">
        <f>IFERROR(__xludf.DUMMYFUNCTION("IFERROR(
  FILTER('CBK Students'!O:O, TRIM('CBK Students'!B:B) = TRIM(A1497)),
  """"
)"),"#REF!")</f>
        <v>#REF!</v>
      </c>
      <c r="AA1497" s="4" t="str">
        <f>IFERROR(__xludf.DUMMYFUNCTION("IFERROR(
  FILTER('CBK Students'!P:P, TRIM('CBK Students'!B:B) = TRIM(A1497)),
  """"
)"),"#REF!")</f>
        <v>#REF!</v>
      </c>
      <c r="AB1497" s="4" t="str">
        <f>IFERROR(__xludf.DUMMYFUNCTION("IFERROR(
  FILTER('CBK Students'!Q:Q, TRIM('CBK Students'!B:B) = TRIM(A1497)),
  """"
)"),"#REF!")</f>
        <v>#REF!</v>
      </c>
    </row>
    <row r="1498" ht="18.75" customHeight="1">
      <c r="T1498" s="239"/>
      <c r="U1498" s="239"/>
      <c r="V1498" s="239">
        <f>IFERROR(__xludf.DUMMYFUNCTION("""COMPUTED_VALUE"""),6590.0)</f>
        <v>6590</v>
      </c>
      <c r="W1498" s="240" t="str">
        <f t="shared" si="1"/>
        <v/>
      </c>
      <c r="X1498" s="239" t="str">
        <f>IFERROR(__xludf.DUMMYFUNCTION("""COMPUTED_VALUE"""),"Prepare for Showcase")</f>
        <v>Prepare for Showcase</v>
      </c>
      <c r="Y1498" s="4" t="str">
        <f t="shared" si="2"/>
        <v/>
      </c>
      <c r="Z1498" s="4" t="str">
        <f>IFERROR(__xludf.DUMMYFUNCTION("IFERROR(
  FILTER('CBK Students'!O:O, TRIM('CBK Students'!B:B) = TRIM(A1498)),
  """"
)"),"#REF!")</f>
        <v>#REF!</v>
      </c>
      <c r="AA1498" s="4" t="str">
        <f>IFERROR(__xludf.DUMMYFUNCTION("IFERROR(
  FILTER('CBK Students'!P:P, TRIM('CBK Students'!B:B) = TRIM(A1498)),
  """"
)"),"#REF!")</f>
        <v>#REF!</v>
      </c>
      <c r="AB1498" s="4" t="str">
        <f>IFERROR(__xludf.DUMMYFUNCTION("IFERROR(
  FILTER('CBK Students'!Q:Q, TRIM('CBK Students'!B:B) = TRIM(A1498)),
  """"
)"),"#REF!")</f>
        <v>#REF!</v>
      </c>
    </row>
    <row r="1499" ht="18.75" customHeight="1">
      <c r="T1499" s="239"/>
      <c r="U1499" s="239"/>
      <c r="V1499" s="239">
        <f>IFERROR(__xludf.DUMMYFUNCTION("""COMPUTED_VALUE"""),6590.0)</f>
        <v>6590</v>
      </c>
      <c r="W1499" s="240" t="str">
        <f t="shared" si="1"/>
        <v/>
      </c>
      <c r="X1499" s="239" t="str">
        <f>IFERROR(__xludf.DUMMYFUNCTION("""COMPUTED_VALUE"""),"Prepare for Showcase")</f>
        <v>Prepare for Showcase</v>
      </c>
      <c r="Y1499" s="4" t="str">
        <f t="shared" si="2"/>
        <v/>
      </c>
      <c r="Z1499" s="4" t="str">
        <f>IFERROR(__xludf.DUMMYFUNCTION("IFERROR(
  FILTER('CBK Students'!O:O, TRIM('CBK Students'!B:B) = TRIM(A1499)),
  """"
)"),"#REF!")</f>
        <v>#REF!</v>
      </c>
      <c r="AA1499" s="4" t="str">
        <f>IFERROR(__xludf.DUMMYFUNCTION("IFERROR(
  FILTER('CBK Students'!P:P, TRIM('CBK Students'!B:B) = TRIM(A1499)),
  """"
)"),"#REF!")</f>
        <v>#REF!</v>
      </c>
      <c r="AB1499" s="4" t="str">
        <f>IFERROR(__xludf.DUMMYFUNCTION("IFERROR(
  FILTER('CBK Students'!Q:Q, TRIM('CBK Students'!B:B) = TRIM(A1499)),
  """"
)"),"#REF!")</f>
        <v>#REF!</v>
      </c>
    </row>
    <row r="1500" ht="18.75" customHeight="1">
      <c r="T1500" s="239"/>
      <c r="U1500" s="239"/>
      <c r="V1500" s="239">
        <f>IFERROR(__xludf.DUMMYFUNCTION("""COMPUTED_VALUE"""),6590.0)</f>
        <v>6590</v>
      </c>
      <c r="W1500" s="240" t="str">
        <f t="shared" si="1"/>
        <v/>
      </c>
      <c r="X1500" s="239" t="str">
        <f>IFERROR(__xludf.DUMMYFUNCTION("""COMPUTED_VALUE"""),"Prepare for Showcase")</f>
        <v>Prepare for Showcase</v>
      </c>
      <c r="Y1500" s="4" t="str">
        <f t="shared" si="2"/>
        <v/>
      </c>
      <c r="Z1500" s="4" t="str">
        <f>IFERROR(__xludf.DUMMYFUNCTION("IFERROR(
  FILTER('CBK Students'!O:O, TRIM('CBK Students'!B:B) = TRIM(A1500)),
  """"
)"),"#REF!")</f>
        <v>#REF!</v>
      </c>
      <c r="AA1500" s="4" t="str">
        <f>IFERROR(__xludf.DUMMYFUNCTION("IFERROR(
  FILTER('CBK Students'!P:P, TRIM('CBK Students'!B:B) = TRIM(A1500)),
  """"
)"),"#REF!")</f>
        <v>#REF!</v>
      </c>
      <c r="AB1500" s="4" t="str">
        <f>IFERROR(__xludf.DUMMYFUNCTION("IFERROR(
  FILTER('CBK Students'!Q:Q, TRIM('CBK Students'!B:B) = TRIM(A1500)),
  """"
)"),"#REF!")</f>
        <v>#REF!</v>
      </c>
    </row>
    <row r="1501" ht="18.75" customHeight="1">
      <c r="T1501" s="239"/>
      <c r="U1501" s="239"/>
      <c r="V1501" s="239">
        <f>IFERROR(__xludf.DUMMYFUNCTION("""COMPUTED_VALUE"""),6590.0)</f>
        <v>6590</v>
      </c>
      <c r="W1501" s="240" t="str">
        <f t="shared" si="1"/>
        <v/>
      </c>
      <c r="X1501" s="239" t="str">
        <f>IFERROR(__xludf.DUMMYFUNCTION("""COMPUTED_VALUE"""),"Prepare for Showcase")</f>
        <v>Prepare for Showcase</v>
      </c>
      <c r="Y1501" s="4" t="str">
        <f t="shared" si="2"/>
        <v/>
      </c>
      <c r="Z1501" s="4" t="str">
        <f>IFERROR(__xludf.DUMMYFUNCTION("IFERROR(
  FILTER('CBK Students'!O:O, TRIM('CBK Students'!B:B) = TRIM(A1501)),
  """"
)"),"#REF!")</f>
        <v>#REF!</v>
      </c>
      <c r="AA1501" s="4" t="str">
        <f>IFERROR(__xludf.DUMMYFUNCTION("IFERROR(
  FILTER('CBK Students'!P:P, TRIM('CBK Students'!B:B) = TRIM(A1501)),
  """"
)"),"#REF!")</f>
        <v>#REF!</v>
      </c>
      <c r="AB1501" s="4" t="str">
        <f>IFERROR(__xludf.DUMMYFUNCTION("IFERROR(
  FILTER('CBK Students'!Q:Q, TRIM('CBK Students'!B:B) = TRIM(A1501)),
  """"
)"),"#REF!")</f>
        <v>#REF!</v>
      </c>
    </row>
    <row r="1502" ht="18.75" customHeight="1">
      <c r="T1502" s="239"/>
      <c r="U1502" s="239"/>
      <c r="V1502" s="239">
        <f>IFERROR(__xludf.DUMMYFUNCTION("""COMPUTED_VALUE"""),6590.0)</f>
        <v>6590</v>
      </c>
      <c r="W1502" s="240" t="str">
        <f t="shared" si="1"/>
        <v/>
      </c>
      <c r="X1502" s="239" t="str">
        <f>IFERROR(__xludf.DUMMYFUNCTION("""COMPUTED_VALUE"""),"Prepare for Showcase")</f>
        <v>Prepare for Showcase</v>
      </c>
      <c r="Y1502" s="4" t="str">
        <f t="shared" si="2"/>
        <v/>
      </c>
      <c r="Z1502" s="4" t="str">
        <f>IFERROR(__xludf.DUMMYFUNCTION("IFERROR(
  FILTER('CBK Students'!O:O, TRIM('CBK Students'!B:B) = TRIM(A1502)),
  """"
)"),"#REF!")</f>
        <v>#REF!</v>
      </c>
      <c r="AA1502" s="4" t="str">
        <f>IFERROR(__xludf.DUMMYFUNCTION("IFERROR(
  FILTER('CBK Students'!P:P, TRIM('CBK Students'!B:B) = TRIM(A1502)),
  """"
)"),"#REF!")</f>
        <v>#REF!</v>
      </c>
      <c r="AB1502" s="4" t="str">
        <f>IFERROR(__xludf.DUMMYFUNCTION("IFERROR(
  FILTER('CBK Students'!Q:Q, TRIM('CBK Students'!B:B) = TRIM(A1502)),
  """"
)"),"#REF!")</f>
        <v>#REF!</v>
      </c>
    </row>
    <row r="1503" ht="18.75" customHeight="1">
      <c r="T1503" s="239"/>
      <c r="U1503" s="239"/>
      <c r="V1503" s="239">
        <f>IFERROR(__xludf.DUMMYFUNCTION("""COMPUTED_VALUE"""),6590.0)</f>
        <v>6590</v>
      </c>
      <c r="W1503" s="240" t="str">
        <f t="shared" si="1"/>
        <v/>
      </c>
      <c r="X1503" s="239" t="str">
        <f>IFERROR(__xludf.DUMMYFUNCTION("""COMPUTED_VALUE"""),"Prepare for Showcase")</f>
        <v>Prepare for Showcase</v>
      </c>
      <c r="Y1503" s="4" t="str">
        <f t="shared" si="2"/>
        <v/>
      </c>
      <c r="Z1503" s="4" t="str">
        <f>IFERROR(__xludf.DUMMYFUNCTION("IFERROR(
  FILTER('CBK Students'!O:O, TRIM('CBK Students'!B:B) = TRIM(A1503)),
  """"
)"),"#REF!")</f>
        <v>#REF!</v>
      </c>
      <c r="AA1503" s="4" t="str">
        <f>IFERROR(__xludf.DUMMYFUNCTION("IFERROR(
  FILTER('CBK Students'!P:P, TRIM('CBK Students'!B:B) = TRIM(A1503)),
  """"
)"),"#REF!")</f>
        <v>#REF!</v>
      </c>
      <c r="AB1503" s="4" t="str">
        <f>IFERROR(__xludf.DUMMYFUNCTION("IFERROR(
  FILTER('CBK Students'!Q:Q, TRIM('CBK Students'!B:B) = TRIM(A1503)),
  """"
)"),"#REF!")</f>
        <v>#REF!</v>
      </c>
    </row>
    <row r="1504" ht="18.75" customHeight="1">
      <c r="T1504" s="239"/>
      <c r="U1504" s="239"/>
      <c r="V1504" s="239">
        <f>IFERROR(__xludf.DUMMYFUNCTION("""COMPUTED_VALUE"""),6590.0)</f>
        <v>6590</v>
      </c>
      <c r="W1504" s="240" t="str">
        <f t="shared" si="1"/>
        <v/>
      </c>
      <c r="X1504" s="239" t="str">
        <f>IFERROR(__xludf.DUMMYFUNCTION("""COMPUTED_VALUE"""),"Prepare for Showcase")</f>
        <v>Prepare for Showcase</v>
      </c>
      <c r="Y1504" s="4" t="str">
        <f t="shared" si="2"/>
        <v/>
      </c>
      <c r="Z1504" s="4" t="str">
        <f>IFERROR(__xludf.DUMMYFUNCTION("IFERROR(
  FILTER('CBK Students'!O:O, TRIM('CBK Students'!B:B) = TRIM(A1504)),
  """"
)"),"#REF!")</f>
        <v>#REF!</v>
      </c>
      <c r="AA1504" s="4" t="str">
        <f>IFERROR(__xludf.DUMMYFUNCTION("IFERROR(
  FILTER('CBK Students'!P:P, TRIM('CBK Students'!B:B) = TRIM(A1504)),
  """"
)"),"#REF!")</f>
        <v>#REF!</v>
      </c>
      <c r="AB1504" s="4" t="str">
        <f>IFERROR(__xludf.DUMMYFUNCTION("IFERROR(
  FILTER('CBK Students'!Q:Q, TRIM('CBK Students'!B:B) = TRIM(A1504)),
  """"
)"),"#REF!")</f>
        <v>#REF!</v>
      </c>
    </row>
    <row r="1505" ht="18.75" customHeight="1">
      <c r="T1505" s="239"/>
      <c r="U1505" s="239"/>
      <c r="V1505" s="239">
        <f>IFERROR(__xludf.DUMMYFUNCTION("""COMPUTED_VALUE"""),6590.0)</f>
        <v>6590</v>
      </c>
      <c r="W1505" s="240" t="str">
        <f t="shared" si="1"/>
        <v/>
      </c>
      <c r="X1505" s="239" t="str">
        <f>IFERROR(__xludf.DUMMYFUNCTION("""COMPUTED_VALUE"""),"Prepare for Showcase")</f>
        <v>Prepare for Showcase</v>
      </c>
      <c r="Y1505" s="4" t="str">
        <f t="shared" si="2"/>
        <v/>
      </c>
      <c r="Z1505" s="4" t="str">
        <f>IFERROR(__xludf.DUMMYFUNCTION("IFERROR(
  FILTER('CBK Students'!O:O, TRIM('CBK Students'!B:B) = TRIM(A1505)),
  """"
)"),"#REF!")</f>
        <v>#REF!</v>
      </c>
      <c r="AA1505" s="4" t="str">
        <f>IFERROR(__xludf.DUMMYFUNCTION("IFERROR(
  FILTER('CBK Students'!P:P, TRIM('CBK Students'!B:B) = TRIM(A1505)),
  """"
)"),"#REF!")</f>
        <v>#REF!</v>
      </c>
      <c r="AB1505" s="4" t="str">
        <f>IFERROR(__xludf.DUMMYFUNCTION("IFERROR(
  FILTER('CBK Students'!Q:Q, TRIM('CBK Students'!B:B) = TRIM(A1505)),
  """"
)"),"#REF!")</f>
        <v>#REF!</v>
      </c>
    </row>
    <row r="1506" ht="18.75" customHeight="1">
      <c r="T1506" s="239"/>
      <c r="U1506" s="239"/>
      <c r="V1506" s="239">
        <f>IFERROR(__xludf.DUMMYFUNCTION("""COMPUTED_VALUE"""),6590.0)</f>
        <v>6590</v>
      </c>
      <c r="W1506" s="240" t="str">
        <f t="shared" si="1"/>
        <v/>
      </c>
      <c r="X1506" s="239" t="str">
        <f>IFERROR(__xludf.DUMMYFUNCTION("""COMPUTED_VALUE"""),"Prepare for Showcase")</f>
        <v>Prepare for Showcase</v>
      </c>
      <c r="Y1506" s="4" t="str">
        <f t="shared" si="2"/>
        <v/>
      </c>
      <c r="Z1506" s="4" t="str">
        <f>IFERROR(__xludf.DUMMYFUNCTION("IFERROR(
  FILTER('CBK Students'!O:O, TRIM('CBK Students'!B:B) = TRIM(A1506)),
  """"
)"),"#REF!")</f>
        <v>#REF!</v>
      </c>
      <c r="AA1506" s="4" t="str">
        <f>IFERROR(__xludf.DUMMYFUNCTION("IFERROR(
  FILTER('CBK Students'!P:P, TRIM('CBK Students'!B:B) = TRIM(A1506)),
  """"
)"),"#REF!")</f>
        <v>#REF!</v>
      </c>
      <c r="AB1506" s="4" t="str">
        <f>IFERROR(__xludf.DUMMYFUNCTION("IFERROR(
  FILTER('CBK Students'!Q:Q, TRIM('CBK Students'!B:B) = TRIM(A1506)),
  """"
)"),"#REF!")</f>
        <v>#REF!</v>
      </c>
    </row>
    <row r="1507" ht="18.75" customHeight="1">
      <c r="T1507" s="239"/>
      <c r="U1507" s="239"/>
      <c r="V1507" s="239">
        <f>IFERROR(__xludf.DUMMYFUNCTION("""COMPUTED_VALUE"""),6590.0)</f>
        <v>6590</v>
      </c>
      <c r="W1507" s="240" t="str">
        <f t="shared" si="1"/>
        <v/>
      </c>
      <c r="X1507" s="239" t="str">
        <f>IFERROR(__xludf.DUMMYFUNCTION("""COMPUTED_VALUE"""),"Prepare for Showcase")</f>
        <v>Prepare for Showcase</v>
      </c>
      <c r="Y1507" s="4" t="str">
        <f t="shared" si="2"/>
        <v/>
      </c>
      <c r="Z1507" s="4" t="str">
        <f>IFERROR(__xludf.DUMMYFUNCTION("IFERROR(
  FILTER('CBK Students'!O:O, TRIM('CBK Students'!B:B) = TRIM(A1507)),
  """"
)"),"#REF!")</f>
        <v>#REF!</v>
      </c>
      <c r="AA1507" s="4" t="str">
        <f>IFERROR(__xludf.DUMMYFUNCTION("IFERROR(
  FILTER('CBK Students'!P:P, TRIM('CBK Students'!B:B) = TRIM(A1507)),
  """"
)"),"#REF!")</f>
        <v>#REF!</v>
      </c>
      <c r="AB1507" s="4" t="str">
        <f>IFERROR(__xludf.DUMMYFUNCTION("IFERROR(
  FILTER('CBK Students'!Q:Q, TRIM('CBK Students'!B:B) = TRIM(A1507)),
  """"
)"),"#REF!")</f>
        <v>#REF!</v>
      </c>
    </row>
    <row r="1508" ht="18.75" customHeight="1">
      <c r="T1508" s="239"/>
      <c r="U1508" s="239"/>
      <c r="V1508" s="239">
        <f>IFERROR(__xludf.DUMMYFUNCTION("""COMPUTED_VALUE"""),6590.0)</f>
        <v>6590</v>
      </c>
      <c r="W1508" s="240" t="str">
        <f t="shared" si="1"/>
        <v/>
      </c>
      <c r="X1508" s="239" t="str">
        <f>IFERROR(__xludf.DUMMYFUNCTION("""COMPUTED_VALUE"""),"Prepare for Showcase")</f>
        <v>Prepare for Showcase</v>
      </c>
      <c r="Y1508" s="4" t="str">
        <f t="shared" si="2"/>
        <v/>
      </c>
      <c r="Z1508" s="4" t="str">
        <f>IFERROR(__xludf.DUMMYFUNCTION("IFERROR(
  FILTER('CBK Students'!O:O, TRIM('CBK Students'!B:B) = TRIM(A1508)),
  """"
)"),"#REF!")</f>
        <v>#REF!</v>
      </c>
      <c r="AA1508" s="4" t="str">
        <f>IFERROR(__xludf.DUMMYFUNCTION("IFERROR(
  FILTER('CBK Students'!P:P, TRIM('CBK Students'!B:B) = TRIM(A1508)),
  """"
)"),"#REF!")</f>
        <v>#REF!</v>
      </c>
      <c r="AB1508" s="4" t="str">
        <f>IFERROR(__xludf.DUMMYFUNCTION("IFERROR(
  FILTER('CBK Students'!Q:Q, TRIM('CBK Students'!B:B) = TRIM(A1508)),
  """"
)"),"#REF!")</f>
        <v>#REF!</v>
      </c>
    </row>
    <row r="1509" ht="18.75" customHeight="1">
      <c r="T1509" s="239"/>
      <c r="U1509" s="239"/>
      <c r="V1509" s="239">
        <f>IFERROR(__xludf.DUMMYFUNCTION("""COMPUTED_VALUE"""),6590.0)</f>
        <v>6590</v>
      </c>
      <c r="W1509" s="240" t="str">
        <f t="shared" si="1"/>
        <v/>
      </c>
      <c r="X1509" s="239" t="str">
        <f>IFERROR(__xludf.DUMMYFUNCTION("""COMPUTED_VALUE"""),"Prepare for Showcase")</f>
        <v>Prepare for Showcase</v>
      </c>
      <c r="Y1509" s="4" t="str">
        <f t="shared" si="2"/>
        <v/>
      </c>
      <c r="Z1509" s="4" t="str">
        <f>IFERROR(__xludf.DUMMYFUNCTION("IFERROR(
  FILTER('CBK Students'!O:O, TRIM('CBK Students'!B:B) = TRIM(A1509)),
  """"
)"),"#REF!")</f>
        <v>#REF!</v>
      </c>
      <c r="AA1509" s="4" t="str">
        <f>IFERROR(__xludf.DUMMYFUNCTION("IFERROR(
  FILTER('CBK Students'!P:P, TRIM('CBK Students'!B:B) = TRIM(A1509)),
  """"
)"),"#REF!")</f>
        <v>#REF!</v>
      </c>
      <c r="AB1509" s="4" t="str">
        <f>IFERROR(__xludf.DUMMYFUNCTION("IFERROR(
  FILTER('CBK Students'!Q:Q, TRIM('CBK Students'!B:B) = TRIM(A1509)),
  """"
)"),"#REF!")</f>
        <v>#REF!</v>
      </c>
    </row>
    <row r="1510" ht="18.75" customHeight="1">
      <c r="T1510" s="239"/>
      <c r="U1510" s="239"/>
      <c r="V1510" s="239">
        <f>IFERROR(__xludf.DUMMYFUNCTION("""COMPUTED_VALUE"""),6590.0)</f>
        <v>6590</v>
      </c>
      <c r="W1510" s="240" t="str">
        <f t="shared" si="1"/>
        <v/>
      </c>
      <c r="X1510" s="239" t="str">
        <f>IFERROR(__xludf.DUMMYFUNCTION("""COMPUTED_VALUE"""),"Prepare for Showcase")</f>
        <v>Prepare for Showcase</v>
      </c>
      <c r="Y1510" s="4" t="str">
        <f t="shared" si="2"/>
        <v/>
      </c>
      <c r="Z1510" s="4" t="str">
        <f>IFERROR(__xludf.DUMMYFUNCTION("IFERROR(
  FILTER('CBK Students'!O:O, TRIM('CBK Students'!B:B) = TRIM(A1510)),
  """"
)"),"#REF!")</f>
        <v>#REF!</v>
      </c>
      <c r="AA1510" s="4" t="str">
        <f>IFERROR(__xludf.DUMMYFUNCTION("IFERROR(
  FILTER('CBK Students'!P:P, TRIM('CBK Students'!B:B) = TRIM(A1510)),
  """"
)"),"#REF!")</f>
        <v>#REF!</v>
      </c>
      <c r="AB1510" s="4" t="str">
        <f>IFERROR(__xludf.DUMMYFUNCTION("IFERROR(
  FILTER('CBK Students'!Q:Q, TRIM('CBK Students'!B:B) = TRIM(A1510)),
  """"
)"),"#REF!")</f>
        <v>#REF!</v>
      </c>
    </row>
    <row r="1511" ht="18.75" customHeight="1">
      <c r="T1511" s="239"/>
      <c r="U1511" s="239"/>
      <c r="V1511" s="239">
        <f>IFERROR(__xludf.DUMMYFUNCTION("""COMPUTED_VALUE"""),6590.0)</f>
        <v>6590</v>
      </c>
      <c r="W1511" s="240" t="str">
        <f t="shared" si="1"/>
        <v/>
      </c>
      <c r="X1511" s="239" t="str">
        <f>IFERROR(__xludf.DUMMYFUNCTION("""COMPUTED_VALUE"""),"Prepare for Showcase")</f>
        <v>Prepare for Showcase</v>
      </c>
      <c r="Y1511" s="4" t="str">
        <f t="shared" si="2"/>
        <v/>
      </c>
      <c r="Z1511" s="4" t="str">
        <f>IFERROR(__xludf.DUMMYFUNCTION("IFERROR(
  FILTER('CBK Students'!O:O, TRIM('CBK Students'!B:B) = TRIM(A1511)),
  """"
)"),"#REF!")</f>
        <v>#REF!</v>
      </c>
      <c r="AA1511" s="4" t="str">
        <f>IFERROR(__xludf.DUMMYFUNCTION("IFERROR(
  FILTER('CBK Students'!P:P, TRIM('CBK Students'!B:B) = TRIM(A1511)),
  """"
)"),"#REF!")</f>
        <v>#REF!</v>
      </c>
      <c r="AB1511" s="4" t="str">
        <f>IFERROR(__xludf.DUMMYFUNCTION("IFERROR(
  FILTER('CBK Students'!Q:Q, TRIM('CBK Students'!B:B) = TRIM(A1511)),
  """"
)"),"#REF!")</f>
        <v>#REF!</v>
      </c>
    </row>
    <row r="1512" ht="18.75" customHeight="1">
      <c r="T1512" s="239"/>
      <c r="U1512" s="239"/>
      <c r="V1512" s="239">
        <f>IFERROR(__xludf.DUMMYFUNCTION("""COMPUTED_VALUE"""),6590.0)</f>
        <v>6590</v>
      </c>
      <c r="W1512" s="240" t="str">
        <f t="shared" si="1"/>
        <v/>
      </c>
      <c r="X1512" s="239" t="str">
        <f>IFERROR(__xludf.DUMMYFUNCTION("""COMPUTED_VALUE"""),"Prepare for Showcase")</f>
        <v>Prepare for Showcase</v>
      </c>
      <c r="Y1512" s="4" t="str">
        <f t="shared" si="2"/>
        <v/>
      </c>
      <c r="Z1512" s="4" t="str">
        <f>IFERROR(__xludf.DUMMYFUNCTION("IFERROR(
  FILTER('CBK Students'!O:O, TRIM('CBK Students'!B:B) = TRIM(A1512)),
  """"
)"),"#REF!")</f>
        <v>#REF!</v>
      </c>
      <c r="AA1512" s="4" t="str">
        <f>IFERROR(__xludf.DUMMYFUNCTION("IFERROR(
  FILTER('CBK Students'!P:P, TRIM('CBK Students'!B:B) = TRIM(A1512)),
  """"
)"),"#REF!")</f>
        <v>#REF!</v>
      </c>
      <c r="AB1512" s="4" t="str">
        <f>IFERROR(__xludf.DUMMYFUNCTION("IFERROR(
  FILTER('CBK Students'!Q:Q, TRIM('CBK Students'!B:B) = TRIM(A1512)),
  """"
)"),"#REF!")</f>
        <v>#REF!</v>
      </c>
    </row>
    <row r="1513" ht="18.75" customHeight="1">
      <c r="T1513" s="239"/>
      <c r="U1513" s="239"/>
      <c r="V1513" s="239">
        <f>IFERROR(__xludf.DUMMYFUNCTION("""COMPUTED_VALUE"""),6590.0)</f>
        <v>6590</v>
      </c>
      <c r="W1513" s="240" t="str">
        <f t="shared" si="1"/>
        <v/>
      </c>
      <c r="X1513" s="239" t="str">
        <f>IFERROR(__xludf.DUMMYFUNCTION("""COMPUTED_VALUE"""),"Prepare for Showcase")</f>
        <v>Prepare for Showcase</v>
      </c>
      <c r="Y1513" s="4" t="str">
        <f t="shared" si="2"/>
        <v/>
      </c>
      <c r="Z1513" s="4" t="str">
        <f>IFERROR(__xludf.DUMMYFUNCTION("IFERROR(
  FILTER('CBK Students'!O:O, TRIM('CBK Students'!B:B) = TRIM(A1513)),
  """"
)"),"#REF!")</f>
        <v>#REF!</v>
      </c>
      <c r="AA1513" s="4" t="str">
        <f>IFERROR(__xludf.DUMMYFUNCTION("IFERROR(
  FILTER('CBK Students'!P:P, TRIM('CBK Students'!B:B) = TRIM(A1513)),
  """"
)"),"#REF!")</f>
        <v>#REF!</v>
      </c>
      <c r="AB1513" s="4" t="str">
        <f>IFERROR(__xludf.DUMMYFUNCTION("IFERROR(
  FILTER('CBK Students'!Q:Q, TRIM('CBK Students'!B:B) = TRIM(A1513)),
  """"
)"),"#REF!")</f>
        <v>#REF!</v>
      </c>
    </row>
    <row r="1514" ht="18.75" customHeight="1">
      <c r="T1514" s="239"/>
      <c r="U1514" s="239"/>
      <c r="V1514" s="239">
        <f>IFERROR(__xludf.DUMMYFUNCTION("""COMPUTED_VALUE"""),6590.0)</f>
        <v>6590</v>
      </c>
      <c r="W1514" s="240" t="str">
        <f t="shared" si="1"/>
        <v/>
      </c>
      <c r="X1514" s="239" t="str">
        <f>IFERROR(__xludf.DUMMYFUNCTION("""COMPUTED_VALUE"""),"Prepare for Showcase")</f>
        <v>Prepare for Showcase</v>
      </c>
      <c r="Y1514" s="4" t="str">
        <f t="shared" si="2"/>
        <v/>
      </c>
      <c r="Z1514" s="4" t="str">
        <f>IFERROR(__xludf.DUMMYFUNCTION("IFERROR(
  FILTER('CBK Students'!O:O, TRIM('CBK Students'!B:B) = TRIM(A1514)),
  """"
)"),"#REF!")</f>
        <v>#REF!</v>
      </c>
      <c r="AA1514" s="4" t="str">
        <f>IFERROR(__xludf.DUMMYFUNCTION("IFERROR(
  FILTER('CBK Students'!P:P, TRIM('CBK Students'!B:B) = TRIM(A1514)),
  """"
)"),"#REF!")</f>
        <v>#REF!</v>
      </c>
      <c r="AB1514" s="4" t="str">
        <f>IFERROR(__xludf.DUMMYFUNCTION("IFERROR(
  FILTER('CBK Students'!Q:Q, TRIM('CBK Students'!B:B) = TRIM(A1514)),
  """"
)"),"#REF!")</f>
        <v>#REF!</v>
      </c>
    </row>
    <row r="1515" ht="18.75" customHeight="1">
      <c r="T1515" s="239"/>
      <c r="U1515" s="239"/>
      <c r="V1515" s="239">
        <f>IFERROR(__xludf.DUMMYFUNCTION("""COMPUTED_VALUE"""),6590.0)</f>
        <v>6590</v>
      </c>
      <c r="W1515" s="240" t="str">
        <f t="shared" si="1"/>
        <v/>
      </c>
      <c r="X1515" s="239" t="str">
        <f>IFERROR(__xludf.DUMMYFUNCTION("""COMPUTED_VALUE"""),"Prepare for Showcase")</f>
        <v>Prepare for Showcase</v>
      </c>
      <c r="Y1515" s="4" t="str">
        <f t="shared" si="2"/>
        <v/>
      </c>
      <c r="Z1515" s="4" t="str">
        <f>IFERROR(__xludf.DUMMYFUNCTION("IFERROR(
  FILTER('CBK Students'!O:O, TRIM('CBK Students'!B:B) = TRIM(A1515)),
  """"
)"),"#REF!")</f>
        <v>#REF!</v>
      </c>
      <c r="AA1515" s="4" t="str">
        <f>IFERROR(__xludf.DUMMYFUNCTION("IFERROR(
  FILTER('CBK Students'!P:P, TRIM('CBK Students'!B:B) = TRIM(A1515)),
  """"
)"),"#REF!")</f>
        <v>#REF!</v>
      </c>
      <c r="AB1515" s="4" t="str">
        <f>IFERROR(__xludf.DUMMYFUNCTION("IFERROR(
  FILTER('CBK Students'!Q:Q, TRIM('CBK Students'!B:B) = TRIM(A1515)),
  """"
)"),"#REF!")</f>
        <v>#REF!</v>
      </c>
    </row>
    <row r="1516" ht="18.75" customHeight="1">
      <c r="T1516" s="239"/>
      <c r="U1516" s="239"/>
      <c r="V1516" s="239">
        <f>IFERROR(__xludf.DUMMYFUNCTION("""COMPUTED_VALUE"""),6590.0)</f>
        <v>6590</v>
      </c>
      <c r="W1516" s="240" t="str">
        <f t="shared" si="1"/>
        <v/>
      </c>
      <c r="X1516" s="239" t="str">
        <f>IFERROR(__xludf.DUMMYFUNCTION("""COMPUTED_VALUE"""),"Prepare for Showcase")</f>
        <v>Prepare for Showcase</v>
      </c>
      <c r="Y1516" s="4" t="str">
        <f t="shared" si="2"/>
        <v/>
      </c>
      <c r="Z1516" s="4" t="str">
        <f>IFERROR(__xludf.DUMMYFUNCTION("IFERROR(
  FILTER('CBK Students'!O:O, TRIM('CBK Students'!B:B) = TRIM(A1516)),
  """"
)"),"#REF!")</f>
        <v>#REF!</v>
      </c>
      <c r="AA1516" s="4" t="str">
        <f>IFERROR(__xludf.DUMMYFUNCTION("IFERROR(
  FILTER('CBK Students'!P:P, TRIM('CBK Students'!B:B) = TRIM(A1516)),
  """"
)"),"#REF!")</f>
        <v>#REF!</v>
      </c>
      <c r="AB1516" s="4" t="str">
        <f>IFERROR(__xludf.DUMMYFUNCTION("IFERROR(
  FILTER('CBK Students'!Q:Q, TRIM('CBK Students'!B:B) = TRIM(A1516)),
  """"
)"),"#REF!")</f>
        <v>#REF!</v>
      </c>
    </row>
    <row r="1517" ht="18.75" customHeight="1">
      <c r="T1517" s="239"/>
      <c r="U1517" s="239"/>
      <c r="V1517" s="239">
        <f>IFERROR(__xludf.DUMMYFUNCTION("""COMPUTED_VALUE"""),6590.0)</f>
        <v>6590</v>
      </c>
      <c r="W1517" s="240" t="str">
        <f t="shared" si="1"/>
        <v/>
      </c>
      <c r="X1517" s="239" t="str">
        <f>IFERROR(__xludf.DUMMYFUNCTION("""COMPUTED_VALUE"""),"Prepare for Showcase")</f>
        <v>Prepare for Showcase</v>
      </c>
      <c r="Y1517" s="4" t="str">
        <f t="shared" si="2"/>
        <v/>
      </c>
      <c r="Z1517" s="4" t="str">
        <f>IFERROR(__xludf.DUMMYFUNCTION("IFERROR(
  FILTER('CBK Students'!O:O, TRIM('CBK Students'!B:B) = TRIM(A1517)),
  """"
)"),"#REF!")</f>
        <v>#REF!</v>
      </c>
      <c r="AA1517" s="4" t="str">
        <f>IFERROR(__xludf.DUMMYFUNCTION("IFERROR(
  FILTER('CBK Students'!P:P, TRIM('CBK Students'!B:B) = TRIM(A1517)),
  """"
)"),"#REF!")</f>
        <v>#REF!</v>
      </c>
      <c r="AB1517" s="4" t="str">
        <f>IFERROR(__xludf.DUMMYFUNCTION("IFERROR(
  FILTER('CBK Students'!Q:Q, TRIM('CBK Students'!B:B) = TRIM(A1517)),
  """"
)"),"#REF!")</f>
        <v>#REF!</v>
      </c>
    </row>
    <row r="1518" ht="18.75" customHeight="1">
      <c r="T1518" s="239"/>
      <c r="U1518" s="239"/>
      <c r="V1518" s="239">
        <f>IFERROR(__xludf.DUMMYFUNCTION("""COMPUTED_VALUE"""),6590.0)</f>
        <v>6590</v>
      </c>
      <c r="W1518" s="240" t="str">
        <f t="shared" si="1"/>
        <v/>
      </c>
      <c r="X1518" s="239" t="str">
        <f>IFERROR(__xludf.DUMMYFUNCTION("""COMPUTED_VALUE"""),"Prepare for Showcase")</f>
        <v>Prepare for Showcase</v>
      </c>
      <c r="Y1518" s="4" t="str">
        <f t="shared" si="2"/>
        <v/>
      </c>
      <c r="Z1518" s="4" t="str">
        <f>IFERROR(__xludf.DUMMYFUNCTION("IFERROR(
  FILTER('CBK Students'!O:O, TRIM('CBK Students'!B:B) = TRIM(A1518)),
  """"
)"),"#REF!")</f>
        <v>#REF!</v>
      </c>
      <c r="AA1518" s="4" t="str">
        <f>IFERROR(__xludf.DUMMYFUNCTION("IFERROR(
  FILTER('CBK Students'!P:P, TRIM('CBK Students'!B:B) = TRIM(A1518)),
  """"
)"),"#REF!")</f>
        <v>#REF!</v>
      </c>
      <c r="AB1518" s="4" t="str">
        <f>IFERROR(__xludf.DUMMYFUNCTION("IFERROR(
  FILTER('CBK Students'!Q:Q, TRIM('CBK Students'!B:B) = TRIM(A1518)),
  """"
)"),"#REF!")</f>
        <v>#REF!</v>
      </c>
    </row>
    <row r="1519" ht="18.75" customHeight="1">
      <c r="T1519" s="239"/>
      <c r="U1519" s="239"/>
      <c r="V1519" s="239">
        <f>IFERROR(__xludf.DUMMYFUNCTION("""COMPUTED_VALUE"""),6590.0)</f>
        <v>6590</v>
      </c>
      <c r="W1519" s="240" t="str">
        <f t="shared" si="1"/>
        <v/>
      </c>
      <c r="X1519" s="239" t="str">
        <f>IFERROR(__xludf.DUMMYFUNCTION("""COMPUTED_VALUE"""),"Prepare for Showcase")</f>
        <v>Prepare for Showcase</v>
      </c>
      <c r="Y1519" s="4" t="str">
        <f t="shared" si="2"/>
        <v/>
      </c>
      <c r="Z1519" s="4" t="str">
        <f>IFERROR(__xludf.DUMMYFUNCTION("IFERROR(
  FILTER('CBK Students'!O:O, TRIM('CBK Students'!B:B) = TRIM(A1519)),
  """"
)"),"#REF!")</f>
        <v>#REF!</v>
      </c>
      <c r="AA1519" s="4" t="str">
        <f>IFERROR(__xludf.DUMMYFUNCTION("IFERROR(
  FILTER('CBK Students'!P:P, TRIM('CBK Students'!B:B) = TRIM(A1519)),
  """"
)"),"#REF!")</f>
        <v>#REF!</v>
      </c>
      <c r="AB1519" s="4" t="str">
        <f>IFERROR(__xludf.DUMMYFUNCTION("IFERROR(
  FILTER('CBK Students'!Q:Q, TRIM('CBK Students'!B:B) = TRIM(A1519)),
  """"
)"),"#REF!")</f>
        <v>#REF!</v>
      </c>
    </row>
    <row r="1520" ht="18.75" customHeight="1">
      <c r="T1520" s="239"/>
      <c r="U1520" s="239"/>
      <c r="V1520" s="239">
        <f>IFERROR(__xludf.DUMMYFUNCTION("""COMPUTED_VALUE"""),6590.0)</f>
        <v>6590</v>
      </c>
      <c r="W1520" s="240" t="str">
        <f t="shared" si="1"/>
        <v/>
      </c>
      <c r="X1520" s="239" t="str">
        <f>IFERROR(__xludf.DUMMYFUNCTION("""COMPUTED_VALUE"""),"Prepare for Showcase")</f>
        <v>Prepare for Showcase</v>
      </c>
      <c r="Y1520" s="4" t="str">
        <f t="shared" si="2"/>
        <v/>
      </c>
      <c r="Z1520" s="4" t="str">
        <f>IFERROR(__xludf.DUMMYFUNCTION("IFERROR(
  FILTER('CBK Students'!O:O, TRIM('CBK Students'!B:B) = TRIM(A1520)),
  """"
)"),"#REF!")</f>
        <v>#REF!</v>
      </c>
      <c r="AA1520" s="4" t="str">
        <f>IFERROR(__xludf.DUMMYFUNCTION("IFERROR(
  FILTER('CBK Students'!P:P, TRIM('CBK Students'!B:B) = TRIM(A1520)),
  """"
)"),"#REF!")</f>
        <v>#REF!</v>
      </c>
      <c r="AB1520" s="4" t="str">
        <f>IFERROR(__xludf.DUMMYFUNCTION("IFERROR(
  FILTER('CBK Students'!Q:Q, TRIM('CBK Students'!B:B) = TRIM(A1520)),
  """"
)"),"#REF!")</f>
        <v>#REF!</v>
      </c>
    </row>
    <row r="1521" ht="18.75" customHeight="1">
      <c r="T1521" s="239"/>
      <c r="U1521" s="239"/>
      <c r="V1521" s="239">
        <f>IFERROR(__xludf.DUMMYFUNCTION("""COMPUTED_VALUE"""),6590.0)</f>
        <v>6590</v>
      </c>
      <c r="W1521" s="240" t="str">
        <f t="shared" si="1"/>
        <v/>
      </c>
      <c r="X1521" s="239" t="str">
        <f>IFERROR(__xludf.DUMMYFUNCTION("""COMPUTED_VALUE"""),"Prepare for Showcase")</f>
        <v>Prepare for Showcase</v>
      </c>
      <c r="Y1521" s="4" t="str">
        <f t="shared" si="2"/>
        <v/>
      </c>
      <c r="Z1521" s="4" t="str">
        <f>IFERROR(__xludf.DUMMYFUNCTION("IFERROR(
  FILTER('CBK Students'!O:O, TRIM('CBK Students'!B:B) = TRIM(A1521)),
  """"
)"),"#REF!")</f>
        <v>#REF!</v>
      </c>
      <c r="AA1521" s="4" t="str">
        <f>IFERROR(__xludf.DUMMYFUNCTION("IFERROR(
  FILTER('CBK Students'!P:P, TRIM('CBK Students'!B:B) = TRIM(A1521)),
  """"
)"),"#REF!")</f>
        <v>#REF!</v>
      </c>
      <c r="AB1521" s="4" t="str">
        <f>IFERROR(__xludf.DUMMYFUNCTION("IFERROR(
  FILTER('CBK Students'!Q:Q, TRIM('CBK Students'!B:B) = TRIM(A1521)),
  """"
)"),"#REF!")</f>
        <v>#REF!</v>
      </c>
    </row>
    <row r="1522" ht="18.75" customHeight="1">
      <c r="T1522" s="239"/>
      <c r="U1522" s="239"/>
      <c r="V1522" s="239">
        <f>IFERROR(__xludf.DUMMYFUNCTION("""COMPUTED_VALUE"""),6590.0)</f>
        <v>6590</v>
      </c>
      <c r="W1522" s="240" t="str">
        <f t="shared" si="1"/>
        <v/>
      </c>
      <c r="X1522" s="239" t="str">
        <f>IFERROR(__xludf.DUMMYFUNCTION("""COMPUTED_VALUE"""),"Prepare for Showcase")</f>
        <v>Prepare for Showcase</v>
      </c>
      <c r="Y1522" s="4" t="str">
        <f t="shared" si="2"/>
        <v/>
      </c>
      <c r="Z1522" s="4" t="str">
        <f>IFERROR(__xludf.DUMMYFUNCTION("IFERROR(
  FILTER('CBK Students'!O:O, TRIM('CBK Students'!B:B) = TRIM(A1522)),
  """"
)"),"#REF!")</f>
        <v>#REF!</v>
      </c>
      <c r="AA1522" s="4" t="str">
        <f>IFERROR(__xludf.DUMMYFUNCTION("IFERROR(
  FILTER('CBK Students'!P:P, TRIM('CBK Students'!B:B) = TRIM(A1522)),
  """"
)"),"#REF!")</f>
        <v>#REF!</v>
      </c>
      <c r="AB1522" s="4" t="str">
        <f>IFERROR(__xludf.DUMMYFUNCTION("IFERROR(
  FILTER('CBK Students'!Q:Q, TRIM('CBK Students'!B:B) = TRIM(A1522)),
  """"
)"),"#REF!")</f>
        <v>#REF!</v>
      </c>
    </row>
    <row r="1523" ht="18.75" customHeight="1">
      <c r="T1523" s="239"/>
      <c r="U1523" s="239"/>
      <c r="V1523" s="239">
        <f>IFERROR(__xludf.DUMMYFUNCTION("""COMPUTED_VALUE"""),6590.0)</f>
        <v>6590</v>
      </c>
      <c r="W1523" s="240" t="str">
        <f t="shared" si="1"/>
        <v/>
      </c>
      <c r="X1523" s="239" t="str">
        <f>IFERROR(__xludf.DUMMYFUNCTION("""COMPUTED_VALUE"""),"Prepare for Showcase")</f>
        <v>Prepare for Showcase</v>
      </c>
      <c r="Y1523" s="4" t="str">
        <f t="shared" si="2"/>
        <v/>
      </c>
      <c r="Z1523" s="4" t="str">
        <f>IFERROR(__xludf.DUMMYFUNCTION("IFERROR(
  FILTER('CBK Students'!O:O, TRIM('CBK Students'!B:B) = TRIM(A1523)),
  """"
)"),"#REF!")</f>
        <v>#REF!</v>
      </c>
      <c r="AA1523" s="4" t="str">
        <f>IFERROR(__xludf.DUMMYFUNCTION("IFERROR(
  FILTER('CBK Students'!P:P, TRIM('CBK Students'!B:B) = TRIM(A1523)),
  """"
)"),"#REF!")</f>
        <v>#REF!</v>
      </c>
      <c r="AB1523" s="4" t="str">
        <f>IFERROR(__xludf.DUMMYFUNCTION("IFERROR(
  FILTER('CBK Students'!Q:Q, TRIM('CBK Students'!B:B) = TRIM(A1523)),
  """"
)"),"#REF!")</f>
        <v>#REF!</v>
      </c>
    </row>
    <row r="1524" ht="18.75" customHeight="1">
      <c r="T1524" s="239"/>
      <c r="U1524" s="239"/>
      <c r="V1524" s="239">
        <f>IFERROR(__xludf.DUMMYFUNCTION("""COMPUTED_VALUE"""),6590.0)</f>
        <v>6590</v>
      </c>
      <c r="W1524" s="240" t="str">
        <f t="shared" si="1"/>
        <v/>
      </c>
      <c r="X1524" s="239" t="str">
        <f>IFERROR(__xludf.DUMMYFUNCTION("""COMPUTED_VALUE"""),"Prepare for Showcase")</f>
        <v>Prepare for Showcase</v>
      </c>
      <c r="Y1524" s="4" t="str">
        <f t="shared" si="2"/>
        <v/>
      </c>
      <c r="Z1524" s="4" t="str">
        <f>IFERROR(__xludf.DUMMYFUNCTION("IFERROR(
  FILTER('CBK Students'!O:O, TRIM('CBK Students'!B:B) = TRIM(A1524)),
  """"
)"),"#REF!")</f>
        <v>#REF!</v>
      </c>
      <c r="AA1524" s="4" t="str">
        <f>IFERROR(__xludf.DUMMYFUNCTION("IFERROR(
  FILTER('CBK Students'!P:P, TRIM('CBK Students'!B:B) = TRIM(A1524)),
  """"
)"),"#REF!")</f>
        <v>#REF!</v>
      </c>
      <c r="AB1524" s="4" t="str">
        <f>IFERROR(__xludf.DUMMYFUNCTION("IFERROR(
  FILTER('CBK Students'!Q:Q, TRIM('CBK Students'!B:B) = TRIM(A1524)),
  """"
)"),"#REF!")</f>
        <v>#REF!</v>
      </c>
    </row>
    <row r="1525" ht="18.75" customHeight="1">
      <c r="T1525" s="239"/>
      <c r="U1525" s="239"/>
      <c r="V1525" s="239">
        <f>IFERROR(__xludf.DUMMYFUNCTION("""COMPUTED_VALUE"""),6590.0)</f>
        <v>6590</v>
      </c>
      <c r="W1525" s="240" t="str">
        <f t="shared" si="1"/>
        <v/>
      </c>
      <c r="X1525" s="239" t="str">
        <f>IFERROR(__xludf.DUMMYFUNCTION("""COMPUTED_VALUE"""),"Prepare for Showcase")</f>
        <v>Prepare for Showcase</v>
      </c>
      <c r="Y1525" s="4" t="str">
        <f t="shared" si="2"/>
        <v/>
      </c>
      <c r="Z1525" s="4" t="str">
        <f>IFERROR(__xludf.DUMMYFUNCTION("IFERROR(
  FILTER('CBK Students'!O:O, TRIM('CBK Students'!B:B) = TRIM(A1525)),
  """"
)"),"#REF!")</f>
        <v>#REF!</v>
      </c>
      <c r="AA1525" s="4" t="str">
        <f>IFERROR(__xludf.DUMMYFUNCTION("IFERROR(
  FILTER('CBK Students'!P:P, TRIM('CBK Students'!B:B) = TRIM(A1525)),
  """"
)"),"#REF!")</f>
        <v>#REF!</v>
      </c>
      <c r="AB1525" s="4" t="str">
        <f>IFERROR(__xludf.DUMMYFUNCTION("IFERROR(
  FILTER('CBK Students'!Q:Q, TRIM('CBK Students'!B:B) = TRIM(A1525)),
  """"
)"),"#REF!")</f>
        <v>#REF!</v>
      </c>
    </row>
    <row r="1526" ht="18.75" customHeight="1">
      <c r="T1526" s="239"/>
      <c r="U1526" s="239"/>
      <c r="V1526" s="239">
        <f>IFERROR(__xludf.DUMMYFUNCTION("""COMPUTED_VALUE"""),6590.0)</f>
        <v>6590</v>
      </c>
      <c r="W1526" s="240" t="str">
        <f t="shared" si="1"/>
        <v/>
      </c>
      <c r="X1526" s="239" t="str">
        <f>IFERROR(__xludf.DUMMYFUNCTION("""COMPUTED_VALUE"""),"Prepare for Showcase")</f>
        <v>Prepare for Showcase</v>
      </c>
      <c r="Y1526" s="4" t="str">
        <f t="shared" si="2"/>
        <v/>
      </c>
      <c r="Z1526" s="4" t="str">
        <f>IFERROR(__xludf.DUMMYFUNCTION("IFERROR(
  FILTER('CBK Students'!O:O, TRIM('CBK Students'!B:B) = TRIM(A1526)),
  """"
)"),"#REF!")</f>
        <v>#REF!</v>
      </c>
      <c r="AA1526" s="4" t="str">
        <f>IFERROR(__xludf.DUMMYFUNCTION("IFERROR(
  FILTER('CBK Students'!P:P, TRIM('CBK Students'!B:B) = TRIM(A1526)),
  """"
)"),"#REF!")</f>
        <v>#REF!</v>
      </c>
      <c r="AB1526" s="4" t="str">
        <f>IFERROR(__xludf.DUMMYFUNCTION("IFERROR(
  FILTER('CBK Students'!Q:Q, TRIM('CBK Students'!B:B) = TRIM(A1526)),
  """"
)"),"#REF!")</f>
        <v>#REF!</v>
      </c>
    </row>
    <row r="1527" ht="18.75" customHeight="1">
      <c r="T1527" s="239"/>
      <c r="U1527" s="239"/>
      <c r="V1527" s="239">
        <f>IFERROR(__xludf.DUMMYFUNCTION("""COMPUTED_VALUE"""),6590.0)</f>
        <v>6590</v>
      </c>
      <c r="W1527" s="240" t="str">
        <f t="shared" si="1"/>
        <v/>
      </c>
      <c r="X1527" s="239" t="str">
        <f>IFERROR(__xludf.DUMMYFUNCTION("""COMPUTED_VALUE"""),"Prepare for Showcase")</f>
        <v>Prepare for Showcase</v>
      </c>
      <c r="Y1527" s="4" t="str">
        <f t="shared" si="2"/>
        <v/>
      </c>
      <c r="Z1527" s="4" t="str">
        <f>IFERROR(__xludf.DUMMYFUNCTION("IFERROR(
  FILTER('CBK Students'!O:O, TRIM('CBK Students'!B:B) = TRIM(A1527)),
  """"
)"),"#REF!")</f>
        <v>#REF!</v>
      </c>
      <c r="AA1527" s="4" t="str">
        <f>IFERROR(__xludf.DUMMYFUNCTION("IFERROR(
  FILTER('CBK Students'!P:P, TRIM('CBK Students'!B:B) = TRIM(A1527)),
  """"
)"),"#REF!")</f>
        <v>#REF!</v>
      </c>
      <c r="AB1527" s="4" t="str">
        <f>IFERROR(__xludf.DUMMYFUNCTION("IFERROR(
  FILTER('CBK Students'!Q:Q, TRIM('CBK Students'!B:B) = TRIM(A1527)),
  """"
)"),"#REF!")</f>
        <v>#REF!</v>
      </c>
    </row>
    <row r="1528" ht="18.75" customHeight="1">
      <c r="T1528" s="239"/>
      <c r="U1528" s="239"/>
      <c r="V1528" s="239">
        <f>IFERROR(__xludf.DUMMYFUNCTION("""COMPUTED_VALUE"""),6590.0)</f>
        <v>6590</v>
      </c>
      <c r="W1528" s="240" t="str">
        <f t="shared" si="1"/>
        <v/>
      </c>
      <c r="X1528" s="239" t="str">
        <f>IFERROR(__xludf.DUMMYFUNCTION("""COMPUTED_VALUE"""),"Prepare for Showcase")</f>
        <v>Prepare for Showcase</v>
      </c>
      <c r="Y1528" s="4" t="str">
        <f t="shared" si="2"/>
        <v/>
      </c>
      <c r="Z1528" s="4" t="str">
        <f>IFERROR(__xludf.DUMMYFUNCTION("IFERROR(
  FILTER('CBK Students'!O:O, TRIM('CBK Students'!B:B) = TRIM(A1528)),
  """"
)"),"#REF!")</f>
        <v>#REF!</v>
      </c>
      <c r="AA1528" s="4" t="str">
        <f>IFERROR(__xludf.DUMMYFUNCTION("IFERROR(
  FILTER('CBK Students'!P:P, TRIM('CBK Students'!B:B) = TRIM(A1528)),
  """"
)"),"#REF!")</f>
        <v>#REF!</v>
      </c>
      <c r="AB1528" s="4" t="str">
        <f>IFERROR(__xludf.DUMMYFUNCTION("IFERROR(
  FILTER('CBK Students'!Q:Q, TRIM('CBK Students'!B:B) = TRIM(A1528)),
  """"
)"),"#REF!")</f>
        <v>#REF!</v>
      </c>
    </row>
    <row r="1529" ht="18.75" customHeight="1">
      <c r="T1529" s="239"/>
      <c r="U1529" s="239"/>
      <c r="V1529" s="239">
        <f>IFERROR(__xludf.DUMMYFUNCTION("""COMPUTED_VALUE"""),6590.0)</f>
        <v>6590</v>
      </c>
      <c r="W1529" s="240" t="str">
        <f t="shared" si="1"/>
        <v/>
      </c>
      <c r="X1529" s="239" t="str">
        <f>IFERROR(__xludf.DUMMYFUNCTION("""COMPUTED_VALUE"""),"Prepare for Showcase")</f>
        <v>Prepare for Showcase</v>
      </c>
      <c r="Y1529" s="4" t="str">
        <f t="shared" si="2"/>
        <v/>
      </c>
      <c r="Z1529" s="4" t="str">
        <f>IFERROR(__xludf.DUMMYFUNCTION("IFERROR(
  FILTER('CBK Students'!O:O, TRIM('CBK Students'!B:B) = TRIM(A1529)),
  """"
)"),"#REF!")</f>
        <v>#REF!</v>
      </c>
      <c r="AA1529" s="4" t="str">
        <f>IFERROR(__xludf.DUMMYFUNCTION("IFERROR(
  FILTER('CBK Students'!P:P, TRIM('CBK Students'!B:B) = TRIM(A1529)),
  """"
)"),"#REF!")</f>
        <v>#REF!</v>
      </c>
      <c r="AB1529" s="4" t="str">
        <f>IFERROR(__xludf.DUMMYFUNCTION("IFERROR(
  FILTER('CBK Students'!Q:Q, TRIM('CBK Students'!B:B) = TRIM(A1529)),
  """"
)"),"#REF!")</f>
        <v>#REF!</v>
      </c>
    </row>
    <row r="1530" ht="18.75" customHeight="1">
      <c r="T1530" s="239"/>
      <c r="U1530" s="239"/>
      <c r="V1530" s="239">
        <f>IFERROR(__xludf.DUMMYFUNCTION("""COMPUTED_VALUE"""),6590.0)</f>
        <v>6590</v>
      </c>
      <c r="W1530" s="240" t="str">
        <f t="shared" si="1"/>
        <v/>
      </c>
      <c r="X1530" s="239" t="str">
        <f>IFERROR(__xludf.DUMMYFUNCTION("""COMPUTED_VALUE"""),"Prepare for Showcase")</f>
        <v>Prepare for Showcase</v>
      </c>
      <c r="Y1530" s="4" t="str">
        <f t="shared" si="2"/>
        <v/>
      </c>
      <c r="Z1530" s="4" t="str">
        <f>IFERROR(__xludf.DUMMYFUNCTION("IFERROR(
  FILTER('CBK Students'!O:O, TRIM('CBK Students'!B:B) = TRIM(A1530)),
  """"
)"),"#REF!")</f>
        <v>#REF!</v>
      </c>
      <c r="AA1530" s="4" t="str">
        <f>IFERROR(__xludf.DUMMYFUNCTION("IFERROR(
  FILTER('CBK Students'!P:P, TRIM('CBK Students'!B:B) = TRIM(A1530)),
  """"
)"),"#REF!")</f>
        <v>#REF!</v>
      </c>
      <c r="AB1530" s="4" t="str">
        <f>IFERROR(__xludf.DUMMYFUNCTION("IFERROR(
  FILTER('CBK Students'!Q:Q, TRIM('CBK Students'!B:B) = TRIM(A1530)),
  """"
)"),"#REF!")</f>
        <v>#REF!</v>
      </c>
    </row>
    <row r="1531" ht="18.75" customHeight="1">
      <c r="T1531" s="239"/>
      <c r="U1531" s="239"/>
      <c r="V1531" s="239">
        <f>IFERROR(__xludf.DUMMYFUNCTION("""COMPUTED_VALUE"""),6590.0)</f>
        <v>6590</v>
      </c>
      <c r="W1531" s="240" t="str">
        <f t="shared" si="1"/>
        <v/>
      </c>
      <c r="X1531" s="239" t="str">
        <f>IFERROR(__xludf.DUMMYFUNCTION("""COMPUTED_VALUE"""),"Prepare for Showcase")</f>
        <v>Prepare for Showcase</v>
      </c>
      <c r="Y1531" s="4" t="str">
        <f t="shared" si="2"/>
        <v/>
      </c>
      <c r="Z1531" s="4" t="str">
        <f>IFERROR(__xludf.DUMMYFUNCTION("IFERROR(
  FILTER('CBK Students'!O:O, TRIM('CBK Students'!B:B) = TRIM(A1531)),
  """"
)"),"#REF!")</f>
        <v>#REF!</v>
      </c>
      <c r="AA1531" s="4" t="str">
        <f>IFERROR(__xludf.DUMMYFUNCTION("IFERROR(
  FILTER('CBK Students'!P:P, TRIM('CBK Students'!B:B) = TRIM(A1531)),
  """"
)"),"#REF!")</f>
        <v>#REF!</v>
      </c>
      <c r="AB1531" s="4" t="str">
        <f>IFERROR(__xludf.DUMMYFUNCTION("IFERROR(
  FILTER('CBK Students'!Q:Q, TRIM('CBK Students'!B:B) = TRIM(A1531)),
  """"
)"),"#REF!")</f>
        <v>#REF!</v>
      </c>
    </row>
    <row r="1532" ht="18.75" customHeight="1">
      <c r="T1532" s="239"/>
      <c r="U1532" s="239"/>
      <c r="V1532" s="239">
        <f>IFERROR(__xludf.DUMMYFUNCTION("""COMPUTED_VALUE"""),6590.0)</f>
        <v>6590</v>
      </c>
      <c r="W1532" s="240" t="str">
        <f t="shared" si="1"/>
        <v/>
      </c>
      <c r="X1532" s="239" t="str">
        <f>IFERROR(__xludf.DUMMYFUNCTION("""COMPUTED_VALUE"""),"Prepare for Showcase")</f>
        <v>Prepare for Showcase</v>
      </c>
      <c r="Y1532" s="4" t="str">
        <f t="shared" si="2"/>
        <v/>
      </c>
      <c r="Z1532" s="4" t="str">
        <f>IFERROR(__xludf.DUMMYFUNCTION("IFERROR(
  FILTER('CBK Students'!O:O, TRIM('CBK Students'!B:B) = TRIM(A1532)),
  """"
)"),"#REF!")</f>
        <v>#REF!</v>
      </c>
      <c r="AA1532" s="4" t="str">
        <f>IFERROR(__xludf.DUMMYFUNCTION("IFERROR(
  FILTER('CBK Students'!P:P, TRIM('CBK Students'!B:B) = TRIM(A1532)),
  """"
)"),"#REF!")</f>
        <v>#REF!</v>
      </c>
      <c r="AB1532" s="4" t="str">
        <f>IFERROR(__xludf.DUMMYFUNCTION("IFERROR(
  FILTER('CBK Students'!Q:Q, TRIM('CBK Students'!B:B) = TRIM(A1532)),
  """"
)"),"#REF!")</f>
        <v>#REF!</v>
      </c>
    </row>
    <row r="1533" ht="18.75" customHeight="1">
      <c r="T1533" s="239"/>
      <c r="U1533" s="239"/>
      <c r="V1533" s="239">
        <f>IFERROR(__xludf.DUMMYFUNCTION("""COMPUTED_VALUE"""),6590.0)</f>
        <v>6590</v>
      </c>
      <c r="W1533" s="240" t="str">
        <f t="shared" si="1"/>
        <v/>
      </c>
      <c r="X1533" s="239" t="str">
        <f>IFERROR(__xludf.DUMMYFUNCTION("""COMPUTED_VALUE"""),"Prepare for Showcase")</f>
        <v>Prepare for Showcase</v>
      </c>
      <c r="Y1533" s="4" t="str">
        <f t="shared" si="2"/>
        <v/>
      </c>
      <c r="Z1533" s="4" t="str">
        <f>IFERROR(__xludf.DUMMYFUNCTION("IFERROR(
  FILTER('CBK Students'!O:O, TRIM('CBK Students'!B:B) = TRIM(A1533)),
  """"
)"),"#REF!")</f>
        <v>#REF!</v>
      </c>
      <c r="AA1533" s="4" t="str">
        <f>IFERROR(__xludf.DUMMYFUNCTION("IFERROR(
  FILTER('CBK Students'!P:P, TRIM('CBK Students'!B:B) = TRIM(A1533)),
  """"
)"),"#REF!")</f>
        <v>#REF!</v>
      </c>
      <c r="AB1533" s="4" t="str">
        <f>IFERROR(__xludf.DUMMYFUNCTION("IFERROR(
  FILTER('CBK Students'!Q:Q, TRIM('CBK Students'!B:B) = TRIM(A1533)),
  """"
)"),"#REF!")</f>
        <v>#REF!</v>
      </c>
    </row>
    <row r="1534" ht="18.75" customHeight="1">
      <c r="T1534" s="239"/>
      <c r="U1534" s="239"/>
      <c r="V1534" s="239">
        <f>IFERROR(__xludf.DUMMYFUNCTION("""COMPUTED_VALUE"""),6590.0)</f>
        <v>6590</v>
      </c>
      <c r="W1534" s="240" t="str">
        <f t="shared" si="1"/>
        <v/>
      </c>
      <c r="X1534" s="239" t="str">
        <f>IFERROR(__xludf.DUMMYFUNCTION("""COMPUTED_VALUE"""),"Prepare for Showcase")</f>
        <v>Prepare for Showcase</v>
      </c>
      <c r="Y1534" s="4" t="str">
        <f t="shared" si="2"/>
        <v/>
      </c>
      <c r="Z1534" s="4" t="str">
        <f>IFERROR(__xludf.DUMMYFUNCTION("IFERROR(
  FILTER('CBK Students'!O:O, TRIM('CBK Students'!B:B) = TRIM(A1534)),
  """"
)"),"#REF!")</f>
        <v>#REF!</v>
      </c>
      <c r="AA1534" s="4" t="str">
        <f>IFERROR(__xludf.DUMMYFUNCTION("IFERROR(
  FILTER('CBK Students'!P:P, TRIM('CBK Students'!B:B) = TRIM(A1534)),
  """"
)"),"#REF!")</f>
        <v>#REF!</v>
      </c>
      <c r="AB1534" s="4" t="str">
        <f>IFERROR(__xludf.DUMMYFUNCTION("IFERROR(
  FILTER('CBK Students'!Q:Q, TRIM('CBK Students'!B:B) = TRIM(A1534)),
  """"
)"),"#REF!")</f>
        <v>#REF!</v>
      </c>
    </row>
    <row r="1535" ht="18.75" customHeight="1">
      <c r="T1535" s="239"/>
      <c r="U1535" s="239"/>
      <c r="V1535" s="239">
        <f>IFERROR(__xludf.DUMMYFUNCTION("""COMPUTED_VALUE"""),6590.0)</f>
        <v>6590</v>
      </c>
      <c r="W1535" s="240" t="str">
        <f t="shared" si="1"/>
        <v/>
      </c>
      <c r="X1535" s="239" t="str">
        <f>IFERROR(__xludf.DUMMYFUNCTION("""COMPUTED_VALUE"""),"Prepare for Showcase")</f>
        <v>Prepare for Showcase</v>
      </c>
      <c r="Y1535" s="4" t="str">
        <f t="shared" si="2"/>
        <v/>
      </c>
      <c r="Z1535" s="4" t="str">
        <f>IFERROR(__xludf.DUMMYFUNCTION("IFERROR(
  FILTER('CBK Students'!O:O, TRIM('CBK Students'!B:B) = TRIM(A1535)),
  """"
)"),"#REF!")</f>
        <v>#REF!</v>
      </c>
      <c r="AA1535" s="4" t="str">
        <f>IFERROR(__xludf.DUMMYFUNCTION("IFERROR(
  FILTER('CBK Students'!P:P, TRIM('CBK Students'!B:B) = TRIM(A1535)),
  """"
)"),"#REF!")</f>
        <v>#REF!</v>
      </c>
      <c r="AB1535" s="4" t="str">
        <f>IFERROR(__xludf.DUMMYFUNCTION("IFERROR(
  FILTER('CBK Students'!Q:Q, TRIM('CBK Students'!B:B) = TRIM(A1535)),
  """"
)"),"#REF!")</f>
        <v>#REF!</v>
      </c>
    </row>
    <row r="1536" ht="18.75" customHeight="1">
      <c r="T1536" s="239"/>
      <c r="U1536" s="239"/>
      <c r="V1536" s="239">
        <f>IFERROR(__xludf.DUMMYFUNCTION("""COMPUTED_VALUE"""),6590.0)</f>
        <v>6590</v>
      </c>
      <c r="W1536" s="240" t="str">
        <f t="shared" si="1"/>
        <v/>
      </c>
      <c r="X1536" s="239" t="str">
        <f>IFERROR(__xludf.DUMMYFUNCTION("""COMPUTED_VALUE"""),"Prepare for Showcase")</f>
        <v>Prepare for Showcase</v>
      </c>
      <c r="Y1536" s="4" t="str">
        <f t="shared" si="2"/>
        <v/>
      </c>
      <c r="Z1536" s="4" t="str">
        <f>IFERROR(__xludf.DUMMYFUNCTION("IFERROR(
  FILTER('CBK Students'!O:O, TRIM('CBK Students'!B:B) = TRIM(A1536)),
  """"
)"),"#REF!")</f>
        <v>#REF!</v>
      </c>
      <c r="AA1536" s="4" t="str">
        <f>IFERROR(__xludf.DUMMYFUNCTION("IFERROR(
  FILTER('CBK Students'!P:P, TRIM('CBK Students'!B:B) = TRIM(A1536)),
  """"
)"),"#REF!")</f>
        <v>#REF!</v>
      </c>
      <c r="AB1536" s="4" t="str">
        <f>IFERROR(__xludf.DUMMYFUNCTION("IFERROR(
  FILTER('CBK Students'!Q:Q, TRIM('CBK Students'!B:B) = TRIM(A1536)),
  """"
)"),"#REF!")</f>
        <v>#REF!</v>
      </c>
    </row>
    <row r="1537" ht="18.75" customHeight="1">
      <c r="T1537" s="239"/>
      <c r="U1537" s="239"/>
      <c r="V1537" s="239">
        <f>IFERROR(__xludf.DUMMYFUNCTION("""COMPUTED_VALUE"""),6590.0)</f>
        <v>6590</v>
      </c>
      <c r="W1537" s="240" t="str">
        <f t="shared" si="1"/>
        <v/>
      </c>
      <c r="X1537" s="239" t="str">
        <f>IFERROR(__xludf.DUMMYFUNCTION("""COMPUTED_VALUE"""),"Prepare for Showcase")</f>
        <v>Prepare for Showcase</v>
      </c>
      <c r="Y1537" s="4" t="str">
        <f t="shared" si="2"/>
        <v/>
      </c>
      <c r="Z1537" s="4" t="str">
        <f>IFERROR(__xludf.DUMMYFUNCTION("IFERROR(
  FILTER('CBK Students'!O:O, TRIM('CBK Students'!B:B) = TRIM(A1537)),
  """"
)"),"#REF!")</f>
        <v>#REF!</v>
      </c>
      <c r="AA1537" s="4" t="str">
        <f>IFERROR(__xludf.DUMMYFUNCTION("IFERROR(
  FILTER('CBK Students'!P:P, TRIM('CBK Students'!B:B) = TRIM(A1537)),
  """"
)"),"#REF!")</f>
        <v>#REF!</v>
      </c>
      <c r="AB1537" s="4" t="str">
        <f>IFERROR(__xludf.DUMMYFUNCTION("IFERROR(
  FILTER('CBK Students'!Q:Q, TRIM('CBK Students'!B:B) = TRIM(A1537)),
  """"
)"),"#REF!")</f>
        <v>#REF!</v>
      </c>
    </row>
    <row r="1538" ht="18.75" customHeight="1">
      <c r="T1538" s="239"/>
      <c r="U1538" s="239"/>
      <c r="V1538" s="239">
        <f>IFERROR(__xludf.DUMMYFUNCTION("""COMPUTED_VALUE"""),6590.0)</f>
        <v>6590</v>
      </c>
      <c r="W1538" s="240" t="str">
        <f t="shared" si="1"/>
        <v/>
      </c>
      <c r="X1538" s="239" t="str">
        <f>IFERROR(__xludf.DUMMYFUNCTION("""COMPUTED_VALUE"""),"Prepare for Showcase")</f>
        <v>Prepare for Showcase</v>
      </c>
      <c r="Y1538" s="4" t="str">
        <f t="shared" si="2"/>
        <v/>
      </c>
      <c r="Z1538" s="4" t="str">
        <f>IFERROR(__xludf.DUMMYFUNCTION("IFERROR(
  FILTER('CBK Students'!O:O, TRIM('CBK Students'!B:B) = TRIM(A1538)),
  """"
)"),"#REF!")</f>
        <v>#REF!</v>
      </c>
      <c r="AA1538" s="4" t="str">
        <f>IFERROR(__xludf.DUMMYFUNCTION("IFERROR(
  FILTER('CBK Students'!P:P, TRIM('CBK Students'!B:B) = TRIM(A1538)),
  """"
)"),"#REF!")</f>
        <v>#REF!</v>
      </c>
      <c r="AB1538" s="4" t="str">
        <f>IFERROR(__xludf.DUMMYFUNCTION("IFERROR(
  FILTER('CBK Students'!Q:Q, TRIM('CBK Students'!B:B) = TRIM(A1538)),
  """"
)"),"#REF!")</f>
        <v>#REF!</v>
      </c>
    </row>
    <row r="1539" ht="18.75" customHeight="1">
      <c r="T1539" s="239"/>
      <c r="U1539" s="239"/>
      <c r="V1539" s="239">
        <f>IFERROR(__xludf.DUMMYFUNCTION("""COMPUTED_VALUE"""),6590.0)</f>
        <v>6590</v>
      </c>
      <c r="W1539" s="240" t="str">
        <f t="shared" si="1"/>
        <v/>
      </c>
      <c r="X1539" s="239" t="str">
        <f>IFERROR(__xludf.DUMMYFUNCTION("""COMPUTED_VALUE"""),"Prepare for Showcase")</f>
        <v>Prepare for Showcase</v>
      </c>
      <c r="Y1539" s="4" t="str">
        <f t="shared" si="2"/>
        <v/>
      </c>
      <c r="Z1539" s="4" t="str">
        <f>IFERROR(__xludf.DUMMYFUNCTION("IFERROR(
  FILTER('CBK Students'!O:O, TRIM('CBK Students'!B:B) = TRIM(A1539)),
  """"
)"),"#REF!")</f>
        <v>#REF!</v>
      </c>
      <c r="AA1539" s="4" t="str">
        <f>IFERROR(__xludf.DUMMYFUNCTION("IFERROR(
  FILTER('CBK Students'!P:P, TRIM('CBK Students'!B:B) = TRIM(A1539)),
  """"
)"),"#REF!")</f>
        <v>#REF!</v>
      </c>
      <c r="AB1539" s="4" t="str">
        <f>IFERROR(__xludf.DUMMYFUNCTION("IFERROR(
  FILTER('CBK Students'!Q:Q, TRIM('CBK Students'!B:B) = TRIM(A1539)),
  """"
)"),"#REF!")</f>
        <v>#REF!</v>
      </c>
    </row>
    <row r="1540" ht="18.75" customHeight="1">
      <c r="T1540" s="239"/>
      <c r="U1540" s="239"/>
      <c r="V1540" s="239">
        <f>IFERROR(__xludf.DUMMYFUNCTION("""COMPUTED_VALUE"""),6590.0)</f>
        <v>6590</v>
      </c>
      <c r="W1540" s="240" t="str">
        <f t="shared" si="1"/>
        <v/>
      </c>
      <c r="X1540" s="239" t="str">
        <f>IFERROR(__xludf.DUMMYFUNCTION("""COMPUTED_VALUE"""),"Prepare for Showcase")</f>
        <v>Prepare for Showcase</v>
      </c>
      <c r="Y1540" s="4" t="str">
        <f t="shared" si="2"/>
        <v/>
      </c>
      <c r="Z1540" s="4" t="str">
        <f>IFERROR(__xludf.DUMMYFUNCTION("IFERROR(
  FILTER('CBK Students'!O:O, TRIM('CBK Students'!B:B) = TRIM(A1540)),
  """"
)"),"#REF!")</f>
        <v>#REF!</v>
      </c>
      <c r="AA1540" s="4" t="str">
        <f>IFERROR(__xludf.DUMMYFUNCTION("IFERROR(
  FILTER('CBK Students'!P:P, TRIM('CBK Students'!B:B) = TRIM(A1540)),
  """"
)"),"#REF!")</f>
        <v>#REF!</v>
      </c>
      <c r="AB1540" s="4" t="str">
        <f>IFERROR(__xludf.DUMMYFUNCTION("IFERROR(
  FILTER('CBK Students'!Q:Q, TRIM('CBK Students'!B:B) = TRIM(A1540)),
  """"
)"),"#REF!")</f>
        <v>#REF!</v>
      </c>
    </row>
    <row r="1541" ht="18.75" customHeight="1">
      <c r="T1541" s="239"/>
      <c r="U1541" s="239"/>
      <c r="V1541" s="239">
        <f>IFERROR(__xludf.DUMMYFUNCTION("""COMPUTED_VALUE"""),6590.0)</f>
        <v>6590</v>
      </c>
      <c r="W1541" s="240" t="str">
        <f t="shared" si="1"/>
        <v/>
      </c>
      <c r="X1541" s="239" t="str">
        <f>IFERROR(__xludf.DUMMYFUNCTION("""COMPUTED_VALUE"""),"Prepare for Showcase")</f>
        <v>Prepare for Showcase</v>
      </c>
      <c r="Y1541" s="4" t="str">
        <f t="shared" si="2"/>
        <v/>
      </c>
      <c r="Z1541" s="4" t="str">
        <f>IFERROR(__xludf.DUMMYFUNCTION("IFERROR(
  FILTER('CBK Students'!O:O, TRIM('CBK Students'!B:B) = TRIM(A1541)),
  """"
)"),"#REF!")</f>
        <v>#REF!</v>
      </c>
      <c r="AA1541" s="4" t="str">
        <f>IFERROR(__xludf.DUMMYFUNCTION("IFERROR(
  FILTER('CBK Students'!P:P, TRIM('CBK Students'!B:B) = TRIM(A1541)),
  """"
)"),"#REF!")</f>
        <v>#REF!</v>
      </c>
      <c r="AB1541" s="4" t="str">
        <f>IFERROR(__xludf.DUMMYFUNCTION("IFERROR(
  FILTER('CBK Students'!Q:Q, TRIM('CBK Students'!B:B) = TRIM(A1541)),
  """"
)"),"#REF!")</f>
        <v>#REF!</v>
      </c>
    </row>
    <row r="1542" ht="18.75" customHeight="1">
      <c r="T1542" s="239"/>
      <c r="U1542" s="239"/>
      <c r="V1542" s="239">
        <f>IFERROR(__xludf.DUMMYFUNCTION("""COMPUTED_VALUE"""),6590.0)</f>
        <v>6590</v>
      </c>
      <c r="W1542" s="240" t="str">
        <f t="shared" si="1"/>
        <v/>
      </c>
      <c r="X1542" s="239" t="str">
        <f>IFERROR(__xludf.DUMMYFUNCTION("""COMPUTED_VALUE"""),"Prepare for Showcase")</f>
        <v>Prepare for Showcase</v>
      </c>
      <c r="Y1542" s="4" t="str">
        <f t="shared" si="2"/>
        <v/>
      </c>
      <c r="Z1542" s="4" t="str">
        <f>IFERROR(__xludf.DUMMYFUNCTION("IFERROR(
  FILTER('CBK Students'!O:O, TRIM('CBK Students'!B:B) = TRIM(A1542)),
  """"
)"),"#REF!")</f>
        <v>#REF!</v>
      </c>
      <c r="AA1542" s="4" t="str">
        <f>IFERROR(__xludf.DUMMYFUNCTION("IFERROR(
  FILTER('CBK Students'!P:P, TRIM('CBK Students'!B:B) = TRIM(A1542)),
  """"
)"),"#REF!")</f>
        <v>#REF!</v>
      </c>
      <c r="AB1542" s="4" t="str">
        <f>IFERROR(__xludf.DUMMYFUNCTION("IFERROR(
  FILTER('CBK Students'!Q:Q, TRIM('CBK Students'!B:B) = TRIM(A1542)),
  """"
)"),"#REF!")</f>
        <v>#REF!</v>
      </c>
    </row>
    <row r="1543" ht="18.75" customHeight="1">
      <c r="T1543" s="239"/>
      <c r="U1543" s="239"/>
      <c r="V1543" s="239">
        <f>IFERROR(__xludf.DUMMYFUNCTION("""COMPUTED_VALUE"""),6590.0)</f>
        <v>6590</v>
      </c>
      <c r="W1543" s="240" t="str">
        <f t="shared" si="1"/>
        <v/>
      </c>
      <c r="X1543" s="239" t="str">
        <f>IFERROR(__xludf.DUMMYFUNCTION("""COMPUTED_VALUE"""),"Prepare for Showcase")</f>
        <v>Prepare for Showcase</v>
      </c>
      <c r="Y1543" s="4" t="str">
        <f t="shared" si="2"/>
        <v/>
      </c>
      <c r="Z1543" s="4" t="str">
        <f>IFERROR(__xludf.DUMMYFUNCTION("IFERROR(
  FILTER('CBK Students'!O:O, TRIM('CBK Students'!B:B) = TRIM(A1543)),
  """"
)"),"#REF!")</f>
        <v>#REF!</v>
      </c>
      <c r="AA1543" s="4" t="str">
        <f>IFERROR(__xludf.DUMMYFUNCTION("IFERROR(
  FILTER('CBK Students'!P:P, TRIM('CBK Students'!B:B) = TRIM(A1543)),
  """"
)"),"#REF!")</f>
        <v>#REF!</v>
      </c>
      <c r="AB1543" s="4" t="str">
        <f>IFERROR(__xludf.DUMMYFUNCTION("IFERROR(
  FILTER('CBK Students'!Q:Q, TRIM('CBK Students'!B:B) = TRIM(A1543)),
  """"
)"),"#REF!")</f>
        <v>#REF!</v>
      </c>
    </row>
    <row r="1544" ht="18.75" customHeight="1">
      <c r="T1544" s="239"/>
      <c r="U1544" s="239"/>
      <c r="V1544" s="239">
        <f>IFERROR(__xludf.DUMMYFUNCTION("""COMPUTED_VALUE"""),6590.0)</f>
        <v>6590</v>
      </c>
      <c r="W1544" s="240" t="str">
        <f t="shared" si="1"/>
        <v/>
      </c>
      <c r="X1544" s="239" t="str">
        <f>IFERROR(__xludf.DUMMYFUNCTION("""COMPUTED_VALUE"""),"Prepare for Showcase")</f>
        <v>Prepare for Showcase</v>
      </c>
      <c r="Y1544" s="4" t="str">
        <f t="shared" si="2"/>
        <v/>
      </c>
      <c r="Z1544" s="4" t="str">
        <f>IFERROR(__xludf.DUMMYFUNCTION("IFERROR(
  FILTER('CBK Students'!O:O, TRIM('CBK Students'!B:B) = TRIM(A1544)),
  """"
)"),"#REF!")</f>
        <v>#REF!</v>
      </c>
      <c r="AA1544" s="4" t="str">
        <f>IFERROR(__xludf.DUMMYFUNCTION("IFERROR(
  FILTER('CBK Students'!P:P, TRIM('CBK Students'!B:B) = TRIM(A1544)),
  """"
)"),"#REF!")</f>
        <v>#REF!</v>
      </c>
      <c r="AB1544" s="4" t="str">
        <f>IFERROR(__xludf.DUMMYFUNCTION("IFERROR(
  FILTER('CBK Students'!Q:Q, TRIM('CBK Students'!B:B) = TRIM(A1544)),
  """"
)"),"#REF!")</f>
        <v>#REF!</v>
      </c>
    </row>
    <row r="1545" ht="18.75" customHeight="1">
      <c r="T1545" s="239"/>
      <c r="U1545" s="239"/>
      <c r="V1545" s="239">
        <f>IFERROR(__xludf.DUMMYFUNCTION("""COMPUTED_VALUE"""),6590.0)</f>
        <v>6590</v>
      </c>
      <c r="W1545" s="240" t="str">
        <f t="shared" si="1"/>
        <v/>
      </c>
      <c r="X1545" s="239" t="str">
        <f>IFERROR(__xludf.DUMMYFUNCTION("""COMPUTED_VALUE"""),"Prepare for Showcase")</f>
        <v>Prepare for Showcase</v>
      </c>
      <c r="Y1545" s="4" t="str">
        <f t="shared" si="2"/>
        <v/>
      </c>
      <c r="Z1545" s="4" t="str">
        <f>IFERROR(__xludf.DUMMYFUNCTION("IFERROR(
  FILTER('CBK Students'!O:O, TRIM('CBK Students'!B:B) = TRIM(A1545)),
  """"
)"),"#REF!")</f>
        <v>#REF!</v>
      </c>
      <c r="AA1545" s="4" t="str">
        <f>IFERROR(__xludf.DUMMYFUNCTION("IFERROR(
  FILTER('CBK Students'!P:P, TRIM('CBK Students'!B:B) = TRIM(A1545)),
  """"
)"),"#REF!")</f>
        <v>#REF!</v>
      </c>
      <c r="AB1545" s="4" t="str">
        <f>IFERROR(__xludf.DUMMYFUNCTION("IFERROR(
  FILTER('CBK Students'!Q:Q, TRIM('CBK Students'!B:B) = TRIM(A1545)),
  """"
)"),"#REF!")</f>
        <v>#REF!</v>
      </c>
    </row>
    <row r="1546" ht="18.75" customHeight="1">
      <c r="T1546" s="239"/>
      <c r="U1546" s="239"/>
      <c r="V1546" s="239">
        <f>IFERROR(__xludf.DUMMYFUNCTION("""COMPUTED_VALUE"""),6590.0)</f>
        <v>6590</v>
      </c>
      <c r="W1546" s="240" t="str">
        <f t="shared" si="1"/>
        <v/>
      </c>
      <c r="X1546" s="239" t="str">
        <f>IFERROR(__xludf.DUMMYFUNCTION("""COMPUTED_VALUE"""),"Prepare for Showcase")</f>
        <v>Prepare for Showcase</v>
      </c>
      <c r="Y1546" s="4" t="str">
        <f t="shared" si="2"/>
        <v/>
      </c>
      <c r="Z1546" s="4" t="str">
        <f>IFERROR(__xludf.DUMMYFUNCTION("IFERROR(
  FILTER('CBK Students'!O:O, TRIM('CBK Students'!B:B) = TRIM(A1546)),
  """"
)"),"#REF!")</f>
        <v>#REF!</v>
      </c>
      <c r="AA1546" s="4" t="str">
        <f>IFERROR(__xludf.DUMMYFUNCTION("IFERROR(
  FILTER('CBK Students'!P:P, TRIM('CBK Students'!B:B) = TRIM(A1546)),
  """"
)"),"#REF!")</f>
        <v>#REF!</v>
      </c>
      <c r="AB1546" s="4" t="str">
        <f>IFERROR(__xludf.DUMMYFUNCTION("IFERROR(
  FILTER('CBK Students'!Q:Q, TRIM('CBK Students'!B:B) = TRIM(A1546)),
  """"
)"),"#REF!")</f>
        <v>#REF!</v>
      </c>
    </row>
    <row r="1547" ht="18.75" customHeight="1">
      <c r="T1547" s="239"/>
      <c r="U1547" s="239"/>
      <c r="V1547" s="239">
        <f>IFERROR(__xludf.DUMMYFUNCTION("""COMPUTED_VALUE"""),6590.0)</f>
        <v>6590</v>
      </c>
      <c r="W1547" s="240" t="str">
        <f t="shared" si="1"/>
        <v/>
      </c>
      <c r="X1547" s="239" t="str">
        <f>IFERROR(__xludf.DUMMYFUNCTION("""COMPUTED_VALUE"""),"Prepare for Showcase")</f>
        <v>Prepare for Showcase</v>
      </c>
      <c r="Y1547" s="4" t="str">
        <f t="shared" si="2"/>
        <v/>
      </c>
      <c r="Z1547" s="4" t="str">
        <f>IFERROR(__xludf.DUMMYFUNCTION("IFERROR(
  FILTER('CBK Students'!O:O, TRIM('CBK Students'!B:B) = TRIM(A1547)),
  """"
)"),"#REF!")</f>
        <v>#REF!</v>
      </c>
      <c r="AA1547" s="4" t="str">
        <f>IFERROR(__xludf.DUMMYFUNCTION("IFERROR(
  FILTER('CBK Students'!P:P, TRIM('CBK Students'!B:B) = TRIM(A1547)),
  """"
)"),"#REF!")</f>
        <v>#REF!</v>
      </c>
      <c r="AB1547" s="4" t="str">
        <f>IFERROR(__xludf.DUMMYFUNCTION("IFERROR(
  FILTER('CBK Students'!Q:Q, TRIM('CBK Students'!B:B) = TRIM(A1547)),
  """"
)"),"#REF!")</f>
        <v>#REF!</v>
      </c>
    </row>
    <row r="1548" ht="18.75" customHeight="1">
      <c r="T1548" s="239"/>
      <c r="U1548" s="239"/>
      <c r="V1548" s="239">
        <f>IFERROR(__xludf.DUMMYFUNCTION("""COMPUTED_VALUE"""),6590.0)</f>
        <v>6590</v>
      </c>
      <c r="W1548" s="240" t="str">
        <f t="shared" si="1"/>
        <v/>
      </c>
      <c r="X1548" s="239" t="str">
        <f>IFERROR(__xludf.DUMMYFUNCTION("""COMPUTED_VALUE"""),"Prepare for Showcase")</f>
        <v>Prepare for Showcase</v>
      </c>
      <c r="Y1548" s="4" t="str">
        <f t="shared" si="2"/>
        <v/>
      </c>
      <c r="Z1548" s="4" t="str">
        <f>IFERROR(__xludf.DUMMYFUNCTION("IFERROR(
  FILTER('CBK Students'!O:O, TRIM('CBK Students'!B:B) = TRIM(A1548)),
  """"
)"),"#REF!")</f>
        <v>#REF!</v>
      </c>
      <c r="AA1548" s="4" t="str">
        <f>IFERROR(__xludf.DUMMYFUNCTION("IFERROR(
  FILTER('CBK Students'!P:P, TRIM('CBK Students'!B:B) = TRIM(A1548)),
  """"
)"),"#REF!")</f>
        <v>#REF!</v>
      </c>
      <c r="AB1548" s="4" t="str">
        <f>IFERROR(__xludf.DUMMYFUNCTION("IFERROR(
  FILTER('CBK Students'!Q:Q, TRIM('CBK Students'!B:B) = TRIM(A1548)),
  """"
)"),"#REF!")</f>
        <v>#REF!</v>
      </c>
    </row>
    <row r="1549" ht="18.75" customHeight="1">
      <c r="T1549" s="239"/>
      <c r="U1549" s="239"/>
      <c r="V1549" s="239">
        <f>IFERROR(__xludf.DUMMYFUNCTION("""COMPUTED_VALUE"""),6590.0)</f>
        <v>6590</v>
      </c>
      <c r="W1549" s="240" t="str">
        <f t="shared" si="1"/>
        <v/>
      </c>
      <c r="X1549" s="239" t="str">
        <f>IFERROR(__xludf.DUMMYFUNCTION("""COMPUTED_VALUE"""),"Prepare for Showcase")</f>
        <v>Prepare for Showcase</v>
      </c>
      <c r="Y1549" s="4" t="str">
        <f t="shared" si="2"/>
        <v/>
      </c>
      <c r="Z1549" s="4" t="str">
        <f>IFERROR(__xludf.DUMMYFUNCTION("IFERROR(
  FILTER('CBK Students'!O:O, TRIM('CBK Students'!B:B) = TRIM(A1549)),
  """"
)"),"#REF!")</f>
        <v>#REF!</v>
      </c>
      <c r="AA1549" s="4" t="str">
        <f>IFERROR(__xludf.DUMMYFUNCTION("IFERROR(
  FILTER('CBK Students'!P:P, TRIM('CBK Students'!B:B) = TRIM(A1549)),
  """"
)"),"#REF!")</f>
        <v>#REF!</v>
      </c>
      <c r="AB1549" s="4" t="str">
        <f>IFERROR(__xludf.DUMMYFUNCTION("IFERROR(
  FILTER('CBK Students'!Q:Q, TRIM('CBK Students'!B:B) = TRIM(A1549)),
  """"
)"),"#REF!")</f>
        <v>#REF!</v>
      </c>
    </row>
    <row r="1550" ht="18.75" customHeight="1">
      <c r="T1550" s="239"/>
      <c r="U1550" s="239"/>
      <c r="V1550" s="239">
        <f>IFERROR(__xludf.DUMMYFUNCTION("""COMPUTED_VALUE"""),6590.0)</f>
        <v>6590</v>
      </c>
      <c r="W1550" s="240" t="str">
        <f t="shared" si="1"/>
        <v/>
      </c>
      <c r="X1550" s="239" t="str">
        <f>IFERROR(__xludf.DUMMYFUNCTION("""COMPUTED_VALUE"""),"Prepare for Showcase")</f>
        <v>Prepare for Showcase</v>
      </c>
      <c r="Y1550" s="4" t="str">
        <f t="shared" si="2"/>
        <v/>
      </c>
      <c r="Z1550" s="4" t="str">
        <f>IFERROR(__xludf.DUMMYFUNCTION("IFERROR(
  FILTER('CBK Students'!O:O, TRIM('CBK Students'!B:B) = TRIM(A1550)),
  """"
)"),"#REF!")</f>
        <v>#REF!</v>
      </c>
      <c r="AA1550" s="4" t="str">
        <f>IFERROR(__xludf.DUMMYFUNCTION("IFERROR(
  FILTER('CBK Students'!P:P, TRIM('CBK Students'!B:B) = TRIM(A1550)),
  """"
)"),"#REF!")</f>
        <v>#REF!</v>
      </c>
      <c r="AB1550" s="4" t="str">
        <f>IFERROR(__xludf.DUMMYFUNCTION("IFERROR(
  FILTER('CBK Students'!Q:Q, TRIM('CBK Students'!B:B) = TRIM(A1550)),
  """"
)"),"#REF!")</f>
        <v>#REF!</v>
      </c>
    </row>
    <row r="1551" ht="18.75" customHeight="1">
      <c r="T1551" s="239"/>
      <c r="U1551" s="239"/>
      <c r="V1551" s="239">
        <f>IFERROR(__xludf.DUMMYFUNCTION("""COMPUTED_VALUE"""),6590.0)</f>
        <v>6590</v>
      </c>
      <c r="W1551" s="240" t="str">
        <f t="shared" si="1"/>
        <v/>
      </c>
      <c r="X1551" s="239" t="str">
        <f>IFERROR(__xludf.DUMMYFUNCTION("""COMPUTED_VALUE"""),"Prepare for Showcase")</f>
        <v>Prepare for Showcase</v>
      </c>
      <c r="Y1551" s="4" t="str">
        <f t="shared" si="2"/>
        <v/>
      </c>
      <c r="Z1551" s="4" t="str">
        <f>IFERROR(__xludf.DUMMYFUNCTION("IFERROR(
  FILTER('CBK Students'!O:O, TRIM('CBK Students'!B:B) = TRIM(A1551)),
  """"
)"),"#REF!")</f>
        <v>#REF!</v>
      </c>
      <c r="AA1551" s="4" t="str">
        <f>IFERROR(__xludf.DUMMYFUNCTION("IFERROR(
  FILTER('CBK Students'!P:P, TRIM('CBK Students'!B:B) = TRIM(A1551)),
  """"
)"),"#REF!")</f>
        <v>#REF!</v>
      </c>
      <c r="AB1551" s="4" t="str">
        <f>IFERROR(__xludf.DUMMYFUNCTION("IFERROR(
  FILTER('CBK Students'!Q:Q, TRIM('CBK Students'!B:B) = TRIM(A1551)),
  """"
)"),"#REF!")</f>
        <v>#REF!</v>
      </c>
    </row>
    <row r="1552" ht="18.75" customHeight="1">
      <c r="T1552" s="239"/>
      <c r="U1552" s="239"/>
      <c r="V1552" s="239">
        <f>IFERROR(__xludf.DUMMYFUNCTION("""COMPUTED_VALUE"""),6590.0)</f>
        <v>6590</v>
      </c>
      <c r="W1552" s="240" t="str">
        <f t="shared" si="1"/>
        <v/>
      </c>
      <c r="X1552" s="239" t="str">
        <f>IFERROR(__xludf.DUMMYFUNCTION("""COMPUTED_VALUE"""),"Prepare for Showcase")</f>
        <v>Prepare for Showcase</v>
      </c>
      <c r="Y1552" s="4" t="str">
        <f t="shared" si="2"/>
        <v/>
      </c>
      <c r="Z1552" s="4" t="str">
        <f>IFERROR(__xludf.DUMMYFUNCTION("IFERROR(
  FILTER('CBK Students'!O:O, TRIM('CBK Students'!B:B) = TRIM(A1552)),
  """"
)"),"#REF!")</f>
        <v>#REF!</v>
      </c>
      <c r="AA1552" s="4" t="str">
        <f>IFERROR(__xludf.DUMMYFUNCTION("IFERROR(
  FILTER('CBK Students'!P:P, TRIM('CBK Students'!B:B) = TRIM(A1552)),
  """"
)"),"#REF!")</f>
        <v>#REF!</v>
      </c>
      <c r="AB1552" s="4" t="str">
        <f>IFERROR(__xludf.DUMMYFUNCTION("IFERROR(
  FILTER('CBK Students'!Q:Q, TRIM('CBK Students'!B:B) = TRIM(A1552)),
  """"
)"),"#REF!")</f>
        <v>#REF!</v>
      </c>
    </row>
    <row r="1553" ht="18.75" customHeight="1">
      <c r="T1553" s="239"/>
      <c r="U1553" s="239"/>
      <c r="V1553" s="239">
        <f>IFERROR(__xludf.DUMMYFUNCTION("""COMPUTED_VALUE"""),6590.0)</f>
        <v>6590</v>
      </c>
      <c r="W1553" s="240" t="str">
        <f t="shared" si="1"/>
        <v/>
      </c>
      <c r="X1553" s="239" t="str">
        <f>IFERROR(__xludf.DUMMYFUNCTION("""COMPUTED_VALUE"""),"Prepare for Showcase")</f>
        <v>Prepare for Showcase</v>
      </c>
      <c r="Y1553" s="4" t="str">
        <f t="shared" si="2"/>
        <v/>
      </c>
      <c r="Z1553" s="4" t="str">
        <f>IFERROR(__xludf.DUMMYFUNCTION("IFERROR(
  FILTER('CBK Students'!O:O, TRIM('CBK Students'!B:B) = TRIM(A1553)),
  """"
)"),"#REF!")</f>
        <v>#REF!</v>
      </c>
      <c r="AA1553" s="4" t="str">
        <f>IFERROR(__xludf.DUMMYFUNCTION("IFERROR(
  FILTER('CBK Students'!P:P, TRIM('CBK Students'!B:B) = TRIM(A1553)),
  """"
)"),"#REF!")</f>
        <v>#REF!</v>
      </c>
      <c r="AB1553" s="4" t="str">
        <f>IFERROR(__xludf.DUMMYFUNCTION("IFERROR(
  FILTER('CBK Students'!Q:Q, TRIM('CBK Students'!B:B) = TRIM(A1553)),
  """"
)"),"#REF!")</f>
        <v>#REF!</v>
      </c>
    </row>
    <row r="1554" ht="18.75" customHeight="1">
      <c r="T1554" s="239"/>
      <c r="U1554" s="239"/>
      <c r="V1554" s="239">
        <f>IFERROR(__xludf.DUMMYFUNCTION("""COMPUTED_VALUE"""),6590.0)</f>
        <v>6590</v>
      </c>
      <c r="W1554" s="240" t="str">
        <f t="shared" si="1"/>
        <v/>
      </c>
      <c r="X1554" s="239" t="str">
        <f>IFERROR(__xludf.DUMMYFUNCTION("""COMPUTED_VALUE"""),"Prepare for Showcase")</f>
        <v>Prepare for Showcase</v>
      </c>
      <c r="Y1554" s="4" t="str">
        <f t="shared" si="2"/>
        <v/>
      </c>
      <c r="Z1554" s="4" t="str">
        <f>IFERROR(__xludf.DUMMYFUNCTION("IFERROR(
  FILTER('CBK Students'!O:O, TRIM('CBK Students'!B:B) = TRIM(A1554)),
  """"
)"),"#REF!")</f>
        <v>#REF!</v>
      </c>
      <c r="AA1554" s="4" t="str">
        <f>IFERROR(__xludf.DUMMYFUNCTION("IFERROR(
  FILTER('CBK Students'!P:P, TRIM('CBK Students'!B:B) = TRIM(A1554)),
  """"
)"),"#REF!")</f>
        <v>#REF!</v>
      </c>
      <c r="AB1554" s="4" t="str">
        <f>IFERROR(__xludf.DUMMYFUNCTION("IFERROR(
  FILTER('CBK Students'!Q:Q, TRIM('CBK Students'!B:B) = TRIM(A1554)),
  """"
)"),"#REF!")</f>
        <v>#REF!</v>
      </c>
    </row>
    <row r="1555" ht="18.75" customHeight="1">
      <c r="T1555" s="239"/>
      <c r="U1555" s="239"/>
      <c r="V1555" s="239">
        <f>IFERROR(__xludf.DUMMYFUNCTION("""COMPUTED_VALUE"""),6590.0)</f>
        <v>6590</v>
      </c>
      <c r="W1555" s="240" t="str">
        <f t="shared" si="1"/>
        <v/>
      </c>
      <c r="X1555" s="239" t="str">
        <f>IFERROR(__xludf.DUMMYFUNCTION("""COMPUTED_VALUE"""),"Prepare for Showcase")</f>
        <v>Prepare for Showcase</v>
      </c>
      <c r="Y1555" s="4" t="str">
        <f t="shared" si="2"/>
        <v/>
      </c>
      <c r="Z1555" s="4" t="str">
        <f>IFERROR(__xludf.DUMMYFUNCTION("IFERROR(
  FILTER('CBK Students'!O:O, TRIM('CBK Students'!B:B) = TRIM(A1555)),
  """"
)"),"#REF!")</f>
        <v>#REF!</v>
      </c>
      <c r="AA1555" s="4" t="str">
        <f>IFERROR(__xludf.DUMMYFUNCTION("IFERROR(
  FILTER('CBK Students'!P:P, TRIM('CBK Students'!B:B) = TRIM(A1555)),
  """"
)"),"#REF!")</f>
        <v>#REF!</v>
      </c>
      <c r="AB1555" s="4" t="str">
        <f>IFERROR(__xludf.DUMMYFUNCTION("IFERROR(
  FILTER('CBK Students'!Q:Q, TRIM('CBK Students'!B:B) = TRIM(A1555)),
  """"
)"),"#REF!")</f>
        <v>#REF!</v>
      </c>
    </row>
    <row r="1556" ht="18.75" customHeight="1">
      <c r="T1556" s="239"/>
      <c r="U1556" s="239"/>
      <c r="V1556" s="239">
        <f>IFERROR(__xludf.DUMMYFUNCTION("""COMPUTED_VALUE"""),6590.0)</f>
        <v>6590</v>
      </c>
      <c r="W1556" s="240" t="str">
        <f t="shared" si="1"/>
        <v/>
      </c>
      <c r="X1556" s="239" t="str">
        <f>IFERROR(__xludf.DUMMYFUNCTION("""COMPUTED_VALUE"""),"Prepare for Showcase")</f>
        <v>Prepare for Showcase</v>
      </c>
      <c r="Y1556" s="4" t="str">
        <f t="shared" si="2"/>
        <v/>
      </c>
      <c r="Z1556" s="4" t="str">
        <f>IFERROR(__xludf.DUMMYFUNCTION("IFERROR(
  FILTER('CBK Students'!O:O, TRIM('CBK Students'!B:B) = TRIM(A1556)),
  """"
)"),"#REF!")</f>
        <v>#REF!</v>
      </c>
      <c r="AA1556" s="4" t="str">
        <f>IFERROR(__xludf.DUMMYFUNCTION("IFERROR(
  FILTER('CBK Students'!P:P, TRIM('CBK Students'!B:B) = TRIM(A1556)),
  """"
)"),"#REF!")</f>
        <v>#REF!</v>
      </c>
      <c r="AB1556" s="4" t="str">
        <f>IFERROR(__xludf.DUMMYFUNCTION("IFERROR(
  FILTER('CBK Students'!Q:Q, TRIM('CBK Students'!B:B) = TRIM(A1556)),
  """"
)"),"#REF!")</f>
        <v>#REF!</v>
      </c>
    </row>
    <row r="1557" ht="18.75" customHeight="1">
      <c r="T1557" s="239"/>
      <c r="U1557" s="239"/>
      <c r="V1557" s="239">
        <f>IFERROR(__xludf.DUMMYFUNCTION("""COMPUTED_VALUE"""),6590.0)</f>
        <v>6590</v>
      </c>
      <c r="W1557" s="240" t="str">
        <f t="shared" si="1"/>
        <v/>
      </c>
      <c r="X1557" s="239" t="str">
        <f>IFERROR(__xludf.DUMMYFUNCTION("""COMPUTED_VALUE"""),"Prepare for Showcase")</f>
        <v>Prepare for Showcase</v>
      </c>
      <c r="Y1557" s="4" t="str">
        <f t="shared" si="2"/>
        <v/>
      </c>
      <c r="Z1557" s="4" t="str">
        <f>IFERROR(__xludf.DUMMYFUNCTION("IFERROR(
  FILTER('CBK Students'!O:O, TRIM('CBK Students'!B:B) = TRIM(A1557)),
  """"
)"),"#REF!")</f>
        <v>#REF!</v>
      </c>
      <c r="AA1557" s="4" t="str">
        <f>IFERROR(__xludf.DUMMYFUNCTION("IFERROR(
  FILTER('CBK Students'!P:P, TRIM('CBK Students'!B:B) = TRIM(A1557)),
  """"
)"),"#REF!")</f>
        <v>#REF!</v>
      </c>
      <c r="AB1557" s="4" t="str">
        <f>IFERROR(__xludf.DUMMYFUNCTION("IFERROR(
  FILTER('CBK Students'!Q:Q, TRIM('CBK Students'!B:B) = TRIM(A1557)),
  """"
)"),"#REF!")</f>
        <v>#REF!</v>
      </c>
    </row>
    <row r="1558" ht="18.75" customHeight="1">
      <c r="T1558" s="239"/>
      <c r="U1558" s="239"/>
      <c r="V1558" s="239">
        <f>IFERROR(__xludf.DUMMYFUNCTION("""COMPUTED_VALUE"""),6590.0)</f>
        <v>6590</v>
      </c>
      <c r="W1558" s="240" t="str">
        <f t="shared" si="1"/>
        <v/>
      </c>
      <c r="X1558" s="239" t="str">
        <f>IFERROR(__xludf.DUMMYFUNCTION("""COMPUTED_VALUE"""),"Prepare for Showcase")</f>
        <v>Prepare for Showcase</v>
      </c>
      <c r="Y1558" s="4" t="str">
        <f t="shared" si="2"/>
        <v/>
      </c>
      <c r="Z1558" s="4" t="str">
        <f>IFERROR(__xludf.DUMMYFUNCTION("IFERROR(
  FILTER('CBK Students'!O:O, TRIM('CBK Students'!B:B) = TRIM(A1558)),
  """"
)"),"#REF!")</f>
        <v>#REF!</v>
      </c>
      <c r="AA1558" s="4" t="str">
        <f>IFERROR(__xludf.DUMMYFUNCTION("IFERROR(
  FILTER('CBK Students'!P:P, TRIM('CBK Students'!B:B) = TRIM(A1558)),
  """"
)"),"#REF!")</f>
        <v>#REF!</v>
      </c>
      <c r="AB1558" s="4" t="str">
        <f>IFERROR(__xludf.DUMMYFUNCTION("IFERROR(
  FILTER('CBK Students'!Q:Q, TRIM('CBK Students'!B:B) = TRIM(A1558)),
  """"
)"),"#REF!")</f>
        <v>#REF!</v>
      </c>
    </row>
    <row r="1559" ht="18.75" customHeight="1">
      <c r="T1559" s="239"/>
      <c r="U1559" s="239"/>
      <c r="V1559" s="239">
        <f>IFERROR(__xludf.DUMMYFUNCTION("""COMPUTED_VALUE"""),6590.0)</f>
        <v>6590</v>
      </c>
      <c r="W1559" s="240" t="str">
        <f t="shared" si="1"/>
        <v/>
      </c>
      <c r="X1559" s="239" t="str">
        <f>IFERROR(__xludf.DUMMYFUNCTION("""COMPUTED_VALUE"""),"Prepare for Showcase")</f>
        <v>Prepare for Showcase</v>
      </c>
      <c r="Y1559" s="4" t="str">
        <f t="shared" si="2"/>
        <v/>
      </c>
      <c r="Z1559" s="4" t="str">
        <f>IFERROR(__xludf.DUMMYFUNCTION("IFERROR(
  FILTER('CBK Students'!O:O, TRIM('CBK Students'!B:B) = TRIM(A1559)),
  """"
)"),"#REF!")</f>
        <v>#REF!</v>
      </c>
      <c r="AA1559" s="4" t="str">
        <f>IFERROR(__xludf.DUMMYFUNCTION("IFERROR(
  FILTER('CBK Students'!P:P, TRIM('CBK Students'!B:B) = TRIM(A1559)),
  """"
)"),"#REF!")</f>
        <v>#REF!</v>
      </c>
      <c r="AB1559" s="4" t="str">
        <f>IFERROR(__xludf.DUMMYFUNCTION("IFERROR(
  FILTER('CBK Students'!Q:Q, TRIM('CBK Students'!B:B) = TRIM(A1559)),
  """"
)"),"#REF!")</f>
        <v>#REF!</v>
      </c>
    </row>
    <row r="1560" ht="18.75" customHeight="1">
      <c r="T1560" s="239"/>
      <c r="U1560" s="239"/>
      <c r="V1560" s="239">
        <f>IFERROR(__xludf.DUMMYFUNCTION("""COMPUTED_VALUE"""),6590.0)</f>
        <v>6590</v>
      </c>
      <c r="W1560" s="240" t="str">
        <f t="shared" si="1"/>
        <v/>
      </c>
      <c r="X1560" s="239" t="str">
        <f>IFERROR(__xludf.DUMMYFUNCTION("""COMPUTED_VALUE"""),"Prepare for Showcase")</f>
        <v>Prepare for Showcase</v>
      </c>
      <c r="Y1560" s="4" t="str">
        <f t="shared" si="2"/>
        <v/>
      </c>
      <c r="Z1560" s="4" t="str">
        <f>IFERROR(__xludf.DUMMYFUNCTION("IFERROR(
  FILTER('CBK Students'!O:O, TRIM('CBK Students'!B:B) = TRIM(A1560)),
  """"
)"),"#REF!")</f>
        <v>#REF!</v>
      </c>
      <c r="AA1560" s="4" t="str">
        <f>IFERROR(__xludf.DUMMYFUNCTION("IFERROR(
  FILTER('CBK Students'!P:P, TRIM('CBK Students'!B:B) = TRIM(A1560)),
  """"
)"),"#REF!")</f>
        <v>#REF!</v>
      </c>
      <c r="AB1560" s="4" t="str">
        <f>IFERROR(__xludf.DUMMYFUNCTION("IFERROR(
  FILTER('CBK Students'!Q:Q, TRIM('CBK Students'!B:B) = TRIM(A1560)),
  """"
)"),"#REF!")</f>
        <v>#REF!</v>
      </c>
    </row>
    <row r="1561" ht="18.75" customHeight="1">
      <c r="T1561" s="239"/>
      <c r="U1561" s="239"/>
      <c r="V1561" s="239">
        <f>IFERROR(__xludf.DUMMYFUNCTION("""COMPUTED_VALUE"""),6590.0)</f>
        <v>6590</v>
      </c>
      <c r="W1561" s="240" t="str">
        <f t="shared" si="1"/>
        <v/>
      </c>
      <c r="X1561" s="239" t="str">
        <f>IFERROR(__xludf.DUMMYFUNCTION("""COMPUTED_VALUE"""),"Prepare for Showcase")</f>
        <v>Prepare for Showcase</v>
      </c>
      <c r="Y1561" s="4" t="str">
        <f t="shared" si="2"/>
        <v/>
      </c>
      <c r="Z1561" s="4" t="str">
        <f>IFERROR(__xludf.DUMMYFUNCTION("IFERROR(
  FILTER('CBK Students'!O:O, TRIM('CBK Students'!B:B) = TRIM(A1561)),
  """"
)"),"#REF!")</f>
        <v>#REF!</v>
      </c>
      <c r="AA1561" s="4" t="str">
        <f>IFERROR(__xludf.DUMMYFUNCTION("IFERROR(
  FILTER('CBK Students'!P:P, TRIM('CBK Students'!B:B) = TRIM(A1561)),
  """"
)"),"#REF!")</f>
        <v>#REF!</v>
      </c>
      <c r="AB1561" s="4" t="str">
        <f>IFERROR(__xludf.DUMMYFUNCTION("IFERROR(
  FILTER('CBK Students'!Q:Q, TRIM('CBK Students'!B:B) = TRIM(A1561)),
  """"
)"),"#REF!")</f>
        <v>#REF!</v>
      </c>
    </row>
    <row r="1562" ht="18.75" customHeight="1">
      <c r="T1562" s="239"/>
      <c r="U1562" s="239"/>
      <c r="V1562" s="239">
        <f>IFERROR(__xludf.DUMMYFUNCTION("""COMPUTED_VALUE"""),6590.0)</f>
        <v>6590</v>
      </c>
      <c r="W1562" s="240" t="str">
        <f t="shared" si="1"/>
        <v/>
      </c>
      <c r="X1562" s="239" t="str">
        <f>IFERROR(__xludf.DUMMYFUNCTION("""COMPUTED_VALUE"""),"Prepare for Showcase")</f>
        <v>Prepare for Showcase</v>
      </c>
      <c r="Y1562" s="4" t="str">
        <f t="shared" si="2"/>
        <v/>
      </c>
      <c r="Z1562" s="4" t="str">
        <f>IFERROR(__xludf.DUMMYFUNCTION("IFERROR(
  FILTER('CBK Students'!O:O, TRIM('CBK Students'!B:B) = TRIM(A1562)),
  """"
)"),"#REF!")</f>
        <v>#REF!</v>
      </c>
      <c r="AA1562" s="4" t="str">
        <f>IFERROR(__xludf.DUMMYFUNCTION("IFERROR(
  FILTER('CBK Students'!P:P, TRIM('CBK Students'!B:B) = TRIM(A1562)),
  """"
)"),"#REF!")</f>
        <v>#REF!</v>
      </c>
      <c r="AB1562" s="4" t="str">
        <f>IFERROR(__xludf.DUMMYFUNCTION("IFERROR(
  FILTER('CBK Students'!Q:Q, TRIM('CBK Students'!B:B) = TRIM(A1562)),
  """"
)"),"#REF!")</f>
        <v>#REF!</v>
      </c>
    </row>
    <row r="1563" ht="18.75" customHeight="1">
      <c r="T1563" s="239"/>
      <c r="U1563" s="239"/>
      <c r="V1563" s="239">
        <f>IFERROR(__xludf.DUMMYFUNCTION("""COMPUTED_VALUE"""),6590.0)</f>
        <v>6590</v>
      </c>
      <c r="W1563" s="240" t="str">
        <f t="shared" si="1"/>
        <v/>
      </c>
      <c r="X1563" s="239" t="str">
        <f>IFERROR(__xludf.DUMMYFUNCTION("""COMPUTED_VALUE"""),"Prepare for Showcase")</f>
        <v>Prepare for Showcase</v>
      </c>
      <c r="Y1563" s="4" t="str">
        <f t="shared" si="2"/>
        <v/>
      </c>
      <c r="Z1563" s="4" t="str">
        <f>IFERROR(__xludf.DUMMYFUNCTION("IFERROR(
  FILTER('CBK Students'!O:O, TRIM('CBK Students'!B:B) = TRIM(A1563)),
  """"
)"),"#REF!")</f>
        <v>#REF!</v>
      </c>
      <c r="AA1563" s="4" t="str">
        <f>IFERROR(__xludf.DUMMYFUNCTION("IFERROR(
  FILTER('CBK Students'!P:P, TRIM('CBK Students'!B:B) = TRIM(A1563)),
  """"
)"),"#REF!")</f>
        <v>#REF!</v>
      </c>
      <c r="AB1563" s="4" t="str">
        <f>IFERROR(__xludf.DUMMYFUNCTION("IFERROR(
  FILTER('CBK Students'!Q:Q, TRIM('CBK Students'!B:B) = TRIM(A1563)),
  """"
)"),"#REF!")</f>
        <v>#REF!</v>
      </c>
    </row>
    <row r="1564" ht="18.75" customHeight="1">
      <c r="T1564" s="239"/>
      <c r="U1564" s="239"/>
      <c r="V1564" s="239">
        <f>IFERROR(__xludf.DUMMYFUNCTION("""COMPUTED_VALUE"""),6590.0)</f>
        <v>6590</v>
      </c>
      <c r="W1564" s="240" t="str">
        <f t="shared" si="1"/>
        <v/>
      </c>
      <c r="X1564" s="239" t="str">
        <f>IFERROR(__xludf.DUMMYFUNCTION("""COMPUTED_VALUE"""),"Prepare for Showcase")</f>
        <v>Prepare for Showcase</v>
      </c>
      <c r="Y1564" s="4" t="str">
        <f t="shared" si="2"/>
        <v/>
      </c>
      <c r="Z1564" s="4" t="str">
        <f>IFERROR(__xludf.DUMMYFUNCTION("IFERROR(
  FILTER('CBK Students'!O:O, TRIM('CBK Students'!B:B) = TRIM(A1564)),
  """"
)"),"#REF!")</f>
        <v>#REF!</v>
      </c>
      <c r="AA1564" s="4" t="str">
        <f>IFERROR(__xludf.DUMMYFUNCTION("IFERROR(
  FILTER('CBK Students'!P:P, TRIM('CBK Students'!B:B) = TRIM(A1564)),
  """"
)"),"#REF!")</f>
        <v>#REF!</v>
      </c>
      <c r="AB1564" s="4" t="str">
        <f>IFERROR(__xludf.DUMMYFUNCTION("IFERROR(
  FILTER('CBK Students'!Q:Q, TRIM('CBK Students'!B:B) = TRIM(A1564)),
  """"
)"),"#REF!")</f>
        <v>#REF!</v>
      </c>
    </row>
    <row r="1565" ht="18.75" customHeight="1">
      <c r="T1565" s="239"/>
      <c r="U1565" s="239"/>
      <c r="V1565" s="239">
        <f>IFERROR(__xludf.DUMMYFUNCTION("""COMPUTED_VALUE"""),6590.0)</f>
        <v>6590</v>
      </c>
      <c r="W1565" s="240" t="str">
        <f t="shared" si="1"/>
        <v/>
      </c>
      <c r="X1565" s="239" t="str">
        <f>IFERROR(__xludf.DUMMYFUNCTION("""COMPUTED_VALUE"""),"Prepare for Showcase")</f>
        <v>Prepare for Showcase</v>
      </c>
      <c r="Y1565" s="4" t="str">
        <f t="shared" si="2"/>
        <v/>
      </c>
      <c r="Z1565" s="4" t="str">
        <f>IFERROR(__xludf.DUMMYFUNCTION("IFERROR(
  FILTER('CBK Students'!O:O, TRIM('CBK Students'!B:B) = TRIM(A1565)),
  """"
)"),"#REF!")</f>
        <v>#REF!</v>
      </c>
      <c r="AA1565" s="4" t="str">
        <f>IFERROR(__xludf.DUMMYFUNCTION("IFERROR(
  FILTER('CBK Students'!P:P, TRIM('CBK Students'!B:B) = TRIM(A1565)),
  """"
)"),"#REF!")</f>
        <v>#REF!</v>
      </c>
      <c r="AB1565" s="4" t="str">
        <f>IFERROR(__xludf.DUMMYFUNCTION("IFERROR(
  FILTER('CBK Students'!Q:Q, TRIM('CBK Students'!B:B) = TRIM(A1565)),
  """"
)"),"#REF!")</f>
        <v>#REF!</v>
      </c>
    </row>
    <row r="1566" ht="18.75" customHeight="1">
      <c r="T1566" s="239"/>
      <c r="U1566" s="239"/>
      <c r="V1566" s="239">
        <f>IFERROR(__xludf.DUMMYFUNCTION("""COMPUTED_VALUE"""),6590.0)</f>
        <v>6590</v>
      </c>
      <c r="W1566" s="240" t="str">
        <f t="shared" si="1"/>
        <v/>
      </c>
      <c r="X1566" s="239" t="str">
        <f>IFERROR(__xludf.DUMMYFUNCTION("""COMPUTED_VALUE"""),"Prepare for Showcase")</f>
        <v>Prepare for Showcase</v>
      </c>
      <c r="Y1566" s="4" t="str">
        <f t="shared" si="2"/>
        <v/>
      </c>
      <c r="Z1566" s="4" t="str">
        <f>IFERROR(__xludf.DUMMYFUNCTION("IFERROR(
  FILTER('CBK Students'!O:O, TRIM('CBK Students'!B:B) = TRIM(A1566)),
  """"
)"),"#REF!")</f>
        <v>#REF!</v>
      </c>
      <c r="AA1566" s="4" t="str">
        <f>IFERROR(__xludf.DUMMYFUNCTION("IFERROR(
  FILTER('CBK Students'!P:P, TRIM('CBK Students'!B:B) = TRIM(A1566)),
  """"
)"),"#REF!")</f>
        <v>#REF!</v>
      </c>
      <c r="AB1566" s="4" t="str">
        <f>IFERROR(__xludf.DUMMYFUNCTION("IFERROR(
  FILTER('CBK Students'!Q:Q, TRIM('CBK Students'!B:B) = TRIM(A1566)),
  """"
)"),"#REF!")</f>
        <v>#REF!</v>
      </c>
    </row>
    <row r="1567" ht="18.75" customHeight="1">
      <c r="T1567" s="239"/>
      <c r="U1567" s="239"/>
      <c r="V1567" s="239">
        <f>IFERROR(__xludf.DUMMYFUNCTION("""COMPUTED_VALUE"""),6590.0)</f>
        <v>6590</v>
      </c>
      <c r="W1567" s="240" t="str">
        <f t="shared" si="1"/>
        <v/>
      </c>
      <c r="X1567" s="239" t="str">
        <f>IFERROR(__xludf.DUMMYFUNCTION("""COMPUTED_VALUE"""),"Prepare for Showcase")</f>
        <v>Prepare for Showcase</v>
      </c>
      <c r="Y1567" s="4" t="str">
        <f t="shared" si="2"/>
        <v/>
      </c>
      <c r="Z1567" s="4" t="str">
        <f>IFERROR(__xludf.DUMMYFUNCTION("IFERROR(
  FILTER('CBK Students'!O:O, TRIM('CBK Students'!B:B) = TRIM(A1567)),
  """"
)"),"#REF!")</f>
        <v>#REF!</v>
      </c>
      <c r="AA1567" s="4" t="str">
        <f>IFERROR(__xludf.DUMMYFUNCTION("IFERROR(
  FILTER('CBK Students'!P:P, TRIM('CBK Students'!B:B) = TRIM(A1567)),
  """"
)"),"#REF!")</f>
        <v>#REF!</v>
      </c>
      <c r="AB1567" s="4" t="str">
        <f>IFERROR(__xludf.DUMMYFUNCTION("IFERROR(
  FILTER('CBK Students'!Q:Q, TRIM('CBK Students'!B:B) = TRIM(A1567)),
  """"
)"),"#REF!")</f>
        <v>#REF!</v>
      </c>
    </row>
    <row r="1568" ht="18.75" customHeight="1">
      <c r="T1568" s="239"/>
      <c r="U1568" s="239"/>
      <c r="V1568" s="239">
        <f>IFERROR(__xludf.DUMMYFUNCTION("""COMPUTED_VALUE"""),6590.0)</f>
        <v>6590</v>
      </c>
      <c r="W1568" s="240" t="str">
        <f t="shared" si="1"/>
        <v/>
      </c>
      <c r="X1568" s="239" t="str">
        <f>IFERROR(__xludf.DUMMYFUNCTION("""COMPUTED_VALUE"""),"Prepare for Showcase")</f>
        <v>Prepare for Showcase</v>
      </c>
      <c r="Y1568" s="4" t="str">
        <f t="shared" si="2"/>
        <v/>
      </c>
      <c r="Z1568" s="4" t="str">
        <f>IFERROR(__xludf.DUMMYFUNCTION("IFERROR(
  FILTER('CBK Students'!O:O, TRIM('CBK Students'!B:B) = TRIM(A1568)),
  """"
)"),"#REF!")</f>
        <v>#REF!</v>
      </c>
      <c r="AA1568" s="4" t="str">
        <f>IFERROR(__xludf.DUMMYFUNCTION("IFERROR(
  FILTER('CBK Students'!P:P, TRIM('CBK Students'!B:B) = TRIM(A1568)),
  """"
)"),"#REF!")</f>
        <v>#REF!</v>
      </c>
      <c r="AB1568" s="4" t="str">
        <f>IFERROR(__xludf.DUMMYFUNCTION("IFERROR(
  FILTER('CBK Students'!Q:Q, TRIM('CBK Students'!B:B) = TRIM(A1568)),
  """"
)"),"#REF!")</f>
        <v>#REF!</v>
      </c>
    </row>
    <row r="1569" ht="18.75" customHeight="1">
      <c r="T1569" s="239"/>
      <c r="U1569" s="239"/>
      <c r="V1569" s="239">
        <f>IFERROR(__xludf.DUMMYFUNCTION("""COMPUTED_VALUE"""),6590.0)</f>
        <v>6590</v>
      </c>
      <c r="W1569" s="240" t="str">
        <f t="shared" si="1"/>
        <v/>
      </c>
      <c r="X1569" s="239" t="str">
        <f>IFERROR(__xludf.DUMMYFUNCTION("""COMPUTED_VALUE"""),"Prepare for Showcase")</f>
        <v>Prepare for Showcase</v>
      </c>
      <c r="Y1569" s="4" t="str">
        <f t="shared" si="2"/>
        <v/>
      </c>
      <c r="Z1569" s="4" t="str">
        <f>IFERROR(__xludf.DUMMYFUNCTION("IFERROR(
  FILTER('CBK Students'!O:O, TRIM('CBK Students'!B:B) = TRIM(A1569)),
  """"
)"),"#REF!")</f>
        <v>#REF!</v>
      </c>
      <c r="AA1569" s="4" t="str">
        <f>IFERROR(__xludf.DUMMYFUNCTION("IFERROR(
  FILTER('CBK Students'!P:P, TRIM('CBK Students'!B:B) = TRIM(A1569)),
  """"
)"),"#REF!")</f>
        <v>#REF!</v>
      </c>
      <c r="AB1569" s="4" t="str">
        <f>IFERROR(__xludf.DUMMYFUNCTION("IFERROR(
  FILTER('CBK Students'!Q:Q, TRIM('CBK Students'!B:B) = TRIM(A1569)),
  """"
)"),"#REF!")</f>
        <v>#REF!</v>
      </c>
    </row>
    <row r="1570" ht="18.75" customHeight="1">
      <c r="T1570" s="239"/>
      <c r="U1570" s="239"/>
      <c r="V1570" s="239">
        <f>IFERROR(__xludf.DUMMYFUNCTION("""COMPUTED_VALUE"""),6590.0)</f>
        <v>6590</v>
      </c>
      <c r="W1570" s="240" t="str">
        <f t="shared" si="1"/>
        <v/>
      </c>
      <c r="X1570" s="239" t="str">
        <f>IFERROR(__xludf.DUMMYFUNCTION("""COMPUTED_VALUE"""),"Prepare for Showcase")</f>
        <v>Prepare for Showcase</v>
      </c>
      <c r="Y1570" s="4" t="str">
        <f t="shared" si="2"/>
        <v/>
      </c>
      <c r="Z1570" s="4" t="str">
        <f>IFERROR(__xludf.DUMMYFUNCTION("IFERROR(
  FILTER('CBK Students'!O:O, TRIM('CBK Students'!B:B) = TRIM(A1570)),
  """"
)"),"#REF!")</f>
        <v>#REF!</v>
      </c>
      <c r="AA1570" s="4" t="str">
        <f>IFERROR(__xludf.DUMMYFUNCTION("IFERROR(
  FILTER('CBK Students'!P:P, TRIM('CBK Students'!B:B) = TRIM(A1570)),
  """"
)"),"#REF!")</f>
        <v>#REF!</v>
      </c>
      <c r="AB1570" s="4" t="str">
        <f>IFERROR(__xludf.DUMMYFUNCTION("IFERROR(
  FILTER('CBK Students'!Q:Q, TRIM('CBK Students'!B:B) = TRIM(A1570)),
  """"
)"),"#REF!")</f>
        <v>#REF!</v>
      </c>
    </row>
    <row r="1571" ht="18.75" customHeight="1">
      <c r="T1571" s="239"/>
      <c r="U1571" s="239"/>
      <c r="V1571" s="239">
        <f>IFERROR(__xludf.DUMMYFUNCTION("""COMPUTED_VALUE"""),6590.0)</f>
        <v>6590</v>
      </c>
      <c r="W1571" s="240" t="str">
        <f t="shared" si="1"/>
        <v/>
      </c>
      <c r="X1571" s="239" t="str">
        <f>IFERROR(__xludf.DUMMYFUNCTION("""COMPUTED_VALUE"""),"Prepare for Showcase")</f>
        <v>Prepare for Showcase</v>
      </c>
      <c r="Y1571" s="4" t="str">
        <f t="shared" si="2"/>
        <v/>
      </c>
      <c r="Z1571" s="4" t="str">
        <f>IFERROR(__xludf.DUMMYFUNCTION("IFERROR(
  FILTER('CBK Students'!O:O, TRIM('CBK Students'!B:B) = TRIM(A1571)),
  """"
)"),"#REF!")</f>
        <v>#REF!</v>
      </c>
      <c r="AA1571" s="4" t="str">
        <f>IFERROR(__xludf.DUMMYFUNCTION("IFERROR(
  FILTER('CBK Students'!P:P, TRIM('CBK Students'!B:B) = TRIM(A1571)),
  """"
)"),"#REF!")</f>
        <v>#REF!</v>
      </c>
      <c r="AB1571" s="4" t="str">
        <f>IFERROR(__xludf.DUMMYFUNCTION("IFERROR(
  FILTER('CBK Students'!Q:Q, TRIM('CBK Students'!B:B) = TRIM(A1571)),
  """"
)"),"#REF!")</f>
        <v>#REF!</v>
      </c>
    </row>
    <row r="1572" ht="18.75" customHeight="1">
      <c r="T1572" s="239"/>
      <c r="U1572" s="239"/>
      <c r="V1572" s="239">
        <f>IFERROR(__xludf.DUMMYFUNCTION("""COMPUTED_VALUE"""),6590.0)</f>
        <v>6590</v>
      </c>
      <c r="W1572" s="240" t="str">
        <f t="shared" si="1"/>
        <v/>
      </c>
      <c r="X1572" s="239" t="str">
        <f>IFERROR(__xludf.DUMMYFUNCTION("""COMPUTED_VALUE"""),"Prepare for Showcase")</f>
        <v>Prepare for Showcase</v>
      </c>
      <c r="Y1572" s="4" t="str">
        <f t="shared" si="2"/>
        <v/>
      </c>
      <c r="Z1572" s="4" t="str">
        <f>IFERROR(__xludf.DUMMYFUNCTION("IFERROR(
  FILTER('CBK Students'!O:O, TRIM('CBK Students'!B:B) = TRIM(A1572)),
  """"
)"),"#REF!")</f>
        <v>#REF!</v>
      </c>
      <c r="AA1572" s="4" t="str">
        <f>IFERROR(__xludf.DUMMYFUNCTION("IFERROR(
  FILTER('CBK Students'!P:P, TRIM('CBK Students'!B:B) = TRIM(A1572)),
  """"
)"),"#REF!")</f>
        <v>#REF!</v>
      </c>
      <c r="AB1572" s="4" t="str">
        <f>IFERROR(__xludf.DUMMYFUNCTION("IFERROR(
  FILTER('CBK Students'!Q:Q, TRIM('CBK Students'!B:B) = TRIM(A1572)),
  """"
)"),"#REF!")</f>
        <v>#REF!</v>
      </c>
    </row>
    <row r="1573" ht="18.75" customHeight="1">
      <c r="T1573" s="239"/>
      <c r="U1573" s="239"/>
      <c r="V1573" s="239">
        <f>IFERROR(__xludf.DUMMYFUNCTION("""COMPUTED_VALUE"""),6590.0)</f>
        <v>6590</v>
      </c>
      <c r="W1573" s="240" t="str">
        <f t="shared" si="1"/>
        <v/>
      </c>
      <c r="X1573" s="239" t="str">
        <f>IFERROR(__xludf.DUMMYFUNCTION("""COMPUTED_VALUE"""),"Prepare for Showcase")</f>
        <v>Prepare for Showcase</v>
      </c>
      <c r="Y1573" s="4" t="str">
        <f t="shared" si="2"/>
        <v/>
      </c>
      <c r="Z1573" s="4" t="str">
        <f>IFERROR(__xludf.DUMMYFUNCTION("IFERROR(
  FILTER('CBK Students'!O:O, TRIM('CBK Students'!B:B) = TRIM(A1573)),
  """"
)"),"#REF!")</f>
        <v>#REF!</v>
      </c>
      <c r="AA1573" s="4" t="str">
        <f>IFERROR(__xludf.DUMMYFUNCTION("IFERROR(
  FILTER('CBK Students'!P:P, TRIM('CBK Students'!B:B) = TRIM(A1573)),
  """"
)"),"#REF!")</f>
        <v>#REF!</v>
      </c>
      <c r="AB1573" s="4" t="str">
        <f>IFERROR(__xludf.DUMMYFUNCTION("IFERROR(
  FILTER('CBK Students'!Q:Q, TRIM('CBK Students'!B:B) = TRIM(A1573)),
  """"
)"),"#REF!")</f>
        <v>#REF!</v>
      </c>
    </row>
    <row r="1574" ht="18.75" customHeight="1">
      <c r="T1574" s="239"/>
      <c r="U1574" s="239"/>
      <c r="V1574" s="239">
        <f>IFERROR(__xludf.DUMMYFUNCTION("""COMPUTED_VALUE"""),6590.0)</f>
        <v>6590</v>
      </c>
      <c r="W1574" s="240" t="str">
        <f t="shared" si="1"/>
        <v/>
      </c>
      <c r="X1574" s="239" t="str">
        <f>IFERROR(__xludf.DUMMYFUNCTION("""COMPUTED_VALUE"""),"Prepare for Showcase")</f>
        <v>Prepare for Showcase</v>
      </c>
      <c r="Y1574" s="4" t="str">
        <f t="shared" si="2"/>
        <v/>
      </c>
      <c r="Z1574" s="4" t="str">
        <f>IFERROR(__xludf.DUMMYFUNCTION("IFERROR(
  FILTER('CBK Students'!O:O, TRIM('CBK Students'!B:B) = TRIM(A1574)),
  """"
)"),"#REF!")</f>
        <v>#REF!</v>
      </c>
      <c r="AA1574" s="4" t="str">
        <f>IFERROR(__xludf.DUMMYFUNCTION("IFERROR(
  FILTER('CBK Students'!P:P, TRIM('CBK Students'!B:B) = TRIM(A1574)),
  """"
)"),"#REF!")</f>
        <v>#REF!</v>
      </c>
      <c r="AB1574" s="4" t="str">
        <f>IFERROR(__xludf.DUMMYFUNCTION("IFERROR(
  FILTER('CBK Students'!Q:Q, TRIM('CBK Students'!B:B) = TRIM(A1574)),
  """"
)"),"#REF!")</f>
        <v>#REF!</v>
      </c>
    </row>
    <row r="1575" ht="18.75" customHeight="1">
      <c r="T1575" s="239"/>
      <c r="U1575" s="239"/>
      <c r="V1575" s="239">
        <f>IFERROR(__xludf.DUMMYFUNCTION("""COMPUTED_VALUE"""),6590.0)</f>
        <v>6590</v>
      </c>
      <c r="W1575" s="240" t="str">
        <f t="shared" si="1"/>
        <v/>
      </c>
      <c r="X1575" s="239" t="str">
        <f>IFERROR(__xludf.DUMMYFUNCTION("""COMPUTED_VALUE"""),"Prepare for Showcase")</f>
        <v>Prepare for Showcase</v>
      </c>
      <c r="Y1575" s="4" t="str">
        <f t="shared" si="2"/>
        <v/>
      </c>
      <c r="Z1575" s="4" t="str">
        <f>IFERROR(__xludf.DUMMYFUNCTION("IFERROR(
  FILTER('CBK Students'!O:O, TRIM('CBK Students'!B:B) = TRIM(A1575)),
  """"
)"),"#REF!")</f>
        <v>#REF!</v>
      </c>
      <c r="AA1575" s="4" t="str">
        <f>IFERROR(__xludf.DUMMYFUNCTION("IFERROR(
  FILTER('CBK Students'!P:P, TRIM('CBK Students'!B:B) = TRIM(A1575)),
  """"
)"),"#REF!")</f>
        <v>#REF!</v>
      </c>
      <c r="AB1575" s="4" t="str">
        <f>IFERROR(__xludf.DUMMYFUNCTION("IFERROR(
  FILTER('CBK Students'!Q:Q, TRIM('CBK Students'!B:B) = TRIM(A1575)),
  """"
)"),"#REF!")</f>
        <v>#REF!</v>
      </c>
    </row>
    <row r="1576" ht="18.75" customHeight="1">
      <c r="T1576" s="239"/>
      <c r="U1576" s="239"/>
      <c r="V1576" s="239">
        <f>IFERROR(__xludf.DUMMYFUNCTION("""COMPUTED_VALUE"""),6590.0)</f>
        <v>6590</v>
      </c>
      <c r="W1576" s="240" t="str">
        <f t="shared" si="1"/>
        <v/>
      </c>
      <c r="X1576" s="239" t="str">
        <f>IFERROR(__xludf.DUMMYFUNCTION("""COMPUTED_VALUE"""),"Prepare for Showcase")</f>
        <v>Prepare for Showcase</v>
      </c>
      <c r="Y1576" s="4" t="str">
        <f t="shared" si="2"/>
        <v/>
      </c>
      <c r="Z1576" s="4" t="str">
        <f>IFERROR(__xludf.DUMMYFUNCTION("IFERROR(
  FILTER('CBK Students'!O:O, TRIM('CBK Students'!B:B) = TRIM(A1576)),
  """"
)"),"#REF!")</f>
        <v>#REF!</v>
      </c>
      <c r="AA1576" s="4" t="str">
        <f>IFERROR(__xludf.DUMMYFUNCTION("IFERROR(
  FILTER('CBK Students'!P:P, TRIM('CBK Students'!B:B) = TRIM(A1576)),
  """"
)"),"#REF!")</f>
        <v>#REF!</v>
      </c>
      <c r="AB1576" s="4" t="str">
        <f>IFERROR(__xludf.DUMMYFUNCTION("IFERROR(
  FILTER('CBK Students'!Q:Q, TRIM('CBK Students'!B:B) = TRIM(A1576)),
  """"
)"),"#REF!")</f>
        <v>#REF!</v>
      </c>
    </row>
    <row r="1577" ht="18.75" customHeight="1">
      <c r="T1577" s="239"/>
      <c r="U1577" s="239"/>
      <c r="V1577" s="239">
        <f>IFERROR(__xludf.DUMMYFUNCTION("""COMPUTED_VALUE"""),6590.0)</f>
        <v>6590</v>
      </c>
      <c r="W1577" s="240" t="str">
        <f t="shared" si="1"/>
        <v/>
      </c>
      <c r="X1577" s="239" t="str">
        <f>IFERROR(__xludf.DUMMYFUNCTION("""COMPUTED_VALUE"""),"Prepare for Showcase")</f>
        <v>Prepare for Showcase</v>
      </c>
      <c r="Y1577" s="4" t="str">
        <f t="shared" si="2"/>
        <v/>
      </c>
      <c r="Z1577" s="4" t="str">
        <f>IFERROR(__xludf.DUMMYFUNCTION("IFERROR(
  FILTER('CBK Students'!O:O, TRIM('CBK Students'!B:B) = TRIM(A1577)),
  """"
)"),"#REF!")</f>
        <v>#REF!</v>
      </c>
      <c r="AA1577" s="4" t="str">
        <f>IFERROR(__xludf.DUMMYFUNCTION("IFERROR(
  FILTER('CBK Students'!P:P, TRIM('CBK Students'!B:B) = TRIM(A1577)),
  """"
)"),"#REF!")</f>
        <v>#REF!</v>
      </c>
      <c r="AB1577" s="4" t="str">
        <f>IFERROR(__xludf.DUMMYFUNCTION("IFERROR(
  FILTER('CBK Students'!Q:Q, TRIM('CBK Students'!B:B) = TRIM(A1577)),
  """"
)"),"#REF!")</f>
        <v>#REF!</v>
      </c>
    </row>
    <row r="1578" ht="18.75" customHeight="1">
      <c r="T1578" s="239"/>
      <c r="U1578" s="239"/>
      <c r="V1578" s="239">
        <f>IFERROR(__xludf.DUMMYFUNCTION("""COMPUTED_VALUE"""),6590.0)</f>
        <v>6590</v>
      </c>
      <c r="W1578" s="240" t="str">
        <f t="shared" si="1"/>
        <v/>
      </c>
      <c r="X1578" s="239" t="str">
        <f>IFERROR(__xludf.DUMMYFUNCTION("""COMPUTED_VALUE"""),"Prepare for Showcase")</f>
        <v>Prepare for Showcase</v>
      </c>
      <c r="Y1578" s="4" t="str">
        <f t="shared" si="2"/>
        <v/>
      </c>
      <c r="Z1578" s="4" t="str">
        <f>IFERROR(__xludf.DUMMYFUNCTION("IFERROR(
  FILTER('CBK Students'!O:O, TRIM('CBK Students'!B:B) = TRIM(A1578)),
  """"
)"),"#REF!")</f>
        <v>#REF!</v>
      </c>
      <c r="AA1578" s="4" t="str">
        <f>IFERROR(__xludf.DUMMYFUNCTION("IFERROR(
  FILTER('CBK Students'!P:P, TRIM('CBK Students'!B:B) = TRIM(A1578)),
  """"
)"),"#REF!")</f>
        <v>#REF!</v>
      </c>
      <c r="AB1578" s="4" t="str">
        <f>IFERROR(__xludf.DUMMYFUNCTION("IFERROR(
  FILTER('CBK Students'!Q:Q, TRIM('CBK Students'!B:B) = TRIM(A1578)),
  """"
)"),"#REF!")</f>
        <v>#REF!</v>
      </c>
    </row>
    <row r="1579" ht="18.75" customHeight="1">
      <c r="T1579" s="239"/>
      <c r="U1579" s="239"/>
      <c r="V1579" s="239">
        <f>IFERROR(__xludf.DUMMYFUNCTION("""COMPUTED_VALUE"""),6590.0)</f>
        <v>6590</v>
      </c>
      <c r="W1579" s="240" t="str">
        <f t="shared" si="1"/>
        <v/>
      </c>
      <c r="X1579" s="239" t="str">
        <f>IFERROR(__xludf.DUMMYFUNCTION("""COMPUTED_VALUE"""),"Prepare for Showcase")</f>
        <v>Prepare for Showcase</v>
      </c>
      <c r="Y1579" s="4" t="str">
        <f t="shared" si="2"/>
        <v/>
      </c>
      <c r="Z1579" s="4" t="str">
        <f>IFERROR(__xludf.DUMMYFUNCTION("IFERROR(
  FILTER('CBK Students'!O:O, TRIM('CBK Students'!B:B) = TRIM(A1579)),
  """"
)"),"#REF!")</f>
        <v>#REF!</v>
      </c>
      <c r="AA1579" s="4" t="str">
        <f>IFERROR(__xludf.DUMMYFUNCTION("IFERROR(
  FILTER('CBK Students'!P:P, TRIM('CBK Students'!B:B) = TRIM(A1579)),
  """"
)"),"#REF!")</f>
        <v>#REF!</v>
      </c>
      <c r="AB1579" s="4" t="str">
        <f>IFERROR(__xludf.DUMMYFUNCTION("IFERROR(
  FILTER('CBK Students'!Q:Q, TRIM('CBK Students'!B:B) = TRIM(A1579)),
  """"
)"),"#REF!")</f>
        <v>#REF!</v>
      </c>
    </row>
    <row r="1580" ht="18.75" customHeight="1">
      <c r="T1580" s="239"/>
      <c r="U1580" s="239"/>
      <c r="V1580" s="239">
        <f>IFERROR(__xludf.DUMMYFUNCTION("""COMPUTED_VALUE"""),6590.0)</f>
        <v>6590</v>
      </c>
      <c r="W1580" s="240" t="str">
        <f t="shared" si="1"/>
        <v/>
      </c>
      <c r="X1580" s="239" t="str">
        <f>IFERROR(__xludf.DUMMYFUNCTION("""COMPUTED_VALUE"""),"Prepare for Showcase")</f>
        <v>Prepare for Showcase</v>
      </c>
      <c r="Y1580" s="4" t="str">
        <f t="shared" si="2"/>
        <v/>
      </c>
      <c r="Z1580" s="4" t="str">
        <f>IFERROR(__xludf.DUMMYFUNCTION("IFERROR(
  FILTER('CBK Students'!O:O, TRIM('CBK Students'!B:B) = TRIM(A1580)),
  """"
)"),"#REF!")</f>
        <v>#REF!</v>
      </c>
      <c r="AA1580" s="4" t="str">
        <f>IFERROR(__xludf.DUMMYFUNCTION("IFERROR(
  FILTER('CBK Students'!P:P, TRIM('CBK Students'!B:B) = TRIM(A1580)),
  """"
)"),"#REF!")</f>
        <v>#REF!</v>
      </c>
      <c r="AB1580" s="4" t="str">
        <f>IFERROR(__xludf.DUMMYFUNCTION("IFERROR(
  FILTER('CBK Students'!Q:Q, TRIM('CBK Students'!B:B) = TRIM(A1580)),
  """"
)"),"#REF!")</f>
        <v>#REF!</v>
      </c>
    </row>
    <row r="1581" ht="18.75" customHeight="1">
      <c r="T1581" s="239"/>
      <c r="U1581" s="239"/>
      <c r="V1581" s="239">
        <f>IFERROR(__xludf.DUMMYFUNCTION("""COMPUTED_VALUE"""),6590.0)</f>
        <v>6590</v>
      </c>
      <c r="W1581" s="240" t="str">
        <f t="shared" si="1"/>
        <v/>
      </c>
      <c r="X1581" s="239" t="str">
        <f>IFERROR(__xludf.DUMMYFUNCTION("""COMPUTED_VALUE"""),"Prepare for Showcase")</f>
        <v>Prepare for Showcase</v>
      </c>
      <c r="Y1581" s="4" t="str">
        <f t="shared" si="2"/>
        <v/>
      </c>
      <c r="Z1581" s="4" t="str">
        <f>IFERROR(__xludf.DUMMYFUNCTION("IFERROR(
  FILTER('CBK Students'!O:O, TRIM('CBK Students'!B:B) = TRIM(A1581)),
  """"
)"),"#REF!")</f>
        <v>#REF!</v>
      </c>
      <c r="AA1581" s="4" t="str">
        <f>IFERROR(__xludf.DUMMYFUNCTION("IFERROR(
  FILTER('CBK Students'!P:P, TRIM('CBK Students'!B:B) = TRIM(A1581)),
  """"
)"),"#REF!")</f>
        <v>#REF!</v>
      </c>
      <c r="AB1581" s="4" t="str">
        <f>IFERROR(__xludf.DUMMYFUNCTION("IFERROR(
  FILTER('CBK Students'!Q:Q, TRIM('CBK Students'!B:B) = TRIM(A1581)),
  """"
)"),"#REF!")</f>
        <v>#REF!</v>
      </c>
    </row>
    <row r="1582" ht="18.75" customHeight="1">
      <c r="T1582" s="239"/>
      <c r="U1582" s="239"/>
      <c r="V1582" s="239">
        <f>IFERROR(__xludf.DUMMYFUNCTION("""COMPUTED_VALUE"""),6590.0)</f>
        <v>6590</v>
      </c>
      <c r="W1582" s="240" t="str">
        <f t="shared" si="1"/>
        <v/>
      </c>
      <c r="X1582" s="239" t="str">
        <f>IFERROR(__xludf.DUMMYFUNCTION("""COMPUTED_VALUE"""),"Prepare for Showcase")</f>
        <v>Prepare for Showcase</v>
      </c>
      <c r="Y1582" s="4" t="str">
        <f t="shared" si="2"/>
        <v/>
      </c>
      <c r="Z1582" s="4" t="str">
        <f>IFERROR(__xludf.DUMMYFUNCTION("IFERROR(
  FILTER('CBK Students'!O:O, TRIM('CBK Students'!B:B) = TRIM(A1582)),
  """"
)"),"#REF!")</f>
        <v>#REF!</v>
      </c>
      <c r="AA1582" s="4" t="str">
        <f>IFERROR(__xludf.DUMMYFUNCTION("IFERROR(
  FILTER('CBK Students'!P:P, TRIM('CBK Students'!B:B) = TRIM(A1582)),
  """"
)"),"#REF!")</f>
        <v>#REF!</v>
      </c>
      <c r="AB1582" s="4" t="str">
        <f>IFERROR(__xludf.DUMMYFUNCTION("IFERROR(
  FILTER('CBK Students'!Q:Q, TRIM('CBK Students'!B:B) = TRIM(A1582)),
  """"
)"),"#REF!")</f>
        <v>#REF!</v>
      </c>
    </row>
    <row r="1583" ht="18.75" customHeight="1">
      <c r="T1583" s="239"/>
      <c r="U1583" s="239"/>
      <c r="V1583" s="239">
        <f>IFERROR(__xludf.DUMMYFUNCTION("""COMPUTED_VALUE"""),6590.0)</f>
        <v>6590</v>
      </c>
      <c r="W1583" s="240" t="str">
        <f t="shared" si="1"/>
        <v/>
      </c>
      <c r="X1583" s="239" t="str">
        <f>IFERROR(__xludf.DUMMYFUNCTION("""COMPUTED_VALUE"""),"Prepare for Showcase")</f>
        <v>Prepare for Showcase</v>
      </c>
      <c r="Y1583" s="4" t="str">
        <f t="shared" si="2"/>
        <v/>
      </c>
      <c r="Z1583" s="4" t="str">
        <f>IFERROR(__xludf.DUMMYFUNCTION("IFERROR(
  FILTER('CBK Students'!O:O, TRIM('CBK Students'!B:B) = TRIM(A1583)),
  """"
)"),"#REF!")</f>
        <v>#REF!</v>
      </c>
      <c r="AA1583" s="4" t="str">
        <f>IFERROR(__xludf.DUMMYFUNCTION("IFERROR(
  FILTER('CBK Students'!P:P, TRIM('CBK Students'!B:B) = TRIM(A1583)),
  """"
)"),"#REF!")</f>
        <v>#REF!</v>
      </c>
      <c r="AB1583" s="4" t="str">
        <f>IFERROR(__xludf.DUMMYFUNCTION("IFERROR(
  FILTER('CBK Students'!Q:Q, TRIM('CBK Students'!B:B) = TRIM(A1583)),
  """"
)"),"#REF!")</f>
        <v>#REF!</v>
      </c>
    </row>
    <row r="1584" ht="18.75" customHeight="1">
      <c r="T1584" s="239"/>
      <c r="U1584" s="239"/>
      <c r="V1584" s="239">
        <f>IFERROR(__xludf.DUMMYFUNCTION("""COMPUTED_VALUE"""),6590.0)</f>
        <v>6590</v>
      </c>
      <c r="W1584" s="240" t="str">
        <f t="shared" si="1"/>
        <v/>
      </c>
      <c r="X1584" s="239" t="str">
        <f>IFERROR(__xludf.DUMMYFUNCTION("""COMPUTED_VALUE"""),"Prepare for Showcase")</f>
        <v>Prepare for Showcase</v>
      </c>
      <c r="Y1584" s="4" t="str">
        <f t="shared" si="2"/>
        <v/>
      </c>
      <c r="Z1584" s="4" t="str">
        <f>IFERROR(__xludf.DUMMYFUNCTION("IFERROR(
  FILTER('CBK Students'!O:O, TRIM('CBK Students'!B:B) = TRIM(A1584)),
  """"
)"),"#REF!")</f>
        <v>#REF!</v>
      </c>
      <c r="AA1584" s="4" t="str">
        <f>IFERROR(__xludf.DUMMYFUNCTION("IFERROR(
  FILTER('CBK Students'!P:P, TRIM('CBK Students'!B:B) = TRIM(A1584)),
  """"
)"),"#REF!")</f>
        <v>#REF!</v>
      </c>
      <c r="AB1584" s="4" t="str">
        <f>IFERROR(__xludf.DUMMYFUNCTION("IFERROR(
  FILTER('CBK Students'!Q:Q, TRIM('CBK Students'!B:B) = TRIM(A1584)),
  """"
)"),"#REF!")</f>
        <v>#REF!</v>
      </c>
    </row>
    <row r="1585" ht="18.75" customHeight="1">
      <c r="T1585" s="239"/>
      <c r="U1585" s="239"/>
      <c r="V1585" s="239">
        <f>IFERROR(__xludf.DUMMYFUNCTION("""COMPUTED_VALUE"""),6590.0)</f>
        <v>6590</v>
      </c>
      <c r="W1585" s="240" t="str">
        <f t="shared" si="1"/>
        <v/>
      </c>
      <c r="X1585" s="239" t="str">
        <f>IFERROR(__xludf.DUMMYFUNCTION("""COMPUTED_VALUE"""),"Prepare for Showcase")</f>
        <v>Prepare for Showcase</v>
      </c>
      <c r="Y1585" s="4" t="str">
        <f t="shared" si="2"/>
        <v/>
      </c>
      <c r="Z1585" s="4" t="str">
        <f>IFERROR(__xludf.DUMMYFUNCTION("IFERROR(
  FILTER('CBK Students'!O:O, TRIM('CBK Students'!B:B) = TRIM(A1585)),
  """"
)"),"#REF!")</f>
        <v>#REF!</v>
      </c>
      <c r="AA1585" s="4" t="str">
        <f>IFERROR(__xludf.DUMMYFUNCTION("IFERROR(
  FILTER('CBK Students'!P:P, TRIM('CBK Students'!B:B) = TRIM(A1585)),
  """"
)"),"#REF!")</f>
        <v>#REF!</v>
      </c>
      <c r="AB1585" s="4" t="str">
        <f>IFERROR(__xludf.DUMMYFUNCTION("IFERROR(
  FILTER('CBK Students'!Q:Q, TRIM('CBK Students'!B:B) = TRIM(A1585)),
  """"
)"),"#REF!")</f>
        <v>#REF!</v>
      </c>
    </row>
    <row r="1586" ht="18.75" customHeight="1">
      <c r="T1586" s="239"/>
      <c r="U1586" s="239"/>
      <c r="V1586" s="239">
        <f>IFERROR(__xludf.DUMMYFUNCTION("""COMPUTED_VALUE"""),6590.0)</f>
        <v>6590</v>
      </c>
      <c r="W1586" s="240" t="str">
        <f t="shared" si="1"/>
        <v/>
      </c>
      <c r="X1586" s="239" t="str">
        <f>IFERROR(__xludf.DUMMYFUNCTION("""COMPUTED_VALUE"""),"Prepare for Showcase")</f>
        <v>Prepare for Showcase</v>
      </c>
      <c r="Y1586" s="4" t="str">
        <f t="shared" si="2"/>
        <v/>
      </c>
      <c r="Z1586" s="4" t="str">
        <f>IFERROR(__xludf.DUMMYFUNCTION("IFERROR(
  FILTER('CBK Students'!O:O, TRIM('CBK Students'!B:B) = TRIM(A1586)),
  """"
)"),"#REF!")</f>
        <v>#REF!</v>
      </c>
      <c r="AA1586" s="4" t="str">
        <f>IFERROR(__xludf.DUMMYFUNCTION("IFERROR(
  FILTER('CBK Students'!P:P, TRIM('CBK Students'!B:B) = TRIM(A1586)),
  """"
)"),"#REF!")</f>
        <v>#REF!</v>
      </c>
      <c r="AB1586" s="4" t="str">
        <f>IFERROR(__xludf.DUMMYFUNCTION("IFERROR(
  FILTER('CBK Students'!Q:Q, TRIM('CBK Students'!B:B) = TRIM(A1586)),
  """"
)"),"#REF!")</f>
        <v>#REF!</v>
      </c>
    </row>
    <row r="1587" ht="18.75" customHeight="1">
      <c r="T1587" s="239"/>
      <c r="U1587" s="239"/>
      <c r="V1587" s="239">
        <f>IFERROR(__xludf.DUMMYFUNCTION("""COMPUTED_VALUE"""),6590.0)</f>
        <v>6590</v>
      </c>
      <c r="W1587" s="240" t="str">
        <f t="shared" si="1"/>
        <v/>
      </c>
      <c r="X1587" s="239" t="str">
        <f>IFERROR(__xludf.DUMMYFUNCTION("""COMPUTED_VALUE"""),"Prepare for Showcase")</f>
        <v>Prepare for Showcase</v>
      </c>
      <c r="Y1587" s="4" t="str">
        <f t="shared" si="2"/>
        <v/>
      </c>
      <c r="Z1587" s="4" t="str">
        <f>IFERROR(__xludf.DUMMYFUNCTION("IFERROR(
  FILTER('CBK Students'!O:O, TRIM('CBK Students'!B:B) = TRIM(A1587)),
  """"
)"),"#REF!")</f>
        <v>#REF!</v>
      </c>
      <c r="AA1587" s="4" t="str">
        <f>IFERROR(__xludf.DUMMYFUNCTION("IFERROR(
  FILTER('CBK Students'!P:P, TRIM('CBK Students'!B:B) = TRIM(A1587)),
  """"
)"),"#REF!")</f>
        <v>#REF!</v>
      </c>
      <c r="AB1587" s="4" t="str">
        <f>IFERROR(__xludf.DUMMYFUNCTION("IFERROR(
  FILTER('CBK Students'!Q:Q, TRIM('CBK Students'!B:B) = TRIM(A1587)),
  """"
)"),"#REF!")</f>
        <v>#REF!</v>
      </c>
    </row>
    <row r="1588" ht="18.75" customHeight="1">
      <c r="T1588" s="239"/>
      <c r="U1588" s="239"/>
      <c r="V1588" s="239">
        <f>IFERROR(__xludf.DUMMYFUNCTION("""COMPUTED_VALUE"""),6590.0)</f>
        <v>6590</v>
      </c>
      <c r="W1588" s="240" t="str">
        <f t="shared" si="1"/>
        <v/>
      </c>
      <c r="X1588" s="239" t="str">
        <f>IFERROR(__xludf.DUMMYFUNCTION("""COMPUTED_VALUE"""),"Prepare for Showcase")</f>
        <v>Prepare for Showcase</v>
      </c>
      <c r="Y1588" s="4" t="str">
        <f t="shared" si="2"/>
        <v/>
      </c>
      <c r="Z1588" s="4" t="str">
        <f>IFERROR(__xludf.DUMMYFUNCTION("IFERROR(
  FILTER('CBK Students'!O:O, TRIM('CBK Students'!B:B) = TRIM(A1588)),
  """"
)"),"#REF!")</f>
        <v>#REF!</v>
      </c>
      <c r="AA1588" s="4" t="str">
        <f>IFERROR(__xludf.DUMMYFUNCTION("IFERROR(
  FILTER('CBK Students'!P:P, TRIM('CBK Students'!B:B) = TRIM(A1588)),
  """"
)"),"#REF!")</f>
        <v>#REF!</v>
      </c>
      <c r="AB1588" s="4" t="str">
        <f>IFERROR(__xludf.DUMMYFUNCTION("IFERROR(
  FILTER('CBK Students'!Q:Q, TRIM('CBK Students'!B:B) = TRIM(A1588)),
  """"
)"),"#REF!")</f>
        <v>#REF!</v>
      </c>
    </row>
    <row r="1589" ht="18.75" customHeight="1">
      <c r="T1589" s="239"/>
      <c r="U1589" s="239"/>
      <c r="V1589" s="239">
        <f>IFERROR(__xludf.DUMMYFUNCTION("""COMPUTED_VALUE"""),6590.0)</f>
        <v>6590</v>
      </c>
      <c r="W1589" s="240" t="str">
        <f t="shared" si="1"/>
        <v/>
      </c>
      <c r="X1589" s="239" t="str">
        <f>IFERROR(__xludf.DUMMYFUNCTION("""COMPUTED_VALUE"""),"Prepare for Showcase")</f>
        <v>Prepare for Showcase</v>
      </c>
      <c r="Y1589" s="4" t="str">
        <f t="shared" si="2"/>
        <v/>
      </c>
      <c r="Z1589" s="4" t="str">
        <f>IFERROR(__xludf.DUMMYFUNCTION("IFERROR(
  FILTER('CBK Students'!O:O, TRIM('CBK Students'!B:B) = TRIM(A1589)),
  """"
)"),"#REF!")</f>
        <v>#REF!</v>
      </c>
      <c r="AA1589" s="4" t="str">
        <f>IFERROR(__xludf.DUMMYFUNCTION("IFERROR(
  FILTER('CBK Students'!P:P, TRIM('CBK Students'!B:B) = TRIM(A1589)),
  """"
)"),"#REF!")</f>
        <v>#REF!</v>
      </c>
      <c r="AB1589" s="4" t="str">
        <f>IFERROR(__xludf.DUMMYFUNCTION("IFERROR(
  FILTER('CBK Students'!Q:Q, TRIM('CBK Students'!B:B) = TRIM(A1589)),
  """"
)"),"#REF!")</f>
        <v>#REF!</v>
      </c>
    </row>
    <row r="1590" ht="18.75" customHeight="1">
      <c r="T1590" s="239"/>
      <c r="U1590" s="239"/>
      <c r="V1590" s="239">
        <f>IFERROR(__xludf.DUMMYFUNCTION("""COMPUTED_VALUE"""),6590.0)</f>
        <v>6590</v>
      </c>
      <c r="W1590" s="240" t="str">
        <f t="shared" si="1"/>
        <v/>
      </c>
      <c r="X1590" s="239" t="str">
        <f>IFERROR(__xludf.DUMMYFUNCTION("""COMPUTED_VALUE"""),"Prepare for Showcase")</f>
        <v>Prepare for Showcase</v>
      </c>
      <c r="Y1590" s="4" t="str">
        <f t="shared" si="2"/>
        <v/>
      </c>
      <c r="Z1590" s="4" t="str">
        <f>IFERROR(__xludf.DUMMYFUNCTION("IFERROR(
  FILTER('CBK Students'!O:O, TRIM('CBK Students'!B:B) = TRIM(A1590)),
  """"
)"),"#REF!")</f>
        <v>#REF!</v>
      </c>
      <c r="AA1590" s="4" t="str">
        <f>IFERROR(__xludf.DUMMYFUNCTION("IFERROR(
  FILTER('CBK Students'!P:P, TRIM('CBK Students'!B:B) = TRIM(A1590)),
  """"
)"),"#REF!")</f>
        <v>#REF!</v>
      </c>
      <c r="AB1590" s="4" t="str">
        <f>IFERROR(__xludf.DUMMYFUNCTION("IFERROR(
  FILTER('CBK Students'!Q:Q, TRIM('CBK Students'!B:B) = TRIM(A1590)),
  """"
)"),"#REF!")</f>
        <v>#REF!</v>
      </c>
    </row>
    <row r="1591" ht="18.75" customHeight="1">
      <c r="T1591" s="239"/>
      <c r="U1591" s="239"/>
      <c r="V1591" s="239">
        <f>IFERROR(__xludf.DUMMYFUNCTION("""COMPUTED_VALUE"""),6590.0)</f>
        <v>6590</v>
      </c>
      <c r="W1591" s="240" t="str">
        <f t="shared" si="1"/>
        <v/>
      </c>
      <c r="X1591" s="239" t="str">
        <f>IFERROR(__xludf.DUMMYFUNCTION("""COMPUTED_VALUE"""),"Prepare for Showcase")</f>
        <v>Prepare for Showcase</v>
      </c>
      <c r="Y1591" s="4" t="str">
        <f t="shared" si="2"/>
        <v/>
      </c>
      <c r="Z1591" s="4" t="str">
        <f>IFERROR(__xludf.DUMMYFUNCTION("IFERROR(
  FILTER('CBK Students'!O:O, TRIM('CBK Students'!B:B) = TRIM(A1591)),
  """"
)"),"#REF!")</f>
        <v>#REF!</v>
      </c>
      <c r="AA1591" s="4" t="str">
        <f>IFERROR(__xludf.DUMMYFUNCTION("IFERROR(
  FILTER('CBK Students'!P:P, TRIM('CBK Students'!B:B) = TRIM(A1591)),
  """"
)"),"#REF!")</f>
        <v>#REF!</v>
      </c>
      <c r="AB1591" s="4" t="str">
        <f>IFERROR(__xludf.DUMMYFUNCTION("IFERROR(
  FILTER('CBK Students'!Q:Q, TRIM('CBK Students'!B:B) = TRIM(A1591)),
  """"
)"),"#REF!")</f>
        <v>#REF!</v>
      </c>
    </row>
    <row r="1592" ht="18.75" customHeight="1">
      <c r="T1592" s="239"/>
      <c r="U1592" s="239"/>
      <c r="V1592" s="239">
        <f>IFERROR(__xludf.DUMMYFUNCTION("""COMPUTED_VALUE"""),6590.0)</f>
        <v>6590</v>
      </c>
      <c r="W1592" s="240" t="str">
        <f t="shared" si="1"/>
        <v/>
      </c>
      <c r="X1592" s="239" t="str">
        <f>IFERROR(__xludf.DUMMYFUNCTION("""COMPUTED_VALUE"""),"Prepare for Showcase")</f>
        <v>Prepare for Showcase</v>
      </c>
      <c r="Y1592" s="4" t="str">
        <f t="shared" si="2"/>
        <v/>
      </c>
      <c r="Z1592" s="4" t="str">
        <f>IFERROR(__xludf.DUMMYFUNCTION("IFERROR(
  FILTER('CBK Students'!O:O, TRIM('CBK Students'!B:B) = TRIM(A1592)),
  """"
)"),"#REF!")</f>
        <v>#REF!</v>
      </c>
      <c r="AA1592" s="4" t="str">
        <f>IFERROR(__xludf.DUMMYFUNCTION("IFERROR(
  FILTER('CBK Students'!P:P, TRIM('CBK Students'!B:B) = TRIM(A1592)),
  """"
)"),"#REF!")</f>
        <v>#REF!</v>
      </c>
      <c r="AB1592" s="4" t="str">
        <f>IFERROR(__xludf.DUMMYFUNCTION("IFERROR(
  FILTER('CBK Students'!Q:Q, TRIM('CBK Students'!B:B) = TRIM(A1592)),
  """"
)"),"#REF!")</f>
        <v>#REF!</v>
      </c>
    </row>
    <row r="1593" ht="18.75" customHeight="1">
      <c r="T1593" s="4"/>
      <c r="U1593" s="4"/>
      <c r="V1593" s="4">
        <f>IFERROR(__xludf.DUMMYFUNCTION("""COMPUTED_VALUE"""),6590.0)</f>
        <v>6590</v>
      </c>
      <c r="W1593" s="240" t="str">
        <f t="shared" si="1"/>
        <v/>
      </c>
      <c r="X1593" s="4" t="str">
        <f>IFERROR(__xludf.DUMMYFUNCTION("""COMPUTED_VALUE"""),"Prepare for Showcase")</f>
        <v>Prepare for Showcase</v>
      </c>
      <c r="Y1593" s="4" t="str">
        <f t="shared" si="2"/>
        <v/>
      </c>
      <c r="Z1593" s="4" t="str">
        <f>IFERROR(__xludf.DUMMYFUNCTION("IFERROR(
  FILTER('CBK Students'!O:O, TRIM('CBK Students'!B:B) = TRIM(A1593)),
  """"
)"),"#REF!")</f>
        <v>#REF!</v>
      </c>
      <c r="AA1593" s="4" t="str">
        <f>IFERROR(__xludf.DUMMYFUNCTION("IFERROR(
  FILTER('CBK Students'!P:P, TRIM('CBK Students'!B:B) = TRIM(A1593)),
  """"
)"),"#REF!")</f>
        <v>#REF!</v>
      </c>
      <c r="AB1593" s="4" t="str">
        <f>IFERROR(__xludf.DUMMYFUNCTION("IFERROR(
  FILTER('CBK Students'!Q:Q, TRIM('CBK Students'!B:B) = TRIM(A1593)),
  """"
)"),"#REF!")</f>
        <v>#REF!</v>
      </c>
    </row>
    <row r="1594" ht="18.75" customHeight="1">
      <c r="T1594" s="4"/>
      <c r="U1594" s="4"/>
      <c r="V1594" s="4">
        <f>IFERROR(__xludf.DUMMYFUNCTION("""COMPUTED_VALUE"""),6590.0)</f>
        <v>6590</v>
      </c>
      <c r="W1594" s="240" t="str">
        <f t="shared" si="1"/>
        <v/>
      </c>
      <c r="X1594" s="4" t="str">
        <f>IFERROR(__xludf.DUMMYFUNCTION("""COMPUTED_VALUE"""),"Prepare for Showcase")</f>
        <v>Prepare for Showcase</v>
      </c>
      <c r="Y1594" s="4" t="str">
        <f t="shared" si="2"/>
        <v/>
      </c>
      <c r="Z1594" s="4" t="str">
        <f>IFERROR(__xludf.DUMMYFUNCTION("IFERROR(
  FILTER('CBK Students'!O:O, TRIM('CBK Students'!B:B) = TRIM(A1594)),
  """"
)"),"#REF!")</f>
        <v>#REF!</v>
      </c>
      <c r="AA1594" s="4" t="str">
        <f>IFERROR(__xludf.DUMMYFUNCTION("IFERROR(
  FILTER('CBK Students'!P:P, TRIM('CBK Students'!B:B) = TRIM(A1594)),
  """"
)"),"#REF!")</f>
        <v>#REF!</v>
      </c>
      <c r="AB1594" s="4" t="str">
        <f>IFERROR(__xludf.DUMMYFUNCTION("IFERROR(
  FILTER('CBK Students'!Q:Q, TRIM('CBK Students'!B:B) = TRIM(A1594)),
  """"
)"),"#REF!")</f>
        <v>#REF!</v>
      </c>
    </row>
    <row r="1595" ht="18.75" customHeight="1">
      <c r="T1595" s="4"/>
      <c r="U1595" s="4"/>
      <c r="V1595" s="4">
        <f>IFERROR(__xludf.DUMMYFUNCTION("""COMPUTED_VALUE"""),6590.0)</f>
        <v>6590</v>
      </c>
      <c r="W1595" s="240" t="str">
        <f t="shared" si="1"/>
        <v/>
      </c>
      <c r="X1595" s="4" t="str">
        <f>IFERROR(__xludf.DUMMYFUNCTION("""COMPUTED_VALUE"""),"Prepare for Showcase")</f>
        <v>Prepare for Showcase</v>
      </c>
      <c r="Y1595" s="4" t="str">
        <f t="shared" si="2"/>
        <v/>
      </c>
      <c r="Z1595" s="4" t="str">
        <f>IFERROR(__xludf.DUMMYFUNCTION("IFERROR(
  FILTER('CBK Students'!O:O, TRIM('CBK Students'!B:B) = TRIM(A1595)),
  """"
)"),"#REF!")</f>
        <v>#REF!</v>
      </c>
      <c r="AA1595" s="4" t="str">
        <f>IFERROR(__xludf.DUMMYFUNCTION("IFERROR(
  FILTER('CBK Students'!P:P, TRIM('CBK Students'!B:B) = TRIM(A1595)),
  """"
)"),"#REF!")</f>
        <v>#REF!</v>
      </c>
      <c r="AB1595" s="4" t="str">
        <f>IFERROR(__xludf.DUMMYFUNCTION("IFERROR(
  FILTER('CBK Students'!Q:Q, TRIM('CBK Students'!B:B) = TRIM(A1595)),
  """"
)"),"#REF!")</f>
        <v>#REF!</v>
      </c>
    </row>
    <row r="1596" ht="18.75" customHeight="1">
      <c r="T1596" s="4"/>
      <c r="U1596" s="4"/>
      <c r="V1596" s="4">
        <f>IFERROR(__xludf.DUMMYFUNCTION("""COMPUTED_VALUE"""),6590.0)</f>
        <v>6590</v>
      </c>
      <c r="W1596" s="240" t="str">
        <f t="shared" si="1"/>
        <v/>
      </c>
      <c r="X1596" s="4" t="str">
        <f>IFERROR(__xludf.DUMMYFUNCTION("""COMPUTED_VALUE"""),"Prepare for Showcase")</f>
        <v>Prepare for Showcase</v>
      </c>
      <c r="Y1596" s="4" t="str">
        <f t="shared" si="2"/>
        <v/>
      </c>
      <c r="Z1596" s="4" t="str">
        <f>IFERROR(__xludf.DUMMYFUNCTION("IFERROR(
  FILTER('CBK Students'!O:O, TRIM('CBK Students'!B:B) = TRIM(A1596)),
  """"
)"),"#REF!")</f>
        <v>#REF!</v>
      </c>
      <c r="AA1596" s="4" t="str">
        <f>IFERROR(__xludf.DUMMYFUNCTION("IFERROR(
  FILTER('CBK Students'!P:P, TRIM('CBK Students'!B:B) = TRIM(A1596)),
  """"
)"),"#REF!")</f>
        <v>#REF!</v>
      </c>
      <c r="AB1596" s="4" t="str">
        <f>IFERROR(__xludf.DUMMYFUNCTION("IFERROR(
  FILTER('CBK Students'!Q:Q, TRIM('CBK Students'!B:B) = TRIM(A1596)),
  """"
)"),"#REF!")</f>
        <v>#REF!</v>
      </c>
    </row>
    <row r="1597" ht="18.75" customHeight="1">
      <c r="T1597" s="4"/>
      <c r="U1597" s="4"/>
      <c r="V1597" s="4">
        <f>IFERROR(__xludf.DUMMYFUNCTION("""COMPUTED_VALUE"""),6590.0)</f>
        <v>6590</v>
      </c>
      <c r="W1597" s="240" t="str">
        <f t="shared" si="1"/>
        <v/>
      </c>
      <c r="X1597" s="4" t="str">
        <f>IFERROR(__xludf.DUMMYFUNCTION("""COMPUTED_VALUE"""),"Prepare for Showcase")</f>
        <v>Prepare for Showcase</v>
      </c>
      <c r="Y1597" s="4" t="str">
        <f t="shared" si="2"/>
        <v/>
      </c>
      <c r="Z1597" s="4" t="str">
        <f>IFERROR(__xludf.DUMMYFUNCTION("IFERROR(
  FILTER('CBK Students'!O:O, TRIM('CBK Students'!B:B) = TRIM(A1597)),
  """"
)"),"#REF!")</f>
        <v>#REF!</v>
      </c>
      <c r="AA1597" s="4" t="str">
        <f>IFERROR(__xludf.DUMMYFUNCTION("IFERROR(
  FILTER('CBK Students'!P:P, TRIM('CBK Students'!B:B) = TRIM(A1597)),
  """"
)"),"#REF!")</f>
        <v>#REF!</v>
      </c>
      <c r="AB1597" s="4" t="str">
        <f>IFERROR(__xludf.DUMMYFUNCTION("IFERROR(
  FILTER('CBK Students'!Q:Q, TRIM('CBK Students'!B:B) = TRIM(A1597)),
  """"
)"),"#REF!")</f>
        <v>#REF!</v>
      </c>
    </row>
    <row r="1598" ht="18.75" customHeight="1">
      <c r="T1598" s="4"/>
      <c r="U1598" s="4"/>
      <c r="V1598" s="4">
        <f>IFERROR(__xludf.DUMMYFUNCTION("""COMPUTED_VALUE"""),6590.0)</f>
        <v>6590</v>
      </c>
      <c r="W1598" s="240" t="str">
        <f t="shared" si="1"/>
        <v/>
      </c>
      <c r="X1598" s="4" t="str">
        <f>IFERROR(__xludf.DUMMYFUNCTION("""COMPUTED_VALUE"""),"Prepare for Showcase")</f>
        <v>Prepare for Showcase</v>
      </c>
      <c r="Y1598" s="4" t="str">
        <f t="shared" si="2"/>
        <v/>
      </c>
      <c r="Z1598" s="4" t="str">
        <f>IFERROR(__xludf.DUMMYFUNCTION("IFERROR(
  FILTER('CBK Students'!O:O, TRIM('CBK Students'!B:B) = TRIM(A1598)),
  """"
)"),"#REF!")</f>
        <v>#REF!</v>
      </c>
      <c r="AA1598" s="4" t="str">
        <f>IFERROR(__xludf.DUMMYFUNCTION("IFERROR(
  FILTER('CBK Students'!P:P, TRIM('CBK Students'!B:B) = TRIM(A1598)),
  """"
)"),"#REF!")</f>
        <v>#REF!</v>
      </c>
      <c r="AB1598" s="4" t="str">
        <f>IFERROR(__xludf.DUMMYFUNCTION("IFERROR(
  FILTER('CBK Students'!Q:Q, TRIM('CBK Students'!B:B) = TRIM(A1598)),
  """"
)"),"#REF!")</f>
        <v>#REF!</v>
      </c>
    </row>
    <row r="1599" ht="18.75" customHeight="1">
      <c r="T1599" s="4"/>
      <c r="U1599" s="4"/>
      <c r="V1599" s="4">
        <f>IFERROR(__xludf.DUMMYFUNCTION("""COMPUTED_VALUE"""),6590.0)</f>
        <v>6590</v>
      </c>
      <c r="W1599" s="240" t="str">
        <f t="shared" si="1"/>
        <v/>
      </c>
      <c r="X1599" s="4" t="str">
        <f>IFERROR(__xludf.DUMMYFUNCTION("""COMPUTED_VALUE"""),"Prepare for Showcase")</f>
        <v>Prepare for Showcase</v>
      </c>
      <c r="Y1599" s="4" t="str">
        <f t="shared" si="2"/>
        <v/>
      </c>
      <c r="Z1599" s="4" t="str">
        <f>IFERROR(__xludf.DUMMYFUNCTION("IFERROR(
  FILTER('CBK Students'!O:O, TRIM('CBK Students'!B:B) = TRIM(A1599)),
  """"
)"),"#REF!")</f>
        <v>#REF!</v>
      </c>
      <c r="AA1599" s="4" t="str">
        <f>IFERROR(__xludf.DUMMYFUNCTION("IFERROR(
  FILTER('CBK Students'!P:P, TRIM('CBK Students'!B:B) = TRIM(A1599)),
  """"
)"),"#REF!")</f>
        <v>#REF!</v>
      </c>
      <c r="AB1599" s="4" t="str">
        <f>IFERROR(__xludf.DUMMYFUNCTION("IFERROR(
  FILTER('CBK Students'!Q:Q, TRIM('CBK Students'!B:B) = TRIM(A1599)),
  """"
)"),"#REF!")</f>
        <v>#REF!</v>
      </c>
    </row>
    <row r="1600" ht="18.75" customHeight="1">
      <c r="T1600" s="4"/>
      <c r="U1600" s="4"/>
      <c r="V1600" s="4">
        <f>IFERROR(__xludf.DUMMYFUNCTION("""COMPUTED_VALUE"""),6590.0)</f>
        <v>6590</v>
      </c>
      <c r="W1600" s="240" t="str">
        <f t="shared" si="1"/>
        <v/>
      </c>
      <c r="X1600" s="4" t="str">
        <f>IFERROR(__xludf.DUMMYFUNCTION("""COMPUTED_VALUE"""),"Prepare for Showcase")</f>
        <v>Prepare for Showcase</v>
      </c>
      <c r="Y1600" s="4" t="str">
        <f t="shared" si="2"/>
        <v/>
      </c>
      <c r="Z1600" s="4" t="str">
        <f>IFERROR(__xludf.DUMMYFUNCTION("IFERROR(
  FILTER('CBK Students'!O:O, TRIM('CBK Students'!B:B) = TRIM(A1600)),
  """"
)"),"#REF!")</f>
        <v>#REF!</v>
      </c>
      <c r="AA1600" s="4" t="str">
        <f>IFERROR(__xludf.DUMMYFUNCTION("IFERROR(
  FILTER('CBK Students'!P:P, TRIM('CBK Students'!B:B) = TRIM(A1600)),
  """"
)"),"#REF!")</f>
        <v>#REF!</v>
      </c>
      <c r="AB1600" s="4" t="str">
        <f>IFERROR(__xludf.DUMMYFUNCTION("IFERROR(
  FILTER('CBK Students'!Q:Q, TRIM('CBK Students'!B:B) = TRIM(A1600)),
  """"
)"),"#REF!")</f>
        <v>#REF!</v>
      </c>
    </row>
    <row r="1601" ht="18.75" customHeight="1">
      <c r="T1601" s="4"/>
      <c r="U1601" s="4"/>
      <c r="V1601" s="4">
        <f>IFERROR(__xludf.DUMMYFUNCTION("""COMPUTED_VALUE"""),6590.0)</f>
        <v>6590</v>
      </c>
      <c r="W1601" s="240" t="str">
        <f t="shared" si="1"/>
        <v/>
      </c>
      <c r="X1601" s="4" t="str">
        <f>IFERROR(__xludf.DUMMYFUNCTION("""COMPUTED_VALUE"""),"Prepare for Showcase")</f>
        <v>Prepare for Showcase</v>
      </c>
      <c r="Y1601" s="4" t="str">
        <f t="shared" si="2"/>
        <v/>
      </c>
      <c r="Z1601" s="4" t="str">
        <f>IFERROR(__xludf.DUMMYFUNCTION("IFERROR(
  FILTER('CBK Students'!O:O, TRIM('CBK Students'!B:B) = TRIM(A1601)),
  """"
)"),"#REF!")</f>
        <v>#REF!</v>
      </c>
      <c r="AA1601" s="4" t="str">
        <f>IFERROR(__xludf.DUMMYFUNCTION("IFERROR(
  FILTER('CBK Students'!P:P, TRIM('CBK Students'!B:B) = TRIM(A1601)),
  """"
)"),"#REF!")</f>
        <v>#REF!</v>
      </c>
      <c r="AB1601" s="4" t="str">
        <f>IFERROR(__xludf.DUMMYFUNCTION("IFERROR(
  FILTER('CBK Students'!Q:Q, TRIM('CBK Students'!B:B) = TRIM(A1601)),
  """"
)"),"#REF!")</f>
        <v>#REF!</v>
      </c>
    </row>
    <row r="1602" ht="18.75" customHeight="1">
      <c r="T1602" s="4"/>
      <c r="U1602" s="4"/>
      <c r="V1602" s="4">
        <f>IFERROR(__xludf.DUMMYFUNCTION("""COMPUTED_VALUE"""),6590.0)</f>
        <v>6590</v>
      </c>
      <c r="W1602" s="240" t="str">
        <f t="shared" si="1"/>
        <v/>
      </c>
      <c r="X1602" s="4" t="str">
        <f>IFERROR(__xludf.DUMMYFUNCTION("""COMPUTED_VALUE"""),"Prepare for Showcase")</f>
        <v>Prepare for Showcase</v>
      </c>
      <c r="Y1602" s="4" t="str">
        <f t="shared" si="2"/>
        <v/>
      </c>
      <c r="Z1602" s="4" t="str">
        <f>IFERROR(__xludf.DUMMYFUNCTION("IFERROR(
  FILTER('CBK Students'!O:O, TRIM('CBK Students'!B:B) = TRIM(A1602)),
  """"
)"),"#REF!")</f>
        <v>#REF!</v>
      </c>
      <c r="AA1602" s="4" t="str">
        <f>IFERROR(__xludf.DUMMYFUNCTION("IFERROR(
  FILTER('CBK Students'!P:P, TRIM('CBK Students'!B:B) = TRIM(A1602)),
  """"
)"),"#REF!")</f>
        <v>#REF!</v>
      </c>
      <c r="AB1602" s="4" t="str">
        <f>IFERROR(__xludf.DUMMYFUNCTION("IFERROR(
  FILTER('CBK Students'!Q:Q, TRIM('CBK Students'!B:B) = TRIM(A1602)),
  """"
)"),"#REF!")</f>
        <v>#REF!</v>
      </c>
    </row>
    <row r="1603" ht="18.75" customHeight="1">
      <c r="T1603" s="4"/>
      <c r="U1603" s="4"/>
      <c r="V1603" s="4">
        <f>IFERROR(__xludf.DUMMYFUNCTION("""COMPUTED_VALUE"""),6590.0)</f>
        <v>6590</v>
      </c>
      <c r="W1603" s="240" t="str">
        <f t="shared" si="1"/>
        <v/>
      </c>
      <c r="X1603" s="4" t="str">
        <f>IFERROR(__xludf.DUMMYFUNCTION("""COMPUTED_VALUE"""),"Prepare for Showcase")</f>
        <v>Prepare for Showcase</v>
      </c>
      <c r="Y1603" s="4" t="str">
        <f t="shared" si="2"/>
        <v/>
      </c>
      <c r="Z1603" s="4" t="str">
        <f>IFERROR(__xludf.DUMMYFUNCTION("IFERROR(
  FILTER('CBK Students'!O:O, TRIM('CBK Students'!B:B) = TRIM(A1603)),
  """"
)"),"#REF!")</f>
        <v>#REF!</v>
      </c>
      <c r="AA1603" s="4" t="str">
        <f>IFERROR(__xludf.DUMMYFUNCTION("IFERROR(
  FILTER('CBK Students'!P:P, TRIM('CBK Students'!B:B) = TRIM(A1603)),
  """"
)"),"#REF!")</f>
        <v>#REF!</v>
      </c>
      <c r="AB1603" s="4" t="str">
        <f>IFERROR(__xludf.DUMMYFUNCTION("IFERROR(
  FILTER('CBK Students'!Q:Q, TRIM('CBK Students'!B:B) = TRIM(A1603)),
  """"
)"),"#REF!")</f>
        <v>#REF!</v>
      </c>
    </row>
    <row r="1604" ht="18.75" customHeight="1">
      <c r="T1604" s="4"/>
      <c r="U1604" s="4"/>
      <c r="V1604" s="4">
        <f>IFERROR(__xludf.DUMMYFUNCTION("""COMPUTED_VALUE"""),6590.0)</f>
        <v>6590</v>
      </c>
      <c r="W1604" s="240" t="str">
        <f t="shared" si="1"/>
        <v/>
      </c>
      <c r="X1604" s="4" t="str">
        <f>IFERROR(__xludf.DUMMYFUNCTION("""COMPUTED_VALUE"""),"Prepare for Showcase")</f>
        <v>Prepare for Showcase</v>
      </c>
      <c r="Y1604" s="4" t="str">
        <f t="shared" si="2"/>
        <v/>
      </c>
      <c r="Z1604" s="4" t="str">
        <f>IFERROR(__xludf.DUMMYFUNCTION("IFERROR(
  FILTER('CBK Students'!O:O, TRIM('CBK Students'!B:B) = TRIM(A1604)),
  """"
)"),"#REF!")</f>
        <v>#REF!</v>
      </c>
      <c r="AA1604" s="4" t="str">
        <f>IFERROR(__xludf.DUMMYFUNCTION("IFERROR(
  FILTER('CBK Students'!P:P, TRIM('CBK Students'!B:B) = TRIM(A1604)),
  """"
)"),"#REF!")</f>
        <v>#REF!</v>
      </c>
      <c r="AB1604" s="4" t="str">
        <f>IFERROR(__xludf.DUMMYFUNCTION("IFERROR(
  FILTER('CBK Students'!Q:Q, TRIM('CBK Students'!B:B) = TRIM(A1604)),
  """"
)"),"#REF!")</f>
        <v>#REF!</v>
      </c>
    </row>
    <row r="1605" ht="18.75" customHeight="1">
      <c r="T1605" s="4"/>
      <c r="U1605" s="4"/>
      <c r="V1605" s="4">
        <f>IFERROR(__xludf.DUMMYFUNCTION("""COMPUTED_VALUE"""),6590.0)</f>
        <v>6590</v>
      </c>
      <c r="W1605" s="240" t="str">
        <f t="shared" si="1"/>
        <v/>
      </c>
      <c r="X1605" s="4" t="str">
        <f>IFERROR(__xludf.DUMMYFUNCTION("""COMPUTED_VALUE"""),"Prepare for Showcase")</f>
        <v>Prepare for Showcase</v>
      </c>
      <c r="Y1605" s="4" t="str">
        <f t="shared" si="2"/>
        <v/>
      </c>
      <c r="Z1605" s="4" t="str">
        <f>IFERROR(__xludf.DUMMYFUNCTION("IFERROR(
  FILTER('CBK Students'!O:O, TRIM('CBK Students'!B:B) = TRIM(A1605)),
  """"
)"),"#REF!")</f>
        <v>#REF!</v>
      </c>
      <c r="AA1605" s="4" t="str">
        <f>IFERROR(__xludf.DUMMYFUNCTION("IFERROR(
  FILTER('CBK Students'!P:P, TRIM('CBK Students'!B:B) = TRIM(A1605)),
  """"
)"),"#REF!")</f>
        <v>#REF!</v>
      </c>
      <c r="AB1605" s="4" t="str">
        <f>IFERROR(__xludf.DUMMYFUNCTION("IFERROR(
  FILTER('CBK Students'!Q:Q, TRIM('CBK Students'!B:B) = TRIM(A1605)),
  """"
)"),"#REF!")</f>
        <v>#REF!</v>
      </c>
    </row>
    <row r="1606" ht="18.75" customHeight="1">
      <c r="T1606" s="4"/>
      <c r="U1606" s="4"/>
      <c r="V1606" s="4">
        <f>IFERROR(__xludf.DUMMYFUNCTION("""COMPUTED_VALUE"""),6590.0)</f>
        <v>6590</v>
      </c>
      <c r="W1606" s="240" t="str">
        <f t="shared" si="1"/>
        <v/>
      </c>
      <c r="X1606" s="4" t="str">
        <f>IFERROR(__xludf.DUMMYFUNCTION("""COMPUTED_VALUE"""),"Prepare for Showcase")</f>
        <v>Prepare for Showcase</v>
      </c>
      <c r="Y1606" s="4" t="str">
        <f t="shared" si="2"/>
        <v/>
      </c>
      <c r="Z1606" s="4" t="str">
        <f>IFERROR(__xludf.DUMMYFUNCTION("IFERROR(
  FILTER('CBK Students'!O:O, TRIM('CBK Students'!B:B) = TRIM(A1606)),
  """"
)"),"#REF!")</f>
        <v>#REF!</v>
      </c>
      <c r="AA1606" s="4" t="str">
        <f>IFERROR(__xludf.DUMMYFUNCTION("IFERROR(
  FILTER('CBK Students'!P:P, TRIM('CBK Students'!B:B) = TRIM(A1606)),
  """"
)"),"#REF!")</f>
        <v>#REF!</v>
      </c>
      <c r="AB1606" s="4" t="str">
        <f>IFERROR(__xludf.DUMMYFUNCTION("IFERROR(
  FILTER('CBK Students'!Q:Q, TRIM('CBK Students'!B:B) = TRIM(A1606)),
  """"
)"),"#REF!")</f>
        <v>#REF!</v>
      </c>
    </row>
    <row r="1607" ht="18.75" customHeight="1">
      <c r="T1607" s="4"/>
      <c r="U1607" s="4"/>
      <c r="V1607" s="4">
        <f>IFERROR(__xludf.DUMMYFUNCTION("""COMPUTED_VALUE"""),6590.0)</f>
        <v>6590</v>
      </c>
      <c r="W1607" s="240" t="str">
        <f t="shared" si="1"/>
        <v/>
      </c>
      <c r="X1607" s="4" t="str">
        <f>IFERROR(__xludf.DUMMYFUNCTION("""COMPUTED_VALUE"""),"Prepare for Showcase")</f>
        <v>Prepare for Showcase</v>
      </c>
      <c r="Y1607" s="4" t="str">
        <f t="shared" si="2"/>
        <v/>
      </c>
      <c r="Z1607" s="4" t="str">
        <f>IFERROR(__xludf.DUMMYFUNCTION("IFERROR(
  FILTER('CBK Students'!O:O, TRIM('CBK Students'!B:B) = TRIM(A1607)),
  """"
)"),"#REF!")</f>
        <v>#REF!</v>
      </c>
      <c r="AA1607" s="4" t="str">
        <f>IFERROR(__xludf.DUMMYFUNCTION("IFERROR(
  FILTER('CBK Students'!P:P, TRIM('CBK Students'!B:B) = TRIM(A1607)),
  """"
)"),"#REF!")</f>
        <v>#REF!</v>
      </c>
      <c r="AB1607" s="4" t="str">
        <f>IFERROR(__xludf.DUMMYFUNCTION("IFERROR(
  FILTER('CBK Students'!Q:Q, TRIM('CBK Students'!B:B) = TRIM(A1607)),
  """"
)"),"#REF!")</f>
        <v>#REF!</v>
      </c>
    </row>
    <row r="1608" ht="18.75" customHeight="1">
      <c r="T1608" s="4"/>
      <c r="U1608" s="4"/>
      <c r="V1608" s="4">
        <f>IFERROR(__xludf.DUMMYFUNCTION("""COMPUTED_VALUE"""),6590.0)</f>
        <v>6590</v>
      </c>
      <c r="W1608" s="240" t="str">
        <f t="shared" si="1"/>
        <v/>
      </c>
      <c r="X1608" s="4" t="str">
        <f>IFERROR(__xludf.DUMMYFUNCTION("""COMPUTED_VALUE"""),"Prepare for Showcase")</f>
        <v>Prepare for Showcase</v>
      </c>
      <c r="Y1608" s="4" t="str">
        <f t="shared" si="2"/>
        <v/>
      </c>
      <c r="Z1608" s="4" t="str">
        <f>IFERROR(__xludf.DUMMYFUNCTION("IFERROR(
  FILTER('CBK Students'!O:O, TRIM('CBK Students'!B:B) = TRIM(A1608)),
  """"
)"),"#REF!")</f>
        <v>#REF!</v>
      </c>
      <c r="AA1608" s="4" t="str">
        <f>IFERROR(__xludf.DUMMYFUNCTION("IFERROR(
  FILTER('CBK Students'!P:P, TRIM('CBK Students'!B:B) = TRIM(A1608)),
  """"
)"),"#REF!")</f>
        <v>#REF!</v>
      </c>
      <c r="AB1608" s="4" t="str">
        <f>IFERROR(__xludf.DUMMYFUNCTION("IFERROR(
  FILTER('CBK Students'!Q:Q, TRIM('CBK Students'!B:B) = TRIM(A1608)),
  """"
)"),"#REF!")</f>
        <v>#REF!</v>
      </c>
    </row>
    <row r="1609" ht="18.75" customHeight="1">
      <c r="T1609" s="4"/>
      <c r="U1609" s="4"/>
      <c r="V1609" s="4">
        <f>IFERROR(__xludf.DUMMYFUNCTION("""COMPUTED_VALUE"""),6590.0)</f>
        <v>6590</v>
      </c>
      <c r="W1609" s="240" t="str">
        <f t="shared" si="1"/>
        <v/>
      </c>
      <c r="X1609" s="4" t="str">
        <f>IFERROR(__xludf.DUMMYFUNCTION("""COMPUTED_VALUE"""),"Prepare for Showcase")</f>
        <v>Prepare for Showcase</v>
      </c>
      <c r="Y1609" s="4" t="str">
        <f t="shared" si="2"/>
        <v/>
      </c>
      <c r="Z1609" s="4" t="str">
        <f>IFERROR(__xludf.DUMMYFUNCTION("IFERROR(
  FILTER('CBK Students'!O:O, TRIM('CBK Students'!B:B) = TRIM(A1609)),
  """"
)"),"#REF!")</f>
        <v>#REF!</v>
      </c>
      <c r="AA1609" s="4" t="str">
        <f>IFERROR(__xludf.DUMMYFUNCTION("IFERROR(
  FILTER('CBK Students'!P:P, TRIM('CBK Students'!B:B) = TRIM(A1609)),
  """"
)"),"#REF!")</f>
        <v>#REF!</v>
      </c>
      <c r="AB1609" s="4" t="str">
        <f>IFERROR(__xludf.DUMMYFUNCTION("IFERROR(
  FILTER('CBK Students'!Q:Q, TRIM('CBK Students'!B:B) = TRIM(A1609)),
  """"
)"),"#REF!")</f>
        <v>#REF!</v>
      </c>
    </row>
    <row r="1610" ht="18.75" customHeight="1">
      <c r="T1610" s="4"/>
      <c r="U1610" s="4"/>
      <c r="V1610" s="4">
        <f>IFERROR(__xludf.DUMMYFUNCTION("""COMPUTED_VALUE"""),6590.0)</f>
        <v>6590</v>
      </c>
      <c r="W1610" s="240" t="str">
        <f t="shared" si="1"/>
        <v/>
      </c>
      <c r="X1610" s="4" t="str">
        <f>IFERROR(__xludf.DUMMYFUNCTION("""COMPUTED_VALUE"""),"Prepare for Showcase")</f>
        <v>Prepare for Showcase</v>
      </c>
      <c r="Y1610" s="4" t="str">
        <f t="shared" si="2"/>
        <v/>
      </c>
      <c r="Z1610" s="4" t="str">
        <f>IFERROR(__xludf.DUMMYFUNCTION("IFERROR(
  FILTER('CBK Students'!O:O, TRIM('CBK Students'!B:B) = TRIM(A1610)),
  """"
)"),"#REF!")</f>
        <v>#REF!</v>
      </c>
      <c r="AA1610" s="4" t="str">
        <f>IFERROR(__xludf.DUMMYFUNCTION("IFERROR(
  FILTER('CBK Students'!P:P, TRIM('CBK Students'!B:B) = TRIM(A1610)),
  """"
)"),"#REF!")</f>
        <v>#REF!</v>
      </c>
      <c r="AB1610" s="4" t="str">
        <f>IFERROR(__xludf.DUMMYFUNCTION("IFERROR(
  FILTER('CBK Students'!Q:Q, TRIM('CBK Students'!B:B) = TRIM(A1610)),
  """"
)"),"#REF!")</f>
        <v>#REF!</v>
      </c>
    </row>
    <row r="1611" ht="18.75" customHeight="1">
      <c r="T1611" s="4"/>
      <c r="U1611" s="4"/>
      <c r="V1611" s="4">
        <f>IFERROR(__xludf.DUMMYFUNCTION("""COMPUTED_VALUE"""),6590.0)</f>
        <v>6590</v>
      </c>
      <c r="W1611" s="240" t="str">
        <f t="shared" si="1"/>
        <v/>
      </c>
      <c r="X1611" s="4" t="str">
        <f>IFERROR(__xludf.DUMMYFUNCTION("""COMPUTED_VALUE"""),"Prepare for Showcase")</f>
        <v>Prepare for Showcase</v>
      </c>
      <c r="Y1611" s="4" t="str">
        <f t="shared" si="2"/>
        <v/>
      </c>
      <c r="Z1611" s="4" t="str">
        <f>IFERROR(__xludf.DUMMYFUNCTION("IFERROR(
  FILTER('CBK Students'!O:O, TRIM('CBK Students'!B:B) = TRIM(A1611)),
  """"
)"),"#REF!")</f>
        <v>#REF!</v>
      </c>
      <c r="AA1611" s="4" t="str">
        <f>IFERROR(__xludf.DUMMYFUNCTION("IFERROR(
  FILTER('CBK Students'!P:P, TRIM('CBK Students'!B:B) = TRIM(A1611)),
  """"
)"),"#REF!")</f>
        <v>#REF!</v>
      </c>
      <c r="AB1611" s="4" t="str">
        <f>IFERROR(__xludf.DUMMYFUNCTION("IFERROR(
  FILTER('CBK Students'!Q:Q, TRIM('CBK Students'!B:B) = TRIM(A1611)),
  """"
)"),"#REF!")</f>
        <v>#REF!</v>
      </c>
    </row>
    <row r="1612" ht="18.75" customHeight="1">
      <c r="T1612" s="4"/>
      <c r="U1612" s="4"/>
      <c r="V1612" s="4">
        <f>IFERROR(__xludf.DUMMYFUNCTION("""COMPUTED_VALUE"""),6590.0)</f>
        <v>6590</v>
      </c>
      <c r="W1612" s="240" t="str">
        <f t="shared" si="1"/>
        <v/>
      </c>
      <c r="X1612" s="4" t="str">
        <f>IFERROR(__xludf.DUMMYFUNCTION("""COMPUTED_VALUE"""),"Prepare for Showcase")</f>
        <v>Prepare for Showcase</v>
      </c>
      <c r="Y1612" s="4" t="str">
        <f t="shared" si="2"/>
        <v/>
      </c>
      <c r="Z1612" s="4" t="str">
        <f>IFERROR(__xludf.DUMMYFUNCTION("IFERROR(
  FILTER('CBK Students'!O:O, TRIM('CBK Students'!B:B) = TRIM(A1612)),
  """"
)"),"#REF!")</f>
        <v>#REF!</v>
      </c>
      <c r="AA1612" s="4" t="str">
        <f>IFERROR(__xludf.DUMMYFUNCTION("IFERROR(
  FILTER('CBK Students'!P:P, TRIM('CBK Students'!B:B) = TRIM(A1612)),
  """"
)"),"#REF!")</f>
        <v>#REF!</v>
      </c>
      <c r="AB1612" s="4" t="str">
        <f>IFERROR(__xludf.DUMMYFUNCTION("IFERROR(
  FILTER('CBK Students'!Q:Q, TRIM('CBK Students'!B:B) = TRIM(A1612)),
  """"
)"),"#REF!")</f>
        <v>#REF!</v>
      </c>
    </row>
    <row r="1613" ht="18.75" customHeight="1">
      <c r="T1613" s="4"/>
      <c r="U1613" s="4"/>
      <c r="V1613" s="4">
        <f>IFERROR(__xludf.DUMMYFUNCTION("""COMPUTED_VALUE"""),6590.0)</f>
        <v>6590</v>
      </c>
      <c r="W1613" s="240" t="str">
        <f t="shared" si="1"/>
        <v/>
      </c>
      <c r="X1613" s="4" t="str">
        <f>IFERROR(__xludf.DUMMYFUNCTION("""COMPUTED_VALUE"""),"Prepare for Showcase")</f>
        <v>Prepare for Showcase</v>
      </c>
      <c r="Y1613" s="4" t="str">
        <f t="shared" si="2"/>
        <v/>
      </c>
      <c r="Z1613" s="4" t="str">
        <f>IFERROR(__xludf.DUMMYFUNCTION("IFERROR(
  FILTER('CBK Students'!O:O, TRIM('CBK Students'!B:B) = TRIM(A1613)),
  """"
)"),"#REF!")</f>
        <v>#REF!</v>
      </c>
      <c r="AA1613" s="4" t="str">
        <f>IFERROR(__xludf.DUMMYFUNCTION("IFERROR(
  FILTER('CBK Students'!P:P, TRIM('CBK Students'!B:B) = TRIM(A1613)),
  """"
)"),"#REF!")</f>
        <v>#REF!</v>
      </c>
      <c r="AB1613" s="4" t="str">
        <f>IFERROR(__xludf.DUMMYFUNCTION("IFERROR(
  FILTER('CBK Students'!Q:Q, TRIM('CBK Students'!B:B) = TRIM(A1613)),
  """"
)"),"#REF!")</f>
        <v>#REF!</v>
      </c>
    </row>
    <row r="1614" ht="18.75" customHeight="1">
      <c r="T1614" s="4"/>
      <c r="U1614" s="4"/>
      <c r="V1614" s="4">
        <f>IFERROR(__xludf.DUMMYFUNCTION("""COMPUTED_VALUE"""),6590.0)</f>
        <v>6590</v>
      </c>
      <c r="W1614" s="240" t="str">
        <f t="shared" si="1"/>
        <v/>
      </c>
      <c r="X1614" s="4" t="str">
        <f>IFERROR(__xludf.DUMMYFUNCTION("""COMPUTED_VALUE"""),"Prepare for Showcase")</f>
        <v>Prepare for Showcase</v>
      </c>
      <c r="Y1614" s="4" t="str">
        <f t="shared" si="2"/>
        <v/>
      </c>
      <c r="Z1614" s="4" t="str">
        <f>IFERROR(__xludf.DUMMYFUNCTION("IFERROR(
  FILTER('CBK Students'!O:O, TRIM('CBK Students'!B:B) = TRIM(A1614)),
  """"
)"),"#REF!")</f>
        <v>#REF!</v>
      </c>
      <c r="AA1614" s="4" t="str">
        <f>IFERROR(__xludf.DUMMYFUNCTION("IFERROR(
  FILTER('CBK Students'!P:P, TRIM('CBK Students'!B:B) = TRIM(A1614)),
  """"
)"),"#REF!")</f>
        <v>#REF!</v>
      </c>
      <c r="AB1614" s="4" t="str">
        <f>IFERROR(__xludf.DUMMYFUNCTION("IFERROR(
  FILTER('CBK Students'!Q:Q, TRIM('CBK Students'!B:B) = TRIM(A1614)),
  """"
)"),"#REF!")</f>
        <v>#REF!</v>
      </c>
    </row>
    <row r="1615" ht="18.75" customHeight="1">
      <c r="T1615" s="4"/>
      <c r="U1615" s="4"/>
      <c r="V1615" s="4">
        <f>IFERROR(__xludf.DUMMYFUNCTION("""COMPUTED_VALUE"""),6590.0)</f>
        <v>6590</v>
      </c>
      <c r="W1615" s="240" t="str">
        <f t="shared" si="1"/>
        <v/>
      </c>
      <c r="X1615" s="4" t="str">
        <f>IFERROR(__xludf.DUMMYFUNCTION("""COMPUTED_VALUE"""),"Prepare for Showcase")</f>
        <v>Prepare for Showcase</v>
      </c>
      <c r="Y1615" s="4" t="str">
        <f t="shared" si="2"/>
        <v/>
      </c>
      <c r="Z1615" s="4" t="str">
        <f>IFERROR(__xludf.DUMMYFUNCTION("IFERROR(
  FILTER('CBK Students'!O:O, TRIM('CBK Students'!B:B) = TRIM(A1615)),
  """"
)"),"#REF!")</f>
        <v>#REF!</v>
      </c>
      <c r="AA1615" s="4" t="str">
        <f>IFERROR(__xludf.DUMMYFUNCTION("IFERROR(
  FILTER('CBK Students'!P:P, TRIM('CBK Students'!B:B) = TRIM(A1615)),
  """"
)"),"#REF!")</f>
        <v>#REF!</v>
      </c>
      <c r="AB1615" s="4" t="str">
        <f>IFERROR(__xludf.DUMMYFUNCTION("IFERROR(
  FILTER('CBK Students'!Q:Q, TRIM('CBK Students'!B:B) = TRIM(A1615)),
  """"
)"),"#REF!")</f>
        <v>#REF!</v>
      </c>
    </row>
    <row r="1616" ht="18.75" customHeight="1">
      <c r="T1616" s="4"/>
      <c r="U1616" s="4"/>
      <c r="V1616" s="4">
        <f>IFERROR(__xludf.DUMMYFUNCTION("""COMPUTED_VALUE"""),6590.0)</f>
        <v>6590</v>
      </c>
      <c r="W1616" s="240" t="str">
        <f t="shared" si="1"/>
        <v/>
      </c>
      <c r="X1616" s="4" t="str">
        <f>IFERROR(__xludf.DUMMYFUNCTION("""COMPUTED_VALUE"""),"Prepare for Showcase")</f>
        <v>Prepare for Showcase</v>
      </c>
      <c r="Y1616" s="4" t="str">
        <f t="shared" si="2"/>
        <v/>
      </c>
      <c r="Z1616" s="4" t="str">
        <f>IFERROR(__xludf.DUMMYFUNCTION("IFERROR(
  FILTER('CBK Students'!O:O, TRIM('CBK Students'!B:B) = TRIM(A1616)),
  """"
)"),"#REF!")</f>
        <v>#REF!</v>
      </c>
      <c r="AA1616" s="4" t="str">
        <f>IFERROR(__xludf.DUMMYFUNCTION("IFERROR(
  FILTER('CBK Students'!P:P, TRIM('CBK Students'!B:B) = TRIM(A1616)),
  """"
)"),"#REF!")</f>
        <v>#REF!</v>
      </c>
      <c r="AB1616" s="4" t="str">
        <f>IFERROR(__xludf.DUMMYFUNCTION("IFERROR(
  FILTER('CBK Students'!Q:Q, TRIM('CBK Students'!B:B) = TRIM(A1616)),
  """"
)"),"#REF!")</f>
        <v>#REF!</v>
      </c>
    </row>
    <row r="1617" ht="18.75" customHeight="1">
      <c r="T1617" s="4"/>
      <c r="U1617" s="4"/>
      <c r="V1617" s="4">
        <f>IFERROR(__xludf.DUMMYFUNCTION("""COMPUTED_VALUE"""),6590.0)</f>
        <v>6590</v>
      </c>
      <c r="W1617" s="240" t="str">
        <f t="shared" si="1"/>
        <v/>
      </c>
      <c r="X1617" s="4" t="str">
        <f>IFERROR(__xludf.DUMMYFUNCTION("""COMPUTED_VALUE"""),"Prepare for Showcase")</f>
        <v>Prepare for Showcase</v>
      </c>
      <c r="Y1617" s="4" t="str">
        <f t="shared" si="2"/>
        <v/>
      </c>
      <c r="Z1617" s="4" t="str">
        <f>IFERROR(__xludf.DUMMYFUNCTION("IFERROR(
  FILTER('CBK Students'!O:O, TRIM('CBK Students'!B:B) = TRIM(A1617)),
  """"
)"),"#REF!")</f>
        <v>#REF!</v>
      </c>
      <c r="AA1617" s="4" t="str">
        <f>IFERROR(__xludf.DUMMYFUNCTION("IFERROR(
  FILTER('CBK Students'!P:P, TRIM('CBK Students'!B:B) = TRIM(A1617)),
  """"
)"),"#REF!")</f>
        <v>#REF!</v>
      </c>
      <c r="AB1617" s="4" t="str">
        <f>IFERROR(__xludf.DUMMYFUNCTION("IFERROR(
  FILTER('CBK Students'!Q:Q, TRIM('CBK Students'!B:B) = TRIM(A1617)),
  """"
)"),"#REF!")</f>
        <v>#REF!</v>
      </c>
    </row>
    <row r="1618" ht="18.75" customHeight="1">
      <c r="T1618" s="4"/>
      <c r="U1618" s="4"/>
      <c r="V1618" s="4">
        <f>IFERROR(__xludf.DUMMYFUNCTION("""COMPUTED_VALUE"""),6590.0)</f>
        <v>6590</v>
      </c>
      <c r="W1618" s="240" t="str">
        <f t="shared" si="1"/>
        <v/>
      </c>
      <c r="X1618" s="4" t="str">
        <f>IFERROR(__xludf.DUMMYFUNCTION("""COMPUTED_VALUE"""),"Prepare for Showcase")</f>
        <v>Prepare for Showcase</v>
      </c>
      <c r="Y1618" s="4" t="str">
        <f t="shared" si="2"/>
        <v/>
      </c>
      <c r="Z1618" s="4" t="str">
        <f>IFERROR(__xludf.DUMMYFUNCTION("IFERROR(
  FILTER('CBK Students'!O:O, TRIM('CBK Students'!B:B) = TRIM(A1618)),
  """"
)"),"#REF!")</f>
        <v>#REF!</v>
      </c>
      <c r="AA1618" s="4" t="str">
        <f>IFERROR(__xludf.DUMMYFUNCTION("IFERROR(
  FILTER('CBK Students'!P:P, TRIM('CBK Students'!B:B) = TRIM(A1618)),
  """"
)"),"#REF!")</f>
        <v>#REF!</v>
      </c>
      <c r="AB1618" s="4" t="str">
        <f>IFERROR(__xludf.DUMMYFUNCTION("IFERROR(
  FILTER('CBK Students'!Q:Q, TRIM('CBK Students'!B:B) = TRIM(A1618)),
  """"
)"),"#REF!")</f>
        <v>#REF!</v>
      </c>
    </row>
    <row r="1619" ht="18.75" customHeight="1">
      <c r="T1619" s="4"/>
      <c r="U1619" s="4"/>
      <c r="V1619" s="4">
        <f>IFERROR(__xludf.DUMMYFUNCTION("""COMPUTED_VALUE"""),6590.0)</f>
        <v>6590</v>
      </c>
      <c r="W1619" s="240" t="str">
        <f t="shared" si="1"/>
        <v/>
      </c>
      <c r="X1619" s="4" t="str">
        <f>IFERROR(__xludf.DUMMYFUNCTION("""COMPUTED_VALUE"""),"Prepare for Showcase")</f>
        <v>Prepare for Showcase</v>
      </c>
      <c r="Y1619" s="4" t="str">
        <f t="shared" si="2"/>
        <v/>
      </c>
      <c r="Z1619" s="4" t="str">
        <f>IFERROR(__xludf.DUMMYFUNCTION("IFERROR(
  FILTER('CBK Students'!O:O, TRIM('CBK Students'!B:B) = TRIM(A1619)),
  """"
)"),"#REF!")</f>
        <v>#REF!</v>
      </c>
      <c r="AA1619" s="4" t="str">
        <f>IFERROR(__xludf.DUMMYFUNCTION("IFERROR(
  FILTER('CBK Students'!P:P, TRIM('CBK Students'!B:B) = TRIM(A1619)),
  """"
)"),"#REF!")</f>
        <v>#REF!</v>
      </c>
      <c r="AB1619" s="4" t="str">
        <f>IFERROR(__xludf.DUMMYFUNCTION("IFERROR(
  FILTER('CBK Students'!Q:Q, TRIM('CBK Students'!B:B) = TRIM(A1619)),
  """"
)"),"#REF!")</f>
        <v>#REF!</v>
      </c>
    </row>
    <row r="1620" ht="18.75" customHeight="1">
      <c r="T1620" s="4"/>
      <c r="U1620" s="4"/>
      <c r="V1620" s="4">
        <f>IFERROR(__xludf.DUMMYFUNCTION("""COMPUTED_VALUE"""),6590.0)</f>
        <v>6590</v>
      </c>
      <c r="W1620" s="240" t="str">
        <f t="shared" si="1"/>
        <v/>
      </c>
      <c r="X1620" s="4" t="str">
        <f>IFERROR(__xludf.DUMMYFUNCTION("""COMPUTED_VALUE"""),"Prepare for Showcase")</f>
        <v>Prepare for Showcase</v>
      </c>
      <c r="Y1620" s="4" t="str">
        <f t="shared" si="2"/>
        <v/>
      </c>
      <c r="Z1620" s="4" t="str">
        <f>IFERROR(__xludf.DUMMYFUNCTION("IFERROR(
  FILTER('CBK Students'!O:O, TRIM('CBK Students'!B:B) = TRIM(A1620)),
  """"
)"),"#REF!")</f>
        <v>#REF!</v>
      </c>
      <c r="AA1620" s="4" t="str">
        <f>IFERROR(__xludf.DUMMYFUNCTION("IFERROR(
  FILTER('CBK Students'!P:P, TRIM('CBK Students'!B:B) = TRIM(A1620)),
  """"
)"),"#REF!")</f>
        <v>#REF!</v>
      </c>
      <c r="AB1620" s="4" t="str">
        <f>IFERROR(__xludf.DUMMYFUNCTION("IFERROR(
  FILTER('CBK Students'!Q:Q, TRIM('CBK Students'!B:B) = TRIM(A1620)),
  """"
)"),"#REF!")</f>
        <v>#REF!</v>
      </c>
    </row>
    <row r="1621" ht="18.75" customHeight="1">
      <c r="T1621" s="4"/>
      <c r="U1621" s="4"/>
      <c r="V1621" s="4">
        <f>IFERROR(__xludf.DUMMYFUNCTION("""COMPUTED_VALUE"""),6590.0)</f>
        <v>6590</v>
      </c>
      <c r="W1621" s="240" t="str">
        <f t="shared" si="1"/>
        <v/>
      </c>
      <c r="X1621" s="4" t="str">
        <f>IFERROR(__xludf.DUMMYFUNCTION("""COMPUTED_VALUE"""),"Prepare for Showcase")</f>
        <v>Prepare for Showcase</v>
      </c>
      <c r="Y1621" s="4" t="str">
        <f t="shared" si="2"/>
        <v/>
      </c>
      <c r="Z1621" s="4" t="str">
        <f>IFERROR(__xludf.DUMMYFUNCTION("IFERROR(
  FILTER('CBK Students'!O:O, TRIM('CBK Students'!B:B) = TRIM(A1621)),
  """"
)"),"#REF!")</f>
        <v>#REF!</v>
      </c>
      <c r="AA1621" s="4" t="str">
        <f>IFERROR(__xludf.DUMMYFUNCTION("IFERROR(
  FILTER('CBK Students'!P:P, TRIM('CBK Students'!B:B) = TRIM(A1621)),
  """"
)"),"#REF!")</f>
        <v>#REF!</v>
      </c>
      <c r="AB1621" s="4" t="str">
        <f>IFERROR(__xludf.DUMMYFUNCTION("IFERROR(
  FILTER('CBK Students'!Q:Q, TRIM('CBK Students'!B:B) = TRIM(A1621)),
  """"
)"),"#REF!")</f>
        <v>#REF!</v>
      </c>
    </row>
    <row r="1622" ht="18.75" customHeight="1">
      <c r="T1622" s="4"/>
      <c r="U1622" s="4"/>
      <c r="V1622" s="4">
        <f>IFERROR(__xludf.DUMMYFUNCTION("""COMPUTED_VALUE"""),6590.0)</f>
        <v>6590</v>
      </c>
      <c r="W1622" s="240" t="str">
        <f t="shared" si="1"/>
        <v/>
      </c>
      <c r="X1622" s="4" t="str">
        <f>IFERROR(__xludf.DUMMYFUNCTION("""COMPUTED_VALUE"""),"Prepare for Showcase")</f>
        <v>Prepare for Showcase</v>
      </c>
      <c r="Y1622" s="4" t="str">
        <f t="shared" si="2"/>
        <v/>
      </c>
      <c r="Z1622" s="4" t="str">
        <f>IFERROR(__xludf.DUMMYFUNCTION("IFERROR(
  FILTER('CBK Students'!O:O, TRIM('CBK Students'!B:B) = TRIM(A1622)),
  """"
)"),"#REF!")</f>
        <v>#REF!</v>
      </c>
      <c r="AA1622" s="4" t="str">
        <f>IFERROR(__xludf.DUMMYFUNCTION("IFERROR(
  FILTER('CBK Students'!P:P, TRIM('CBK Students'!B:B) = TRIM(A1622)),
  """"
)"),"#REF!")</f>
        <v>#REF!</v>
      </c>
      <c r="AB1622" s="4" t="str">
        <f>IFERROR(__xludf.DUMMYFUNCTION("IFERROR(
  FILTER('CBK Students'!Q:Q, TRIM('CBK Students'!B:B) = TRIM(A1622)),
  """"
)"),"#REF!")</f>
        <v>#REF!</v>
      </c>
    </row>
    <row r="1623" ht="18.75" customHeight="1">
      <c r="T1623" s="4"/>
      <c r="U1623" s="4"/>
      <c r="V1623" s="4">
        <f>IFERROR(__xludf.DUMMYFUNCTION("""COMPUTED_VALUE"""),6590.0)</f>
        <v>6590</v>
      </c>
      <c r="W1623" s="240" t="str">
        <f t="shared" si="1"/>
        <v/>
      </c>
      <c r="X1623" s="4" t="str">
        <f>IFERROR(__xludf.DUMMYFUNCTION("""COMPUTED_VALUE"""),"Prepare for Showcase")</f>
        <v>Prepare for Showcase</v>
      </c>
      <c r="Y1623" s="4" t="str">
        <f t="shared" si="2"/>
        <v/>
      </c>
      <c r="Z1623" s="4" t="str">
        <f>IFERROR(__xludf.DUMMYFUNCTION("IFERROR(
  FILTER('CBK Students'!O:O, TRIM('CBK Students'!B:B) = TRIM(A1623)),
  """"
)"),"#REF!")</f>
        <v>#REF!</v>
      </c>
      <c r="AA1623" s="4" t="str">
        <f>IFERROR(__xludf.DUMMYFUNCTION("IFERROR(
  FILTER('CBK Students'!P:P, TRIM('CBK Students'!B:B) = TRIM(A1623)),
  """"
)"),"#REF!")</f>
        <v>#REF!</v>
      </c>
      <c r="AB1623" s="4" t="str">
        <f>IFERROR(__xludf.DUMMYFUNCTION("IFERROR(
  FILTER('CBK Students'!Q:Q, TRIM('CBK Students'!B:B) = TRIM(A1623)),
  """"
)"),"#REF!")</f>
        <v>#REF!</v>
      </c>
    </row>
    <row r="1624" ht="18.75" customHeight="1">
      <c r="T1624" s="4"/>
      <c r="U1624" s="4"/>
      <c r="V1624" s="4">
        <f>IFERROR(__xludf.DUMMYFUNCTION("""COMPUTED_VALUE"""),6590.0)</f>
        <v>6590</v>
      </c>
      <c r="W1624" s="240" t="str">
        <f t="shared" si="1"/>
        <v/>
      </c>
      <c r="X1624" s="4" t="str">
        <f>IFERROR(__xludf.DUMMYFUNCTION("""COMPUTED_VALUE"""),"Prepare for Showcase")</f>
        <v>Prepare for Showcase</v>
      </c>
      <c r="Y1624" s="4" t="str">
        <f t="shared" si="2"/>
        <v/>
      </c>
      <c r="Z1624" s="4" t="str">
        <f>IFERROR(__xludf.DUMMYFUNCTION("IFERROR(
  FILTER('CBK Students'!O:O, TRIM('CBK Students'!B:B) = TRIM(A1624)),
  """"
)"),"#REF!")</f>
        <v>#REF!</v>
      </c>
      <c r="AA1624" s="4" t="str">
        <f>IFERROR(__xludf.DUMMYFUNCTION("IFERROR(
  FILTER('CBK Students'!P:P, TRIM('CBK Students'!B:B) = TRIM(A1624)),
  """"
)"),"#REF!")</f>
        <v>#REF!</v>
      </c>
      <c r="AB1624" s="4" t="str">
        <f>IFERROR(__xludf.DUMMYFUNCTION("IFERROR(
  FILTER('CBK Students'!Q:Q, TRIM('CBK Students'!B:B) = TRIM(A1624)),
  """"
)"),"#REF!")</f>
        <v>#REF!</v>
      </c>
    </row>
    <row r="1625" ht="18.75" customHeight="1">
      <c r="T1625" s="4"/>
      <c r="U1625" s="4"/>
      <c r="V1625" s="4">
        <f>IFERROR(__xludf.DUMMYFUNCTION("""COMPUTED_VALUE"""),6590.0)</f>
        <v>6590</v>
      </c>
      <c r="W1625" s="240" t="str">
        <f t="shared" si="1"/>
        <v/>
      </c>
      <c r="X1625" s="4" t="str">
        <f>IFERROR(__xludf.DUMMYFUNCTION("""COMPUTED_VALUE"""),"Prepare for Showcase")</f>
        <v>Prepare for Showcase</v>
      </c>
      <c r="Y1625" s="4" t="str">
        <f t="shared" si="2"/>
        <v/>
      </c>
      <c r="Z1625" s="4" t="str">
        <f>IFERROR(__xludf.DUMMYFUNCTION("IFERROR(
  FILTER('CBK Students'!O:O, TRIM('CBK Students'!B:B) = TRIM(A1625)),
  """"
)"),"#REF!")</f>
        <v>#REF!</v>
      </c>
      <c r="AA1625" s="4" t="str">
        <f>IFERROR(__xludf.DUMMYFUNCTION("IFERROR(
  FILTER('CBK Students'!P:P, TRIM('CBK Students'!B:B) = TRIM(A1625)),
  """"
)"),"#REF!")</f>
        <v>#REF!</v>
      </c>
      <c r="AB1625" s="4" t="str">
        <f>IFERROR(__xludf.DUMMYFUNCTION("IFERROR(
  FILTER('CBK Students'!Q:Q, TRIM('CBK Students'!B:B) = TRIM(A1625)),
  """"
)"),"#REF!")</f>
        <v>#REF!</v>
      </c>
    </row>
    <row r="1626" ht="18.75" customHeight="1">
      <c r="T1626" s="4"/>
      <c r="U1626" s="4"/>
      <c r="V1626" s="4">
        <f>IFERROR(__xludf.DUMMYFUNCTION("""COMPUTED_VALUE"""),6590.0)</f>
        <v>6590</v>
      </c>
      <c r="W1626" s="240" t="str">
        <f t="shared" si="1"/>
        <v/>
      </c>
      <c r="X1626" s="4" t="str">
        <f>IFERROR(__xludf.DUMMYFUNCTION("""COMPUTED_VALUE"""),"Prepare for Showcase")</f>
        <v>Prepare for Showcase</v>
      </c>
      <c r="Y1626" s="4" t="str">
        <f t="shared" si="2"/>
        <v/>
      </c>
      <c r="Z1626" s="4" t="str">
        <f>IFERROR(__xludf.DUMMYFUNCTION("IFERROR(
  FILTER('CBK Students'!O:O, TRIM('CBK Students'!B:B) = TRIM(A1626)),
  """"
)"),"#REF!")</f>
        <v>#REF!</v>
      </c>
      <c r="AA1626" s="4" t="str">
        <f>IFERROR(__xludf.DUMMYFUNCTION("IFERROR(
  FILTER('CBK Students'!P:P, TRIM('CBK Students'!B:B) = TRIM(A1626)),
  """"
)"),"#REF!")</f>
        <v>#REF!</v>
      </c>
      <c r="AB1626" s="4" t="str">
        <f>IFERROR(__xludf.DUMMYFUNCTION("IFERROR(
  FILTER('CBK Students'!Q:Q, TRIM('CBK Students'!B:B) = TRIM(A1626)),
  """"
)"),"#REF!")</f>
        <v>#REF!</v>
      </c>
    </row>
    <row r="1627" ht="18.75" customHeight="1">
      <c r="T1627" s="4"/>
      <c r="U1627" s="4"/>
      <c r="V1627" s="4">
        <f>IFERROR(__xludf.DUMMYFUNCTION("""COMPUTED_VALUE"""),6590.0)</f>
        <v>6590</v>
      </c>
      <c r="W1627" s="240" t="str">
        <f t="shared" si="1"/>
        <v/>
      </c>
      <c r="X1627" s="4" t="str">
        <f>IFERROR(__xludf.DUMMYFUNCTION("""COMPUTED_VALUE"""),"Prepare for Showcase")</f>
        <v>Prepare for Showcase</v>
      </c>
      <c r="Y1627" s="4" t="str">
        <f t="shared" si="2"/>
        <v/>
      </c>
      <c r="Z1627" s="4" t="str">
        <f>IFERROR(__xludf.DUMMYFUNCTION("IFERROR(
  FILTER('CBK Students'!O:O, TRIM('CBK Students'!B:B) = TRIM(A1627)),
  """"
)"),"#REF!")</f>
        <v>#REF!</v>
      </c>
      <c r="AA1627" s="4" t="str">
        <f>IFERROR(__xludf.DUMMYFUNCTION("IFERROR(
  FILTER('CBK Students'!P:P, TRIM('CBK Students'!B:B) = TRIM(A1627)),
  """"
)"),"#REF!")</f>
        <v>#REF!</v>
      </c>
      <c r="AB1627" s="4" t="str">
        <f>IFERROR(__xludf.DUMMYFUNCTION("IFERROR(
  FILTER('CBK Students'!Q:Q, TRIM('CBK Students'!B:B) = TRIM(A1627)),
  """"
)"),"#REF!")</f>
        <v>#REF!</v>
      </c>
    </row>
    <row r="1628" ht="18.75" customHeight="1">
      <c r="T1628" s="4"/>
      <c r="U1628" s="4"/>
      <c r="V1628" s="4">
        <f>IFERROR(__xludf.DUMMYFUNCTION("""COMPUTED_VALUE"""),6590.0)</f>
        <v>6590</v>
      </c>
      <c r="W1628" s="240" t="str">
        <f t="shared" si="1"/>
        <v/>
      </c>
      <c r="X1628" s="4" t="str">
        <f>IFERROR(__xludf.DUMMYFUNCTION("""COMPUTED_VALUE"""),"Prepare for Showcase")</f>
        <v>Prepare for Showcase</v>
      </c>
      <c r="Y1628" s="4" t="str">
        <f t="shared" si="2"/>
        <v/>
      </c>
      <c r="Z1628" s="4" t="str">
        <f>IFERROR(__xludf.DUMMYFUNCTION("IFERROR(
  FILTER('CBK Students'!O:O, TRIM('CBK Students'!B:B) = TRIM(A1628)),
  """"
)"),"#REF!")</f>
        <v>#REF!</v>
      </c>
      <c r="AA1628" s="4" t="str">
        <f>IFERROR(__xludf.DUMMYFUNCTION("IFERROR(
  FILTER('CBK Students'!P:P, TRIM('CBK Students'!B:B) = TRIM(A1628)),
  """"
)"),"#REF!")</f>
        <v>#REF!</v>
      </c>
      <c r="AB1628" s="4" t="str">
        <f>IFERROR(__xludf.DUMMYFUNCTION("IFERROR(
  FILTER('CBK Students'!Q:Q, TRIM('CBK Students'!B:B) = TRIM(A1628)),
  """"
)"),"#REF!")</f>
        <v>#REF!</v>
      </c>
    </row>
    <row r="1629" ht="18.75" customHeight="1">
      <c r="T1629" s="4"/>
      <c r="U1629" s="4"/>
      <c r="V1629" s="4">
        <f>IFERROR(__xludf.DUMMYFUNCTION("""COMPUTED_VALUE"""),6590.0)</f>
        <v>6590</v>
      </c>
      <c r="W1629" s="240" t="str">
        <f t="shared" si="1"/>
        <v/>
      </c>
      <c r="X1629" s="4" t="str">
        <f>IFERROR(__xludf.DUMMYFUNCTION("""COMPUTED_VALUE"""),"Prepare for Showcase")</f>
        <v>Prepare for Showcase</v>
      </c>
      <c r="Y1629" s="4" t="str">
        <f t="shared" si="2"/>
        <v/>
      </c>
      <c r="Z1629" s="4" t="str">
        <f>IFERROR(__xludf.DUMMYFUNCTION("IFERROR(
  FILTER('CBK Students'!O:O, TRIM('CBK Students'!B:B) = TRIM(A1629)),
  """"
)"),"#REF!")</f>
        <v>#REF!</v>
      </c>
      <c r="AA1629" s="4" t="str">
        <f>IFERROR(__xludf.DUMMYFUNCTION("IFERROR(
  FILTER('CBK Students'!P:P, TRIM('CBK Students'!B:B) = TRIM(A1629)),
  """"
)"),"#REF!")</f>
        <v>#REF!</v>
      </c>
      <c r="AB1629" s="4" t="str">
        <f>IFERROR(__xludf.DUMMYFUNCTION("IFERROR(
  FILTER('CBK Students'!Q:Q, TRIM('CBK Students'!B:B) = TRIM(A1629)),
  """"
)"),"#REF!")</f>
        <v>#REF!</v>
      </c>
    </row>
    <row r="1630" ht="18.75" customHeight="1">
      <c r="T1630" s="4"/>
      <c r="U1630" s="4"/>
      <c r="V1630" s="4">
        <f>IFERROR(__xludf.DUMMYFUNCTION("""COMPUTED_VALUE"""),6590.0)</f>
        <v>6590</v>
      </c>
      <c r="W1630" s="240" t="str">
        <f t="shared" si="1"/>
        <v/>
      </c>
      <c r="X1630" s="4" t="str">
        <f>IFERROR(__xludf.DUMMYFUNCTION("""COMPUTED_VALUE"""),"Prepare for Showcase")</f>
        <v>Prepare for Showcase</v>
      </c>
      <c r="Y1630" s="4" t="str">
        <f t="shared" si="2"/>
        <v/>
      </c>
      <c r="Z1630" s="4" t="str">
        <f>IFERROR(__xludf.DUMMYFUNCTION("IFERROR(
  FILTER('CBK Students'!O:O, TRIM('CBK Students'!B:B) = TRIM(A1630)),
  """"
)"),"#REF!")</f>
        <v>#REF!</v>
      </c>
      <c r="AA1630" s="4" t="str">
        <f>IFERROR(__xludf.DUMMYFUNCTION("IFERROR(
  FILTER('CBK Students'!P:P, TRIM('CBK Students'!B:B) = TRIM(A1630)),
  """"
)"),"#REF!")</f>
        <v>#REF!</v>
      </c>
      <c r="AB1630" s="4" t="str">
        <f>IFERROR(__xludf.DUMMYFUNCTION("IFERROR(
  FILTER('CBK Students'!Q:Q, TRIM('CBK Students'!B:B) = TRIM(A1630)),
  """"
)"),"#REF!")</f>
        <v>#REF!</v>
      </c>
    </row>
    <row r="1631" ht="18.75" customHeight="1">
      <c r="T1631" s="4"/>
      <c r="U1631" s="4"/>
      <c r="V1631" s="4">
        <f>IFERROR(__xludf.DUMMYFUNCTION("""COMPUTED_VALUE"""),6590.0)</f>
        <v>6590</v>
      </c>
      <c r="W1631" s="240" t="str">
        <f t="shared" si="1"/>
        <v/>
      </c>
      <c r="X1631" s="4" t="str">
        <f>IFERROR(__xludf.DUMMYFUNCTION("""COMPUTED_VALUE"""),"Prepare for Showcase")</f>
        <v>Prepare for Showcase</v>
      </c>
      <c r="Y1631" s="4" t="str">
        <f t="shared" si="2"/>
        <v/>
      </c>
      <c r="Z1631" s="4" t="str">
        <f>IFERROR(__xludf.DUMMYFUNCTION("IFERROR(
  FILTER('CBK Students'!O:O, TRIM('CBK Students'!B:B) = TRIM(A1631)),
  """"
)"),"#REF!")</f>
        <v>#REF!</v>
      </c>
      <c r="AA1631" s="4" t="str">
        <f>IFERROR(__xludf.DUMMYFUNCTION("IFERROR(
  FILTER('CBK Students'!P:P, TRIM('CBK Students'!B:B) = TRIM(A1631)),
  """"
)"),"#REF!")</f>
        <v>#REF!</v>
      </c>
      <c r="AB1631" s="4" t="str">
        <f>IFERROR(__xludf.DUMMYFUNCTION("IFERROR(
  FILTER('CBK Students'!Q:Q, TRIM('CBK Students'!B:B) = TRIM(A1631)),
  """"
)"),"#REF!")</f>
        <v>#REF!</v>
      </c>
    </row>
    <row r="1632" ht="18.75" customHeight="1">
      <c r="T1632" s="4"/>
      <c r="U1632" s="4"/>
      <c r="V1632" s="4">
        <f>IFERROR(__xludf.DUMMYFUNCTION("""COMPUTED_VALUE"""),6590.0)</f>
        <v>6590</v>
      </c>
      <c r="W1632" s="240" t="str">
        <f t="shared" si="1"/>
        <v/>
      </c>
      <c r="X1632" s="4" t="str">
        <f>IFERROR(__xludf.DUMMYFUNCTION("""COMPUTED_VALUE"""),"Prepare for Showcase")</f>
        <v>Prepare for Showcase</v>
      </c>
      <c r="Y1632" s="4" t="str">
        <f t="shared" si="2"/>
        <v/>
      </c>
      <c r="Z1632" s="4" t="str">
        <f>IFERROR(__xludf.DUMMYFUNCTION("IFERROR(
  FILTER('CBK Students'!O:O, TRIM('CBK Students'!B:B) = TRIM(A1632)),
  """"
)"),"#REF!")</f>
        <v>#REF!</v>
      </c>
      <c r="AA1632" s="4" t="str">
        <f>IFERROR(__xludf.DUMMYFUNCTION("IFERROR(
  FILTER('CBK Students'!P:P, TRIM('CBK Students'!B:B) = TRIM(A1632)),
  """"
)"),"#REF!")</f>
        <v>#REF!</v>
      </c>
      <c r="AB1632" s="4" t="str">
        <f>IFERROR(__xludf.DUMMYFUNCTION("IFERROR(
  FILTER('CBK Students'!Q:Q, TRIM('CBK Students'!B:B) = TRIM(A1632)),
  """"
)"),"#REF!")</f>
        <v>#REF!</v>
      </c>
    </row>
    <row r="1633" ht="18.75" customHeight="1">
      <c r="T1633" s="4"/>
      <c r="U1633" s="4"/>
      <c r="V1633" s="4">
        <f>IFERROR(__xludf.DUMMYFUNCTION("""COMPUTED_VALUE"""),6590.0)</f>
        <v>6590</v>
      </c>
      <c r="W1633" s="240" t="str">
        <f t="shared" si="1"/>
        <v/>
      </c>
      <c r="X1633" s="4" t="str">
        <f>IFERROR(__xludf.DUMMYFUNCTION("""COMPUTED_VALUE"""),"Prepare for Showcase")</f>
        <v>Prepare for Showcase</v>
      </c>
      <c r="Y1633" s="4" t="str">
        <f t="shared" si="2"/>
        <v/>
      </c>
      <c r="Z1633" s="4" t="str">
        <f>IFERROR(__xludf.DUMMYFUNCTION("IFERROR(
  FILTER('CBK Students'!O:O, TRIM('CBK Students'!B:B) = TRIM(A1633)),
  """"
)"),"#REF!")</f>
        <v>#REF!</v>
      </c>
      <c r="AA1633" s="4" t="str">
        <f>IFERROR(__xludf.DUMMYFUNCTION("IFERROR(
  FILTER('CBK Students'!P:P, TRIM('CBK Students'!B:B) = TRIM(A1633)),
  """"
)"),"#REF!")</f>
        <v>#REF!</v>
      </c>
      <c r="AB1633" s="4" t="str">
        <f>IFERROR(__xludf.DUMMYFUNCTION("IFERROR(
  FILTER('CBK Students'!Q:Q, TRIM('CBK Students'!B:B) = TRIM(A1633)),
  """"
)"),"#REF!")</f>
        <v>#REF!</v>
      </c>
    </row>
    <row r="1634" ht="18.75" customHeight="1">
      <c r="T1634" s="4"/>
      <c r="U1634" s="4"/>
      <c r="V1634" s="4">
        <f>IFERROR(__xludf.DUMMYFUNCTION("""COMPUTED_VALUE"""),6590.0)</f>
        <v>6590</v>
      </c>
      <c r="W1634" s="240" t="str">
        <f t="shared" si="1"/>
        <v/>
      </c>
      <c r="X1634" s="4" t="str">
        <f>IFERROR(__xludf.DUMMYFUNCTION("""COMPUTED_VALUE"""),"Prepare for Showcase")</f>
        <v>Prepare for Showcase</v>
      </c>
      <c r="Y1634" s="4" t="str">
        <f t="shared" si="2"/>
        <v/>
      </c>
      <c r="Z1634" s="4" t="str">
        <f>IFERROR(__xludf.DUMMYFUNCTION("IFERROR(
  FILTER('CBK Students'!O:O, TRIM('CBK Students'!B:B) = TRIM(A1634)),
  """"
)"),"#REF!")</f>
        <v>#REF!</v>
      </c>
      <c r="AA1634" s="4" t="str">
        <f>IFERROR(__xludf.DUMMYFUNCTION("IFERROR(
  FILTER('CBK Students'!P:P, TRIM('CBK Students'!B:B) = TRIM(A1634)),
  """"
)"),"#REF!")</f>
        <v>#REF!</v>
      </c>
      <c r="AB1634" s="4" t="str">
        <f>IFERROR(__xludf.DUMMYFUNCTION("IFERROR(
  FILTER('CBK Students'!Q:Q, TRIM('CBK Students'!B:B) = TRIM(A1634)),
  """"
)"),"#REF!")</f>
        <v>#REF!</v>
      </c>
    </row>
    <row r="1635" ht="18.75" customHeight="1">
      <c r="T1635" s="4"/>
      <c r="U1635" s="4"/>
      <c r="V1635" s="4">
        <f>IFERROR(__xludf.DUMMYFUNCTION("""COMPUTED_VALUE"""),6590.0)</f>
        <v>6590</v>
      </c>
      <c r="W1635" s="240" t="str">
        <f t="shared" si="1"/>
        <v/>
      </c>
      <c r="X1635" s="4" t="str">
        <f>IFERROR(__xludf.DUMMYFUNCTION("""COMPUTED_VALUE"""),"Prepare for Showcase")</f>
        <v>Prepare for Showcase</v>
      </c>
      <c r="Y1635" s="4" t="str">
        <f t="shared" si="2"/>
        <v/>
      </c>
      <c r="Z1635" s="4" t="str">
        <f>IFERROR(__xludf.DUMMYFUNCTION("IFERROR(
  FILTER('CBK Students'!O:O, TRIM('CBK Students'!B:B) = TRIM(A1635)),
  """"
)"),"#REF!")</f>
        <v>#REF!</v>
      </c>
      <c r="AA1635" s="4" t="str">
        <f>IFERROR(__xludf.DUMMYFUNCTION("IFERROR(
  FILTER('CBK Students'!P:P, TRIM('CBK Students'!B:B) = TRIM(A1635)),
  """"
)"),"#REF!")</f>
        <v>#REF!</v>
      </c>
      <c r="AB1635" s="4" t="str">
        <f>IFERROR(__xludf.DUMMYFUNCTION("IFERROR(
  FILTER('CBK Students'!Q:Q, TRIM('CBK Students'!B:B) = TRIM(A1635)),
  """"
)"),"#REF!")</f>
        <v>#REF!</v>
      </c>
    </row>
    <row r="1636" ht="18.75" customHeight="1">
      <c r="T1636" s="4"/>
      <c r="U1636" s="4"/>
      <c r="V1636" s="4">
        <f>IFERROR(__xludf.DUMMYFUNCTION("""COMPUTED_VALUE"""),6590.0)</f>
        <v>6590</v>
      </c>
      <c r="W1636" s="240" t="str">
        <f t="shared" si="1"/>
        <v/>
      </c>
      <c r="X1636" s="4" t="str">
        <f>IFERROR(__xludf.DUMMYFUNCTION("""COMPUTED_VALUE"""),"Prepare for Showcase")</f>
        <v>Prepare for Showcase</v>
      </c>
      <c r="Y1636" s="4" t="str">
        <f t="shared" si="2"/>
        <v/>
      </c>
      <c r="Z1636" s="4" t="str">
        <f>IFERROR(__xludf.DUMMYFUNCTION("IFERROR(
  FILTER('CBK Students'!O:O, TRIM('CBK Students'!B:B) = TRIM(A1636)),
  """"
)"),"#REF!")</f>
        <v>#REF!</v>
      </c>
      <c r="AA1636" s="4" t="str">
        <f>IFERROR(__xludf.DUMMYFUNCTION("IFERROR(
  FILTER('CBK Students'!P:P, TRIM('CBK Students'!B:B) = TRIM(A1636)),
  """"
)"),"#REF!")</f>
        <v>#REF!</v>
      </c>
      <c r="AB1636" s="4" t="str">
        <f>IFERROR(__xludf.DUMMYFUNCTION("IFERROR(
  FILTER('CBK Students'!Q:Q, TRIM('CBK Students'!B:B) = TRIM(A1636)),
  """"
)"),"#REF!")</f>
        <v>#REF!</v>
      </c>
    </row>
    <row r="1637" ht="18.75" customHeight="1">
      <c r="T1637" s="4"/>
      <c r="U1637" s="4"/>
      <c r="V1637" s="4">
        <f>IFERROR(__xludf.DUMMYFUNCTION("""COMPUTED_VALUE"""),6590.0)</f>
        <v>6590</v>
      </c>
      <c r="W1637" s="240" t="str">
        <f t="shared" si="1"/>
        <v/>
      </c>
      <c r="X1637" s="4" t="str">
        <f>IFERROR(__xludf.DUMMYFUNCTION("""COMPUTED_VALUE"""),"Prepare for Showcase")</f>
        <v>Prepare for Showcase</v>
      </c>
      <c r="Y1637" s="4" t="str">
        <f t="shared" si="2"/>
        <v/>
      </c>
      <c r="Z1637" s="4" t="str">
        <f>IFERROR(__xludf.DUMMYFUNCTION("IFERROR(
  FILTER('CBK Students'!O:O, TRIM('CBK Students'!B:B) = TRIM(A1637)),
  """"
)"),"#REF!")</f>
        <v>#REF!</v>
      </c>
      <c r="AA1637" s="4" t="str">
        <f>IFERROR(__xludf.DUMMYFUNCTION("IFERROR(
  FILTER('CBK Students'!P:P, TRIM('CBK Students'!B:B) = TRIM(A1637)),
  """"
)"),"#REF!")</f>
        <v>#REF!</v>
      </c>
      <c r="AB1637" s="4" t="str">
        <f>IFERROR(__xludf.DUMMYFUNCTION("IFERROR(
  FILTER('CBK Students'!Q:Q, TRIM('CBK Students'!B:B) = TRIM(A1637)),
  """"
)"),"#REF!")</f>
        <v>#REF!</v>
      </c>
    </row>
    <row r="1638" ht="18.75" customHeight="1">
      <c r="T1638" s="4"/>
      <c r="U1638" s="4"/>
      <c r="V1638" s="4">
        <f>IFERROR(__xludf.DUMMYFUNCTION("""COMPUTED_VALUE"""),6590.0)</f>
        <v>6590</v>
      </c>
      <c r="W1638" s="240" t="str">
        <f t="shared" si="1"/>
        <v/>
      </c>
      <c r="X1638" s="4" t="str">
        <f>IFERROR(__xludf.DUMMYFUNCTION("""COMPUTED_VALUE"""),"Prepare for Showcase")</f>
        <v>Prepare for Showcase</v>
      </c>
      <c r="Y1638" s="4" t="str">
        <f t="shared" si="2"/>
        <v/>
      </c>
      <c r="Z1638" s="4" t="str">
        <f>IFERROR(__xludf.DUMMYFUNCTION("IFERROR(
  FILTER('CBK Students'!O:O, TRIM('CBK Students'!B:B) = TRIM(A1638)),
  """"
)"),"#REF!")</f>
        <v>#REF!</v>
      </c>
      <c r="AA1638" s="4" t="str">
        <f>IFERROR(__xludf.DUMMYFUNCTION("IFERROR(
  FILTER('CBK Students'!P:P, TRIM('CBK Students'!B:B) = TRIM(A1638)),
  """"
)"),"#REF!")</f>
        <v>#REF!</v>
      </c>
      <c r="AB1638" s="4" t="str">
        <f>IFERROR(__xludf.DUMMYFUNCTION("IFERROR(
  FILTER('CBK Students'!Q:Q, TRIM('CBK Students'!B:B) = TRIM(A1638)),
  """"
)"),"#REF!")</f>
        <v>#REF!</v>
      </c>
    </row>
    <row r="1639" ht="18.75" customHeight="1">
      <c r="T1639" s="4"/>
      <c r="U1639" s="4"/>
      <c r="V1639" s="4">
        <f>IFERROR(__xludf.DUMMYFUNCTION("""COMPUTED_VALUE"""),6590.0)</f>
        <v>6590</v>
      </c>
      <c r="W1639" s="240" t="str">
        <f t="shared" si="1"/>
        <v/>
      </c>
      <c r="X1639" s="4" t="str">
        <f>IFERROR(__xludf.DUMMYFUNCTION("""COMPUTED_VALUE"""),"Prepare for Showcase")</f>
        <v>Prepare for Showcase</v>
      </c>
      <c r="Y1639" s="4" t="str">
        <f t="shared" si="2"/>
        <v/>
      </c>
      <c r="Z1639" s="4" t="str">
        <f>IFERROR(__xludf.DUMMYFUNCTION("IFERROR(
  FILTER('CBK Students'!O:O, TRIM('CBK Students'!B:B) = TRIM(A1639)),
  """"
)"),"#REF!")</f>
        <v>#REF!</v>
      </c>
      <c r="AA1639" s="4" t="str">
        <f>IFERROR(__xludf.DUMMYFUNCTION("IFERROR(
  FILTER('CBK Students'!P:P, TRIM('CBK Students'!B:B) = TRIM(A1639)),
  """"
)"),"#REF!")</f>
        <v>#REF!</v>
      </c>
      <c r="AB1639" s="4" t="str">
        <f>IFERROR(__xludf.DUMMYFUNCTION("IFERROR(
  FILTER('CBK Students'!Q:Q, TRIM('CBK Students'!B:B) = TRIM(A1639)),
  """"
)"),"#REF!")</f>
        <v>#REF!</v>
      </c>
    </row>
    <row r="1640" ht="18.75" customHeight="1">
      <c r="T1640" s="4"/>
      <c r="U1640" s="4"/>
      <c r="V1640" s="4">
        <f>IFERROR(__xludf.DUMMYFUNCTION("""COMPUTED_VALUE"""),6590.0)</f>
        <v>6590</v>
      </c>
      <c r="W1640" s="240" t="str">
        <f t="shared" si="1"/>
        <v/>
      </c>
      <c r="X1640" s="4" t="str">
        <f>IFERROR(__xludf.DUMMYFUNCTION("""COMPUTED_VALUE"""),"Prepare for Showcase")</f>
        <v>Prepare for Showcase</v>
      </c>
      <c r="Y1640" s="4" t="str">
        <f t="shared" si="2"/>
        <v/>
      </c>
      <c r="Z1640" s="4" t="str">
        <f>IFERROR(__xludf.DUMMYFUNCTION("IFERROR(
  FILTER('CBK Students'!O:O, TRIM('CBK Students'!B:B) = TRIM(A1640)),
  """"
)"),"#REF!")</f>
        <v>#REF!</v>
      </c>
      <c r="AA1640" s="4" t="str">
        <f>IFERROR(__xludf.DUMMYFUNCTION("IFERROR(
  FILTER('CBK Students'!P:P, TRIM('CBK Students'!B:B) = TRIM(A1640)),
  """"
)"),"#REF!")</f>
        <v>#REF!</v>
      </c>
      <c r="AB1640" s="4" t="str">
        <f>IFERROR(__xludf.DUMMYFUNCTION("IFERROR(
  FILTER('CBK Students'!Q:Q, TRIM('CBK Students'!B:B) = TRIM(A1640)),
  """"
)"),"#REF!")</f>
        <v>#REF!</v>
      </c>
    </row>
    <row r="1641" ht="18.75" customHeight="1">
      <c r="T1641" s="4"/>
      <c r="U1641" s="4"/>
      <c r="V1641" s="4">
        <f>IFERROR(__xludf.DUMMYFUNCTION("""COMPUTED_VALUE"""),6590.0)</f>
        <v>6590</v>
      </c>
      <c r="W1641" s="240" t="str">
        <f t="shared" si="1"/>
        <v/>
      </c>
      <c r="X1641" s="4" t="str">
        <f>IFERROR(__xludf.DUMMYFUNCTION("""COMPUTED_VALUE"""),"Prepare for Showcase")</f>
        <v>Prepare for Showcase</v>
      </c>
      <c r="Y1641" s="4" t="str">
        <f t="shared" si="2"/>
        <v/>
      </c>
      <c r="Z1641" s="4" t="str">
        <f>IFERROR(__xludf.DUMMYFUNCTION("IFERROR(
  FILTER('CBK Students'!O:O, TRIM('CBK Students'!B:B) = TRIM(A1641)),
  """"
)"),"#REF!")</f>
        <v>#REF!</v>
      </c>
      <c r="AA1641" s="4" t="str">
        <f>IFERROR(__xludf.DUMMYFUNCTION("IFERROR(
  FILTER('CBK Students'!P:P, TRIM('CBK Students'!B:B) = TRIM(A1641)),
  """"
)"),"#REF!")</f>
        <v>#REF!</v>
      </c>
      <c r="AB1641" s="4" t="str">
        <f>IFERROR(__xludf.DUMMYFUNCTION("IFERROR(
  FILTER('CBK Students'!Q:Q, TRIM('CBK Students'!B:B) = TRIM(A1641)),
  """"
)"),"#REF!")</f>
        <v>#REF!</v>
      </c>
    </row>
    <row r="1642" ht="18.75" customHeight="1">
      <c r="T1642" s="4"/>
      <c r="U1642" s="4"/>
      <c r="V1642" s="4">
        <f>IFERROR(__xludf.DUMMYFUNCTION("""COMPUTED_VALUE"""),6590.0)</f>
        <v>6590</v>
      </c>
      <c r="W1642" s="240" t="str">
        <f t="shared" si="1"/>
        <v/>
      </c>
      <c r="X1642" s="4" t="str">
        <f>IFERROR(__xludf.DUMMYFUNCTION("""COMPUTED_VALUE"""),"Prepare for Showcase")</f>
        <v>Prepare for Showcase</v>
      </c>
      <c r="Y1642" s="4" t="str">
        <f t="shared" si="2"/>
        <v/>
      </c>
      <c r="Z1642" s="4" t="str">
        <f>IFERROR(__xludf.DUMMYFUNCTION("IFERROR(
  FILTER('CBK Students'!O:O, TRIM('CBK Students'!B:B) = TRIM(A1642)),
  """"
)"),"#REF!")</f>
        <v>#REF!</v>
      </c>
      <c r="AA1642" s="4" t="str">
        <f>IFERROR(__xludf.DUMMYFUNCTION("IFERROR(
  FILTER('CBK Students'!P:P, TRIM('CBK Students'!B:B) = TRIM(A1642)),
  """"
)"),"#REF!")</f>
        <v>#REF!</v>
      </c>
      <c r="AB1642" s="4" t="str">
        <f>IFERROR(__xludf.DUMMYFUNCTION("IFERROR(
  FILTER('CBK Students'!Q:Q, TRIM('CBK Students'!B:B) = TRIM(A1642)),
  """"
)"),"#REF!")</f>
        <v>#REF!</v>
      </c>
    </row>
    <row r="1643" ht="18.75" customHeight="1">
      <c r="T1643" s="4"/>
      <c r="U1643" s="4"/>
      <c r="V1643" s="4">
        <f>IFERROR(__xludf.DUMMYFUNCTION("""COMPUTED_VALUE"""),6590.0)</f>
        <v>6590</v>
      </c>
      <c r="W1643" s="240" t="str">
        <f t="shared" si="1"/>
        <v/>
      </c>
      <c r="X1643" s="4" t="str">
        <f>IFERROR(__xludf.DUMMYFUNCTION("""COMPUTED_VALUE"""),"Prepare for Showcase")</f>
        <v>Prepare for Showcase</v>
      </c>
      <c r="Y1643" s="4" t="str">
        <f t="shared" si="2"/>
        <v/>
      </c>
      <c r="Z1643" s="4" t="str">
        <f>IFERROR(__xludf.DUMMYFUNCTION("IFERROR(
  FILTER('CBK Students'!O:O, TRIM('CBK Students'!B:B) = TRIM(A1643)),
  """"
)"),"#REF!")</f>
        <v>#REF!</v>
      </c>
      <c r="AA1643" s="4" t="str">
        <f>IFERROR(__xludf.DUMMYFUNCTION("IFERROR(
  FILTER('CBK Students'!P:P, TRIM('CBK Students'!B:B) = TRIM(A1643)),
  """"
)"),"#REF!")</f>
        <v>#REF!</v>
      </c>
      <c r="AB1643" s="4" t="str">
        <f>IFERROR(__xludf.DUMMYFUNCTION("IFERROR(
  FILTER('CBK Students'!Q:Q, TRIM('CBK Students'!B:B) = TRIM(A1643)),
  """"
)"),"#REF!")</f>
        <v>#REF!</v>
      </c>
    </row>
    <row r="1644" ht="18.75" customHeight="1">
      <c r="T1644" s="4"/>
      <c r="U1644" s="4"/>
      <c r="V1644" s="4">
        <f>IFERROR(__xludf.DUMMYFUNCTION("""COMPUTED_VALUE"""),6590.0)</f>
        <v>6590</v>
      </c>
      <c r="W1644" s="240" t="str">
        <f t="shared" si="1"/>
        <v/>
      </c>
      <c r="X1644" s="4" t="str">
        <f>IFERROR(__xludf.DUMMYFUNCTION("""COMPUTED_VALUE"""),"Prepare for Showcase")</f>
        <v>Prepare for Showcase</v>
      </c>
      <c r="Y1644" s="4" t="str">
        <f t="shared" si="2"/>
        <v/>
      </c>
      <c r="Z1644" s="4" t="str">
        <f>IFERROR(__xludf.DUMMYFUNCTION("IFERROR(
  FILTER('CBK Students'!O:O, TRIM('CBK Students'!B:B) = TRIM(A1644)),
  """"
)"),"#REF!")</f>
        <v>#REF!</v>
      </c>
      <c r="AA1644" s="4" t="str">
        <f>IFERROR(__xludf.DUMMYFUNCTION("IFERROR(
  FILTER('CBK Students'!P:P, TRIM('CBK Students'!B:B) = TRIM(A1644)),
  """"
)"),"#REF!")</f>
        <v>#REF!</v>
      </c>
      <c r="AB1644" s="4" t="str">
        <f>IFERROR(__xludf.DUMMYFUNCTION("IFERROR(
  FILTER('CBK Students'!Q:Q, TRIM('CBK Students'!B:B) = TRIM(A1644)),
  """"
)"),"#REF!")</f>
        <v>#REF!</v>
      </c>
    </row>
    <row r="1645" ht="18.75" customHeight="1">
      <c r="T1645" s="4"/>
      <c r="U1645" s="4"/>
      <c r="V1645" s="4">
        <f>IFERROR(__xludf.DUMMYFUNCTION("""COMPUTED_VALUE"""),6590.0)</f>
        <v>6590</v>
      </c>
      <c r="W1645" s="240" t="str">
        <f t="shared" si="1"/>
        <v/>
      </c>
      <c r="X1645" s="4" t="str">
        <f>IFERROR(__xludf.DUMMYFUNCTION("""COMPUTED_VALUE"""),"Prepare for Showcase")</f>
        <v>Prepare for Showcase</v>
      </c>
      <c r="Y1645" s="4" t="str">
        <f t="shared" si="2"/>
        <v/>
      </c>
      <c r="Z1645" s="4" t="str">
        <f>IFERROR(__xludf.DUMMYFUNCTION("IFERROR(
  FILTER('CBK Students'!O:O, TRIM('CBK Students'!B:B) = TRIM(A1645)),
  """"
)"),"#REF!")</f>
        <v>#REF!</v>
      </c>
      <c r="AA1645" s="4" t="str">
        <f>IFERROR(__xludf.DUMMYFUNCTION("IFERROR(
  FILTER('CBK Students'!P:P, TRIM('CBK Students'!B:B) = TRIM(A1645)),
  """"
)"),"#REF!")</f>
        <v>#REF!</v>
      </c>
      <c r="AB1645" s="4" t="str">
        <f>IFERROR(__xludf.DUMMYFUNCTION("IFERROR(
  FILTER('CBK Students'!Q:Q, TRIM('CBK Students'!B:B) = TRIM(A1645)),
  """"
)"),"#REF!")</f>
        <v>#REF!</v>
      </c>
    </row>
    <row r="1646" ht="18.75" customHeight="1">
      <c r="T1646" s="4"/>
      <c r="U1646" s="4"/>
      <c r="V1646" s="4">
        <f>IFERROR(__xludf.DUMMYFUNCTION("""COMPUTED_VALUE"""),6590.0)</f>
        <v>6590</v>
      </c>
      <c r="W1646" s="240" t="str">
        <f t="shared" si="1"/>
        <v/>
      </c>
      <c r="X1646" s="4" t="str">
        <f>IFERROR(__xludf.DUMMYFUNCTION("""COMPUTED_VALUE"""),"Prepare for Showcase")</f>
        <v>Prepare for Showcase</v>
      </c>
      <c r="Y1646" s="4" t="str">
        <f t="shared" si="2"/>
        <v/>
      </c>
      <c r="Z1646" s="4" t="str">
        <f>IFERROR(__xludf.DUMMYFUNCTION("IFERROR(
  FILTER('CBK Students'!O:O, TRIM('CBK Students'!B:B) = TRIM(A1646)),
  """"
)"),"#REF!")</f>
        <v>#REF!</v>
      </c>
      <c r="AA1646" s="4" t="str">
        <f>IFERROR(__xludf.DUMMYFUNCTION("IFERROR(
  FILTER('CBK Students'!P:P, TRIM('CBK Students'!B:B) = TRIM(A1646)),
  """"
)"),"#REF!")</f>
        <v>#REF!</v>
      </c>
      <c r="AB1646" s="4" t="str">
        <f>IFERROR(__xludf.DUMMYFUNCTION("IFERROR(
  FILTER('CBK Students'!Q:Q, TRIM('CBK Students'!B:B) = TRIM(A1646)),
  """"
)"),"#REF!")</f>
        <v>#REF!</v>
      </c>
    </row>
    <row r="1647" ht="18.75" customHeight="1">
      <c r="T1647" s="4"/>
      <c r="U1647" s="4"/>
      <c r="V1647" s="4">
        <f>IFERROR(__xludf.DUMMYFUNCTION("""COMPUTED_VALUE"""),6590.0)</f>
        <v>6590</v>
      </c>
      <c r="W1647" s="240" t="str">
        <f t="shared" si="1"/>
        <v/>
      </c>
      <c r="X1647" s="4" t="str">
        <f>IFERROR(__xludf.DUMMYFUNCTION("""COMPUTED_VALUE"""),"Prepare for Showcase")</f>
        <v>Prepare for Showcase</v>
      </c>
      <c r="Y1647" s="4" t="str">
        <f t="shared" si="2"/>
        <v/>
      </c>
      <c r="Z1647" s="4" t="str">
        <f>IFERROR(__xludf.DUMMYFUNCTION("IFERROR(
  FILTER('CBK Students'!O:O, TRIM('CBK Students'!B:B) = TRIM(A1647)),
  """"
)"),"#REF!")</f>
        <v>#REF!</v>
      </c>
      <c r="AA1647" s="4" t="str">
        <f>IFERROR(__xludf.DUMMYFUNCTION("IFERROR(
  FILTER('CBK Students'!P:P, TRIM('CBK Students'!B:B) = TRIM(A1647)),
  """"
)"),"#REF!")</f>
        <v>#REF!</v>
      </c>
      <c r="AB1647" s="4" t="str">
        <f>IFERROR(__xludf.DUMMYFUNCTION("IFERROR(
  FILTER('CBK Students'!Q:Q, TRIM('CBK Students'!B:B) = TRIM(A1647)),
  """"
)"),"#REF!")</f>
        <v>#REF!</v>
      </c>
    </row>
    <row r="1648" ht="18.75" customHeight="1">
      <c r="T1648" s="4"/>
      <c r="U1648" s="4"/>
      <c r="V1648" s="4">
        <f>IFERROR(__xludf.DUMMYFUNCTION("""COMPUTED_VALUE"""),6590.0)</f>
        <v>6590</v>
      </c>
      <c r="W1648" s="240" t="str">
        <f t="shared" si="1"/>
        <v/>
      </c>
      <c r="X1648" s="4" t="str">
        <f>IFERROR(__xludf.DUMMYFUNCTION("""COMPUTED_VALUE"""),"Prepare for Showcase")</f>
        <v>Prepare for Showcase</v>
      </c>
      <c r="Y1648" s="4" t="str">
        <f t="shared" si="2"/>
        <v/>
      </c>
      <c r="Z1648" s="4" t="str">
        <f>IFERROR(__xludf.DUMMYFUNCTION("IFERROR(
  FILTER('CBK Students'!O:O, TRIM('CBK Students'!B:B) = TRIM(A1648)),
  """"
)"),"#REF!")</f>
        <v>#REF!</v>
      </c>
      <c r="AA1648" s="4" t="str">
        <f>IFERROR(__xludf.DUMMYFUNCTION("IFERROR(
  FILTER('CBK Students'!P:P, TRIM('CBK Students'!B:B) = TRIM(A1648)),
  """"
)"),"#REF!")</f>
        <v>#REF!</v>
      </c>
      <c r="AB1648" s="4" t="str">
        <f>IFERROR(__xludf.DUMMYFUNCTION("IFERROR(
  FILTER('CBK Students'!Q:Q, TRIM('CBK Students'!B:B) = TRIM(A1648)),
  """"
)"),"#REF!")</f>
        <v>#REF!</v>
      </c>
    </row>
    <row r="1649" ht="18.75" customHeight="1">
      <c r="T1649" s="4"/>
      <c r="U1649" s="4"/>
      <c r="V1649" s="4">
        <f>IFERROR(__xludf.DUMMYFUNCTION("""COMPUTED_VALUE"""),6590.0)</f>
        <v>6590</v>
      </c>
      <c r="W1649" s="240" t="str">
        <f t="shared" si="1"/>
        <v/>
      </c>
      <c r="X1649" s="4" t="str">
        <f>IFERROR(__xludf.DUMMYFUNCTION("""COMPUTED_VALUE"""),"Prepare for Showcase")</f>
        <v>Prepare for Showcase</v>
      </c>
      <c r="Y1649" s="4" t="str">
        <f t="shared" si="2"/>
        <v/>
      </c>
      <c r="Z1649" s="4" t="str">
        <f>IFERROR(__xludf.DUMMYFUNCTION("IFERROR(
  FILTER('CBK Students'!O:O, TRIM('CBK Students'!B:B) = TRIM(A1649)),
  """"
)"),"#REF!")</f>
        <v>#REF!</v>
      </c>
      <c r="AA1649" s="4" t="str">
        <f>IFERROR(__xludf.DUMMYFUNCTION("IFERROR(
  FILTER('CBK Students'!P:P, TRIM('CBK Students'!B:B) = TRIM(A1649)),
  """"
)"),"#REF!")</f>
        <v>#REF!</v>
      </c>
      <c r="AB1649" s="4" t="str">
        <f>IFERROR(__xludf.DUMMYFUNCTION("IFERROR(
  FILTER('CBK Students'!Q:Q, TRIM('CBK Students'!B:B) = TRIM(A1649)),
  """"
)"),"#REF!")</f>
        <v>#REF!</v>
      </c>
    </row>
    <row r="1650" ht="18.75" customHeight="1">
      <c r="T1650" s="4"/>
      <c r="U1650" s="4"/>
      <c r="V1650" s="4">
        <f>IFERROR(__xludf.DUMMYFUNCTION("""COMPUTED_VALUE"""),6590.0)</f>
        <v>6590</v>
      </c>
      <c r="W1650" s="240" t="str">
        <f t="shared" si="1"/>
        <v/>
      </c>
      <c r="X1650" s="4" t="str">
        <f>IFERROR(__xludf.DUMMYFUNCTION("""COMPUTED_VALUE"""),"Prepare for Showcase")</f>
        <v>Prepare for Showcase</v>
      </c>
      <c r="Y1650" s="4" t="str">
        <f t="shared" si="2"/>
        <v/>
      </c>
      <c r="Z1650" s="4" t="str">
        <f>IFERROR(__xludf.DUMMYFUNCTION("IFERROR(
  FILTER('CBK Students'!O:O, TRIM('CBK Students'!B:B) = TRIM(A1650)),
  """"
)"),"#REF!")</f>
        <v>#REF!</v>
      </c>
      <c r="AA1650" s="4" t="str">
        <f>IFERROR(__xludf.DUMMYFUNCTION("IFERROR(
  FILTER('CBK Students'!P:P, TRIM('CBK Students'!B:B) = TRIM(A1650)),
  """"
)"),"#REF!")</f>
        <v>#REF!</v>
      </c>
      <c r="AB1650" s="4" t="str">
        <f>IFERROR(__xludf.DUMMYFUNCTION("IFERROR(
  FILTER('CBK Students'!Q:Q, TRIM('CBK Students'!B:B) = TRIM(A1650)),
  """"
)"),"#REF!")</f>
        <v>#REF!</v>
      </c>
    </row>
    <row r="1651" ht="18.75" customHeight="1">
      <c r="T1651" s="4"/>
      <c r="U1651" s="4"/>
      <c r="V1651" s="4">
        <f>IFERROR(__xludf.DUMMYFUNCTION("""COMPUTED_VALUE"""),6590.0)</f>
        <v>6590</v>
      </c>
      <c r="W1651" s="240" t="str">
        <f t="shared" si="1"/>
        <v/>
      </c>
      <c r="X1651" s="4" t="str">
        <f>IFERROR(__xludf.DUMMYFUNCTION("""COMPUTED_VALUE"""),"Prepare for Showcase")</f>
        <v>Prepare for Showcase</v>
      </c>
      <c r="Y1651" s="4" t="str">
        <f t="shared" si="2"/>
        <v/>
      </c>
      <c r="Z1651" s="4" t="str">
        <f>IFERROR(__xludf.DUMMYFUNCTION("IFERROR(
  FILTER('CBK Students'!O:O, TRIM('CBK Students'!B:B) = TRIM(A1651)),
  """"
)"),"#REF!")</f>
        <v>#REF!</v>
      </c>
      <c r="AA1651" s="4" t="str">
        <f>IFERROR(__xludf.DUMMYFUNCTION("IFERROR(
  FILTER('CBK Students'!P:P, TRIM('CBK Students'!B:B) = TRIM(A1651)),
  """"
)"),"#REF!")</f>
        <v>#REF!</v>
      </c>
      <c r="AB1651" s="4" t="str">
        <f>IFERROR(__xludf.DUMMYFUNCTION("IFERROR(
  FILTER('CBK Students'!Q:Q, TRIM('CBK Students'!B:B) = TRIM(A1651)),
  """"
)"),"#REF!")</f>
        <v>#REF!</v>
      </c>
    </row>
    <row r="1652" ht="18.75" customHeight="1">
      <c r="T1652" s="4"/>
      <c r="U1652" s="4"/>
      <c r="V1652" s="4">
        <f>IFERROR(__xludf.DUMMYFUNCTION("""COMPUTED_VALUE"""),6590.0)</f>
        <v>6590</v>
      </c>
      <c r="W1652" s="240" t="str">
        <f t="shared" si="1"/>
        <v/>
      </c>
      <c r="X1652" s="4" t="str">
        <f>IFERROR(__xludf.DUMMYFUNCTION("""COMPUTED_VALUE"""),"Prepare for Showcase")</f>
        <v>Prepare for Showcase</v>
      </c>
      <c r="Y1652" s="4" t="str">
        <f t="shared" si="2"/>
        <v/>
      </c>
      <c r="Z1652" s="4" t="str">
        <f>IFERROR(__xludf.DUMMYFUNCTION("IFERROR(
  FILTER('CBK Students'!O:O, TRIM('CBK Students'!B:B) = TRIM(A1652)),
  """"
)"),"#REF!")</f>
        <v>#REF!</v>
      </c>
      <c r="AA1652" s="4" t="str">
        <f>IFERROR(__xludf.DUMMYFUNCTION("IFERROR(
  FILTER('CBK Students'!P:P, TRIM('CBK Students'!B:B) = TRIM(A1652)),
  """"
)"),"#REF!")</f>
        <v>#REF!</v>
      </c>
      <c r="AB1652" s="4" t="str">
        <f>IFERROR(__xludf.DUMMYFUNCTION("IFERROR(
  FILTER('CBK Students'!Q:Q, TRIM('CBK Students'!B:B) = TRIM(A1652)),
  """"
)"),"#REF!")</f>
        <v>#REF!</v>
      </c>
    </row>
    <row r="1653" ht="18.75" customHeight="1">
      <c r="T1653" s="4"/>
      <c r="U1653" s="4"/>
      <c r="V1653" s="4">
        <f>IFERROR(__xludf.DUMMYFUNCTION("""COMPUTED_VALUE"""),6590.0)</f>
        <v>6590</v>
      </c>
      <c r="W1653" s="240" t="str">
        <f t="shared" si="1"/>
        <v/>
      </c>
      <c r="X1653" s="4" t="str">
        <f>IFERROR(__xludf.DUMMYFUNCTION("""COMPUTED_VALUE"""),"Prepare for Showcase")</f>
        <v>Prepare for Showcase</v>
      </c>
      <c r="Y1653" s="4" t="str">
        <f t="shared" si="2"/>
        <v/>
      </c>
      <c r="Z1653" s="4" t="str">
        <f>IFERROR(__xludf.DUMMYFUNCTION("IFERROR(
  FILTER('CBK Students'!O:O, TRIM('CBK Students'!B:B) = TRIM(A1653)),
  """"
)"),"#REF!")</f>
        <v>#REF!</v>
      </c>
      <c r="AA1653" s="4" t="str">
        <f>IFERROR(__xludf.DUMMYFUNCTION("IFERROR(
  FILTER('CBK Students'!P:P, TRIM('CBK Students'!B:B) = TRIM(A1653)),
  """"
)"),"#REF!")</f>
        <v>#REF!</v>
      </c>
      <c r="AB1653" s="4" t="str">
        <f>IFERROR(__xludf.DUMMYFUNCTION("IFERROR(
  FILTER('CBK Students'!Q:Q, TRIM('CBK Students'!B:B) = TRIM(A1653)),
  """"
)"),"#REF!")</f>
        <v>#REF!</v>
      </c>
    </row>
    <row r="1654" ht="18.75" customHeight="1">
      <c r="T1654" s="4"/>
      <c r="U1654" s="4"/>
      <c r="V1654" s="4">
        <f>IFERROR(__xludf.DUMMYFUNCTION("""COMPUTED_VALUE"""),6590.0)</f>
        <v>6590</v>
      </c>
      <c r="W1654" s="240" t="str">
        <f t="shared" si="1"/>
        <v/>
      </c>
      <c r="X1654" s="4" t="str">
        <f>IFERROR(__xludf.DUMMYFUNCTION("""COMPUTED_VALUE"""),"Prepare for Showcase")</f>
        <v>Prepare for Showcase</v>
      </c>
      <c r="Y1654" s="4" t="str">
        <f t="shared" si="2"/>
        <v/>
      </c>
      <c r="Z1654" s="4" t="str">
        <f>IFERROR(__xludf.DUMMYFUNCTION("IFERROR(
  FILTER('CBK Students'!O:O, TRIM('CBK Students'!B:B) = TRIM(A1654)),
  """"
)"),"#REF!")</f>
        <v>#REF!</v>
      </c>
      <c r="AA1654" s="4" t="str">
        <f>IFERROR(__xludf.DUMMYFUNCTION("IFERROR(
  FILTER('CBK Students'!P:P, TRIM('CBK Students'!B:B) = TRIM(A1654)),
  """"
)"),"#REF!")</f>
        <v>#REF!</v>
      </c>
      <c r="AB1654" s="4" t="str">
        <f>IFERROR(__xludf.DUMMYFUNCTION("IFERROR(
  FILTER('CBK Students'!Q:Q, TRIM('CBK Students'!B:B) = TRIM(A1654)),
  """"
)"),"#REF!")</f>
        <v>#REF!</v>
      </c>
    </row>
    <row r="1655" ht="18.75" customHeight="1">
      <c r="T1655" s="4"/>
      <c r="U1655" s="4"/>
      <c r="V1655" s="4">
        <f>IFERROR(__xludf.DUMMYFUNCTION("""COMPUTED_VALUE"""),6590.0)</f>
        <v>6590</v>
      </c>
      <c r="W1655" s="240" t="str">
        <f t="shared" si="1"/>
        <v/>
      </c>
      <c r="X1655" s="4" t="str">
        <f>IFERROR(__xludf.DUMMYFUNCTION("""COMPUTED_VALUE"""),"Prepare for Showcase")</f>
        <v>Prepare for Showcase</v>
      </c>
      <c r="Y1655" s="4" t="str">
        <f t="shared" si="2"/>
        <v/>
      </c>
      <c r="Z1655" s="4" t="str">
        <f>IFERROR(__xludf.DUMMYFUNCTION("IFERROR(
  FILTER('CBK Students'!O:O, TRIM('CBK Students'!B:B) = TRIM(A1655)),
  """"
)"),"#REF!")</f>
        <v>#REF!</v>
      </c>
      <c r="AA1655" s="4" t="str">
        <f>IFERROR(__xludf.DUMMYFUNCTION("IFERROR(
  FILTER('CBK Students'!P:P, TRIM('CBK Students'!B:B) = TRIM(A1655)),
  """"
)"),"#REF!")</f>
        <v>#REF!</v>
      </c>
      <c r="AB1655" s="4" t="str">
        <f>IFERROR(__xludf.DUMMYFUNCTION("IFERROR(
  FILTER('CBK Students'!Q:Q, TRIM('CBK Students'!B:B) = TRIM(A1655)),
  """"
)"),"#REF!")</f>
        <v>#REF!</v>
      </c>
    </row>
    <row r="1656" ht="18.75" customHeight="1">
      <c r="T1656" s="4"/>
      <c r="U1656" s="4"/>
      <c r="V1656" s="4">
        <f>IFERROR(__xludf.DUMMYFUNCTION("""COMPUTED_VALUE"""),6590.0)</f>
        <v>6590</v>
      </c>
      <c r="W1656" s="240" t="str">
        <f t="shared" si="1"/>
        <v/>
      </c>
      <c r="X1656" s="4" t="str">
        <f>IFERROR(__xludf.DUMMYFUNCTION("""COMPUTED_VALUE"""),"Prepare for Showcase")</f>
        <v>Prepare for Showcase</v>
      </c>
      <c r="Y1656" s="4" t="str">
        <f t="shared" si="2"/>
        <v/>
      </c>
      <c r="Z1656" s="4" t="str">
        <f>IFERROR(__xludf.DUMMYFUNCTION("IFERROR(
  FILTER('CBK Students'!O:O, TRIM('CBK Students'!B:B) = TRIM(A1656)),
  """"
)"),"#REF!")</f>
        <v>#REF!</v>
      </c>
      <c r="AA1656" s="4" t="str">
        <f>IFERROR(__xludf.DUMMYFUNCTION("IFERROR(
  FILTER('CBK Students'!P:P, TRIM('CBK Students'!B:B) = TRIM(A1656)),
  """"
)"),"#REF!")</f>
        <v>#REF!</v>
      </c>
      <c r="AB1656" s="4" t="str">
        <f>IFERROR(__xludf.DUMMYFUNCTION("IFERROR(
  FILTER('CBK Students'!Q:Q, TRIM('CBK Students'!B:B) = TRIM(A1656)),
  """"
)"),"#REF!")</f>
        <v>#REF!</v>
      </c>
    </row>
    <row r="1657" ht="18.75" customHeight="1">
      <c r="T1657" s="4"/>
      <c r="U1657" s="4"/>
      <c r="V1657" s="4">
        <f>IFERROR(__xludf.DUMMYFUNCTION("""COMPUTED_VALUE"""),6590.0)</f>
        <v>6590</v>
      </c>
      <c r="W1657" s="240" t="str">
        <f t="shared" si="1"/>
        <v/>
      </c>
      <c r="X1657" s="4" t="str">
        <f>IFERROR(__xludf.DUMMYFUNCTION("""COMPUTED_VALUE"""),"Prepare for Showcase")</f>
        <v>Prepare for Showcase</v>
      </c>
      <c r="Y1657" s="4" t="str">
        <f t="shared" si="2"/>
        <v/>
      </c>
      <c r="Z1657" s="4" t="str">
        <f>IFERROR(__xludf.DUMMYFUNCTION("IFERROR(
  FILTER('CBK Students'!O:O, TRIM('CBK Students'!B:B) = TRIM(A1657)),
  """"
)"),"#REF!")</f>
        <v>#REF!</v>
      </c>
      <c r="AA1657" s="4" t="str">
        <f>IFERROR(__xludf.DUMMYFUNCTION("IFERROR(
  FILTER('CBK Students'!P:P, TRIM('CBK Students'!B:B) = TRIM(A1657)),
  """"
)"),"#REF!")</f>
        <v>#REF!</v>
      </c>
      <c r="AB1657" s="4" t="str">
        <f>IFERROR(__xludf.DUMMYFUNCTION("IFERROR(
  FILTER('CBK Students'!Q:Q, TRIM('CBK Students'!B:B) = TRIM(A1657)),
  """"
)"),"#REF!")</f>
        <v>#REF!</v>
      </c>
    </row>
    <row r="1658" ht="18.75" customHeight="1">
      <c r="T1658" s="4"/>
      <c r="U1658" s="4"/>
      <c r="V1658" s="4">
        <f>IFERROR(__xludf.DUMMYFUNCTION("""COMPUTED_VALUE"""),6590.0)</f>
        <v>6590</v>
      </c>
      <c r="W1658" s="240" t="str">
        <f t="shared" si="1"/>
        <v/>
      </c>
      <c r="X1658" s="4" t="str">
        <f>IFERROR(__xludf.DUMMYFUNCTION("""COMPUTED_VALUE"""),"Prepare for Showcase")</f>
        <v>Prepare for Showcase</v>
      </c>
      <c r="Y1658" s="4" t="str">
        <f t="shared" si="2"/>
        <v/>
      </c>
      <c r="Z1658" s="4" t="str">
        <f>IFERROR(__xludf.DUMMYFUNCTION("IFERROR(
  FILTER('CBK Students'!O:O, TRIM('CBK Students'!B:B) = TRIM(A1658)),
  """"
)"),"#REF!")</f>
        <v>#REF!</v>
      </c>
      <c r="AA1658" s="4" t="str">
        <f>IFERROR(__xludf.DUMMYFUNCTION("IFERROR(
  FILTER('CBK Students'!P:P, TRIM('CBK Students'!B:B) = TRIM(A1658)),
  """"
)"),"#REF!")</f>
        <v>#REF!</v>
      </c>
      <c r="AB1658" s="4" t="str">
        <f>IFERROR(__xludf.DUMMYFUNCTION("IFERROR(
  FILTER('CBK Students'!Q:Q, TRIM('CBK Students'!B:B) = TRIM(A1658)),
  """"
)"),"#REF!")</f>
        <v>#REF!</v>
      </c>
    </row>
    <row r="1659" ht="18.75" customHeight="1">
      <c r="T1659" s="4"/>
      <c r="U1659" s="4"/>
      <c r="V1659" s="4">
        <f>IFERROR(__xludf.DUMMYFUNCTION("""COMPUTED_VALUE"""),6590.0)</f>
        <v>6590</v>
      </c>
      <c r="W1659" s="240" t="str">
        <f t="shared" si="1"/>
        <v/>
      </c>
      <c r="X1659" s="4" t="str">
        <f>IFERROR(__xludf.DUMMYFUNCTION("""COMPUTED_VALUE"""),"Prepare for Showcase")</f>
        <v>Prepare for Showcase</v>
      </c>
      <c r="Y1659" s="4" t="str">
        <f t="shared" si="2"/>
        <v/>
      </c>
      <c r="Z1659" s="4" t="str">
        <f>IFERROR(__xludf.DUMMYFUNCTION("IFERROR(
  FILTER('CBK Students'!O:O, TRIM('CBK Students'!B:B) = TRIM(A1659)),
  """"
)"),"#REF!")</f>
        <v>#REF!</v>
      </c>
      <c r="AA1659" s="4" t="str">
        <f>IFERROR(__xludf.DUMMYFUNCTION("IFERROR(
  FILTER('CBK Students'!P:P, TRIM('CBK Students'!B:B) = TRIM(A1659)),
  """"
)"),"#REF!")</f>
        <v>#REF!</v>
      </c>
      <c r="AB1659" s="4" t="str">
        <f>IFERROR(__xludf.DUMMYFUNCTION("IFERROR(
  FILTER('CBK Students'!Q:Q, TRIM('CBK Students'!B:B) = TRIM(A1659)),
  """"
)"),"#REF!")</f>
        <v>#REF!</v>
      </c>
    </row>
    <row r="1660" ht="18.75" customHeight="1">
      <c r="T1660" s="4"/>
      <c r="U1660" s="4"/>
      <c r="V1660" s="4">
        <f>IFERROR(__xludf.DUMMYFUNCTION("""COMPUTED_VALUE"""),6590.0)</f>
        <v>6590</v>
      </c>
      <c r="W1660" s="240" t="str">
        <f t="shared" si="1"/>
        <v/>
      </c>
      <c r="X1660" s="4" t="str">
        <f>IFERROR(__xludf.DUMMYFUNCTION("""COMPUTED_VALUE"""),"Prepare for Showcase")</f>
        <v>Prepare for Showcase</v>
      </c>
      <c r="Y1660" s="4" t="str">
        <f t="shared" si="2"/>
        <v/>
      </c>
      <c r="Z1660" s="4" t="str">
        <f>IFERROR(__xludf.DUMMYFUNCTION("IFERROR(
  FILTER('CBK Students'!O:O, TRIM('CBK Students'!B:B) = TRIM(A1660)),
  """"
)"),"#REF!")</f>
        <v>#REF!</v>
      </c>
      <c r="AA1660" s="4" t="str">
        <f>IFERROR(__xludf.DUMMYFUNCTION("IFERROR(
  FILTER('CBK Students'!P:P, TRIM('CBK Students'!B:B) = TRIM(A1660)),
  """"
)"),"#REF!")</f>
        <v>#REF!</v>
      </c>
      <c r="AB1660" s="4" t="str">
        <f>IFERROR(__xludf.DUMMYFUNCTION("IFERROR(
  FILTER('CBK Students'!Q:Q, TRIM('CBK Students'!B:B) = TRIM(A1660)),
  """"
)"),"#REF!")</f>
        <v>#REF!</v>
      </c>
    </row>
    <row r="1661" ht="18.75" customHeight="1">
      <c r="T1661" s="4"/>
      <c r="U1661" s="4"/>
      <c r="V1661" s="4">
        <f>IFERROR(__xludf.DUMMYFUNCTION("""COMPUTED_VALUE"""),6590.0)</f>
        <v>6590</v>
      </c>
      <c r="W1661" s="240" t="str">
        <f t="shared" si="1"/>
        <v/>
      </c>
      <c r="X1661" s="4" t="str">
        <f>IFERROR(__xludf.DUMMYFUNCTION("""COMPUTED_VALUE"""),"Prepare for Showcase")</f>
        <v>Prepare for Showcase</v>
      </c>
      <c r="Y1661" s="4" t="str">
        <f t="shared" si="2"/>
        <v/>
      </c>
      <c r="Z1661" s="4" t="str">
        <f>IFERROR(__xludf.DUMMYFUNCTION("IFERROR(
  FILTER('CBK Students'!O:O, TRIM('CBK Students'!B:B) = TRIM(A1661)),
  """"
)"),"#REF!")</f>
        <v>#REF!</v>
      </c>
      <c r="AA1661" s="4" t="str">
        <f>IFERROR(__xludf.DUMMYFUNCTION("IFERROR(
  FILTER('CBK Students'!P:P, TRIM('CBK Students'!B:B) = TRIM(A1661)),
  """"
)"),"#REF!")</f>
        <v>#REF!</v>
      </c>
      <c r="AB1661" s="4" t="str">
        <f>IFERROR(__xludf.DUMMYFUNCTION("IFERROR(
  FILTER('CBK Students'!Q:Q, TRIM('CBK Students'!B:B) = TRIM(A1661)),
  """"
)"),"#REF!")</f>
        <v>#REF!</v>
      </c>
    </row>
    <row r="1662" ht="18.75" customHeight="1">
      <c r="T1662" s="4"/>
      <c r="U1662" s="4"/>
      <c r="V1662" s="4">
        <f>IFERROR(__xludf.DUMMYFUNCTION("""COMPUTED_VALUE"""),6590.0)</f>
        <v>6590</v>
      </c>
      <c r="W1662" s="240" t="str">
        <f t="shared" si="1"/>
        <v/>
      </c>
      <c r="X1662" s="4" t="str">
        <f>IFERROR(__xludf.DUMMYFUNCTION("""COMPUTED_VALUE"""),"Prepare for Showcase")</f>
        <v>Prepare for Showcase</v>
      </c>
      <c r="Y1662" s="4" t="str">
        <f t="shared" si="2"/>
        <v/>
      </c>
      <c r="Z1662" s="4" t="str">
        <f>IFERROR(__xludf.DUMMYFUNCTION("IFERROR(
  FILTER('CBK Students'!O:O, TRIM('CBK Students'!B:B) = TRIM(A1662)),
  """"
)"),"#REF!")</f>
        <v>#REF!</v>
      </c>
      <c r="AA1662" s="4" t="str">
        <f>IFERROR(__xludf.DUMMYFUNCTION("IFERROR(
  FILTER('CBK Students'!P:P, TRIM('CBK Students'!B:B) = TRIM(A1662)),
  """"
)"),"#REF!")</f>
        <v>#REF!</v>
      </c>
      <c r="AB1662" s="4" t="str">
        <f>IFERROR(__xludf.DUMMYFUNCTION("IFERROR(
  FILTER('CBK Students'!Q:Q, TRIM('CBK Students'!B:B) = TRIM(A1662)),
  """"
)"),"#REF!")</f>
        <v>#REF!</v>
      </c>
    </row>
    <row r="1663" ht="18.75" customHeight="1">
      <c r="T1663" s="4"/>
      <c r="U1663" s="4"/>
      <c r="V1663" s="4">
        <f>IFERROR(__xludf.DUMMYFUNCTION("""COMPUTED_VALUE"""),6590.0)</f>
        <v>6590</v>
      </c>
      <c r="W1663" s="240" t="str">
        <f t="shared" si="1"/>
        <v/>
      </c>
      <c r="X1663" s="4" t="str">
        <f>IFERROR(__xludf.DUMMYFUNCTION("""COMPUTED_VALUE"""),"Prepare for Showcase")</f>
        <v>Prepare for Showcase</v>
      </c>
      <c r="Y1663" s="4" t="str">
        <f t="shared" si="2"/>
        <v/>
      </c>
      <c r="Z1663" s="4" t="str">
        <f>IFERROR(__xludf.DUMMYFUNCTION("IFERROR(
  FILTER('CBK Students'!O:O, TRIM('CBK Students'!B:B) = TRIM(A1663)),
  """"
)"),"#REF!")</f>
        <v>#REF!</v>
      </c>
      <c r="AA1663" s="4" t="str">
        <f>IFERROR(__xludf.DUMMYFUNCTION("IFERROR(
  FILTER('CBK Students'!P:P, TRIM('CBK Students'!B:B) = TRIM(A1663)),
  """"
)"),"#REF!")</f>
        <v>#REF!</v>
      </c>
      <c r="AB1663" s="4" t="str">
        <f>IFERROR(__xludf.DUMMYFUNCTION("IFERROR(
  FILTER('CBK Students'!Q:Q, TRIM('CBK Students'!B:B) = TRIM(A1663)),
  """"
)"),"#REF!")</f>
        <v>#REF!</v>
      </c>
    </row>
    <row r="1664" ht="18.75" customHeight="1">
      <c r="T1664" s="4"/>
      <c r="U1664" s="4"/>
      <c r="V1664" s="4">
        <f>IFERROR(__xludf.DUMMYFUNCTION("""COMPUTED_VALUE"""),6590.0)</f>
        <v>6590</v>
      </c>
      <c r="W1664" s="240" t="str">
        <f t="shared" si="1"/>
        <v/>
      </c>
      <c r="X1664" s="4" t="str">
        <f>IFERROR(__xludf.DUMMYFUNCTION("""COMPUTED_VALUE"""),"Prepare for Showcase")</f>
        <v>Prepare for Showcase</v>
      </c>
      <c r="Y1664" s="4" t="str">
        <f t="shared" si="2"/>
        <v/>
      </c>
      <c r="Z1664" s="4" t="str">
        <f>IFERROR(__xludf.DUMMYFUNCTION("IFERROR(
  FILTER('CBK Students'!O:O, TRIM('CBK Students'!B:B) = TRIM(A1664)),
  """"
)"),"#REF!")</f>
        <v>#REF!</v>
      </c>
      <c r="AA1664" s="4" t="str">
        <f>IFERROR(__xludf.DUMMYFUNCTION("IFERROR(
  FILTER('CBK Students'!P:P, TRIM('CBK Students'!B:B) = TRIM(A1664)),
  """"
)"),"#REF!")</f>
        <v>#REF!</v>
      </c>
      <c r="AB1664" s="4" t="str">
        <f>IFERROR(__xludf.DUMMYFUNCTION("IFERROR(
  FILTER('CBK Students'!Q:Q, TRIM('CBK Students'!B:B) = TRIM(A1664)),
  """"
)"),"#REF!")</f>
        <v>#REF!</v>
      </c>
    </row>
    <row r="1665" ht="18.75" customHeight="1">
      <c r="T1665" s="4"/>
      <c r="U1665" s="4"/>
      <c r="V1665" s="4">
        <f>IFERROR(__xludf.DUMMYFUNCTION("""COMPUTED_VALUE"""),6590.0)</f>
        <v>6590</v>
      </c>
      <c r="W1665" s="240" t="str">
        <f t="shared" si="1"/>
        <v/>
      </c>
      <c r="X1665" s="4" t="str">
        <f>IFERROR(__xludf.DUMMYFUNCTION("""COMPUTED_VALUE"""),"Prepare for Showcase")</f>
        <v>Prepare for Showcase</v>
      </c>
      <c r="Y1665" s="4" t="str">
        <f t="shared" si="2"/>
        <v/>
      </c>
      <c r="Z1665" s="4" t="str">
        <f>IFERROR(__xludf.DUMMYFUNCTION("IFERROR(
  FILTER('CBK Students'!O:O, TRIM('CBK Students'!B:B) = TRIM(A1665)),
  """"
)"),"#REF!")</f>
        <v>#REF!</v>
      </c>
      <c r="AA1665" s="4" t="str">
        <f>IFERROR(__xludf.DUMMYFUNCTION("IFERROR(
  FILTER('CBK Students'!P:P, TRIM('CBK Students'!B:B) = TRIM(A1665)),
  """"
)"),"#REF!")</f>
        <v>#REF!</v>
      </c>
      <c r="AB1665" s="4" t="str">
        <f>IFERROR(__xludf.DUMMYFUNCTION("IFERROR(
  FILTER('CBK Students'!Q:Q, TRIM('CBK Students'!B:B) = TRIM(A1665)),
  """"
)"),"#REF!")</f>
        <v>#REF!</v>
      </c>
    </row>
    <row r="1666" ht="18.75" customHeight="1">
      <c r="T1666" s="4"/>
      <c r="U1666" s="4"/>
      <c r="V1666" s="4">
        <f>IFERROR(__xludf.DUMMYFUNCTION("""COMPUTED_VALUE"""),6590.0)</f>
        <v>6590</v>
      </c>
      <c r="W1666" s="240" t="str">
        <f t="shared" si="1"/>
        <v/>
      </c>
      <c r="X1666" s="4" t="str">
        <f>IFERROR(__xludf.DUMMYFUNCTION("""COMPUTED_VALUE"""),"Prepare for Showcase")</f>
        <v>Prepare for Showcase</v>
      </c>
      <c r="Y1666" s="4" t="str">
        <f t="shared" si="2"/>
        <v/>
      </c>
      <c r="Z1666" s="4" t="str">
        <f>IFERROR(__xludf.DUMMYFUNCTION("IFERROR(
  FILTER('CBK Students'!O:O, TRIM('CBK Students'!B:B) = TRIM(A1666)),
  """"
)"),"#REF!")</f>
        <v>#REF!</v>
      </c>
      <c r="AA1666" s="4" t="str">
        <f>IFERROR(__xludf.DUMMYFUNCTION("IFERROR(
  FILTER('CBK Students'!P:P, TRIM('CBK Students'!B:B) = TRIM(A1666)),
  """"
)"),"#REF!")</f>
        <v>#REF!</v>
      </c>
      <c r="AB1666" s="4" t="str">
        <f>IFERROR(__xludf.DUMMYFUNCTION("IFERROR(
  FILTER('CBK Students'!Q:Q, TRIM('CBK Students'!B:B) = TRIM(A1666)),
  """"
)"),"#REF!")</f>
        <v>#REF!</v>
      </c>
    </row>
    <row r="1667" ht="18.75" customHeight="1">
      <c r="T1667" s="4"/>
      <c r="U1667" s="4"/>
      <c r="V1667" s="4">
        <f>IFERROR(__xludf.DUMMYFUNCTION("""COMPUTED_VALUE"""),6590.0)</f>
        <v>6590</v>
      </c>
      <c r="W1667" s="240" t="str">
        <f t="shared" si="1"/>
        <v/>
      </c>
      <c r="X1667" s="4" t="str">
        <f>IFERROR(__xludf.DUMMYFUNCTION("""COMPUTED_VALUE"""),"Prepare for Showcase")</f>
        <v>Prepare for Showcase</v>
      </c>
      <c r="Y1667" s="4" t="str">
        <f t="shared" si="2"/>
        <v/>
      </c>
      <c r="Z1667" s="4" t="str">
        <f>IFERROR(__xludf.DUMMYFUNCTION("IFERROR(
  FILTER('CBK Students'!O:O, TRIM('CBK Students'!B:B) = TRIM(A1667)),
  """"
)"),"#REF!")</f>
        <v>#REF!</v>
      </c>
      <c r="AA1667" s="4" t="str">
        <f>IFERROR(__xludf.DUMMYFUNCTION("IFERROR(
  FILTER('CBK Students'!P:P, TRIM('CBK Students'!B:B) = TRIM(A1667)),
  """"
)"),"#REF!")</f>
        <v>#REF!</v>
      </c>
      <c r="AB1667" s="4" t="str">
        <f>IFERROR(__xludf.DUMMYFUNCTION("IFERROR(
  FILTER('CBK Students'!Q:Q, TRIM('CBK Students'!B:B) = TRIM(A1667)),
  """"
)"),"#REF!")</f>
        <v>#REF!</v>
      </c>
    </row>
    <row r="1668" ht="18.75" customHeight="1">
      <c r="T1668" s="4"/>
      <c r="U1668" s="4"/>
      <c r="V1668" s="4">
        <f>IFERROR(__xludf.DUMMYFUNCTION("""COMPUTED_VALUE"""),6590.0)</f>
        <v>6590</v>
      </c>
      <c r="W1668" s="240" t="str">
        <f t="shared" si="1"/>
        <v/>
      </c>
      <c r="X1668" s="4" t="str">
        <f>IFERROR(__xludf.DUMMYFUNCTION("""COMPUTED_VALUE"""),"Prepare for Showcase")</f>
        <v>Prepare for Showcase</v>
      </c>
      <c r="Y1668" s="4" t="str">
        <f t="shared" si="2"/>
        <v/>
      </c>
      <c r="Z1668" s="4" t="str">
        <f>IFERROR(__xludf.DUMMYFUNCTION("IFERROR(
  FILTER('CBK Students'!O:O, TRIM('CBK Students'!B:B) = TRIM(A1668)),
  """"
)"),"#REF!")</f>
        <v>#REF!</v>
      </c>
      <c r="AA1668" s="4" t="str">
        <f>IFERROR(__xludf.DUMMYFUNCTION("IFERROR(
  FILTER('CBK Students'!P:P, TRIM('CBK Students'!B:B) = TRIM(A1668)),
  """"
)"),"#REF!")</f>
        <v>#REF!</v>
      </c>
      <c r="AB1668" s="4" t="str">
        <f>IFERROR(__xludf.DUMMYFUNCTION("IFERROR(
  FILTER('CBK Students'!Q:Q, TRIM('CBK Students'!B:B) = TRIM(A1668)),
  """"
)"),"#REF!")</f>
        <v>#REF!</v>
      </c>
    </row>
    <row r="1669" ht="18.75" customHeight="1">
      <c r="T1669" s="4"/>
      <c r="U1669" s="4"/>
      <c r="V1669" s="4">
        <f>IFERROR(__xludf.DUMMYFUNCTION("""COMPUTED_VALUE"""),6590.0)</f>
        <v>6590</v>
      </c>
      <c r="W1669" s="240" t="str">
        <f t="shared" si="1"/>
        <v/>
      </c>
      <c r="X1669" s="4" t="str">
        <f>IFERROR(__xludf.DUMMYFUNCTION("""COMPUTED_VALUE"""),"Prepare for Showcase")</f>
        <v>Prepare for Showcase</v>
      </c>
      <c r="Y1669" s="4" t="str">
        <f t="shared" si="2"/>
        <v/>
      </c>
      <c r="Z1669" s="4" t="str">
        <f>IFERROR(__xludf.DUMMYFUNCTION("IFERROR(
  FILTER('CBK Students'!O:O, TRIM('CBK Students'!B:B) = TRIM(A1669)),
  """"
)"),"#REF!")</f>
        <v>#REF!</v>
      </c>
      <c r="AA1669" s="4" t="str">
        <f>IFERROR(__xludf.DUMMYFUNCTION("IFERROR(
  FILTER('CBK Students'!P:P, TRIM('CBK Students'!B:B) = TRIM(A1669)),
  """"
)"),"#REF!")</f>
        <v>#REF!</v>
      </c>
      <c r="AB1669" s="4" t="str">
        <f>IFERROR(__xludf.DUMMYFUNCTION("IFERROR(
  FILTER('CBK Students'!Q:Q, TRIM('CBK Students'!B:B) = TRIM(A1669)),
  """"
)"),"#REF!")</f>
        <v>#REF!</v>
      </c>
    </row>
    <row r="1670" ht="18.75" customHeight="1">
      <c r="T1670" s="4"/>
      <c r="U1670" s="4"/>
      <c r="V1670" s="4">
        <f>IFERROR(__xludf.DUMMYFUNCTION("""COMPUTED_VALUE"""),6590.0)</f>
        <v>6590</v>
      </c>
      <c r="W1670" s="240" t="str">
        <f t="shared" si="1"/>
        <v/>
      </c>
      <c r="X1670" s="4" t="str">
        <f>IFERROR(__xludf.DUMMYFUNCTION("""COMPUTED_VALUE"""),"Prepare for Showcase")</f>
        <v>Prepare for Showcase</v>
      </c>
      <c r="Y1670" s="4" t="str">
        <f t="shared" si="2"/>
        <v/>
      </c>
      <c r="Z1670" s="4" t="str">
        <f>IFERROR(__xludf.DUMMYFUNCTION("IFERROR(
  FILTER('CBK Students'!O:O, TRIM('CBK Students'!B:B) = TRIM(A1670)),
  """"
)"),"#REF!")</f>
        <v>#REF!</v>
      </c>
      <c r="AA1670" s="4" t="str">
        <f>IFERROR(__xludf.DUMMYFUNCTION("IFERROR(
  FILTER('CBK Students'!P:P, TRIM('CBK Students'!B:B) = TRIM(A1670)),
  """"
)"),"#REF!")</f>
        <v>#REF!</v>
      </c>
      <c r="AB1670" s="4" t="str">
        <f>IFERROR(__xludf.DUMMYFUNCTION("IFERROR(
  FILTER('CBK Students'!Q:Q, TRIM('CBK Students'!B:B) = TRIM(A1670)),
  """"
)"),"#REF!")</f>
        <v>#REF!</v>
      </c>
    </row>
    <row r="1671" ht="18.75" customHeight="1">
      <c r="T1671" s="4"/>
      <c r="U1671" s="4"/>
      <c r="V1671" s="4">
        <f>IFERROR(__xludf.DUMMYFUNCTION("""COMPUTED_VALUE"""),6590.0)</f>
        <v>6590</v>
      </c>
      <c r="W1671" s="240" t="str">
        <f t="shared" si="1"/>
        <v/>
      </c>
      <c r="X1671" s="4" t="str">
        <f>IFERROR(__xludf.DUMMYFUNCTION("""COMPUTED_VALUE"""),"Prepare for Showcase")</f>
        <v>Prepare for Showcase</v>
      </c>
      <c r="Y1671" s="4" t="str">
        <f t="shared" si="2"/>
        <v/>
      </c>
      <c r="Z1671" s="4" t="str">
        <f>IFERROR(__xludf.DUMMYFUNCTION("IFERROR(
  FILTER('CBK Students'!O:O, TRIM('CBK Students'!B:B) = TRIM(A1671)),
  """"
)"),"#REF!")</f>
        <v>#REF!</v>
      </c>
      <c r="AA1671" s="4" t="str">
        <f>IFERROR(__xludf.DUMMYFUNCTION("IFERROR(
  FILTER('CBK Students'!P:P, TRIM('CBK Students'!B:B) = TRIM(A1671)),
  """"
)"),"#REF!")</f>
        <v>#REF!</v>
      </c>
      <c r="AB1671" s="4" t="str">
        <f>IFERROR(__xludf.DUMMYFUNCTION("IFERROR(
  FILTER('CBK Students'!Q:Q, TRIM('CBK Students'!B:B) = TRIM(A1671)),
  """"
)"),"#REF!")</f>
        <v>#REF!</v>
      </c>
    </row>
    <row r="1672" ht="18.75" customHeight="1">
      <c r="T1672" s="4"/>
      <c r="U1672" s="4"/>
      <c r="V1672" s="4">
        <f>IFERROR(__xludf.DUMMYFUNCTION("""COMPUTED_VALUE"""),6590.0)</f>
        <v>6590</v>
      </c>
      <c r="W1672" s="240" t="str">
        <f t="shared" si="1"/>
        <v/>
      </c>
      <c r="X1672" s="4" t="str">
        <f>IFERROR(__xludf.DUMMYFUNCTION("""COMPUTED_VALUE"""),"Prepare for Showcase")</f>
        <v>Prepare for Showcase</v>
      </c>
      <c r="Y1672" s="4" t="str">
        <f t="shared" si="2"/>
        <v/>
      </c>
      <c r="Z1672" s="4" t="str">
        <f>IFERROR(__xludf.DUMMYFUNCTION("IFERROR(
  FILTER('CBK Students'!O:O, TRIM('CBK Students'!B:B) = TRIM(A1672)),
  """"
)"),"#REF!")</f>
        <v>#REF!</v>
      </c>
      <c r="AA1672" s="4" t="str">
        <f>IFERROR(__xludf.DUMMYFUNCTION("IFERROR(
  FILTER('CBK Students'!P:P, TRIM('CBK Students'!B:B) = TRIM(A1672)),
  """"
)"),"#REF!")</f>
        <v>#REF!</v>
      </c>
      <c r="AB1672" s="4" t="str">
        <f>IFERROR(__xludf.DUMMYFUNCTION("IFERROR(
  FILTER('CBK Students'!Q:Q, TRIM('CBK Students'!B:B) = TRIM(A1672)),
  """"
)"),"#REF!")</f>
        <v>#REF!</v>
      </c>
    </row>
    <row r="1673" ht="18.75" customHeight="1">
      <c r="T1673" s="4"/>
      <c r="U1673" s="4"/>
      <c r="V1673" s="4">
        <f>IFERROR(__xludf.DUMMYFUNCTION("""COMPUTED_VALUE"""),6590.0)</f>
        <v>6590</v>
      </c>
      <c r="W1673" s="240" t="str">
        <f t="shared" si="1"/>
        <v/>
      </c>
      <c r="X1673" s="4" t="str">
        <f>IFERROR(__xludf.DUMMYFUNCTION("""COMPUTED_VALUE"""),"Prepare for Showcase")</f>
        <v>Prepare for Showcase</v>
      </c>
      <c r="Y1673" s="4" t="str">
        <f t="shared" si="2"/>
        <v/>
      </c>
      <c r="Z1673" s="4" t="str">
        <f>IFERROR(__xludf.DUMMYFUNCTION("IFERROR(
  FILTER('CBK Students'!O:O, TRIM('CBK Students'!B:B) = TRIM(A1673)),
  """"
)"),"#REF!")</f>
        <v>#REF!</v>
      </c>
      <c r="AA1673" s="4" t="str">
        <f>IFERROR(__xludf.DUMMYFUNCTION("IFERROR(
  FILTER('CBK Students'!P:P, TRIM('CBK Students'!B:B) = TRIM(A1673)),
  """"
)"),"#REF!")</f>
        <v>#REF!</v>
      </c>
      <c r="AB1673" s="4" t="str">
        <f>IFERROR(__xludf.DUMMYFUNCTION("IFERROR(
  FILTER('CBK Students'!Q:Q, TRIM('CBK Students'!B:B) = TRIM(A1673)),
  """"
)"),"#REF!")</f>
        <v>#REF!</v>
      </c>
    </row>
    <row r="1674" ht="18.75" customHeight="1">
      <c r="T1674" s="4"/>
      <c r="U1674" s="4"/>
      <c r="V1674" s="4">
        <f>IFERROR(__xludf.DUMMYFUNCTION("""COMPUTED_VALUE"""),6590.0)</f>
        <v>6590</v>
      </c>
      <c r="W1674" s="240" t="str">
        <f t="shared" si="1"/>
        <v/>
      </c>
      <c r="X1674" s="4" t="str">
        <f>IFERROR(__xludf.DUMMYFUNCTION("""COMPUTED_VALUE"""),"Prepare for Showcase")</f>
        <v>Prepare for Showcase</v>
      </c>
      <c r="Y1674" s="4" t="str">
        <f t="shared" si="2"/>
        <v/>
      </c>
      <c r="Z1674" s="4" t="str">
        <f>IFERROR(__xludf.DUMMYFUNCTION("IFERROR(
  FILTER('CBK Students'!O:O, TRIM('CBK Students'!B:B) = TRIM(A1674)),
  """"
)"),"#REF!")</f>
        <v>#REF!</v>
      </c>
      <c r="AA1674" s="4" t="str">
        <f>IFERROR(__xludf.DUMMYFUNCTION("IFERROR(
  FILTER('CBK Students'!P:P, TRIM('CBK Students'!B:B) = TRIM(A1674)),
  """"
)"),"#REF!")</f>
        <v>#REF!</v>
      </c>
      <c r="AB1674" s="4" t="str">
        <f>IFERROR(__xludf.DUMMYFUNCTION("IFERROR(
  FILTER('CBK Students'!Q:Q, TRIM('CBK Students'!B:B) = TRIM(A1674)),
  """"
)"),"#REF!")</f>
        <v>#REF!</v>
      </c>
    </row>
    <row r="1675" ht="18.75" customHeight="1">
      <c r="T1675" s="4"/>
      <c r="U1675" s="4"/>
      <c r="V1675" s="4">
        <f>IFERROR(__xludf.DUMMYFUNCTION("""COMPUTED_VALUE"""),6590.0)</f>
        <v>6590</v>
      </c>
      <c r="W1675" s="240" t="str">
        <f t="shared" si="1"/>
        <v/>
      </c>
      <c r="X1675" s="4" t="str">
        <f>IFERROR(__xludf.DUMMYFUNCTION("""COMPUTED_VALUE"""),"Prepare for Showcase")</f>
        <v>Prepare for Showcase</v>
      </c>
      <c r="Y1675" s="4" t="str">
        <f t="shared" si="2"/>
        <v/>
      </c>
      <c r="Z1675" s="4" t="str">
        <f>IFERROR(__xludf.DUMMYFUNCTION("IFERROR(
  FILTER('CBK Students'!O:O, TRIM('CBK Students'!B:B) = TRIM(A1675)),
  """"
)"),"#REF!")</f>
        <v>#REF!</v>
      </c>
      <c r="AA1675" s="4" t="str">
        <f>IFERROR(__xludf.DUMMYFUNCTION("IFERROR(
  FILTER('CBK Students'!P:P, TRIM('CBK Students'!B:B) = TRIM(A1675)),
  """"
)"),"#REF!")</f>
        <v>#REF!</v>
      </c>
      <c r="AB1675" s="4" t="str">
        <f>IFERROR(__xludf.DUMMYFUNCTION("IFERROR(
  FILTER('CBK Students'!Q:Q, TRIM('CBK Students'!B:B) = TRIM(A1675)),
  """"
)"),"#REF!")</f>
        <v>#REF!</v>
      </c>
    </row>
    <row r="1676" ht="18.75" customHeight="1">
      <c r="T1676" s="4"/>
      <c r="U1676" s="4"/>
      <c r="V1676" s="4">
        <f>IFERROR(__xludf.DUMMYFUNCTION("""COMPUTED_VALUE"""),6590.0)</f>
        <v>6590</v>
      </c>
      <c r="W1676" s="240" t="str">
        <f t="shared" si="1"/>
        <v/>
      </c>
      <c r="X1676" s="4" t="str">
        <f>IFERROR(__xludf.DUMMYFUNCTION("""COMPUTED_VALUE"""),"Prepare for Showcase")</f>
        <v>Prepare for Showcase</v>
      </c>
      <c r="Y1676" s="4" t="str">
        <f t="shared" si="2"/>
        <v/>
      </c>
      <c r="Z1676" s="4" t="str">
        <f>IFERROR(__xludf.DUMMYFUNCTION("IFERROR(
  FILTER('CBK Students'!O:O, TRIM('CBK Students'!B:B) = TRIM(A1676)),
  """"
)"),"#REF!")</f>
        <v>#REF!</v>
      </c>
      <c r="AA1676" s="4" t="str">
        <f>IFERROR(__xludf.DUMMYFUNCTION("IFERROR(
  FILTER('CBK Students'!P:P, TRIM('CBK Students'!B:B) = TRIM(A1676)),
  """"
)"),"#REF!")</f>
        <v>#REF!</v>
      </c>
      <c r="AB1676" s="4" t="str">
        <f>IFERROR(__xludf.DUMMYFUNCTION("IFERROR(
  FILTER('CBK Students'!Q:Q, TRIM('CBK Students'!B:B) = TRIM(A1676)),
  """"
)"),"#REF!")</f>
        <v>#REF!</v>
      </c>
    </row>
    <row r="1677" ht="18.75" customHeight="1">
      <c r="T1677" s="4"/>
      <c r="U1677" s="4"/>
      <c r="V1677" s="4">
        <f>IFERROR(__xludf.DUMMYFUNCTION("""COMPUTED_VALUE"""),6590.0)</f>
        <v>6590</v>
      </c>
      <c r="W1677" s="240" t="str">
        <f t="shared" si="1"/>
        <v/>
      </c>
      <c r="X1677" s="4" t="str">
        <f>IFERROR(__xludf.DUMMYFUNCTION("""COMPUTED_VALUE"""),"Prepare for Showcase")</f>
        <v>Prepare for Showcase</v>
      </c>
      <c r="Y1677" s="4" t="str">
        <f t="shared" si="2"/>
        <v/>
      </c>
      <c r="Z1677" s="4" t="str">
        <f>IFERROR(__xludf.DUMMYFUNCTION("IFERROR(
  FILTER('CBK Students'!O:O, TRIM('CBK Students'!B:B) = TRIM(A1677)),
  """"
)"),"#REF!")</f>
        <v>#REF!</v>
      </c>
      <c r="AA1677" s="4" t="str">
        <f>IFERROR(__xludf.DUMMYFUNCTION("IFERROR(
  FILTER('CBK Students'!P:P, TRIM('CBK Students'!B:B) = TRIM(A1677)),
  """"
)"),"#REF!")</f>
        <v>#REF!</v>
      </c>
      <c r="AB1677" s="4" t="str">
        <f>IFERROR(__xludf.DUMMYFUNCTION("IFERROR(
  FILTER('CBK Students'!Q:Q, TRIM('CBK Students'!B:B) = TRIM(A1677)),
  """"
)"),"#REF!")</f>
        <v>#REF!</v>
      </c>
    </row>
    <row r="1678" ht="18.75" customHeight="1">
      <c r="T1678" s="4"/>
      <c r="U1678" s="4"/>
      <c r="V1678" s="4">
        <f>IFERROR(__xludf.DUMMYFUNCTION("""COMPUTED_VALUE"""),6590.0)</f>
        <v>6590</v>
      </c>
      <c r="W1678" s="240" t="str">
        <f t="shared" si="1"/>
        <v/>
      </c>
      <c r="X1678" s="4" t="str">
        <f>IFERROR(__xludf.DUMMYFUNCTION("""COMPUTED_VALUE"""),"Prepare for Showcase")</f>
        <v>Prepare for Showcase</v>
      </c>
      <c r="Y1678" s="4" t="str">
        <f t="shared" si="2"/>
        <v/>
      </c>
      <c r="Z1678" s="4" t="str">
        <f>IFERROR(__xludf.DUMMYFUNCTION("IFERROR(
  FILTER('CBK Students'!O:O, TRIM('CBK Students'!B:B) = TRIM(A1678)),
  """"
)"),"#REF!")</f>
        <v>#REF!</v>
      </c>
      <c r="AA1678" s="4" t="str">
        <f>IFERROR(__xludf.DUMMYFUNCTION("IFERROR(
  FILTER('CBK Students'!P:P, TRIM('CBK Students'!B:B) = TRIM(A1678)),
  """"
)"),"#REF!")</f>
        <v>#REF!</v>
      </c>
      <c r="AB1678" s="4" t="str">
        <f>IFERROR(__xludf.DUMMYFUNCTION("IFERROR(
  FILTER('CBK Students'!Q:Q, TRIM('CBK Students'!B:B) = TRIM(A1678)),
  """"
)"),"#REF!")</f>
        <v>#REF!</v>
      </c>
    </row>
    <row r="1679" ht="18.75" customHeight="1">
      <c r="T1679" s="4"/>
      <c r="U1679" s="4"/>
      <c r="V1679" s="4">
        <f>IFERROR(__xludf.DUMMYFUNCTION("""COMPUTED_VALUE"""),6590.0)</f>
        <v>6590</v>
      </c>
      <c r="W1679" s="240" t="str">
        <f t="shared" si="1"/>
        <v/>
      </c>
      <c r="X1679" s="4" t="str">
        <f>IFERROR(__xludf.DUMMYFUNCTION("""COMPUTED_VALUE"""),"Prepare for Showcase")</f>
        <v>Prepare for Showcase</v>
      </c>
      <c r="Y1679" s="4" t="str">
        <f t="shared" si="2"/>
        <v/>
      </c>
      <c r="Z1679" s="4" t="str">
        <f>IFERROR(__xludf.DUMMYFUNCTION("IFERROR(
  FILTER('CBK Students'!O:O, TRIM('CBK Students'!B:B) = TRIM(A1679)),
  """"
)"),"#REF!")</f>
        <v>#REF!</v>
      </c>
      <c r="AA1679" s="4" t="str">
        <f>IFERROR(__xludf.DUMMYFUNCTION("IFERROR(
  FILTER('CBK Students'!P:P, TRIM('CBK Students'!B:B) = TRIM(A1679)),
  """"
)"),"#REF!")</f>
        <v>#REF!</v>
      </c>
      <c r="AB1679" s="4" t="str">
        <f>IFERROR(__xludf.DUMMYFUNCTION("IFERROR(
  FILTER('CBK Students'!Q:Q, TRIM('CBK Students'!B:B) = TRIM(A1679)),
  """"
)"),"#REF!")</f>
        <v>#REF!</v>
      </c>
    </row>
    <row r="1680" ht="18.75" customHeight="1">
      <c r="T1680" s="4"/>
      <c r="U1680" s="4"/>
      <c r="V1680" s="4">
        <f>IFERROR(__xludf.DUMMYFUNCTION("""COMPUTED_VALUE"""),6590.0)</f>
        <v>6590</v>
      </c>
      <c r="W1680" s="240" t="str">
        <f t="shared" si="1"/>
        <v/>
      </c>
      <c r="X1680" s="4" t="str">
        <f>IFERROR(__xludf.DUMMYFUNCTION("""COMPUTED_VALUE"""),"Prepare for Showcase")</f>
        <v>Prepare for Showcase</v>
      </c>
      <c r="Y1680" s="4" t="str">
        <f t="shared" si="2"/>
        <v/>
      </c>
      <c r="Z1680" s="4" t="str">
        <f>IFERROR(__xludf.DUMMYFUNCTION("IFERROR(
  FILTER('CBK Students'!O:O, TRIM('CBK Students'!B:B) = TRIM(A1680)),
  """"
)"),"#REF!")</f>
        <v>#REF!</v>
      </c>
      <c r="AA1680" s="4" t="str">
        <f>IFERROR(__xludf.DUMMYFUNCTION("IFERROR(
  FILTER('CBK Students'!P:P, TRIM('CBK Students'!B:B) = TRIM(A1680)),
  """"
)"),"#REF!")</f>
        <v>#REF!</v>
      </c>
      <c r="AB1680" s="4" t="str">
        <f>IFERROR(__xludf.DUMMYFUNCTION("IFERROR(
  FILTER('CBK Students'!Q:Q, TRIM('CBK Students'!B:B) = TRIM(A1680)),
  """"
)"),"#REF!")</f>
        <v>#REF!</v>
      </c>
    </row>
    <row r="1681" ht="18.75" customHeight="1">
      <c r="T1681" s="4"/>
      <c r="U1681" s="4"/>
      <c r="V1681" s="4">
        <f>IFERROR(__xludf.DUMMYFUNCTION("""COMPUTED_VALUE"""),6590.0)</f>
        <v>6590</v>
      </c>
      <c r="W1681" s="240" t="str">
        <f t="shared" si="1"/>
        <v/>
      </c>
      <c r="X1681" s="4" t="str">
        <f>IFERROR(__xludf.DUMMYFUNCTION("""COMPUTED_VALUE"""),"Prepare for Showcase")</f>
        <v>Prepare for Showcase</v>
      </c>
      <c r="Y1681" s="4" t="str">
        <f t="shared" si="2"/>
        <v/>
      </c>
      <c r="Z1681" s="4" t="str">
        <f>IFERROR(__xludf.DUMMYFUNCTION("IFERROR(
  FILTER('CBK Students'!O:O, TRIM('CBK Students'!B:B) = TRIM(A1681)),
  """"
)"),"#REF!")</f>
        <v>#REF!</v>
      </c>
      <c r="AA1681" s="4" t="str">
        <f>IFERROR(__xludf.DUMMYFUNCTION("IFERROR(
  FILTER('CBK Students'!P:P, TRIM('CBK Students'!B:B) = TRIM(A1681)),
  """"
)"),"#REF!")</f>
        <v>#REF!</v>
      </c>
      <c r="AB1681" s="4" t="str">
        <f>IFERROR(__xludf.DUMMYFUNCTION("IFERROR(
  FILTER('CBK Students'!Q:Q, TRIM('CBK Students'!B:B) = TRIM(A1681)),
  """"
)"),"#REF!")</f>
        <v>#REF!</v>
      </c>
    </row>
    <row r="1682" ht="18.75" customHeight="1">
      <c r="T1682" s="4"/>
      <c r="U1682" s="4"/>
      <c r="V1682" s="4">
        <f>IFERROR(__xludf.DUMMYFUNCTION("""COMPUTED_VALUE"""),6590.0)</f>
        <v>6590</v>
      </c>
      <c r="W1682" s="240" t="str">
        <f t="shared" si="1"/>
        <v/>
      </c>
      <c r="X1682" s="4" t="str">
        <f>IFERROR(__xludf.DUMMYFUNCTION("""COMPUTED_VALUE"""),"Prepare for Showcase")</f>
        <v>Prepare for Showcase</v>
      </c>
      <c r="Y1682" s="4" t="str">
        <f t="shared" si="2"/>
        <v/>
      </c>
      <c r="Z1682" s="4" t="str">
        <f>IFERROR(__xludf.DUMMYFUNCTION("IFERROR(
  FILTER('CBK Students'!O:O, TRIM('CBK Students'!B:B) = TRIM(A1682)),
  """"
)"),"#REF!")</f>
        <v>#REF!</v>
      </c>
      <c r="AA1682" s="4" t="str">
        <f>IFERROR(__xludf.DUMMYFUNCTION("IFERROR(
  FILTER('CBK Students'!P:P, TRIM('CBK Students'!B:B) = TRIM(A1682)),
  """"
)"),"#REF!")</f>
        <v>#REF!</v>
      </c>
      <c r="AB1682" s="4" t="str">
        <f>IFERROR(__xludf.DUMMYFUNCTION("IFERROR(
  FILTER('CBK Students'!Q:Q, TRIM('CBK Students'!B:B) = TRIM(A1682)),
  """"
)"),"#REF!")</f>
        <v>#REF!</v>
      </c>
    </row>
    <row r="1683" ht="18.75" customHeight="1">
      <c r="T1683" s="4"/>
      <c r="U1683" s="4"/>
      <c r="V1683" s="4">
        <f>IFERROR(__xludf.DUMMYFUNCTION("""COMPUTED_VALUE"""),6590.0)</f>
        <v>6590</v>
      </c>
      <c r="W1683" s="240" t="str">
        <f t="shared" si="1"/>
        <v/>
      </c>
      <c r="X1683" s="4" t="str">
        <f>IFERROR(__xludf.DUMMYFUNCTION("""COMPUTED_VALUE"""),"Prepare for Showcase")</f>
        <v>Prepare for Showcase</v>
      </c>
      <c r="Y1683" s="4" t="str">
        <f t="shared" si="2"/>
        <v/>
      </c>
      <c r="Z1683" s="4" t="str">
        <f>IFERROR(__xludf.DUMMYFUNCTION("IFERROR(
  FILTER('CBK Students'!O:O, TRIM('CBK Students'!B:B) = TRIM(A1683)),
  """"
)"),"#REF!")</f>
        <v>#REF!</v>
      </c>
      <c r="AA1683" s="4" t="str">
        <f>IFERROR(__xludf.DUMMYFUNCTION("IFERROR(
  FILTER('CBK Students'!P:P, TRIM('CBK Students'!B:B) = TRIM(A1683)),
  """"
)"),"#REF!")</f>
        <v>#REF!</v>
      </c>
      <c r="AB1683" s="4" t="str">
        <f>IFERROR(__xludf.DUMMYFUNCTION("IFERROR(
  FILTER('CBK Students'!Q:Q, TRIM('CBK Students'!B:B) = TRIM(A1683)),
  """"
)"),"#REF!")</f>
        <v>#REF!</v>
      </c>
    </row>
    <row r="1684" ht="18.75" customHeight="1">
      <c r="T1684" s="4"/>
      <c r="U1684" s="4"/>
      <c r="V1684" s="4">
        <f>IFERROR(__xludf.DUMMYFUNCTION("""COMPUTED_VALUE"""),6590.0)</f>
        <v>6590</v>
      </c>
      <c r="W1684" s="240" t="str">
        <f t="shared" si="1"/>
        <v/>
      </c>
      <c r="X1684" s="4" t="str">
        <f>IFERROR(__xludf.DUMMYFUNCTION("""COMPUTED_VALUE"""),"Prepare for Showcase")</f>
        <v>Prepare for Showcase</v>
      </c>
      <c r="Y1684" s="4" t="str">
        <f t="shared" si="2"/>
        <v/>
      </c>
      <c r="Z1684" s="4" t="str">
        <f>IFERROR(__xludf.DUMMYFUNCTION("IFERROR(
  FILTER('CBK Students'!O:O, TRIM('CBK Students'!B:B) = TRIM(A1684)),
  """"
)"),"#REF!")</f>
        <v>#REF!</v>
      </c>
      <c r="AA1684" s="4" t="str">
        <f>IFERROR(__xludf.DUMMYFUNCTION("IFERROR(
  FILTER('CBK Students'!P:P, TRIM('CBK Students'!B:B) = TRIM(A1684)),
  """"
)"),"#REF!")</f>
        <v>#REF!</v>
      </c>
      <c r="AB1684" s="4" t="str">
        <f>IFERROR(__xludf.DUMMYFUNCTION("IFERROR(
  FILTER('CBK Students'!Q:Q, TRIM('CBK Students'!B:B) = TRIM(A1684)),
  """"
)"),"#REF!")</f>
        <v>#REF!</v>
      </c>
    </row>
    <row r="1685" ht="18.75" customHeight="1">
      <c r="T1685" s="4"/>
      <c r="U1685" s="4"/>
      <c r="V1685" s="4">
        <f>IFERROR(__xludf.DUMMYFUNCTION("""COMPUTED_VALUE"""),6590.0)</f>
        <v>6590</v>
      </c>
      <c r="W1685" s="240" t="str">
        <f t="shared" si="1"/>
        <v/>
      </c>
      <c r="X1685" s="4" t="str">
        <f>IFERROR(__xludf.DUMMYFUNCTION("""COMPUTED_VALUE"""),"Prepare for Showcase")</f>
        <v>Prepare for Showcase</v>
      </c>
      <c r="Y1685" s="4" t="str">
        <f t="shared" si="2"/>
        <v/>
      </c>
      <c r="Z1685" s="4" t="str">
        <f>IFERROR(__xludf.DUMMYFUNCTION("IFERROR(
  FILTER('CBK Students'!O:O, TRIM('CBK Students'!B:B) = TRIM(A1685)),
  """"
)"),"#REF!")</f>
        <v>#REF!</v>
      </c>
      <c r="AA1685" s="4" t="str">
        <f>IFERROR(__xludf.DUMMYFUNCTION("IFERROR(
  FILTER('CBK Students'!P:P, TRIM('CBK Students'!B:B) = TRIM(A1685)),
  """"
)"),"#REF!")</f>
        <v>#REF!</v>
      </c>
      <c r="AB1685" s="4" t="str">
        <f>IFERROR(__xludf.DUMMYFUNCTION("IFERROR(
  FILTER('CBK Students'!Q:Q, TRIM('CBK Students'!B:B) = TRIM(A1685)),
  """"
)"),"#REF!")</f>
        <v>#REF!</v>
      </c>
    </row>
    <row r="1686" ht="18.75" customHeight="1">
      <c r="T1686" s="4"/>
      <c r="U1686" s="4"/>
      <c r="V1686" s="4">
        <f>IFERROR(__xludf.DUMMYFUNCTION("""COMPUTED_VALUE"""),6590.0)</f>
        <v>6590</v>
      </c>
      <c r="W1686" s="240" t="str">
        <f t="shared" si="1"/>
        <v/>
      </c>
      <c r="X1686" s="4" t="str">
        <f>IFERROR(__xludf.DUMMYFUNCTION("""COMPUTED_VALUE"""),"Prepare for Showcase")</f>
        <v>Prepare for Showcase</v>
      </c>
      <c r="Y1686" s="4" t="str">
        <f t="shared" si="2"/>
        <v/>
      </c>
      <c r="Z1686" s="4" t="str">
        <f>IFERROR(__xludf.DUMMYFUNCTION("IFERROR(
  FILTER('CBK Students'!O:O, TRIM('CBK Students'!B:B) = TRIM(A1686)),
  """"
)"),"#REF!")</f>
        <v>#REF!</v>
      </c>
      <c r="AA1686" s="4" t="str">
        <f>IFERROR(__xludf.DUMMYFUNCTION("IFERROR(
  FILTER('CBK Students'!P:P, TRIM('CBK Students'!B:B) = TRIM(A1686)),
  """"
)"),"#REF!")</f>
        <v>#REF!</v>
      </c>
      <c r="AB1686" s="4" t="str">
        <f>IFERROR(__xludf.DUMMYFUNCTION("IFERROR(
  FILTER('CBK Students'!Q:Q, TRIM('CBK Students'!B:B) = TRIM(A1686)),
  """"
)"),"#REF!")</f>
        <v>#REF!</v>
      </c>
    </row>
    <row r="1687" ht="18.75" customHeight="1">
      <c r="T1687" s="4"/>
      <c r="U1687" s="4"/>
      <c r="V1687" s="4">
        <f>IFERROR(__xludf.DUMMYFUNCTION("""COMPUTED_VALUE"""),6590.0)</f>
        <v>6590</v>
      </c>
      <c r="W1687" s="240" t="str">
        <f t="shared" si="1"/>
        <v/>
      </c>
      <c r="X1687" s="4" t="str">
        <f>IFERROR(__xludf.DUMMYFUNCTION("""COMPUTED_VALUE"""),"Prepare for Showcase")</f>
        <v>Prepare for Showcase</v>
      </c>
      <c r="Y1687" s="4" t="str">
        <f t="shared" si="2"/>
        <v/>
      </c>
      <c r="Z1687" s="4" t="str">
        <f>IFERROR(__xludf.DUMMYFUNCTION("IFERROR(
  FILTER('CBK Students'!O:O, TRIM('CBK Students'!B:B) = TRIM(A1687)),
  """"
)"),"#REF!")</f>
        <v>#REF!</v>
      </c>
      <c r="AA1687" s="4" t="str">
        <f>IFERROR(__xludf.DUMMYFUNCTION("IFERROR(
  FILTER('CBK Students'!P:P, TRIM('CBK Students'!B:B) = TRIM(A1687)),
  """"
)"),"#REF!")</f>
        <v>#REF!</v>
      </c>
      <c r="AB1687" s="4" t="str">
        <f>IFERROR(__xludf.DUMMYFUNCTION("IFERROR(
  FILTER('CBK Students'!Q:Q, TRIM('CBK Students'!B:B) = TRIM(A1687)),
  """"
)"),"#REF!")</f>
        <v>#REF!</v>
      </c>
    </row>
    <row r="1688" ht="18.75" customHeight="1">
      <c r="T1688" s="4"/>
      <c r="U1688" s="4"/>
      <c r="V1688" s="4">
        <f>IFERROR(__xludf.DUMMYFUNCTION("""COMPUTED_VALUE"""),6590.0)</f>
        <v>6590</v>
      </c>
      <c r="W1688" s="240" t="str">
        <f t="shared" si="1"/>
        <v/>
      </c>
      <c r="X1688" s="4" t="str">
        <f>IFERROR(__xludf.DUMMYFUNCTION("""COMPUTED_VALUE"""),"Prepare for Showcase")</f>
        <v>Prepare for Showcase</v>
      </c>
      <c r="Y1688" s="4" t="str">
        <f t="shared" si="2"/>
        <v/>
      </c>
      <c r="Z1688" s="4" t="str">
        <f>IFERROR(__xludf.DUMMYFUNCTION("IFERROR(
  FILTER('CBK Students'!O:O, TRIM('CBK Students'!B:B) = TRIM(A1688)),
  """"
)"),"#REF!")</f>
        <v>#REF!</v>
      </c>
      <c r="AA1688" s="4" t="str">
        <f>IFERROR(__xludf.DUMMYFUNCTION("IFERROR(
  FILTER('CBK Students'!P:P, TRIM('CBK Students'!B:B) = TRIM(A1688)),
  """"
)"),"#REF!")</f>
        <v>#REF!</v>
      </c>
      <c r="AB1688" s="4" t="str">
        <f>IFERROR(__xludf.DUMMYFUNCTION("IFERROR(
  FILTER('CBK Students'!Q:Q, TRIM('CBK Students'!B:B) = TRIM(A1688)),
  """"
)"),"#REF!")</f>
        <v>#REF!</v>
      </c>
    </row>
    <row r="1689" ht="18.75" customHeight="1">
      <c r="T1689" s="4"/>
      <c r="U1689" s="4"/>
      <c r="V1689" s="4">
        <f>IFERROR(__xludf.DUMMYFUNCTION("""COMPUTED_VALUE"""),6590.0)</f>
        <v>6590</v>
      </c>
      <c r="W1689" s="240" t="str">
        <f t="shared" si="1"/>
        <v/>
      </c>
      <c r="X1689" s="4" t="str">
        <f>IFERROR(__xludf.DUMMYFUNCTION("""COMPUTED_VALUE"""),"Prepare for Showcase")</f>
        <v>Prepare for Showcase</v>
      </c>
      <c r="Y1689" s="4" t="str">
        <f t="shared" si="2"/>
        <v/>
      </c>
      <c r="Z1689" s="4" t="str">
        <f>IFERROR(__xludf.DUMMYFUNCTION("IFERROR(
  FILTER('CBK Students'!O:O, TRIM('CBK Students'!B:B) = TRIM(A1689)),
  """"
)"),"#REF!")</f>
        <v>#REF!</v>
      </c>
      <c r="AA1689" s="4" t="str">
        <f>IFERROR(__xludf.DUMMYFUNCTION("IFERROR(
  FILTER('CBK Students'!P:P, TRIM('CBK Students'!B:B) = TRIM(A1689)),
  """"
)"),"#REF!")</f>
        <v>#REF!</v>
      </c>
      <c r="AB1689" s="4" t="str">
        <f>IFERROR(__xludf.DUMMYFUNCTION("IFERROR(
  FILTER('CBK Students'!Q:Q, TRIM('CBK Students'!B:B) = TRIM(A1689)),
  """"
)"),"#REF!")</f>
        <v>#REF!</v>
      </c>
    </row>
    <row r="1690" ht="18.75" customHeight="1">
      <c r="T1690" s="4"/>
      <c r="U1690" s="4"/>
      <c r="V1690" s="4">
        <f>IFERROR(__xludf.DUMMYFUNCTION("""COMPUTED_VALUE"""),6590.0)</f>
        <v>6590</v>
      </c>
      <c r="W1690" s="240" t="str">
        <f t="shared" si="1"/>
        <v/>
      </c>
      <c r="X1690" s="4" t="str">
        <f>IFERROR(__xludf.DUMMYFUNCTION("""COMPUTED_VALUE"""),"Prepare for Showcase")</f>
        <v>Prepare for Showcase</v>
      </c>
      <c r="Y1690" s="4" t="str">
        <f t="shared" si="2"/>
        <v/>
      </c>
      <c r="Z1690" s="4" t="str">
        <f>IFERROR(__xludf.DUMMYFUNCTION("IFERROR(
  FILTER('CBK Students'!O:O, TRIM('CBK Students'!B:B) = TRIM(A1690)),
  """"
)"),"#REF!")</f>
        <v>#REF!</v>
      </c>
      <c r="AA1690" s="4" t="str">
        <f>IFERROR(__xludf.DUMMYFUNCTION("IFERROR(
  FILTER('CBK Students'!P:P, TRIM('CBK Students'!B:B) = TRIM(A1690)),
  """"
)"),"#REF!")</f>
        <v>#REF!</v>
      </c>
      <c r="AB1690" s="4" t="str">
        <f>IFERROR(__xludf.DUMMYFUNCTION("IFERROR(
  FILTER('CBK Students'!Q:Q, TRIM('CBK Students'!B:B) = TRIM(A1690)),
  """"
)"),"#REF!")</f>
        <v>#REF!</v>
      </c>
    </row>
    <row r="1691" ht="18.75" customHeight="1">
      <c r="T1691" s="4"/>
      <c r="U1691" s="4"/>
      <c r="V1691" s="4">
        <f>IFERROR(__xludf.DUMMYFUNCTION("""COMPUTED_VALUE"""),6590.0)</f>
        <v>6590</v>
      </c>
      <c r="W1691" s="240" t="str">
        <f t="shared" si="1"/>
        <v/>
      </c>
      <c r="X1691" s="4" t="str">
        <f>IFERROR(__xludf.DUMMYFUNCTION("""COMPUTED_VALUE"""),"Prepare for Showcase")</f>
        <v>Prepare for Showcase</v>
      </c>
      <c r="Y1691" s="4" t="str">
        <f t="shared" si="2"/>
        <v/>
      </c>
      <c r="Z1691" s="4" t="str">
        <f>IFERROR(__xludf.DUMMYFUNCTION("IFERROR(
  FILTER('CBK Students'!O:O, TRIM('CBK Students'!B:B) = TRIM(A1691)),
  """"
)"),"#REF!")</f>
        <v>#REF!</v>
      </c>
      <c r="AA1691" s="4" t="str">
        <f>IFERROR(__xludf.DUMMYFUNCTION("IFERROR(
  FILTER('CBK Students'!P:P, TRIM('CBK Students'!B:B) = TRIM(A1691)),
  """"
)"),"#REF!")</f>
        <v>#REF!</v>
      </c>
      <c r="AB1691" s="4" t="str">
        <f>IFERROR(__xludf.DUMMYFUNCTION("IFERROR(
  FILTER('CBK Students'!Q:Q, TRIM('CBK Students'!B:B) = TRIM(A1691)),
  """"
)"),"#REF!")</f>
        <v>#REF!</v>
      </c>
    </row>
    <row r="1692" ht="18.75" customHeight="1">
      <c r="T1692" s="4"/>
      <c r="U1692" s="4"/>
      <c r="V1692" s="4">
        <f>IFERROR(__xludf.DUMMYFUNCTION("""COMPUTED_VALUE"""),6590.0)</f>
        <v>6590</v>
      </c>
      <c r="W1692" s="240" t="str">
        <f t="shared" si="1"/>
        <v/>
      </c>
      <c r="X1692" s="4" t="str">
        <f>IFERROR(__xludf.DUMMYFUNCTION("""COMPUTED_VALUE"""),"Prepare for Showcase")</f>
        <v>Prepare for Showcase</v>
      </c>
      <c r="Y1692" s="4" t="str">
        <f t="shared" si="2"/>
        <v/>
      </c>
      <c r="Z1692" s="4" t="str">
        <f>IFERROR(__xludf.DUMMYFUNCTION("IFERROR(
  FILTER('CBK Students'!O:O, TRIM('CBK Students'!B:B) = TRIM(A1692)),
  """"
)"),"#REF!")</f>
        <v>#REF!</v>
      </c>
      <c r="AA1692" s="4" t="str">
        <f>IFERROR(__xludf.DUMMYFUNCTION("IFERROR(
  FILTER('CBK Students'!P:P, TRIM('CBK Students'!B:B) = TRIM(A1692)),
  """"
)"),"#REF!")</f>
        <v>#REF!</v>
      </c>
      <c r="AB1692" s="4" t="str">
        <f>IFERROR(__xludf.DUMMYFUNCTION("IFERROR(
  FILTER('CBK Students'!Q:Q, TRIM('CBK Students'!B:B) = TRIM(A1692)),
  """"
)"),"#REF!")</f>
        <v>#REF!</v>
      </c>
    </row>
    <row r="1693" ht="18.75" customHeight="1">
      <c r="T1693" s="4"/>
      <c r="U1693" s="4"/>
      <c r="V1693" s="4">
        <f>IFERROR(__xludf.DUMMYFUNCTION("""COMPUTED_VALUE"""),6590.0)</f>
        <v>6590</v>
      </c>
      <c r="W1693" s="240" t="str">
        <f t="shared" si="1"/>
        <v/>
      </c>
      <c r="X1693" s="4" t="str">
        <f>IFERROR(__xludf.DUMMYFUNCTION("""COMPUTED_VALUE"""),"Prepare for Showcase")</f>
        <v>Prepare for Showcase</v>
      </c>
      <c r="Y1693" s="4" t="str">
        <f t="shared" si="2"/>
        <v/>
      </c>
      <c r="Z1693" s="4" t="str">
        <f>IFERROR(__xludf.DUMMYFUNCTION("IFERROR(
  FILTER('CBK Students'!O:O, TRIM('CBK Students'!B:B) = TRIM(A1693)),
  """"
)"),"#REF!")</f>
        <v>#REF!</v>
      </c>
      <c r="AA1693" s="4" t="str">
        <f>IFERROR(__xludf.DUMMYFUNCTION("IFERROR(
  FILTER('CBK Students'!P:P, TRIM('CBK Students'!B:B) = TRIM(A1693)),
  """"
)"),"#REF!")</f>
        <v>#REF!</v>
      </c>
      <c r="AB1693" s="4" t="str">
        <f>IFERROR(__xludf.DUMMYFUNCTION("IFERROR(
  FILTER('CBK Students'!Q:Q, TRIM('CBK Students'!B:B) = TRIM(A1693)),
  """"
)"),"#REF!")</f>
        <v>#REF!</v>
      </c>
    </row>
    <row r="1694" ht="18.75" customHeight="1">
      <c r="T1694" s="4"/>
      <c r="U1694" s="4"/>
      <c r="V1694" s="4">
        <f>IFERROR(__xludf.DUMMYFUNCTION("""COMPUTED_VALUE"""),6590.0)</f>
        <v>6590</v>
      </c>
      <c r="W1694" s="240" t="str">
        <f t="shared" si="1"/>
        <v/>
      </c>
      <c r="X1694" s="4" t="str">
        <f>IFERROR(__xludf.DUMMYFUNCTION("""COMPUTED_VALUE"""),"Prepare for Showcase")</f>
        <v>Prepare for Showcase</v>
      </c>
      <c r="Y1694" s="4" t="str">
        <f t="shared" si="2"/>
        <v/>
      </c>
      <c r="Z1694" s="4" t="str">
        <f>IFERROR(__xludf.DUMMYFUNCTION("IFERROR(
  FILTER('CBK Students'!O:O, TRIM('CBK Students'!B:B) = TRIM(A1694)),
  """"
)"),"#REF!")</f>
        <v>#REF!</v>
      </c>
      <c r="AA1694" s="4" t="str">
        <f>IFERROR(__xludf.DUMMYFUNCTION("IFERROR(
  FILTER('CBK Students'!P:P, TRIM('CBK Students'!B:B) = TRIM(A1694)),
  """"
)"),"#REF!")</f>
        <v>#REF!</v>
      </c>
      <c r="AB1694" s="4" t="str">
        <f>IFERROR(__xludf.DUMMYFUNCTION("IFERROR(
  FILTER('CBK Students'!Q:Q, TRIM('CBK Students'!B:B) = TRIM(A1694)),
  """"
)"),"#REF!")</f>
        <v>#REF!</v>
      </c>
    </row>
    <row r="1695" ht="18.75" customHeight="1">
      <c r="T1695" s="4"/>
      <c r="U1695" s="4"/>
      <c r="V1695" s="4">
        <f>IFERROR(__xludf.DUMMYFUNCTION("""COMPUTED_VALUE"""),6590.0)</f>
        <v>6590</v>
      </c>
      <c r="W1695" s="240" t="str">
        <f t="shared" si="1"/>
        <v/>
      </c>
      <c r="X1695" s="4" t="str">
        <f>IFERROR(__xludf.DUMMYFUNCTION("""COMPUTED_VALUE"""),"Prepare for Showcase")</f>
        <v>Prepare for Showcase</v>
      </c>
      <c r="Y1695" s="4" t="str">
        <f t="shared" si="2"/>
        <v/>
      </c>
      <c r="Z1695" s="4" t="str">
        <f>IFERROR(__xludf.DUMMYFUNCTION("IFERROR(
  FILTER('CBK Students'!O:O, TRIM('CBK Students'!B:B) = TRIM(A1695)),
  """"
)"),"#REF!")</f>
        <v>#REF!</v>
      </c>
      <c r="AA1695" s="4" t="str">
        <f>IFERROR(__xludf.DUMMYFUNCTION("IFERROR(
  FILTER('CBK Students'!P:P, TRIM('CBK Students'!B:B) = TRIM(A1695)),
  """"
)"),"#REF!")</f>
        <v>#REF!</v>
      </c>
      <c r="AB1695" s="4" t="str">
        <f>IFERROR(__xludf.DUMMYFUNCTION("IFERROR(
  FILTER('CBK Students'!Q:Q, TRIM('CBK Students'!B:B) = TRIM(A1695)),
  """"
)"),"#REF!")</f>
        <v>#REF!</v>
      </c>
    </row>
    <row r="1696" ht="18.75" customHeight="1">
      <c r="T1696" s="4"/>
      <c r="U1696" s="4"/>
      <c r="V1696" s="4">
        <f>IFERROR(__xludf.DUMMYFUNCTION("""COMPUTED_VALUE"""),6590.0)</f>
        <v>6590</v>
      </c>
      <c r="W1696" s="240" t="str">
        <f t="shared" si="1"/>
        <v/>
      </c>
      <c r="X1696" s="4" t="str">
        <f>IFERROR(__xludf.DUMMYFUNCTION("""COMPUTED_VALUE"""),"Prepare for Showcase")</f>
        <v>Prepare for Showcase</v>
      </c>
      <c r="Y1696" s="4" t="str">
        <f t="shared" si="2"/>
        <v/>
      </c>
      <c r="Z1696" s="4" t="str">
        <f>IFERROR(__xludf.DUMMYFUNCTION("IFERROR(
  FILTER('CBK Students'!O:O, TRIM('CBK Students'!B:B) = TRIM(A1696)),
  """"
)"),"#REF!")</f>
        <v>#REF!</v>
      </c>
      <c r="AA1696" s="4" t="str">
        <f>IFERROR(__xludf.DUMMYFUNCTION("IFERROR(
  FILTER('CBK Students'!P:P, TRIM('CBK Students'!B:B) = TRIM(A1696)),
  """"
)"),"#REF!")</f>
        <v>#REF!</v>
      </c>
      <c r="AB1696" s="4" t="str">
        <f>IFERROR(__xludf.DUMMYFUNCTION("IFERROR(
  FILTER('CBK Students'!Q:Q, TRIM('CBK Students'!B:B) = TRIM(A1696)),
  """"
)"),"#REF!")</f>
        <v>#REF!</v>
      </c>
    </row>
    <row r="1697" ht="18.75" customHeight="1">
      <c r="T1697" s="4"/>
      <c r="U1697" s="4"/>
      <c r="V1697" s="4">
        <f>IFERROR(__xludf.DUMMYFUNCTION("""COMPUTED_VALUE"""),6590.0)</f>
        <v>6590</v>
      </c>
      <c r="W1697" s="240" t="str">
        <f t="shared" si="1"/>
        <v/>
      </c>
      <c r="X1697" s="4" t="str">
        <f>IFERROR(__xludf.DUMMYFUNCTION("""COMPUTED_VALUE"""),"Prepare for Showcase")</f>
        <v>Prepare for Showcase</v>
      </c>
      <c r="Y1697" s="4" t="str">
        <f t="shared" si="2"/>
        <v/>
      </c>
      <c r="Z1697" s="4" t="str">
        <f>IFERROR(__xludf.DUMMYFUNCTION("IFERROR(
  FILTER('CBK Students'!O:O, TRIM('CBK Students'!B:B) = TRIM(A1697)),
  """"
)"),"#REF!")</f>
        <v>#REF!</v>
      </c>
      <c r="AA1697" s="4" t="str">
        <f>IFERROR(__xludf.DUMMYFUNCTION("IFERROR(
  FILTER('CBK Students'!P:P, TRIM('CBK Students'!B:B) = TRIM(A1697)),
  """"
)"),"#REF!")</f>
        <v>#REF!</v>
      </c>
      <c r="AB1697" s="4" t="str">
        <f>IFERROR(__xludf.DUMMYFUNCTION("IFERROR(
  FILTER('CBK Students'!Q:Q, TRIM('CBK Students'!B:B) = TRIM(A1697)),
  """"
)"),"#REF!")</f>
        <v>#REF!</v>
      </c>
    </row>
    <row r="1698" ht="18.75" customHeight="1">
      <c r="T1698" s="4"/>
      <c r="U1698" s="4"/>
      <c r="V1698" s="4">
        <f>IFERROR(__xludf.DUMMYFUNCTION("""COMPUTED_VALUE"""),6590.0)</f>
        <v>6590</v>
      </c>
      <c r="W1698" s="240" t="str">
        <f t="shared" si="1"/>
        <v/>
      </c>
      <c r="X1698" s="4" t="str">
        <f>IFERROR(__xludf.DUMMYFUNCTION("""COMPUTED_VALUE"""),"Prepare for Showcase")</f>
        <v>Prepare for Showcase</v>
      </c>
      <c r="Y1698" s="4" t="str">
        <f t="shared" si="2"/>
        <v/>
      </c>
      <c r="Z1698" s="4" t="str">
        <f>IFERROR(__xludf.DUMMYFUNCTION("IFERROR(
  FILTER('CBK Students'!O:O, TRIM('CBK Students'!B:B) = TRIM(A1698)),
  """"
)"),"#REF!")</f>
        <v>#REF!</v>
      </c>
      <c r="AA1698" s="4" t="str">
        <f>IFERROR(__xludf.DUMMYFUNCTION("IFERROR(
  FILTER('CBK Students'!P:P, TRIM('CBK Students'!B:B) = TRIM(A1698)),
  """"
)"),"#REF!")</f>
        <v>#REF!</v>
      </c>
      <c r="AB1698" s="4" t="str">
        <f>IFERROR(__xludf.DUMMYFUNCTION("IFERROR(
  FILTER('CBK Students'!Q:Q, TRIM('CBK Students'!B:B) = TRIM(A1698)),
  """"
)"),"#REF!")</f>
        <v>#REF!</v>
      </c>
    </row>
    <row r="1699" ht="18.75" customHeight="1">
      <c r="T1699" s="4"/>
      <c r="U1699" s="4"/>
      <c r="V1699" s="4">
        <f>IFERROR(__xludf.DUMMYFUNCTION("""COMPUTED_VALUE"""),6590.0)</f>
        <v>6590</v>
      </c>
      <c r="W1699" s="240" t="str">
        <f t="shared" si="1"/>
        <v/>
      </c>
      <c r="X1699" s="4" t="str">
        <f>IFERROR(__xludf.DUMMYFUNCTION("""COMPUTED_VALUE"""),"Prepare for Showcase")</f>
        <v>Prepare for Showcase</v>
      </c>
      <c r="Y1699" s="4" t="str">
        <f t="shared" si="2"/>
        <v/>
      </c>
      <c r="Z1699" s="4" t="str">
        <f>IFERROR(__xludf.DUMMYFUNCTION("IFERROR(
  FILTER('CBK Students'!O:O, TRIM('CBK Students'!B:B) = TRIM(A1699)),
  """"
)"),"#REF!")</f>
        <v>#REF!</v>
      </c>
      <c r="AA1699" s="4" t="str">
        <f>IFERROR(__xludf.DUMMYFUNCTION("IFERROR(
  FILTER('CBK Students'!P:P, TRIM('CBK Students'!B:B) = TRIM(A1699)),
  """"
)"),"#REF!")</f>
        <v>#REF!</v>
      </c>
      <c r="AB1699" s="4" t="str">
        <f>IFERROR(__xludf.DUMMYFUNCTION("IFERROR(
  FILTER('CBK Students'!Q:Q, TRIM('CBK Students'!B:B) = TRIM(A1699)),
  """"
)"),"#REF!")</f>
        <v>#REF!</v>
      </c>
    </row>
    <row r="1700" ht="18.75" customHeight="1">
      <c r="T1700" s="4"/>
      <c r="U1700" s="4"/>
      <c r="V1700" s="4">
        <f>IFERROR(__xludf.DUMMYFUNCTION("""COMPUTED_VALUE"""),6590.0)</f>
        <v>6590</v>
      </c>
      <c r="W1700" s="240" t="str">
        <f t="shared" si="1"/>
        <v/>
      </c>
      <c r="X1700" s="4" t="str">
        <f>IFERROR(__xludf.DUMMYFUNCTION("""COMPUTED_VALUE"""),"Prepare for Showcase")</f>
        <v>Prepare for Showcase</v>
      </c>
      <c r="Y1700" s="4" t="str">
        <f t="shared" si="2"/>
        <v/>
      </c>
      <c r="Z1700" s="4" t="str">
        <f>IFERROR(__xludf.DUMMYFUNCTION("IFERROR(
  FILTER('CBK Students'!O:O, TRIM('CBK Students'!B:B) = TRIM(A1700)),
  """"
)"),"#REF!")</f>
        <v>#REF!</v>
      </c>
      <c r="AA1700" s="4" t="str">
        <f>IFERROR(__xludf.DUMMYFUNCTION("IFERROR(
  FILTER('CBK Students'!P:P, TRIM('CBK Students'!B:B) = TRIM(A1700)),
  """"
)"),"#REF!")</f>
        <v>#REF!</v>
      </c>
      <c r="AB1700" s="4" t="str">
        <f>IFERROR(__xludf.DUMMYFUNCTION("IFERROR(
  FILTER('CBK Students'!Q:Q, TRIM('CBK Students'!B:B) = TRIM(A1700)),
  """"
)"),"#REF!")</f>
        <v>#REF!</v>
      </c>
    </row>
    <row r="1701" ht="18.75" customHeight="1">
      <c r="T1701" s="4"/>
      <c r="U1701" s="4"/>
      <c r="V1701" s="4">
        <f>IFERROR(__xludf.DUMMYFUNCTION("""COMPUTED_VALUE"""),6590.0)</f>
        <v>6590</v>
      </c>
      <c r="W1701" s="240" t="str">
        <f t="shared" si="1"/>
        <v/>
      </c>
      <c r="X1701" s="4" t="str">
        <f>IFERROR(__xludf.DUMMYFUNCTION("""COMPUTED_VALUE"""),"Prepare for Showcase")</f>
        <v>Prepare for Showcase</v>
      </c>
      <c r="Y1701" s="4" t="str">
        <f t="shared" si="2"/>
        <v/>
      </c>
      <c r="Z1701" s="4" t="str">
        <f>IFERROR(__xludf.DUMMYFUNCTION("IFERROR(
  FILTER('CBK Students'!O:O, TRIM('CBK Students'!B:B) = TRIM(A1701)),
  """"
)"),"#REF!")</f>
        <v>#REF!</v>
      </c>
      <c r="AA1701" s="4" t="str">
        <f>IFERROR(__xludf.DUMMYFUNCTION("IFERROR(
  FILTER('CBK Students'!P:P, TRIM('CBK Students'!B:B) = TRIM(A1701)),
  """"
)"),"#REF!")</f>
        <v>#REF!</v>
      </c>
      <c r="AB1701" s="4" t="str">
        <f>IFERROR(__xludf.DUMMYFUNCTION("IFERROR(
  FILTER('CBK Students'!Q:Q, TRIM('CBK Students'!B:B) = TRIM(A1701)),
  """"
)"),"#REF!")</f>
        <v>#REF!</v>
      </c>
    </row>
    <row r="1702" ht="18.75" customHeight="1">
      <c r="T1702" s="4"/>
      <c r="U1702" s="4"/>
      <c r="V1702" s="4">
        <f>IFERROR(__xludf.DUMMYFUNCTION("""COMPUTED_VALUE"""),6590.0)</f>
        <v>6590</v>
      </c>
      <c r="W1702" s="240" t="str">
        <f t="shared" si="1"/>
        <v/>
      </c>
      <c r="X1702" s="4" t="str">
        <f>IFERROR(__xludf.DUMMYFUNCTION("""COMPUTED_VALUE"""),"Prepare for Showcase")</f>
        <v>Prepare for Showcase</v>
      </c>
      <c r="Y1702" s="4" t="str">
        <f t="shared" si="2"/>
        <v/>
      </c>
      <c r="Z1702" s="4" t="str">
        <f>IFERROR(__xludf.DUMMYFUNCTION("IFERROR(
  FILTER('CBK Students'!O:O, TRIM('CBK Students'!B:B) = TRIM(A1702)),
  """"
)"),"#REF!")</f>
        <v>#REF!</v>
      </c>
      <c r="AA1702" s="4" t="str">
        <f>IFERROR(__xludf.DUMMYFUNCTION("IFERROR(
  FILTER('CBK Students'!P:P, TRIM('CBK Students'!B:B) = TRIM(A1702)),
  """"
)"),"#REF!")</f>
        <v>#REF!</v>
      </c>
      <c r="AB1702" s="4" t="str">
        <f>IFERROR(__xludf.DUMMYFUNCTION("IFERROR(
  FILTER('CBK Students'!Q:Q, TRIM('CBK Students'!B:B) = TRIM(A1702)),
  """"
)"),"#REF!")</f>
        <v>#REF!</v>
      </c>
    </row>
    <row r="1703" ht="18.75" customHeight="1">
      <c r="T1703" s="4"/>
      <c r="U1703" s="4"/>
      <c r="V1703" s="4">
        <f>IFERROR(__xludf.DUMMYFUNCTION("""COMPUTED_VALUE"""),6590.0)</f>
        <v>6590</v>
      </c>
      <c r="W1703" s="240" t="str">
        <f t="shared" si="1"/>
        <v/>
      </c>
      <c r="X1703" s="4" t="str">
        <f>IFERROR(__xludf.DUMMYFUNCTION("""COMPUTED_VALUE"""),"Prepare for Showcase")</f>
        <v>Prepare for Showcase</v>
      </c>
      <c r="Y1703" s="4" t="str">
        <f t="shared" si="2"/>
        <v/>
      </c>
      <c r="Z1703" s="4" t="str">
        <f>IFERROR(__xludf.DUMMYFUNCTION("IFERROR(
  FILTER('CBK Students'!O:O, TRIM('CBK Students'!B:B) = TRIM(A1703)),
  """"
)"),"#REF!")</f>
        <v>#REF!</v>
      </c>
      <c r="AA1703" s="4" t="str">
        <f>IFERROR(__xludf.DUMMYFUNCTION("IFERROR(
  FILTER('CBK Students'!P:P, TRIM('CBK Students'!B:B) = TRIM(A1703)),
  """"
)"),"#REF!")</f>
        <v>#REF!</v>
      </c>
      <c r="AB1703" s="4" t="str">
        <f>IFERROR(__xludf.DUMMYFUNCTION("IFERROR(
  FILTER('CBK Students'!Q:Q, TRIM('CBK Students'!B:B) = TRIM(A1703)),
  """"
)"),"#REF!")</f>
        <v>#REF!</v>
      </c>
    </row>
    <row r="1704" ht="18.75" customHeight="1">
      <c r="T1704" s="4"/>
      <c r="U1704" s="4"/>
      <c r="V1704" s="4">
        <f>IFERROR(__xludf.DUMMYFUNCTION("""COMPUTED_VALUE"""),6590.0)</f>
        <v>6590</v>
      </c>
      <c r="W1704" s="240" t="str">
        <f t="shared" si="1"/>
        <v/>
      </c>
      <c r="X1704" s="4" t="str">
        <f>IFERROR(__xludf.DUMMYFUNCTION("""COMPUTED_VALUE"""),"Prepare for Showcase")</f>
        <v>Prepare for Showcase</v>
      </c>
      <c r="Y1704" s="4" t="str">
        <f t="shared" si="2"/>
        <v/>
      </c>
      <c r="Z1704" s="4" t="str">
        <f>IFERROR(__xludf.DUMMYFUNCTION("IFERROR(
  FILTER('CBK Students'!O:O, TRIM('CBK Students'!B:B) = TRIM(A1704)),
  """"
)"),"#REF!")</f>
        <v>#REF!</v>
      </c>
      <c r="AA1704" s="4" t="str">
        <f>IFERROR(__xludf.DUMMYFUNCTION("IFERROR(
  FILTER('CBK Students'!P:P, TRIM('CBK Students'!B:B) = TRIM(A1704)),
  """"
)"),"#REF!")</f>
        <v>#REF!</v>
      </c>
      <c r="AB1704" s="4" t="str">
        <f>IFERROR(__xludf.DUMMYFUNCTION("IFERROR(
  FILTER('CBK Students'!Q:Q, TRIM('CBK Students'!B:B) = TRIM(A1704)),
  """"
)"),"#REF!")</f>
        <v>#REF!</v>
      </c>
    </row>
    <row r="1705" ht="18.75" customHeight="1">
      <c r="T1705" s="4"/>
      <c r="U1705" s="4"/>
      <c r="V1705" s="4">
        <f>IFERROR(__xludf.DUMMYFUNCTION("""COMPUTED_VALUE"""),6590.0)</f>
        <v>6590</v>
      </c>
      <c r="W1705" s="240" t="str">
        <f t="shared" si="1"/>
        <v/>
      </c>
      <c r="X1705" s="4" t="str">
        <f>IFERROR(__xludf.DUMMYFUNCTION("""COMPUTED_VALUE"""),"Prepare for Showcase")</f>
        <v>Prepare for Showcase</v>
      </c>
      <c r="Y1705" s="4" t="str">
        <f t="shared" si="2"/>
        <v/>
      </c>
      <c r="Z1705" s="4" t="str">
        <f>IFERROR(__xludf.DUMMYFUNCTION("IFERROR(
  FILTER('CBK Students'!O:O, TRIM('CBK Students'!B:B) = TRIM(A1705)),
  """"
)"),"#REF!")</f>
        <v>#REF!</v>
      </c>
      <c r="AA1705" s="4" t="str">
        <f>IFERROR(__xludf.DUMMYFUNCTION("IFERROR(
  FILTER('CBK Students'!P:P, TRIM('CBK Students'!B:B) = TRIM(A1705)),
  """"
)"),"#REF!")</f>
        <v>#REF!</v>
      </c>
      <c r="AB1705" s="4" t="str">
        <f>IFERROR(__xludf.DUMMYFUNCTION("IFERROR(
  FILTER('CBK Students'!Q:Q, TRIM('CBK Students'!B:B) = TRIM(A1705)),
  """"
)"),"#REF!")</f>
        <v>#REF!</v>
      </c>
    </row>
    <row r="1706" ht="18.75" customHeight="1">
      <c r="T1706" s="4"/>
      <c r="U1706" s="4"/>
      <c r="V1706" s="4">
        <f>IFERROR(__xludf.DUMMYFUNCTION("""COMPUTED_VALUE"""),6590.0)</f>
        <v>6590</v>
      </c>
      <c r="W1706" s="240" t="str">
        <f t="shared" si="1"/>
        <v/>
      </c>
      <c r="X1706" s="4" t="str">
        <f>IFERROR(__xludf.DUMMYFUNCTION("""COMPUTED_VALUE"""),"Prepare for Showcase")</f>
        <v>Prepare for Showcase</v>
      </c>
      <c r="Y1706" s="4" t="str">
        <f t="shared" si="2"/>
        <v/>
      </c>
      <c r="Z1706" s="4" t="str">
        <f>IFERROR(__xludf.DUMMYFUNCTION("IFERROR(
  FILTER('CBK Students'!O:O, TRIM('CBK Students'!B:B) = TRIM(A1706)),
  """"
)"),"#REF!")</f>
        <v>#REF!</v>
      </c>
      <c r="AA1706" s="4" t="str">
        <f>IFERROR(__xludf.DUMMYFUNCTION("IFERROR(
  FILTER('CBK Students'!P:P, TRIM('CBK Students'!B:B) = TRIM(A1706)),
  """"
)"),"#REF!")</f>
        <v>#REF!</v>
      </c>
      <c r="AB1706" s="4" t="str">
        <f>IFERROR(__xludf.DUMMYFUNCTION("IFERROR(
  FILTER('CBK Students'!Q:Q, TRIM('CBK Students'!B:B) = TRIM(A1706)),
  """"
)"),"#REF!")</f>
        <v>#REF!</v>
      </c>
    </row>
    <row r="1707" ht="18.75" customHeight="1">
      <c r="T1707" s="4"/>
      <c r="U1707" s="4"/>
      <c r="V1707" s="4">
        <f>IFERROR(__xludf.DUMMYFUNCTION("""COMPUTED_VALUE"""),6590.0)</f>
        <v>6590</v>
      </c>
      <c r="W1707" s="240" t="str">
        <f t="shared" si="1"/>
        <v/>
      </c>
      <c r="X1707" s="4" t="str">
        <f>IFERROR(__xludf.DUMMYFUNCTION("""COMPUTED_VALUE"""),"Prepare for Showcase")</f>
        <v>Prepare for Showcase</v>
      </c>
      <c r="Y1707" s="4" t="str">
        <f t="shared" si="2"/>
        <v/>
      </c>
      <c r="Z1707" s="4" t="str">
        <f>IFERROR(__xludf.DUMMYFUNCTION("IFERROR(
  FILTER('CBK Students'!O:O, TRIM('CBK Students'!B:B) = TRIM(A1707)),
  """"
)"),"#REF!")</f>
        <v>#REF!</v>
      </c>
      <c r="AA1707" s="4" t="str">
        <f>IFERROR(__xludf.DUMMYFUNCTION("IFERROR(
  FILTER('CBK Students'!P:P, TRIM('CBK Students'!B:B) = TRIM(A1707)),
  """"
)"),"#REF!")</f>
        <v>#REF!</v>
      </c>
      <c r="AB1707" s="4" t="str">
        <f>IFERROR(__xludf.DUMMYFUNCTION("IFERROR(
  FILTER('CBK Students'!Q:Q, TRIM('CBK Students'!B:B) = TRIM(A1707)),
  """"
)"),"#REF!")</f>
        <v>#REF!</v>
      </c>
    </row>
    <row r="1708" ht="18.75" customHeight="1">
      <c r="T1708" s="4"/>
      <c r="U1708" s="4"/>
      <c r="V1708" s="4">
        <f>IFERROR(__xludf.DUMMYFUNCTION("""COMPUTED_VALUE"""),6590.0)</f>
        <v>6590</v>
      </c>
      <c r="W1708" s="240" t="str">
        <f t="shared" si="1"/>
        <v/>
      </c>
      <c r="X1708" s="4" t="str">
        <f>IFERROR(__xludf.DUMMYFUNCTION("""COMPUTED_VALUE"""),"Prepare for Showcase")</f>
        <v>Prepare for Showcase</v>
      </c>
      <c r="Y1708" s="4" t="str">
        <f t="shared" si="2"/>
        <v/>
      </c>
      <c r="Z1708" s="4" t="str">
        <f>IFERROR(__xludf.DUMMYFUNCTION("IFERROR(
  FILTER('CBK Students'!O:O, TRIM('CBK Students'!B:B) = TRIM(A1708)),
  """"
)"),"#REF!")</f>
        <v>#REF!</v>
      </c>
      <c r="AA1708" s="4" t="str">
        <f>IFERROR(__xludf.DUMMYFUNCTION("IFERROR(
  FILTER('CBK Students'!P:P, TRIM('CBK Students'!B:B) = TRIM(A1708)),
  """"
)"),"#REF!")</f>
        <v>#REF!</v>
      </c>
      <c r="AB1708" s="4" t="str">
        <f>IFERROR(__xludf.DUMMYFUNCTION("IFERROR(
  FILTER('CBK Students'!Q:Q, TRIM('CBK Students'!B:B) = TRIM(A1708)),
  """"
)"),"#REF!")</f>
        <v>#REF!</v>
      </c>
    </row>
    <row r="1709" ht="18.75" customHeight="1">
      <c r="T1709" s="4"/>
      <c r="U1709" s="4"/>
      <c r="V1709" s="4">
        <f>IFERROR(__xludf.DUMMYFUNCTION("""COMPUTED_VALUE"""),6590.0)</f>
        <v>6590</v>
      </c>
      <c r="W1709" s="240" t="str">
        <f t="shared" si="1"/>
        <v/>
      </c>
      <c r="X1709" s="4" t="str">
        <f>IFERROR(__xludf.DUMMYFUNCTION("""COMPUTED_VALUE"""),"Prepare for Showcase")</f>
        <v>Prepare for Showcase</v>
      </c>
      <c r="Y1709" s="4" t="str">
        <f t="shared" si="2"/>
        <v/>
      </c>
      <c r="Z1709" s="4" t="str">
        <f>IFERROR(__xludf.DUMMYFUNCTION("IFERROR(
  FILTER('CBK Students'!O:O, TRIM('CBK Students'!B:B) = TRIM(A1709)),
  """"
)"),"#REF!")</f>
        <v>#REF!</v>
      </c>
      <c r="AA1709" s="4" t="str">
        <f>IFERROR(__xludf.DUMMYFUNCTION("IFERROR(
  FILTER('CBK Students'!P:P, TRIM('CBK Students'!B:B) = TRIM(A1709)),
  """"
)"),"#REF!")</f>
        <v>#REF!</v>
      </c>
      <c r="AB1709" s="4" t="str">
        <f>IFERROR(__xludf.DUMMYFUNCTION("IFERROR(
  FILTER('CBK Students'!Q:Q, TRIM('CBK Students'!B:B) = TRIM(A1709)),
  """"
)"),"#REF!")</f>
        <v>#REF!</v>
      </c>
    </row>
    <row r="1710" ht="18.75" customHeight="1">
      <c r="T1710" s="4"/>
      <c r="U1710" s="4"/>
      <c r="V1710" s="4">
        <f>IFERROR(__xludf.DUMMYFUNCTION("""COMPUTED_VALUE"""),6590.0)</f>
        <v>6590</v>
      </c>
      <c r="W1710" s="240" t="str">
        <f t="shared" si="1"/>
        <v/>
      </c>
      <c r="X1710" s="4" t="str">
        <f>IFERROR(__xludf.DUMMYFUNCTION("""COMPUTED_VALUE"""),"Prepare for Showcase")</f>
        <v>Prepare for Showcase</v>
      </c>
      <c r="Y1710" s="4" t="str">
        <f t="shared" si="2"/>
        <v/>
      </c>
      <c r="Z1710" s="4" t="str">
        <f>IFERROR(__xludf.DUMMYFUNCTION("IFERROR(
  FILTER('CBK Students'!O:O, TRIM('CBK Students'!B:B) = TRIM(A1710)),
  """"
)"),"#REF!")</f>
        <v>#REF!</v>
      </c>
      <c r="AA1710" s="4" t="str">
        <f>IFERROR(__xludf.DUMMYFUNCTION("IFERROR(
  FILTER('CBK Students'!P:P, TRIM('CBK Students'!B:B) = TRIM(A1710)),
  """"
)"),"#REF!")</f>
        <v>#REF!</v>
      </c>
      <c r="AB1710" s="4" t="str">
        <f>IFERROR(__xludf.DUMMYFUNCTION("IFERROR(
  FILTER('CBK Students'!Q:Q, TRIM('CBK Students'!B:B) = TRIM(A1710)),
  """"
)"),"#REF!")</f>
        <v>#REF!</v>
      </c>
    </row>
    <row r="1711" ht="18.75" customHeight="1">
      <c r="T1711" s="4"/>
      <c r="U1711" s="4"/>
      <c r="V1711" s="4">
        <f>IFERROR(__xludf.DUMMYFUNCTION("""COMPUTED_VALUE"""),6590.0)</f>
        <v>6590</v>
      </c>
      <c r="W1711" s="240" t="str">
        <f t="shared" si="1"/>
        <v/>
      </c>
      <c r="X1711" s="4" t="str">
        <f>IFERROR(__xludf.DUMMYFUNCTION("""COMPUTED_VALUE"""),"Prepare for Showcase")</f>
        <v>Prepare for Showcase</v>
      </c>
      <c r="Y1711" s="4" t="str">
        <f t="shared" si="2"/>
        <v/>
      </c>
      <c r="Z1711" s="4" t="str">
        <f>IFERROR(__xludf.DUMMYFUNCTION("IFERROR(
  FILTER('CBK Students'!O:O, TRIM('CBK Students'!B:B) = TRIM(A1711)),
  """"
)"),"#REF!")</f>
        <v>#REF!</v>
      </c>
      <c r="AA1711" s="4" t="str">
        <f>IFERROR(__xludf.DUMMYFUNCTION("IFERROR(
  FILTER('CBK Students'!P:P, TRIM('CBK Students'!B:B) = TRIM(A1711)),
  """"
)"),"#REF!")</f>
        <v>#REF!</v>
      </c>
      <c r="AB1711" s="4" t="str">
        <f>IFERROR(__xludf.DUMMYFUNCTION("IFERROR(
  FILTER('CBK Students'!Q:Q, TRIM('CBK Students'!B:B) = TRIM(A1711)),
  """"
)"),"#REF!")</f>
        <v>#REF!</v>
      </c>
    </row>
    <row r="1712" ht="18.75" customHeight="1">
      <c r="T1712" s="4"/>
      <c r="U1712" s="4"/>
      <c r="V1712" s="4">
        <f>IFERROR(__xludf.DUMMYFUNCTION("""COMPUTED_VALUE"""),6590.0)</f>
        <v>6590</v>
      </c>
      <c r="W1712" s="240" t="str">
        <f t="shared" si="1"/>
        <v/>
      </c>
      <c r="X1712" s="4" t="str">
        <f>IFERROR(__xludf.DUMMYFUNCTION("""COMPUTED_VALUE"""),"Prepare for Showcase")</f>
        <v>Prepare for Showcase</v>
      </c>
      <c r="Y1712" s="4" t="str">
        <f t="shared" si="2"/>
        <v/>
      </c>
      <c r="Z1712" s="4" t="str">
        <f>IFERROR(__xludf.DUMMYFUNCTION("IFERROR(
  FILTER('CBK Students'!O:O, TRIM('CBK Students'!B:B) = TRIM(A1712)),
  """"
)"),"#REF!")</f>
        <v>#REF!</v>
      </c>
      <c r="AA1712" s="4" t="str">
        <f>IFERROR(__xludf.DUMMYFUNCTION("IFERROR(
  FILTER('CBK Students'!P:P, TRIM('CBK Students'!B:B) = TRIM(A1712)),
  """"
)"),"#REF!")</f>
        <v>#REF!</v>
      </c>
      <c r="AB1712" s="4" t="str">
        <f>IFERROR(__xludf.DUMMYFUNCTION("IFERROR(
  FILTER('CBK Students'!Q:Q, TRIM('CBK Students'!B:B) = TRIM(A1712)),
  """"
)"),"#REF!")</f>
        <v>#REF!</v>
      </c>
    </row>
    <row r="1713" ht="18.75" customHeight="1">
      <c r="T1713" s="4"/>
      <c r="U1713" s="4"/>
      <c r="V1713" s="4">
        <f>IFERROR(__xludf.DUMMYFUNCTION("""COMPUTED_VALUE"""),6590.0)</f>
        <v>6590</v>
      </c>
      <c r="W1713" s="240" t="str">
        <f t="shared" si="1"/>
        <v/>
      </c>
      <c r="X1713" s="4" t="str">
        <f>IFERROR(__xludf.DUMMYFUNCTION("""COMPUTED_VALUE"""),"Prepare for Showcase")</f>
        <v>Prepare for Showcase</v>
      </c>
      <c r="Y1713" s="4" t="str">
        <f t="shared" si="2"/>
        <v/>
      </c>
      <c r="Z1713" s="4" t="str">
        <f>IFERROR(__xludf.DUMMYFUNCTION("IFERROR(
  FILTER('CBK Students'!O:O, TRIM('CBK Students'!B:B) = TRIM(A1713)),
  """"
)"),"#REF!")</f>
        <v>#REF!</v>
      </c>
      <c r="AA1713" s="4" t="str">
        <f>IFERROR(__xludf.DUMMYFUNCTION("IFERROR(
  FILTER('CBK Students'!P:P, TRIM('CBK Students'!B:B) = TRIM(A1713)),
  """"
)"),"#REF!")</f>
        <v>#REF!</v>
      </c>
      <c r="AB1713" s="4" t="str">
        <f>IFERROR(__xludf.DUMMYFUNCTION("IFERROR(
  FILTER('CBK Students'!Q:Q, TRIM('CBK Students'!B:B) = TRIM(A1713)),
  """"
)"),"#REF!")</f>
        <v>#REF!</v>
      </c>
    </row>
    <row r="1714" ht="18.75" customHeight="1">
      <c r="T1714" s="4"/>
      <c r="U1714" s="4"/>
      <c r="V1714" s="4">
        <f>IFERROR(__xludf.DUMMYFUNCTION("""COMPUTED_VALUE"""),6590.0)</f>
        <v>6590</v>
      </c>
      <c r="W1714" s="240" t="str">
        <f t="shared" si="1"/>
        <v/>
      </c>
      <c r="X1714" s="4" t="str">
        <f>IFERROR(__xludf.DUMMYFUNCTION("""COMPUTED_VALUE"""),"Prepare for Showcase")</f>
        <v>Prepare for Showcase</v>
      </c>
      <c r="Y1714" s="4" t="str">
        <f t="shared" si="2"/>
        <v/>
      </c>
      <c r="Z1714" s="4" t="str">
        <f>IFERROR(__xludf.DUMMYFUNCTION("IFERROR(
  FILTER('CBK Students'!O:O, TRIM('CBK Students'!B:B) = TRIM(A1714)),
  """"
)"),"#REF!")</f>
        <v>#REF!</v>
      </c>
      <c r="AA1714" s="4" t="str">
        <f>IFERROR(__xludf.DUMMYFUNCTION("IFERROR(
  FILTER('CBK Students'!P:P, TRIM('CBK Students'!B:B) = TRIM(A1714)),
  """"
)"),"#REF!")</f>
        <v>#REF!</v>
      </c>
      <c r="AB1714" s="4" t="str">
        <f>IFERROR(__xludf.DUMMYFUNCTION("IFERROR(
  FILTER('CBK Students'!Q:Q, TRIM('CBK Students'!B:B) = TRIM(A1714)),
  """"
)"),"#REF!")</f>
        <v>#REF!</v>
      </c>
    </row>
    <row r="1715" ht="18.75" customHeight="1">
      <c r="T1715" s="4"/>
      <c r="U1715" s="4"/>
      <c r="V1715" s="4">
        <f>IFERROR(__xludf.DUMMYFUNCTION("""COMPUTED_VALUE"""),6590.0)</f>
        <v>6590</v>
      </c>
      <c r="W1715" s="240" t="str">
        <f t="shared" si="1"/>
        <v/>
      </c>
      <c r="X1715" s="4" t="str">
        <f>IFERROR(__xludf.DUMMYFUNCTION("""COMPUTED_VALUE"""),"Prepare for Showcase")</f>
        <v>Prepare for Showcase</v>
      </c>
      <c r="Y1715" s="4" t="str">
        <f t="shared" si="2"/>
        <v/>
      </c>
      <c r="Z1715" s="4" t="str">
        <f>IFERROR(__xludf.DUMMYFUNCTION("IFERROR(
  FILTER('CBK Students'!O:O, TRIM('CBK Students'!B:B) = TRIM(A1715)),
  """"
)"),"#REF!")</f>
        <v>#REF!</v>
      </c>
      <c r="AA1715" s="4" t="str">
        <f>IFERROR(__xludf.DUMMYFUNCTION("IFERROR(
  FILTER('CBK Students'!P:P, TRIM('CBK Students'!B:B) = TRIM(A1715)),
  """"
)"),"#REF!")</f>
        <v>#REF!</v>
      </c>
      <c r="AB1715" s="4" t="str">
        <f>IFERROR(__xludf.DUMMYFUNCTION("IFERROR(
  FILTER('CBK Students'!Q:Q, TRIM('CBK Students'!B:B) = TRIM(A1715)),
  """"
)"),"#REF!")</f>
        <v>#REF!</v>
      </c>
    </row>
    <row r="1716" ht="18.75" customHeight="1">
      <c r="T1716" s="4"/>
      <c r="U1716" s="4"/>
      <c r="V1716" s="4">
        <f>IFERROR(__xludf.DUMMYFUNCTION("""COMPUTED_VALUE"""),6590.0)</f>
        <v>6590</v>
      </c>
      <c r="W1716" s="240" t="str">
        <f t="shared" si="1"/>
        <v/>
      </c>
      <c r="X1716" s="4" t="str">
        <f>IFERROR(__xludf.DUMMYFUNCTION("""COMPUTED_VALUE"""),"Prepare for Showcase")</f>
        <v>Prepare for Showcase</v>
      </c>
      <c r="Y1716" s="4" t="str">
        <f t="shared" si="2"/>
        <v/>
      </c>
      <c r="Z1716" s="4" t="str">
        <f>IFERROR(__xludf.DUMMYFUNCTION("IFERROR(
  FILTER('CBK Students'!O:O, TRIM('CBK Students'!B:B) = TRIM(A1716)),
  """"
)"),"#REF!")</f>
        <v>#REF!</v>
      </c>
      <c r="AA1716" s="4" t="str">
        <f>IFERROR(__xludf.DUMMYFUNCTION("IFERROR(
  FILTER('CBK Students'!P:P, TRIM('CBK Students'!B:B) = TRIM(A1716)),
  """"
)"),"#REF!")</f>
        <v>#REF!</v>
      </c>
      <c r="AB1716" s="4" t="str">
        <f>IFERROR(__xludf.DUMMYFUNCTION("IFERROR(
  FILTER('CBK Students'!Q:Q, TRIM('CBK Students'!B:B) = TRIM(A1716)),
  """"
)"),"#REF!")</f>
        <v>#REF!</v>
      </c>
    </row>
    <row r="1717" ht="18.75" customHeight="1">
      <c r="T1717" s="4"/>
      <c r="U1717" s="4"/>
      <c r="V1717" s="4">
        <f>IFERROR(__xludf.DUMMYFUNCTION("""COMPUTED_VALUE"""),6590.0)</f>
        <v>6590</v>
      </c>
      <c r="W1717" s="240" t="str">
        <f t="shared" si="1"/>
        <v/>
      </c>
      <c r="X1717" s="4" t="str">
        <f>IFERROR(__xludf.DUMMYFUNCTION("""COMPUTED_VALUE"""),"Prepare for Showcase")</f>
        <v>Prepare for Showcase</v>
      </c>
      <c r="Y1717" s="4" t="str">
        <f t="shared" si="2"/>
        <v/>
      </c>
      <c r="Z1717" s="4" t="str">
        <f>IFERROR(__xludf.DUMMYFUNCTION("IFERROR(
  FILTER('CBK Students'!O:O, TRIM('CBK Students'!B:B) = TRIM(A1717)),
  """"
)"),"#REF!")</f>
        <v>#REF!</v>
      </c>
      <c r="AA1717" s="4" t="str">
        <f>IFERROR(__xludf.DUMMYFUNCTION("IFERROR(
  FILTER('CBK Students'!P:P, TRIM('CBK Students'!B:B) = TRIM(A1717)),
  """"
)"),"#REF!")</f>
        <v>#REF!</v>
      </c>
      <c r="AB1717" s="4" t="str">
        <f>IFERROR(__xludf.DUMMYFUNCTION("IFERROR(
  FILTER('CBK Students'!Q:Q, TRIM('CBK Students'!B:B) = TRIM(A1717)),
  """"
)"),"#REF!")</f>
        <v>#REF!</v>
      </c>
    </row>
    <row r="1718" ht="18.75" customHeight="1">
      <c r="T1718" s="4"/>
      <c r="U1718" s="4"/>
      <c r="V1718" s="4">
        <f>IFERROR(__xludf.DUMMYFUNCTION("""COMPUTED_VALUE"""),6590.0)</f>
        <v>6590</v>
      </c>
      <c r="W1718" s="240" t="str">
        <f t="shared" si="1"/>
        <v/>
      </c>
      <c r="X1718" s="4" t="str">
        <f>IFERROR(__xludf.DUMMYFUNCTION("""COMPUTED_VALUE"""),"Prepare for Showcase")</f>
        <v>Prepare for Showcase</v>
      </c>
      <c r="Y1718" s="4" t="str">
        <f t="shared" si="2"/>
        <v/>
      </c>
      <c r="Z1718" s="4" t="str">
        <f>IFERROR(__xludf.DUMMYFUNCTION("IFERROR(
  FILTER('CBK Students'!O:O, TRIM('CBK Students'!B:B) = TRIM(A1718)),
  """"
)"),"#REF!")</f>
        <v>#REF!</v>
      </c>
      <c r="AA1718" s="4" t="str">
        <f>IFERROR(__xludf.DUMMYFUNCTION("IFERROR(
  FILTER('CBK Students'!P:P, TRIM('CBK Students'!B:B) = TRIM(A1718)),
  """"
)"),"#REF!")</f>
        <v>#REF!</v>
      </c>
      <c r="AB1718" s="4" t="str">
        <f>IFERROR(__xludf.DUMMYFUNCTION("IFERROR(
  FILTER('CBK Students'!Q:Q, TRIM('CBK Students'!B:B) = TRIM(A1718)),
  """"
)"),"#REF!")</f>
        <v>#REF!</v>
      </c>
    </row>
    <row r="1719" ht="18.75" customHeight="1">
      <c r="T1719" s="4"/>
      <c r="U1719" s="4"/>
      <c r="V1719" s="4">
        <f>IFERROR(__xludf.DUMMYFUNCTION("""COMPUTED_VALUE"""),6590.0)</f>
        <v>6590</v>
      </c>
      <c r="W1719" s="240" t="str">
        <f t="shared" si="1"/>
        <v/>
      </c>
      <c r="X1719" s="4" t="str">
        <f>IFERROR(__xludf.DUMMYFUNCTION("""COMPUTED_VALUE"""),"Prepare for Showcase")</f>
        <v>Prepare for Showcase</v>
      </c>
      <c r="Y1719" s="4" t="str">
        <f t="shared" si="2"/>
        <v/>
      </c>
      <c r="Z1719" s="4" t="str">
        <f>IFERROR(__xludf.DUMMYFUNCTION("IFERROR(
  FILTER('CBK Students'!O:O, TRIM('CBK Students'!B:B) = TRIM(A1719)),
  """"
)"),"#REF!")</f>
        <v>#REF!</v>
      </c>
      <c r="AA1719" s="4" t="str">
        <f>IFERROR(__xludf.DUMMYFUNCTION("IFERROR(
  FILTER('CBK Students'!P:P, TRIM('CBK Students'!B:B) = TRIM(A1719)),
  """"
)"),"#REF!")</f>
        <v>#REF!</v>
      </c>
      <c r="AB1719" s="4" t="str">
        <f>IFERROR(__xludf.DUMMYFUNCTION("IFERROR(
  FILTER('CBK Students'!Q:Q, TRIM('CBK Students'!B:B) = TRIM(A1719)),
  """"
)"),"#REF!")</f>
        <v>#REF!</v>
      </c>
    </row>
    <row r="1720" ht="18.75" customHeight="1">
      <c r="T1720" s="4"/>
      <c r="U1720" s="4"/>
      <c r="V1720" s="4">
        <f>IFERROR(__xludf.DUMMYFUNCTION("""COMPUTED_VALUE"""),6590.0)</f>
        <v>6590</v>
      </c>
      <c r="W1720" s="240" t="str">
        <f t="shared" si="1"/>
        <v/>
      </c>
      <c r="X1720" s="4" t="str">
        <f>IFERROR(__xludf.DUMMYFUNCTION("""COMPUTED_VALUE"""),"Prepare for Showcase")</f>
        <v>Prepare for Showcase</v>
      </c>
      <c r="Y1720" s="4" t="str">
        <f t="shared" si="2"/>
        <v/>
      </c>
      <c r="Z1720" s="4" t="str">
        <f>IFERROR(__xludf.DUMMYFUNCTION("IFERROR(
  FILTER('CBK Students'!O:O, TRIM('CBK Students'!B:B) = TRIM(A1720)),
  """"
)"),"#REF!")</f>
        <v>#REF!</v>
      </c>
      <c r="AA1720" s="4" t="str">
        <f>IFERROR(__xludf.DUMMYFUNCTION("IFERROR(
  FILTER('CBK Students'!P:P, TRIM('CBK Students'!B:B) = TRIM(A1720)),
  """"
)"),"#REF!")</f>
        <v>#REF!</v>
      </c>
      <c r="AB1720" s="4" t="str">
        <f>IFERROR(__xludf.DUMMYFUNCTION("IFERROR(
  FILTER('CBK Students'!Q:Q, TRIM('CBK Students'!B:B) = TRIM(A1720)),
  """"
)"),"#REF!")</f>
        <v>#REF!</v>
      </c>
    </row>
    <row r="1721" ht="18.75" customHeight="1">
      <c r="T1721" s="4"/>
      <c r="U1721" s="4"/>
      <c r="V1721" s="4">
        <f>IFERROR(__xludf.DUMMYFUNCTION("""COMPUTED_VALUE"""),6590.0)</f>
        <v>6590</v>
      </c>
      <c r="W1721" s="240" t="str">
        <f t="shared" si="1"/>
        <v/>
      </c>
      <c r="X1721" s="4" t="str">
        <f>IFERROR(__xludf.DUMMYFUNCTION("""COMPUTED_VALUE"""),"Prepare for Showcase")</f>
        <v>Prepare for Showcase</v>
      </c>
      <c r="Y1721" s="4" t="str">
        <f t="shared" si="2"/>
        <v/>
      </c>
      <c r="Z1721" s="4" t="str">
        <f>IFERROR(__xludf.DUMMYFUNCTION("IFERROR(
  FILTER('CBK Students'!O:O, TRIM('CBK Students'!B:B) = TRIM(A1721)),
  """"
)"),"#REF!")</f>
        <v>#REF!</v>
      </c>
      <c r="AA1721" s="4" t="str">
        <f>IFERROR(__xludf.DUMMYFUNCTION("IFERROR(
  FILTER('CBK Students'!P:P, TRIM('CBK Students'!B:B) = TRIM(A1721)),
  """"
)"),"#REF!")</f>
        <v>#REF!</v>
      </c>
      <c r="AB1721" s="4" t="str">
        <f>IFERROR(__xludf.DUMMYFUNCTION("IFERROR(
  FILTER('CBK Students'!Q:Q, TRIM('CBK Students'!B:B) = TRIM(A1721)),
  """"
)"),"#REF!")</f>
        <v>#REF!</v>
      </c>
    </row>
    <row r="1722" ht="18.75" customHeight="1">
      <c r="T1722" s="4"/>
      <c r="U1722" s="4"/>
      <c r="V1722" s="4">
        <f>IFERROR(__xludf.DUMMYFUNCTION("""COMPUTED_VALUE"""),6590.0)</f>
        <v>6590</v>
      </c>
      <c r="W1722" s="240" t="str">
        <f t="shared" si="1"/>
        <v/>
      </c>
      <c r="X1722" s="4" t="str">
        <f>IFERROR(__xludf.DUMMYFUNCTION("""COMPUTED_VALUE"""),"Prepare for Showcase")</f>
        <v>Prepare for Showcase</v>
      </c>
      <c r="Y1722" s="4" t="str">
        <f t="shared" si="2"/>
        <v/>
      </c>
      <c r="Z1722" s="4" t="str">
        <f>IFERROR(__xludf.DUMMYFUNCTION("IFERROR(
  FILTER('CBK Students'!O:O, TRIM('CBK Students'!B:B) = TRIM(A1722)),
  """"
)"),"#REF!")</f>
        <v>#REF!</v>
      </c>
      <c r="AA1722" s="4" t="str">
        <f>IFERROR(__xludf.DUMMYFUNCTION("IFERROR(
  FILTER('CBK Students'!P:P, TRIM('CBK Students'!B:B) = TRIM(A1722)),
  """"
)"),"#REF!")</f>
        <v>#REF!</v>
      </c>
      <c r="AB1722" s="4" t="str">
        <f>IFERROR(__xludf.DUMMYFUNCTION("IFERROR(
  FILTER('CBK Students'!Q:Q, TRIM('CBK Students'!B:B) = TRIM(A1722)),
  """"
)"),"#REF!")</f>
        <v>#REF!</v>
      </c>
    </row>
    <row r="1723" ht="18.75" customHeight="1">
      <c r="T1723" s="4"/>
      <c r="U1723" s="4"/>
      <c r="V1723" s="4">
        <f>IFERROR(__xludf.DUMMYFUNCTION("""COMPUTED_VALUE"""),6590.0)</f>
        <v>6590</v>
      </c>
      <c r="W1723" s="240" t="str">
        <f t="shared" si="1"/>
        <v/>
      </c>
      <c r="X1723" s="4" t="str">
        <f>IFERROR(__xludf.DUMMYFUNCTION("""COMPUTED_VALUE"""),"Prepare for Showcase")</f>
        <v>Prepare for Showcase</v>
      </c>
      <c r="Y1723" s="4" t="str">
        <f t="shared" si="2"/>
        <v/>
      </c>
      <c r="Z1723" s="4" t="str">
        <f>IFERROR(__xludf.DUMMYFUNCTION("IFERROR(
  FILTER('CBK Students'!O:O, TRIM('CBK Students'!B:B) = TRIM(A1723)),
  """"
)"),"#REF!")</f>
        <v>#REF!</v>
      </c>
      <c r="AA1723" s="4" t="str">
        <f>IFERROR(__xludf.DUMMYFUNCTION("IFERROR(
  FILTER('CBK Students'!P:P, TRIM('CBK Students'!B:B) = TRIM(A1723)),
  """"
)"),"#REF!")</f>
        <v>#REF!</v>
      </c>
      <c r="AB1723" s="4" t="str">
        <f>IFERROR(__xludf.DUMMYFUNCTION("IFERROR(
  FILTER('CBK Students'!Q:Q, TRIM('CBK Students'!B:B) = TRIM(A1723)),
  """"
)"),"#REF!")</f>
        <v>#REF!</v>
      </c>
    </row>
    <row r="1724" ht="18.75" customHeight="1">
      <c r="T1724" s="4"/>
      <c r="U1724" s="4"/>
      <c r="V1724" s="4">
        <f>IFERROR(__xludf.DUMMYFUNCTION("""COMPUTED_VALUE"""),6590.0)</f>
        <v>6590</v>
      </c>
      <c r="W1724" s="240" t="str">
        <f t="shared" si="1"/>
        <v/>
      </c>
      <c r="X1724" s="4" t="str">
        <f>IFERROR(__xludf.DUMMYFUNCTION("""COMPUTED_VALUE"""),"Prepare for Showcase")</f>
        <v>Prepare for Showcase</v>
      </c>
      <c r="Y1724" s="4" t="str">
        <f t="shared" si="2"/>
        <v/>
      </c>
      <c r="Z1724" s="4" t="str">
        <f>IFERROR(__xludf.DUMMYFUNCTION("IFERROR(
  FILTER('CBK Students'!O:O, TRIM('CBK Students'!B:B) = TRIM(A1724)),
  """"
)"),"#REF!")</f>
        <v>#REF!</v>
      </c>
      <c r="AA1724" s="4" t="str">
        <f>IFERROR(__xludf.DUMMYFUNCTION("IFERROR(
  FILTER('CBK Students'!P:P, TRIM('CBK Students'!B:B) = TRIM(A1724)),
  """"
)"),"#REF!")</f>
        <v>#REF!</v>
      </c>
      <c r="AB1724" s="4" t="str">
        <f>IFERROR(__xludf.DUMMYFUNCTION("IFERROR(
  FILTER('CBK Students'!Q:Q, TRIM('CBK Students'!B:B) = TRIM(A1724)),
  """"
)"),"#REF!")</f>
        <v>#REF!</v>
      </c>
    </row>
    <row r="1725" ht="18.75" customHeight="1">
      <c r="T1725" s="4"/>
      <c r="U1725" s="4"/>
      <c r="V1725" s="4">
        <f>IFERROR(__xludf.DUMMYFUNCTION("""COMPUTED_VALUE"""),6590.0)</f>
        <v>6590</v>
      </c>
      <c r="W1725" s="240" t="str">
        <f t="shared" si="1"/>
        <v/>
      </c>
      <c r="X1725" s="4" t="str">
        <f>IFERROR(__xludf.DUMMYFUNCTION("""COMPUTED_VALUE"""),"Prepare for Showcase")</f>
        <v>Prepare for Showcase</v>
      </c>
      <c r="Y1725" s="4" t="str">
        <f t="shared" si="2"/>
        <v/>
      </c>
      <c r="Z1725" s="4" t="str">
        <f>IFERROR(__xludf.DUMMYFUNCTION("IFERROR(
  FILTER('CBK Students'!O:O, TRIM('CBK Students'!B:B) = TRIM(A1725)),
  """"
)"),"#REF!")</f>
        <v>#REF!</v>
      </c>
      <c r="AA1725" s="4" t="str">
        <f>IFERROR(__xludf.DUMMYFUNCTION("IFERROR(
  FILTER('CBK Students'!P:P, TRIM('CBK Students'!B:B) = TRIM(A1725)),
  """"
)"),"#REF!")</f>
        <v>#REF!</v>
      </c>
      <c r="AB1725" s="4" t="str">
        <f>IFERROR(__xludf.DUMMYFUNCTION("IFERROR(
  FILTER('CBK Students'!Q:Q, TRIM('CBK Students'!B:B) = TRIM(A1725)),
  """"
)"),"#REF!")</f>
        <v>#REF!</v>
      </c>
    </row>
    <row r="1726" ht="18.75" customHeight="1">
      <c r="T1726" s="4"/>
      <c r="U1726" s="4"/>
      <c r="V1726" s="4">
        <f>IFERROR(__xludf.DUMMYFUNCTION("""COMPUTED_VALUE"""),6590.0)</f>
        <v>6590</v>
      </c>
      <c r="W1726" s="240" t="str">
        <f t="shared" si="1"/>
        <v/>
      </c>
      <c r="X1726" s="4" t="str">
        <f>IFERROR(__xludf.DUMMYFUNCTION("""COMPUTED_VALUE"""),"Prepare for Showcase")</f>
        <v>Prepare for Showcase</v>
      </c>
      <c r="Y1726" s="4" t="str">
        <f t="shared" si="2"/>
        <v/>
      </c>
      <c r="Z1726" s="4" t="str">
        <f>IFERROR(__xludf.DUMMYFUNCTION("IFERROR(
  FILTER('CBK Students'!O:O, TRIM('CBK Students'!B:B) = TRIM(A1726)),
  """"
)"),"#REF!")</f>
        <v>#REF!</v>
      </c>
      <c r="AA1726" s="4" t="str">
        <f>IFERROR(__xludf.DUMMYFUNCTION("IFERROR(
  FILTER('CBK Students'!P:P, TRIM('CBK Students'!B:B) = TRIM(A1726)),
  """"
)"),"#REF!")</f>
        <v>#REF!</v>
      </c>
      <c r="AB1726" s="4" t="str">
        <f>IFERROR(__xludf.DUMMYFUNCTION("IFERROR(
  FILTER('CBK Students'!Q:Q, TRIM('CBK Students'!B:B) = TRIM(A1726)),
  """"
)"),"#REF!")</f>
        <v>#REF!</v>
      </c>
    </row>
    <row r="1727" ht="18.75" customHeight="1">
      <c r="T1727" s="4"/>
      <c r="U1727" s="4"/>
      <c r="V1727" s="4">
        <f>IFERROR(__xludf.DUMMYFUNCTION("""COMPUTED_VALUE"""),6590.0)</f>
        <v>6590</v>
      </c>
      <c r="W1727" s="240" t="str">
        <f t="shared" si="1"/>
        <v/>
      </c>
      <c r="X1727" s="4" t="str">
        <f>IFERROR(__xludf.DUMMYFUNCTION("""COMPUTED_VALUE"""),"Prepare for Showcase")</f>
        <v>Prepare for Showcase</v>
      </c>
      <c r="Y1727" s="4" t="str">
        <f t="shared" si="2"/>
        <v/>
      </c>
      <c r="Z1727" s="4" t="str">
        <f>IFERROR(__xludf.DUMMYFUNCTION("IFERROR(
  FILTER('CBK Students'!O:O, TRIM('CBK Students'!B:B) = TRIM(A1727)),
  """"
)"),"#REF!")</f>
        <v>#REF!</v>
      </c>
      <c r="AA1727" s="4" t="str">
        <f>IFERROR(__xludf.DUMMYFUNCTION("IFERROR(
  FILTER('CBK Students'!P:P, TRIM('CBK Students'!B:B) = TRIM(A1727)),
  """"
)"),"#REF!")</f>
        <v>#REF!</v>
      </c>
      <c r="AB1727" s="4" t="str">
        <f>IFERROR(__xludf.DUMMYFUNCTION("IFERROR(
  FILTER('CBK Students'!Q:Q, TRIM('CBK Students'!B:B) = TRIM(A1727)),
  """"
)"),"#REF!")</f>
        <v>#REF!</v>
      </c>
    </row>
    <row r="1728" ht="18.75" customHeight="1">
      <c r="T1728" s="4"/>
      <c r="U1728" s="4"/>
      <c r="V1728" s="4">
        <f>IFERROR(__xludf.DUMMYFUNCTION("""COMPUTED_VALUE"""),6590.0)</f>
        <v>6590</v>
      </c>
      <c r="W1728" s="240" t="str">
        <f t="shared" si="1"/>
        <v/>
      </c>
      <c r="X1728" s="4" t="str">
        <f>IFERROR(__xludf.DUMMYFUNCTION("""COMPUTED_VALUE"""),"Prepare for Showcase")</f>
        <v>Prepare for Showcase</v>
      </c>
      <c r="Y1728" s="4" t="str">
        <f t="shared" si="2"/>
        <v/>
      </c>
      <c r="Z1728" s="4" t="str">
        <f>IFERROR(__xludf.DUMMYFUNCTION("IFERROR(
  FILTER('CBK Students'!O:O, TRIM('CBK Students'!B:B) = TRIM(A1728)),
  """"
)"),"#REF!")</f>
        <v>#REF!</v>
      </c>
      <c r="AA1728" s="4" t="str">
        <f>IFERROR(__xludf.DUMMYFUNCTION("IFERROR(
  FILTER('CBK Students'!P:P, TRIM('CBK Students'!B:B) = TRIM(A1728)),
  """"
)"),"#REF!")</f>
        <v>#REF!</v>
      </c>
      <c r="AB1728" s="4" t="str">
        <f>IFERROR(__xludf.DUMMYFUNCTION("IFERROR(
  FILTER('CBK Students'!Q:Q, TRIM('CBK Students'!B:B) = TRIM(A1728)),
  """"
)"),"#REF!")</f>
        <v>#REF!</v>
      </c>
    </row>
    <row r="1729" ht="18.75" customHeight="1">
      <c r="T1729" s="4"/>
      <c r="U1729" s="4"/>
      <c r="V1729" s="4">
        <f>IFERROR(__xludf.DUMMYFUNCTION("""COMPUTED_VALUE"""),6590.0)</f>
        <v>6590</v>
      </c>
      <c r="W1729" s="240" t="str">
        <f t="shared" si="1"/>
        <v/>
      </c>
      <c r="X1729" s="4" t="str">
        <f>IFERROR(__xludf.DUMMYFUNCTION("""COMPUTED_VALUE"""),"Prepare for Showcase")</f>
        <v>Prepare for Showcase</v>
      </c>
      <c r="Y1729" s="4" t="str">
        <f t="shared" si="2"/>
        <v/>
      </c>
      <c r="Z1729" s="4" t="str">
        <f>IFERROR(__xludf.DUMMYFUNCTION("IFERROR(
  FILTER('CBK Students'!O:O, TRIM('CBK Students'!B:B) = TRIM(A1729)),
  """"
)"),"#REF!")</f>
        <v>#REF!</v>
      </c>
      <c r="AA1729" s="4" t="str">
        <f>IFERROR(__xludf.DUMMYFUNCTION("IFERROR(
  FILTER('CBK Students'!P:P, TRIM('CBK Students'!B:B) = TRIM(A1729)),
  """"
)"),"#REF!")</f>
        <v>#REF!</v>
      </c>
      <c r="AB1729" s="4" t="str">
        <f>IFERROR(__xludf.DUMMYFUNCTION("IFERROR(
  FILTER('CBK Students'!Q:Q, TRIM('CBK Students'!B:B) = TRIM(A1729)),
  """"
)"),"#REF!")</f>
        <v>#REF!</v>
      </c>
    </row>
    <row r="1730" ht="18.75" customHeight="1">
      <c r="T1730" s="4"/>
      <c r="U1730" s="4"/>
      <c r="V1730" s="4">
        <f>IFERROR(__xludf.DUMMYFUNCTION("""COMPUTED_VALUE"""),6590.0)</f>
        <v>6590</v>
      </c>
      <c r="W1730" s="240" t="str">
        <f t="shared" si="1"/>
        <v/>
      </c>
      <c r="X1730" s="4" t="str">
        <f>IFERROR(__xludf.DUMMYFUNCTION("""COMPUTED_VALUE"""),"Prepare for Showcase")</f>
        <v>Prepare for Showcase</v>
      </c>
      <c r="Y1730" s="4" t="str">
        <f t="shared" si="2"/>
        <v/>
      </c>
      <c r="Z1730" s="4" t="str">
        <f>IFERROR(__xludf.DUMMYFUNCTION("IFERROR(
  FILTER('CBK Students'!O:O, TRIM('CBK Students'!B:B) = TRIM(A1730)),
  """"
)"),"#REF!")</f>
        <v>#REF!</v>
      </c>
      <c r="AA1730" s="4" t="str">
        <f>IFERROR(__xludf.DUMMYFUNCTION("IFERROR(
  FILTER('CBK Students'!P:P, TRIM('CBK Students'!B:B) = TRIM(A1730)),
  """"
)"),"#REF!")</f>
        <v>#REF!</v>
      </c>
      <c r="AB1730" s="4" t="str">
        <f>IFERROR(__xludf.DUMMYFUNCTION("IFERROR(
  FILTER('CBK Students'!Q:Q, TRIM('CBK Students'!B:B) = TRIM(A1730)),
  """"
)"),"#REF!")</f>
        <v>#REF!</v>
      </c>
    </row>
    <row r="1731" ht="18.75" customHeight="1">
      <c r="T1731" s="4"/>
      <c r="U1731" s="4"/>
      <c r="V1731" s="4">
        <f>IFERROR(__xludf.DUMMYFUNCTION("""COMPUTED_VALUE"""),6590.0)</f>
        <v>6590</v>
      </c>
      <c r="W1731" s="240" t="str">
        <f t="shared" si="1"/>
        <v/>
      </c>
      <c r="X1731" s="4" t="str">
        <f>IFERROR(__xludf.DUMMYFUNCTION("""COMPUTED_VALUE"""),"Prepare for Showcase")</f>
        <v>Prepare for Showcase</v>
      </c>
      <c r="Y1731" s="4" t="str">
        <f t="shared" si="2"/>
        <v/>
      </c>
      <c r="Z1731" s="4" t="str">
        <f>IFERROR(__xludf.DUMMYFUNCTION("IFERROR(
  FILTER('CBK Students'!O:O, TRIM('CBK Students'!B:B) = TRIM(A1731)),
  """"
)"),"#REF!")</f>
        <v>#REF!</v>
      </c>
      <c r="AA1731" s="4" t="str">
        <f>IFERROR(__xludf.DUMMYFUNCTION("IFERROR(
  FILTER('CBK Students'!P:P, TRIM('CBK Students'!B:B) = TRIM(A1731)),
  """"
)"),"#REF!")</f>
        <v>#REF!</v>
      </c>
      <c r="AB1731" s="4" t="str">
        <f>IFERROR(__xludf.DUMMYFUNCTION("IFERROR(
  FILTER('CBK Students'!Q:Q, TRIM('CBK Students'!B:B) = TRIM(A1731)),
  """"
)"),"#REF!")</f>
        <v>#REF!</v>
      </c>
    </row>
    <row r="1732" ht="18.75" customHeight="1">
      <c r="T1732" s="4"/>
      <c r="U1732" s="4"/>
      <c r="V1732" s="4">
        <f>IFERROR(__xludf.DUMMYFUNCTION("""COMPUTED_VALUE"""),6590.0)</f>
        <v>6590</v>
      </c>
      <c r="W1732" s="240" t="str">
        <f t="shared" si="1"/>
        <v/>
      </c>
      <c r="X1732" s="4" t="str">
        <f>IFERROR(__xludf.DUMMYFUNCTION("""COMPUTED_VALUE"""),"Prepare for Showcase")</f>
        <v>Prepare for Showcase</v>
      </c>
      <c r="Y1732" s="4" t="str">
        <f t="shared" si="2"/>
        <v/>
      </c>
      <c r="Z1732" s="4" t="str">
        <f>IFERROR(__xludf.DUMMYFUNCTION("IFERROR(
  FILTER('CBK Students'!O:O, TRIM('CBK Students'!B:B) = TRIM(A1732)),
  """"
)"),"#REF!")</f>
        <v>#REF!</v>
      </c>
      <c r="AA1732" s="4" t="str">
        <f>IFERROR(__xludf.DUMMYFUNCTION("IFERROR(
  FILTER('CBK Students'!P:P, TRIM('CBK Students'!B:B) = TRIM(A1732)),
  """"
)"),"#REF!")</f>
        <v>#REF!</v>
      </c>
      <c r="AB1732" s="4" t="str">
        <f>IFERROR(__xludf.DUMMYFUNCTION("IFERROR(
  FILTER('CBK Students'!Q:Q, TRIM('CBK Students'!B:B) = TRIM(A1732)),
  """"
)"),"#REF!")</f>
        <v>#REF!</v>
      </c>
    </row>
    <row r="1733" ht="18.75" customHeight="1">
      <c r="T1733" s="4"/>
      <c r="U1733" s="4"/>
      <c r="V1733" s="4">
        <f>IFERROR(__xludf.DUMMYFUNCTION("""COMPUTED_VALUE"""),6590.0)</f>
        <v>6590</v>
      </c>
      <c r="W1733" s="240" t="str">
        <f t="shared" si="1"/>
        <v/>
      </c>
      <c r="X1733" s="4" t="str">
        <f>IFERROR(__xludf.DUMMYFUNCTION("""COMPUTED_VALUE"""),"Prepare for Showcase")</f>
        <v>Prepare for Showcase</v>
      </c>
      <c r="Y1733" s="4" t="str">
        <f t="shared" si="2"/>
        <v/>
      </c>
      <c r="Z1733" s="4" t="str">
        <f>IFERROR(__xludf.DUMMYFUNCTION("IFERROR(
  FILTER('CBK Students'!O:O, TRIM('CBK Students'!B:B) = TRIM(A1733)),
  """"
)"),"#REF!")</f>
        <v>#REF!</v>
      </c>
      <c r="AA1733" s="4" t="str">
        <f>IFERROR(__xludf.DUMMYFUNCTION("IFERROR(
  FILTER('CBK Students'!P:P, TRIM('CBK Students'!B:B) = TRIM(A1733)),
  """"
)"),"#REF!")</f>
        <v>#REF!</v>
      </c>
      <c r="AB1733" s="4" t="str">
        <f>IFERROR(__xludf.DUMMYFUNCTION("IFERROR(
  FILTER('CBK Students'!Q:Q, TRIM('CBK Students'!B:B) = TRIM(A1733)),
  """"
)"),"#REF!")</f>
        <v>#REF!</v>
      </c>
    </row>
    <row r="1734" ht="18.75" customHeight="1">
      <c r="T1734" s="4"/>
      <c r="U1734" s="4"/>
      <c r="V1734" s="4">
        <f>IFERROR(__xludf.DUMMYFUNCTION("""COMPUTED_VALUE"""),6590.0)</f>
        <v>6590</v>
      </c>
      <c r="W1734" s="240" t="str">
        <f t="shared" si="1"/>
        <v/>
      </c>
      <c r="X1734" s="4" t="str">
        <f>IFERROR(__xludf.DUMMYFUNCTION("""COMPUTED_VALUE"""),"Prepare for Showcase")</f>
        <v>Prepare for Showcase</v>
      </c>
      <c r="Y1734" s="4" t="str">
        <f t="shared" si="2"/>
        <v/>
      </c>
      <c r="Z1734" s="4" t="str">
        <f>IFERROR(__xludf.DUMMYFUNCTION("IFERROR(
  FILTER('CBK Students'!O:O, TRIM('CBK Students'!B:B) = TRIM(A1734)),
  """"
)"),"#REF!")</f>
        <v>#REF!</v>
      </c>
      <c r="AA1734" s="4" t="str">
        <f>IFERROR(__xludf.DUMMYFUNCTION("IFERROR(
  FILTER('CBK Students'!P:P, TRIM('CBK Students'!B:B) = TRIM(A1734)),
  """"
)"),"#REF!")</f>
        <v>#REF!</v>
      </c>
      <c r="AB1734" s="4" t="str">
        <f>IFERROR(__xludf.DUMMYFUNCTION("IFERROR(
  FILTER('CBK Students'!Q:Q, TRIM('CBK Students'!B:B) = TRIM(A1734)),
  """"
)"),"#REF!")</f>
        <v>#REF!</v>
      </c>
    </row>
    <row r="1735" ht="18.75" customHeight="1">
      <c r="T1735" s="4"/>
      <c r="U1735" s="4"/>
      <c r="V1735" s="4">
        <f>IFERROR(__xludf.DUMMYFUNCTION("""COMPUTED_VALUE"""),6590.0)</f>
        <v>6590</v>
      </c>
      <c r="W1735" s="240" t="str">
        <f t="shared" si="1"/>
        <v/>
      </c>
      <c r="X1735" s="4" t="str">
        <f>IFERROR(__xludf.DUMMYFUNCTION("""COMPUTED_VALUE"""),"Prepare for Showcase")</f>
        <v>Prepare for Showcase</v>
      </c>
      <c r="Y1735" s="4" t="str">
        <f t="shared" si="2"/>
        <v/>
      </c>
      <c r="Z1735" s="4" t="str">
        <f>IFERROR(__xludf.DUMMYFUNCTION("IFERROR(
  FILTER('CBK Students'!O:O, TRIM('CBK Students'!B:B) = TRIM(A1735)),
  """"
)"),"#REF!")</f>
        <v>#REF!</v>
      </c>
      <c r="AA1735" s="4" t="str">
        <f>IFERROR(__xludf.DUMMYFUNCTION("IFERROR(
  FILTER('CBK Students'!P:P, TRIM('CBK Students'!B:B) = TRIM(A1735)),
  """"
)"),"#REF!")</f>
        <v>#REF!</v>
      </c>
      <c r="AB1735" s="4" t="str">
        <f>IFERROR(__xludf.DUMMYFUNCTION("IFERROR(
  FILTER('CBK Students'!Q:Q, TRIM('CBK Students'!B:B) = TRIM(A1735)),
  """"
)"),"#REF!")</f>
        <v>#REF!</v>
      </c>
    </row>
    <row r="1736" ht="18.75" customHeight="1">
      <c r="T1736" s="4"/>
      <c r="U1736" s="4"/>
      <c r="V1736" s="4">
        <f>IFERROR(__xludf.DUMMYFUNCTION("""COMPUTED_VALUE"""),6590.0)</f>
        <v>6590</v>
      </c>
      <c r="W1736" s="240" t="str">
        <f t="shared" si="1"/>
        <v/>
      </c>
      <c r="X1736" s="4" t="str">
        <f>IFERROR(__xludf.DUMMYFUNCTION("""COMPUTED_VALUE"""),"Prepare for Showcase")</f>
        <v>Prepare for Showcase</v>
      </c>
      <c r="Y1736" s="4" t="str">
        <f t="shared" si="2"/>
        <v/>
      </c>
      <c r="Z1736" s="4" t="str">
        <f>IFERROR(__xludf.DUMMYFUNCTION("IFERROR(
  FILTER('CBK Students'!O:O, TRIM('CBK Students'!B:B) = TRIM(A1736)),
  """"
)"),"#REF!")</f>
        <v>#REF!</v>
      </c>
      <c r="AA1736" s="4" t="str">
        <f>IFERROR(__xludf.DUMMYFUNCTION("IFERROR(
  FILTER('CBK Students'!P:P, TRIM('CBK Students'!B:B) = TRIM(A1736)),
  """"
)"),"#REF!")</f>
        <v>#REF!</v>
      </c>
      <c r="AB1736" s="4" t="str">
        <f>IFERROR(__xludf.DUMMYFUNCTION("IFERROR(
  FILTER('CBK Students'!Q:Q, TRIM('CBK Students'!B:B) = TRIM(A1736)),
  """"
)"),"#REF!")</f>
        <v>#REF!</v>
      </c>
    </row>
    <row r="1737" ht="18.75" customHeight="1">
      <c r="T1737" s="4"/>
      <c r="U1737" s="4"/>
      <c r="V1737" s="4">
        <f>IFERROR(__xludf.DUMMYFUNCTION("""COMPUTED_VALUE"""),6590.0)</f>
        <v>6590</v>
      </c>
      <c r="W1737" s="240" t="str">
        <f t="shared" si="1"/>
        <v/>
      </c>
      <c r="X1737" s="4" t="str">
        <f>IFERROR(__xludf.DUMMYFUNCTION("""COMPUTED_VALUE"""),"Prepare for Showcase")</f>
        <v>Prepare for Showcase</v>
      </c>
      <c r="Y1737" s="4" t="str">
        <f t="shared" si="2"/>
        <v/>
      </c>
      <c r="Z1737" s="4" t="str">
        <f>IFERROR(__xludf.DUMMYFUNCTION("IFERROR(
  FILTER('CBK Students'!O:O, TRIM('CBK Students'!B:B) = TRIM(A1737)),
  """"
)"),"#REF!")</f>
        <v>#REF!</v>
      </c>
      <c r="AA1737" s="4" t="str">
        <f>IFERROR(__xludf.DUMMYFUNCTION("IFERROR(
  FILTER('CBK Students'!P:P, TRIM('CBK Students'!B:B) = TRIM(A1737)),
  """"
)"),"#REF!")</f>
        <v>#REF!</v>
      </c>
      <c r="AB1737" s="4" t="str">
        <f>IFERROR(__xludf.DUMMYFUNCTION("IFERROR(
  FILTER('CBK Students'!Q:Q, TRIM('CBK Students'!B:B) = TRIM(A1737)),
  """"
)"),"#REF!")</f>
        <v>#REF!</v>
      </c>
    </row>
    <row r="1738" ht="18.75" customHeight="1">
      <c r="T1738" s="4"/>
      <c r="U1738" s="4"/>
      <c r="V1738" s="4">
        <f>IFERROR(__xludf.DUMMYFUNCTION("""COMPUTED_VALUE"""),6590.0)</f>
        <v>6590</v>
      </c>
      <c r="W1738" s="240" t="str">
        <f t="shared" si="1"/>
        <v/>
      </c>
      <c r="X1738" s="4" t="str">
        <f>IFERROR(__xludf.DUMMYFUNCTION("""COMPUTED_VALUE"""),"Prepare for Showcase")</f>
        <v>Prepare for Showcase</v>
      </c>
      <c r="Y1738" s="4" t="str">
        <f t="shared" si="2"/>
        <v/>
      </c>
      <c r="Z1738" s="4" t="str">
        <f>IFERROR(__xludf.DUMMYFUNCTION("IFERROR(
  FILTER('CBK Students'!O:O, TRIM('CBK Students'!B:B) = TRIM(A1738)),
  """"
)"),"#REF!")</f>
        <v>#REF!</v>
      </c>
      <c r="AA1738" s="4" t="str">
        <f>IFERROR(__xludf.DUMMYFUNCTION("IFERROR(
  FILTER('CBK Students'!P:P, TRIM('CBK Students'!B:B) = TRIM(A1738)),
  """"
)"),"#REF!")</f>
        <v>#REF!</v>
      </c>
      <c r="AB1738" s="4" t="str">
        <f>IFERROR(__xludf.DUMMYFUNCTION("IFERROR(
  FILTER('CBK Students'!Q:Q, TRIM('CBK Students'!B:B) = TRIM(A1738)),
  """"
)"),"#REF!")</f>
        <v>#REF!</v>
      </c>
    </row>
    <row r="1739" ht="18.75" customHeight="1">
      <c r="T1739" s="4"/>
      <c r="U1739" s="4"/>
      <c r="V1739" s="4">
        <f>IFERROR(__xludf.DUMMYFUNCTION("""COMPUTED_VALUE"""),6590.0)</f>
        <v>6590</v>
      </c>
      <c r="W1739" s="240" t="str">
        <f t="shared" si="1"/>
        <v/>
      </c>
      <c r="X1739" s="4" t="str">
        <f>IFERROR(__xludf.DUMMYFUNCTION("""COMPUTED_VALUE"""),"Prepare for Showcase")</f>
        <v>Prepare for Showcase</v>
      </c>
      <c r="Y1739" s="4" t="str">
        <f t="shared" si="2"/>
        <v/>
      </c>
      <c r="Z1739" s="4" t="str">
        <f>IFERROR(__xludf.DUMMYFUNCTION("IFERROR(
  FILTER('CBK Students'!O:O, TRIM('CBK Students'!B:B) = TRIM(A1739)),
  """"
)"),"#REF!")</f>
        <v>#REF!</v>
      </c>
      <c r="AA1739" s="4" t="str">
        <f>IFERROR(__xludf.DUMMYFUNCTION("IFERROR(
  FILTER('CBK Students'!P:P, TRIM('CBK Students'!B:B) = TRIM(A1739)),
  """"
)"),"#REF!")</f>
        <v>#REF!</v>
      </c>
      <c r="AB1739" s="4" t="str">
        <f>IFERROR(__xludf.DUMMYFUNCTION("IFERROR(
  FILTER('CBK Students'!Q:Q, TRIM('CBK Students'!B:B) = TRIM(A1739)),
  """"
)"),"#REF!")</f>
        <v>#REF!</v>
      </c>
    </row>
    <row r="1740" ht="18.75" customHeight="1">
      <c r="T1740" s="4"/>
      <c r="U1740" s="4"/>
      <c r="V1740" s="4">
        <f>IFERROR(__xludf.DUMMYFUNCTION("""COMPUTED_VALUE"""),6590.0)</f>
        <v>6590</v>
      </c>
      <c r="W1740" s="240" t="str">
        <f t="shared" si="1"/>
        <v/>
      </c>
      <c r="X1740" s="4" t="str">
        <f>IFERROR(__xludf.DUMMYFUNCTION("""COMPUTED_VALUE"""),"Prepare for Showcase")</f>
        <v>Prepare for Showcase</v>
      </c>
      <c r="Y1740" s="4" t="str">
        <f t="shared" si="2"/>
        <v/>
      </c>
      <c r="Z1740" s="4" t="str">
        <f>IFERROR(__xludf.DUMMYFUNCTION("IFERROR(
  FILTER('CBK Students'!O:O, TRIM('CBK Students'!B:B) = TRIM(A1740)),
  """"
)"),"#REF!")</f>
        <v>#REF!</v>
      </c>
      <c r="AA1740" s="4" t="str">
        <f>IFERROR(__xludf.DUMMYFUNCTION("IFERROR(
  FILTER('CBK Students'!P:P, TRIM('CBK Students'!B:B) = TRIM(A1740)),
  """"
)"),"#REF!")</f>
        <v>#REF!</v>
      </c>
      <c r="AB1740" s="4" t="str">
        <f>IFERROR(__xludf.DUMMYFUNCTION("IFERROR(
  FILTER('CBK Students'!Q:Q, TRIM('CBK Students'!B:B) = TRIM(A1740)),
  """"
)"),"#REF!")</f>
        <v>#REF!</v>
      </c>
    </row>
    <row r="1741" ht="18.75" customHeight="1">
      <c r="T1741" s="4"/>
      <c r="U1741" s="4"/>
      <c r="V1741" s="4">
        <f>IFERROR(__xludf.DUMMYFUNCTION("""COMPUTED_VALUE"""),6590.0)</f>
        <v>6590</v>
      </c>
      <c r="W1741" s="240" t="str">
        <f t="shared" si="1"/>
        <v/>
      </c>
      <c r="X1741" s="4" t="str">
        <f>IFERROR(__xludf.DUMMYFUNCTION("""COMPUTED_VALUE"""),"Prepare for Showcase")</f>
        <v>Prepare for Showcase</v>
      </c>
      <c r="Y1741" s="4" t="str">
        <f t="shared" si="2"/>
        <v/>
      </c>
      <c r="Z1741" s="4" t="str">
        <f>IFERROR(__xludf.DUMMYFUNCTION("IFERROR(
  FILTER('CBK Students'!O:O, TRIM('CBK Students'!B:B) = TRIM(A1741)),
  """"
)"),"#REF!")</f>
        <v>#REF!</v>
      </c>
      <c r="AA1741" s="4" t="str">
        <f>IFERROR(__xludf.DUMMYFUNCTION("IFERROR(
  FILTER('CBK Students'!P:P, TRIM('CBK Students'!B:B) = TRIM(A1741)),
  """"
)"),"#REF!")</f>
        <v>#REF!</v>
      </c>
      <c r="AB1741" s="4" t="str">
        <f>IFERROR(__xludf.DUMMYFUNCTION("IFERROR(
  FILTER('CBK Students'!Q:Q, TRIM('CBK Students'!B:B) = TRIM(A1741)),
  """"
)"),"#REF!")</f>
        <v>#REF!</v>
      </c>
    </row>
    <row r="1742" ht="18.75" customHeight="1">
      <c r="T1742" s="4"/>
      <c r="U1742" s="4"/>
      <c r="V1742" s="4">
        <f>IFERROR(__xludf.DUMMYFUNCTION("""COMPUTED_VALUE"""),6590.0)</f>
        <v>6590</v>
      </c>
      <c r="W1742" s="240" t="str">
        <f t="shared" si="1"/>
        <v/>
      </c>
      <c r="X1742" s="4" t="str">
        <f>IFERROR(__xludf.DUMMYFUNCTION("""COMPUTED_VALUE"""),"Prepare for Showcase")</f>
        <v>Prepare for Showcase</v>
      </c>
      <c r="Y1742" s="4" t="str">
        <f t="shared" si="2"/>
        <v/>
      </c>
      <c r="Z1742" s="4" t="str">
        <f>IFERROR(__xludf.DUMMYFUNCTION("IFERROR(
  FILTER('CBK Students'!O:O, TRIM('CBK Students'!B:B) = TRIM(A1742)),
  """"
)"),"#REF!")</f>
        <v>#REF!</v>
      </c>
      <c r="AA1742" s="4" t="str">
        <f>IFERROR(__xludf.DUMMYFUNCTION("IFERROR(
  FILTER('CBK Students'!P:P, TRIM('CBK Students'!B:B) = TRIM(A1742)),
  """"
)"),"#REF!")</f>
        <v>#REF!</v>
      </c>
      <c r="AB1742" s="4" t="str">
        <f>IFERROR(__xludf.DUMMYFUNCTION("IFERROR(
  FILTER('CBK Students'!Q:Q, TRIM('CBK Students'!B:B) = TRIM(A1742)),
  """"
)"),"#REF!")</f>
        <v>#REF!</v>
      </c>
    </row>
    <row r="1743" ht="18.75" customHeight="1">
      <c r="T1743" s="4"/>
      <c r="U1743" s="4"/>
      <c r="V1743" s="4">
        <f>IFERROR(__xludf.DUMMYFUNCTION("""COMPUTED_VALUE"""),6590.0)</f>
        <v>6590</v>
      </c>
      <c r="W1743" s="240" t="str">
        <f t="shared" si="1"/>
        <v/>
      </c>
      <c r="X1743" s="4" t="str">
        <f>IFERROR(__xludf.DUMMYFUNCTION("""COMPUTED_VALUE"""),"Prepare for Showcase")</f>
        <v>Prepare for Showcase</v>
      </c>
      <c r="Y1743" s="4" t="str">
        <f t="shared" si="2"/>
        <v/>
      </c>
      <c r="Z1743" s="4" t="str">
        <f>IFERROR(__xludf.DUMMYFUNCTION("IFERROR(
  FILTER('CBK Students'!O:O, TRIM('CBK Students'!B:B) = TRIM(A1743)),
  """"
)"),"#REF!")</f>
        <v>#REF!</v>
      </c>
      <c r="AA1743" s="4" t="str">
        <f>IFERROR(__xludf.DUMMYFUNCTION("IFERROR(
  FILTER('CBK Students'!P:P, TRIM('CBK Students'!B:B) = TRIM(A1743)),
  """"
)"),"#REF!")</f>
        <v>#REF!</v>
      </c>
      <c r="AB1743" s="4" t="str">
        <f>IFERROR(__xludf.DUMMYFUNCTION("IFERROR(
  FILTER('CBK Students'!Q:Q, TRIM('CBK Students'!B:B) = TRIM(A1743)),
  """"
)"),"#REF!")</f>
        <v>#REF!</v>
      </c>
    </row>
    <row r="1744" ht="18.75" customHeight="1">
      <c r="T1744" s="4"/>
      <c r="U1744" s="4"/>
      <c r="V1744" s="4">
        <f>IFERROR(__xludf.DUMMYFUNCTION("""COMPUTED_VALUE"""),6590.0)</f>
        <v>6590</v>
      </c>
      <c r="W1744" s="240" t="str">
        <f t="shared" si="1"/>
        <v/>
      </c>
      <c r="X1744" s="4" t="str">
        <f>IFERROR(__xludf.DUMMYFUNCTION("""COMPUTED_VALUE"""),"Prepare for Showcase")</f>
        <v>Prepare for Showcase</v>
      </c>
      <c r="Y1744" s="4" t="str">
        <f t="shared" si="2"/>
        <v/>
      </c>
      <c r="Z1744" s="4" t="str">
        <f>IFERROR(__xludf.DUMMYFUNCTION("IFERROR(
  FILTER('CBK Students'!O:O, TRIM('CBK Students'!B:B) = TRIM(A1744)),
  """"
)"),"#REF!")</f>
        <v>#REF!</v>
      </c>
      <c r="AA1744" s="4" t="str">
        <f>IFERROR(__xludf.DUMMYFUNCTION("IFERROR(
  FILTER('CBK Students'!P:P, TRIM('CBK Students'!B:B) = TRIM(A1744)),
  """"
)"),"#REF!")</f>
        <v>#REF!</v>
      </c>
      <c r="AB1744" s="4" t="str">
        <f>IFERROR(__xludf.DUMMYFUNCTION("IFERROR(
  FILTER('CBK Students'!Q:Q, TRIM('CBK Students'!B:B) = TRIM(A1744)),
  """"
)"),"#REF!")</f>
        <v>#REF!</v>
      </c>
    </row>
    <row r="1745" ht="18.75" customHeight="1">
      <c r="T1745" s="4"/>
      <c r="U1745" s="4"/>
      <c r="V1745" s="4">
        <f>IFERROR(__xludf.DUMMYFUNCTION("""COMPUTED_VALUE"""),6590.0)</f>
        <v>6590</v>
      </c>
      <c r="W1745" s="240" t="str">
        <f t="shared" si="1"/>
        <v/>
      </c>
      <c r="X1745" s="4" t="str">
        <f>IFERROR(__xludf.DUMMYFUNCTION("""COMPUTED_VALUE"""),"Prepare for Showcase")</f>
        <v>Prepare for Showcase</v>
      </c>
      <c r="Y1745" s="4" t="str">
        <f t="shared" si="2"/>
        <v/>
      </c>
      <c r="Z1745" s="4" t="str">
        <f>IFERROR(__xludf.DUMMYFUNCTION("IFERROR(
  FILTER('CBK Students'!O:O, TRIM('CBK Students'!B:B) = TRIM(A1745)),
  """"
)"),"#REF!")</f>
        <v>#REF!</v>
      </c>
      <c r="AA1745" s="4" t="str">
        <f>IFERROR(__xludf.DUMMYFUNCTION("IFERROR(
  FILTER('CBK Students'!P:P, TRIM('CBK Students'!B:B) = TRIM(A1745)),
  """"
)"),"#REF!")</f>
        <v>#REF!</v>
      </c>
      <c r="AB1745" s="4" t="str">
        <f>IFERROR(__xludf.DUMMYFUNCTION("IFERROR(
  FILTER('CBK Students'!Q:Q, TRIM('CBK Students'!B:B) = TRIM(A1745)),
  """"
)"),"#REF!")</f>
        <v>#REF!</v>
      </c>
    </row>
    <row r="1746" ht="18.75" customHeight="1">
      <c r="T1746" s="4"/>
      <c r="U1746" s="4"/>
      <c r="V1746" s="4">
        <f>IFERROR(__xludf.DUMMYFUNCTION("""COMPUTED_VALUE"""),6590.0)</f>
        <v>6590</v>
      </c>
      <c r="W1746" s="240" t="str">
        <f t="shared" si="1"/>
        <v/>
      </c>
      <c r="X1746" s="4" t="str">
        <f>IFERROR(__xludf.DUMMYFUNCTION("""COMPUTED_VALUE"""),"Prepare for Showcase")</f>
        <v>Prepare for Showcase</v>
      </c>
      <c r="Y1746" s="4" t="str">
        <f t="shared" si="2"/>
        <v/>
      </c>
      <c r="Z1746" s="4" t="str">
        <f>IFERROR(__xludf.DUMMYFUNCTION("IFERROR(
  FILTER('CBK Students'!O:O, TRIM('CBK Students'!B:B) = TRIM(A1746)),
  """"
)"),"#REF!")</f>
        <v>#REF!</v>
      </c>
      <c r="AA1746" s="4" t="str">
        <f>IFERROR(__xludf.DUMMYFUNCTION("IFERROR(
  FILTER('CBK Students'!P:P, TRIM('CBK Students'!B:B) = TRIM(A1746)),
  """"
)"),"#REF!")</f>
        <v>#REF!</v>
      </c>
      <c r="AB1746" s="4" t="str">
        <f>IFERROR(__xludf.DUMMYFUNCTION("IFERROR(
  FILTER('CBK Students'!Q:Q, TRIM('CBK Students'!B:B) = TRIM(A1746)),
  """"
)"),"#REF!")</f>
        <v>#REF!</v>
      </c>
    </row>
    <row r="1747" ht="18.75" customHeight="1">
      <c r="T1747" s="4"/>
      <c r="U1747" s="4"/>
      <c r="V1747" s="4">
        <f>IFERROR(__xludf.DUMMYFUNCTION("""COMPUTED_VALUE"""),6590.0)</f>
        <v>6590</v>
      </c>
      <c r="W1747" s="240" t="str">
        <f t="shared" si="1"/>
        <v/>
      </c>
      <c r="X1747" s="4" t="str">
        <f>IFERROR(__xludf.DUMMYFUNCTION("""COMPUTED_VALUE"""),"Prepare for Showcase")</f>
        <v>Prepare for Showcase</v>
      </c>
      <c r="Y1747" s="4" t="str">
        <f t="shared" si="2"/>
        <v/>
      </c>
      <c r="Z1747" s="4" t="str">
        <f>IFERROR(__xludf.DUMMYFUNCTION("IFERROR(
  FILTER('CBK Students'!O:O, TRIM('CBK Students'!B:B) = TRIM(A1747)),
  """"
)"),"#REF!")</f>
        <v>#REF!</v>
      </c>
      <c r="AA1747" s="4" t="str">
        <f>IFERROR(__xludf.DUMMYFUNCTION("IFERROR(
  FILTER('CBK Students'!P:P, TRIM('CBK Students'!B:B) = TRIM(A1747)),
  """"
)"),"#REF!")</f>
        <v>#REF!</v>
      </c>
      <c r="AB1747" s="4" t="str">
        <f>IFERROR(__xludf.DUMMYFUNCTION("IFERROR(
  FILTER('CBK Students'!Q:Q, TRIM('CBK Students'!B:B) = TRIM(A1747)),
  """"
)"),"#REF!")</f>
        <v>#REF!</v>
      </c>
    </row>
    <row r="1748" ht="18.75" customHeight="1">
      <c r="T1748" s="4"/>
      <c r="U1748" s="4"/>
      <c r="V1748" s="4">
        <f>IFERROR(__xludf.DUMMYFUNCTION("""COMPUTED_VALUE"""),6590.0)</f>
        <v>6590</v>
      </c>
      <c r="W1748" s="240" t="str">
        <f t="shared" si="1"/>
        <v/>
      </c>
      <c r="X1748" s="4" t="str">
        <f>IFERROR(__xludf.DUMMYFUNCTION("""COMPUTED_VALUE"""),"Prepare for Showcase")</f>
        <v>Prepare for Showcase</v>
      </c>
      <c r="Y1748" s="4" t="str">
        <f t="shared" si="2"/>
        <v/>
      </c>
      <c r="Z1748" s="4" t="str">
        <f>IFERROR(__xludf.DUMMYFUNCTION("IFERROR(
  FILTER('CBK Students'!O:O, TRIM('CBK Students'!B:B) = TRIM(A1748)),
  """"
)"),"#REF!")</f>
        <v>#REF!</v>
      </c>
      <c r="AA1748" s="4" t="str">
        <f>IFERROR(__xludf.DUMMYFUNCTION("IFERROR(
  FILTER('CBK Students'!P:P, TRIM('CBK Students'!B:B) = TRIM(A1748)),
  """"
)"),"#REF!")</f>
        <v>#REF!</v>
      </c>
      <c r="AB1748" s="4" t="str">
        <f>IFERROR(__xludf.DUMMYFUNCTION("IFERROR(
  FILTER('CBK Students'!Q:Q, TRIM('CBK Students'!B:B) = TRIM(A1748)),
  """"
)"),"#REF!")</f>
        <v>#REF!</v>
      </c>
    </row>
    <row r="1749" ht="18.75" customHeight="1">
      <c r="T1749" s="4"/>
      <c r="U1749" s="4"/>
      <c r="V1749" s="4">
        <f>IFERROR(__xludf.DUMMYFUNCTION("""COMPUTED_VALUE"""),6590.0)</f>
        <v>6590</v>
      </c>
      <c r="W1749" s="240" t="str">
        <f t="shared" si="1"/>
        <v/>
      </c>
      <c r="X1749" s="4" t="str">
        <f>IFERROR(__xludf.DUMMYFUNCTION("""COMPUTED_VALUE"""),"Prepare for Showcase")</f>
        <v>Prepare for Showcase</v>
      </c>
      <c r="Y1749" s="4" t="str">
        <f t="shared" si="2"/>
        <v/>
      </c>
      <c r="Z1749" s="4" t="str">
        <f>IFERROR(__xludf.DUMMYFUNCTION("IFERROR(
  FILTER('CBK Students'!O:O, TRIM('CBK Students'!B:B) = TRIM(A1749)),
  """"
)"),"#REF!")</f>
        <v>#REF!</v>
      </c>
      <c r="AA1749" s="4" t="str">
        <f>IFERROR(__xludf.DUMMYFUNCTION("IFERROR(
  FILTER('CBK Students'!P:P, TRIM('CBK Students'!B:B) = TRIM(A1749)),
  """"
)"),"#REF!")</f>
        <v>#REF!</v>
      </c>
      <c r="AB1749" s="4" t="str">
        <f>IFERROR(__xludf.DUMMYFUNCTION("IFERROR(
  FILTER('CBK Students'!Q:Q, TRIM('CBK Students'!B:B) = TRIM(A1749)),
  """"
)"),"#REF!")</f>
        <v>#REF!</v>
      </c>
    </row>
    <row r="1750" ht="18.75" customHeight="1">
      <c r="T1750" s="4"/>
      <c r="U1750" s="4"/>
      <c r="V1750" s="4">
        <f>IFERROR(__xludf.DUMMYFUNCTION("""COMPUTED_VALUE"""),6590.0)</f>
        <v>6590</v>
      </c>
      <c r="W1750" s="240" t="str">
        <f t="shared" si="1"/>
        <v/>
      </c>
      <c r="X1750" s="4" t="str">
        <f>IFERROR(__xludf.DUMMYFUNCTION("""COMPUTED_VALUE"""),"Prepare for Showcase")</f>
        <v>Prepare for Showcase</v>
      </c>
      <c r="Y1750" s="4" t="str">
        <f t="shared" si="2"/>
        <v/>
      </c>
      <c r="Z1750" s="4" t="str">
        <f>IFERROR(__xludf.DUMMYFUNCTION("IFERROR(
  FILTER('CBK Students'!O:O, TRIM('CBK Students'!B:B) = TRIM(A1750)),
  """"
)"),"#REF!")</f>
        <v>#REF!</v>
      </c>
      <c r="AA1750" s="4" t="str">
        <f>IFERROR(__xludf.DUMMYFUNCTION("IFERROR(
  FILTER('CBK Students'!P:P, TRIM('CBK Students'!B:B) = TRIM(A1750)),
  """"
)"),"#REF!")</f>
        <v>#REF!</v>
      </c>
      <c r="AB1750" s="4" t="str">
        <f>IFERROR(__xludf.DUMMYFUNCTION("IFERROR(
  FILTER('CBK Students'!Q:Q, TRIM('CBK Students'!B:B) = TRIM(A1750)),
  """"
)"),"#REF!")</f>
        <v>#REF!</v>
      </c>
    </row>
    <row r="1751" ht="18.75" customHeight="1">
      <c r="T1751" s="4"/>
      <c r="U1751" s="4"/>
      <c r="V1751" s="4">
        <f>IFERROR(__xludf.DUMMYFUNCTION("""COMPUTED_VALUE"""),6590.0)</f>
        <v>6590</v>
      </c>
      <c r="W1751" s="240" t="str">
        <f t="shared" si="1"/>
        <v/>
      </c>
      <c r="X1751" s="4" t="str">
        <f>IFERROR(__xludf.DUMMYFUNCTION("""COMPUTED_VALUE"""),"Prepare for Showcase")</f>
        <v>Prepare for Showcase</v>
      </c>
      <c r="Y1751" s="4" t="str">
        <f t="shared" si="2"/>
        <v/>
      </c>
      <c r="Z1751" s="4" t="str">
        <f>IFERROR(__xludf.DUMMYFUNCTION("IFERROR(
  FILTER('CBK Students'!O:O, TRIM('CBK Students'!B:B) = TRIM(A1751)),
  """"
)"),"#REF!")</f>
        <v>#REF!</v>
      </c>
      <c r="AA1751" s="4" t="str">
        <f>IFERROR(__xludf.DUMMYFUNCTION("IFERROR(
  FILTER('CBK Students'!P:P, TRIM('CBK Students'!B:B) = TRIM(A1751)),
  """"
)"),"#REF!")</f>
        <v>#REF!</v>
      </c>
      <c r="AB1751" s="4" t="str">
        <f>IFERROR(__xludf.DUMMYFUNCTION("IFERROR(
  FILTER('CBK Students'!Q:Q, TRIM('CBK Students'!B:B) = TRIM(A1751)),
  """"
)"),"#REF!")</f>
        <v>#REF!</v>
      </c>
    </row>
    <row r="1752" ht="18.75" customHeight="1">
      <c r="T1752" s="4"/>
      <c r="U1752" s="4"/>
      <c r="V1752" s="4">
        <f>IFERROR(__xludf.DUMMYFUNCTION("""COMPUTED_VALUE"""),6590.0)</f>
        <v>6590</v>
      </c>
      <c r="W1752" s="240" t="str">
        <f t="shared" si="1"/>
        <v/>
      </c>
      <c r="X1752" s="4" t="str">
        <f>IFERROR(__xludf.DUMMYFUNCTION("""COMPUTED_VALUE"""),"Prepare for Showcase")</f>
        <v>Prepare for Showcase</v>
      </c>
      <c r="Y1752" s="4" t="str">
        <f t="shared" si="2"/>
        <v/>
      </c>
      <c r="Z1752" s="4" t="str">
        <f>IFERROR(__xludf.DUMMYFUNCTION("IFERROR(
  FILTER('CBK Students'!O:O, TRIM('CBK Students'!B:B) = TRIM(A1752)),
  """"
)"),"#REF!")</f>
        <v>#REF!</v>
      </c>
      <c r="AA1752" s="4" t="str">
        <f>IFERROR(__xludf.DUMMYFUNCTION("IFERROR(
  FILTER('CBK Students'!P:P, TRIM('CBK Students'!B:B) = TRIM(A1752)),
  """"
)"),"#REF!")</f>
        <v>#REF!</v>
      </c>
      <c r="AB1752" s="4" t="str">
        <f>IFERROR(__xludf.DUMMYFUNCTION("IFERROR(
  FILTER('CBK Students'!Q:Q, TRIM('CBK Students'!B:B) = TRIM(A1752)),
  """"
)"),"#REF!")</f>
        <v>#REF!</v>
      </c>
    </row>
    <row r="1753" ht="18.75" customHeight="1">
      <c r="T1753" s="4"/>
      <c r="U1753" s="4"/>
      <c r="V1753" s="4">
        <f>IFERROR(__xludf.DUMMYFUNCTION("""COMPUTED_VALUE"""),6590.0)</f>
        <v>6590</v>
      </c>
      <c r="W1753" s="240" t="str">
        <f t="shared" si="1"/>
        <v/>
      </c>
      <c r="X1753" s="4" t="str">
        <f>IFERROR(__xludf.DUMMYFUNCTION("""COMPUTED_VALUE"""),"Prepare for Showcase")</f>
        <v>Prepare for Showcase</v>
      </c>
      <c r="Y1753" s="4" t="str">
        <f t="shared" si="2"/>
        <v/>
      </c>
      <c r="Z1753" s="4" t="str">
        <f>IFERROR(__xludf.DUMMYFUNCTION("IFERROR(
  FILTER('CBK Students'!O:O, TRIM('CBK Students'!B:B) = TRIM(A1753)),
  """"
)"),"#REF!")</f>
        <v>#REF!</v>
      </c>
      <c r="AA1753" s="4" t="str">
        <f>IFERROR(__xludf.DUMMYFUNCTION("IFERROR(
  FILTER('CBK Students'!P:P, TRIM('CBK Students'!B:B) = TRIM(A1753)),
  """"
)"),"#REF!")</f>
        <v>#REF!</v>
      </c>
      <c r="AB1753" s="4" t="str">
        <f>IFERROR(__xludf.DUMMYFUNCTION("IFERROR(
  FILTER('CBK Students'!Q:Q, TRIM('CBK Students'!B:B) = TRIM(A1753)),
  """"
)"),"#REF!")</f>
        <v>#REF!</v>
      </c>
    </row>
    <row r="1754" ht="18.75" customHeight="1">
      <c r="T1754" s="4"/>
      <c r="U1754" s="4"/>
      <c r="V1754" s="4">
        <f>IFERROR(__xludf.DUMMYFUNCTION("""COMPUTED_VALUE"""),6590.0)</f>
        <v>6590</v>
      </c>
      <c r="W1754" s="240" t="str">
        <f t="shared" si="1"/>
        <v/>
      </c>
      <c r="X1754" s="4" t="str">
        <f>IFERROR(__xludf.DUMMYFUNCTION("""COMPUTED_VALUE"""),"Prepare for Showcase")</f>
        <v>Prepare for Showcase</v>
      </c>
      <c r="Y1754" s="4" t="str">
        <f t="shared" si="2"/>
        <v/>
      </c>
      <c r="Z1754" s="4" t="str">
        <f>IFERROR(__xludf.DUMMYFUNCTION("IFERROR(
  FILTER('CBK Students'!O:O, TRIM('CBK Students'!B:B) = TRIM(A1754)),
  """"
)"),"#REF!")</f>
        <v>#REF!</v>
      </c>
      <c r="AA1754" s="4" t="str">
        <f>IFERROR(__xludf.DUMMYFUNCTION("IFERROR(
  FILTER('CBK Students'!P:P, TRIM('CBK Students'!B:B) = TRIM(A1754)),
  """"
)"),"#REF!")</f>
        <v>#REF!</v>
      </c>
      <c r="AB1754" s="4" t="str">
        <f>IFERROR(__xludf.DUMMYFUNCTION("IFERROR(
  FILTER('CBK Students'!Q:Q, TRIM('CBK Students'!B:B) = TRIM(A1754)),
  """"
)"),"#REF!")</f>
        <v>#REF!</v>
      </c>
    </row>
    <row r="1755" ht="18.75" customHeight="1">
      <c r="T1755" s="4"/>
      <c r="U1755" s="4"/>
      <c r="V1755" s="4">
        <f>IFERROR(__xludf.DUMMYFUNCTION("""COMPUTED_VALUE"""),6590.0)</f>
        <v>6590</v>
      </c>
      <c r="W1755" s="240" t="str">
        <f t="shared" si="1"/>
        <v/>
      </c>
      <c r="X1755" s="4" t="str">
        <f>IFERROR(__xludf.DUMMYFUNCTION("""COMPUTED_VALUE"""),"Prepare for Showcase")</f>
        <v>Prepare for Showcase</v>
      </c>
      <c r="Y1755" s="4" t="str">
        <f t="shared" si="2"/>
        <v/>
      </c>
      <c r="Z1755" s="4" t="str">
        <f>IFERROR(__xludf.DUMMYFUNCTION("IFERROR(
  FILTER('CBK Students'!O:O, TRIM('CBK Students'!B:B) = TRIM(A1755)),
  """"
)"),"#REF!")</f>
        <v>#REF!</v>
      </c>
      <c r="AA1755" s="4" t="str">
        <f>IFERROR(__xludf.DUMMYFUNCTION("IFERROR(
  FILTER('CBK Students'!P:P, TRIM('CBK Students'!B:B) = TRIM(A1755)),
  """"
)"),"#REF!")</f>
        <v>#REF!</v>
      </c>
      <c r="AB1755" s="4" t="str">
        <f>IFERROR(__xludf.DUMMYFUNCTION("IFERROR(
  FILTER('CBK Students'!Q:Q, TRIM('CBK Students'!B:B) = TRIM(A1755)),
  """"
)"),"#REF!")</f>
        <v>#REF!</v>
      </c>
    </row>
    <row r="1756" ht="18.75" customHeight="1">
      <c r="T1756" s="4"/>
      <c r="U1756" s="4"/>
      <c r="V1756" s="4">
        <f>IFERROR(__xludf.DUMMYFUNCTION("""COMPUTED_VALUE"""),6590.0)</f>
        <v>6590</v>
      </c>
      <c r="W1756" s="240" t="str">
        <f t="shared" si="1"/>
        <v/>
      </c>
      <c r="X1756" s="4" t="str">
        <f>IFERROR(__xludf.DUMMYFUNCTION("""COMPUTED_VALUE"""),"Prepare for Showcase")</f>
        <v>Prepare for Showcase</v>
      </c>
      <c r="Y1756" s="4" t="str">
        <f t="shared" si="2"/>
        <v/>
      </c>
      <c r="Z1756" s="4" t="str">
        <f>IFERROR(__xludf.DUMMYFUNCTION("IFERROR(
  FILTER('CBK Students'!O:O, TRIM('CBK Students'!B:B) = TRIM(A1756)),
  """"
)"),"#REF!")</f>
        <v>#REF!</v>
      </c>
      <c r="AA1756" s="4" t="str">
        <f>IFERROR(__xludf.DUMMYFUNCTION("IFERROR(
  FILTER('CBK Students'!P:P, TRIM('CBK Students'!B:B) = TRIM(A1756)),
  """"
)"),"#REF!")</f>
        <v>#REF!</v>
      </c>
      <c r="AB1756" s="4" t="str">
        <f>IFERROR(__xludf.DUMMYFUNCTION("IFERROR(
  FILTER('CBK Students'!Q:Q, TRIM('CBK Students'!B:B) = TRIM(A1756)),
  """"
)"),"#REF!")</f>
        <v>#REF!</v>
      </c>
    </row>
    <row r="1757" ht="18.75" customHeight="1">
      <c r="T1757" s="4"/>
      <c r="U1757" s="4"/>
      <c r="V1757" s="4">
        <f>IFERROR(__xludf.DUMMYFUNCTION("""COMPUTED_VALUE"""),6590.0)</f>
        <v>6590</v>
      </c>
      <c r="W1757" s="240" t="str">
        <f t="shared" si="1"/>
        <v/>
      </c>
      <c r="X1757" s="4" t="str">
        <f>IFERROR(__xludf.DUMMYFUNCTION("""COMPUTED_VALUE"""),"Prepare for Showcase")</f>
        <v>Prepare for Showcase</v>
      </c>
      <c r="Y1757" s="4" t="str">
        <f t="shared" si="2"/>
        <v/>
      </c>
      <c r="Z1757" s="4" t="str">
        <f>IFERROR(__xludf.DUMMYFUNCTION("IFERROR(
  FILTER('CBK Students'!O:O, TRIM('CBK Students'!B:B) = TRIM(A1757)),
  """"
)"),"#REF!")</f>
        <v>#REF!</v>
      </c>
      <c r="AA1757" s="4" t="str">
        <f>IFERROR(__xludf.DUMMYFUNCTION("IFERROR(
  FILTER('CBK Students'!P:P, TRIM('CBK Students'!B:B) = TRIM(A1757)),
  """"
)"),"#REF!")</f>
        <v>#REF!</v>
      </c>
      <c r="AB1757" s="4" t="str">
        <f>IFERROR(__xludf.DUMMYFUNCTION("IFERROR(
  FILTER('CBK Students'!Q:Q, TRIM('CBK Students'!B:B) = TRIM(A1757)),
  """"
)"),"#REF!")</f>
        <v>#REF!</v>
      </c>
    </row>
    <row r="1758" ht="18.75" customHeight="1">
      <c r="T1758" s="4"/>
      <c r="U1758" s="4"/>
      <c r="V1758" s="4">
        <f>IFERROR(__xludf.DUMMYFUNCTION("""COMPUTED_VALUE"""),6590.0)</f>
        <v>6590</v>
      </c>
      <c r="W1758" s="240" t="str">
        <f t="shared" si="1"/>
        <v/>
      </c>
      <c r="X1758" s="4" t="str">
        <f>IFERROR(__xludf.DUMMYFUNCTION("""COMPUTED_VALUE"""),"Prepare for Showcase")</f>
        <v>Prepare for Showcase</v>
      </c>
      <c r="Y1758" s="4" t="str">
        <f t="shared" si="2"/>
        <v/>
      </c>
      <c r="Z1758" s="4" t="str">
        <f>IFERROR(__xludf.DUMMYFUNCTION("IFERROR(
  FILTER('CBK Students'!O:O, TRIM('CBK Students'!B:B) = TRIM(A1758)),
  """"
)"),"#REF!")</f>
        <v>#REF!</v>
      </c>
      <c r="AA1758" s="4" t="str">
        <f>IFERROR(__xludf.DUMMYFUNCTION("IFERROR(
  FILTER('CBK Students'!P:P, TRIM('CBK Students'!B:B) = TRIM(A1758)),
  """"
)"),"#REF!")</f>
        <v>#REF!</v>
      </c>
      <c r="AB1758" s="4" t="str">
        <f>IFERROR(__xludf.DUMMYFUNCTION("IFERROR(
  FILTER('CBK Students'!Q:Q, TRIM('CBK Students'!B:B) = TRIM(A1758)),
  """"
)"),"#REF!")</f>
        <v>#REF!</v>
      </c>
    </row>
    <row r="1759" ht="18.75" customHeight="1">
      <c r="T1759" s="4"/>
      <c r="U1759" s="4"/>
      <c r="V1759" s="4">
        <f>IFERROR(__xludf.DUMMYFUNCTION("""COMPUTED_VALUE"""),6590.0)</f>
        <v>6590</v>
      </c>
      <c r="W1759" s="240" t="str">
        <f t="shared" si="1"/>
        <v/>
      </c>
      <c r="X1759" s="4" t="str">
        <f>IFERROR(__xludf.DUMMYFUNCTION("""COMPUTED_VALUE"""),"Prepare for Showcase")</f>
        <v>Prepare for Showcase</v>
      </c>
      <c r="Y1759" s="4" t="str">
        <f t="shared" si="2"/>
        <v/>
      </c>
      <c r="Z1759" s="4" t="str">
        <f>IFERROR(__xludf.DUMMYFUNCTION("IFERROR(
  FILTER('CBK Students'!O:O, TRIM('CBK Students'!B:B) = TRIM(A1759)),
  """"
)"),"#REF!")</f>
        <v>#REF!</v>
      </c>
      <c r="AA1759" s="4" t="str">
        <f>IFERROR(__xludf.DUMMYFUNCTION("IFERROR(
  FILTER('CBK Students'!P:P, TRIM('CBK Students'!B:B) = TRIM(A1759)),
  """"
)"),"#REF!")</f>
        <v>#REF!</v>
      </c>
      <c r="AB1759" s="4" t="str">
        <f>IFERROR(__xludf.DUMMYFUNCTION("IFERROR(
  FILTER('CBK Students'!Q:Q, TRIM('CBK Students'!B:B) = TRIM(A1759)),
  """"
)"),"#REF!")</f>
        <v>#REF!</v>
      </c>
    </row>
    <row r="1760" ht="18.75" customHeight="1">
      <c r="T1760" s="4"/>
      <c r="U1760" s="4"/>
      <c r="V1760" s="4">
        <f>IFERROR(__xludf.DUMMYFUNCTION("""COMPUTED_VALUE"""),6590.0)</f>
        <v>6590</v>
      </c>
      <c r="W1760" s="240" t="str">
        <f t="shared" si="1"/>
        <v/>
      </c>
      <c r="X1760" s="4" t="str">
        <f>IFERROR(__xludf.DUMMYFUNCTION("""COMPUTED_VALUE"""),"Prepare for Showcase")</f>
        <v>Prepare for Showcase</v>
      </c>
      <c r="Y1760" s="4" t="str">
        <f t="shared" si="2"/>
        <v/>
      </c>
      <c r="Z1760" s="4" t="str">
        <f>IFERROR(__xludf.DUMMYFUNCTION("IFERROR(
  FILTER('CBK Students'!O:O, TRIM('CBK Students'!B:B) = TRIM(A1760)),
  """"
)"),"#REF!")</f>
        <v>#REF!</v>
      </c>
      <c r="AA1760" s="4" t="str">
        <f>IFERROR(__xludf.DUMMYFUNCTION("IFERROR(
  FILTER('CBK Students'!P:P, TRIM('CBK Students'!B:B) = TRIM(A1760)),
  """"
)"),"#REF!")</f>
        <v>#REF!</v>
      </c>
      <c r="AB1760" s="4" t="str">
        <f>IFERROR(__xludf.DUMMYFUNCTION("IFERROR(
  FILTER('CBK Students'!Q:Q, TRIM('CBK Students'!B:B) = TRIM(A1760)),
  """"
)"),"#REF!")</f>
        <v>#REF!</v>
      </c>
    </row>
    <row r="1761" ht="18.75" customHeight="1">
      <c r="T1761" s="4"/>
      <c r="U1761" s="4"/>
      <c r="V1761" s="4">
        <f>IFERROR(__xludf.DUMMYFUNCTION("""COMPUTED_VALUE"""),6590.0)</f>
        <v>6590</v>
      </c>
      <c r="W1761" s="240" t="str">
        <f t="shared" si="1"/>
        <v/>
      </c>
      <c r="X1761" s="4" t="str">
        <f>IFERROR(__xludf.DUMMYFUNCTION("""COMPUTED_VALUE"""),"Prepare for Showcase")</f>
        <v>Prepare for Showcase</v>
      </c>
      <c r="Y1761" s="4" t="str">
        <f t="shared" si="2"/>
        <v/>
      </c>
      <c r="Z1761" s="4" t="str">
        <f>IFERROR(__xludf.DUMMYFUNCTION("IFERROR(
  FILTER('CBK Students'!O:O, TRIM('CBK Students'!B:B) = TRIM(A1761)),
  """"
)"),"#REF!")</f>
        <v>#REF!</v>
      </c>
      <c r="AA1761" s="4" t="str">
        <f>IFERROR(__xludf.DUMMYFUNCTION("IFERROR(
  FILTER('CBK Students'!P:P, TRIM('CBK Students'!B:B) = TRIM(A1761)),
  """"
)"),"#REF!")</f>
        <v>#REF!</v>
      </c>
      <c r="AB1761" s="4" t="str">
        <f>IFERROR(__xludf.DUMMYFUNCTION("IFERROR(
  FILTER('CBK Students'!Q:Q, TRIM('CBK Students'!B:B) = TRIM(A1761)),
  """"
)"),"#REF!")</f>
        <v>#REF!</v>
      </c>
    </row>
    <row r="1762" ht="18.75" customHeight="1">
      <c r="T1762" s="4"/>
      <c r="U1762" s="4"/>
      <c r="V1762" s="4">
        <f>IFERROR(__xludf.DUMMYFUNCTION("""COMPUTED_VALUE"""),6590.0)</f>
        <v>6590</v>
      </c>
      <c r="W1762" s="240" t="str">
        <f t="shared" si="1"/>
        <v/>
      </c>
      <c r="X1762" s="4" t="str">
        <f>IFERROR(__xludf.DUMMYFUNCTION("""COMPUTED_VALUE"""),"Prepare for Showcase")</f>
        <v>Prepare for Showcase</v>
      </c>
      <c r="Y1762" s="4" t="str">
        <f t="shared" si="2"/>
        <v/>
      </c>
      <c r="Z1762" s="4" t="str">
        <f>IFERROR(__xludf.DUMMYFUNCTION("IFERROR(
  FILTER('CBK Students'!O:O, TRIM('CBK Students'!B:B) = TRIM(A1762)),
  """"
)"),"#REF!")</f>
        <v>#REF!</v>
      </c>
      <c r="AA1762" s="4" t="str">
        <f>IFERROR(__xludf.DUMMYFUNCTION("IFERROR(
  FILTER('CBK Students'!P:P, TRIM('CBK Students'!B:B) = TRIM(A1762)),
  """"
)"),"#REF!")</f>
        <v>#REF!</v>
      </c>
      <c r="AB1762" s="4" t="str">
        <f>IFERROR(__xludf.DUMMYFUNCTION("IFERROR(
  FILTER('CBK Students'!Q:Q, TRIM('CBK Students'!B:B) = TRIM(A1762)),
  """"
)"),"#REF!")</f>
        <v>#REF!</v>
      </c>
    </row>
    <row r="1763" ht="18.75" customHeight="1">
      <c r="T1763" s="4"/>
      <c r="U1763" s="4"/>
      <c r="V1763" s="4">
        <f>IFERROR(__xludf.DUMMYFUNCTION("""COMPUTED_VALUE"""),6590.0)</f>
        <v>6590</v>
      </c>
      <c r="W1763" s="240" t="str">
        <f t="shared" si="1"/>
        <v/>
      </c>
      <c r="X1763" s="4" t="str">
        <f>IFERROR(__xludf.DUMMYFUNCTION("""COMPUTED_VALUE"""),"Prepare for Showcase")</f>
        <v>Prepare for Showcase</v>
      </c>
      <c r="Y1763" s="4" t="str">
        <f t="shared" si="2"/>
        <v/>
      </c>
      <c r="Z1763" s="4" t="str">
        <f>IFERROR(__xludf.DUMMYFUNCTION("IFERROR(
  FILTER('CBK Students'!O:O, TRIM('CBK Students'!B:B) = TRIM(A1763)),
  """"
)"),"#REF!")</f>
        <v>#REF!</v>
      </c>
      <c r="AA1763" s="4" t="str">
        <f>IFERROR(__xludf.DUMMYFUNCTION("IFERROR(
  FILTER('CBK Students'!P:P, TRIM('CBK Students'!B:B) = TRIM(A1763)),
  """"
)"),"#REF!")</f>
        <v>#REF!</v>
      </c>
      <c r="AB1763" s="4" t="str">
        <f>IFERROR(__xludf.DUMMYFUNCTION("IFERROR(
  FILTER('CBK Students'!Q:Q, TRIM('CBK Students'!B:B) = TRIM(A1763)),
  """"
)"),"#REF!")</f>
        <v>#REF!</v>
      </c>
    </row>
    <row r="1764" ht="18.75" customHeight="1">
      <c r="T1764" s="4"/>
      <c r="U1764" s="4"/>
      <c r="V1764" s="4">
        <f>IFERROR(__xludf.DUMMYFUNCTION("""COMPUTED_VALUE"""),6590.0)</f>
        <v>6590</v>
      </c>
      <c r="W1764" s="240" t="str">
        <f t="shared" si="1"/>
        <v/>
      </c>
      <c r="X1764" s="4" t="str">
        <f>IFERROR(__xludf.DUMMYFUNCTION("""COMPUTED_VALUE"""),"Prepare for Showcase")</f>
        <v>Prepare for Showcase</v>
      </c>
      <c r="Y1764" s="4" t="str">
        <f t="shared" si="2"/>
        <v/>
      </c>
      <c r="Z1764" s="4" t="str">
        <f>IFERROR(__xludf.DUMMYFUNCTION("IFERROR(
  FILTER('CBK Students'!O:O, TRIM('CBK Students'!B:B) = TRIM(A1764)),
  """"
)"),"#REF!")</f>
        <v>#REF!</v>
      </c>
      <c r="AA1764" s="4" t="str">
        <f>IFERROR(__xludf.DUMMYFUNCTION("IFERROR(
  FILTER('CBK Students'!P:P, TRIM('CBK Students'!B:B) = TRIM(A1764)),
  """"
)"),"#REF!")</f>
        <v>#REF!</v>
      </c>
      <c r="AB1764" s="4" t="str">
        <f>IFERROR(__xludf.DUMMYFUNCTION("IFERROR(
  FILTER('CBK Students'!Q:Q, TRIM('CBK Students'!B:B) = TRIM(A1764)),
  """"
)"),"#REF!")</f>
        <v>#REF!</v>
      </c>
    </row>
    <row r="1765" ht="18.75" customHeight="1">
      <c r="T1765" s="4"/>
      <c r="U1765" s="4"/>
      <c r="V1765" s="4">
        <f>IFERROR(__xludf.DUMMYFUNCTION("""COMPUTED_VALUE"""),6590.0)</f>
        <v>6590</v>
      </c>
      <c r="W1765" s="240" t="str">
        <f t="shared" si="1"/>
        <v/>
      </c>
      <c r="X1765" s="4" t="str">
        <f>IFERROR(__xludf.DUMMYFUNCTION("""COMPUTED_VALUE"""),"Prepare for Showcase")</f>
        <v>Prepare for Showcase</v>
      </c>
      <c r="Y1765" s="4" t="str">
        <f t="shared" si="2"/>
        <v/>
      </c>
      <c r="Z1765" s="4" t="str">
        <f>IFERROR(__xludf.DUMMYFUNCTION("IFERROR(
  FILTER('CBK Students'!O:O, TRIM('CBK Students'!B:B) = TRIM(A1765)),
  """"
)"),"#REF!")</f>
        <v>#REF!</v>
      </c>
      <c r="AA1765" s="4" t="str">
        <f>IFERROR(__xludf.DUMMYFUNCTION("IFERROR(
  FILTER('CBK Students'!P:P, TRIM('CBK Students'!B:B) = TRIM(A1765)),
  """"
)"),"#REF!")</f>
        <v>#REF!</v>
      </c>
      <c r="AB1765" s="4" t="str">
        <f>IFERROR(__xludf.DUMMYFUNCTION("IFERROR(
  FILTER('CBK Students'!Q:Q, TRIM('CBK Students'!B:B) = TRIM(A1765)),
  """"
)"),"#REF!")</f>
        <v>#REF!</v>
      </c>
    </row>
    <row r="1766" ht="18.75" customHeight="1">
      <c r="T1766" s="4"/>
      <c r="U1766" s="4"/>
      <c r="V1766" s="4">
        <f>IFERROR(__xludf.DUMMYFUNCTION("""COMPUTED_VALUE"""),6590.0)</f>
        <v>6590</v>
      </c>
      <c r="W1766" s="240" t="str">
        <f t="shared" si="1"/>
        <v/>
      </c>
      <c r="X1766" s="4" t="str">
        <f>IFERROR(__xludf.DUMMYFUNCTION("""COMPUTED_VALUE"""),"Prepare for Showcase")</f>
        <v>Prepare for Showcase</v>
      </c>
      <c r="Y1766" s="4" t="str">
        <f t="shared" si="2"/>
        <v/>
      </c>
      <c r="Z1766" s="4" t="str">
        <f>IFERROR(__xludf.DUMMYFUNCTION("IFERROR(
  FILTER('CBK Students'!O:O, TRIM('CBK Students'!B:B) = TRIM(A1766)),
  """"
)"),"#REF!")</f>
        <v>#REF!</v>
      </c>
      <c r="AA1766" s="4" t="str">
        <f>IFERROR(__xludf.DUMMYFUNCTION("IFERROR(
  FILTER('CBK Students'!P:P, TRIM('CBK Students'!B:B) = TRIM(A1766)),
  """"
)"),"#REF!")</f>
        <v>#REF!</v>
      </c>
      <c r="AB1766" s="4" t="str">
        <f>IFERROR(__xludf.DUMMYFUNCTION("IFERROR(
  FILTER('CBK Students'!Q:Q, TRIM('CBK Students'!B:B) = TRIM(A1766)),
  """"
)"),"#REF!")</f>
        <v>#REF!</v>
      </c>
    </row>
    <row r="1767" ht="18.75" customHeight="1">
      <c r="T1767" s="4"/>
      <c r="U1767" s="4"/>
      <c r="V1767" s="4">
        <f>IFERROR(__xludf.DUMMYFUNCTION("""COMPUTED_VALUE"""),6590.0)</f>
        <v>6590</v>
      </c>
      <c r="W1767" s="240" t="str">
        <f t="shared" si="1"/>
        <v/>
      </c>
      <c r="X1767" s="4" t="str">
        <f>IFERROR(__xludf.DUMMYFUNCTION("""COMPUTED_VALUE"""),"Prepare for Showcase")</f>
        <v>Prepare for Showcase</v>
      </c>
      <c r="Y1767" s="4" t="str">
        <f t="shared" si="2"/>
        <v/>
      </c>
      <c r="Z1767" s="4" t="str">
        <f>IFERROR(__xludf.DUMMYFUNCTION("IFERROR(
  FILTER('CBK Students'!O:O, TRIM('CBK Students'!B:B) = TRIM(A1767)),
  """"
)"),"#REF!")</f>
        <v>#REF!</v>
      </c>
      <c r="AA1767" s="4" t="str">
        <f>IFERROR(__xludf.DUMMYFUNCTION("IFERROR(
  FILTER('CBK Students'!P:P, TRIM('CBK Students'!B:B) = TRIM(A1767)),
  """"
)"),"#REF!")</f>
        <v>#REF!</v>
      </c>
      <c r="AB1767" s="4" t="str">
        <f>IFERROR(__xludf.DUMMYFUNCTION("IFERROR(
  FILTER('CBK Students'!Q:Q, TRIM('CBK Students'!B:B) = TRIM(A1767)),
  """"
)"),"#REF!")</f>
        <v>#REF!</v>
      </c>
    </row>
    <row r="1768" ht="18.75" customHeight="1">
      <c r="T1768" s="4"/>
      <c r="U1768" s="4"/>
      <c r="V1768" s="4">
        <f>IFERROR(__xludf.DUMMYFUNCTION("""COMPUTED_VALUE"""),6590.0)</f>
        <v>6590</v>
      </c>
      <c r="W1768" s="240" t="str">
        <f t="shared" si="1"/>
        <v/>
      </c>
      <c r="X1768" s="4" t="str">
        <f>IFERROR(__xludf.DUMMYFUNCTION("""COMPUTED_VALUE"""),"Prepare for Showcase")</f>
        <v>Prepare for Showcase</v>
      </c>
      <c r="Y1768" s="4" t="str">
        <f t="shared" si="2"/>
        <v/>
      </c>
      <c r="Z1768" s="4" t="str">
        <f>IFERROR(__xludf.DUMMYFUNCTION("IFERROR(
  FILTER('CBK Students'!O:O, TRIM('CBK Students'!B:B) = TRIM(A1768)),
  """"
)"),"#REF!")</f>
        <v>#REF!</v>
      </c>
      <c r="AA1768" s="4" t="str">
        <f>IFERROR(__xludf.DUMMYFUNCTION("IFERROR(
  FILTER('CBK Students'!P:P, TRIM('CBK Students'!B:B) = TRIM(A1768)),
  """"
)"),"#REF!")</f>
        <v>#REF!</v>
      </c>
      <c r="AB1768" s="4" t="str">
        <f>IFERROR(__xludf.DUMMYFUNCTION("IFERROR(
  FILTER('CBK Students'!Q:Q, TRIM('CBK Students'!B:B) = TRIM(A1768)),
  """"
)"),"#REF!")</f>
        <v>#REF!</v>
      </c>
    </row>
    <row r="1769" ht="18.75" customHeight="1">
      <c r="T1769" s="4"/>
      <c r="U1769" s="4"/>
      <c r="V1769" s="4">
        <f>IFERROR(__xludf.DUMMYFUNCTION("""COMPUTED_VALUE"""),6590.0)</f>
        <v>6590</v>
      </c>
      <c r="W1769" s="240" t="str">
        <f t="shared" si="1"/>
        <v/>
      </c>
      <c r="X1769" s="4" t="str">
        <f>IFERROR(__xludf.DUMMYFUNCTION("""COMPUTED_VALUE"""),"Prepare for Showcase")</f>
        <v>Prepare for Showcase</v>
      </c>
      <c r="Y1769" s="4" t="str">
        <f t="shared" si="2"/>
        <v/>
      </c>
      <c r="Z1769" s="4" t="str">
        <f>IFERROR(__xludf.DUMMYFUNCTION("IFERROR(
  FILTER('CBK Students'!O:O, TRIM('CBK Students'!B:B) = TRIM(A1769)),
  """"
)"),"#REF!")</f>
        <v>#REF!</v>
      </c>
      <c r="AA1769" s="4" t="str">
        <f>IFERROR(__xludf.DUMMYFUNCTION("IFERROR(
  FILTER('CBK Students'!P:P, TRIM('CBK Students'!B:B) = TRIM(A1769)),
  """"
)"),"#REF!")</f>
        <v>#REF!</v>
      </c>
      <c r="AB1769" s="4" t="str">
        <f>IFERROR(__xludf.DUMMYFUNCTION("IFERROR(
  FILTER('CBK Students'!Q:Q, TRIM('CBK Students'!B:B) = TRIM(A1769)),
  """"
)"),"#REF!")</f>
        <v>#REF!</v>
      </c>
    </row>
    <row r="1770" ht="18.75" customHeight="1">
      <c r="T1770" s="4"/>
      <c r="U1770" s="4"/>
      <c r="V1770" s="4">
        <f>IFERROR(__xludf.DUMMYFUNCTION("""COMPUTED_VALUE"""),6590.0)</f>
        <v>6590</v>
      </c>
      <c r="W1770" s="240" t="str">
        <f t="shared" si="1"/>
        <v/>
      </c>
      <c r="X1770" s="4" t="str">
        <f>IFERROR(__xludf.DUMMYFUNCTION("""COMPUTED_VALUE"""),"Prepare for Showcase")</f>
        <v>Prepare for Showcase</v>
      </c>
      <c r="Y1770" s="4" t="str">
        <f t="shared" si="2"/>
        <v/>
      </c>
      <c r="Z1770" s="4" t="str">
        <f>IFERROR(__xludf.DUMMYFUNCTION("IFERROR(
  FILTER('CBK Students'!O:O, TRIM('CBK Students'!B:B) = TRIM(A1770)),
  """"
)"),"#REF!")</f>
        <v>#REF!</v>
      </c>
      <c r="AA1770" s="4" t="str">
        <f>IFERROR(__xludf.DUMMYFUNCTION("IFERROR(
  FILTER('CBK Students'!P:P, TRIM('CBK Students'!B:B) = TRIM(A1770)),
  """"
)"),"#REF!")</f>
        <v>#REF!</v>
      </c>
      <c r="AB1770" s="4" t="str">
        <f>IFERROR(__xludf.DUMMYFUNCTION("IFERROR(
  FILTER('CBK Students'!Q:Q, TRIM('CBK Students'!B:B) = TRIM(A1770)),
  """"
)"),"#REF!")</f>
        <v>#REF!</v>
      </c>
    </row>
    <row r="1771" ht="18.75" customHeight="1">
      <c r="T1771" s="4"/>
      <c r="U1771" s="4"/>
      <c r="V1771" s="4">
        <f>IFERROR(__xludf.DUMMYFUNCTION("""COMPUTED_VALUE"""),6590.0)</f>
        <v>6590</v>
      </c>
      <c r="W1771" s="240" t="str">
        <f t="shared" si="1"/>
        <v/>
      </c>
      <c r="X1771" s="4" t="str">
        <f>IFERROR(__xludf.DUMMYFUNCTION("""COMPUTED_VALUE"""),"Prepare for Showcase")</f>
        <v>Prepare for Showcase</v>
      </c>
      <c r="Y1771" s="4" t="str">
        <f t="shared" si="2"/>
        <v/>
      </c>
      <c r="Z1771" s="4" t="str">
        <f>IFERROR(__xludf.DUMMYFUNCTION("IFERROR(
  FILTER('CBK Students'!O:O, TRIM('CBK Students'!B:B) = TRIM(A1771)),
  """"
)"),"#REF!")</f>
        <v>#REF!</v>
      </c>
      <c r="AA1771" s="4" t="str">
        <f>IFERROR(__xludf.DUMMYFUNCTION("IFERROR(
  FILTER('CBK Students'!P:P, TRIM('CBK Students'!B:B) = TRIM(A1771)),
  """"
)"),"#REF!")</f>
        <v>#REF!</v>
      </c>
      <c r="AB1771" s="4" t="str">
        <f>IFERROR(__xludf.DUMMYFUNCTION("IFERROR(
  FILTER('CBK Students'!Q:Q, TRIM('CBK Students'!B:B) = TRIM(A1771)),
  """"
)"),"#REF!")</f>
        <v>#REF!</v>
      </c>
    </row>
    <row r="1772" ht="18.75" customHeight="1">
      <c r="T1772" s="4"/>
      <c r="U1772" s="4"/>
      <c r="V1772" s="4">
        <f>IFERROR(__xludf.DUMMYFUNCTION("""COMPUTED_VALUE"""),6590.0)</f>
        <v>6590</v>
      </c>
      <c r="W1772" s="240" t="str">
        <f t="shared" si="1"/>
        <v/>
      </c>
      <c r="X1772" s="4" t="str">
        <f>IFERROR(__xludf.DUMMYFUNCTION("""COMPUTED_VALUE"""),"Prepare for Showcase")</f>
        <v>Prepare for Showcase</v>
      </c>
      <c r="Y1772" s="4" t="str">
        <f t="shared" si="2"/>
        <v/>
      </c>
      <c r="Z1772" s="4" t="str">
        <f>IFERROR(__xludf.DUMMYFUNCTION("IFERROR(
  FILTER('CBK Students'!O:O, TRIM('CBK Students'!B:B) = TRIM(A1772)),
  """"
)"),"#REF!")</f>
        <v>#REF!</v>
      </c>
      <c r="AA1772" s="4" t="str">
        <f>IFERROR(__xludf.DUMMYFUNCTION("IFERROR(
  FILTER('CBK Students'!P:P, TRIM('CBK Students'!B:B) = TRIM(A1772)),
  """"
)"),"#REF!")</f>
        <v>#REF!</v>
      </c>
      <c r="AB1772" s="4" t="str">
        <f>IFERROR(__xludf.DUMMYFUNCTION("IFERROR(
  FILTER('CBK Students'!Q:Q, TRIM('CBK Students'!B:B) = TRIM(A1772)),
  """"
)"),"#REF!")</f>
        <v>#REF!</v>
      </c>
    </row>
    <row r="1773" ht="18.75" customHeight="1">
      <c r="T1773" s="4"/>
      <c r="U1773" s="4"/>
      <c r="V1773" s="4">
        <f>IFERROR(__xludf.DUMMYFUNCTION("""COMPUTED_VALUE"""),6590.0)</f>
        <v>6590</v>
      </c>
      <c r="W1773" s="240" t="str">
        <f t="shared" si="1"/>
        <v/>
      </c>
      <c r="X1773" s="4" t="str">
        <f>IFERROR(__xludf.DUMMYFUNCTION("""COMPUTED_VALUE"""),"Prepare for Showcase")</f>
        <v>Prepare for Showcase</v>
      </c>
      <c r="Y1773" s="4" t="str">
        <f t="shared" si="2"/>
        <v/>
      </c>
      <c r="Z1773" s="4" t="str">
        <f>IFERROR(__xludf.DUMMYFUNCTION("IFERROR(
  FILTER('CBK Students'!O:O, TRIM('CBK Students'!B:B) = TRIM(A1773)),
  """"
)"),"#REF!")</f>
        <v>#REF!</v>
      </c>
      <c r="AA1773" s="4" t="str">
        <f>IFERROR(__xludf.DUMMYFUNCTION("IFERROR(
  FILTER('CBK Students'!P:P, TRIM('CBK Students'!B:B) = TRIM(A1773)),
  """"
)"),"#REF!")</f>
        <v>#REF!</v>
      </c>
      <c r="AB1773" s="4" t="str">
        <f>IFERROR(__xludf.DUMMYFUNCTION("IFERROR(
  FILTER('CBK Students'!Q:Q, TRIM('CBK Students'!B:B) = TRIM(A1773)),
  """"
)"),"#REF!")</f>
        <v>#REF!</v>
      </c>
    </row>
    <row r="1774" ht="18.75" customHeight="1">
      <c r="T1774" s="4"/>
      <c r="U1774" s="4"/>
      <c r="V1774" s="4">
        <f>IFERROR(__xludf.DUMMYFUNCTION("""COMPUTED_VALUE"""),6590.0)</f>
        <v>6590</v>
      </c>
      <c r="W1774" s="240" t="str">
        <f t="shared" si="1"/>
        <v/>
      </c>
      <c r="X1774" s="4" t="str">
        <f>IFERROR(__xludf.DUMMYFUNCTION("""COMPUTED_VALUE"""),"Prepare for Showcase")</f>
        <v>Prepare for Showcase</v>
      </c>
      <c r="Y1774" s="4" t="str">
        <f t="shared" si="2"/>
        <v/>
      </c>
      <c r="Z1774" s="4" t="str">
        <f>IFERROR(__xludf.DUMMYFUNCTION("IFERROR(
  FILTER('CBK Students'!O:O, TRIM('CBK Students'!B:B) = TRIM(A1774)),
  """"
)"),"#REF!")</f>
        <v>#REF!</v>
      </c>
      <c r="AA1774" s="4" t="str">
        <f>IFERROR(__xludf.DUMMYFUNCTION("IFERROR(
  FILTER('CBK Students'!P:P, TRIM('CBK Students'!B:B) = TRIM(A1774)),
  """"
)"),"#REF!")</f>
        <v>#REF!</v>
      </c>
      <c r="AB1774" s="4" t="str">
        <f>IFERROR(__xludf.DUMMYFUNCTION("IFERROR(
  FILTER('CBK Students'!Q:Q, TRIM('CBK Students'!B:B) = TRIM(A1774)),
  """"
)"),"#REF!")</f>
        <v>#REF!</v>
      </c>
    </row>
    <row r="1775" ht="18.75" customHeight="1">
      <c r="T1775" s="4"/>
      <c r="U1775" s="4"/>
      <c r="V1775" s="4">
        <f>IFERROR(__xludf.DUMMYFUNCTION("""COMPUTED_VALUE"""),6590.0)</f>
        <v>6590</v>
      </c>
      <c r="W1775" s="240" t="str">
        <f t="shared" si="1"/>
        <v/>
      </c>
      <c r="X1775" s="4" t="str">
        <f>IFERROR(__xludf.DUMMYFUNCTION("""COMPUTED_VALUE"""),"Prepare for Showcase")</f>
        <v>Prepare for Showcase</v>
      </c>
      <c r="Y1775" s="4" t="str">
        <f t="shared" si="2"/>
        <v/>
      </c>
      <c r="Z1775" s="4" t="str">
        <f>IFERROR(__xludf.DUMMYFUNCTION("IFERROR(
  FILTER('CBK Students'!O:O, TRIM('CBK Students'!B:B) = TRIM(A1775)),
  """"
)"),"#REF!")</f>
        <v>#REF!</v>
      </c>
      <c r="AA1775" s="4" t="str">
        <f>IFERROR(__xludf.DUMMYFUNCTION("IFERROR(
  FILTER('CBK Students'!P:P, TRIM('CBK Students'!B:B) = TRIM(A1775)),
  """"
)"),"#REF!")</f>
        <v>#REF!</v>
      </c>
      <c r="AB1775" s="4" t="str">
        <f>IFERROR(__xludf.DUMMYFUNCTION("IFERROR(
  FILTER('CBK Students'!Q:Q, TRIM('CBK Students'!B:B) = TRIM(A1775)),
  """"
)"),"#REF!")</f>
        <v>#REF!</v>
      </c>
    </row>
    <row r="1776" ht="18.75" customHeight="1">
      <c r="T1776" s="4"/>
      <c r="U1776" s="4"/>
      <c r="V1776" s="4">
        <f>IFERROR(__xludf.DUMMYFUNCTION("""COMPUTED_VALUE"""),6590.0)</f>
        <v>6590</v>
      </c>
      <c r="W1776" s="240" t="str">
        <f t="shared" si="1"/>
        <v/>
      </c>
      <c r="X1776" s="4" t="str">
        <f>IFERROR(__xludf.DUMMYFUNCTION("""COMPUTED_VALUE"""),"Prepare for Showcase")</f>
        <v>Prepare for Showcase</v>
      </c>
      <c r="Y1776" s="4" t="str">
        <f t="shared" si="2"/>
        <v/>
      </c>
      <c r="Z1776" s="4" t="str">
        <f>IFERROR(__xludf.DUMMYFUNCTION("IFERROR(
  FILTER('CBK Students'!O:O, TRIM('CBK Students'!B:B) = TRIM(A1776)),
  """"
)"),"#REF!")</f>
        <v>#REF!</v>
      </c>
      <c r="AA1776" s="4" t="str">
        <f>IFERROR(__xludf.DUMMYFUNCTION("IFERROR(
  FILTER('CBK Students'!P:P, TRIM('CBK Students'!B:B) = TRIM(A1776)),
  """"
)"),"#REF!")</f>
        <v>#REF!</v>
      </c>
      <c r="AB1776" s="4" t="str">
        <f>IFERROR(__xludf.DUMMYFUNCTION("IFERROR(
  FILTER('CBK Students'!Q:Q, TRIM('CBK Students'!B:B) = TRIM(A1776)),
  """"
)"),"#REF!")</f>
        <v>#REF!</v>
      </c>
    </row>
    <row r="1777" ht="18.75" customHeight="1">
      <c r="T1777" s="4"/>
      <c r="U1777" s="4"/>
      <c r="V1777" s="4">
        <f>IFERROR(__xludf.DUMMYFUNCTION("""COMPUTED_VALUE"""),6590.0)</f>
        <v>6590</v>
      </c>
      <c r="W1777" s="240" t="str">
        <f t="shared" si="1"/>
        <v/>
      </c>
      <c r="X1777" s="4" t="str">
        <f>IFERROR(__xludf.DUMMYFUNCTION("""COMPUTED_VALUE"""),"Prepare for Showcase")</f>
        <v>Prepare for Showcase</v>
      </c>
      <c r="Y1777" s="4" t="str">
        <f t="shared" si="2"/>
        <v/>
      </c>
      <c r="Z1777" s="4" t="str">
        <f>IFERROR(__xludf.DUMMYFUNCTION("IFERROR(
  FILTER('CBK Students'!O:O, TRIM('CBK Students'!B:B) = TRIM(A1777)),
  """"
)"),"#REF!")</f>
        <v>#REF!</v>
      </c>
      <c r="AA1777" s="4" t="str">
        <f>IFERROR(__xludf.DUMMYFUNCTION("IFERROR(
  FILTER('CBK Students'!P:P, TRIM('CBK Students'!B:B) = TRIM(A1777)),
  """"
)"),"#REF!")</f>
        <v>#REF!</v>
      </c>
      <c r="AB1777" s="4" t="str">
        <f>IFERROR(__xludf.DUMMYFUNCTION("IFERROR(
  FILTER('CBK Students'!Q:Q, TRIM('CBK Students'!B:B) = TRIM(A1777)),
  """"
)"),"#REF!")</f>
        <v>#REF!</v>
      </c>
    </row>
    <row r="1778" ht="18.75" customHeight="1">
      <c r="T1778" s="4"/>
      <c r="U1778" s="4"/>
      <c r="V1778" s="4">
        <f>IFERROR(__xludf.DUMMYFUNCTION("""COMPUTED_VALUE"""),6590.0)</f>
        <v>6590</v>
      </c>
      <c r="W1778" s="240" t="str">
        <f t="shared" si="1"/>
        <v/>
      </c>
      <c r="X1778" s="4" t="str">
        <f>IFERROR(__xludf.DUMMYFUNCTION("""COMPUTED_VALUE"""),"Prepare for Showcase")</f>
        <v>Prepare for Showcase</v>
      </c>
      <c r="Y1778" s="4" t="str">
        <f t="shared" si="2"/>
        <v/>
      </c>
      <c r="Z1778" s="4" t="str">
        <f>IFERROR(__xludf.DUMMYFUNCTION("IFERROR(
  FILTER('CBK Students'!O:O, TRIM('CBK Students'!B:B) = TRIM(A1778)),
  """"
)"),"#REF!")</f>
        <v>#REF!</v>
      </c>
      <c r="AA1778" s="4" t="str">
        <f>IFERROR(__xludf.DUMMYFUNCTION("IFERROR(
  FILTER('CBK Students'!P:P, TRIM('CBK Students'!B:B) = TRIM(A1778)),
  """"
)"),"#REF!")</f>
        <v>#REF!</v>
      </c>
      <c r="AB1778" s="4" t="str">
        <f>IFERROR(__xludf.DUMMYFUNCTION("IFERROR(
  FILTER('CBK Students'!Q:Q, TRIM('CBK Students'!B:B) = TRIM(A1778)),
  """"
)"),"#REF!")</f>
        <v>#REF!</v>
      </c>
    </row>
    <row r="1779" ht="18.75" customHeight="1">
      <c r="T1779" s="4"/>
      <c r="U1779" s="4"/>
      <c r="V1779" s="4">
        <f>IFERROR(__xludf.DUMMYFUNCTION("""COMPUTED_VALUE"""),6590.0)</f>
        <v>6590</v>
      </c>
      <c r="W1779" s="240" t="str">
        <f t="shared" si="1"/>
        <v/>
      </c>
      <c r="X1779" s="4" t="str">
        <f>IFERROR(__xludf.DUMMYFUNCTION("""COMPUTED_VALUE"""),"Prepare for Showcase")</f>
        <v>Prepare for Showcase</v>
      </c>
      <c r="Y1779" s="4" t="str">
        <f t="shared" si="2"/>
        <v/>
      </c>
      <c r="Z1779" s="4" t="str">
        <f>IFERROR(__xludf.DUMMYFUNCTION("IFERROR(
  FILTER('CBK Students'!O:O, TRIM('CBK Students'!B:B) = TRIM(A1779)),
  """"
)"),"#REF!")</f>
        <v>#REF!</v>
      </c>
      <c r="AA1779" s="4" t="str">
        <f>IFERROR(__xludf.DUMMYFUNCTION("IFERROR(
  FILTER('CBK Students'!P:P, TRIM('CBK Students'!B:B) = TRIM(A1779)),
  """"
)"),"#REF!")</f>
        <v>#REF!</v>
      </c>
      <c r="AB1779" s="4" t="str">
        <f>IFERROR(__xludf.DUMMYFUNCTION("IFERROR(
  FILTER('CBK Students'!Q:Q, TRIM('CBK Students'!B:B) = TRIM(A1779)),
  """"
)"),"#REF!")</f>
        <v>#REF!</v>
      </c>
    </row>
    <row r="1780" ht="18.75" customHeight="1">
      <c r="T1780" s="4"/>
      <c r="U1780" s="4"/>
      <c r="V1780" s="4">
        <f>IFERROR(__xludf.DUMMYFUNCTION("""COMPUTED_VALUE"""),6590.0)</f>
        <v>6590</v>
      </c>
      <c r="W1780" s="240" t="str">
        <f t="shared" si="1"/>
        <v/>
      </c>
      <c r="X1780" s="4" t="str">
        <f>IFERROR(__xludf.DUMMYFUNCTION("""COMPUTED_VALUE"""),"Prepare for Showcase")</f>
        <v>Prepare for Showcase</v>
      </c>
      <c r="Y1780" s="4" t="str">
        <f t="shared" si="2"/>
        <v/>
      </c>
      <c r="Z1780" s="4" t="str">
        <f>IFERROR(__xludf.DUMMYFUNCTION("IFERROR(
  FILTER('CBK Students'!O:O, TRIM('CBK Students'!B:B) = TRIM(A1780)),
  """"
)"),"#REF!")</f>
        <v>#REF!</v>
      </c>
      <c r="AA1780" s="4" t="str">
        <f>IFERROR(__xludf.DUMMYFUNCTION("IFERROR(
  FILTER('CBK Students'!P:P, TRIM('CBK Students'!B:B) = TRIM(A1780)),
  """"
)"),"#REF!")</f>
        <v>#REF!</v>
      </c>
      <c r="AB1780" s="4" t="str">
        <f>IFERROR(__xludf.DUMMYFUNCTION("IFERROR(
  FILTER('CBK Students'!Q:Q, TRIM('CBK Students'!B:B) = TRIM(A1780)),
  """"
)"),"#REF!")</f>
        <v>#REF!</v>
      </c>
    </row>
    <row r="1781" ht="18.75" customHeight="1">
      <c r="T1781" s="4"/>
      <c r="U1781" s="4"/>
      <c r="V1781" s="4">
        <f>IFERROR(__xludf.DUMMYFUNCTION("""COMPUTED_VALUE"""),6590.0)</f>
        <v>6590</v>
      </c>
      <c r="W1781" s="240" t="str">
        <f t="shared" si="1"/>
        <v/>
      </c>
      <c r="X1781" s="4" t="str">
        <f>IFERROR(__xludf.DUMMYFUNCTION("""COMPUTED_VALUE"""),"Prepare for Showcase")</f>
        <v>Prepare for Showcase</v>
      </c>
      <c r="Y1781" s="4" t="str">
        <f t="shared" si="2"/>
        <v/>
      </c>
      <c r="Z1781" s="4" t="str">
        <f>IFERROR(__xludf.DUMMYFUNCTION("IFERROR(
  FILTER('CBK Students'!O:O, TRIM('CBK Students'!B:B) = TRIM(A1781)),
  """"
)"),"#REF!")</f>
        <v>#REF!</v>
      </c>
      <c r="AA1781" s="4" t="str">
        <f>IFERROR(__xludf.DUMMYFUNCTION("IFERROR(
  FILTER('CBK Students'!P:P, TRIM('CBK Students'!B:B) = TRIM(A1781)),
  """"
)"),"#REF!")</f>
        <v>#REF!</v>
      </c>
      <c r="AB1781" s="4" t="str">
        <f>IFERROR(__xludf.DUMMYFUNCTION("IFERROR(
  FILTER('CBK Students'!Q:Q, TRIM('CBK Students'!B:B) = TRIM(A1781)),
  """"
)"),"#REF!")</f>
        <v>#REF!</v>
      </c>
    </row>
    <row r="1782" ht="18.75" customHeight="1">
      <c r="T1782" s="4"/>
      <c r="U1782" s="4"/>
      <c r="V1782" s="4">
        <f>IFERROR(__xludf.DUMMYFUNCTION("""COMPUTED_VALUE"""),6590.0)</f>
        <v>6590</v>
      </c>
      <c r="W1782" s="240" t="str">
        <f t="shared" si="1"/>
        <v/>
      </c>
      <c r="X1782" s="4" t="str">
        <f>IFERROR(__xludf.DUMMYFUNCTION("""COMPUTED_VALUE"""),"Prepare for Showcase")</f>
        <v>Prepare for Showcase</v>
      </c>
      <c r="Y1782" s="4" t="str">
        <f t="shared" si="2"/>
        <v/>
      </c>
      <c r="Z1782" s="4" t="str">
        <f>IFERROR(__xludf.DUMMYFUNCTION("IFERROR(
  FILTER('CBK Students'!O:O, TRIM('CBK Students'!B:B) = TRIM(A1782)),
  """"
)"),"#REF!")</f>
        <v>#REF!</v>
      </c>
      <c r="AA1782" s="4" t="str">
        <f>IFERROR(__xludf.DUMMYFUNCTION("IFERROR(
  FILTER('CBK Students'!P:P, TRIM('CBK Students'!B:B) = TRIM(A1782)),
  """"
)"),"#REF!")</f>
        <v>#REF!</v>
      </c>
      <c r="AB1782" s="4" t="str">
        <f>IFERROR(__xludf.DUMMYFUNCTION("IFERROR(
  FILTER('CBK Students'!Q:Q, TRIM('CBK Students'!B:B) = TRIM(A1782)),
  """"
)"),"#REF!")</f>
        <v>#REF!</v>
      </c>
    </row>
    <row r="1783" ht="18.75" customHeight="1">
      <c r="T1783" s="4"/>
      <c r="U1783" s="4"/>
      <c r="V1783" s="4">
        <f>IFERROR(__xludf.DUMMYFUNCTION("""COMPUTED_VALUE"""),6590.0)</f>
        <v>6590</v>
      </c>
      <c r="W1783" s="240" t="str">
        <f t="shared" si="1"/>
        <v/>
      </c>
      <c r="X1783" s="4" t="str">
        <f>IFERROR(__xludf.DUMMYFUNCTION("""COMPUTED_VALUE"""),"Prepare for Showcase")</f>
        <v>Prepare for Showcase</v>
      </c>
      <c r="Y1783" s="4" t="str">
        <f t="shared" si="2"/>
        <v/>
      </c>
      <c r="Z1783" s="4" t="str">
        <f>IFERROR(__xludf.DUMMYFUNCTION("IFERROR(
  FILTER('CBK Students'!O:O, TRIM('CBK Students'!B:B) = TRIM(A1783)),
  """"
)"),"#REF!")</f>
        <v>#REF!</v>
      </c>
      <c r="AA1783" s="4" t="str">
        <f>IFERROR(__xludf.DUMMYFUNCTION("IFERROR(
  FILTER('CBK Students'!P:P, TRIM('CBK Students'!B:B) = TRIM(A1783)),
  """"
)"),"#REF!")</f>
        <v>#REF!</v>
      </c>
      <c r="AB1783" s="4" t="str">
        <f>IFERROR(__xludf.DUMMYFUNCTION("IFERROR(
  FILTER('CBK Students'!Q:Q, TRIM('CBK Students'!B:B) = TRIM(A1783)),
  """"
)"),"#REF!")</f>
        <v>#REF!</v>
      </c>
    </row>
    <row r="1784" ht="18.75" customHeight="1">
      <c r="T1784" s="4"/>
      <c r="U1784" s="4"/>
      <c r="V1784" s="4">
        <f>IFERROR(__xludf.DUMMYFUNCTION("""COMPUTED_VALUE"""),6590.0)</f>
        <v>6590</v>
      </c>
      <c r="W1784" s="240" t="str">
        <f t="shared" si="1"/>
        <v/>
      </c>
      <c r="X1784" s="4" t="str">
        <f>IFERROR(__xludf.DUMMYFUNCTION("""COMPUTED_VALUE"""),"Prepare for Showcase")</f>
        <v>Prepare for Showcase</v>
      </c>
      <c r="Y1784" s="4" t="str">
        <f t="shared" si="2"/>
        <v/>
      </c>
      <c r="Z1784" s="4" t="str">
        <f>IFERROR(__xludf.DUMMYFUNCTION("IFERROR(
  FILTER('CBK Students'!O:O, TRIM('CBK Students'!B:B) = TRIM(A1784)),
  """"
)"),"#REF!")</f>
        <v>#REF!</v>
      </c>
      <c r="AA1784" s="4" t="str">
        <f>IFERROR(__xludf.DUMMYFUNCTION("IFERROR(
  FILTER('CBK Students'!P:P, TRIM('CBK Students'!B:B) = TRIM(A1784)),
  """"
)"),"#REF!")</f>
        <v>#REF!</v>
      </c>
      <c r="AB1784" s="4" t="str">
        <f>IFERROR(__xludf.DUMMYFUNCTION("IFERROR(
  FILTER('CBK Students'!Q:Q, TRIM('CBK Students'!B:B) = TRIM(A1784)),
  """"
)"),"#REF!")</f>
        <v>#REF!</v>
      </c>
    </row>
    <row r="1785" ht="18.75" customHeight="1">
      <c r="T1785" s="4"/>
      <c r="U1785" s="4"/>
      <c r="V1785" s="4">
        <f>IFERROR(__xludf.DUMMYFUNCTION("""COMPUTED_VALUE"""),6590.0)</f>
        <v>6590</v>
      </c>
      <c r="W1785" s="240" t="str">
        <f t="shared" si="1"/>
        <v/>
      </c>
      <c r="X1785" s="4" t="str">
        <f>IFERROR(__xludf.DUMMYFUNCTION("""COMPUTED_VALUE"""),"Prepare for Showcase")</f>
        <v>Prepare for Showcase</v>
      </c>
      <c r="Y1785" s="4" t="str">
        <f t="shared" si="2"/>
        <v/>
      </c>
      <c r="Z1785" s="4" t="str">
        <f>IFERROR(__xludf.DUMMYFUNCTION("IFERROR(
  FILTER('CBK Students'!O:O, TRIM('CBK Students'!B:B) = TRIM(A1785)),
  """"
)"),"#REF!")</f>
        <v>#REF!</v>
      </c>
      <c r="AA1785" s="4" t="str">
        <f>IFERROR(__xludf.DUMMYFUNCTION("IFERROR(
  FILTER('CBK Students'!P:P, TRIM('CBK Students'!B:B) = TRIM(A1785)),
  """"
)"),"#REF!")</f>
        <v>#REF!</v>
      </c>
      <c r="AB1785" s="4" t="str">
        <f>IFERROR(__xludf.DUMMYFUNCTION("IFERROR(
  FILTER('CBK Students'!Q:Q, TRIM('CBK Students'!B:B) = TRIM(A1785)),
  """"
)"),"#REF!")</f>
        <v>#REF!</v>
      </c>
    </row>
    <row r="1786" ht="18.75" customHeight="1">
      <c r="T1786" s="4"/>
      <c r="U1786" s="4"/>
      <c r="V1786" s="4">
        <f>IFERROR(__xludf.DUMMYFUNCTION("""COMPUTED_VALUE"""),6590.0)</f>
        <v>6590</v>
      </c>
      <c r="W1786" s="240" t="str">
        <f t="shared" si="1"/>
        <v/>
      </c>
      <c r="X1786" s="4" t="str">
        <f>IFERROR(__xludf.DUMMYFUNCTION("""COMPUTED_VALUE"""),"Prepare for Showcase")</f>
        <v>Prepare for Showcase</v>
      </c>
      <c r="Y1786" s="4" t="str">
        <f t="shared" si="2"/>
        <v/>
      </c>
      <c r="Z1786" s="4" t="str">
        <f>IFERROR(__xludf.DUMMYFUNCTION("IFERROR(
  FILTER('CBK Students'!O:O, TRIM('CBK Students'!B:B) = TRIM(A1786)),
  """"
)"),"#REF!")</f>
        <v>#REF!</v>
      </c>
      <c r="AA1786" s="4" t="str">
        <f>IFERROR(__xludf.DUMMYFUNCTION("IFERROR(
  FILTER('CBK Students'!P:P, TRIM('CBK Students'!B:B) = TRIM(A1786)),
  """"
)"),"#REF!")</f>
        <v>#REF!</v>
      </c>
      <c r="AB1786" s="4" t="str">
        <f>IFERROR(__xludf.DUMMYFUNCTION("IFERROR(
  FILTER('CBK Students'!Q:Q, TRIM('CBK Students'!B:B) = TRIM(A1786)),
  """"
)"),"#REF!")</f>
        <v>#REF!</v>
      </c>
    </row>
    <row r="1787" ht="18.75" customHeight="1">
      <c r="T1787" s="4"/>
      <c r="U1787" s="4"/>
      <c r="V1787" s="4">
        <f>IFERROR(__xludf.DUMMYFUNCTION("""COMPUTED_VALUE"""),6590.0)</f>
        <v>6590</v>
      </c>
      <c r="W1787" s="240" t="str">
        <f t="shared" si="1"/>
        <v/>
      </c>
      <c r="X1787" s="4" t="str">
        <f>IFERROR(__xludf.DUMMYFUNCTION("""COMPUTED_VALUE"""),"Prepare for Showcase")</f>
        <v>Prepare for Showcase</v>
      </c>
      <c r="Y1787" s="4" t="str">
        <f t="shared" si="2"/>
        <v/>
      </c>
      <c r="Z1787" s="4" t="str">
        <f>IFERROR(__xludf.DUMMYFUNCTION("IFERROR(
  FILTER('CBK Students'!O:O, TRIM('CBK Students'!B:B) = TRIM(A1787)),
  """"
)"),"#REF!")</f>
        <v>#REF!</v>
      </c>
      <c r="AA1787" s="4" t="str">
        <f>IFERROR(__xludf.DUMMYFUNCTION("IFERROR(
  FILTER('CBK Students'!P:P, TRIM('CBK Students'!B:B) = TRIM(A1787)),
  """"
)"),"#REF!")</f>
        <v>#REF!</v>
      </c>
      <c r="AB1787" s="4" t="str">
        <f>IFERROR(__xludf.DUMMYFUNCTION("IFERROR(
  FILTER('CBK Students'!Q:Q, TRIM('CBK Students'!B:B) = TRIM(A1787)),
  """"
)"),"#REF!")</f>
        <v>#REF!</v>
      </c>
    </row>
    <row r="1788" ht="18.75" customHeight="1">
      <c r="T1788" s="4"/>
      <c r="U1788" s="4"/>
      <c r="V1788" s="4">
        <f>IFERROR(__xludf.DUMMYFUNCTION("""COMPUTED_VALUE"""),6590.0)</f>
        <v>6590</v>
      </c>
      <c r="W1788" s="240" t="str">
        <f t="shared" si="1"/>
        <v/>
      </c>
      <c r="X1788" s="4" t="str">
        <f>IFERROR(__xludf.DUMMYFUNCTION("""COMPUTED_VALUE"""),"Prepare for Showcase")</f>
        <v>Prepare for Showcase</v>
      </c>
      <c r="Y1788" s="4" t="str">
        <f t="shared" si="2"/>
        <v/>
      </c>
      <c r="Z1788" s="4" t="str">
        <f>IFERROR(__xludf.DUMMYFUNCTION("IFERROR(
  FILTER('CBK Students'!O:O, TRIM('CBK Students'!B:B) = TRIM(A1788)),
  """"
)"),"#REF!")</f>
        <v>#REF!</v>
      </c>
      <c r="AA1788" s="4" t="str">
        <f>IFERROR(__xludf.DUMMYFUNCTION("IFERROR(
  FILTER('CBK Students'!P:P, TRIM('CBK Students'!B:B) = TRIM(A1788)),
  """"
)"),"#REF!")</f>
        <v>#REF!</v>
      </c>
      <c r="AB1788" s="4" t="str">
        <f>IFERROR(__xludf.DUMMYFUNCTION("IFERROR(
  FILTER('CBK Students'!Q:Q, TRIM('CBK Students'!B:B) = TRIM(A1788)),
  """"
)"),"#REF!")</f>
        <v>#REF!</v>
      </c>
    </row>
    <row r="1789" ht="18.75" customHeight="1">
      <c r="T1789" s="4"/>
      <c r="U1789" s="4"/>
      <c r="V1789" s="4">
        <f>IFERROR(__xludf.DUMMYFUNCTION("""COMPUTED_VALUE"""),6590.0)</f>
        <v>6590</v>
      </c>
      <c r="W1789" s="240" t="str">
        <f t="shared" si="1"/>
        <v/>
      </c>
      <c r="X1789" s="4" t="str">
        <f>IFERROR(__xludf.DUMMYFUNCTION("""COMPUTED_VALUE"""),"Prepare for Showcase")</f>
        <v>Prepare for Showcase</v>
      </c>
      <c r="Y1789" s="4" t="str">
        <f t="shared" si="2"/>
        <v/>
      </c>
      <c r="Z1789" s="4" t="str">
        <f>IFERROR(__xludf.DUMMYFUNCTION("IFERROR(
  FILTER('CBK Students'!O:O, TRIM('CBK Students'!B:B) = TRIM(A1789)),
  """"
)"),"#REF!")</f>
        <v>#REF!</v>
      </c>
      <c r="AA1789" s="4" t="str">
        <f>IFERROR(__xludf.DUMMYFUNCTION("IFERROR(
  FILTER('CBK Students'!P:P, TRIM('CBK Students'!B:B) = TRIM(A1789)),
  """"
)"),"#REF!")</f>
        <v>#REF!</v>
      </c>
      <c r="AB1789" s="4" t="str">
        <f>IFERROR(__xludf.DUMMYFUNCTION("IFERROR(
  FILTER('CBK Students'!Q:Q, TRIM('CBK Students'!B:B) = TRIM(A1789)),
  """"
)"),"#REF!")</f>
        <v>#REF!</v>
      </c>
    </row>
    <row r="1790" ht="18.75" customHeight="1">
      <c r="T1790" s="4"/>
      <c r="U1790" s="4"/>
      <c r="V1790" s="4">
        <f>IFERROR(__xludf.DUMMYFUNCTION("""COMPUTED_VALUE"""),6590.0)</f>
        <v>6590</v>
      </c>
      <c r="W1790" s="240" t="str">
        <f t="shared" si="1"/>
        <v/>
      </c>
      <c r="X1790" s="4" t="str">
        <f>IFERROR(__xludf.DUMMYFUNCTION("""COMPUTED_VALUE"""),"Prepare for Showcase")</f>
        <v>Prepare for Showcase</v>
      </c>
      <c r="Y1790" s="4" t="str">
        <f t="shared" si="2"/>
        <v/>
      </c>
      <c r="Z1790" s="4" t="str">
        <f>IFERROR(__xludf.DUMMYFUNCTION("IFERROR(
  FILTER('CBK Students'!O:O, TRIM('CBK Students'!B:B) = TRIM(A1790)),
  """"
)"),"#REF!")</f>
        <v>#REF!</v>
      </c>
      <c r="AA1790" s="4" t="str">
        <f>IFERROR(__xludf.DUMMYFUNCTION("IFERROR(
  FILTER('CBK Students'!P:P, TRIM('CBK Students'!B:B) = TRIM(A1790)),
  """"
)"),"#REF!")</f>
        <v>#REF!</v>
      </c>
      <c r="AB1790" s="4" t="str">
        <f>IFERROR(__xludf.DUMMYFUNCTION("IFERROR(
  FILTER('CBK Students'!Q:Q, TRIM('CBK Students'!B:B) = TRIM(A1790)),
  """"
)"),"#REF!")</f>
        <v>#REF!</v>
      </c>
    </row>
    <row r="1791" ht="18.75" customHeight="1">
      <c r="T1791" s="4"/>
      <c r="U1791" s="4"/>
      <c r="V1791" s="4">
        <f>IFERROR(__xludf.DUMMYFUNCTION("""COMPUTED_VALUE"""),6590.0)</f>
        <v>6590</v>
      </c>
      <c r="W1791" s="240" t="str">
        <f t="shared" si="1"/>
        <v/>
      </c>
      <c r="X1791" s="4" t="str">
        <f>IFERROR(__xludf.DUMMYFUNCTION("""COMPUTED_VALUE"""),"Prepare for Showcase")</f>
        <v>Prepare for Showcase</v>
      </c>
      <c r="Y1791" s="4" t="str">
        <f t="shared" si="2"/>
        <v/>
      </c>
      <c r="Z1791" s="4" t="str">
        <f>IFERROR(__xludf.DUMMYFUNCTION("IFERROR(
  FILTER('CBK Students'!O:O, TRIM('CBK Students'!B:B) = TRIM(A1791)),
  """"
)"),"#REF!")</f>
        <v>#REF!</v>
      </c>
      <c r="AA1791" s="4" t="str">
        <f>IFERROR(__xludf.DUMMYFUNCTION("IFERROR(
  FILTER('CBK Students'!P:P, TRIM('CBK Students'!B:B) = TRIM(A1791)),
  """"
)"),"#REF!")</f>
        <v>#REF!</v>
      </c>
      <c r="AB1791" s="4" t="str">
        <f>IFERROR(__xludf.DUMMYFUNCTION("IFERROR(
  FILTER('CBK Students'!Q:Q, TRIM('CBK Students'!B:B) = TRIM(A1791)),
  """"
)"),"#REF!")</f>
        <v>#REF!</v>
      </c>
    </row>
    <row r="1792" ht="18.75" customHeight="1">
      <c r="T1792" s="4"/>
      <c r="U1792" s="4"/>
      <c r="V1792" s="4">
        <f>IFERROR(__xludf.DUMMYFUNCTION("""COMPUTED_VALUE"""),6590.0)</f>
        <v>6590</v>
      </c>
      <c r="W1792" s="240" t="str">
        <f t="shared" si="1"/>
        <v/>
      </c>
      <c r="X1792" s="4" t="str">
        <f>IFERROR(__xludf.DUMMYFUNCTION("""COMPUTED_VALUE"""),"Prepare for Showcase")</f>
        <v>Prepare for Showcase</v>
      </c>
      <c r="Y1792" s="4" t="str">
        <f t="shared" si="2"/>
        <v/>
      </c>
      <c r="Z1792" s="4" t="str">
        <f>IFERROR(__xludf.DUMMYFUNCTION("IFERROR(
  FILTER('CBK Students'!O:O, TRIM('CBK Students'!B:B) = TRIM(A1792)),
  """"
)"),"#REF!")</f>
        <v>#REF!</v>
      </c>
      <c r="AA1792" s="4" t="str">
        <f>IFERROR(__xludf.DUMMYFUNCTION("IFERROR(
  FILTER('CBK Students'!P:P, TRIM('CBK Students'!B:B) = TRIM(A1792)),
  """"
)"),"#REF!")</f>
        <v>#REF!</v>
      </c>
      <c r="AB1792" s="4" t="str">
        <f>IFERROR(__xludf.DUMMYFUNCTION("IFERROR(
  FILTER('CBK Students'!Q:Q, TRIM('CBK Students'!B:B) = TRIM(A1792)),
  """"
)"),"#REF!")</f>
        <v>#REF!</v>
      </c>
    </row>
    <row r="1793" ht="18.75" customHeight="1">
      <c r="T1793" s="4"/>
      <c r="U1793" s="4"/>
      <c r="V1793" s="4">
        <f>IFERROR(__xludf.DUMMYFUNCTION("""COMPUTED_VALUE"""),6590.0)</f>
        <v>6590</v>
      </c>
      <c r="W1793" s="240" t="str">
        <f t="shared" si="1"/>
        <v/>
      </c>
      <c r="X1793" s="4" t="str">
        <f>IFERROR(__xludf.DUMMYFUNCTION("""COMPUTED_VALUE"""),"Prepare for Showcase")</f>
        <v>Prepare for Showcase</v>
      </c>
      <c r="Y1793" s="4" t="str">
        <f t="shared" si="2"/>
        <v/>
      </c>
      <c r="Z1793" s="4" t="str">
        <f>IFERROR(__xludf.DUMMYFUNCTION("IFERROR(
  FILTER('CBK Students'!O:O, TRIM('CBK Students'!B:B) = TRIM(A1793)),
  """"
)"),"#REF!")</f>
        <v>#REF!</v>
      </c>
      <c r="AA1793" s="4" t="str">
        <f>IFERROR(__xludf.DUMMYFUNCTION("IFERROR(
  FILTER('CBK Students'!P:P, TRIM('CBK Students'!B:B) = TRIM(A1793)),
  """"
)"),"#REF!")</f>
        <v>#REF!</v>
      </c>
      <c r="AB1793" s="4" t="str">
        <f>IFERROR(__xludf.DUMMYFUNCTION("IFERROR(
  FILTER('CBK Students'!Q:Q, TRIM('CBK Students'!B:B) = TRIM(A1793)),
  """"
)"),"#REF!")</f>
        <v>#REF!</v>
      </c>
    </row>
    <row r="1794" ht="18.75" customHeight="1">
      <c r="T1794" s="4"/>
      <c r="U1794" s="4"/>
      <c r="V1794" s="4">
        <f>IFERROR(__xludf.DUMMYFUNCTION("""COMPUTED_VALUE"""),6590.0)</f>
        <v>6590</v>
      </c>
      <c r="W1794" s="240" t="str">
        <f t="shared" si="1"/>
        <v/>
      </c>
      <c r="X1794" s="4" t="str">
        <f>IFERROR(__xludf.DUMMYFUNCTION("""COMPUTED_VALUE"""),"Prepare for Showcase")</f>
        <v>Prepare for Showcase</v>
      </c>
      <c r="Y1794" s="4" t="str">
        <f t="shared" si="2"/>
        <v/>
      </c>
      <c r="Z1794" s="4" t="str">
        <f>IFERROR(__xludf.DUMMYFUNCTION("IFERROR(
  FILTER('CBK Students'!O:O, TRIM('CBK Students'!B:B) = TRIM(A1794)),
  """"
)"),"#REF!")</f>
        <v>#REF!</v>
      </c>
      <c r="AA1794" s="4" t="str">
        <f>IFERROR(__xludf.DUMMYFUNCTION("IFERROR(
  FILTER('CBK Students'!P:P, TRIM('CBK Students'!B:B) = TRIM(A1794)),
  """"
)"),"#REF!")</f>
        <v>#REF!</v>
      </c>
      <c r="AB1794" s="4" t="str">
        <f>IFERROR(__xludf.DUMMYFUNCTION("IFERROR(
  FILTER('CBK Students'!Q:Q, TRIM('CBK Students'!B:B) = TRIM(A1794)),
  """"
)"),"#REF!")</f>
        <v>#REF!</v>
      </c>
    </row>
    <row r="1795" ht="18.75" customHeight="1">
      <c r="T1795" s="4"/>
      <c r="U1795" s="4"/>
      <c r="V1795" s="4">
        <f>IFERROR(__xludf.DUMMYFUNCTION("""COMPUTED_VALUE"""),6590.0)</f>
        <v>6590</v>
      </c>
      <c r="W1795" s="240" t="str">
        <f t="shared" si="1"/>
        <v/>
      </c>
      <c r="X1795" s="4" t="str">
        <f>IFERROR(__xludf.DUMMYFUNCTION("""COMPUTED_VALUE"""),"Prepare for Showcase")</f>
        <v>Prepare for Showcase</v>
      </c>
      <c r="Y1795" s="4" t="str">
        <f t="shared" si="2"/>
        <v/>
      </c>
      <c r="Z1795" s="4" t="str">
        <f>IFERROR(__xludf.DUMMYFUNCTION("IFERROR(
  FILTER('CBK Students'!O:O, TRIM('CBK Students'!B:B) = TRIM(A1795)),
  """"
)"),"#REF!")</f>
        <v>#REF!</v>
      </c>
      <c r="AA1795" s="4" t="str">
        <f>IFERROR(__xludf.DUMMYFUNCTION("IFERROR(
  FILTER('CBK Students'!P:P, TRIM('CBK Students'!B:B) = TRIM(A1795)),
  """"
)"),"#REF!")</f>
        <v>#REF!</v>
      </c>
      <c r="AB1795" s="4" t="str">
        <f>IFERROR(__xludf.DUMMYFUNCTION("IFERROR(
  FILTER('CBK Students'!Q:Q, TRIM('CBK Students'!B:B) = TRIM(A1795)),
  """"
)"),"#REF!")</f>
        <v>#REF!</v>
      </c>
    </row>
    <row r="1796" ht="18.75" customHeight="1">
      <c r="T1796" s="4"/>
      <c r="U1796" s="4"/>
      <c r="V1796" s="4">
        <f>IFERROR(__xludf.DUMMYFUNCTION("""COMPUTED_VALUE"""),6590.0)</f>
        <v>6590</v>
      </c>
      <c r="W1796" s="240" t="str">
        <f t="shared" si="1"/>
        <v/>
      </c>
      <c r="X1796" s="4" t="str">
        <f>IFERROR(__xludf.DUMMYFUNCTION("""COMPUTED_VALUE"""),"Prepare for Showcase")</f>
        <v>Prepare for Showcase</v>
      </c>
      <c r="Y1796" s="4" t="str">
        <f t="shared" si="2"/>
        <v/>
      </c>
      <c r="Z1796" s="4" t="str">
        <f>IFERROR(__xludf.DUMMYFUNCTION("IFERROR(
  FILTER('CBK Students'!O:O, TRIM('CBK Students'!B:B) = TRIM(A1796)),
  """"
)"),"#REF!")</f>
        <v>#REF!</v>
      </c>
      <c r="AA1796" s="4" t="str">
        <f>IFERROR(__xludf.DUMMYFUNCTION("IFERROR(
  FILTER('CBK Students'!P:P, TRIM('CBK Students'!B:B) = TRIM(A1796)),
  """"
)"),"#REF!")</f>
        <v>#REF!</v>
      </c>
      <c r="AB1796" s="4" t="str">
        <f>IFERROR(__xludf.DUMMYFUNCTION("IFERROR(
  FILTER('CBK Students'!Q:Q, TRIM('CBK Students'!B:B) = TRIM(A1796)),
  """"
)"),"#REF!")</f>
        <v>#REF!</v>
      </c>
    </row>
    <row r="1797" ht="18.75" customHeight="1">
      <c r="T1797" s="4"/>
      <c r="U1797" s="4"/>
      <c r="V1797" s="4">
        <f>IFERROR(__xludf.DUMMYFUNCTION("""COMPUTED_VALUE"""),6590.0)</f>
        <v>6590</v>
      </c>
      <c r="W1797" s="240" t="str">
        <f t="shared" si="1"/>
        <v/>
      </c>
      <c r="X1797" s="4" t="str">
        <f>IFERROR(__xludf.DUMMYFUNCTION("""COMPUTED_VALUE"""),"Prepare for Showcase")</f>
        <v>Prepare for Showcase</v>
      </c>
      <c r="Y1797" s="4" t="str">
        <f t="shared" si="2"/>
        <v/>
      </c>
      <c r="Z1797" s="4" t="str">
        <f>IFERROR(__xludf.DUMMYFUNCTION("IFERROR(
  FILTER('CBK Students'!O:O, TRIM('CBK Students'!B:B) = TRIM(A1797)),
  """"
)"),"#REF!")</f>
        <v>#REF!</v>
      </c>
      <c r="AA1797" s="4" t="str">
        <f>IFERROR(__xludf.DUMMYFUNCTION("IFERROR(
  FILTER('CBK Students'!P:P, TRIM('CBK Students'!B:B) = TRIM(A1797)),
  """"
)"),"#REF!")</f>
        <v>#REF!</v>
      </c>
      <c r="AB1797" s="4" t="str">
        <f>IFERROR(__xludf.DUMMYFUNCTION("IFERROR(
  FILTER('CBK Students'!Q:Q, TRIM('CBK Students'!B:B) = TRIM(A1797)),
  """"
)"),"#REF!")</f>
        <v>#REF!</v>
      </c>
    </row>
    <row r="1798" ht="18.75" customHeight="1">
      <c r="T1798" s="4"/>
      <c r="U1798" s="4"/>
      <c r="V1798" s="4">
        <f>IFERROR(__xludf.DUMMYFUNCTION("""COMPUTED_VALUE"""),6590.0)</f>
        <v>6590</v>
      </c>
      <c r="W1798" s="240" t="str">
        <f t="shared" si="1"/>
        <v/>
      </c>
      <c r="X1798" s="4" t="str">
        <f>IFERROR(__xludf.DUMMYFUNCTION("""COMPUTED_VALUE"""),"Prepare for Showcase")</f>
        <v>Prepare for Showcase</v>
      </c>
      <c r="Y1798" s="4" t="str">
        <f t="shared" si="2"/>
        <v/>
      </c>
      <c r="Z1798" s="4" t="str">
        <f>IFERROR(__xludf.DUMMYFUNCTION("IFERROR(
  FILTER('CBK Students'!O:O, TRIM('CBK Students'!B:B) = TRIM(A1798)),
  """"
)"),"#REF!")</f>
        <v>#REF!</v>
      </c>
      <c r="AA1798" s="4" t="str">
        <f>IFERROR(__xludf.DUMMYFUNCTION("IFERROR(
  FILTER('CBK Students'!P:P, TRIM('CBK Students'!B:B) = TRIM(A1798)),
  """"
)"),"#REF!")</f>
        <v>#REF!</v>
      </c>
      <c r="AB1798" s="4" t="str">
        <f>IFERROR(__xludf.DUMMYFUNCTION("IFERROR(
  FILTER('CBK Students'!Q:Q, TRIM('CBK Students'!B:B) = TRIM(A1798)),
  """"
)"),"#REF!")</f>
        <v>#REF!</v>
      </c>
    </row>
    <row r="1799" ht="18.75" customHeight="1">
      <c r="T1799" s="4"/>
      <c r="U1799" s="4"/>
      <c r="V1799" s="4">
        <f>IFERROR(__xludf.DUMMYFUNCTION("""COMPUTED_VALUE"""),6590.0)</f>
        <v>6590</v>
      </c>
      <c r="W1799" s="240" t="str">
        <f t="shared" si="1"/>
        <v/>
      </c>
      <c r="X1799" s="4" t="str">
        <f>IFERROR(__xludf.DUMMYFUNCTION("""COMPUTED_VALUE"""),"Prepare for Showcase")</f>
        <v>Prepare for Showcase</v>
      </c>
      <c r="Y1799" s="4" t="str">
        <f t="shared" si="2"/>
        <v/>
      </c>
      <c r="Z1799" s="4" t="str">
        <f>IFERROR(__xludf.DUMMYFUNCTION("IFERROR(
  FILTER('CBK Students'!O:O, TRIM('CBK Students'!B:B) = TRIM(A1799)),
  """"
)"),"#REF!")</f>
        <v>#REF!</v>
      </c>
      <c r="AA1799" s="4" t="str">
        <f>IFERROR(__xludf.DUMMYFUNCTION("IFERROR(
  FILTER('CBK Students'!P:P, TRIM('CBK Students'!B:B) = TRIM(A1799)),
  """"
)"),"#REF!")</f>
        <v>#REF!</v>
      </c>
      <c r="AB1799" s="4" t="str">
        <f>IFERROR(__xludf.DUMMYFUNCTION("IFERROR(
  FILTER('CBK Students'!Q:Q, TRIM('CBK Students'!B:B) = TRIM(A1799)),
  """"
)"),"#REF!")</f>
        <v>#REF!</v>
      </c>
    </row>
    <row r="1800" ht="18.75" customHeight="1">
      <c r="T1800" s="4"/>
      <c r="U1800" s="4"/>
      <c r="V1800" s="4">
        <f>IFERROR(__xludf.DUMMYFUNCTION("""COMPUTED_VALUE"""),6590.0)</f>
        <v>6590</v>
      </c>
      <c r="W1800" s="240" t="str">
        <f t="shared" si="1"/>
        <v/>
      </c>
      <c r="X1800" s="4" t="str">
        <f>IFERROR(__xludf.DUMMYFUNCTION("""COMPUTED_VALUE"""),"Prepare for Showcase")</f>
        <v>Prepare for Showcase</v>
      </c>
      <c r="Y1800" s="4" t="str">
        <f t="shared" si="2"/>
        <v/>
      </c>
      <c r="Z1800" s="4" t="str">
        <f>IFERROR(__xludf.DUMMYFUNCTION("IFERROR(
  FILTER('CBK Students'!O:O, TRIM('CBK Students'!B:B) = TRIM(A1800)),
  """"
)"),"#REF!")</f>
        <v>#REF!</v>
      </c>
      <c r="AA1800" s="4" t="str">
        <f>IFERROR(__xludf.DUMMYFUNCTION("IFERROR(
  FILTER('CBK Students'!P:P, TRIM('CBK Students'!B:B) = TRIM(A1800)),
  """"
)"),"#REF!")</f>
        <v>#REF!</v>
      </c>
      <c r="AB1800" s="4" t="str">
        <f>IFERROR(__xludf.DUMMYFUNCTION("IFERROR(
  FILTER('CBK Students'!Q:Q, TRIM('CBK Students'!B:B) = TRIM(A1800)),
  """"
)"),"#REF!")</f>
        <v>#REF!</v>
      </c>
    </row>
    <row r="1801" ht="18.75" customHeight="1">
      <c r="T1801" s="4"/>
      <c r="U1801" s="4"/>
      <c r="V1801" s="4">
        <f>IFERROR(__xludf.DUMMYFUNCTION("""COMPUTED_VALUE"""),6590.0)</f>
        <v>6590</v>
      </c>
      <c r="W1801" s="240" t="str">
        <f t="shared" si="1"/>
        <v/>
      </c>
      <c r="X1801" s="4" t="str">
        <f>IFERROR(__xludf.DUMMYFUNCTION("""COMPUTED_VALUE"""),"Prepare for Showcase")</f>
        <v>Prepare for Showcase</v>
      </c>
      <c r="Y1801" s="4" t="str">
        <f t="shared" si="2"/>
        <v/>
      </c>
      <c r="Z1801" s="4" t="str">
        <f>IFERROR(__xludf.DUMMYFUNCTION("IFERROR(
  FILTER('CBK Students'!O:O, TRIM('CBK Students'!B:B) = TRIM(A1801)),
  """"
)"),"#REF!")</f>
        <v>#REF!</v>
      </c>
      <c r="AA1801" s="4" t="str">
        <f>IFERROR(__xludf.DUMMYFUNCTION("IFERROR(
  FILTER('CBK Students'!P:P, TRIM('CBK Students'!B:B) = TRIM(A1801)),
  """"
)"),"#REF!")</f>
        <v>#REF!</v>
      </c>
      <c r="AB1801" s="4" t="str">
        <f>IFERROR(__xludf.DUMMYFUNCTION("IFERROR(
  FILTER('CBK Students'!Q:Q, TRIM('CBK Students'!B:B) = TRIM(A1801)),
  """"
)"),"#REF!")</f>
        <v>#REF!</v>
      </c>
    </row>
    <row r="1802" ht="18.75" customHeight="1">
      <c r="T1802" s="4"/>
      <c r="U1802" s="4"/>
      <c r="V1802" s="4">
        <f>IFERROR(__xludf.DUMMYFUNCTION("""COMPUTED_VALUE"""),6590.0)</f>
        <v>6590</v>
      </c>
      <c r="W1802" s="240" t="str">
        <f t="shared" si="1"/>
        <v/>
      </c>
      <c r="X1802" s="4" t="str">
        <f>IFERROR(__xludf.DUMMYFUNCTION("""COMPUTED_VALUE"""),"Prepare for Showcase")</f>
        <v>Prepare for Showcase</v>
      </c>
      <c r="Y1802" s="4" t="str">
        <f t="shared" si="2"/>
        <v/>
      </c>
      <c r="Z1802" s="4" t="str">
        <f>IFERROR(__xludf.DUMMYFUNCTION("IFERROR(
  FILTER('CBK Students'!O:O, TRIM('CBK Students'!B:B) = TRIM(A1802)),
  """"
)"),"#REF!")</f>
        <v>#REF!</v>
      </c>
      <c r="AA1802" s="4" t="str">
        <f>IFERROR(__xludf.DUMMYFUNCTION("IFERROR(
  FILTER('CBK Students'!P:P, TRIM('CBK Students'!B:B) = TRIM(A1802)),
  """"
)"),"#REF!")</f>
        <v>#REF!</v>
      </c>
      <c r="AB1802" s="4" t="str">
        <f>IFERROR(__xludf.DUMMYFUNCTION("IFERROR(
  FILTER('CBK Students'!Q:Q, TRIM('CBK Students'!B:B) = TRIM(A1802)),
  """"
)"),"#REF!")</f>
        <v>#REF!</v>
      </c>
    </row>
    <row r="1803" ht="18.75" customHeight="1">
      <c r="T1803" s="4"/>
      <c r="U1803" s="4"/>
      <c r="V1803" s="4">
        <f>IFERROR(__xludf.DUMMYFUNCTION("""COMPUTED_VALUE"""),6590.0)</f>
        <v>6590</v>
      </c>
      <c r="W1803" s="240" t="str">
        <f t="shared" si="1"/>
        <v/>
      </c>
      <c r="X1803" s="4" t="str">
        <f>IFERROR(__xludf.DUMMYFUNCTION("""COMPUTED_VALUE"""),"Prepare for Showcase")</f>
        <v>Prepare for Showcase</v>
      </c>
      <c r="Y1803" s="4" t="str">
        <f t="shared" si="2"/>
        <v/>
      </c>
      <c r="Z1803" s="4" t="str">
        <f>IFERROR(__xludf.DUMMYFUNCTION("IFERROR(
  FILTER('CBK Students'!O:O, TRIM('CBK Students'!B:B) = TRIM(A1803)),
  """"
)"),"#REF!")</f>
        <v>#REF!</v>
      </c>
      <c r="AA1803" s="4" t="str">
        <f>IFERROR(__xludf.DUMMYFUNCTION("IFERROR(
  FILTER('CBK Students'!P:P, TRIM('CBK Students'!B:B) = TRIM(A1803)),
  """"
)"),"#REF!")</f>
        <v>#REF!</v>
      </c>
      <c r="AB1803" s="4" t="str">
        <f>IFERROR(__xludf.DUMMYFUNCTION("IFERROR(
  FILTER('CBK Students'!Q:Q, TRIM('CBK Students'!B:B) = TRIM(A1803)),
  """"
)"),"#REF!")</f>
        <v>#REF!</v>
      </c>
    </row>
    <row r="1804" ht="18.75" customHeight="1">
      <c r="T1804" s="4"/>
      <c r="U1804" s="4"/>
      <c r="V1804" s="4">
        <f>IFERROR(__xludf.DUMMYFUNCTION("""COMPUTED_VALUE"""),6590.0)</f>
        <v>6590</v>
      </c>
      <c r="W1804" s="240" t="str">
        <f t="shared" si="1"/>
        <v/>
      </c>
      <c r="X1804" s="4" t="str">
        <f>IFERROR(__xludf.DUMMYFUNCTION("""COMPUTED_VALUE"""),"Prepare for Showcase")</f>
        <v>Prepare for Showcase</v>
      </c>
      <c r="Y1804" s="4" t="str">
        <f t="shared" si="2"/>
        <v/>
      </c>
      <c r="Z1804" s="4" t="str">
        <f>IFERROR(__xludf.DUMMYFUNCTION("IFERROR(
  FILTER('CBK Students'!O:O, TRIM('CBK Students'!B:B) = TRIM(A1804)),
  """"
)"),"#REF!")</f>
        <v>#REF!</v>
      </c>
      <c r="AA1804" s="4" t="str">
        <f>IFERROR(__xludf.DUMMYFUNCTION("IFERROR(
  FILTER('CBK Students'!P:P, TRIM('CBK Students'!B:B) = TRIM(A1804)),
  """"
)"),"#REF!")</f>
        <v>#REF!</v>
      </c>
      <c r="AB1804" s="4" t="str">
        <f>IFERROR(__xludf.DUMMYFUNCTION("IFERROR(
  FILTER('CBK Students'!Q:Q, TRIM('CBK Students'!B:B) = TRIM(A1804)),
  """"
)"),"#REF!")</f>
        <v>#REF!</v>
      </c>
    </row>
    <row r="1805" ht="18.75" customHeight="1">
      <c r="T1805" s="4"/>
      <c r="U1805" s="4"/>
      <c r="V1805" s="4">
        <f>IFERROR(__xludf.DUMMYFUNCTION("""COMPUTED_VALUE"""),6590.0)</f>
        <v>6590</v>
      </c>
      <c r="W1805" s="240" t="str">
        <f t="shared" si="1"/>
        <v/>
      </c>
      <c r="X1805" s="4" t="str">
        <f>IFERROR(__xludf.DUMMYFUNCTION("""COMPUTED_VALUE"""),"Prepare for Showcase")</f>
        <v>Prepare for Showcase</v>
      </c>
      <c r="Y1805" s="4" t="str">
        <f t="shared" si="2"/>
        <v/>
      </c>
      <c r="Z1805" s="4" t="str">
        <f>IFERROR(__xludf.DUMMYFUNCTION("IFERROR(
  FILTER('CBK Students'!O:O, TRIM('CBK Students'!B:B) = TRIM(A1805)),
  """"
)"),"#REF!")</f>
        <v>#REF!</v>
      </c>
      <c r="AA1805" s="4" t="str">
        <f>IFERROR(__xludf.DUMMYFUNCTION("IFERROR(
  FILTER('CBK Students'!P:P, TRIM('CBK Students'!B:B) = TRIM(A1805)),
  """"
)"),"#REF!")</f>
        <v>#REF!</v>
      </c>
      <c r="AB1805" s="4" t="str">
        <f>IFERROR(__xludf.DUMMYFUNCTION("IFERROR(
  FILTER('CBK Students'!Q:Q, TRIM('CBK Students'!B:B) = TRIM(A1805)),
  """"
)"),"#REF!")</f>
        <v>#REF!</v>
      </c>
    </row>
    <row r="1806" ht="18.75" customHeight="1">
      <c r="T1806" s="4"/>
      <c r="U1806" s="4"/>
      <c r="V1806" s="4">
        <f>IFERROR(__xludf.DUMMYFUNCTION("""COMPUTED_VALUE"""),6590.0)</f>
        <v>6590</v>
      </c>
      <c r="W1806" s="240" t="str">
        <f t="shared" si="1"/>
        <v/>
      </c>
      <c r="X1806" s="4" t="str">
        <f>IFERROR(__xludf.DUMMYFUNCTION("""COMPUTED_VALUE"""),"Prepare for Showcase")</f>
        <v>Prepare for Showcase</v>
      </c>
      <c r="Y1806" s="4" t="str">
        <f t="shared" si="2"/>
        <v/>
      </c>
      <c r="Z1806" s="4" t="str">
        <f>IFERROR(__xludf.DUMMYFUNCTION("IFERROR(
  FILTER('CBK Students'!O:O, TRIM('CBK Students'!B:B) = TRIM(A1806)),
  """"
)"),"#REF!")</f>
        <v>#REF!</v>
      </c>
      <c r="AA1806" s="4" t="str">
        <f>IFERROR(__xludf.DUMMYFUNCTION("IFERROR(
  FILTER('CBK Students'!P:P, TRIM('CBK Students'!B:B) = TRIM(A1806)),
  """"
)"),"#REF!")</f>
        <v>#REF!</v>
      </c>
      <c r="AB1806" s="4" t="str">
        <f>IFERROR(__xludf.DUMMYFUNCTION("IFERROR(
  FILTER('CBK Students'!Q:Q, TRIM('CBK Students'!B:B) = TRIM(A1806)),
  """"
)"),"#REF!")</f>
        <v>#REF!</v>
      </c>
    </row>
    <row r="1807" ht="18.75" customHeight="1">
      <c r="T1807" s="4"/>
      <c r="U1807" s="4"/>
      <c r="V1807" s="4">
        <f>IFERROR(__xludf.DUMMYFUNCTION("""COMPUTED_VALUE"""),6590.0)</f>
        <v>6590</v>
      </c>
      <c r="W1807" s="240" t="str">
        <f t="shared" si="1"/>
        <v/>
      </c>
      <c r="X1807" s="4" t="str">
        <f>IFERROR(__xludf.DUMMYFUNCTION("""COMPUTED_VALUE"""),"Prepare for Showcase")</f>
        <v>Prepare for Showcase</v>
      </c>
      <c r="Y1807" s="4" t="str">
        <f t="shared" si="2"/>
        <v/>
      </c>
      <c r="Z1807" s="4" t="str">
        <f>IFERROR(__xludf.DUMMYFUNCTION("IFERROR(
  FILTER('CBK Students'!O:O, TRIM('CBK Students'!B:B) = TRIM(A1807)),
  """"
)"),"#REF!")</f>
        <v>#REF!</v>
      </c>
      <c r="AA1807" s="4" t="str">
        <f>IFERROR(__xludf.DUMMYFUNCTION("IFERROR(
  FILTER('CBK Students'!P:P, TRIM('CBK Students'!B:B) = TRIM(A1807)),
  """"
)"),"#REF!")</f>
        <v>#REF!</v>
      </c>
      <c r="AB1807" s="4" t="str">
        <f>IFERROR(__xludf.DUMMYFUNCTION("IFERROR(
  FILTER('CBK Students'!Q:Q, TRIM('CBK Students'!B:B) = TRIM(A1807)),
  """"
)"),"#REF!")</f>
        <v>#REF!</v>
      </c>
    </row>
    <row r="1808" ht="18.75" customHeight="1">
      <c r="T1808" s="4"/>
      <c r="U1808" s="4"/>
      <c r="V1808" s="4">
        <f>IFERROR(__xludf.DUMMYFUNCTION("""COMPUTED_VALUE"""),6590.0)</f>
        <v>6590</v>
      </c>
      <c r="W1808" s="240" t="str">
        <f t="shared" si="1"/>
        <v/>
      </c>
      <c r="X1808" s="4" t="str">
        <f>IFERROR(__xludf.DUMMYFUNCTION("""COMPUTED_VALUE"""),"Prepare for Showcase")</f>
        <v>Prepare for Showcase</v>
      </c>
      <c r="Y1808" s="4" t="str">
        <f t="shared" si="2"/>
        <v/>
      </c>
      <c r="Z1808" s="4" t="str">
        <f>IFERROR(__xludf.DUMMYFUNCTION("IFERROR(
  FILTER('CBK Students'!O:O, TRIM('CBK Students'!B:B) = TRIM(A1808)),
  """"
)"),"#REF!")</f>
        <v>#REF!</v>
      </c>
      <c r="AA1808" s="4" t="str">
        <f>IFERROR(__xludf.DUMMYFUNCTION("IFERROR(
  FILTER('CBK Students'!P:P, TRIM('CBK Students'!B:B) = TRIM(A1808)),
  """"
)"),"#REF!")</f>
        <v>#REF!</v>
      </c>
      <c r="AB1808" s="4" t="str">
        <f>IFERROR(__xludf.DUMMYFUNCTION("IFERROR(
  FILTER('CBK Students'!Q:Q, TRIM('CBK Students'!B:B) = TRIM(A1808)),
  """"
)"),"#REF!")</f>
        <v>#REF!</v>
      </c>
    </row>
    <row r="1809" ht="18.75" customHeight="1">
      <c r="T1809" s="4"/>
      <c r="U1809" s="4"/>
      <c r="V1809" s="4">
        <f>IFERROR(__xludf.DUMMYFUNCTION("""COMPUTED_VALUE"""),6590.0)</f>
        <v>6590</v>
      </c>
      <c r="W1809" s="240" t="str">
        <f t="shared" si="1"/>
        <v/>
      </c>
      <c r="X1809" s="4" t="str">
        <f>IFERROR(__xludf.DUMMYFUNCTION("""COMPUTED_VALUE"""),"Prepare for Showcase")</f>
        <v>Prepare for Showcase</v>
      </c>
      <c r="Y1809" s="4" t="str">
        <f t="shared" si="2"/>
        <v/>
      </c>
      <c r="Z1809" s="4" t="str">
        <f>IFERROR(__xludf.DUMMYFUNCTION("IFERROR(
  FILTER('CBK Students'!O:O, TRIM('CBK Students'!B:B) = TRIM(A1809)),
  """"
)"),"#REF!")</f>
        <v>#REF!</v>
      </c>
      <c r="AA1809" s="4" t="str">
        <f>IFERROR(__xludf.DUMMYFUNCTION("IFERROR(
  FILTER('CBK Students'!P:P, TRIM('CBK Students'!B:B) = TRIM(A1809)),
  """"
)"),"#REF!")</f>
        <v>#REF!</v>
      </c>
      <c r="AB1809" s="4" t="str">
        <f>IFERROR(__xludf.DUMMYFUNCTION("IFERROR(
  FILTER('CBK Students'!Q:Q, TRIM('CBK Students'!B:B) = TRIM(A1809)),
  """"
)"),"#REF!")</f>
        <v>#REF!</v>
      </c>
    </row>
    <row r="1810" ht="18.75" customHeight="1">
      <c r="T1810" s="4"/>
      <c r="U1810" s="4"/>
      <c r="V1810" s="4">
        <f>IFERROR(__xludf.DUMMYFUNCTION("""COMPUTED_VALUE"""),6590.0)</f>
        <v>6590</v>
      </c>
      <c r="W1810" s="240" t="str">
        <f t="shared" si="1"/>
        <v/>
      </c>
      <c r="X1810" s="4" t="str">
        <f>IFERROR(__xludf.DUMMYFUNCTION("""COMPUTED_VALUE"""),"Prepare for Showcase")</f>
        <v>Prepare for Showcase</v>
      </c>
      <c r="Y1810" s="4" t="str">
        <f t="shared" si="2"/>
        <v/>
      </c>
      <c r="Z1810" s="4" t="str">
        <f>IFERROR(__xludf.DUMMYFUNCTION("IFERROR(
  FILTER('CBK Students'!O:O, TRIM('CBK Students'!B:B) = TRIM(A1810)),
  """"
)"),"#REF!")</f>
        <v>#REF!</v>
      </c>
      <c r="AA1810" s="4" t="str">
        <f>IFERROR(__xludf.DUMMYFUNCTION("IFERROR(
  FILTER('CBK Students'!P:P, TRIM('CBK Students'!B:B) = TRIM(A1810)),
  """"
)"),"#REF!")</f>
        <v>#REF!</v>
      </c>
      <c r="AB1810" s="4" t="str">
        <f>IFERROR(__xludf.DUMMYFUNCTION("IFERROR(
  FILTER('CBK Students'!Q:Q, TRIM('CBK Students'!B:B) = TRIM(A1810)),
  """"
)"),"#REF!")</f>
        <v>#REF!</v>
      </c>
    </row>
    <row r="1811" ht="18.75" customHeight="1">
      <c r="T1811" s="4"/>
      <c r="U1811" s="4"/>
      <c r="V1811" s="4">
        <f>IFERROR(__xludf.DUMMYFUNCTION("""COMPUTED_VALUE"""),6590.0)</f>
        <v>6590</v>
      </c>
      <c r="W1811" s="240" t="str">
        <f t="shared" si="1"/>
        <v/>
      </c>
      <c r="X1811" s="4" t="str">
        <f>IFERROR(__xludf.DUMMYFUNCTION("""COMPUTED_VALUE"""),"Prepare for Showcase")</f>
        <v>Prepare for Showcase</v>
      </c>
      <c r="Y1811" s="4" t="str">
        <f t="shared" si="2"/>
        <v/>
      </c>
      <c r="Z1811" s="4" t="str">
        <f>IFERROR(__xludf.DUMMYFUNCTION("IFERROR(
  FILTER('CBK Students'!O:O, TRIM('CBK Students'!B:B) = TRIM(A1811)),
  """"
)"),"#REF!")</f>
        <v>#REF!</v>
      </c>
      <c r="AA1811" s="4" t="str">
        <f>IFERROR(__xludf.DUMMYFUNCTION("IFERROR(
  FILTER('CBK Students'!P:P, TRIM('CBK Students'!B:B) = TRIM(A1811)),
  """"
)"),"#REF!")</f>
        <v>#REF!</v>
      </c>
      <c r="AB1811" s="4" t="str">
        <f>IFERROR(__xludf.DUMMYFUNCTION("IFERROR(
  FILTER('CBK Students'!Q:Q, TRIM('CBK Students'!B:B) = TRIM(A1811)),
  """"
)"),"#REF!")</f>
        <v>#REF!</v>
      </c>
    </row>
    <row r="1812" ht="18.75" customHeight="1">
      <c r="T1812" s="4"/>
      <c r="U1812" s="4"/>
      <c r="V1812" s="4">
        <f>IFERROR(__xludf.DUMMYFUNCTION("""COMPUTED_VALUE"""),6590.0)</f>
        <v>6590</v>
      </c>
      <c r="W1812" s="240" t="str">
        <f t="shared" si="1"/>
        <v/>
      </c>
      <c r="X1812" s="4" t="str">
        <f>IFERROR(__xludf.DUMMYFUNCTION("""COMPUTED_VALUE"""),"Prepare for Showcase")</f>
        <v>Prepare for Showcase</v>
      </c>
      <c r="Y1812" s="4" t="str">
        <f t="shared" si="2"/>
        <v/>
      </c>
      <c r="Z1812" s="4" t="str">
        <f>IFERROR(__xludf.DUMMYFUNCTION("IFERROR(
  FILTER('CBK Students'!O:O, TRIM('CBK Students'!B:B) = TRIM(A1812)),
  """"
)"),"#REF!")</f>
        <v>#REF!</v>
      </c>
      <c r="AA1812" s="4" t="str">
        <f>IFERROR(__xludf.DUMMYFUNCTION("IFERROR(
  FILTER('CBK Students'!P:P, TRIM('CBK Students'!B:B) = TRIM(A1812)),
  """"
)"),"#REF!")</f>
        <v>#REF!</v>
      </c>
      <c r="AB1812" s="4" t="str">
        <f>IFERROR(__xludf.DUMMYFUNCTION("IFERROR(
  FILTER('CBK Students'!Q:Q, TRIM('CBK Students'!B:B) = TRIM(A1812)),
  """"
)"),"#REF!")</f>
        <v>#REF!</v>
      </c>
    </row>
    <row r="1813" ht="18.75" customHeight="1">
      <c r="T1813" s="4"/>
      <c r="U1813" s="4"/>
      <c r="V1813" s="4">
        <f>IFERROR(__xludf.DUMMYFUNCTION("""COMPUTED_VALUE"""),6590.0)</f>
        <v>6590</v>
      </c>
      <c r="W1813" s="240" t="str">
        <f t="shared" si="1"/>
        <v/>
      </c>
      <c r="X1813" s="4" t="str">
        <f>IFERROR(__xludf.DUMMYFUNCTION("""COMPUTED_VALUE"""),"Prepare for Showcase")</f>
        <v>Prepare for Showcase</v>
      </c>
      <c r="Y1813" s="4" t="str">
        <f t="shared" si="2"/>
        <v/>
      </c>
      <c r="Z1813" s="4" t="str">
        <f>IFERROR(__xludf.DUMMYFUNCTION("IFERROR(
  FILTER('CBK Students'!O:O, TRIM('CBK Students'!B:B) = TRIM(A1813)),
  """"
)"),"#REF!")</f>
        <v>#REF!</v>
      </c>
      <c r="AA1813" s="4" t="str">
        <f>IFERROR(__xludf.DUMMYFUNCTION("IFERROR(
  FILTER('CBK Students'!P:P, TRIM('CBK Students'!B:B) = TRIM(A1813)),
  """"
)"),"#REF!")</f>
        <v>#REF!</v>
      </c>
      <c r="AB1813" s="4" t="str">
        <f>IFERROR(__xludf.DUMMYFUNCTION("IFERROR(
  FILTER('CBK Students'!Q:Q, TRIM('CBK Students'!B:B) = TRIM(A1813)),
  """"
)"),"#REF!")</f>
        <v>#REF!</v>
      </c>
    </row>
    <row r="1814" ht="18.75" customHeight="1">
      <c r="T1814" s="4"/>
      <c r="U1814" s="4"/>
      <c r="V1814" s="4">
        <f>IFERROR(__xludf.DUMMYFUNCTION("""COMPUTED_VALUE"""),6590.0)</f>
        <v>6590</v>
      </c>
      <c r="W1814" s="240" t="str">
        <f t="shared" si="1"/>
        <v/>
      </c>
      <c r="X1814" s="4" t="str">
        <f>IFERROR(__xludf.DUMMYFUNCTION("""COMPUTED_VALUE"""),"Prepare for Showcase")</f>
        <v>Prepare for Showcase</v>
      </c>
      <c r="Y1814" s="4" t="str">
        <f t="shared" si="2"/>
        <v/>
      </c>
      <c r="Z1814" s="4" t="str">
        <f>IFERROR(__xludf.DUMMYFUNCTION("IFERROR(
  FILTER('CBK Students'!O:O, TRIM('CBK Students'!B:B) = TRIM(A1814)),
  """"
)"),"#REF!")</f>
        <v>#REF!</v>
      </c>
      <c r="AA1814" s="4" t="str">
        <f>IFERROR(__xludf.DUMMYFUNCTION("IFERROR(
  FILTER('CBK Students'!P:P, TRIM('CBK Students'!B:B) = TRIM(A1814)),
  """"
)"),"#REF!")</f>
        <v>#REF!</v>
      </c>
      <c r="AB1814" s="4" t="str">
        <f>IFERROR(__xludf.DUMMYFUNCTION("IFERROR(
  FILTER('CBK Students'!Q:Q, TRIM('CBK Students'!B:B) = TRIM(A1814)),
  """"
)"),"#REF!")</f>
        <v>#REF!</v>
      </c>
    </row>
    <row r="1815" ht="18.75" customHeight="1">
      <c r="T1815" s="4"/>
      <c r="U1815" s="4"/>
      <c r="V1815" s="4">
        <f>IFERROR(__xludf.DUMMYFUNCTION("""COMPUTED_VALUE"""),6590.0)</f>
        <v>6590</v>
      </c>
      <c r="W1815" s="240" t="str">
        <f t="shared" si="1"/>
        <v/>
      </c>
      <c r="X1815" s="4" t="str">
        <f>IFERROR(__xludf.DUMMYFUNCTION("""COMPUTED_VALUE"""),"Prepare for Showcase")</f>
        <v>Prepare for Showcase</v>
      </c>
      <c r="Y1815" s="4" t="str">
        <f t="shared" si="2"/>
        <v/>
      </c>
      <c r="Z1815" s="4" t="str">
        <f>IFERROR(__xludf.DUMMYFUNCTION("IFERROR(
  FILTER('CBK Students'!O:O, TRIM('CBK Students'!B:B) = TRIM(A1815)),
  """"
)"),"#REF!")</f>
        <v>#REF!</v>
      </c>
      <c r="AA1815" s="4" t="str">
        <f>IFERROR(__xludf.DUMMYFUNCTION("IFERROR(
  FILTER('CBK Students'!P:P, TRIM('CBK Students'!B:B) = TRIM(A1815)),
  """"
)"),"#REF!")</f>
        <v>#REF!</v>
      </c>
      <c r="AB1815" s="4" t="str">
        <f>IFERROR(__xludf.DUMMYFUNCTION("IFERROR(
  FILTER('CBK Students'!Q:Q, TRIM('CBK Students'!B:B) = TRIM(A1815)),
  """"
)"),"#REF!")</f>
        <v>#REF!</v>
      </c>
    </row>
    <row r="1816" ht="18.75" customHeight="1">
      <c r="T1816" s="4"/>
      <c r="U1816" s="4"/>
      <c r="V1816" s="4">
        <f>IFERROR(__xludf.DUMMYFUNCTION("""COMPUTED_VALUE"""),6590.0)</f>
        <v>6590</v>
      </c>
      <c r="W1816" s="240" t="str">
        <f t="shared" si="1"/>
        <v/>
      </c>
      <c r="X1816" s="4" t="str">
        <f>IFERROR(__xludf.DUMMYFUNCTION("""COMPUTED_VALUE"""),"Prepare for Showcase")</f>
        <v>Prepare for Showcase</v>
      </c>
      <c r="Y1816" s="4" t="str">
        <f t="shared" si="2"/>
        <v/>
      </c>
      <c r="Z1816" s="4" t="str">
        <f>IFERROR(__xludf.DUMMYFUNCTION("IFERROR(
  FILTER('CBK Students'!O:O, TRIM('CBK Students'!B:B) = TRIM(A1816)),
  """"
)"),"#REF!")</f>
        <v>#REF!</v>
      </c>
      <c r="AA1816" s="4" t="str">
        <f>IFERROR(__xludf.DUMMYFUNCTION("IFERROR(
  FILTER('CBK Students'!P:P, TRIM('CBK Students'!B:B) = TRIM(A1816)),
  """"
)"),"#REF!")</f>
        <v>#REF!</v>
      </c>
      <c r="AB1816" s="4" t="str">
        <f>IFERROR(__xludf.DUMMYFUNCTION("IFERROR(
  FILTER('CBK Students'!Q:Q, TRIM('CBK Students'!B:B) = TRIM(A1816)),
  """"
)"),"#REF!")</f>
        <v>#REF!</v>
      </c>
    </row>
    <row r="1817" ht="18.75" customHeight="1">
      <c r="T1817" s="4"/>
      <c r="U1817" s="4"/>
      <c r="V1817" s="4">
        <f>IFERROR(__xludf.DUMMYFUNCTION("""COMPUTED_VALUE"""),6590.0)</f>
        <v>6590</v>
      </c>
      <c r="W1817" s="240" t="str">
        <f t="shared" si="1"/>
        <v/>
      </c>
      <c r="X1817" s="4" t="str">
        <f>IFERROR(__xludf.DUMMYFUNCTION("""COMPUTED_VALUE"""),"Prepare for Showcase")</f>
        <v>Prepare for Showcase</v>
      </c>
      <c r="Y1817" s="4" t="str">
        <f t="shared" si="2"/>
        <v/>
      </c>
      <c r="Z1817" s="4" t="str">
        <f>IFERROR(__xludf.DUMMYFUNCTION("IFERROR(
  FILTER('CBK Students'!O:O, TRIM('CBK Students'!B:B) = TRIM(A1817)),
  """"
)"),"#REF!")</f>
        <v>#REF!</v>
      </c>
      <c r="AA1817" s="4" t="str">
        <f>IFERROR(__xludf.DUMMYFUNCTION("IFERROR(
  FILTER('CBK Students'!P:P, TRIM('CBK Students'!B:B) = TRIM(A1817)),
  """"
)"),"#REF!")</f>
        <v>#REF!</v>
      </c>
      <c r="AB1817" s="4" t="str">
        <f>IFERROR(__xludf.DUMMYFUNCTION("IFERROR(
  FILTER('CBK Students'!Q:Q, TRIM('CBK Students'!B:B) = TRIM(A1817)),
  """"
)"),"#REF!")</f>
        <v>#REF!</v>
      </c>
    </row>
    <row r="1818" ht="18.75" customHeight="1">
      <c r="T1818" s="4"/>
      <c r="U1818" s="4"/>
      <c r="V1818" s="4">
        <f>IFERROR(__xludf.DUMMYFUNCTION("""COMPUTED_VALUE"""),6590.0)</f>
        <v>6590</v>
      </c>
      <c r="W1818" s="240" t="str">
        <f t="shared" si="1"/>
        <v/>
      </c>
      <c r="X1818" s="4" t="str">
        <f>IFERROR(__xludf.DUMMYFUNCTION("""COMPUTED_VALUE"""),"Prepare for Showcase")</f>
        <v>Prepare for Showcase</v>
      </c>
      <c r="Y1818" s="4" t="str">
        <f t="shared" si="2"/>
        <v/>
      </c>
      <c r="Z1818" s="4" t="str">
        <f>IFERROR(__xludf.DUMMYFUNCTION("IFERROR(
  FILTER('CBK Students'!O:O, TRIM('CBK Students'!B:B) = TRIM(A1818)),
  """"
)"),"#REF!")</f>
        <v>#REF!</v>
      </c>
      <c r="AA1818" s="4" t="str">
        <f>IFERROR(__xludf.DUMMYFUNCTION("IFERROR(
  FILTER('CBK Students'!P:P, TRIM('CBK Students'!B:B) = TRIM(A1818)),
  """"
)"),"#REF!")</f>
        <v>#REF!</v>
      </c>
      <c r="AB1818" s="4" t="str">
        <f>IFERROR(__xludf.DUMMYFUNCTION("IFERROR(
  FILTER('CBK Students'!Q:Q, TRIM('CBK Students'!B:B) = TRIM(A1818)),
  """"
)"),"#REF!")</f>
        <v>#REF!</v>
      </c>
    </row>
    <row r="1819" ht="18.75" customHeight="1">
      <c r="T1819" s="4"/>
      <c r="U1819" s="4"/>
      <c r="V1819" s="4">
        <f>IFERROR(__xludf.DUMMYFUNCTION("""COMPUTED_VALUE"""),6590.0)</f>
        <v>6590</v>
      </c>
      <c r="W1819" s="240" t="str">
        <f t="shared" si="1"/>
        <v/>
      </c>
      <c r="X1819" s="4" t="str">
        <f>IFERROR(__xludf.DUMMYFUNCTION("""COMPUTED_VALUE"""),"Prepare for Showcase")</f>
        <v>Prepare for Showcase</v>
      </c>
      <c r="Y1819" s="4" t="str">
        <f t="shared" si="2"/>
        <v/>
      </c>
      <c r="Z1819" s="4" t="str">
        <f>IFERROR(__xludf.DUMMYFUNCTION("IFERROR(
  FILTER('CBK Students'!O:O, TRIM('CBK Students'!B:B) = TRIM(A1819)),
  """"
)"),"#REF!")</f>
        <v>#REF!</v>
      </c>
      <c r="AA1819" s="4" t="str">
        <f>IFERROR(__xludf.DUMMYFUNCTION("IFERROR(
  FILTER('CBK Students'!P:P, TRIM('CBK Students'!B:B) = TRIM(A1819)),
  """"
)"),"#REF!")</f>
        <v>#REF!</v>
      </c>
      <c r="AB1819" s="4" t="str">
        <f>IFERROR(__xludf.DUMMYFUNCTION("IFERROR(
  FILTER('CBK Students'!Q:Q, TRIM('CBK Students'!B:B) = TRIM(A1819)),
  """"
)"),"#REF!")</f>
        <v>#REF!</v>
      </c>
    </row>
    <row r="1820" ht="18.75" customHeight="1">
      <c r="T1820" s="4"/>
      <c r="U1820" s="4"/>
      <c r="V1820" s="4">
        <f>IFERROR(__xludf.DUMMYFUNCTION("""COMPUTED_VALUE"""),6590.0)</f>
        <v>6590</v>
      </c>
      <c r="W1820" s="240" t="str">
        <f t="shared" si="1"/>
        <v/>
      </c>
      <c r="X1820" s="4" t="str">
        <f>IFERROR(__xludf.DUMMYFUNCTION("""COMPUTED_VALUE"""),"Prepare for Showcase")</f>
        <v>Prepare for Showcase</v>
      </c>
      <c r="Y1820" s="4" t="str">
        <f t="shared" si="2"/>
        <v/>
      </c>
      <c r="Z1820" s="4" t="str">
        <f>IFERROR(__xludf.DUMMYFUNCTION("IFERROR(
  FILTER('CBK Students'!O:O, TRIM('CBK Students'!B:B) = TRIM(A1820)),
  """"
)"),"#REF!")</f>
        <v>#REF!</v>
      </c>
      <c r="AA1820" s="4" t="str">
        <f>IFERROR(__xludf.DUMMYFUNCTION("IFERROR(
  FILTER('CBK Students'!P:P, TRIM('CBK Students'!B:B) = TRIM(A1820)),
  """"
)"),"#REF!")</f>
        <v>#REF!</v>
      </c>
      <c r="AB1820" s="4" t="str">
        <f>IFERROR(__xludf.DUMMYFUNCTION("IFERROR(
  FILTER('CBK Students'!Q:Q, TRIM('CBK Students'!B:B) = TRIM(A1820)),
  """"
)"),"#REF!")</f>
        <v>#REF!</v>
      </c>
    </row>
    <row r="1821" ht="18.75" customHeight="1">
      <c r="T1821" s="4"/>
      <c r="U1821" s="4"/>
      <c r="V1821" s="4">
        <f>IFERROR(__xludf.DUMMYFUNCTION("""COMPUTED_VALUE"""),6590.0)</f>
        <v>6590</v>
      </c>
      <c r="W1821" s="240" t="str">
        <f t="shared" si="1"/>
        <v/>
      </c>
      <c r="X1821" s="4" t="str">
        <f>IFERROR(__xludf.DUMMYFUNCTION("""COMPUTED_VALUE"""),"Prepare for Showcase")</f>
        <v>Prepare for Showcase</v>
      </c>
      <c r="Y1821" s="4" t="str">
        <f t="shared" si="2"/>
        <v/>
      </c>
      <c r="Z1821" s="4" t="str">
        <f>IFERROR(__xludf.DUMMYFUNCTION("IFERROR(
  FILTER('CBK Students'!O:O, TRIM('CBK Students'!B:B) = TRIM(A1821)),
  """"
)"),"#REF!")</f>
        <v>#REF!</v>
      </c>
      <c r="AA1821" s="4" t="str">
        <f>IFERROR(__xludf.DUMMYFUNCTION("IFERROR(
  FILTER('CBK Students'!P:P, TRIM('CBK Students'!B:B) = TRIM(A1821)),
  """"
)"),"#REF!")</f>
        <v>#REF!</v>
      </c>
      <c r="AB1821" s="4" t="str">
        <f>IFERROR(__xludf.DUMMYFUNCTION("IFERROR(
  FILTER('CBK Students'!Q:Q, TRIM('CBK Students'!B:B) = TRIM(A1821)),
  """"
)"),"#REF!")</f>
        <v>#REF!</v>
      </c>
    </row>
    <row r="1822" ht="18.75" customHeight="1">
      <c r="T1822" s="4"/>
      <c r="U1822" s="4"/>
      <c r="V1822" s="4">
        <f>IFERROR(__xludf.DUMMYFUNCTION("""COMPUTED_VALUE"""),6590.0)</f>
        <v>6590</v>
      </c>
      <c r="W1822" s="240" t="str">
        <f t="shared" si="1"/>
        <v/>
      </c>
      <c r="X1822" s="4" t="str">
        <f>IFERROR(__xludf.DUMMYFUNCTION("""COMPUTED_VALUE"""),"Prepare for Showcase")</f>
        <v>Prepare for Showcase</v>
      </c>
      <c r="Y1822" s="4" t="str">
        <f t="shared" si="2"/>
        <v/>
      </c>
      <c r="Z1822" s="4" t="str">
        <f>IFERROR(__xludf.DUMMYFUNCTION("IFERROR(
  FILTER('CBK Students'!O:O, TRIM('CBK Students'!B:B) = TRIM(A1822)),
  """"
)"),"#REF!")</f>
        <v>#REF!</v>
      </c>
      <c r="AA1822" s="4" t="str">
        <f>IFERROR(__xludf.DUMMYFUNCTION("IFERROR(
  FILTER('CBK Students'!P:P, TRIM('CBK Students'!B:B) = TRIM(A1822)),
  """"
)"),"#REF!")</f>
        <v>#REF!</v>
      </c>
      <c r="AB1822" s="4" t="str">
        <f>IFERROR(__xludf.DUMMYFUNCTION("IFERROR(
  FILTER('CBK Students'!Q:Q, TRIM('CBK Students'!B:B) = TRIM(A1822)),
  """"
)"),"#REF!")</f>
        <v>#REF!</v>
      </c>
    </row>
    <row r="1823" ht="18.75" customHeight="1">
      <c r="T1823" s="4"/>
      <c r="U1823" s="4"/>
      <c r="V1823" s="4">
        <f>IFERROR(__xludf.DUMMYFUNCTION("""COMPUTED_VALUE"""),6590.0)</f>
        <v>6590</v>
      </c>
      <c r="W1823" s="240" t="str">
        <f t="shared" si="1"/>
        <v/>
      </c>
      <c r="X1823" s="4" t="str">
        <f>IFERROR(__xludf.DUMMYFUNCTION("""COMPUTED_VALUE"""),"Prepare for Showcase")</f>
        <v>Prepare for Showcase</v>
      </c>
      <c r="Y1823" s="4" t="str">
        <f t="shared" si="2"/>
        <v/>
      </c>
      <c r="Z1823" s="4" t="str">
        <f>IFERROR(__xludf.DUMMYFUNCTION("IFERROR(
  FILTER('CBK Students'!O:O, TRIM('CBK Students'!B:B) = TRIM(A1823)),
  """"
)"),"#REF!")</f>
        <v>#REF!</v>
      </c>
      <c r="AA1823" s="4" t="str">
        <f>IFERROR(__xludf.DUMMYFUNCTION("IFERROR(
  FILTER('CBK Students'!P:P, TRIM('CBK Students'!B:B) = TRIM(A1823)),
  """"
)"),"#REF!")</f>
        <v>#REF!</v>
      </c>
      <c r="AB1823" s="4" t="str">
        <f>IFERROR(__xludf.DUMMYFUNCTION("IFERROR(
  FILTER('CBK Students'!Q:Q, TRIM('CBK Students'!B:B) = TRIM(A1823)),
  """"
)"),"#REF!")</f>
        <v>#REF!</v>
      </c>
    </row>
    <row r="1824" ht="18.75" customHeight="1">
      <c r="T1824" s="4"/>
      <c r="U1824" s="4"/>
      <c r="V1824" s="4">
        <f>IFERROR(__xludf.DUMMYFUNCTION("""COMPUTED_VALUE"""),6590.0)</f>
        <v>6590</v>
      </c>
      <c r="W1824" s="240" t="str">
        <f t="shared" si="1"/>
        <v/>
      </c>
      <c r="X1824" s="4" t="str">
        <f>IFERROR(__xludf.DUMMYFUNCTION("""COMPUTED_VALUE"""),"Prepare for Showcase")</f>
        <v>Prepare for Showcase</v>
      </c>
      <c r="Y1824" s="4" t="str">
        <f t="shared" si="2"/>
        <v/>
      </c>
      <c r="Z1824" s="4" t="str">
        <f>IFERROR(__xludf.DUMMYFUNCTION("IFERROR(
  FILTER('CBK Students'!O:O, TRIM('CBK Students'!B:B) = TRIM(A1824)),
  """"
)"),"#REF!")</f>
        <v>#REF!</v>
      </c>
      <c r="AA1824" s="4" t="str">
        <f>IFERROR(__xludf.DUMMYFUNCTION("IFERROR(
  FILTER('CBK Students'!P:P, TRIM('CBK Students'!B:B) = TRIM(A1824)),
  """"
)"),"#REF!")</f>
        <v>#REF!</v>
      </c>
      <c r="AB1824" s="4" t="str">
        <f>IFERROR(__xludf.DUMMYFUNCTION("IFERROR(
  FILTER('CBK Students'!Q:Q, TRIM('CBK Students'!B:B) = TRIM(A1824)),
  """"
)"),"#REF!")</f>
        <v>#REF!</v>
      </c>
    </row>
    <row r="1825" ht="18.75" customHeight="1">
      <c r="T1825" s="4"/>
      <c r="U1825" s="4"/>
      <c r="V1825" s="4">
        <f>IFERROR(__xludf.DUMMYFUNCTION("""COMPUTED_VALUE"""),6590.0)</f>
        <v>6590</v>
      </c>
      <c r="W1825" s="240" t="str">
        <f t="shared" si="1"/>
        <v/>
      </c>
      <c r="X1825" s="4" t="str">
        <f>IFERROR(__xludf.DUMMYFUNCTION("""COMPUTED_VALUE"""),"Prepare for Showcase")</f>
        <v>Prepare for Showcase</v>
      </c>
      <c r="Y1825" s="4" t="str">
        <f t="shared" si="2"/>
        <v/>
      </c>
      <c r="Z1825" s="4" t="str">
        <f>IFERROR(__xludf.DUMMYFUNCTION("IFERROR(
  FILTER('CBK Students'!O:O, TRIM('CBK Students'!B:B) = TRIM(A1825)),
  """"
)"),"#REF!")</f>
        <v>#REF!</v>
      </c>
      <c r="AA1825" s="4" t="str">
        <f>IFERROR(__xludf.DUMMYFUNCTION("IFERROR(
  FILTER('CBK Students'!P:P, TRIM('CBK Students'!B:B) = TRIM(A1825)),
  """"
)"),"#REF!")</f>
        <v>#REF!</v>
      </c>
      <c r="AB1825" s="4" t="str">
        <f>IFERROR(__xludf.DUMMYFUNCTION("IFERROR(
  FILTER('CBK Students'!Q:Q, TRIM('CBK Students'!B:B) = TRIM(A1825)),
  """"
)"),"#REF!")</f>
        <v>#REF!</v>
      </c>
    </row>
    <row r="1826" ht="18.75" customHeight="1">
      <c r="T1826" s="4"/>
      <c r="U1826" s="4"/>
      <c r="V1826" s="4">
        <f>IFERROR(__xludf.DUMMYFUNCTION("""COMPUTED_VALUE"""),6590.0)</f>
        <v>6590</v>
      </c>
      <c r="W1826" s="240" t="str">
        <f t="shared" si="1"/>
        <v/>
      </c>
      <c r="X1826" s="4" t="str">
        <f>IFERROR(__xludf.DUMMYFUNCTION("""COMPUTED_VALUE"""),"Prepare for Showcase")</f>
        <v>Prepare for Showcase</v>
      </c>
      <c r="Y1826" s="4" t="str">
        <f t="shared" si="2"/>
        <v/>
      </c>
      <c r="Z1826" s="4" t="str">
        <f>IFERROR(__xludf.DUMMYFUNCTION("IFERROR(
  FILTER('CBK Students'!O:O, TRIM('CBK Students'!B:B) = TRIM(A1826)),
  """"
)"),"#REF!")</f>
        <v>#REF!</v>
      </c>
      <c r="AA1826" s="4" t="str">
        <f>IFERROR(__xludf.DUMMYFUNCTION("IFERROR(
  FILTER('CBK Students'!P:P, TRIM('CBK Students'!B:B) = TRIM(A1826)),
  """"
)"),"#REF!")</f>
        <v>#REF!</v>
      </c>
      <c r="AB1826" s="4" t="str">
        <f>IFERROR(__xludf.DUMMYFUNCTION("IFERROR(
  FILTER('CBK Students'!Q:Q, TRIM('CBK Students'!B:B) = TRIM(A1826)),
  """"
)"),"#REF!")</f>
        <v>#REF!</v>
      </c>
    </row>
    <row r="1827" ht="18.75" customHeight="1">
      <c r="T1827" s="4"/>
      <c r="U1827" s="4"/>
      <c r="V1827" s="4">
        <f>IFERROR(__xludf.DUMMYFUNCTION("""COMPUTED_VALUE"""),6590.0)</f>
        <v>6590</v>
      </c>
      <c r="W1827" s="240" t="str">
        <f t="shared" si="1"/>
        <v/>
      </c>
      <c r="X1827" s="4" t="str">
        <f>IFERROR(__xludf.DUMMYFUNCTION("""COMPUTED_VALUE"""),"Prepare for Showcase")</f>
        <v>Prepare for Showcase</v>
      </c>
      <c r="Y1827" s="4" t="str">
        <f t="shared" si="2"/>
        <v/>
      </c>
      <c r="Z1827" s="4" t="str">
        <f>IFERROR(__xludf.DUMMYFUNCTION("IFERROR(
  FILTER('CBK Students'!O:O, TRIM('CBK Students'!B:B) = TRIM(A1827)),
  """"
)"),"#REF!")</f>
        <v>#REF!</v>
      </c>
      <c r="AA1827" s="4" t="str">
        <f>IFERROR(__xludf.DUMMYFUNCTION("IFERROR(
  FILTER('CBK Students'!P:P, TRIM('CBK Students'!B:B) = TRIM(A1827)),
  """"
)"),"#REF!")</f>
        <v>#REF!</v>
      </c>
      <c r="AB1827" s="4" t="str">
        <f>IFERROR(__xludf.DUMMYFUNCTION("IFERROR(
  FILTER('CBK Students'!Q:Q, TRIM('CBK Students'!B:B) = TRIM(A1827)),
  """"
)"),"#REF!")</f>
        <v>#REF!</v>
      </c>
    </row>
    <row r="1828" ht="18.75" customHeight="1">
      <c r="T1828" s="4"/>
      <c r="U1828" s="4"/>
      <c r="V1828" s="4">
        <f>IFERROR(__xludf.DUMMYFUNCTION("""COMPUTED_VALUE"""),6590.0)</f>
        <v>6590</v>
      </c>
      <c r="W1828" s="240" t="str">
        <f t="shared" si="1"/>
        <v/>
      </c>
      <c r="X1828" s="4" t="str">
        <f>IFERROR(__xludf.DUMMYFUNCTION("""COMPUTED_VALUE"""),"Prepare for Showcase")</f>
        <v>Prepare for Showcase</v>
      </c>
      <c r="Y1828" s="4" t="str">
        <f t="shared" si="2"/>
        <v/>
      </c>
      <c r="Z1828" s="4" t="str">
        <f>IFERROR(__xludf.DUMMYFUNCTION("IFERROR(
  FILTER('CBK Students'!O:O, TRIM('CBK Students'!B:B) = TRIM(A1828)),
  """"
)"),"#REF!")</f>
        <v>#REF!</v>
      </c>
      <c r="AA1828" s="4" t="str">
        <f>IFERROR(__xludf.DUMMYFUNCTION("IFERROR(
  FILTER('CBK Students'!P:P, TRIM('CBK Students'!B:B) = TRIM(A1828)),
  """"
)"),"#REF!")</f>
        <v>#REF!</v>
      </c>
      <c r="AB1828" s="4" t="str">
        <f>IFERROR(__xludf.DUMMYFUNCTION("IFERROR(
  FILTER('CBK Students'!Q:Q, TRIM('CBK Students'!B:B) = TRIM(A1828)),
  """"
)"),"#REF!")</f>
        <v>#REF!</v>
      </c>
    </row>
    <row r="1829" ht="18.75" customHeight="1">
      <c r="T1829" s="4"/>
      <c r="U1829" s="4"/>
      <c r="V1829" s="4">
        <f>IFERROR(__xludf.DUMMYFUNCTION("""COMPUTED_VALUE"""),6590.0)</f>
        <v>6590</v>
      </c>
      <c r="W1829" s="240" t="str">
        <f t="shared" si="1"/>
        <v/>
      </c>
      <c r="X1829" s="4" t="str">
        <f>IFERROR(__xludf.DUMMYFUNCTION("""COMPUTED_VALUE"""),"Prepare for Showcase")</f>
        <v>Prepare for Showcase</v>
      </c>
      <c r="Y1829" s="4" t="str">
        <f t="shared" si="2"/>
        <v/>
      </c>
      <c r="Z1829" s="4" t="str">
        <f>IFERROR(__xludf.DUMMYFUNCTION("IFERROR(
  FILTER('CBK Students'!O:O, TRIM('CBK Students'!B:B) = TRIM(A1829)),
  """"
)"),"#REF!")</f>
        <v>#REF!</v>
      </c>
      <c r="AA1829" s="4" t="str">
        <f>IFERROR(__xludf.DUMMYFUNCTION("IFERROR(
  FILTER('CBK Students'!P:P, TRIM('CBK Students'!B:B) = TRIM(A1829)),
  """"
)"),"#REF!")</f>
        <v>#REF!</v>
      </c>
      <c r="AB1829" s="4" t="str">
        <f>IFERROR(__xludf.DUMMYFUNCTION("IFERROR(
  FILTER('CBK Students'!Q:Q, TRIM('CBK Students'!B:B) = TRIM(A1829)),
  """"
)"),"#REF!")</f>
        <v>#REF!</v>
      </c>
    </row>
    <row r="1830" ht="18.75" customHeight="1">
      <c r="T1830" s="4"/>
      <c r="U1830" s="4"/>
      <c r="V1830" s="4">
        <f>IFERROR(__xludf.DUMMYFUNCTION("""COMPUTED_VALUE"""),6590.0)</f>
        <v>6590</v>
      </c>
      <c r="W1830" s="240" t="str">
        <f t="shared" si="1"/>
        <v/>
      </c>
      <c r="X1830" s="4" t="str">
        <f>IFERROR(__xludf.DUMMYFUNCTION("""COMPUTED_VALUE"""),"Prepare for Showcase")</f>
        <v>Prepare for Showcase</v>
      </c>
      <c r="Y1830" s="4" t="str">
        <f t="shared" si="2"/>
        <v/>
      </c>
      <c r="Z1830" s="4" t="str">
        <f>IFERROR(__xludf.DUMMYFUNCTION("IFERROR(
  FILTER('CBK Students'!O:O, TRIM('CBK Students'!B:B) = TRIM(A1830)),
  """"
)"),"#REF!")</f>
        <v>#REF!</v>
      </c>
      <c r="AA1830" s="4" t="str">
        <f>IFERROR(__xludf.DUMMYFUNCTION("IFERROR(
  FILTER('CBK Students'!P:P, TRIM('CBK Students'!B:B) = TRIM(A1830)),
  """"
)"),"#REF!")</f>
        <v>#REF!</v>
      </c>
      <c r="AB1830" s="4" t="str">
        <f>IFERROR(__xludf.DUMMYFUNCTION("IFERROR(
  FILTER('CBK Students'!Q:Q, TRIM('CBK Students'!B:B) = TRIM(A1830)),
  """"
)"),"#REF!")</f>
        <v>#REF!</v>
      </c>
    </row>
    <row r="1831" ht="18.75" customHeight="1">
      <c r="T1831" s="4"/>
      <c r="U1831" s="4"/>
      <c r="V1831" s="4">
        <f>IFERROR(__xludf.DUMMYFUNCTION("""COMPUTED_VALUE"""),6590.0)</f>
        <v>6590</v>
      </c>
      <c r="W1831" s="240" t="str">
        <f t="shared" si="1"/>
        <v/>
      </c>
      <c r="X1831" s="4" t="str">
        <f>IFERROR(__xludf.DUMMYFUNCTION("""COMPUTED_VALUE"""),"Prepare for Showcase")</f>
        <v>Prepare for Showcase</v>
      </c>
      <c r="Y1831" s="4" t="str">
        <f t="shared" si="2"/>
        <v/>
      </c>
      <c r="Z1831" s="4" t="str">
        <f>IFERROR(__xludf.DUMMYFUNCTION("IFERROR(
  FILTER('CBK Students'!O:O, TRIM('CBK Students'!B:B) = TRIM(A1831)),
  """"
)"),"#REF!")</f>
        <v>#REF!</v>
      </c>
      <c r="AA1831" s="4" t="str">
        <f>IFERROR(__xludf.DUMMYFUNCTION("IFERROR(
  FILTER('CBK Students'!P:P, TRIM('CBK Students'!B:B) = TRIM(A1831)),
  """"
)"),"#REF!")</f>
        <v>#REF!</v>
      </c>
      <c r="AB1831" s="4" t="str">
        <f>IFERROR(__xludf.DUMMYFUNCTION("IFERROR(
  FILTER('CBK Students'!Q:Q, TRIM('CBK Students'!B:B) = TRIM(A1831)),
  """"
)"),"#REF!")</f>
        <v>#REF!</v>
      </c>
    </row>
    <row r="1832" ht="18.75" customHeight="1">
      <c r="T1832" s="4"/>
      <c r="U1832" s="4"/>
      <c r="V1832" s="4">
        <f>IFERROR(__xludf.DUMMYFUNCTION("""COMPUTED_VALUE"""),6590.0)</f>
        <v>6590</v>
      </c>
      <c r="W1832" s="240" t="str">
        <f t="shared" si="1"/>
        <v/>
      </c>
      <c r="X1832" s="4" t="str">
        <f>IFERROR(__xludf.DUMMYFUNCTION("""COMPUTED_VALUE"""),"Prepare for Showcase")</f>
        <v>Prepare for Showcase</v>
      </c>
      <c r="Y1832" s="4" t="str">
        <f t="shared" si="2"/>
        <v/>
      </c>
      <c r="Z1832" s="4" t="str">
        <f>IFERROR(__xludf.DUMMYFUNCTION("IFERROR(
  FILTER('CBK Students'!O:O, TRIM('CBK Students'!B:B) = TRIM(A1832)),
  """"
)"),"#REF!")</f>
        <v>#REF!</v>
      </c>
      <c r="AA1832" s="4" t="str">
        <f>IFERROR(__xludf.DUMMYFUNCTION("IFERROR(
  FILTER('CBK Students'!P:P, TRIM('CBK Students'!B:B) = TRIM(A1832)),
  """"
)"),"#REF!")</f>
        <v>#REF!</v>
      </c>
      <c r="AB1832" s="4" t="str">
        <f>IFERROR(__xludf.DUMMYFUNCTION("IFERROR(
  FILTER('CBK Students'!Q:Q, TRIM('CBK Students'!B:B) = TRIM(A1832)),
  """"
)"),"#REF!")</f>
        <v>#REF!</v>
      </c>
    </row>
    <row r="1833" ht="18.75" customHeight="1">
      <c r="T1833" s="4"/>
      <c r="U1833" s="4"/>
      <c r="V1833" s="4">
        <f>IFERROR(__xludf.DUMMYFUNCTION("""COMPUTED_VALUE"""),6590.0)</f>
        <v>6590</v>
      </c>
      <c r="W1833" s="240" t="str">
        <f t="shared" si="1"/>
        <v/>
      </c>
      <c r="X1833" s="4" t="str">
        <f>IFERROR(__xludf.DUMMYFUNCTION("""COMPUTED_VALUE"""),"Prepare for Showcase")</f>
        <v>Prepare for Showcase</v>
      </c>
      <c r="Y1833" s="4" t="str">
        <f t="shared" si="2"/>
        <v/>
      </c>
      <c r="Z1833" s="4" t="str">
        <f>IFERROR(__xludf.DUMMYFUNCTION("IFERROR(
  FILTER('CBK Students'!O:O, TRIM('CBK Students'!B:B) = TRIM(A1833)),
  """"
)"),"#REF!")</f>
        <v>#REF!</v>
      </c>
      <c r="AA1833" s="4" t="str">
        <f>IFERROR(__xludf.DUMMYFUNCTION("IFERROR(
  FILTER('CBK Students'!P:P, TRIM('CBK Students'!B:B) = TRIM(A1833)),
  """"
)"),"#REF!")</f>
        <v>#REF!</v>
      </c>
      <c r="AB1833" s="4" t="str">
        <f>IFERROR(__xludf.DUMMYFUNCTION("IFERROR(
  FILTER('CBK Students'!Q:Q, TRIM('CBK Students'!B:B) = TRIM(A1833)),
  """"
)"),"#REF!")</f>
        <v>#REF!</v>
      </c>
    </row>
    <row r="1834" ht="18.75" customHeight="1">
      <c r="T1834" s="4"/>
      <c r="U1834" s="4"/>
      <c r="V1834" s="4">
        <f>IFERROR(__xludf.DUMMYFUNCTION("""COMPUTED_VALUE"""),6590.0)</f>
        <v>6590</v>
      </c>
      <c r="W1834" s="240" t="str">
        <f t="shared" si="1"/>
        <v/>
      </c>
      <c r="X1834" s="4" t="str">
        <f>IFERROR(__xludf.DUMMYFUNCTION("""COMPUTED_VALUE"""),"Prepare for Showcase")</f>
        <v>Prepare for Showcase</v>
      </c>
      <c r="Y1834" s="4" t="str">
        <f t="shared" si="2"/>
        <v/>
      </c>
      <c r="Z1834" s="4" t="str">
        <f>IFERROR(__xludf.DUMMYFUNCTION("IFERROR(
  FILTER('CBK Students'!O:O, TRIM('CBK Students'!B:B) = TRIM(A1834)),
  """"
)"),"#REF!")</f>
        <v>#REF!</v>
      </c>
      <c r="AA1834" s="4" t="str">
        <f>IFERROR(__xludf.DUMMYFUNCTION("IFERROR(
  FILTER('CBK Students'!P:P, TRIM('CBK Students'!B:B) = TRIM(A1834)),
  """"
)"),"#REF!")</f>
        <v>#REF!</v>
      </c>
      <c r="AB1834" s="4" t="str">
        <f>IFERROR(__xludf.DUMMYFUNCTION("IFERROR(
  FILTER('CBK Students'!Q:Q, TRIM('CBK Students'!B:B) = TRIM(A1834)),
  """"
)"),"#REF!")</f>
        <v>#REF!</v>
      </c>
    </row>
    <row r="1835" ht="18.75" customHeight="1">
      <c r="T1835" s="4"/>
      <c r="U1835" s="4"/>
      <c r="V1835" s="4">
        <f>IFERROR(__xludf.DUMMYFUNCTION("""COMPUTED_VALUE"""),6590.0)</f>
        <v>6590</v>
      </c>
      <c r="W1835" s="240" t="str">
        <f t="shared" si="1"/>
        <v/>
      </c>
      <c r="X1835" s="4" t="str">
        <f>IFERROR(__xludf.DUMMYFUNCTION("""COMPUTED_VALUE"""),"Prepare for Showcase")</f>
        <v>Prepare for Showcase</v>
      </c>
      <c r="Y1835" s="4" t="str">
        <f t="shared" si="2"/>
        <v/>
      </c>
      <c r="Z1835" s="4" t="str">
        <f>IFERROR(__xludf.DUMMYFUNCTION("IFERROR(
  FILTER('CBK Students'!O:O, TRIM('CBK Students'!B:B) = TRIM(A1835)),
  """"
)"),"#REF!")</f>
        <v>#REF!</v>
      </c>
      <c r="AA1835" s="4" t="str">
        <f>IFERROR(__xludf.DUMMYFUNCTION("IFERROR(
  FILTER('CBK Students'!P:P, TRIM('CBK Students'!B:B) = TRIM(A1835)),
  """"
)"),"#REF!")</f>
        <v>#REF!</v>
      </c>
      <c r="AB1835" s="4" t="str">
        <f>IFERROR(__xludf.DUMMYFUNCTION("IFERROR(
  FILTER('CBK Students'!Q:Q, TRIM('CBK Students'!B:B) = TRIM(A1835)),
  """"
)"),"#REF!")</f>
        <v>#REF!</v>
      </c>
    </row>
    <row r="1836" ht="18.75" customHeight="1">
      <c r="T1836" s="4"/>
      <c r="U1836" s="4"/>
      <c r="V1836" s="4">
        <f>IFERROR(__xludf.DUMMYFUNCTION("""COMPUTED_VALUE"""),6590.0)</f>
        <v>6590</v>
      </c>
      <c r="W1836" s="240" t="str">
        <f t="shared" si="1"/>
        <v/>
      </c>
      <c r="X1836" s="4" t="str">
        <f>IFERROR(__xludf.DUMMYFUNCTION("""COMPUTED_VALUE"""),"Prepare for Showcase")</f>
        <v>Prepare for Showcase</v>
      </c>
      <c r="Y1836" s="4" t="str">
        <f t="shared" si="2"/>
        <v/>
      </c>
      <c r="Z1836" s="4" t="str">
        <f>IFERROR(__xludf.DUMMYFUNCTION("IFERROR(
  FILTER('CBK Students'!O:O, TRIM('CBK Students'!B:B) = TRIM(A1836)),
  """"
)"),"#REF!")</f>
        <v>#REF!</v>
      </c>
      <c r="AA1836" s="4" t="str">
        <f>IFERROR(__xludf.DUMMYFUNCTION("IFERROR(
  FILTER('CBK Students'!P:P, TRIM('CBK Students'!B:B) = TRIM(A1836)),
  """"
)"),"#REF!")</f>
        <v>#REF!</v>
      </c>
      <c r="AB1836" s="4" t="str">
        <f>IFERROR(__xludf.DUMMYFUNCTION("IFERROR(
  FILTER('CBK Students'!Q:Q, TRIM('CBK Students'!B:B) = TRIM(A1836)),
  """"
)"),"#REF!")</f>
        <v>#REF!</v>
      </c>
    </row>
    <row r="1837" ht="18.75" customHeight="1">
      <c r="T1837" s="4"/>
      <c r="U1837" s="4"/>
      <c r="V1837" s="4">
        <f>IFERROR(__xludf.DUMMYFUNCTION("""COMPUTED_VALUE"""),6590.0)</f>
        <v>6590</v>
      </c>
      <c r="W1837" s="240" t="str">
        <f t="shared" si="1"/>
        <v/>
      </c>
      <c r="X1837" s="4" t="str">
        <f>IFERROR(__xludf.DUMMYFUNCTION("""COMPUTED_VALUE"""),"Prepare for Showcase")</f>
        <v>Prepare for Showcase</v>
      </c>
      <c r="Y1837" s="4" t="str">
        <f t="shared" si="2"/>
        <v/>
      </c>
      <c r="Z1837" s="4" t="str">
        <f>IFERROR(__xludf.DUMMYFUNCTION("IFERROR(
  FILTER('CBK Students'!O:O, TRIM('CBK Students'!B:B) = TRIM(A1837)),
  """"
)"),"#REF!")</f>
        <v>#REF!</v>
      </c>
      <c r="AA1837" s="4" t="str">
        <f>IFERROR(__xludf.DUMMYFUNCTION("IFERROR(
  FILTER('CBK Students'!P:P, TRIM('CBK Students'!B:B) = TRIM(A1837)),
  """"
)"),"#REF!")</f>
        <v>#REF!</v>
      </c>
      <c r="AB1837" s="4" t="str">
        <f>IFERROR(__xludf.DUMMYFUNCTION("IFERROR(
  FILTER('CBK Students'!Q:Q, TRIM('CBK Students'!B:B) = TRIM(A1837)),
  """"
)"),"#REF!")</f>
        <v>#REF!</v>
      </c>
    </row>
    <row r="1838" ht="18.75" customHeight="1">
      <c r="T1838" s="4"/>
      <c r="U1838" s="4"/>
      <c r="V1838" s="4">
        <f>IFERROR(__xludf.DUMMYFUNCTION("""COMPUTED_VALUE"""),6590.0)</f>
        <v>6590</v>
      </c>
      <c r="W1838" s="240" t="str">
        <f t="shared" si="1"/>
        <v/>
      </c>
      <c r="X1838" s="4" t="str">
        <f>IFERROR(__xludf.DUMMYFUNCTION("""COMPUTED_VALUE"""),"Prepare for Showcase")</f>
        <v>Prepare for Showcase</v>
      </c>
      <c r="Y1838" s="4" t="str">
        <f t="shared" si="2"/>
        <v/>
      </c>
      <c r="Z1838" s="4" t="str">
        <f>IFERROR(__xludf.DUMMYFUNCTION("IFERROR(
  FILTER('CBK Students'!O:O, TRIM('CBK Students'!B:B) = TRIM(A1838)),
  """"
)"),"#REF!")</f>
        <v>#REF!</v>
      </c>
      <c r="AA1838" s="4" t="str">
        <f>IFERROR(__xludf.DUMMYFUNCTION("IFERROR(
  FILTER('CBK Students'!P:P, TRIM('CBK Students'!B:B) = TRIM(A1838)),
  """"
)"),"#REF!")</f>
        <v>#REF!</v>
      </c>
      <c r="AB1838" s="4" t="str">
        <f>IFERROR(__xludf.DUMMYFUNCTION("IFERROR(
  FILTER('CBK Students'!Q:Q, TRIM('CBK Students'!B:B) = TRIM(A1838)),
  """"
)"),"#REF!")</f>
        <v>#REF!</v>
      </c>
    </row>
    <row r="1839" ht="18.75" customHeight="1">
      <c r="T1839" s="4"/>
      <c r="U1839" s="4"/>
      <c r="V1839" s="4">
        <f>IFERROR(__xludf.DUMMYFUNCTION("""COMPUTED_VALUE"""),6590.0)</f>
        <v>6590</v>
      </c>
      <c r="W1839" s="240" t="str">
        <f t="shared" si="1"/>
        <v/>
      </c>
      <c r="X1839" s="4" t="str">
        <f>IFERROR(__xludf.DUMMYFUNCTION("""COMPUTED_VALUE"""),"Prepare for Showcase")</f>
        <v>Prepare for Showcase</v>
      </c>
      <c r="Y1839" s="4" t="str">
        <f t="shared" si="2"/>
        <v/>
      </c>
      <c r="Z1839" s="4" t="str">
        <f>IFERROR(__xludf.DUMMYFUNCTION("IFERROR(
  FILTER('CBK Students'!O:O, TRIM('CBK Students'!B:B) = TRIM(A1839)),
  """"
)"),"#REF!")</f>
        <v>#REF!</v>
      </c>
      <c r="AA1839" s="4" t="str">
        <f>IFERROR(__xludf.DUMMYFUNCTION("IFERROR(
  FILTER('CBK Students'!P:P, TRIM('CBK Students'!B:B) = TRIM(A1839)),
  """"
)"),"#REF!")</f>
        <v>#REF!</v>
      </c>
      <c r="AB1839" s="4" t="str">
        <f>IFERROR(__xludf.DUMMYFUNCTION("IFERROR(
  FILTER('CBK Students'!Q:Q, TRIM('CBK Students'!B:B) = TRIM(A1839)),
  """"
)"),"#REF!")</f>
        <v>#REF!</v>
      </c>
    </row>
    <row r="1840" ht="18.75" customHeight="1">
      <c r="T1840" s="4"/>
      <c r="U1840" s="4"/>
      <c r="V1840" s="4">
        <f>IFERROR(__xludf.DUMMYFUNCTION("""COMPUTED_VALUE"""),6590.0)</f>
        <v>6590</v>
      </c>
      <c r="W1840" s="240" t="str">
        <f t="shared" si="1"/>
        <v/>
      </c>
      <c r="X1840" s="4" t="str">
        <f>IFERROR(__xludf.DUMMYFUNCTION("""COMPUTED_VALUE"""),"Prepare for Showcase")</f>
        <v>Prepare for Showcase</v>
      </c>
      <c r="Y1840" s="4" t="str">
        <f t="shared" si="2"/>
        <v/>
      </c>
      <c r="Z1840" s="4" t="str">
        <f>IFERROR(__xludf.DUMMYFUNCTION("IFERROR(
  FILTER('CBK Students'!O:O, TRIM('CBK Students'!B:B) = TRIM(A1840)),
  """"
)"),"#REF!")</f>
        <v>#REF!</v>
      </c>
      <c r="AA1840" s="4" t="str">
        <f>IFERROR(__xludf.DUMMYFUNCTION("IFERROR(
  FILTER('CBK Students'!P:P, TRIM('CBK Students'!B:B) = TRIM(A1840)),
  """"
)"),"#REF!")</f>
        <v>#REF!</v>
      </c>
      <c r="AB1840" s="4" t="str">
        <f>IFERROR(__xludf.DUMMYFUNCTION("IFERROR(
  FILTER('CBK Students'!Q:Q, TRIM('CBK Students'!B:B) = TRIM(A1840)),
  """"
)"),"#REF!")</f>
        <v>#REF!</v>
      </c>
    </row>
    <row r="1841" ht="18.75" customHeight="1">
      <c r="T1841" s="4"/>
      <c r="U1841" s="4"/>
      <c r="V1841" s="4">
        <f>IFERROR(__xludf.DUMMYFUNCTION("""COMPUTED_VALUE"""),6590.0)</f>
        <v>6590</v>
      </c>
      <c r="W1841" s="240" t="str">
        <f t="shared" si="1"/>
        <v/>
      </c>
      <c r="X1841" s="4" t="str">
        <f>IFERROR(__xludf.DUMMYFUNCTION("""COMPUTED_VALUE"""),"Prepare for Showcase")</f>
        <v>Prepare for Showcase</v>
      </c>
      <c r="Y1841" s="4" t="str">
        <f t="shared" si="2"/>
        <v/>
      </c>
      <c r="Z1841" s="4" t="str">
        <f>IFERROR(__xludf.DUMMYFUNCTION("IFERROR(
  FILTER('CBK Students'!O:O, TRIM('CBK Students'!B:B) = TRIM(A1841)),
  """"
)"),"#REF!")</f>
        <v>#REF!</v>
      </c>
      <c r="AA1841" s="4" t="str">
        <f>IFERROR(__xludf.DUMMYFUNCTION("IFERROR(
  FILTER('CBK Students'!P:P, TRIM('CBK Students'!B:B) = TRIM(A1841)),
  """"
)"),"#REF!")</f>
        <v>#REF!</v>
      </c>
      <c r="AB1841" s="4" t="str">
        <f>IFERROR(__xludf.DUMMYFUNCTION("IFERROR(
  FILTER('CBK Students'!Q:Q, TRIM('CBK Students'!B:B) = TRIM(A1841)),
  """"
)"),"#REF!")</f>
        <v>#REF!</v>
      </c>
    </row>
    <row r="1842" ht="18.75" customHeight="1">
      <c r="T1842" s="4"/>
      <c r="U1842" s="4"/>
      <c r="V1842" s="4">
        <f>IFERROR(__xludf.DUMMYFUNCTION("""COMPUTED_VALUE"""),6590.0)</f>
        <v>6590</v>
      </c>
      <c r="W1842" s="240" t="str">
        <f t="shared" si="1"/>
        <v/>
      </c>
      <c r="X1842" s="4" t="str">
        <f>IFERROR(__xludf.DUMMYFUNCTION("""COMPUTED_VALUE"""),"Prepare for Showcase")</f>
        <v>Prepare for Showcase</v>
      </c>
      <c r="Y1842" s="4" t="str">
        <f t="shared" si="2"/>
        <v/>
      </c>
      <c r="Z1842" s="4" t="str">
        <f>IFERROR(__xludf.DUMMYFUNCTION("IFERROR(
  FILTER('CBK Students'!O:O, TRIM('CBK Students'!B:B) = TRIM(A1842)),
  """"
)"),"#REF!")</f>
        <v>#REF!</v>
      </c>
      <c r="AA1842" s="4" t="str">
        <f>IFERROR(__xludf.DUMMYFUNCTION("IFERROR(
  FILTER('CBK Students'!P:P, TRIM('CBK Students'!B:B) = TRIM(A1842)),
  """"
)"),"#REF!")</f>
        <v>#REF!</v>
      </c>
      <c r="AB1842" s="4" t="str">
        <f>IFERROR(__xludf.DUMMYFUNCTION("IFERROR(
  FILTER('CBK Students'!Q:Q, TRIM('CBK Students'!B:B) = TRIM(A1842)),
  """"
)"),"#REF!")</f>
        <v>#REF!</v>
      </c>
    </row>
    <row r="1843" ht="18.75" customHeight="1">
      <c r="T1843" s="4"/>
      <c r="U1843" s="4"/>
      <c r="V1843" s="4">
        <f>IFERROR(__xludf.DUMMYFUNCTION("""COMPUTED_VALUE"""),6590.0)</f>
        <v>6590</v>
      </c>
      <c r="W1843" s="240" t="str">
        <f t="shared" si="1"/>
        <v/>
      </c>
      <c r="X1843" s="4" t="str">
        <f>IFERROR(__xludf.DUMMYFUNCTION("""COMPUTED_VALUE"""),"Prepare for Showcase")</f>
        <v>Prepare for Showcase</v>
      </c>
      <c r="Y1843" s="4" t="str">
        <f t="shared" si="2"/>
        <v/>
      </c>
      <c r="Z1843" s="4" t="str">
        <f>IFERROR(__xludf.DUMMYFUNCTION("IFERROR(
  FILTER('CBK Students'!O:O, TRIM('CBK Students'!B:B) = TRIM(A1843)),
  """"
)"),"#REF!")</f>
        <v>#REF!</v>
      </c>
      <c r="AA1843" s="4" t="str">
        <f>IFERROR(__xludf.DUMMYFUNCTION("IFERROR(
  FILTER('CBK Students'!P:P, TRIM('CBK Students'!B:B) = TRIM(A1843)),
  """"
)"),"#REF!")</f>
        <v>#REF!</v>
      </c>
      <c r="AB1843" s="4" t="str">
        <f>IFERROR(__xludf.DUMMYFUNCTION("IFERROR(
  FILTER('CBK Students'!Q:Q, TRIM('CBK Students'!B:B) = TRIM(A1843)),
  """"
)"),"#REF!")</f>
        <v>#REF!</v>
      </c>
    </row>
    <row r="1844" ht="18.75" customHeight="1">
      <c r="T1844" s="4"/>
      <c r="U1844" s="4"/>
      <c r="V1844" s="4">
        <f>IFERROR(__xludf.DUMMYFUNCTION("""COMPUTED_VALUE"""),6590.0)</f>
        <v>6590</v>
      </c>
      <c r="W1844" s="240" t="str">
        <f t="shared" si="1"/>
        <v/>
      </c>
      <c r="X1844" s="4" t="str">
        <f>IFERROR(__xludf.DUMMYFUNCTION("""COMPUTED_VALUE"""),"Prepare for Showcase")</f>
        <v>Prepare for Showcase</v>
      </c>
      <c r="Y1844" s="4" t="str">
        <f t="shared" si="2"/>
        <v/>
      </c>
      <c r="Z1844" s="4" t="str">
        <f>IFERROR(__xludf.DUMMYFUNCTION("IFERROR(
  FILTER('CBK Students'!O:O, TRIM('CBK Students'!B:B) = TRIM(A1844)),
  """"
)"),"#REF!")</f>
        <v>#REF!</v>
      </c>
      <c r="AA1844" s="4" t="str">
        <f>IFERROR(__xludf.DUMMYFUNCTION("IFERROR(
  FILTER('CBK Students'!P:P, TRIM('CBK Students'!B:B) = TRIM(A1844)),
  """"
)"),"#REF!")</f>
        <v>#REF!</v>
      </c>
      <c r="AB1844" s="4" t="str">
        <f>IFERROR(__xludf.DUMMYFUNCTION("IFERROR(
  FILTER('CBK Students'!Q:Q, TRIM('CBK Students'!B:B) = TRIM(A1844)),
  """"
)"),"#REF!")</f>
        <v>#REF!</v>
      </c>
    </row>
    <row r="1845" ht="18.75" customHeight="1">
      <c r="T1845" s="4"/>
      <c r="U1845" s="4"/>
      <c r="V1845" s="4">
        <f>IFERROR(__xludf.DUMMYFUNCTION("""COMPUTED_VALUE"""),6590.0)</f>
        <v>6590</v>
      </c>
      <c r="W1845" s="240" t="str">
        <f t="shared" si="1"/>
        <v/>
      </c>
      <c r="X1845" s="4" t="str">
        <f>IFERROR(__xludf.DUMMYFUNCTION("""COMPUTED_VALUE"""),"Prepare for Showcase")</f>
        <v>Prepare for Showcase</v>
      </c>
      <c r="Y1845" s="4" t="str">
        <f t="shared" si="2"/>
        <v/>
      </c>
      <c r="Z1845" s="4" t="str">
        <f>IFERROR(__xludf.DUMMYFUNCTION("IFERROR(
  FILTER('CBK Students'!O:O, TRIM('CBK Students'!B:B) = TRIM(A1845)),
  """"
)"),"#REF!")</f>
        <v>#REF!</v>
      </c>
      <c r="AA1845" s="4" t="str">
        <f>IFERROR(__xludf.DUMMYFUNCTION("IFERROR(
  FILTER('CBK Students'!P:P, TRIM('CBK Students'!B:B) = TRIM(A1845)),
  """"
)"),"#REF!")</f>
        <v>#REF!</v>
      </c>
      <c r="AB1845" s="4" t="str">
        <f>IFERROR(__xludf.DUMMYFUNCTION("IFERROR(
  FILTER('CBK Students'!Q:Q, TRIM('CBK Students'!B:B) = TRIM(A1845)),
  """"
)"),"#REF!")</f>
        <v>#REF!</v>
      </c>
    </row>
    <row r="1846" ht="18.75" customHeight="1">
      <c r="T1846" s="4"/>
      <c r="U1846" s="4"/>
      <c r="V1846" s="4">
        <f>IFERROR(__xludf.DUMMYFUNCTION("""COMPUTED_VALUE"""),6590.0)</f>
        <v>6590</v>
      </c>
      <c r="W1846" s="240" t="str">
        <f t="shared" si="1"/>
        <v/>
      </c>
      <c r="X1846" s="4" t="str">
        <f>IFERROR(__xludf.DUMMYFUNCTION("""COMPUTED_VALUE"""),"Prepare for Showcase")</f>
        <v>Prepare for Showcase</v>
      </c>
      <c r="Y1846" s="4" t="str">
        <f t="shared" si="2"/>
        <v/>
      </c>
      <c r="Z1846" s="4" t="str">
        <f>IFERROR(__xludf.DUMMYFUNCTION("IFERROR(
  FILTER('CBK Students'!O:O, TRIM('CBK Students'!B:B) = TRIM(A1846)),
  """"
)"),"#REF!")</f>
        <v>#REF!</v>
      </c>
      <c r="AA1846" s="4" t="str">
        <f>IFERROR(__xludf.DUMMYFUNCTION("IFERROR(
  FILTER('CBK Students'!P:P, TRIM('CBK Students'!B:B) = TRIM(A1846)),
  """"
)"),"#REF!")</f>
        <v>#REF!</v>
      </c>
      <c r="AB1846" s="4" t="str">
        <f>IFERROR(__xludf.DUMMYFUNCTION("IFERROR(
  FILTER('CBK Students'!Q:Q, TRIM('CBK Students'!B:B) = TRIM(A1846)),
  """"
)"),"#REF!")</f>
        <v>#REF!</v>
      </c>
    </row>
    <row r="1847" ht="18.75" customHeight="1">
      <c r="T1847" s="4"/>
      <c r="U1847" s="4"/>
      <c r="V1847" s="4">
        <f>IFERROR(__xludf.DUMMYFUNCTION("""COMPUTED_VALUE"""),6590.0)</f>
        <v>6590</v>
      </c>
      <c r="W1847" s="240" t="str">
        <f t="shared" si="1"/>
        <v/>
      </c>
      <c r="X1847" s="4" t="str">
        <f>IFERROR(__xludf.DUMMYFUNCTION("""COMPUTED_VALUE"""),"Prepare for Showcase")</f>
        <v>Prepare for Showcase</v>
      </c>
      <c r="Y1847" s="4" t="str">
        <f t="shared" si="2"/>
        <v/>
      </c>
      <c r="Z1847" s="4" t="str">
        <f>IFERROR(__xludf.DUMMYFUNCTION("IFERROR(
  FILTER('CBK Students'!O:O, TRIM('CBK Students'!B:B) = TRIM(A1847)),
  """"
)"),"#REF!")</f>
        <v>#REF!</v>
      </c>
      <c r="AA1847" s="4" t="str">
        <f>IFERROR(__xludf.DUMMYFUNCTION("IFERROR(
  FILTER('CBK Students'!P:P, TRIM('CBK Students'!B:B) = TRIM(A1847)),
  """"
)"),"#REF!")</f>
        <v>#REF!</v>
      </c>
      <c r="AB1847" s="4" t="str">
        <f>IFERROR(__xludf.DUMMYFUNCTION("IFERROR(
  FILTER('CBK Students'!Q:Q, TRIM('CBK Students'!B:B) = TRIM(A1847)),
  """"
)"),"#REF!")</f>
        <v>#REF!</v>
      </c>
    </row>
    <row r="1848" ht="18.75" customHeight="1">
      <c r="T1848" s="4"/>
      <c r="U1848" s="4"/>
      <c r="V1848" s="4">
        <f>IFERROR(__xludf.DUMMYFUNCTION("""COMPUTED_VALUE"""),6590.0)</f>
        <v>6590</v>
      </c>
      <c r="W1848" s="240" t="str">
        <f t="shared" si="1"/>
        <v/>
      </c>
      <c r="X1848" s="4" t="str">
        <f>IFERROR(__xludf.DUMMYFUNCTION("""COMPUTED_VALUE"""),"Prepare for Showcase")</f>
        <v>Prepare for Showcase</v>
      </c>
      <c r="Y1848" s="4" t="str">
        <f t="shared" si="2"/>
        <v/>
      </c>
      <c r="Z1848" s="4" t="str">
        <f>IFERROR(__xludf.DUMMYFUNCTION("IFERROR(
  FILTER('CBK Students'!O:O, TRIM('CBK Students'!B:B) = TRIM(A1848)),
  """"
)"),"#REF!")</f>
        <v>#REF!</v>
      </c>
      <c r="AA1848" s="4" t="str">
        <f>IFERROR(__xludf.DUMMYFUNCTION("IFERROR(
  FILTER('CBK Students'!P:P, TRIM('CBK Students'!B:B) = TRIM(A1848)),
  """"
)"),"#REF!")</f>
        <v>#REF!</v>
      </c>
      <c r="AB1848" s="4" t="str">
        <f>IFERROR(__xludf.DUMMYFUNCTION("IFERROR(
  FILTER('CBK Students'!Q:Q, TRIM('CBK Students'!B:B) = TRIM(A1848)),
  """"
)"),"#REF!")</f>
        <v>#REF!</v>
      </c>
    </row>
    <row r="1849" ht="18.75" customHeight="1">
      <c r="T1849" s="4"/>
      <c r="U1849" s="4"/>
      <c r="V1849" s="4">
        <f>IFERROR(__xludf.DUMMYFUNCTION("""COMPUTED_VALUE"""),6590.0)</f>
        <v>6590</v>
      </c>
      <c r="W1849" s="240" t="str">
        <f t="shared" si="1"/>
        <v/>
      </c>
      <c r="X1849" s="4" t="str">
        <f>IFERROR(__xludf.DUMMYFUNCTION("""COMPUTED_VALUE"""),"Prepare for Showcase")</f>
        <v>Prepare for Showcase</v>
      </c>
      <c r="Y1849" s="4" t="str">
        <f t="shared" si="2"/>
        <v/>
      </c>
      <c r="Z1849" s="4" t="str">
        <f>IFERROR(__xludf.DUMMYFUNCTION("IFERROR(
  FILTER('CBK Students'!O:O, TRIM('CBK Students'!B:B) = TRIM(A1849)),
  """"
)"),"#REF!")</f>
        <v>#REF!</v>
      </c>
      <c r="AA1849" s="4" t="str">
        <f>IFERROR(__xludf.DUMMYFUNCTION("IFERROR(
  FILTER('CBK Students'!P:P, TRIM('CBK Students'!B:B) = TRIM(A1849)),
  """"
)"),"#REF!")</f>
        <v>#REF!</v>
      </c>
      <c r="AB1849" s="4" t="str">
        <f>IFERROR(__xludf.DUMMYFUNCTION("IFERROR(
  FILTER('CBK Students'!Q:Q, TRIM('CBK Students'!B:B) = TRIM(A1849)),
  """"
)"),"#REF!")</f>
        <v>#REF!</v>
      </c>
    </row>
    <row r="1850" ht="18.75" customHeight="1">
      <c r="T1850" s="4"/>
      <c r="U1850" s="4"/>
      <c r="V1850" s="4">
        <f>IFERROR(__xludf.DUMMYFUNCTION("""COMPUTED_VALUE"""),6590.0)</f>
        <v>6590</v>
      </c>
      <c r="W1850" s="240" t="str">
        <f t="shared" si="1"/>
        <v/>
      </c>
      <c r="X1850" s="4" t="str">
        <f>IFERROR(__xludf.DUMMYFUNCTION("""COMPUTED_VALUE"""),"Prepare for Showcase")</f>
        <v>Prepare for Showcase</v>
      </c>
      <c r="Y1850" s="4" t="str">
        <f t="shared" si="2"/>
        <v/>
      </c>
      <c r="Z1850" s="4" t="str">
        <f>IFERROR(__xludf.DUMMYFUNCTION("IFERROR(
  FILTER('CBK Students'!O:O, TRIM('CBK Students'!B:B) = TRIM(A1850)),
  """"
)"),"#REF!")</f>
        <v>#REF!</v>
      </c>
      <c r="AA1850" s="4" t="str">
        <f>IFERROR(__xludf.DUMMYFUNCTION("IFERROR(
  FILTER('CBK Students'!P:P, TRIM('CBK Students'!B:B) = TRIM(A1850)),
  """"
)"),"#REF!")</f>
        <v>#REF!</v>
      </c>
      <c r="AB1850" s="4" t="str">
        <f>IFERROR(__xludf.DUMMYFUNCTION("IFERROR(
  FILTER('CBK Students'!Q:Q, TRIM('CBK Students'!B:B) = TRIM(A1850)),
  """"
)"),"#REF!")</f>
        <v>#REF!</v>
      </c>
    </row>
    <row r="1851" ht="18.75" customHeight="1">
      <c r="T1851" s="4"/>
      <c r="U1851" s="4"/>
      <c r="V1851" s="4">
        <f>IFERROR(__xludf.DUMMYFUNCTION("""COMPUTED_VALUE"""),6590.0)</f>
        <v>6590</v>
      </c>
      <c r="W1851" s="240" t="str">
        <f t="shared" si="1"/>
        <v/>
      </c>
      <c r="X1851" s="4" t="str">
        <f>IFERROR(__xludf.DUMMYFUNCTION("""COMPUTED_VALUE"""),"Prepare for Showcase")</f>
        <v>Prepare for Showcase</v>
      </c>
      <c r="Y1851" s="4" t="str">
        <f t="shared" si="2"/>
        <v/>
      </c>
      <c r="Z1851" s="4" t="str">
        <f>IFERROR(__xludf.DUMMYFUNCTION("IFERROR(
  FILTER('CBK Students'!O:O, TRIM('CBK Students'!B:B) = TRIM(A1851)),
  """"
)"),"#REF!")</f>
        <v>#REF!</v>
      </c>
      <c r="AA1851" s="4" t="str">
        <f>IFERROR(__xludf.DUMMYFUNCTION("IFERROR(
  FILTER('CBK Students'!P:P, TRIM('CBK Students'!B:B) = TRIM(A1851)),
  """"
)"),"#REF!")</f>
        <v>#REF!</v>
      </c>
      <c r="AB1851" s="4" t="str">
        <f>IFERROR(__xludf.DUMMYFUNCTION("IFERROR(
  FILTER('CBK Students'!Q:Q, TRIM('CBK Students'!B:B) = TRIM(A1851)),
  """"
)"),"#REF!")</f>
        <v>#REF!</v>
      </c>
    </row>
    <row r="1852" ht="18.75" customHeight="1">
      <c r="T1852" s="4"/>
      <c r="U1852" s="4"/>
      <c r="V1852" s="4">
        <f>IFERROR(__xludf.DUMMYFUNCTION("""COMPUTED_VALUE"""),6590.0)</f>
        <v>6590</v>
      </c>
      <c r="W1852" s="240" t="str">
        <f t="shared" si="1"/>
        <v/>
      </c>
      <c r="X1852" s="4" t="str">
        <f>IFERROR(__xludf.DUMMYFUNCTION("""COMPUTED_VALUE"""),"Prepare for Showcase")</f>
        <v>Prepare for Showcase</v>
      </c>
      <c r="Y1852" s="4" t="str">
        <f t="shared" si="2"/>
        <v/>
      </c>
      <c r="Z1852" s="4" t="str">
        <f>IFERROR(__xludf.DUMMYFUNCTION("IFERROR(
  FILTER('CBK Students'!O:O, TRIM('CBK Students'!B:B) = TRIM(A1852)),
  """"
)"),"#REF!")</f>
        <v>#REF!</v>
      </c>
      <c r="AA1852" s="4" t="str">
        <f>IFERROR(__xludf.DUMMYFUNCTION("IFERROR(
  FILTER('CBK Students'!P:P, TRIM('CBK Students'!B:B) = TRIM(A1852)),
  """"
)"),"#REF!")</f>
        <v>#REF!</v>
      </c>
      <c r="AB1852" s="4" t="str">
        <f>IFERROR(__xludf.DUMMYFUNCTION("IFERROR(
  FILTER('CBK Students'!Q:Q, TRIM('CBK Students'!B:B) = TRIM(A1852)),
  """"
)"),"#REF!")</f>
        <v>#REF!</v>
      </c>
    </row>
    <row r="1853" ht="18.75" customHeight="1">
      <c r="T1853" s="4"/>
      <c r="U1853" s="4"/>
      <c r="V1853" s="4">
        <f>IFERROR(__xludf.DUMMYFUNCTION("""COMPUTED_VALUE"""),6590.0)</f>
        <v>6590</v>
      </c>
      <c r="W1853" s="240" t="str">
        <f t="shared" si="1"/>
        <v/>
      </c>
      <c r="X1853" s="4" t="str">
        <f>IFERROR(__xludf.DUMMYFUNCTION("""COMPUTED_VALUE"""),"Prepare for Showcase")</f>
        <v>Prepare for Showcase</v>
      </c>
      <c r="Y1853" s="4" t="str">
        <f t="shared" si="2"/>
        <v/>
      </c>
      <c r="Z1853" s="4" t="str">
        <f>IFERROR(__xludf.DUMMYFUNCTION("IFERROR(
  FILTER('CBK Students'!O:O, TRIM('CBK Students'!B:B) = TRIM(A1853)),
  """"
)"),"#REF!")</f>
        <v>#REF!</v>
      </c>
      <c r="AA1853" s="4" t="str">
        <f>IFERROR(__xludf.DUMMYFUNCTION("IFERROR(
  FILTER('CBK Students'!P:P, TRIM('CBK Students'!B:B) = TRIM(A1853)),
  """"
)"),"#REF!")</f>
        <v>#REF!</v>
      </c>
      <c r="AB1853" s="4" t="str">
        <f>IFERROR(__xludf.DUMMYFUNCTION("IFERROR(
  FILTER('CBK Students'!Q:Q, TRIM('CBK Students'!B:B) = TRIM(A1853)),
  """"
)"),"#REF!")</f>
        <v>#REF!</v>
      </c>
    </row>
    <row r="1854" ht="18.75" customHeight="1">
      <c r="T1854" s="4"/>
      <c r="U1854" s="4"/>
      <c r="V1854" s="4">
        <f>IFERROR(__xludf.DUMMYFUNCTION("""COMPUTED_VALUE"""),6590.0)</f>
        <v>6590</v>
      </c>
      <c r="W1854" s="240" t="str">
        <f t="shared" si="1"/>
        <v/>
      </c>
      <c r="X1854" s="4" t="str">
        <f>IFERROR(__xludf.DUMMYFUNCTION("""COMPUTED_VALUE"""),"Prepare for Showcase")</f>
        <v>Prepare for Showcase</v>
      </c>
      <c r="Y1854" s="4" t="str">
        <f t="shared" si="2"/>
        <v/>
      </c>
      <c r="Z1854" s="4" t="str">
        <f>IFERROR(__xludf.DUMMYFUNCTION("IFERROR(
  FILTER('CBK Students'!O:O, TRIM('CBK Students'!B:B) = TRIM(A1854)),
  """"
)"),"#REF!")</f>
        <v>#REF!</v>
      </c>
      <c r="AA1854" s="4" t="str">
        <f>IFERROR(__xludf.DUMMYFUNCTION("IFERROR(
  FILTER('CBK Students'!P:P, TRIM('CBK Students'!B:B) = TRIM(A1854)),
  """"
)"),"#REF!")</f>
        <v>#REF!</v>
      </c>
      <c r="AB1854" s="4" t="str">
        <f>IFERROR(__xludf.DUMMYFUNCTION("IFERROR(
  FILTER('CBK Students'!Q:Q, TRIM('CBK Students'!B:B) = TRIM(A1854)),
  """"
)"),"#REF!")</f>
        <v>#REF!</v>
      </c>
    </row>
    <row r="1855" ht="18.75" customHeight="1">
      <c r="T1855" s="4"/>
      <c r="U1855" s="4"/>
      <c r="V1855" s="4">
        <f>IFERROR(__xludf.DUMMYFUNCTION("""COMPUTED_VALUE"""),6590.0)</f>
        <v>6590</v>
      </c>
      <c r="W1855" s="240" t="str">
        <f t="shared" si="1"/>
        <v/>
      </c>
      <c r="X1855" s="4" t="str">
        <f>IFERROR(__xludf.DUMMYFUNCTION("""COMPUTED_VALUE"""),"Prepare for Showcase")</f>
        <v>Prepare for Showcase</v>
      </c>
      <c r="Y1855" s="4" t="str">
        <f t="shared" si="2"/>
        <v/>
      </c>
      <c r="Z1855" s="4" t="str">
        <f>IFERROR(__xludf.DUMMYFUNCTION("IFERROR(
  FILTER('CBK Students'!O:O, TRIM('CBK Students'!B:B) = TRIM(A1855)),
  """"
)"),"#REF!")</f>
        <v>#REF!</v>
      </c>
      <c r="AA1855" s="4" t="str">
        <f>IFERROR(__xludf.DUMMYFUNCTION("IFERROR(
  FILTER('CBK Students'!P:P, TRIM('CBK Students'!B:B) = TRIM(A1855)),
  """"
)"),"#REF!")</f>
        <v>#REF!</v>
      </c>
      <c r="AB1855" s="4" t="str">
        <f>IFERROR(__xludf.DUMMYFUNCTION("IFERROR(
  FILTER('CBK Students'!Q:Q, TRIM('CBK Students'!B:B) = TRIM(A1855)),
  """"
)"),"#REF!")</f>
        <v>#REF!</v>
      </c>
    </row>
    <row r="1856" ht="18.75" customHeight="1">
      <c r="T1856" s="4"/>
      <c r="U1856" s="4"/>
      <c r="V1856" s="4">
        <f>IFERROR(__xludf.DUMMYFUNCTION("""COMPUTED_VALUE"""),6590.0)</f>
        <v>6590</v>
      </c>
      <c r="W1856" s="240" t="str">
        <f t="shared" si="1"/>
        <v/>
      </c>
      <c r="X1856" s="4" t="str">
        <f>IFERROR(__xludf.DUMMYFUNCTION("""COMPUTED_VALUE"""),"Prepare for Showcase")</f>
        <v>Prepare for Showcase</v>
      </c>
      <c r="Y1856" s="4" t="str">
        <f t="shared" si="2"/>
        <v/>
      </c>
      <c r="Z1856" s="4" t="str">
        <f>IFERROR(__xludf.DUMMYFUNCTION("IFERROR(
  FILTER('CBK Students'!O:O, TRIM('CBK Students'!B:B) = TRIM(A1856)),
  """"
)"),"#REF!")</f>
        <v>#REF!</v>
      </c>
      <c r="AA1856" s="4" t="str">
        <f>IFERROR(__xludf.DUMMYFUNCTION("IFERROR(
  FILTER('CBK Students'!P:P, TRIM('CBK Students'!B:B) = TRIM(A1856)),
  """"
)"),"#REF!")</f>
        <v>#REF!</v>
      </c>
      <c r="AB1856" s="4" t="str">
        <f>IFERROR(__xludf.DUMMYFUNCTION("IFERROR(
  FILTER('CBK Students'!Q:Q, TRIM('CBK Students'!B:B) = TRIM(A1856)),
  """"
)"),"#REF!")</f>
        <v>#REF!</v>
      </c>
    </row>
    <row r="1857" ht="18.75" customHeight="1">
      <c r="T1857" s="4"/>
      <c r="U1857" s="4"/>
      <c r="V1857" s="4">
        <f>IFERROR(__xludf.DUMMYFUNCTION("""COMPUTED_VALUE"""),6590.0)</f>
        <v>6590</v>
      </c>
      <c r="W1857" s="240" t="str">
        <f t="shared" si="1"/>
        <v/>
      </c>
      <c r="X1857" s="4" t="str">
        <f>IFERROR(__xludf.DUMMYFUNCTION("""COMPUTED_VALUE"""),"Prepare for Showcase")</f>
        <v>Prepare for Showcase</v>
      </c>
      <c r="Y1857" s="4" t="str">
        <f t="shared" si="2"/>
        <v/>
      </c>
      <c r="Z1857" s="4" t="str">
        <f>IFERROR(__xludf.DUMMYFUNCTION("IFERROR(
  FILTER('CBK Students'!O:O, TRIM('CBK Students'!B:B) = TRIM(A1857)),
  """"
)"),"#REF!")</f>
        <v>#REF!</v>
      </c>
      <c r="AA1857" s="4" t="str">
        <f>IFERROR(__xludf.DUMMYFUNCTION("IFERROR(
  FILTER('CBK Students'!P:P, TRIM('CBK Students'!B:B) = TRIM(A1857)),
  """"
)"),"#REF!")</f>
        <v>#REF!</v>
      </c>
      <c r="AB1857" s="4" t="str">
        <f>IFERROR(__xludf.DUMMYFUNCTION("IFERROR(
  FILTER('CBK Students'!Q:Q, TRIM('CBK Students'!B:B) = TRIM(A1857)),
  """"
)"),"#REF!")</f>
        <v>#REF!</v>
      </c>
    </row>
    <row r="1858" ht="18.75" customHeight="1">
      <c r="T1858" s="4"/>
      <c r="U1858" s="4"/>
      <c r="V1858" s="4">
        <f>IFERROR(__xludf.DUMMYFUNCTION("""COMPUTED_VALUE"""),6590.0)</f>
        <v>6590</v>
      </c>
      <c r="W1858" s="240" t="str">
        <f t="shared" si="1"/>
        <v/>
      </c>
      <c r="X1858" s="4" t="str">
        <f>IFERROR(__xludf.DUMMYFUNCTION("""COMPUTED_VALUE"""),"Prepare for Showcase")</f>
        <v>Prepare for Showcase</v>
      </c>
      <c r="Y1858" s="4" t="str">
        <f t="shared" si="2"/>
        <v/>
      </c>
      <c r="Z1858" s="4" t="str">
        <f>IFERROR(__xludf.DUMMYFUNCTION("IFERROR(
  FILTER('CBK Students'!O:O, TRIM('CBK Students'!B:B) = TRIM(A1858)),
  """"
)"),"#REF!")</f>
        <v>#REF!</v>
      </c>
      <c r="AA1858" s="4" t="str">
        <f>IFERROR(__xludf.DUMMYFUNCTION("IFERROR(
  FILTER('CBK Students'!P:P, TRIM('CBK Students'!B:B) = TRIM(A1858)),
  """"
)"),"#REF!")</f>
        <v>#REF!</v>
      </c>
      <c r="AB1858" s="4" t="str">
        <f>IFERROR(__xludf.DUMMYFUNCTION("IFERROR(
  FILTER('CBK Students'!Q:Q, TRIM('CBK Students'!B:B) = TRIM(A1858)),
  """"
)"),"#REF!")</f>
        <v>#REF!</v>
      </c>
    </row>
    <row r="1859" ht="18.75" customHeight="1">
      <c r="T1859" s="4"/>
      <c r="U1859" s="4"/>
      <c r="V1859" s="4">
        <f>IFERROR(__xludf.DUMMYFUNCTION("""COMPUTED_VALUE"""),6590.0)</f>
        <v>6590</v>
      </c>
      <c r="W1859" s="240" t="str">
        <f t="shared" si="1"/>
        <v/>
      </c>
      <c r="X1859" s="4" t="str">
        <f>IFERROR(__xludf.DUMMYFUNCTION("""COMPUTED_VALUE"""),"Prepare for Showcase")</f>
        <v>Prepare for Showcase</v>
      </c>
      <c r="Y1859" s="4" t="str">
        <f t="shared" si="2"/>
        <v/>
      </c>
      <c r="Z1859" s="4" t="str">
        <f>IFERROR(__xludf.DUMMYFUNCTION("IFERROR(
  FILTER('CBK Students'!O:O, TRIM('CBK Students'!B:B) = TRIM(A1859)),
  """"
)"),"#REF!")</f>
        <v>#REF!</v>
      </c>
      <c r="AA1859" s="4" t="str">
        <f>IFERROR(__xludf.DUMMYFUNCTION("IFERROR(
  FILTER('CBK Students'!P:P, TRIM('CBK Students'!B:B) = TRIM(A1859)),
  """"
)"),"#REF!")</f>
        <v>#REF!</v>
      </c>
      <c r="AB1859" s="4" t="str">
        <f>IFERROR(__xludf.DUMMYFUNCTION("IFERROR(
  FILTER('CBK Students'!Q:Q, TRIM('CBK Students'!B:B) = TRIM(A1859)),
  """"
)"),"#REF!")</f>
        <v>#REF!</v>
      </c>
    </row>
    <row r="1860" ht="18.75" customHeight="1">
      <c r="T1860" s="4"/>
      <c r="U1860" s="4"/>
      <c r="V1860" s="4">
        <f>IFERROR(__xludf.DUMMYFUNCTION("""COMPUTED_VALUE"""),6590.0)</f>
        <v>6590</v>
      </c>
      <c r="W1860" s="240" t="str">
        <f t="shared" si="1"/>
        <v/>
      </c>
      <c r="X1860" s="4" t="str">
        <f>IFERROR(__xludf.DUMMYFUNCTION("""COMPUTED_VALUE"""),"Prepare for Showcase")</f>
        <v>Prepare for Showcase</v>
      </c>
      <c r="Y1860" s="4" t="str">
        <f t="shared" si="2"/>
        <v/>
      </c>
      <c r="Z1860" s="4" t="str">
        <f>IFERROR(__xludf.DUMMYFUNCTION("IFERROR(
  FILTER('CBK Students'!O:O, TRIM('CBK Students'!B:B) = TRIM(A1860)),
  """"
)"),"#REF!")</f>
        <v>#REF!</v>
      </c>
      <c r="AA1860" s="4" t="str">
        <f>IFERROR(__xludf.DUMMYFUNCTION("IFERROR(
  FILTER('CBK Students'!P:P, TRIM('CBK Students'!B:B) = TRIM(A1860)),
  """"
)"),"#REF!")</f>
        <v>#REF!</v>
      </c>
      <c r="AB1860" s="4" t="str">
        <f>IFERROR(__xludf.DUMMYFUNCTION("IFERROR(
  FILTER('CBK Students'!Q:Q, TRIM('CBK Students'!B:B) = TRIM(A1860)),
  """"
)"),"#REF!")</f>
        <v>#REF!</v>
      </c>
    </row>
    <row r="1861" ht="18.75" customHeight="1">
      <c r="T1861" s="4"/>
      <c r="U1861" s="4"/>
      <c r="V1861" s="4">
        <f>IFERROR(__xludf.DUMMYFUNCTION("""COMPUTED_VALUE"""),6590.0)</f>
        <v>6590</v>
      </c>
      <c r="W1861" s="240" t="str">
        <f t="shared" si="1"/>
        <v/>
      </c>
      <c r="X1861" s="4" t="str">
        <f>IFERROR(__xludf.DUMMYFUNCTION("""COMPUTED_VALUE"""),"Prepare for Showcase")</f>
        <v>Prepare for Showcase</v>
      </c>
      <c r="Y1861" s="4" t="str">
        <f t="shared" si="2"/>
        <v/>
      </c>
      <c r="Z1861" s="4" t="str">
        <f>IFERROR(__xludf.DUMMYFUNCTION("IFERROR(
  FILTER('CBK Students'!O:O, TRIM('CBK Students'!B:B) = TRIM(A1861)),
  """"
)"),"#REF!")</f>
        <v>#REF!</v>
      </c>
      <c r="AA1861" s="4" t="str">
        <f>IFERROR(__xludf.DUMMYFUNCTION("IFERROR(
  FILTER('CBK Students'!P:P, TRIM('CBK Students'!B:B) = TRIM(A1861)),
  """"
)"),"#REF!")</f>
        <v>#REF!</v>
      </c>
      <c r="AB1861" s="4" t="str">
        <f>IFERROR(__xludf.DUMMYFUNCTION("IFERROR(
  FILTER('CBK Students'!Q:Q, TRIM('CBK Students'!B:B) = TRIM(A1861)),
  """"
)"),"#REF!")</f>
        <v>#REF!</v>
      </c>
    </row>
    <row r="1862" ht="18.75" customHeight="1">
      <c r="T1862" s="4"/>
      <c r="U1862" s="4"/>
      <c r="V1862" s="4">
        <f>IFERROR(__xludf.DUMMYFUNCTION("""COMPUTED_VALUE"""),6590.0)</f>
        <v>6590</v>
      </c>
      <c r="W1862" s="240" t="str">
        <f t="shared" si="1"/>
        <v/>
      </c>
      <c r="X1862" s="4" t="str">
        <f>IFERROR(__xludf.DUMMYFUNCTION("""COMPUTED_VALUE"""),"Prepare for Showcase")</f>
        <v>Prepare for Showcase</v>
      </c>
      <c r="Y1862" s="4" t="str">
        <f t="shared" si="2"/>
        <v/>
      </c>
      <c r="Z1862" s="4" t="str">
        <f>IFERROR(__xludf.DUMMYFUNCTION("IFERROR(
  FILTER('CBK Students'!O:O, TRIM('CBK Students'!B:B) = TRIM(A1862)),
  """"
)"),"#REF!")</f>
        <v>#REF!</v>
      </c>
      <c r="AA1862" s="4" t="str">
        <f>IFERROR(__xludf.DUMMYFUNCTION("IFERROR(
  FILTER('CBK Students'!P:P, TRIM('CBK Students'!B:B) = TRIM(A1862)),
  """"
)"),"#REF!")</f>
        <v>#REF!</v>
      </c>
      <c r="AB1862" s="4" t="str">
        <f>IFERROR(__xludf.DUMMYFUNCTION("IFERROR(
  FILTER('CBK Students'!Q:Q, TRIM('CBK Students'!B:B) = TRIM(A1862)),
  """"
)"),"#REF!")</f>
        <v>#REF!</v>
      </c>
    </row>
    <row r="1863" ht="18.75" customHeight="1">
      <c r="T1863" s="4"/>
      <c r="U1863" s="4"/>
      <c r="V1863" s="4">
        <f>IFERROR(__xludf.DUMMYFUNCTION("""COMPUTED_VALUE"""),6590.0)</f>
        <v>6590</v>
      </c>
      <c r="W1863" s="240" t="str">
        <f t="shared" si="1"/>
        <v/>
      </c>
      <c r="X1863" s="4" t="str">
        <f>IFERROR(__xludf.DUMMYFUNCTION("""COMPUTED_VALUE"""),"Prepare for Showcase")</f>
        <v>Prepare for Showcase</v>
      </c>
      <c r="Y1863" s="4" t="str">
        <f t="shared" si="2"/>
        <v/>
      </c>
      <c r="Z1863" s="4" t="str">
        <f>IFERROR(__xludf.DUMMYFUNCTION("IFERROR(
  FILTER('CBK Students'!O:O, TRIM('CBK Students'!B:B) = TRIM(A1863)),
  """"
)"),"#REF!")</f>
        <v>#REF!</v>
      </c>
      <c r="AA1863" s="4" t="str">
        <f>IFERROR(__xludf.DUMMYFUNCTION("IFERROR(
  FILTER('CBK Students'!P:P, TRIM('CBK Students'!B:B) = TRIM(A1863)),
  """"
)"),"#REF!")</f>
        <v>#REF!</v>
      </c>
      <c r="AB1863" s="4" t="str">
        <f>IFERROR(__xludf.DUMMYFUNCTION("IFERROR(
  FILTER('CBK Students'!Q:Q, TRIM('CBK Students'!B:B) = TRIM(A1863)),
  """"
)"),"#REF!")</f>
        <v>#REF!</v>
      </c>
    </row>
    <row r="1864" ht="18.75" customHeight="1">
      <c r="T1864" s="4"/>
      <c r="U1864" s="4"/>
      <c r="V1864" s="4">
        <f>IFERROR(__xludf.DUMMYFUNCTION("""COMPUTED_VALUE"""),6590.0)</f>
        <v>6590</v>
      </c>
      <c r="W1864" s="240" t="str">
        <f t="shared" si="1"/>
        <v/>
      </c>
      <c r="X1864" s="4" t="str">
        <f>IFERROR(__xludf.DUMMYFUNCTION("""COMPUTED_VALUE"""),"Prepare for Showcase")</f>
        <v>Prepare for Showcase</v>
      </c>
      <c r="Y1864" s="4" t="str">
        <f t="shared" si="2"/>
        <v/>
      </c>
      <c r="Z1864" s="4" t="str">
        <f>IFERROR(__xludf.DUMMYFUNCTION("IFERROR(
  FILTER('CBK Students'!O:O, TRIM('CBK Students'!B:B) = TRIM(A1864)),
  """"
)"),"#REF!")</f>
        <v>#REF!</v>
      </c>
      <c r="AA1864" s="4" t="str">
        <f>IFERROR(__xludf.DUMMYFUNCTION("IFERROR(
  FILTER('CBK Students'!P:P, TRIM('CBK Students'!B:B) = TRIM(A1864)),
  """"
)"),"#REF!")</f>
        <v>#REF!</v>
      </c>
      <c r="AB1864" s="4" t="str">
        <f>IFERROR(__xludf.DUMMYFUNCTION("IFERROR(
  FILTER('CBK Students'!Q:Q, TRIM('CBK Students'!B:B) = TRIM(A1864)),
  """"
)"),"#REF!")</f>
        <v>#REF!</v>
      </c>
    </row>
    <row r="1865" ht="18.75" customHeight="1">
      <c r="T1865" s="4"/>
      <c r="U1865" s="4"/>
      <c r="V1865" s="4">
        <f>IFERROR(__xludf.DUMMYFUNCTION("""COMPUTED_VALUE"""),6590.0)</f>
        <v>6590</v>
      </c>
      <c r="W1865" s="240" t="str">
        <f t="shared" si="1"/>
        <v/>
      </c>
      <c r="X1865" s="4" t="str">
        <f>IFERROR(__xludf.DUMMYFUNCTION("""COMPUTED_VALUE"""),"Prepare for Showcase")</f>
        <v>Prepare for Showcase</v>
      </c>
      <c r="Y1865" s="4" t="str">
        <f t="shared" si="2"/>
        <v/>
      </c>
      <c r="Z1865" s="4" t="str">
        <f>IFERROR(__xludf.DUMMYFUNCTION("IFERROR(
  FILTER('CBK Students'!O:O, TRIM('CBK Students'!B:B) = TRIM(A1865)),
  """"
)"),"#REF!")</f>
        <v>#REF!</v>
      </c>
      <c r="AA1865" s="4" t="str">
        <f>IFERROR(__xludf.DUMMYFUNCTION("IFERROR(
  FILTER('CBK Students'!P:P, TRIM('CBK Students'!B:B) = TRIM(A1865)),
  """"
)"),"#REF!")</f>
        <v>#REF!</v>
      </c>
      <c r="AB1865" s="4" t="str">
        <f>IFERROR(__xludf.DUMMYFUNCTION("IFERROR(
  FILTER('CBK Students'!Q:Q, TRIM('CBK Students'!B:B) = TRIM(A1865)),
  """"
)"),"#REF!")</f>
        <v>#REF!</v>
      </c>
    </row>
    <row r="1866" ht="18.75" customHeight="1">
      <c r="T1866" s="4"/>
      <c r="U1866" s="4"/>
      <c r="V1866" s="4">
        <f>IFERROR(__xludf.DUMMYFUNCTION("""COMPUTED_VALUE"""),6590.0)</f>
        <v>6590</v>
      </c>
      <c r="W1866" s="240" t="str">
        <f t="shared" si="1"/>
        <v/>
      </c>
      <c r="X1866" s="4" t="str">
        <f>IFERROR(__xludf.DUMMYFUNCTION("""COMPUTED_VALUE"""),"Prepare for Showcase")</f>
        <v>Prepare for Showcase</v>
      </c>
      <c r="Y1866" s="4" t="str">
        <f t="shared" si="2"/>
        <v/>
      </c>
      <c r="Z1866" s="4" t="str">
        <f>IFERROR(__xludf.DUMMYFUNCTION("IFERROR(
  FILTER('CBK Students'!O:O, TRIM('CBK Students'!B:B) = TRIM(A1866)),
  """"
)"),"#REF!")</f>
        <v>#REF!</v>
      </c>
      <c r="AA1866" s="4" t="str">
        <f>IFERROR(__xludf.DUMMYFUNCTION("IFERROR(
  FILTER('CBK Students'!P:P, TRIM('CBK Students'!B:B) = TRIM(A1866)),
  """"
)"),"#REF!")</f>
        <v>#REF!</v>
      </c>
      <c r="AB1866" s="4" t="str">
        <f>IFERROR(__xludf.DUMMYFUNCTION("IFERROR(
  FILTER('CBK Students'!Q:Q, TRIM('CBK Students'!B:B) = TRIM(A1866)),
  """"
)"),"#REF!")</f>
        <v>#REF!</v>
      </c>
    </row>
    <row r="1867" ht="18.75" customHeight="1">
      <c r="T1867" s="4"/>
      <c r="U1867" s="4"/>
      <c r="V1867" s="4">
        <f>IFERROR(__xludf.DUMMYFUNCTION("""COMPUTED_VALUE"""),6590.0)</f>
        <v>6590</v>
      </c>
      <c r="W1867" s="240" t="str">
        <f t="shared" si="1"/>
        <v/>
      </c>
      <c r="X1867" s="4" t="str">
        <f>IFERROR(__xludf.DUMMYFUNCTION("""COMPUTED_VALUE"""),"Prepare for Showcase")</f>
        <v>Prepare for Showcase</v>
      </c>
      <c r="Y1867" s="4" t="str">
        <f t="shared" si="2"/>
        <v/>
      </c>
      <c r="Z1867" s="4" t="str">
        <f>IFERROR(__xludf.DUMMYFUNCTION("IFERROR(
  FILTER('CBK Students'!O:O, TRIM('CBK Students'!B:B) = TRIM(A1867)),
  """"
)"),"#REF!")</f>
        <v>#REF!</v>
      </c>
      <c r="AA1867" s="4" t="str">
        <f>IFERROR(__xludf.DUMMYFUNCTION("IFERROR(
  FILTER('CBK Students'!P:P, TRIM('CBK Students'!B:B) = TRIM(A1867)),
  """"
)"),"#REF!")</f>
        <v>#REF!</v>
      </c>
      <c r="AB1867" s="4" t="str">
        <f>IFERROR(__xludf.DUMMYFUNCTION("IFERROR(
  FILTER('CBK Students'!Q:Q, TRIM('CBK Students'!B:B) = TRIM(A1867)),
  """"
)"),"#REF!")</f>
        <v>#REF!</v>
      </c>
    </row>
    <row r="1868" ht="18.75" customHeight="1">
      <c r="T1868" s="4"/>
      <c r="U1868" s="4"/>
      <c r="V1868" s="4">
        <f>IFERROR(__xludf.DUMMYFUNCTION("""COMPUTED_VALUE"""),6590.0)</f>
        <v>6590</v>
      </c>
      <c r="W1868" s="240" t="str">
        <f t="shared" si="1"/>
        <v/>
      </c>
      <c r="X1868" s="4" t="str">
        <f>IFERROR(__xludf.DUMMYFUNCTION("""COMPUTED_VALUE"""),"Prepare for Showcase")</f>
        <v>Prepare for Showcase</v>
      </c>
      <c r="Y1868" s="4" t="str">
        <f t="shared" si="2"/>
        <v/>
      </c>
      <c r="Z1868" s="4" t="str">
        <f>IFERROR(__xludf.DUMMYFUNCTION("IFERROR(
  FILTER('CBK Students'!O:O, TRIM('CBK Students'!B:B) = TRIM(A1868)),
  """"
)"),"#REF!")</f>
        <v>#REF!</v>
      </c>
      <c r="AA1868" s="4" t="str">
        <f>IFERROR(__xludf.DUMMYFUNCTION("IFERROR(
  FILTER('CBK Students'!P:P, TRIM('CBK Students'!B:B) = TRIM(A1868)),
  """"
)"),"#REF!")</f>
        <v>#REF!</v>
      </c>
      <c r="AB1868" s="4" t="str">
        <f>IFERROR(__xludf.DUMMYFUNCTION("IFERROR(
  FILTER('CBK Students'!Q:Q, TRIM('CBK Students'!B:B) = TRIM(A1868)),
  """"
)"),"#REF!")</f>
        <v>#REF!</v>
      </c>
    </row>
    <row r="1869" ht="18.75" customHeight="1">
      <c r="T1869" s="4"/>
      <c r="U1869" s="4"/>
      <c r="V1869" s="4">
        <f>IFERROR(__xludf.DUMMYFUNCTION("""COMPUTED_VALUE"""),6590.0)</f>
        <v>6590</v>
      </c>
      <c r="W1869" s="240" t="str">
        <f t="shared" si="1"/>
        <v/>
      </c>
      <c r="X1869" s="4" t="str">
        <f>IFERROR(__xludf.DUMMYFUNCTION("""COMPUTED_VALUE"""),"Prepare for Showcase")</f>
        <v>Prepare for Showcase</v>
      </c>
      <c r="Y1869" s="4" t="str">
        <f t="shared" si="2"/>
        <v/>
      </c>
      <c r="Z1869" s="4" t="str">
        <f>IFERROR(__xludf.DUMMYFUNCTION("IFERROR(
  FILTER('CBK Students'!O:O, TRIM('CBK Students'!B:B) = TRIM(A1869)),
  """"
)"),"#REF!")</f>
        <v>#REF!</v>
      </c>
      <c r="AA1869" s="4" t="str">
        <f>IFERROR(__xludf.DUMMYFUNCTION("IFERROR(
  FILTER('CBK Students'!P:P, TRIM('CBK Students'!B:B) = TRIM(A1869)),
  """"
)"),"#REF!")</f>
        <v>#REF!</v>
      </c>
      <c r="AB1869" s="4" t="str">
        <f>IFERROR(__xludf.DUMMYFUNCTION("IFERROR(
  FILTER('CBK Students'!Q:Q, TRIM('CBK Students'!B:B) = TRIM(A1869)),
  """"
)"),"#REF!")</f>
        <v>#REF!</v>
      </c>
    </row>
    <row r="1870" ht="18.75" customHeight="1">
      <c r="T1870" s="4"/>
      <c r="U1870" s="4"/>
      <c r="V1870" s="4">
        <f>IFERROR(__xludf.DUMMYFUNCTION("""COMPUTED_VALUE"""),6590.0)</f>
        <v>6590</v>
      </c>
      <c r="W1870" s="240" t="str">
        <f t="shared" si="1"/>
        <v/>
      </c>
      <c r="X1870" s="4" t="str">
        <f>IFERROR(__xludf.DUMMYFUNCTION("""COMPUTED_VALUE"""),"Prepare for Showcase")</f>
        <v>Prepare for Showcase</v>
      </c>
      <c r="Y1870" s="4" t="str">
        <f t="shared" si="2"/>
        <v/>
      </c>
      <c r="Z1870" s="4" t="str">
        <f>IFERROR(__xludf.DUMMYFUNCTION("IFERROR(
  FILTER('CBK Students'!O:O, TRIM('CBK Students'!B:B) = TRIM(A1870)),
  """"
)"),"#REF!")</f>
        <v>#REF!</v>
      </c>
      <c r="AA1870" s="4" t="str">
        <f>IFERROR(__xludf.DUMMYFUNCTION("IFERROR(
  FILTER('CBK Students'!P:P, TRIM('CBK Students'!B:B) = TRIM(A1870)),
  """"
)"),"#REF!")</f>
        <v>#REF!</v>
      </c>
      <c r="AB1870" s="4" t="str">
        <f>IFERROR(__xludf.DUMMYFUNCTION("IFERROR(
  FILTER('CBK Students'!Q:Q, TRIM('CBK Students'!B:B) = TRIM(A1870)),
  """"
)"),"#REF!")</f>
        <v>#REF!</v>
      </c>
    </row>
    <row r="1871" ht="18.75" customHeight="1">
      <c r="T1871" s="4"/>
      <c r="U1871" s="4"/>
      <c r="V1871" s="4">
        <f>IFERROR(__xludf.DUMMYFUNCTION("""COMPUTED_VALUE"""),6590.0)</f>
        <v>6590</v>
      </c>
      <c r="W1871" s="240" t="str">
        <f t="shared" si="1"/>
        <v/>
      </c>
      <c r="X1871" s="4" t="str">
        <f>IFERROR(__xludf.DUMMYFUNCTION("""COMPUTED_VALUE"""),"Prepare for Showcase")</f>
        <v>Prepare for Showcase</v>
      </c>
      <c r="Y1871" s="4" t="str">
        <f t="shared" si="2"/>
        <v/>
      </c>
      <c r="Z1871" s="4" t="str">
        <f>IFERROR(__xludf.DUMMYFUNCTION("IFERROR(
  FILTER('CBK Students'!O:O, TRIM('CBK Students'!B:B) = TRIM(A1871)),
  """"
)"),"#REF!")</f>
        <v>#REF!</v>
      </c>
      <c r="AA1871" s="4" t="str">
        <f>IFERROR(__xludf.DUMMYFUNCTION("IFERROR(
  FILTER('CBK Students'!P:P, TRIM('CBK Students'!B:B) = TRIM(A1871)),
  """"
)"),"#REF!")</f>
        <v>#REF!</v>
      </c>
      <c r="AB1871" s="4" t="str">
        <f>IFERROR(__xludf.DUMMYFUNCTION("IFERROR(
  FILTER('CBK Students'!Q:Q, TRIM('CBK Students'!B:B) = TRIM(A1871)),
  """"
)"),"#REF!")</f>
        <v>#REF!</v>
      </c>
    </row>
    <row r="1872" ht="18.75" customHeight="1">
      <c r="T1872" s="4"/>
      <c r="U1872" s="4"/>
      <c r="V1872" s="4">
        <f>IFERROR(__xludf.DUMMYFUNCTION("""COMPUTED_VALUE"""),6590.0)</f>
        <v>6590</v>
      </c>
      <c r="W1872" s="240" t="str">
        <f t="shared" si="1"/>
        <v/>
      </c>
      <c r="X1872" s="4" t="str">
        <f>IFERROR(__xludf.DUMMYFUNCTION("""COMPUTED_VALUE"""),"Prepare for Showcase")</f>
        <v>Prepare for Showcase</v>
      </c>
      <c r="Y1872" s="4" t="str">
        <f t="shared" si="2"/>
        <v/>
      </c>
      <c r="Z1872" s="4" t="str">
        <f>IFERROR(__xludf.DUMMYFUNCTION("IFERROR(
  FILTER('CBK Students'!O:O, TRIM('CBK Students'!B:B) = TRIM(A1872)),
  """"
)"),"#REF!")</f>
        <v>#REF!</v>
      </c>
      <c r="AA1872" s="4" t="str">
        <f>IFERROR(__xludf.DUMMYFUNCTION("IFERROR(
  FILTER('CBK Students'!P:P, TRIM('CBK Students'!B:B) = TRIM(A1872)),
  """"
)"),"#REF!")</f>
        <v>#REF!</v>
      </c>
      <c r="AB1872" s="4" t="str">
        <f>IFERROR(__xludf.DUMMYFUNCTION("IFERROR(
  FILTER('CBK Students'!Q:Q, TRIM('CBK Students'!B:B) = TRIM(A1872)),
  """"
)"),"#REF!")</f>
        <v>#REF!</v>
      </c>
    </row>
    <row r="1873" ht="18.75" customHeight="1">
      <c r="T1873" s="4"/>
      <c r="U1873" s="4"/>
      <c r="V1873" s="4">
        <f>IFERROR(__xludf.DUMMYFUNCTION("""COMPUTED_VALUE"""),6590.0)</f>
        <v>6590</v>
      </c>
      <c r="W1873" s="240" t="str">
        <f t="shared" si="1"/>
        <v/>
      </c>
      <c r="X1873" s="4" t="str">
        <f>IFERROR(__xludf.DUMMYFUNCTION("""COMPUTED_VALUE"""),"Prepare for Showcase")</f>
        <v>Prepare for Showcase</v>
      </c>
      <c r="Y1873" s="4" t="str">
        <f t="shared" si="2"/>
        <v/>
      </c>
      <c r="Z1873" s="4" t="str">
        <f>IFERROR(__xludf.DUMMYFUNCTION("IFERROR(
  FILTER('CBK Students'!O:O, TRIM('CBK Students'!B:B) = TRIM(A1873)),
  """"
)"),"#REF!")</f>
        <v>#REF!</v>
      </c>
      <c r="AA1873" s="4" t="str">
        <f>IFERROR(__xludf.DUMMYFUNCTION("IFERROR(
  FILTER('CBK Students'!P:P, TRIM('CBK Students'!B:B) = TRIM(A1873)),
  """"
)"),"#REF!")</f>
        <v>#REF!</v>
      </c>
      <c r="AB1873" s="4" t="str">
        <f>IFERROR(__xludf.DUMMYFUNCTION("IFERROR(
  FILTER('CBK Students'!Q:Q, TRIM('CBK Students'!B:B) = TRIM(A1873)),
  """"
)"),"#REF!")</f>
        <v>#REF!</v>
      </c>
    </row>
    <row r="1874" ht="18.75" customHeight="1">
      <c r="T1874" s="4"/>
      <c r="U1874" s="4"/>
      <c r="V1874" s="4">
        <f>IFERROR(__xludf.DUMMYFUNCTION("""COMPUTED_VALUE"""),6590.0)</f>
        <v>6590</v>
      </c>
      <c r="W1874" s="240" t="str">
        <f t="shared" si="1"/>
        <v/>
      </c>
      <c r="X1874" s="4" t="str">
        <f>IFERROR(__xludf.DUMMYFUNCTION("""COMPUTED_VALUE"""),"Prepare for Showcase")</f>
        <v>Prepare for Showcase</v>
      </c>
      <c r="Y1874" s="4" t="str">
        <f t="shared" si="2"/>
        <v/>
      </c>
      <c r="Z1874" s="4" t="str">
        <f>IFERROR(__xludf.DUMMYFUNCTION("IFERROR(
  FILTER('CBK Students'!O:O, TRIM('CBK Students'!B:B) = TRIM(A1874)),
  """"
)"),"#REF!")</f>
        <v>#REF!</v>
      </c>
      <c r="AA1874" s="4" t="str">
        <f>IFERROR(__xludf.DUMMYFUNCTION("IFERROR(
  FILTER('CBK Students'!P:P, TRIM('CBK Students'!B:B) = TRIM(A1874)),
  """"
)"),"#REF!")</f>
        <v>#REF!</v>
      </c>
      <c r="AB1874" s="4" t="str">
        <f>IFERROR(__xludf.DUMMYFUNCTION("IFERROR(
  FILTER('CBK Students'!Q:Q, TRIM('CBK Students'!B:B) = TRIM(A1874)),
  """"
)"),"#REF!")</f>
        <v>#REF!</v>
      </c>
    </row>
    <row r="1875" ht="18.75" customHeight="1">
      <c r="T1875" s="4"/>
      <c r="U1875" s="4"/>
      <c r="V1875" s="4">
        <f>IFERROR(__xludf.DUMMYFUNCTION("""COMPUTED_VALUE"""),6590.0)</f>
        <v>6590</v>
      </c>
      <c r="W1875" s="240" t="str">
        <f t="shared" si="1"/>
        <v/>
      </c>
      <c r="X1875" s="4" t="str">
        <f>IFERROR(__xludf.DUMMYFUNCTION("""COMPUTED_VALUE"""),"Prepare for Showcase")</f>
        <v>Prepare for Showcase</v>
      </c>
      <c r="Y1875" s="4" t="str">
        <f t="shared" si="2"/>
        <v/>
      </c>
      <c r="Z1875" s="4" t="str">
        <f>IFERROR(__xludf.DUMMYFUNCTION("IFERROR(
  FILTER('CBK Students'!O:O, TRIM('CBK Students'!B:B) = TRIM(A1875)),
  """"
)"),"#REF!")</f>
        <v>#REF!</v>
      </c>
      <c r="AA1875" s="4" t="str">
        <f>IFERROR(__xludf.DUMMYFUNCTION("IFERROR(
  FILTER('CBK Students'!P:P, TRIM('CBK Students'!B:B) = TRIM(A1875)),
  """"
)"),"#REF!")</f>
        <v>#REF!</v>
      </c>
      <c r="AB1875" s="4" t="str">
        <f>IFERROR(__xludf.DUMMYFUNCTION("IFERROR(
  FILTER('CBK Students'!Q:Q, TRIM('CBK Students'!B:B) = TRIM(A1875)),
  """"
)"),"#REF!")</f>
        <v>#REF!</v>
      </c>
    </row>
    <row r="1876" ht="18.75" customHeight="1">
      <c r="T1876" s="4"/>
      <c r="U1876" s="4"/>
      <c r="V1876" s="4">
        <f>IFERROR(__xludf.DUMMYFUNCTION("""COMPUTED_VALUE"""),6590.0)</f>
        <v>6590</v>
      </c>
      <c r="W1876" s="240" t="str">
        <f t="shared" si="1"/>
        <v/>
      </c>
      <c r="X1876" s="4" t="str">
        <f>IFERROR(__xludf.DUMMYFUNCTION("""COMPUTED_VALUE"""),"Prepare for Showcase")</f>
        <v>Prepare for Showcase</v>
      </c>
      <c r="Y1876" s="4" t="str">
        <f t="shared" si="2"/>
        <v/>
      </c>
      <c r="Z1876" s="4" t="str">
        <f>IFERROR(__xludf.DUMMYFUNCTION("IFERROR(
  FILTER('CBK Students'!O:O, TRIM('CBK Students'!B:B) = TRIM(A1876)),
  """"
)"),"#REF!")</f>
        <v>#REF!</v>
      </c>
      <c r="AA1876" s="4" t="str">
        <f>IFERROR(__xludf.DUMMYFUNCTION("IFERROR(
  FILTER('CBK Students'!P:P, TRIM('CBK Students'!B:B) = TRIM(A1876)),
  """"
)"),"#REF!")</f>
        <v>#REF!</v>
      </c>
      <c r="AB1876" s="4" t="str">
        <f>IFERROR(__xludf.DUMMYFUNCTION("IFERROR(
  FILTER('CBK Students'!Q:Q, TRIM('CBK Students'!B:B) = TRIM(A1876)),
  """"
)"),"#REF!")</f>
        <v>#REF!</v>
      </c>
    </row>
    <row r="1877" ht="18.75" customHeight="1">
      <c r="T1877" s="4"/>
      <c r="U1877" s="4"/>
      <c r="V1877" s="4">
        <f>IFERROR(__xludf.DUMMYFUNCTION("""COMPUTED_VALUE"""),6590.0)</f>
        <v>6590</v>
      </c>
      <c r="W1877" s="240" t="str">
        <f t="shared" si="1"/>
        <v/>
      </c>
      <c r="X1877" s="4" t="str">
        <f>IFERROR(__xludf.DUMMYFUNCTION("""COMPUTED_VALUE"""),"Prepare for Showcase")</f>
        <v>Prepare for Showcase</v>
      </c>
      <c r="Y1877" s="4" t="str">
        <f t="shared" si="2"/>
        <v/>
      </c>
      <c r="Z1877" s="4" t="str">
        <f>IFERROR(__xludf.DUMMYFUNCTION("IFERROR(
  FILTER('CBK Students'!O:O, TRIM('CBK Students'!B:B) = TRIM(A1877)),
  """"
)"),"#REF!")</f>
        <v>#REF!</v>
      </c>
      <c r="AA1877" s="4" t="str">
        <f>IFERROR(__xludf.DUMMYFUNCTION("IFERROR(
  FILTER('CBK Students'!P:P, TRIM('CBK Students'!B:B) = TRIM(A1877)),
  """"
)"),"#REF!")</f>
        <v>#REF!</v>
      </c>
      <c r="AB1877" s="4" t="str">
        <f>IFERROR(__xludf.DUMMYFUNCTION("IFERROR(
  FILTER('CBK Students'!Q:Q, TRIM('CBK Students'!B:B) = TRIM(A1877)),
  """"
)"),"#REF!")</f>
        <v>#REF!</v>
      </c>
    </row>
    <row r="1878" ht="18.75" customHeight="1">
      <c r="T1878" s="4"/>
      <c r="U1878" s="4"/>
      <c r="V1878" s="4">
        <f>IFERROR(__xludf.DUMMYFUNCTION("""COMPUTED_VALUE"""),6590.0)</f>
        <v>6590</v>
      </c>
      <c r="W1878" s="240" t="str">
        <f t="shared" si="1"/>
        <v/>
      </c>
      <c r="X1878" s="4" t="str">
        <f>IFERROR(__xludf.DUMMYFUNCTION("""COMPUTED_VALUE"""),"Prepare for Showcase")</f>
        <v>Prepare for Showcase</v>
      </c>
      <c r="Y1878" s="4" t="str">
        <f t="shared" si="2"/>
        <v/>
      </c>
      <c r="Z1878" s="4" t="str">
        <f>IFERROR(__xludf.DUMMYFUNCTION("IFERROR(
  FILTER('CBK Students'!O:O, TRIM('CBK Students'!B:B) = TRIM(A1878)),
  """"
)"),"#REF!")</f>
        <v>#REF!</v>
      </c>
      <c r="AA1878" s="4" t="str">
        <f>IFERROR(__xludf.DUMMYFUNCTION("IFERROR(
  FILTER('CBK Students'!P:P, TRIM('CBK Students'!B:B) = TRIM(A1878)),
  """"
)"),"#REF!")</f>
        <v>#REF!</v>
      </c>
      <c r="AB1878" s="4" t="str">
        <f>IFERROR(__xludf.DUMMYFUNCTION("IFERROR(
  FILTER('CBK Students'!Q:Q, TRIM('CBK Students'!B:B) = TRIM(A1878)),
  """"
)"),"#REF!")</f>
        <v>#REF!</v>
      </c>
    </row>
    <row r="1879" ht="18.75" customHeight="1">
      <c r="T1879" s="4"/>
      <c r="U1879" s="4"/>
      <c r="V1879" s="4">
        <f>IFERROR(__xludf.DUMMYFUNCTION("""COMPUTED_VALUE"""),6590.0)</f>
        <v>6590</v>
      </c>
      <c r="W1879" s="240" t="str">
        <f t="shared" si="1"/>
        <v/>
      </c>
      <c r="X1879" s="4" t="str">
        <f>IFERROR(__xludf.DUMMYFUNCTION("""COMPUTED_VALUE"""),"Prepare for Showcase")</f>
        <v>Prepare for Showcase</v>
      </c>
      <c r="Y1879" s="4" t="str">
        <f t="shared" si="2"/>
        <v/>
      </c>
      <c r="Z1879" s="4" t="str">
        <f>IFERROR(__xludf.DUMMYFUNCTION("IFERROR(
  FILTER('CBK Students'!O:O, TRIM('CBK Students'!B:B) = TRIM(A1879)),
  """"
)"),"#REF!")</f>
        <v>#REF!</v>
      </c>
      <c r="AA1879" s="4" t="str">
        <f>IFERROR(__xludf.DUMMYFUNCTION("IFERROR(
  FILTER('CBK Students'!P:P, TRIM('CBK Students'!B:B) = TRIM(A1879)),
  """"
)"),"#REF!")</f>
        <v>#REF!</v>
      </c>
      <c r="AB1879" s="4" t="str">
        <f>IFERROR(__xludf.DUMMYFUNCTION("IFERROR(
  FILTER('CBK Students'!Q:Q, TRIM('CBK Students'!B:B) = TRIM(A1879)),
  """"
)"),"#REF!")</f>
        <v>#REF!</v>
      </c>
    </row>
    <row r="1880" ht="18.75" customHeight="1">
      <c r="T1880" s="4"/>
      <c r="U1880" s="4"/>
      <c r="V1880" s="4">
        <f>IFERROR(__xludf.DUMMYFUNCTION("""COMPUTED_VALUE"""),6590.0)</f>
        <v>6590</v>
      </c>
      <c r="W1880" s="240" t="str">
        <f t="shared" si="1"/>
        <v/>
      </c>
      <c r="X1880" s="4" t="str">
        <f>IFERROR(__xludf.DUMMYFUNCTION("""COMPUTED_VALUE"""),"Prepare for Showcase")</f>
        <v>Prepare for Showcase</v>
      </c>
      <c r="Y1880" s="4" t="str">
        <f t="shared" si="2"/>
        <v/>
      </c>
      <c r="Z1880" s="4" t="str">
        <f>IFERROR(__xludf.DUMMYFUNCTION("IFERROR(
  FILTER('CBK Students'!O:O, TRIM('CBK Students'!B:B) = TRIM(A1880)),
  """"
)"),"#REF!")</f>
        <v>#REF!</v>
      </c>
      <c r="AA1880" s="4" t="str">
        <f>IFERROR(__xludf.DUMMYFUNCTION("IFERROR(
  FILTER('CBK Students'!P:P, TRIM('CBK Students'!B:B) = TRIM(A1880)),
  """"
)"),"#REF!")</f>
        <v>#REF!</v>
      </c>
      <c r="AB1880" s="4" t="str">
        <f>IFERROR(__xludf.DUMMYFUNCTION("IFERROR(
  FILTER('CBK Students'!Q:Q, TRIM('CBK Students'!B:B) = TRIM(A1880)),
  """"
)"),"#REF!")</f>
        <v>#REF!</v>
      </c>
    </row>
    <row r="1881" ht="18.75" customHeight="1">
      <c r="T1881" s="4"/>
      <c r="U1881" s="4"/>
      <c r="V1881" s="4">
        <f>IFERROR(__xludf.DUMMYFUNCTION("""COMPUTED_VALUE"""),6590.0)</f>
        <v>6590</v>
      </c>
      <c r="W1881" s="240" t="str">
        <f t="shared" si="1"/>
        <v/>
      </c>
      <c r="X1881" s="4" t="str">
        <f>IFERROR(__xludf.DUMMYFUNCTION("""COMPUTED_VALUE"""),"Prepare for Showcase")</f>
        <v>Prepare for Showcase</v>
      </c>
      <c r="Y1881" s="4" t="str">
        <f t="shared" si="2"/>
        <v/>
      </c>
      <c r="Z1881" s="4" t="str">
        <f>IFERROR(__xludf.DUMMYFUNCTION("IFERROR(
  FILTER('CBK Students'!O:O, TRIM('CBK Students'!B:B) = TRIM(A1881)),
  """"
)"),"#REF!")</f>
        <v>#REF!</v>
      </c>
      <c r="AA1881" s="4" t="str">
        <f>IFERROR(__xludf.DUMMYFUNCTION("IFERROR(
  FILTER('CBK Students'!P:P, TRIM('CBK Students'!B:B) = TRIM(A1881)),
  """"
)"),"#REF!")</f>
        <v>#REF!</v>
      </c>
      <c r="AB1881" s="4" t="str">
        <f>IFERROR(__xludf.DUMMYFUNCTION("IFERROR(
  FILTER('CBK Students'!Q:Q, TRIM('CBK Students'!B:B) = TRIM(A1881)),
  """"
)"),"#REF!")</f>
        <v>#REF!</v>
      </c>
    </row>
    <row r="1882" ht="18.75" customHeight="1">
      <c r="T1882" s="4"/>
      <c r="U1882" s="4"/>
      <c r="V1882" s="4">
        <f>IFERROR(__xludf.DUMMYFUNCTION("""COMPUTED_VALUE"""),6590.0)</f>
        <v>6590</v>
      </c>
      <c r="W1882" s="240" t="str">
        <f t="shared" si="1"/>
        <v/>
      </c>
      <c r="X1882" s="4" t="str">
        <f>IFERROR(__xludf.DUMMYFUNCTION("""COMPUTED_VALUE"""),"Prepare for Showcase")</f>
        <v>Prepare for Showcase</v>
      </c>
      <c r="Y1882" s="4" t="str">
        <f t="shared" si="2"/>
        <v/>
      </c>
      <c r="Z1882" s="4" t="str">
        <f>IFERROR(__xludf.DUMMYFUNCTION("IFERROR(
  FILTER('CBK Students'!O:O, TRIM('CBK Students'!B:B) = TRIM(A1882)),
  """"
)"),"#REF!")</f>
        <v>#REF!</v>
      </c>
      <c r="AA1882" s="4" t="str">
        <f>IFERROR(__xludf.DUMMYFUNCTION("IFERROR(
  FILTER('CBK Students'!P:P, TRIM('CBK Students'!B:B) = TRIM(A1882)),
  """"
)"),"#REF!")</f>
        <v>#REF!</v>
      </c>
      <c r="AB1882" s="4" t="str">
        <f>IFERROR(__xludf.DUMMYFUNCTION("IFERROR(
  FILTER('CBK Students'!Q:Q, TRIM('CBK Students'!B:B) = TRIM(A1882)),
  """"
)"),"#REF!")</f>
        <v>#REF!</v>
      </c>
    </row>
    <row r="1883" ht="18.75" customHeight="1">
      <c r="T1883" s="4"/>
      <c r="U1883" s="4"/>
      <c r="V1883" s="4">
        <f>IFERROR(__xludf.DUMMYFUNCTION("""COMPUTED_VALUE"""),6590.0)</f>
        <v>6590</v>
      </c>
      <c r="W1883" s="240" t="str">
        <f t="shared" si="1"/>
        <v/>
      </c>
      <c r="X1883" s="4" t="str">
        <f>IFERROR(__xludf.DUMMYFUNCTION("""COMPUTED_VALUE"""),"Prepare for Showcase")</f>
        <v>Prepare for Showcase</v>
      </c>
      <c r="Y1883" s="4" t="str">
        <f t="shared" si="2"/>
        <v/>
      </c>
      <c r="Z1883" s="4" t="str">
        <f>IFERROR(__xludf.DUMMYFUNCTION("IFERROR(
  FILTER('CBK Students'!O:O, TRIM('CBK Students'!B:B) = TRIM(A1883)),
  """"
)"),"#REF!")</f>
        <v>#REF!</v>
      </c>
      <c r="AA1883" s="4" t="str">
        <f>IFERROR(__xludf.DUMMYFUNCTION("IFERROR(
  FILTER('CBK Students'!P:P, TRIM('CBK Students'!B:B) = TRIM(A1883)),
  """"
)"),"#REF!")</f>
        <v>#REF!</v>
      </c>
      <c r="AB1883" s="4" t="str">
        <f>IFERROR(__xludf.DUMMYFUNCTION("IFERROR(
  FILTER('CBK Students'!Q:Q, TRIM('CBK Students'!B:B) = TRIM(A1883)),
  """"
)"),"#REF!")</f>
        <v>#REF!</v>
      </c>
    </row>
    <row r="1884" ht="18.75" customHeight="1">
      <c r="T1884" s="4"/>
      <c r="U1884" s="4"/>
      <c r="V1884" s="4">
        <f>IFERROR(__xludf.DUMMYFUNCTION("""COMPUTED_VALUE"""),6590.0)</f>
        <v>6590</v>
      </c>
      <c r="W1884" s="240" t="str">
        <f t="shared" si="1"/>
        <v/>
      </c>
      <c r="X1884" s="4" t="str">
        <f>IFERROR(__xludf.DUMMYFUNCTION("""COMPUTED_VALUE"""),"Prepare for Showcase")</f>
        <v>Prepare for Showcase</v>
      </c>
      <c r="Y1884" s="4" t="str">
        <f t="shared" si="2"/>
        <v/>
      </c>
      <c r="Z1884" s="4" t="str">
        <f>IFERROR(__xludf.DUMMYFUNCTION("IFERROR(
  FILTER('CBK Students'!O:O, TRIM('CBK Students'!B:B) = TRIM(A1884)),
  """"
)"),"#REF!")</f>
        <v>#REF!</v>
      </c>
      <c r="AA1884" s="4" t="str">
        <f>IFERROR(__xludf.DUMMYFUNCTION("IFERROR(
  FILTER('CBK Students'!P:P, TRIM('CBK Students'!B:B) = TRIM(A1884)),
  """"
)"),"#REF!")</f>
        <v>#REF!</v>
      </c>
      <c r="AB1884" s="4" t="str">
        <f>IFERROR(__xludf.DUMMYFUNCTION("IFERROR(
  FILTER('CBK Students'!Q:Q, TRIM('CBK Students'!B:B) = TRIM(A1884)),
  """"
)"),"#REF!")</f>
        <v>#REF!</v>
      </c>
    </row>
    <row r="1885" ht="18.75" customHeight="1">
      <c r="T1885" s="4"/>
      <c r="U1885" s="4"/>
      <c r="V1885" s="4">
        <f>IFERROR(__xludf.DUMMYFUNCTION("""COMPUTED_VALUE"""),6590.0)</f>
        <v>6590</v>
      </c>
      <c r="W1885" s="240" t="str">
        <f t="shared" si="1"/>
        <v/>
      </c>
      <c r="X1885" s="4" t="str">
        <f>IFERROR(__xludf.DUMMYFUNCTION("""COMPUTED_VALUE"""),"Prepare for Showcase")</f>
        <v>Prepare for Showcase</v>
      </c>
      <c r="Y1885" s="4" t="str">
        <f t="shared" si="2"/>
        <v/>
      </c>
      <c r="Z1885" s="4" t="str">
        <f>IFERROR(__xludf.DUMMYFUNCTION("IFERROR(
  FILTER('CBK Students'!O:O, TRIM('CBK Students'!B:B) = TRIM(A1885)),
  """"
)"),"#REF!")</f>
        <v>#REF!</v>
      </c>
      <c r="AA1885" s="4" t="str">
        <f>IFERROR(__xludf.DUMMYFUNCTION("IFERROR(
  FILTER('CBK Students'!P:P, TRIM('CBK Students'!B:B) = TRIM(A1885)),
  """"
)"),"#REF!")</f>
        <v>#REF!</v>
      </c>
      <c r="AB1885" s="4" t="str">
        <f>IFERROR(__xludf.DUMMYFUNCTION("IFERROR(
  FILTER('CBK Students'!Q:Q, TRIM('CBK Students'!B:B) = TRIM(A1885)),
  """"
)"),"#REF!")</f>
        <v>#REF!</v>
      </c>
    </row>
    <row r="1886" ht="18.75" customHeight="1">
      <c r="T1886" s="4"/>
      <c r="U1886" s="4"/>
      <c r="V1886" s="4">
        <f>IFERROR(__xludf.DUMMYFUNCTION("""COMPUTED_VALUE"""),6590.0)</f>
        <v>6590</v>
      </c>
      <c r="W1886" s="240" t="str">
        <f t="shared" si="1"/>
        <v/>
      </c>
      <c r="X1886" s="4" t="str">
        <f>IFERROR(__xludf.DUMMYFUNCTION("""COMPUTED_VALUE"""),"Prepare for Showcase")</f>
        <v>Prepare for Showcase</v>
      </c>
      <c r="Y1886" s="4" t="str">
        <f t="shared" si="2"/>
        <v/>
      </c>
      <c r="Z1886" s="4" t="str">
        <f>IFERROR(__xludf.DUMMYFUNCTION("IFERROR(
  FILTER('CBK Students'!O:O, TRIM('CBK Students'!B:B) = TRIM(A1886)),
  """"
)"),"#REF!")</f>
        <v>#REF!</v>
      </c>
      <c r="AA1886" s="4" t="str">
        <f>IFERROR(__xludf.DUMMYFUNCTION("IFERROR(
  FILTER('CBK Students'!P:P, TRIM('CBK Students'!B:B) = TRIM(A1886)),
  """"
)"),"#REF!")</f>
        <v>#REF!</v>
      </c>
      <c r="AB1886" s="4" t="str">
        <f>IFERROR(__xludf.DUMMYFUNCTION("IFERROR(
  FILTER('CBK Students'!Q:Q, TRIM('CBK Students'!B:B) = TRIM(A1886)),
  """"
)"),"#REF!")</f>
        <v>#REF!</v>
      </c>
    </row>
    <row r="1887" ht="18.75" customHeight="1">
      <c r="T1887" s="4"/>
      <c r="U1887" s="4"/>
      <c r="V1887" s="4">
        <f>IFERROR(__xludf.DUMMYFUNCTION("""COMPUTED_VALUE"""),6590.0)</f>
        <v>6590</v>
      </c>
      <c r="W1887" s="240" t="str">
        <f t="shared" si="1"/>
        <v/>
      </c>
      <c r="X1887" s="4" t="str">
        <f>IFERROR(__xludf.DUMMYFUNCTION("""COMPUTED_VALUE"""),"Prepare for Showcase")</f>
        <v>Prepare for Showcase</v>
      </c>
      <c r="Y1887" s="4" t="str">
        <f t="shared" si="2"/>
        <v/>
      </c>
      <c r="Z1887" s="4" t="str">
        <f>IFERROR(__xludf.DUMMYFUNCTION("IFERROR(
  FILTER('CBK Students'!O:O, TRIM('CBK Students'!B:B) = TRIM(A1887)),
  """"
)"),"#REF!")</f>
        <v>#REF!</v>
      </c>
      <c r="AA1887" s="4" t="str">
        <f>IFERROR(__xludf.DUMMYFUNCTION("IFERROR(
  FILTER('CBK Students'!P:P, TRIM('CBK Students'!B:B) = TRIM(A1887)),
  """"
)"),"#REF!")</f>
        <v>#REF!</v>
      </c>
      <c r="AB1887" s="4" t="str">
        <f>IFERROR(__xludf.DUMMYFUNCTION("IFERROR(
  FILTER('CBK Students'!Q:Q, TRIM('CBK Students'!B:B) = TRIM(A1887)),
  """"
)"),"#REF!")</f>
        <v>#REF!</v>
      </c>
    </row>
    <row r="1888" ht="18.75" customHeight="1">
      <c r="T1888" s="4"/>
      <c r="U1888" s="4"/>
      <c r="V1888" s="4">
        <f>IFERROR(__xludf.DUMMYFUNCTION("""COMPUTED_VALUE"""),6590.0)</f>
        <v>6590</v>
      </c>
      <c r="W1888" s="240" t="str">
        <f t="shared" si="1"/>
        <v/>
      </c>
      <c r="X1888" s="4" t="str">
        <f>IFERROR(__xludf.DUMMYFUNCTION("""COMPUTED_VALUE"""),"Prepare for Showcase")</f>
        <v>Prepare for Showcase</v>
      </c>
      <c r="Y1888" s="4" t="str">
        <f t="shared" si="2"/>
        <v/>
      </c>
      <c r="Z1888" s="4" t="str">
        <f>IFERROR(__xludf.DUMMYFUNCTION("IFERROR(
  FILTER('CBK Students'!O:O, TRIM('CBK Students'!B:B) = TRIM(A1888)),
  """"
)"),"#REF!")</f>
        <v>#REF!</v>
      </c>
      <c r="AA1888" s="4" t="str">
        <f>IFERROR(__xludf.DUMMYFUNCTION("IFERROR(
  FILTER('CBK Students'!P:P, TRIM('CBK Students'!B:B) = TRIM(A1888)),
  """"
)"),"#REF!")</f>
        <v>#REF!</v>
      </c>
      <c r="AB1888" s="4" t="str">
        <f>IFERROR(__xludf.DUMMYFUNCTION("IFERROR(
  FILTER('CBK Students'!Q:Q, TRIM('CBK Students'!B:B) = TRIM(A1888)),
  """"
)"),"#REF!")</f>
        <v>#REF!</v>
      </c>
    </row>
    <row r="1889" ht="18.75" customHeight="1">
      <c r="T1889" s="4"/>
      <c r="U1889" s="4"/>
      <c r="V1889" s="4">
        <f>IFERROR(__xludf.DUMMYFUNCTION("""COMPUTED_VALUE"""),6590.0)</f>
        <v>6590</v>
      </c>
      <c r="W1889" s="240" t="str">
        <f t="shared" si="1"/>
        <v/>
      </c>
      <c r="X1889" s="4" t="str">
        <f>IFERROR(__xludf.DUMMYFUNCTION("""COMPUTED_VALUE"""),"Prepare for Showcase")</f>
        <v>Prepare for Showcase</v>
      </c>
      <c r="Y1889" s="4" t="str">
        <f t="shared" si="2"/>
        <v/>
      </c>
      <c r="Z1889" s="4" t="str">
        <f>IFERROR(__xludf.DUMMYFUNCTION("IFERROR(
  FILTER('CBK Students'!O:O, TRIM('CBK Students'!B:B) = TRIM(A1889)),
  """"
)"),"#REF!")</f>
        <v>#REF!</v>
      </c>
      <c r="AA1889" s="4" t="str">
        <f>IFERROR(__xludf.DUMMYFUNCTION("IFERROR(
  FILTER('CBK Students'!P:P, TRIM('CBK Students'!B:B) = TRIM(A1889)),
  """"
)"),"#REF!")</f>
        <v>#REF!</v>
      </c>
      <c r="AB1889" s="4" t="str">
        <f>IFERROR(__xludf.DUMMYFUNCTION("IFERROR(
  FILTER('CBK Students'!Q:Q, TRIM('CBK Students'!B:B) = TRIM(A1889)),
  """"
)"),"#REF!")</f>
        <v>#REF!</v>
      </c>
    </row>
    <row r="1890" ht="18.75" customHeight="1">
      <c r="T1890" s="4"/>
      <c r="U1890" s="4"/>
      <c r="V1890" s="4">
        <f>IFERROR(__xludf.DUMMYFUNCTION("""COMPUTED_VALUE"""),6590.0)</f>
        <v>6590</v>
      </c>
      <c r="W1890" s="240" t="str">
        <f t="shared" si="1"/>
        <v/>
      </c>
      <c r="X1890" s="4" t="str">
        <f>IFERROR(__xludf.DUMMYFUNCTION("""COMPUTED_VALUE"""),"Prepare for Showcase")</f>
        <v>Prepare for Showcase</v>
      </c>
      <c r="Y1890" s="4" t="str">
        <f t="shared" si="2"/>
        <v/>
      </c>
      <c r="Z1890" s="4" t="str">
        <f>IFERROR(__xludf.DUMMYFUNCTION("IFERROR(
  FILTER('CBK Students'!O:O, TRIM('CBK Students'!B:B) = TRIM(A1890)),
  """"
)"),"#REF!")</f>
        <v>#REF!</v>
      </c>
      <c r="AA1890" s="4" t="str">
        <f>IFERROR(__xludf.DUMMYFUNCTION("IFERROR(
  FILTER('CBK Students'!P:P, TRIM('CBK Students'!B:B) = TRIM(A1890)),
  """"
)"),"#REF!")</f>
        <v>#REF!</v>
      </c>
      <c r="AB1890" s="4" t="str">
        <f>IFERROR(__xludf.DUMMYFUNCTION("IFERROR(
  FILTER('CBK Students'!Q:Q, TRIM('CBK Students'!B:B) = TRIM(A1890)),
  """"
)"),"#REF!")</f>
        <v>#REF!</v>
      </c>
    </row>
    <row r="1891" ht="18.75" customHeight="1">
      <c r="T1891" s="4"/>
      <c r="U1891" s="4"/>
      <c r="V1891" s="4">
        <f>IFERROR(__xludf.DUMMYFUNCTION("""COMPUTED_VALUE"""),6590.0)</f>
        <v>6590</v>
      </c>
      <c r="W1891" s="240" t="str">
        <f t="shared" si="1"/>
        <v/>
      </c>
      <c r="X1891" s="4" t="str">
        <f>IFERROR(__xludf.DUMMYFUNCTION("""COMPUTED_VALUE"""),"Prepare for Showcase")</f>
        <v>Prepare for Showcase</v>
      </c>
      <c r="Y1891" s="4" t="str">
        <f t="shared" si="2"/>
        <v/>
      </c>
      <c r="Z1891" s="4" t="str">
        <f>IFERROR(__xludf.DUMMYFUNCTION("IFERROR(
  FILTER('CBK Students'!O:O, TRIM('CBK Students'!B:B) = TRIM(A1891)),
  """"
)"),"#REF!")</f>
        <v>#REF!</v>
      </c>
      <c r="AA1891" s="4" t="str">
        <f>IFERROR(__xludf.DUMMYFUNCTION("IFERROR(
  FILTER('CBK Students'!P:P, TRIM('CBK Students'!B:B) = TRIM(A1891)),
  """"
)"),"#REF!")</f>
        <v>#REF!</v>
      </c>
      <c r="AB1891" s="4" t="str">
        <f>IFERROR(__xludf.DUMMYFUNCTION("IFERROR(
  FILTER('CBK Students'!Q:Q, TRIM('CBK Students'!B:B) = TRIM(A1891)),
  """"
)"),"#REF!")</f>
        <v>#REF!</v>
      </c>
    </row>
    <row r="1892" ht="18.75" customHeight="1">
      <c r="T1892" s="4"/>
      <c r="U1892" s="4"/>
      <c r="V1892" s="4">
        <f>IFERROR(__xludf.DUMMYFUNCTION("""COMPUTED_VALUE"""),6590.0)</f>
        <v>6590</v>
      </c>
      <c r="W1892" s="240" t="str">
        <f t="shared" si="1"/>
        <v/>
      </c>
      <c r="X1892" s="4" t="str">
        <f>IFERROR(__xludf.DUMMYFUNCTION("""COMPUTED_VALUE"""),"Prepare for Showcase")</f>
        <v>Prepare for Showcase</v>
      </c>
      <c r="Y1892" s="4" t="str">
        <f t="shared" si="2"/>
        <v/>
      </c>
      <c r="Z1892" s="4" t="str">
        <f>IFERROR(__xludf.DUMMYFUNCTION("IFERROR(
  FILTER('CBK Students'!O:O, TRIM('CBK Students'!B:B) = TRIM(A1892)),
  """"
)"),"#REF!")</f>
        <v>#REF!</v>
      </c>
      <c r="AA1892" s="4" t="str">
        <f>IFERROR(__xludf.DUMMYFUNCTION("IFERROR(
  FILTER('CBK Students'!P:P, TRIM('CBK Students'!B:B) = TRIM(A1892)),
  """"
)"),"#REF!")</f>
        <v>#REF!</v>
      </c>
      <c r="AB1892" s="4" t="str">
        <f>IFERROR(__xludf.DUMMYFUNCTION("IFERROR(
  FILTER('CBK Students'!Q:Q, TRIM('CBK Students'!B:B) = TRIM(A1892)),
  """"
)"),"#REF!")</f>
        <v>#REF!</v>
      </c>
    </row>
    <row r="1893" ht="18.75" customHeight="1">
      <c r="T1893" s="4"/>
      <c r="U1893" s="4"/>
      <c r="V1893" s="4">
        <f>IFERROR(__xludf.DUMMYFUNCTION("""COMPUTED_VALUE"""),6590.0)</f>
        <v>6590</v>
      </c>
      <c r="W1893" s="240" t="str">
        <f t="shared" si="1"/>
        <v/>
      </c>
      <c r="X1893" s="4" t="str">
        <f>IFERROR(__xludf.DUMMYFUNCTION("""COMPUTED_VALUE"""),"Prepare for Showcase")</f>
        <v>Prepare for Showcase</v>
      </c>
      <c r="Y1893" s="4" t="str">
        <f t="shared" si="2"/>
        <v/>
      </c>
      <c r="Z1893" s="4" t="str">
        <f>IFERROR(__xludf.DUMMYFUNCTION("IFERROR(
  FILTER('CBK Students'!O:O, TRIM('CBK Students'!B:B) = TRIM(A1893)),
  """"
)"),"#REF!")</f>
        <v>#REF!</v>
      </c>
      <c r="AA1893" s="4" t="str">
        <f>IFERROR(__xludf.DUMMYFUNCTION("IFERROR(
  FILTER('CBK Students'!P:P, TRIM('CBK Students'!B:B) = TRIM(A1893)),
  """"
)"),"#REF!")</f>
        <v>#REF!</v>
      </c>
      <c r="AB1893" s="4" t="str">
        <f>IFERROR(__xludf.DUMMYFUNCTION("IFERROR(
  FILTER('CBK Students'!Q:Q, TRIM('CBK Students'!B:B) = TRIM(A1893)),
  """"
)"),"#REF!")</f>
        <v>#REF!</v>
      </c>
    </row>
    <row r="1894" ht="18.75" customHeight="1">
      <c r="T1894" s="4"/>
      <c r="U1894" s="4"/>
      <c r="V1894" s="4">
        <f>IFERROR(__xludf.DUMMYFUNCTION("""COMPUTED_VALUE"""),6590.0)</f>
        <v>6590</v>
      </c>
      <c r="W1894" s="240" t="str">
        <f t="shared" si="1"/>
        <v/>
      </c>
      <c r="X1894" s="4" t="str">
        <f>IFERROR(__xludf.DUMMYFUNCTION("""COMPUTED_VALUE"""),"Prepare for Showcase")</f>
        <v>Prepare for Showcase</v>
      </c>
      <c r="Y1894" s="4" t="str">
        <f t="shared" si="2"/>
        <v/>
      </c>
      <c r="Z1894" s="4" t="str">
        <f>IFERROR(__xludf.DUMMYFUNCTION("IFERROR(
  FILTER('CBK Students'!O:O, TRIM('CBK Students'!B:B) = TRIM(A1894)),
  """"
)"),"#REF!")</f>
        <v>#REF!</v>
      </c>
      <c r="AA1894" s="4" t="str">
        <f>IFERROR(__xludf.DUMMYFUNCTION("IFERROR(
  FILTER('CBK Students'!P:P, TRIM('CBK Students'!B:B) = TRIM(A1894)),
  """"
)"),"#REF!")</f>
        <v>#REF!</v>
      </c>
      <c r="AB1894" s="4" t="str">
        <f>IFERROR(__xludf.DUMMYFUNCTION("IFERROR(
  FILTER('CBK Students'!Q:Q, TRIM('CBK Students'!B:B) = TRIM(A1894)),
  """"
)"),"#REF!")</f>
        <v>#REF!</v>
      </c>
    </row>
    <row r="1895" ht="18.75" customHeight="1">
      <c r="T1895" s="4"/>
      <c r="U1895" s="4"/>
      <c r="V1895" s="4">
        <f>IFERROR(__xludf.DUMMYFUNCTION("""COMPUTED_VALUE"""),6590.0)</f>
        <v>6590</v>
      </c>
      <c r="W1895" s="240" t="str">
        <f t="shared" si="1"/>
        <v/>
      </c>
      <c r="X1895" s="4" t="str">
        <f>IFERROR(__xludf.DUMMYFUNCTION("""COMPUTED_VALUE"""),"Prepare for Showcase")</f>
        <v>Prepare for Showcase</v>
      </c>
      <c r="Y1895" s="4" t="str">
        <f t="shared" si="2"/>
        <v/>
      </c>
      <c r="Z1895" s="4" t="str">
        <f>IFERROR(__xludf.DUMMYFUNCTION("IFERROR(
  FILTER('CBK Students'!O:O, TRIM('CBK Students'!B:B) = TRIM(A1895)),
  """"
)"),"#REF!")</f>
        <v>#REF!</v>
      </c>
      <c r="AA1895" s="4" t="str">
        <f>IFERROR(__xludf.DUMMYFUNCTION("IFERROR(
  FILTER('CBK Students'!P:P, TRIM('CBK Students'!B:B) = TRIM(A1895)),
  """"
)"),"#REF!")</f>
        <v>#REF!</v>
      </c>
      <c r="AB1895" s="4" t="str">
        <f>IFERROR(__xludf.DUMMYFUNCTION("IFERROR(
  FILTER('CBK Students'!Q:Q, TRIM('CBK Students'!B:B) = TRIM(A1895)),
  """"
)"),"#REF!")</f>
        <v>#REF!</v>
      </c>
    </row>
    <row r="1896" ht="18.75" customHeight="1">
      <c r="T1896" s="4"/>
      <c r="U1896" s="4"/>
      <c r="V1896" s="4">
        <f>IFERROR(__xludf.DUMMYFUNCTION("""COMPUTED_VALUE"""),6590.0)</f>
        <v>6590</v>
      </c>
      <c r="W1896" s="240" t="str">
        <f t="shared" si="1"/>
        <v/>
      </c>
      <c r="X1896" s="4" t="str">
        <f>IFERROR(__xludf.DUMMYFUNCTION("""COMPUTED_VALUE"""),"Prepare for Showcase")</f>
        <v>Prepare for Showcase</v>
      </c>
      <c r="Y1896" s="4" t="str">
        <f t="shared" si="2"/>
        <v/>
      </c>
      <c r="Z1896" s="4" t="str">
        <f>IFERROR(__xludf.DUMMYFUNCTION("IFERROR(
  FILTER('CBK Students'!O:O, TRIM('CBK Students'!B:B) = TRIM(A1896)),
  """"
)"),"#REF!")</f>
        <v>#REF!</v>
      </c>
      <c r="AA1896" s="4" t="str">
        <f>IFERROR(__xludf.DUMMYFUNCTION("IFERROR(
  FILTER('CBK Students'!P:P, TRIM('CBK Students'!B:B) = TRIM(A1896)),
  """"
)"),"#REF!")</f>
        <v>#REF!</v>
      </c>
      <c r="AB1896" s="4" t="str">
        <f>IFERROR(__xludf.DUMMYFUNCTION("IFERROR(
  FILTER('CBK Students'!Q:Q, TRIM('CBK Students'!B:B) = TRIM(A1896)),
  """"
)"),"#REF!")</f>
        <v>#REF!</v>
      </c>
    </row>
    <row r="1897" ht="18.75" customHeight="1">
      <c r="T1897" s="4"/>
      <c r="U1897" s="4"/>
      <c r="V1897" s="4">
        <f>IFERROR(__xludf.DUMMYFUNCTION("""COMPUTED_VALUE"""),6590.0)</f>
        <v>6590</v>
      </c>
      <c r="W1897" s="240" t="str">
        <f t="shared" si="1"/>
        <v/>
      </c>
      <c r="X1897" s="4" t="str">
        <f>IFERROR(__xludf.DUMMYFUNCTION("""COMPUTED_VALUE"""),"Prepare for Showcase")</f>
        <v>Prepare for Showcase</v>
      </c>
      <c r="Y1897" s="4" t="str">
        <f t="shared" si="2"/>
        <v/>
      </c>
      <c r="Z1897" s="4" t="str">
        <f>IFERROR(__xludf.DUMMYFUNCTION("IFERROR(
  FILTER('CBK Students'!O:O, TRIM('CBK Students'!B:B) = TRIM(A1897)),
  """"
)"),"#REF!")</f>
        <v>#REF!</v>
      </c>
      <c r="AA1897" s="4" t="str">
        <f>IFERROR(__xludf.DUMMYFUNCTION("IFERROR(
  FILTER('CBK Students'!P:P, TRIM('CBK Students'!B:B) = TRIM(A1897)),
  """"
)"),"#REF!")</f>
        <v>#REF!</v>
      </c>
      <c r="AB1897" s="4" t="str">
        <f>IFERROR(__xludf.DUMMYFUNCTION("IFERROR(
  FILTER('CBK Students'!Q:Q, TRIM('CBK Students'!B:B) = TRIM(A1897)),
  """"
)"),"#REF!")</f>
        <v>#REF!</v>
      </c>
    </row>
    <row r="1898" ht="18.75" customHeight="1">
      <c r="T1898" s="4"/>
      <c r="U1898" s="4"/>
      <c r="V1898" s="4">
        <f>IFERROR(__xludf.DUMMYFUNCTION("""COMPUTED_VALUE"""),6590.0)</f>
        <v>6590</v>
      </c>
      <c r="W1898" s="240" t="str">
        <f t="shared" si="1"/>
        <v/>
      </c>
      <c r="X1898" s="4" t="str">
        <f>IFERROR(__xludf.DUMMYFUNCTION("""COMPUTED_VALUE"""),"Prepare for Showcase")</f>
        <v>Prepare for Showcase</v>
      </c>
      <c r="Y1898" s="4" t="str">
        <f t="shared" si="2"/>
        <v/>
      </c>
      <c r="Z1898" s="4" t="str">
        <f>IFERROR(__xludf.DUMMYFUNCTION("IFERROR(
  FILTER('CBK Students'!O:O, TRIM('CBK Students'!B:B) = TRIM(A1898)),
  """"
)"),"#REF!")</f>
        <v>#REF!</v>
      </c>
      <c r="AA1898" s="4" t="str">
        <f>IFERROR(__xludf.DUMMYFUNCTION("IFERROR(
  FILTER('CBK Students'!P:P, TRIM('CBK Students'!B:B) = TRIM(A1898)),
  """"
)"),"#REF!")</f>
        <v>#REF!</v>
      </c>
      <c r="AB1898" s="4" t="str">
        <f>IFERROR(__xludf.DUMMYFUNCTION("IFERROR(
  FILTER('CBK Students'!Q:Q, TRIM('CBK Students'!B:B) = TRIM(A1898)),
  """"
)"),"#REF!")</f>
        <v>#REF!</v>
      </c>
    </row>
    <row r="1899" ht="18.75" customHeight="1">
      <c r="T1899" s="4"/>
      <c r="U1899" s="4"/>
      <c r="V1899" s="4">
        <f>IFERROR(__xludf.DUMMYFUNCTION("""COMPUTED_VALUE"""),6590.0)</f>
        <v>6590</v>
      </c>
      <c r="W1899" s="240" t="str">
        <f t="shared" si="1"/>
        <v/>
      </c>
      <c r="X1899" s="4" t="str">
        <f>IFERROR(__xludf.DUMMYFUNCTION("""COMPUTED_VALUE"""),"Prepare for Showcase")</f>
        <v>Prepare for Showcase</v>
      </c>
      <c r="Y1899" s="4" t="str">
        <f t="shared" si="2"/>
        <v/>
      </c>
      <c r="Z1899" s="4" t="str">
        <f>IFERROR(__xludf.DUMMYFUNCTION("IFERROR(
  FILTER('CBK Students'!O:O, TRIM('CBK Students'!B:B) = TRIM(A1899)),
  """"
)"),"#REF!")</f>
        <v>#REF!</v>
      </c>
      <c r="AA1899" s="4" t="str">
        <f>IFERROR(__xludf.DUMMYFUNCTION("IFERROR(
  FILTER('CBK Students'!P:P, TRIM('CBK Students'!B:B) = TRIM(A1899)),
  """"
)"),"#REF!")</f>
        <v>#REF!</v>
      </c>
      <c r="AB1899" s="4" t="str">
        <f>IFERROR(__xludf.DUMMYFUNCTION("IFERROR(
  FILTER('CBK Students'!Q:Q, TRIM('CBK Students'!B:B) = TRIM(A1899)),
  """"
)"),"#REF!")</f>
        <v>#REF!</v>
      </c>
    </row>
    <row r="1900" ht="18.75" customHeight="1">
      <c r="T1900" s="4"/>
      <c r="U1900" s="4"/>
      <c r="V1900" s="4">
        <f>IFERROR(__xludf.DUMMYFUNCTION("""COMPUTED_VALUE"""),6590.0)</f>
        <v>6590</v>
      </c>
      <c r="W1900" s="240" t="str">
        <f t="shared" si="1"/>
        <v/>
      </c>
      <c r="X1900" s="4" t="str">
        <f>IFERROR(__xludf.DUMMYFUNCTION("""COMPUTED_VALUE"""),"Prepare for Showcase")</f>
        <v>Prepare for Showcase</v>
      </c>
      <c r="Y1900" s="4" t="str">
        <f t="shared" si="2"/>
        <v/>
      </c>
      <c r="Z1900" s="4" t="str">
        <f>IFERROR(__xludf.DUMMYFUNCTION("IFERROR(
  FILTER('CBK Students'!O:O, TRIM('CBK Students'!B:B) = TRIM(A1900)),
  """"
)"),"#REF!")</f>
        <v>#REF!</v>
      </c>
      <c r="AA1900" s="4" t="str">
        <f>IFERROR(__xludf.DUMMYFUNCTION("IFERROR(
  FILTER('CBK Students'!P:P, TRIM('CBK Students'!B:B) = TRIM(A1900)),
  """"
)"),"#REF!")</f>
        <v>#REF!</v>
      </c>
      <c r="AB1900" s="4" t="str">
        <f>IFERROR(__xludf.DUMMYFUNCTION("IFERROR(
  FILTER('CBK Students'!Q:Q, TRIM('CBK Students'!B:B) = TRIM(A1900)),
  """"
)"),"#REF!")</f>
        <v>#REF!</v>
      </c>
    </row>
    <row r="1901" ht="18.75" customHeight="1">
      <c r="T1901" s="4"/>
      <c r="U1901" s="4"/>
      <c r="V1901" s="4">
        <f>IFERROR(__xludf.DUMMYFUNCTION("""COMPUTED_VALUE"""),6590.0)</f>
        <v>6590</v>
      </c>
      <c r="W1901" s="240" t="str">
        <f t="shared" si="1"/>
        <v/>
      </c>
      <c r="X1901" s="4" t="str">
        <f>IFERROR(__xludf.DUMMYFUNCTION("""COMPUTED_VALUE"""),"Prepare for Showcase")</f>
        <v>Prepare for Showcase</v>
      </c>
      <c r="Y1901" s="4" t="str">
        <f t="shared" si="2"/>
        <v/>
      </c>
      <c r="Z1901" s="4" t="str">
        <f>IFERROR(__xludf.DUMMYFUNCTION("IFERROR(
  FILTER('CBK Students'!O:O, TRIM('CBK Students'!B:B) = TRIM(A1901)),
  """"
)"),"#REF!")</f>
        <v>#REF!</v>
      </c>
      <c r="AA1901" s="4" t="str">
        <f>IFERROR(__xludf.DUMMYFUNCTION("IFERROR(
  FILTER('CBK Students'!P:P, TRIM('CBK Students'!B:B) = TRIM(A1901)),
  """"
)"),"#REF!")</f>
        <v>#REF!</v>
      </c>
      <c r="AB1901" s="4" t="str">
        <f>IFERROR(__xludf.DUMMYFUNCTION("IFERROR(
  FILTER('CBK Students'!Q:Q, TRIM('CBK Students'!B:B) = TRIM(A1901)),
  """"
)"),"#REF!")</f>
        <v>#REF!</v>
      </c>
    </row>
    <row r="1902" ht="18.75" customHeight="1">
      <c r="T1902" s="4"/>
      <c r="U1902" s="4"/>
      <c r="V1902" s="4">
        <f>IFERROR(__xludf.DUMMYFUNCTION("""COMPUTED_VALUE"""),6590.0)</f>
        <v>6590</v>
      </c>
      <c r="W1902" s="240" t="str">
        <f t="shared" si="1"/>
        <v/>
      </c>
      <c r="X1902" s="4" t="str">
        <f>IFERROR(__xludf.DUMMYFUNCTION("""COMPUTED_VALUE"""),"Prepare for Showcase")</f>
        <v>Prepare for Showcase</v>
      </c>
      <c r="Y1902" s="4" t="str">
        <f t="shared" si="2"/>
        <v/>
      </c>
      <c r="Z1902" s="4" t="str">
        <f>IFERROR(__xludf.DUMMYFUNCTION("IFERROR(
  FILTER('CBK Students'!O:O, TRIM('CBK Students'!B:B) = TRIM(A1902)),
  """"
)"),"#REF!")</f>
        <v>#REF!</v>
      </c>
      <c r="AA1902" s="4" t="str">
        <f>IFERROR(__xludf.DUMMYFUNCTION("IFERROR(
  FILTER('CBK Students'!P:P, TRIM('CBK Students'!B:B) = TRIM(A1902)),
  """"
)"),"#REF!")</f>
        <v>#REF!</v>
      </c>
      <c r="AB1902" s="4" t="str">
        <f>IFERROR(__xludf.DUMMYFUNCTION("IFERROR(
  FILTER('CBK Students'!Q:Q, TRIM('CBK Students'!B:B) = TRIM(A1902)),
  """"
)"),"#REF!")</f>
        <v>#REF!</v>
      </c>
    </row>
    <row r="1903" ht="18.75" customHeight="1">
      <c r="T1903" s="4"/>
      <c r="U1903" s="4"/>
      <c r="V1903" s="4">
        <f>IFERROR(__xludf.DUMMYFUNCTION("""COMPUTED_VALUE"""),6590.0)</f>
        <v>6590</v>
      </c>
      <c r="W1903" s="240" t="str">
        <f t="shared" si="1"/>
        <v/>
      </c>
      <c r="X1903" s="4" t="str">
        <f>IFERROR(__xludf.DUMMYFUNCTION("""COMPUTED_VALUE"""),"Prepare for Showcase")</f>
        <v>Prepare for Showcase</v>
      </c>
      <c r="Y1903" s="4" t="str">
        <f t="shared" si="2"/>
        <v/>
      </c>
      <c r="Z1903" s="4" t="str">
        <f>IFERROR(__xludf.DUMMYFUNCTION("IFERROR(
  FILTER('CBK Students'!O:O, TRIM('CBK Students'!B:B) = TRIM(A1903)),
  """"
)"),"#REF!")</f>
        <v>#REF!</v>
      </c>
      <c r="AA1903" s="4" t="str">
        <f>IFERROR(__xludf.DUMMYFUNCTION("IFERROR(
  FILTER('CBK Students'!P:P, TRIM('CBK Students'!B:B) = TRIM(A1903)),
  """"
)"),"#REF!")</f>
        <v>#REF!</v>
      </c>
      <c r="AB1903" s="4" t="str">
        <f>IFERROR(__xludf.DUMMYFUNCTION("IFERROR(
  FILTER('CBK Students'!Q:Q, TRIM('CBK Students'!B:B) = TRIM(A1903)),
  """"
)"),"#REF!")</f>
        <v>#REF!</v>
      </c>
    </row>
    <row r="1904" ht="18.75" customHeight="1">
      <c r="T1904" s="4"/>
      <c r="U1904" s="4"/>
      <c r="V1904" s="4">
        <f>IFERROR(__xludf.DUMMYFUNCTION("""COMPUTED_VALUE"""),6590.0)</f>
        <v>6590</v>
      </c>
      <c r="W1904" s="240" t="str">
        <f t="shared" si="1"/>
        <v/>
      </c>
      <c r="X1904" s="4" t="str">
        <f>IFERROR(__xludf.DUMMYFUNCTION("""COMPUTED_VALUE"""),"Prepare for Showcase")</f>
        <v>Prepare for Showcase</v>
      </c>
      <c r="Y1904" s="4" t="str">
        <f t="shared" si="2"/>
        <v/>
      </c>
      <c r="Z1904" s="4" t="str">
        <f>IFERROR(__xludf.DUMMYFUNCTION("IFERROR(
  FILTER('CBK Students'!O:O, TRIM('CBK Students'!B:B) = TRIM(A1904)),
  """"
)"),"#REF!")</f>
        <v>#REF!</v>
      </c>
      <c r="AA1904" s="4" t="str">
        <f>IFERROR(__xludf.DUMMYFUNCTION("IFERROR(
  FILTER('CBK Students'!P:P, TRIM('CBK Students'!B:B) = TRIM(A1904)),
  """"
)"),"#REF!")</f>
        <v>#REF!</v>
      </c>
      <c r="AB1904" s="4" t="str">
        <f>IFERROR(__xludf.DUMMYFUNCTION("IFERROR(
  FILTER('CBK Students'!Q:Q, TRIM('CBK Students'!B:B) = TRIM(A1904)),
  """"
)"),"#REF!")</f>
        <v>#REF!</v>
      </c>
    </row>
    <row r="1905" ht="18.75" customHeight="1">
      <c r="T1905" s="4"/>
      <c r="U1905" s="4"/>
      <c r="V1905" s="4">
        <f>IFERROR(__xludf.DUMMYFUNCTION("""COMPUTED_VALUE"""),6590.0)</f>
        <v>6590</v>
      </c>
      <c r="W1905" s="240" t="str">
        <f t="shared" si="1"/>
        <v/>
      </c>
      <c r="X1905" s="4" t="str">
        <f>IFERROR(__xludf.DUMMYFUNCTION("""COMPUTED_VALUE"""),"Prepare for Showcase")</f>
        <v>Prepare for Showcase</v>
      </c>
      <c r="Y1905" s="4" t="str">
        <f t="shared" si="2"/>
        <v/>
      </c>
      <c r="Z1905" s="4" t="str">
        <f>IFERROR(__xludf.DUMMYFUNCTION("IFERROR(
  FILTER('CBK Students'!O:O, TRIM('CBK Students'!B:B) = TRIM(A1905)),
  """"
)"),"#REF!")</f>
        <v>#REF!</v>
      </c>
      <c r="AA1905" s="4" t="str">
        <f>IFERROR(__xludf.DUMMYFUNCTION("IFERROR(
  FILTER('CBK Students'!P:P, TRIM('CBK Students'!B:B) = TRIM(A1905)),
  """"
)"),"#REF!")</f>
        <v>#REF!</v>
      </c>
      <c r="AB1905" s="4" t="str">
        <f>IFERROR(__xludf.DUMMYFUNCTION("IFERROR(
  FILTER('CBK Students'!Q:Q, TRIM('CBK Students'!B:B) = TRIM(A1905)),
  """"
)"),"#REF!")</f>
        <v>#REF!</v>
      </c>
    </row>
    <row r="1906" ht="18.75" customHeight="1">
      <c r="T1906" s="4"/>
      <c r="U1906" s="4"/>
      <c r="V1906" s="4">
        <f>IFERROR(__xludf.DUMMYFUNCTION("""COMPUTED_VALUE"""),6590.0)</f>
        <v>6590</v>
      </c>
      <c r="W1906" s="240" t="str">
        <f t="shared" si="1"/>
        <v/>
      </c>
      <c r="X1906" s="4" t="str">
        <f>IFERROR(__xludf.DUMMYFUNCTION("""COMPUTED_VALUE"""),"Prepare for Showcase")</f>
        <v>Prepare for Showcase</v>
      </c>
      <c r="Y1906" s="4" t="str">
        <f t="shared" si="2"/>
        <v/>
      </c>
      <c r="Z1906" s="4" t="str">
        <f>IFERROR(__xludf.DUMMYFUNCTION("IFERROR(
  FILTER('CBK Students'!O:O, TRIM('CBK Students'!B:B) = TRIM(A1906)),
  """"
)"),"#REF!")</f>
        <v>#REF!</v>
      </c>
      <c r="AA1906" s="4" t="str">
        <f>IFERROR(__xludf.DUMMYFUNCTION("IFERROR(
  FILTER('CBK Students'!P:P, TRIM('CBK Students'!B:B) = TRIM(A1906)),
  """"
)"),"#REF!")</f>
        <v>#REF!</v>
      </c>
      <c r="AB1906" s="4" t="str">
        <f>IFERROR(__xludf.DUMMYFUNCTION("IFERROR(
  FILTER('CBK Students'!Q:Q, TRIM('CBK Students'!B:B) = TRIM(A1906)),
  """"
)"),"#REF!")</f>
        <v>#REF!</v>
      </c>
    </row>
    <row r="1907" ht="18.75" customHeight="1">
      <c r="T1907" s="4"/>
      <c r="U1907" s="4"/>
      <c r="V1907" s="4">
        <f>IFERROR(__xludf.DUMMYFUNCTION("""COMPUTED_VALUE"""),6590.0)</f>
        <v>6590</v>
      </c>
      <c r="W1907" s="240" t="str">
        <f t="shared" si="1"/>
        <v/>
      </c>
      <c r="X1907" s="4" t="str">
        <f>IFERROR(__xludf.DUMMYFUNCTION("""COMPUTED_VALUE"""),"Prepare for Showcase")</f>
        <v>Prepare for Showcase</v>
      </c>
      <c r="Y1907" s="4" t="str">
        <f t="shared" si="2"/>
        <v/>
      </c>
      <c r="Z1907" s="4" t="str">
        <f>IFERROR(__xludf.DUMMYFUNCTION("IFERROR(
  FILTER('CBK Students'!O:O, TRIM('CBK Students'!B:B) = TRIM(A1907)),
  """"
)"),"#REF!")</f>
        <v>#REF!</v>
      </c>
      <c r="AA1907" s="4" t="str">
        <f>IFERROR(__xludf.DUMMYFUNCTION("IFERROR(
  FILTER('CBK Students'!P:P, TRIM('CBK Students'!B:B) = TRIM(A1907)),
  """"
)"),"#REF!")</f>
        <v>#REF!</v>
      </c>
      <c r="AB1907" s="4" t="str">
        <f>IFERROR(__xludf.DUMMYFUNCTION("IFERROR(
  FILTER('CBK Students'!Q:Q, TRIM('CBK Students'!B:B) = TRIM(A1907)),
  """"
)"),"#REF!")</f>
        <v>#REF!</v>
      </c>
    </row>
    <row r="1908" ht="18.75" customHeight="1">
      <c r="T1908" s="4"/>
      <c r="U1908" s="4"/>
      <c r="V1908" s="4">
        <f>IFERROR(__xludf.DUMMYFUNCTION("""COMPUTED_VALUE"""),6590.0)</f>
        <v>6590</v>
      </c>
      <c r="W1908" s="240" t="str">
        <f t="shared" si="1"/>
        <v/>
      </c>
      <c r="X1908" s="4" t="str">
        <f>IFERROR(__xludf.DUMMYFUNCTION("""COMPUTED_VALUE"""),"Prepare for Showcase")</f>
        <v>Prepare for Showcase</v>
      </c>
      <c r="Y1908" s="4" t="str">
        <f t="shared" si="2"/>
        <v/>
      </c>
      <c r="Z1908" s="4" t="str">
        <f>IFERROR(__xludf.DUMMYFUNCTION("IFERROR(
  FILTER('CBK Students'!O:O, TRIM('CBK Students'!B:B) = TRIM(A1908)),
  """"
)"),"#REF!")</f>
        <v>#REF!</v>
      </c>
      <c r="AA1908" s="4" t="str">
        <f>IFERROR(__xludf.DUMMYFUNCTION("IFERROR(
  FILTER('CBK Students'!P:P, TRIM('CBK Students'!B:B) = TRIM(A1908)),
  """"
)"),"#REF!")</f>
        <v>#REF!</v>
      </c>
      <c r="AB1908" s="4" t="str">
        <f>IFERROR(__xludf.DUMMYFUNCTION("IFERROR(
  FILTER('CBK Students'!Q:Q, TRIM('CBK Students'!B:B) = TRIM(A1908)),
  """"
)"),"#REF!")</f>
        <v>#REF!</v>
      </c>
    </row>
    <row r="1909" ht="18.75" customHeight="1">
      <c r="T1909" s="4"/>
      <c r="U1909" s="4"/>
      <c r="V1909" s="4">
        <f>IFERROR(__xludf.DUMMYFUNCTION("""COMPUTED_VALUE"""),6590.0)</f>
        <v>6590</v>
      </c>
      <c r="W1909" s="240" t="str">
        <f t="shared" si="1"/>
        <v/>
      </c>
      <c r="X1909" s="4" t="str">
        <f>IFERROR(__xludf.DUMMYFUNCTION("""COMPUTED_VALUE"""),"Prepare for Showcase")</f>
        <v>Prepare for Showcase</v>
      </c>
      <c r="Y1909" s="4" t="str">
        <f t="shared" si="2"/>
        <v/>
      </c>
      <c r="Z1909" s="4" t="str">
        <f>IFERROR(__xludf.DUMMYFUNCTION("IFERROR(
  FILTER('CBK Students'!O:O, TRIM('CBK Students'!B:B) = TRIM(A1909)),
  """"
)"),"#REF!")</f>
        <v>#REF!</v>
      </c>
      <c r="AA1909" s="4" t="str">
        <f>IFERROR(__xludf.DUMMYFUNCTION("IFERROR(
  FILTER('CBK Students'!P:P, TRIM('CBK Students'!B:B) = TRIM(A1909)),
  """"
)"),"#REF!")</f>
        <v>#REF!</v>
      </c>
      <c r="AB1909" s="4" t="str">
        <f>IFERROR(__xludf.DUMMYFUNCTION("IFERROR(
  FILTER('CBK Students'!Q:Q, TRIM('CBK Students'!B:B) = TRIM(A1909)),
  """"
)"),"#REF!")</f>
        <v>#REF!</v>
      </c>
    </row>
    <row r="1910" ht="18.75" customHeight="1">
      <c r="T1910" s="4"/>
      <c r="U1910" s="4"/>
      <c r="V1910" s="4">
        <f>IFERROR(__xludf.DUMMYFUNCTION("""COMPUTED_VALUE"""),6590.0)</f>
        <v>6590</v>
      </c>
      <c r="W1910" s="240" t="str">
        <f t="shared" si="1"/>
        <v/>
      </c>
      <c r="X1910" s="4" t="str">
        <f>IFERROR(__xludf.DUMMYFUNCTION("""COMPUTED_VALUE"""),"Prepare for Showcase")</f>
        <v>Prepare for Showcase</v>
      </c>
      <c r="Y1910" s="4" t="str">
        <f t="shared" si="2"/>
        <v/>
      </c>
      <c r="Z1910" s="4" t="str">
        <f>IFERROR(__xludf.DUMMYFUNCTION("IFERROR(
  FILTER('CBK Students'!O:O, TRIM('CBK Students'!B:B) = TRIM(A1910)),
  """"
)"),"#REF!")</f>
        <v>#REF!</v>
      </c>
      <c r="AA1910" s="4" t="str">
        <f>IFERROR(__xludf.DUMMYFUNCTION("IFERROR(
  FILTER('CBK Students'!P:P, TRIM('CBK Students'!B:B) = TRIM(A1910)),
  """"
)"),"#REF!")</f>
        <v>#REF!</v>
      </c>
      <c r="AB1910" s="4" t="str">
        <f>IFERROR(__xludf.DUMMYFUNCTION("IFERROR(
  FILTER('CBK Students'!Q:Q, TRIM('CBK Students'!B:B) = TRIM(A1910)),
  """"
)"),"#REF!")</f>
        <v>#REF!</v>
      </c>
    </row>
    <row r="1911" ht="18.75" customHeight="1">
      <c r="T1911" s="4"/>
      <c r="U1911" s="4"/>
      <c r="V1911" s="4">
        <f>IFERROR(__xludf.DUMMYFUNCTION("""COMPUTED_VALUE"""),6590.0)</f>
        <v>6590</v>
      </c>
      <c r="W1911" s="240" t="str">
        <f t="shared" si="1"/>
        <v/>
      </c>
      <c r="X1911" s="4" t="str">
        <f>IFERROR(__xludf.DUMMYFUNCTION("""COMPUTED_VALUE"""),"Prepare for Showcase")</f>
        <v>Prepare for Showcase</v>
      </c>
      <c r="Y1911" s="4" t="str">
        <f t="shared" si="2"/>
        <v/>
      </c>
      <c r="Z1911" s="4" t="str">
        <f>IFERROR(__xludf.DUMMYFUNCTION("IFERROR(
  FILTER('CBK Students'!O:O, TRIM('CBK Students'!B:B) = TRIM(A1911)),
  """"
)"),"#REF!")</f>
        <v>#REF!</v>
      </c>
      <c r="AA1911" s="4" t="str">
        <f>IFERROR(__xludf.DUMMYFUNCTION("IFERROR(
  FILTER('CBK Students'!P:P, TRIM('CBK Students'!B:B) = TRIM(A1911)),
  """"
)"),"#REF!")</f>
        <v>#REF!</v>
      </c>
      <c r="AB1911" s="4" t="str">
        <f>IFERROR(__xludf.DUMMYFUNCTION("IFERROR(
  FILTER('CBK Students'!Q:Q, TRIM('CBK Students'!B:B) = TRIM(A1911)),
  """"
)"),"#REF!")</f>
        <v>#REF!</v>
      </c>
    </row>
    <row r="1912" ht="18.75" customHeight="1">
      <c r="T1912" s="4"/>
      <c r="U1912" s="4"/>
      <c r="V1912" s="4">
        <f>IFERROR(__xludf.DUMMYFUNCTION("""COMPUTED_VALUE"""),6590.0)</f>
        <v>6590</v>
      </c>
      <c r="W1912" s="240" t="str">
        <f t="shared" si="1"/>
        <v/>
      </c>
      <c r="X1912" s="4" t="str">
        <f>IFERROR(__xludf.DUMMYFUNCTION("""COMPUTED_VALUE"""),"Prepare for Showcase")</f>
        <v>Prepare for Showcase</v>
      </c>
      <c r="Y1912" s="4" t="str">
        <f t="shared" si="2"/>
        <v/>
      </c>
      <c r="Z1912" s="4" t="str">
        <f>IFERROR(__xludf.DUMMYFUNCTION("IFERROR(
  FILTER('CBK Students'!O:O, TRIM('CBK Students'!B:B) = TRIM(A1912)),
  """"
)"),"#REF!")</f>
        <v>#REF!</v>
      </c>
      <c r="AA1912" s="4" t="str">
        <f>IFERROR(__xludf.DUMMYFUNCTION("IFERROR(
  FILTER('CBK Students'!P:P, TRIM('CBK Students'!B:B) = TRIM(A1912)),
  """"
)"),"#REF!")</f>
        <v>#REF!</v>
      </c>
      <c r="AB1912" s="4" t="str">
        <f>IFERROR(__xludf.DUMMYFUNCTION("IFERROR(
  FILTER('CBK Students'!Q:Q, TRIM('CBK Students'!B:B) = TRIM(A1912)),
  """"
)"),"#REF!")</f>
        <v>#REF!</v>
      </c>
    </row>
    <row r="1913" ht="18.75" customHeight="1">
      <c r="T1913" s="4"/>
      <c r="U1913" s="4"/>
      <c r="V1913" s="4">
        <f>IFERROR(__xludf.DUMMYFUNCTION("""COMPUTED_VALUE"""),6590.0)</f>
        <v>6590</v>
      </c>
      <c r="W1913" s="240" t="str">
        <f t="shared" si="1"/>
        <v/>
      </c>
      <c r="X1913" s="4" t="str">
        <f>IFERROR(__xludf.DUMMYFUNCTION("""COMPUTED_VALUE"""),"Prepare for Showcase")</f>
        <v>Prepare for Showcase</v>
      </c>
      <c r="Y1913" s="4" t="str">
        <f t="shared" si="2"/>
        <v/>
      </c>
      <c r="Z1913" s="4" t="str">
        <f>IFERROR(__xludf.DUMMYFUNCTION("IFERROR(
  FILTER('CBK Students'!O:O, TRIM('CBK Students'!B:B) = TRIM(A1913)),
  """"
)"),"#REF!")</f>
        <v>#REF!</v>
      </c>
      <c r="AA1913" s="4" t="str">
        <f>IFERROR(__xludf.DUMMYFUNCTION("IFERROR(
  FILTER('CBK Students'!P:P, TRIM('CBK Students'!B:B) = TRIM(A1913)),
  """"
)"),"#REF!")</f>
        <v>#REF!</v>
      </c>
      <c r="AB1913" s="4" t="str">
        <f>IFERROR(__xludf.DUMMYFUNCTION("IFERROR(
  FILTER('CBK Students'!Q:Q, TRIM('CBK Students'!B:B) = TRIM(A1913)),
  """"
)"),"#REF!")</f>
        <v>#REF!</v>
      </c>
    </row>
    <row r="1914" ht="18.75" customHeight="1">
      <c r="T1914" s="4"/>
      <c r="U1914" s="4"/>
      <c r="V1914" s="4">
        <f>IFERROR(__xludf.DUMMYFUNCTION("""COMPUTED_VALUE"""),6590.0)</f>
        <v>6590</v>
      </c>
      <c r="W1914" s="240" t="str">
        <f t="shared" si="1"/>
        <v/>
      </c>
      <c r="X1914" s="4" t="str">
        <f>IFERROR(__xludf.DUMMYFUNCTION("""COMPUTED_VALUE"""),"Prepare for Showcase")</f>
        <v>Prepare for Showcase</v>
      </c>
      <c r="Y1914" s="4" t="str">
        <f t="shared" si="2"/>
        <v/>
      </c>
      <c r="Z1914" s="4" t="str">
        <f>IFERROR(__xludf.DUMMYFUNCTION("IFERROR(
  FILTER('CBK Students'!O:O, TRIM('CBK Students'!B:B) = TRIM(A1914)),
  """"
)"),"#REF!")</f>
        <v>#REF!</v>
      </c>
      <c r="AA1914" s="4" t="str">
        <f>IFERROR(__xludf.DUMMYFUNCTION("IFERROR(
  FILTER('CBK Students'!P:P, TRIM('CBK Students'!B:B) = TRIM(A1914)),
  """"
)"),"#REF!")</f>
        <v>#REF!</v>
      </c>
      <c r="AB1914" s="4" t="str">
        <f>IFERROR(__xludf.DUMMYFUNCTION("IFERROR(
  FILTER('CBK Students'!Q:Q, TRIM('CBK Students'!B:B) = TRIM(A1914)),
  """"
)"),"#REF!")</f>
        <v>#REF!</v>
      </c>
    </row>
    <row r="1915" ht="18.75" customHeight="1">
      <c r="T1915" s="4"/>
      <c r="U1915" s="4"/>
      <c r="V1915" s="4">
        <f>IFERROR(__xludf.DUMMYFUNCTION("""COMPUTED_VALUE"""),6590.0)</f>
        <v>6590</v>
      </c>
      <c r="W1915" s="240" t="str">
        <f t="shared" si="1"/>
        <v/>
      </c>
      <c r="X1915" s="4" t="str">
        <f>IFERROR(__xludf.DUMMYFUNCTION("""COMPUTED_VALUE"""),"Prepare for Showcase")</f>
        <v>Prepare for Showcase</v>
      </c>
      <c r="Y1915" s="4" t="str">
        <f t="shared" si="2"/>
        <v/>
      </c>
      <c r="Z1915" s="4" t="str">
        <f>IFERROR(__xludf.DUMMYFUNCTION("IFERROR(
  FILTER('CBK Students'!O:O, TRIM('CBK Students'!B:B) = TRIM(A1915)),
  """"
)"),"#REF!")</f>
        <v>#REF!</v>
      </c>
      <c r="AA1915" s="4" t="str">
        <f>IFERROR(__xludf.DUMMYFUNCTION("IFERROR(
  FILTER('CBK Students'!P:P, TRIM('CBK Students'!B:B) = TRIM(A1915)),
  """"
)"),"#REF!")</f>
        <v>#REF!</v>
      </c>
      <c r="AB1915" s="4" t="str">
        <f>IFERROR(__xludf.DUMMYFUNCTION("IFERROR(
  FILTER('CBK Students'!Q:Q, TRIM('CBK Students'!B:B) = TRIM(A1915)),
  """"
)"),"#REF!")</f>
        <v>#REF!</v>
      </c>
    </row>
    <row r="1916" ht="18.75" customHeight="1">
      <c r="T1916" s="4"/>
      <c r="U1916" s="4"/>
      <c r="V1916" s="4">
        <f>IFERROR(__xludf.DUMMYFUNCTION("""COMPUTED_VALUE"""),6590.0)</f>
        <v>6590</v>
      </c>
      <c r="W1916" s="240" t="str">
        <f t="shared" si="1"/>
        <v/>
      </c>
      <c r="X1916" s="4" t="str">
        <f>IFERROR(__xludf.DUMMYFUNCTION("""COMPUTED_VALUE"""),"Prepare for Showcase")</f>
        <v>Prepare for Showcase</v>
      </c>
      <c r="Y1916" s="4" t="str">
        <f t="shared" si="2"/>
        <v/>
      </c>
      <c r="Z1916" s="4" t="str">
        <f>IFERROR(__xludf.DUMMYFUNCTION("IFERROR(
  FILTER('CBK Students'!O:O, TRIM('CBK Students'!B:B) = TRIM(A1916)),
  """"
)"),"#REF!")</f>
        <v>#REF!</v>
      </c>
      <c r="AA1916" s="4" t="str">
        <f>IFERROR(__xludf.DUMMYFUNCTION("IFERROR(
  FILTER('CBK Students'!P:P, TRIM('CBK Students'!B:B) = TRIM(A1916)),
  """"
)"),"#REF!")</f>
        <v>#REF!</v>
      </c>
      <c r="AB1916" s="4" t="str">
        <f>IFERROR(__xludf.DUMMYFUNCTION("IFERROR(
  FILTER('CBK Students'!Q:Q, TRIM('CBK Students'!B:B) = TRIM(A1916)),
  """"
)"),"#REF!")</f>
        <v>#REF!</v>
      </c>
    </row>
    <row r="1917" ht="18.75" customHeight="1">
      <c r="T1917" s="4"/>
      <c r="U1917" s="4"/>
      <c r="V1917" s="4">
        <f>IFERROR(__xludf.DUMMYFUNCTION("""COMPUTED_VALUE"""),6590.0)</f>
        <v>6590</v>
      </c>
      <c r="W1917" s="240" t="str">
        <f t="shared" si="1"/>
        <v/>
      </c>
      <c r="X1917" s="4" t="str">
        <f>IFERROR(__xludf.DUMMYFUNCTION("""COMPUTED_VALUE"""),"Prepare for Showcase")</f>
        <v>Prepare for Showcase</v>
      </c>
      <c r="Y1917" s="4" t="str">
        <f t="shared" si="2"/>
        <v/>
      </c>
      <c r="Z1917" s="4" t="str">
        <f>IFERROR(__xludf.DUMMYFUNCTION("IFERROR(
  FILTER('CBK Students'!O:O, TRIM('CBK Students'!B:B) = TRIM(A1917)),
  """"
)"),"#REF!")</f>
        <v>#REF!</v>
      </c>
      <c r="AA1917" s="4" t="str">
        <f>IFERROR(__xludf.DUMMYFUNCTION("IFERROR(
  FILTER('CBK Students'!P:P, TRIM('CBK Students'!B:B) = TRIM(A1917)),
  """"
)"),"#REF!")</f>
        <v>#REF!</v>
      </c>
      <c r="AB1917" s="4" t="str">
        <f>IFERROR(__xludf.DUMMYFUNCTION("IFERROR(
  FILTER('CBK Students'!Q:Q, TRIM('CBK Students'!B:B) = TRIM(A1917)),
  """"
)"),"#REF!")</f>
        <v>#REF!</v>
      </c>
    </row>
    <row r="1918" ht="18.75" customHeight="1">
      <c r="T1918" s="4"/>
      <c r="U1918" s="4"/>
      <c r="V1918" s="4">
        <f>IFERROR(__xludf.DUMMYFUNCTION("""COMPUTED_VALUE"""),6590.0)</f>
        <v>6590</v>
      </c>
      <c r="W1918" s="240" t="str">
        <f t="shared" si="1"/>
        <v/>
      </c>
      <c r="X1918" s="4" t="str">
        <f>IFERROR(__xludf.DUMMYFUNCTION("""COMPUTED_VALUE"""),"Prepare for Showcase")</f>
        <v>Prepare for Showcase</v>
      </c>
      <c r="Y1918" s="4" t="str">
        <f t="shared" si="2"/>
        <v/>
      </c>
      <c r="Z1918" s="4" t="str">
        <f>IFERROR(__xludf.DUMMYFUNCTION("IFERROR(
  FILTER('CBK Students'!O:O, TRIM('CBK Students'!B:B) = TRIM(A1918)),
  """"
)"),"#REF!")</f>
        <v>#REF!</v>
      </c>
      <c r="AA1918" s="4" t="str">
        <f>IFERROR(__xludf.DUMMYFUNCTION("IFERROR(
  FILTER('CBK Students'!P:P, TRIM('CBK Students'!B:B) = TRIM(A1918)),
  """"
)"),"#REF!")</f>
        <v>#REF!</v>
      </c>
      <c r="AB1918" s="4" t="str">
        <f>IFERROR(__xludf.DUMMYFUNCTION("IFERROR(
  FILTER('CBK Students'!Q:Q, TRIM('CBK Students'!B:B) = TRIM(A1918)),
  """"
)"),"#REF!")</f>
        <v>#REF!</v>
      </c>
    </row>
    <row r="1919" ht="18.75" customHeight="1">
      <c r="T1919" s="4"/>
      <c r="U1919" s="4"/>
      <c r="V1919" s="4">
        <f>IFERROR(__xludf.DUMMYFUNCTION("""COMPUTED_VALUE"""),6590.0)</f>
        <v>6590</v>
      </c>
      <c r="W1919" s="240" t="str">
        <f t="shared" si="1"/>
        <v/>
      </c>
      <c r="X1919" s="4" t="str">
        <f>IFERROR(__xludf.DUMMYFUNCTION("""COMPUTED_VALUE"""),"Prepare for Showcase")</f>
        <v>Prepare for Showcase</v>
      </c>
      <c r="Y1919" s="4" t="str">
        <f t="shared" si="2"/>
        <v/>
      </c>
      <c r="Z1919" s="4" t="str">
        <f>IFERROR(__xludf.DUMMYFUNCTION("IFERROR(
  FILTER('CBK Students'!O:O, TRIM('CBK Students'!B:B) = TRIM(A1919)),
  """"
)"),"#REF!")</f>
        <v>#REF!</v>
      </c>
      <c r="AA1919" s="4" t="str">
        <f>IFERROR(__xludf.DUMMYFUNCTION("IFERROR(
  FILTER('CBK Students'!P:P, TRIM('CBK Students'!B:B) = TRIM(A1919)),
  """"
)"),"#REF!")</f>
        <v>#REF!</v>
      </c>
      <c r="AB1919" s="4" t="str">
        <f>IFERROR(__xludf.DUMMYFUNCTION("IFERROR(
  FILTER('CBK Students'!Q:Q, TRIM('CBK Students'!B:B) = TRIM(A1919)),
  """"
)"),"#REF!")</f>
        <v>#REF!</v>
      </c>
    </row>
    <row r="1920" ht="18.75" customHeight="1">
      <c r="T1920" s="4"/>
      <c r="U1920" s="4"/>
      <c r="V1920" s="4">
        <f>IFERROR(__xludf.DUMMYFUNCTION("""COMPUTED_VALUE"""),6590.0)</f>
        <v>6590</v>
      </c>
      <c r="W1920" s="240" t="str">
        <f t="shared" si="1"/>
        <v/>
      </c>
      <c r="X1920" s="4" t="str">
        <f>IFERROR(__xludf.DUMMYFUNCTION("""COMPUTED_VALUE"""),"Prepare for Showcase")</f>
        <v>Prepare for Showcase</v>
      </c>
      <c r="Y1920" s="4" t="str">
        <f t="shared" si="2"/>
        <v/>
      </c>
      <c r="Z1920" s="4" t="str">
        <f>IFERROR(__xludf.DUMMYFUNCTION("IFERROR(
  FILTER('CBK Students'!O:O, TRIM('CBK Students'!B:B) = TRIM(A1920)),
  """"
)"),"#REF!")</f>
        <v>#REF!</v>
      </c>
      <c r="AA1920" s="4" t="str">
        <f>IFERROR(__xludf.DUMMYFUNCTION("IFERROR(
  FILTER('CBK Students'!P:P, TRIM('CBK Students'!B:B) = TRIM(A1920)),
  """"
)"),"#REF!")</f>
        <v>#REF!</v>
      </c>
      <c r="AB1920" s="4" t="str">
        <f>IFERROR(__xludf.DUMMYFUNCTION("IFERROR(
  FILTER('CBK Students'!Q:Q, TRIM('CBK Students'!B:B) = TRIM(A1920)),
  """"
)"),"#REF!")</f>
        <v>#REF!</v>
      </c>
    </row>
    <row r="1921" ht="18.75" customHeight="1">
      <c r="T1921" s="4"/>
      <c r="U1921" s="4"/>
      <c r="V1921" s="4">
        <f>IFERROR(__xludf.DUMMYFUNCTION("""COMPUTED_VALUE"""),6590.0)</f>
        <v>6590</v>
      </c>
      <c r="W1921" s="240" t="str">
        <f t="shared" si="1"/>
        <v/>
      </c>
      <c r="X1921" s="4" t="str">
        <f>IFERROR(__xludf.DUMMYFUNCTION("""COMPUTED_VALUE"""),"Prepare for Showcase")</f>
        <v>Prepare for Showcase</v>
      </c>
      <c r="Y1921" s="4" t="str">
        <f t="shared" si="2"/>
        <v/>
      </c>
      <c r="Z1921" s="4" t="str">
        <f>IFERROR(__xludf.DUMMYFUNCTION("IFERROR(
  FILTER('CBK Students'!O:O, TRIM('CBK Students'!B:B) = TRIM(A1921)),
  """"
)"),"#REF!")</f>
        <v>#REF!</v>
      </c>
      <c r="AA1921" s="4" t="str">
        <f>IFERROR(__xludf.DUMMYFUNCTION("IFERROR(
  FILTER('CBK Students'!P:P, TRIM('CBK Students'!B:B) = TRIM(A1921)),
  """"
)"),"#REF!")</f>
        <v>#REF!</v>
      </c>
      <c r="AB1921" s="4" t="str">
        <f>IFERROR(__xludf.DUMMYFUNCTION("IFERROR(
  FILTER('CBK Students'!Q:Q, TRIM('CBK Students'!B:B) = TRIM(A1921)),
  """"
)"),"#REF!")</f>
        <v>#REF!</v>
      </c>
    </row>
    <row r="1922" ht="18.75" customHeight="1">
      <c r="T1922" s="4"/>
      <c r="U1922" s="4"/>
      <c r="V1922" s="4">
        <f>IFERROR(__xludf.DUMMYFUNCTION("""COMPUTED_VALUE"""),6590.0)</f>
        <v>6590</v>
      </c>
      <c r="W1922" s="240" t="str">
        <f t="shared" si="1"/>
        <v/>
      </c>
      <c r="X1922" s="4" t="str">
        <f>IFERROR(__xludf.DUMMYFUNCTION("""COMPUTED_VALUE"""),"Prepare for Showcase")</f>
        <v>Prepare for Showcase</v>
      </c>
      <c r="Y1922" s="4" t="str">
        <f t="shared" si="2"/>
        <v/>
      </c>
      <c r="Z1922" s="4" t="str">
        <f>IFERROR(__xludf.DUMMYFUNCTION("IFERROR(
  FILTER('CBK Students'!O:O, TRIM('CBK Students'!B:B) = TRIM(A1922)),
  """"
)"),"#REF!")</f>
        <v>#REF!</v>
      </c>
      <c r="AA1922" s="4" t="str">
        <f>IFERROR(__xludf.DUMMYFUNCTION("IFERROR(
  FILTER('CBK Students'!P:P, TRIM('CBK Students'!B:B) = TRIM(A1922)),
  """"
)"),"#REF!")</f>
        <v>#REF!</v>
      </c>
      <c r="AB1922" s="4" t="str">
        <f>IFERROR(__xludf.DUMMYFUNCTION("IFERROR(
  FILTER('CBK Students'!Q:Q, TRIM('CBK Students'!B:B) = TRIM(A1922)),
  """"
)"),"#REF!")</f>
        <v>#REF!</v>
      </c>
    </row>
    <row r="1923" ht="18.75" customHeight="1">
      <c r="T1923" s="4"/>
      <c r="U1923" s="4"/>
      <c r="V1923" s="4">
        <f>IFERROR(__xludf.DUMMYFUNCTION("""COMPUTED_VALUE"""),6590.0)</f>
        <v>6590</v>
      </c>
      <c r="W1923" s="240" t="str">
        <f t="shared" si="1"/>
        <v/>
      </c>
      <c r="X1923" s="4" t="str">
        <f>IFERROR(__xludf.DUMMYFUNCTION("""COMPUTED_VALUE"""),"Prepare for Showcase")</f>
        <v>Prepare for Showcase</v>
      </c>
      <c r="Y1923" s="4" t="str">
        <f t="shared" si="2"/>
        <v/>
      </c>
      <c r="Z1923" s="4" t="str">
        <f>IFERROR(__xludf.DUMMYFUNCTION("IFERROR(
  FILTER('CBK Students'!O:O, TRIM('CBK Students'!B:B) = TRIM(A1923)),
  """"
)"),"#REF!")</f>
        <v>#REF!</v>
      </c>
      <c r="AA1923" s="4" t="str">
        <f>IFERROR(__xludf.DUMMYFUNCTION("IFERROR(
  FILTER('CBK Students'!P:P, TRIM('CBK Students'!B:B) = TRIM(A1923)),
  """"
)"),"#REF!")</f>
        <v>#REF!</v>
      </c>
      <c r="AB1923" s="4" t="str">
        <f>IFERROR(__xludf.DUMMYFUNCTION("IFERROR(
  FILTER('CBK Students'!Q:Q, TRIM('CBK Students'!B:B) = TRIM(A1923)),
  """"
)"),"#REF!")</f>
        <v>#REF!</v>
      </c>
    </row>
    <row r="1924" ht="18.75" customHeight="1">
      <c r="T1924" s="4"/>
      <c r="U1924" s="4"/>
      <c r="V1924" s="4">
        <f>IFERROR(__xludf.DUMMYFUNCTION("""COMPUTED_VALUE"""),6590.0)</f>
        <v>6590</v>
      </c>
      <c r="W1924" s="240" t="str">
        <f t="shared" si="1"/>
        <v/>
      </c>
      <c r="X1924" s="4" t="str">
        <f>IFERROR(__xludf.DUMMYFUNCTION("""COMPUTED_VALUE"""),"Prepare for Showcase")</f>
        <v>Prepare for Showcase</v>
      </c>
      <c r="Y1924" s="4" t="str">
        <f t="shared" si="2"/>
        <v/>
      </c>
      <c r="Z1924" s="4" t="str">
        <f>IFERROR(__xludf.DUMMYFUNCTION("IFERROR(
  FILTER('CBK Students'!O:O, TRIM('CBK Students'!B:B) = TRIM(A1924)),
  """"
)"),"#REF!")</f>
        <v>#REF!</v>
      </c>
      <c r="AA1924" s="4" t="str">
        <f>IFERROR(__xludf.DUMMYFUNCTION("IFERROR(
  FILTER('CBK Students'!P:P, TRIM('CBK Students'!B:B) = TRIM(A1924)),
  """"
)"),"#REF!")</f>
        <v>#REF!</v>
      </c>
      <c r="AB1924" s="4" t="str">
        <f>IFERROR(__xludf.DUMMYFUNCTION("IFERROR(
  FILTER('CBK Students'!Q:Q, TRIM('CBK Students'!B:B) = TRIM(A1924)),
  """"
)"),"#REF!")</f>
        <v>#REF!</v>
      </c>
    </row>
    <row r="1925" ht="18.75" customHeight="1">
      <c r="T1925" s="4"/>
      <c r="U1925" s="4"/>
      <c r="V1925" s="4">
        <f>IFERROR(__xludf.DUMMYFUNCTION("""COMPUTED_VALUE"""),6590.0)</f>
        <v>6590</v>
      </c>
      <c r="W1925" s="240" t="str">
        <f t="shared" si="1"/>
        <v/>
      </c>
      <c r="X1925" s="4" t="str">
        <f>IFERROR(__xludf.DUMMYFUNCTION("""COMPUTED_VALUE"""),"Prepare for Showcase")</f>
        <v>Prepare for Showcase</v>
      </c>
      <c r="Y1925" s="4" t="str">
        <f t="shared" si="2"/>
        <v/>
      </c>
      <c r="Z1925" s="4" t="str">
        <f>IFERROR(__xludf.DUMMYFUNCTION("IFERROR(
  FILTER('CBK Students'!O:O, TRIM('CBK Students'!B:B) = TRIM(A1925)),
  """"
)"),"#REF!")</f>
        <v>#REF!</v>
      </c>
      <c r="AA1925" s="4" t="str">
        <f>IFERROR(__xludf.DUMMYFUNCTION("IFERROR(
  FILTER('CBK Students'!P:P, TRIM('CBK Students'!B:B) = TRIM(A1925)),
  """"
)"),"#REF!")</f>
        <v>#REF!</v>
      </c>
      <c r="AB1925" s="4" t="str">
        <f>IFERROR(__xludf.DUMMYFUNCTION("IFERROR(
  FILTER('CBK Students'!Q:Q, TRIM('CBK Students'!B:B) = TRIM(A1925)),
  """"
)"),"#REF!")</f>
        <v>#REF!</v>
      </c>
    </row>
    <row r="1926" ht="18.75" customHeight="1">
      <c r="T1926" s="4"/>
      <c r="U1926" s="4"/>
      <c r="V1926" s="4">
        <f>IFERROR(__xludf.DUMMYFUNCTION("""COMPUTED_VALUE"""),6590.0)</f>
        <v>6590</v>
      </c>
      <c r="W1926" s="240" t="str">
        <f t="shared" si="1"/>
        <v/>
      </c>
      <c r="X1926" s="4" t="str">
        <f>IFERROR(__xludf.DUMMYFUNCTION("""COMPUTED_VALUE"""),"Prepare for Showcase")</f>
        <v>Prepare for Showcase</v>
      </c>
      <c r="Y1926" s="4" t="str">
        <f t="shared" si="2"/>
        <v/>
      </c>
      <c r="Z1926" s="4" t="str">
        <f>IFERROR(__xludf.DUMMYFUNCTION("IFERROR(
  FILTER('CBK Students'!O:O, TRIM('CBK Students'!B:B) = TRIM(A1926)),
  """"
)"),"#REF!")</f>
        <v>#REF!</v>
      </c>
      <c r="AA1926" s="4" t="str">
        <f>IFERROR(__xludf.DUMMYFUNCTION("IFERROR(
  FILTER('CBK Students'!P:P, TRIM('CBK Students'!B:B) = TRIM(A1926)),
  """"
)"),"#REF!")</f>
        <v>#REF!</v>
      </c>
      <c r="AB1926" s="4" t="str">
        <f>IFERROR(__xludf.DUMMYFUNCTION("IFERROR(
  FILTER('CBK Students'!Q:Q, TRIM('CBK Students'!B:B) = TRIM(A1926)),
  """"
)"),"#REF!")</f>
        <v>#REF!</v>
      </c>
    </row>
    <row r="1927" ht="18.75" customHeight="1">
      <c r="T1927" s="4"/>
      <c r="U1927" s="4"/>
      <c r="V1927" s="4">
        <f>IFERROR(__xludf.DUMMYFUNCTION("""COMPUTED_VALUE"""),6590.0)</f>
        <v>6590</v>
      </c>
      <c r="W1927" s="240" t="str">
        <f t="shared" si="1"/>
        <v/>
      </c>
      <c r="X1927" s="4" t="str">
        <f>IFERROR(__xludf.DUMMYFUNCTION("""COMPUTED_VALUE"""),"Prepare for Showcase")</f>
        <v>Prepare for Showcase</v>
      </c>
      <c r="Y1927" s="4" t="str">
        <f t="shared" si="2"/>
        <v/>
      </c>
      <c r="Z1927" s="4" t="str">
        <f>IFERROR(__xludf.DUMMYFUNCTION("IFERROR(
  FILTER('CBK Students'!O:O, TRIM('CBK Students'!B:B) = TRIM(A1927)),
  """"
)"),"#REF!")</f>
        <v>#REF!</v>
      </c>
      <c r="AA1927" s="4" t="str">
        <f>IFERROR(__xludf.DUMMYFUNCTION("IFERROR(
  FILTER('CBK Students'!P:P, TRIM('CBK Students'!B:B) = TRIM(A1927)),
  """"
)"),"#REF!")</f>
        <v>#REF!</v>
      </c>
      <c r="AB1927" s="4" t="str">
        <f>IFERROR(__xludf.DUMMYFUNCTION("IFERROR(
  FILTER('CBK Students'!Q:Q, TRIM('CBK Students'!B:B) = TRIM(A1927)),
  """"
)"),"#REF!")</f>
        <v>#REF!</v>
      </c>
    </row>
    <row r="1928" ht="18.75" customHeight="1">
      <c r="T1928" s="4"/>
      <c r="U1928" s="4"/>
      <c r="V1928" s="4">
        <f>IFERROR(__xludf.DUMMYFUNCTION("""COMPUTED_VALUE"""),6590.0)</f>
        <v>6590</v>
      </c>
      <c r="W1928" s="240" t="str">
        <f t="shared" si="1"/>
        <v/>
      </c>
      <c r="X1928" s="4" t="str">
        <f>IFERROR(__xludf.DUMMYFUNCTION("""COMPUTED_VALUE"""),"Prepare for Showcase")</f>
        <v>Prepare for Showcase</v>
      </c>
      <c r="Y1928" s="4" t="str">
        <f t="shared" si="2"/>
        <v/>
      </c>
      <c r="Z1928" s="4" t="str">
        <f>IFERROR(__xludf.DUMMYFUNCTION("IFERROR(
  FILTER('CBK Students'!O:O, TRIM('CBK Students'!B:B) = TRIM(A1928)),
  """"
)"),"#REF!")</f>
        <v>#REF!</v>
      </c>
      <c r="AA1928" s="4" t="str">
        <f>IFERROR(__xludf.DUMMYFUNCTION("IFERROR(
  FILTER('CBK Students'!P:P, TRIM('CBK Students'!B:B) = TRIM(A1928)),
  """"
)"),"#REF!")</f>
        <v>#REF!</v>
      </c>
      <c r="AB1928" s="4" t="str">
        <f>IFERROR(__xludf.DUMMYFUNCTION("IFERROR(
  FILTER('CBK Students'!Q:Q, TRIM('CBK Students'!B:B) = TRIM(A1928)),
  """"
)"),"#REF!")</f>
        <v>#REF!</v>
      </c>
    </row>
    <row r="1929" ht="18.75" customHeight="1">
      <c r="T1929" s="4"/>
      <c r="U1929" s="4"/>
      <c r="V1929" s="4">
        <f>IFERROR(__xludf.DUMMYFUNCTION("""COMPUTED_VALUE"""),6590.0)</f>
        <v>6590</v>
      </c>
      <c r="W1929" s="240" t="str">
        <f t="shared" si="1"/>
        <v/>
      </c>
      <c r="X1929" s="4" t="str">
        <f>IFERROR(__xludf.DUMMYFUNCTION("""COMPUTED_VALUE"""),"Prepare for Showcase")</f>
        <v>Prepare for Showcase</v>
      </c>
      <c r="Y1929" s="4" t="str">
        <f t="shared" si="2"/>
        <v/>
      </c>
      <c r="Z1929" s="4" t="str">
        <f>IFERROR(__xludf.DUMMYFUNCTION("IFERROR(
  FILTER('CBK Students'!O:O, TRIM('CBK Students'!B:B) = TRIM(A1929)),
  """"
)"),"#REF!")</f>
        <v>#REF!</v>
      </c>
      <c r="AA1929" s="4" t="str">
        <f>IFERROR(__xludf.DUMMYFUNCTION("IFERROR(
  FILTER('CBK Students'!P:P, TRIM('CBK Students'!B:B) = TRIM(A1929)),
  """"
)"),"#REF!")</f>
        <v>#REF!</v>
      </c>
      <c r="AB1929" s="4" t="str">
        <f>IFERROR(__xludf.DUMMYFUNCTION("IFERROR(
  FILTER('CBK Students'!Q:Q, TRIM('CBK Students'!B:B) = TRIM(A1929)),
  """"
)"),"#REF!")</f>
        <v>#REF!</v>
      </c>
    </row>
    <row r="1930" ht="18.75" customHeight="1">
      <c r="T1930" s="4"/>
      <c r="U1930" s="4"/>
      <c r="V1930" s="4">
        <f>IFERROR(__xludf.DUMMYFUNCTION("""COMPUTED_VALUE"""),6590.0)</f>
        <v>6590</v>
      </c>
      <c r="W1930" s="240" t="str">
        <f t="shared" si="1"/>
        <v/>
      </c>
      <c r="X1930" s="4" t="str">
        <f>IFERROR(__xludf.DUMMYFUNCTION("""COMPUTED_VALUE"""),"Prepare for Showcase")</f>
        <v>Prepare for Showcase</v>
      </c>
      <c r="Y1930" s="4" t="str">
        <f t="shared" si="2"/>
        <v/>
      </c>
      <c r="Z1930" s="4" t="str">
        <f>IFERROR(__xludf.DUMMYFUNCTION("IFERROR(
  FILTER('CBK Students'!O:O, TRIM('CBK Students'!B:B) = TRIM(A1930)),
  """"
)"),"#REF!")</f>
        <v>#REF!</v>
      </c>
      <c r="AA1930" s="4" t="str">
        <f>IFERROR(__xludf.DUMMYFUNCTION("IFERROR(
  FILTER('CBK Students'!P:P, TRIM('CBK Students'!B:B) = TRIM(A1930)),
  """"
)"),"#REF!")</f>
        <v>#REF!</v>
      </c>
      <c r="AB1930" s="4" t="str">
        <f>IFERROR(__xludf.DUMMYFUNCTION("IFERROR(
  FILTER('CBK Students'!Q:Q, TRIM('CBK Students'!B:B) = TRIM(A1930)),
  """"
)"),"#REF!")</f>
        <v>#REF!</v>
      </c>
    </row>
    <row r="1931" ht="18.75" customHeight="1">
      <c r="T1931" s="4"/>
      <c r="U1931" s="4"/>
      <c r="V1931" s="4">
        <f>IFERROR(__xludf.DUMMYFUNCTION("""COMPUTED_VALUE"""),6590.0)</f>
        <v>6590</v>
      </c>
      <c r="W1931" s="240" t="str">
        <f t="shared" si="1"/>
        <v/>
      </c>
      <c r="X1931" s="4" t="str">
        <f>IFERROR(__xludf.DUMMYFUNCTION("""COMPUTED_VALUE"""),"Prepare for Showcase")</f>
        <v>Prepare for Showcase</v>
      </c>
      <c r="Y1931" s="4" t="str">
        <f t="shared" si="2"/>
        <v/>
      </c>
      <c r="Z1931" s="4" t="str">
        <f>IFERROR(__xludf.DUMMYFUNCTION("IFERROR(
  FILTER('CBK Students'!O:O, TRIM('CBK Students'!B:B) = TRIM(A1931)),
  """"
)"),"#REF!")</f>
        <v>#REF!</v>
      </c>
      <c r="AA1931" s="4" t="str">
        <f>IFERROR(__xludf.DUMMYFUNCTION("IFERROR(
  FILTER('CBK Students'!P:P, TRIM('CBK Students'!B:B) = TRIM(A1931)),
  """"
)"),"#REF!")</f>
        <v>#REF!</v>
      </c>
      <c r="AB1931" s="4" t="str">
        <f>IFERROR(__xludf.DUMMYFUNCTION("IFERROR(
  FILTER('CBK Students'!Q:Q, TRIM('CBK Students'!B:B) = TRIM(A1931)),
  """"
)"),"#REF!")</f>
        <v>#REF!</v>
      </c>
    </row>
    <row r="1932" ht="18.75" customHeight="1">
      <c r="T1932" s="4"/>
      <c r="U1932" s="4"/>
      <c r="V1932" s="4">
        <f>IFERROR(__xludf.DUMMYFUNCTION("""COMPUTED_VALUE"""),6590.0)</f>
        <v>6590</v>
      </c>
      <c r="W1932" s="240" t="str">
        <f t="shared" si="1"/>
        <v/>
      </c>
      <c r="X1932" s="4" t="str">
        <f>IFERROR(__xludf.DUMMYFUNCTION("""COMPUTED_VALUE"""),"Prepare for Showcase")</f>
        <v>Prepare for Showcase</v>
      </c>
      <c r="Y1932" s="4" t="str">
        <f t="shared" si="2"/>
        <v/>
      </c>
      <c r="Z1932" s="4" t="str">
        <f>IFERROR(__xludf.DUMMYFUNCTION("IFERROR(
  FILTER('CBK Students'!O:O, TRIM('CBK Students'!B:B) = TRIM(A1932)),
  """"
)"),"#REF!")</f>
        <v>#REF!</v>
      </c>
      <c r="AA1932" s="4" t="str">
        <f>IFERROR(__xludf.DUMMYFUNCTION("IFERROR(
  FILTER('CBK Students'!P:P, TRIM('CBK Students'!B:B) = TRIM(A1932)),
  """"
)"),"#REF!")</f>
        <v>#REF!</v>
      </c>
      <c r="AB1932" s="4" t="str">
        <f>IFERROR(__xludf.DUMMYFUNCTION("IFERROR(
  FILTER('CBK Students'!Q:Q, TRIM('CBK Students'!B:B) = TRIM(A1932)),
  """"
)"),"#REF!")</f>
        <v>#REF!</v>
      </c>
    </row>
    <row r="1933" ht="18.75" customHeight="1">
      <c r="T1933" s="4"/>
      <c r="U1933" s="4"/>
      <c r="V1933" s="4">
        <f>IFERROR(__xludf.DUMMYFUNCTION("""COMPUTED_VALUE"""),6590.0)</f>
        <v>6590</v>
      </c>
      <c r="W1933" s="240" t="str">
        <f t="shared" si="1"/>
        <v/>
      </c>
      <c r="X1933" s="4" t="str">
        <f>IFERROR(__xludf.DUMMYFUNCTION("""COMPUTED_VALUE"""),"Prepare for Showcase")</f>
        <v>Prepare for Showcase</v>
      </c>
      <c r="Y1933" s="4" t="str">
        <f t="shared" si="2"/>
        <v/>
      </c>
      <c r="Z1933" s="4" t="str">
        <f>IFERROR(__xludf.DUMMYFUNCTION("IFERROR(
  FILTER('CBK Students'!O:O, TRIM('CBK Students'!B:B) = TRIM(A1933)),
  """"
)"),"#REF!")</f>
        <v>#REF!</v>
      </c>
      <c r="AA1933" s="4" t="str">
        <f>IFERROR(__xludf.DUMMYFUNCTION("IFERROR(
  FILTER('CBK Students'!P:P, TRIM('CBK Students'!B:B) = TRIM(A1933)),
  """"
)"),"#REF!")</f>
        <v>#REF!</v>
      </c>
      <c r="AB1933" s="4" t="str">
        <f>IFERROR(__xludf.DUMMYFUNCTION("IFERROR(
  FILTER('CBK Students'!Q:Q, TRIM('CBK Students'!B:B) = TRIM(A1933)),
  """"
)"),"#REF!")</f>
        <v>#REF!</v>
      </c>
    </row>
    <row r="1934" ht="18.75" customHeight="1">
      <c r="T1934" s="4"/>
      <c r="U1934" s="4"/>
      <c r="V1934" s="4">
        <f>IFERROR(__xludf.DUMMYFUNCTION("""COMPUTED_VALUE"""),6590.0)</f>
        <v>6590</v>
      </c>
      <c r="W1934" s="240" t="str">
        <f t="shared" si="1"/>
        <v/>
      </c>
      <c r="X1934" s="4" t="str">
        <f>IFERROR(__xludf.DUMMYFUNCTION("""COMPUTED_VALUE"""),"Prepare for Showcase")</f>
        <v>Prepare for Showcase</v>
      </c>
      <c r="Y1934" s="4" t="str">
        <f t="shared" si="2"/>
        <v/>
      </c>
      <c r="Z1934" s="4" t="str">
        <f>IFERROR(__xludf.DUMMYFUNCTION("IFERROR(
  FILTER('CBK Students'!O:O, TRIM('CBK Students'!B:B) = TRIM(A1934)),
  """"
)"),"#REF!")</f>
        <v>#REF!</v>
      </c>
      <c r="AA1934" s="4" t="str">
        <f>IFERROR(__xludf.DUMMYFUNCTION("IFERROR(
  FILTER('CBK Students'!P:P, TRIM('CBK Students'!B:B) = TRIM(A1934)),
  """"
)"),"#REF!")</f>
        <v>#REF!</v>
      </c>
      <c r="AB1934" s="4" t="str">
        <f>IFERROR(__xludf.DUMMYFUNCTION("IFERROR(
  FILTER('CBK Students'!Q:Q, TRIM('CBK Students'!B:B) = TRIM(A1934)),
  """"
)"),"#REF!")</f>
        <v>#REF!</v>
      </c>
    </row>
    <row r="1935" ht="18.75" customHeight="1">
      <c r="T1935" s="4"/>
      <c r="U1935" s="4"/>
      <c r="V1935" s="4">
        <f>IFERROR(__xludf.DUMMYFUNCTION("""COMPUTED_VALUE"""),6590.0)</f>
        <v>6590</v>
      </c>
      <c r="W1935" s="240" t="str">
        <f t="shared" si="1"/>
        <v/>
      </c>
      <c r="X1935" s="4" t="str">
        <f>IFERROR(__xludf.DUMMYFUNCTION("""COMPUTED_VALUE"""),"Prepare for Showcase")</f>
        <v>Prepare for Showcase</v>
      </c>
      <c r="Y1935" s="4" t="str">
        <f t="shared" si="2"/>
        <v/>
      </c>
      <c r="Z1935" s="4" t="str">
        <f>IFERROR(__xludf.DUMMYFUNCTION("IFERROR(
  FILTER('CBK Students'!O:O, TRIM('CBK Students'!B:B) = TRIM(A1935)),
  """"
)"),"#REF!")</f>
        <v>#REF!</v>
      </c>
      <c r="AA1935" s="4" t="str">
        <f>IFERROR(__xludf.DUMMYFUNCTION("IFERROR(
  FILTER('CBK Students'!P:P, TRIM('CBK Students'!B:B) = TRIM(A1935)),
  """"
)"),"#REF!")</f>
        <v>#REF!</v>
      </c>
      <c r="AB1935" s="4" t="str">
        <f>IFERROR(__xludf.DUMMYFUNCTION("IFERROR(
  FILTER('CBK Students'!Q:Q, TRIM('CBK Students'!B:B) = TRIM(A1935)),
  """"
)"),"#REF!")</f>
        <v>#REF!</v>
      </c>
    </row>
    <row r="1936" ht="18.75" customHeight="1">
      <c r="T1936" s="4"/>
      <c r="U1936" s="4"/>
      <c r="V1936" s="4">
        <f>IFERROR(__xludf.DUMMYFUNCTION("""COMPUTED_VALUE"""),6590.0)</f>
        <v>6590</v>
      </c>
      <c r="W1936" s="240" t="str">
        <f t="shared" si="1"/>
        <v/>
      </c>
      <c r="X1936" s="4" t="str">
        <f>IFERROR(__xludf.DUMMYFUNCTION("""COMPUTED_VALUE"""),"Prepare for Showcase")</f>
        <v>Prepare for Showcase</v>
      </c>
      <c r="Y1936" s="4" t="str">
        <f t="shared" si="2"/>
        <v/>
      </c>
      <c r="Z1936" s="4" t="str">
        <f>IFERROR(__xludf.DUMMYFUNCTION("IFERROR(
  FILTER('CBK Students'!O:O, TRIM('CBK Students'!B:B) = TRIM(A1936)),
  """"
)"),"#REF!")</f>
        <v>#REF!</v>
      </c>
      <c r="AA1936" s="4" t="str">
        <f>IFERROR(__xludf.DUMMYFUNCTION("IFERROR(
  FILTER('CBK Students'!P:P, TRIM('CBK Students'!B:B) = TRIM(A1936)),
  """"
)"),"#REF!")</f>
        <v>#REF!</v>
      </c>
      <c r="AB1936" s="4" t="str">
        <f>IFERROR(__xludf.DUMMYFUNCTION("IFERROR(
  FILTER('CBK Students'!Q:Q, TRIM('CBK Students'!B:B) = TRIM(A1936)),
  """"
)"),"#REF!")</f>
        <v>#REF!</v>
      </c>
    </row>
    <row r="1937" ht="18.75" customHeight="1">
      <c r="T1937" s="4"/>
      <c r="U1937" s="4"/>
      <c r="V1937" s="4">
        <f>IFERROR(__xludf.DUMMYFUNCTION("""COMPUTED_VALUE"""),6590.0)</f>
        <v>6590</v>
      </c>
      <c r="W1937" s="240" t="str">
        <f t="shared" si="1"/>
        <v/>
      </c>
      <c r="X1937" s="4" t="str">
        <f>IFERROR(__xludf.DUMMYFUNCTION("""COMPUTED_VALUE"""),"Prepare for Showcase")</f>
        <v>Prepare for Showcase</v>
      </c>
      <c r="Y1937" s="4" t="str">
        <f t="shared" si="2"/>
        <v/>
      </c>
      <c r="Z1937" s="4" t="str">
        <f>IFERROR(__xludf.DUMMYFUNCTION("IFERROR(
  FILTER('CBK Students'!O:O, TRIM('CBK Students'!B:B) = TRIM(A1937)),
  """"
)"),"#REF!")</f>
        <v>#REF!</v>
      </c>
      <c r="AA1937" s="4" t="str">
        <f>IFERROR(__xludf.DUMMYFUNCTION("IFERROR(
  FILTER('CBK Students'!P:P, TRIM('CBK Students'!B:B) = TRIM(A1937)),
  """"
)"),"#REF!")</f>
        <v>#REF!</v>
      </c>
      <c r="AB1937" s="4" t="str">
        <f>IFERROR(__xludf.DUMMYFUNCTION("IFERROR(
  FILTER('CBK Students'!Q:Q, TRIM('CBK Students'!B:B) = TRIM(A1937)),
  """"
)"),"#REF!")</f>
        <v>#REF!</v>
      </c>
    </row>
    <row r="1938" ht="18.75" customHeight="1">
      <c r="T1938" s="4"/>
      <c r="U1938" s="4"/>
      <c r="V1938" s="4">
        <f>IFERROR(__xludf.DUMMYFUNCTION("""COMPUTED_VALUE"""),6590.0)</f>
        <v>6590</v>
      </c>
      <c r="W1938" s="240" t="str">
        <f t="shared" si="1"/>
        <v/>
      </c>
      <c r="X1938" s="4" t="str">
        <f>IFERROR(__xludf.DUMMYFUNCTION("""COMPUTED_VALUE"""),"Prepare for Showcase")</f>
        <v>Prepare for Showcase</v>
      </c>
      <c r="Y1938" s="4" t="str">
        <f t="shared" si="2"/>
        <v/>
      </c>
      <c r="Z1938" s="4" t="str">
        <f>IFERROR(__xludf.DUMMYFUNCTION("IFERROR(
  FILTER('CBK Students'!O:O, TRIM('CBK Students'!B:B) = TRIM(A1938)),
  """"
)"),"#REF!")</f>
        <v>#REF!</v>
      </c>
      <c r="AA1938" s="4" t="str">
        <f>IFERROR(__xludf.DUMMYFUNCTION("IFERROR(
  FILTER('CBK Students'!P:P, TRIM('CBK Students'!B:B) = TRIM(A1938)),
  """"
)"),"#REF!")</f>
        <v>#REF!</v>
      </c>
      <c r="AB1938" s="4" t="str">
        <f>IFERROR(__xludf.DUMMYFUNCTION("IFERROR(
  FILTER('CBK Students'!Q:Q, TRIM('CBK Students'!B:B) = TRIM(A1938)),
  """"
)"),"#REF!")</f>
        <v>#REF!</v>
      </c>
    </row>
    <row r="1939" ht="18.75" customHeight="1">
      <c r="T1939" s="4"/>
      <c r="U1939" s="4"/>
      <c r="V1939" s="4">
        <f>IFERROR(__xludf.DUMMYFUNCTION("""COMPUTED_VALUE"""),6590.0)</f>
        <v>6590</v>
      </c>
      <c r="W1939" s="240" t="str">
        <f t="shared" si="1"/>
        <v/>
      </c>
      <c r="X1939" s="4" t="str">
        <f>IFERROR(__xludf.DUMMYFUNCTION("""COMPUTED_VALUE"""),"Prepare for Showcase")</f>
        <v>Prepare for Showcase</v>
      </c>
      <c r="Y1939" s="4" t="str">
        <f t="shared" si="2"/>
        <v/>
      </c>
      <c r="Z1939" s="4" t="str">
        <f>IFERROR(__xludf.DUMMYFUNCTION("IFERROR(
  FILTER('CBK Students'!O:O, TRIM('CBK Students'!B:B) = TRIM(A1939)),
  """"
)"),"#REF!")</f>
        <v>#REF!</v>
      </c>
      <c r="AA1939" s="4" t="str">
        <f>IFERROR(__xludf.DUMMYFUNCTION("IFERROR(
  FILTER('CBK Students'!P:P, TRIM('CBK Students'!B:B) = TRIM(A1939)),
  """"
)"),"#REF!")</f>
        <v>#REF!</v>
      </c>
      <c r="AB1939" s="4" t="str">
        <f>IFERROR(__xludf.DUMMYFUNCTION("IFERROR(
  FILTER('CBK Students'!Q:Q, TRIM('CBK Students'!B:B) = TRIM(A1939)),
  """"
)"),"#REF!")</f>
        <v>#REF!</v>
      </c>
    </row>
    <row r="1940" ht="18.75" customHeight="1">
      <c r="T1940" s="4"/>
      <c r="U1940" s="4"/>
      <c r="V1940" s="4">
        <f>IFERROR(__xludf.DUMMYFUNCTION("""COMPUTED_VALUE"""),6590.0)</f>
        <v>6590</v>
      </c>
      <c r="W1940" s="240" t="str">
        <f t="shared" si="1"/>
        <v/>
      </c>
      <c r="X1940" s="4" t="str">
        <f>IFERROR(__xludf.DUMMYFUNCTION("""COMPUTED_VALUE"""),"Prepare for Showcase")</f>
        <v>Prepare for Showcase</v>
      </c>
      <c r="Y1940" s="4" t="str">
        <f t="shared" si="2"/>
        <v/>
      </c>
      <c r="Z1940" s="4" t="str">
        <f>IFERROR(__xludf.DUMMYFUNCTION("IFERROR(
  FILTER('CBK Students'!O:O, TRIM('CBK Students'!B:B) = TRIM(A1940)),
  """"
)"),"#REF!")</f>
        <v>#REF!</v>
      </c>
      <c r="AA1940" s="4" t="str">
        <f>IFERROR(__xludf.DUMMYFUNCTION("IFERROR(
  FILTER('CBK Students'!P:P, TRIM('CBK Students'!B:B) = TRIM(A1940)),
  """"
)"),"#REF!")</f>
        <v>#REF!</v>
      </c>
      <c r="AB1940" s="4" t="str">
        <f>IFERROR(__xludf.DUMMYFUNCTION("IFERROR(
  FILTER('CBK Students'!Q:Q, TRIM('CBK Students'!B:B) = TRIM(A1940)),
  """"
)"),"#REF!")</f>
        <v>#REF!</v>
      </c>
    </row>
    <row r="1941" ht="18.75" customHeight="1">
      <c r="T1941" s="4"/>
      <c r="U1941" s="4"/>
      <c r="V1941" s="4">
        <f>IFERROR(__xludf.DUMMYFUNCTION("""COMPUTED_VALUE"""),6590.0)</f>
        <v>6590</v>
      </c>
      <c r="W1941" s="240" t="str">
        <f t="shared" si="1"/>
        <v/>
      </c>
      <c r="X1941" s="4" t="str">
        <f>IFERROR(__xludf.DUMMYFUNCTION("""COMPUTED_VALUE"""),"Prepare for Showcase")</f>
        <v>Prepare for Showcase</v>
      </c>
      <c r="Y1941" s="4" t="str">
        <f t="shared" si="2"/>
        <v/>
      </c>
      <c r="Z1941" s="4" t="str">
        <f>IFERROR(__xludf.DUMMYFUNCTION("IFERROR(
  FILTER('CBK Students'!O:O, TRIM('CBK Students'!B:B) = TRIM(A1941)),
  """"
)"),"#REF!")</f>
        <v>#REF!</v>
      </c>
      <c r="AA1941" s="4" t="str">
        <f>IFERROR(__xludf.DUMMYFUNCTION("IFERROR(
  FILTER('CBK Students'!P:P, TRIM('CBK Students'!B:B) = TRIM(A1941)),
  """"
)"),"#REF!")</f>
        <v>#REF!</v>
      </c>
      <c r="AB1941" s="4" t="str">
        <f>IFERROR(__xludf.DUMMYFUNCTION("IFERROR(
  FILTER('CBK Students'!Q:Q, TRIM('CBK Students'!B:B) = TRIM(A1941)),
  """"
)"),"#REF!")</f>
        <v>#REF!</v>
      </c>
    </row>
    <row r="1942" ht="18.75" customHeight="1">
      <c r="T1942" s="4"/>
      <c r="U1942" s="4"/>
      <c r="V1942" s="4">
        <f>IFERROR(__xludf.DUMMYFUNCTION("""COMPUTED_VALUE"""),6590.0)</f>
        <v>6590</v>
      </c>
      <c r="W1942" s="240" t="str">
        <f t="shared" si="1"/>
        <v/>
      </c>
      <c r="X1942" s="4" t="str">
        <f>IFERROR(__xludf.DUMMYFUNCTION("""COMPUTED_VALUE"""),"Prepare for Showcase")</f>
        <v>Prepare for Showcase</v>
      </c>
      <c r="Y1942" s="4" t="str">
        <f t="shared" si="2"/>
        <v/>
      </c>
      <c r="Z1942" s="4" t="str">
        <f>IFERROR(__xludf.DUMMYFUNCTION("IFERROR(
  FILTER('CBK Students'!O:O, TRIM('CBK Students'!B:B) = TRIM(A1942)),
  """"
)"),"#REF!")</f>
        <v>#REF!</v>
      </c>
      <c r="AA1942" s="4" t="str">
        <f>IFERROR(__xludf.DUMMYFUNCTION("IFERROR(
  FILTER('CBK Students'!P:P, TRIM('CBK Students'!B:B) = TRIM(A1942)),
  """"
)"),"#REF!")</f>
        <v>#REF!</v>
      </c>
      <c r="AB1942" s="4" t="str">
        <f>IFERROR(__xludf.DUMMYFUNCTION("IFERROR(
  FILTER('CBK Students'!Q:Q, TRIM('CBK Students'!B:B) = TRIM(A1942)),
  """"
)"),"#REF!")</f>
        <v>#REF!</v>
      </c>
    </row>
    <row r="1943" ht="18.75" customHeight="1">
      <c r="T1943" s="4"/>
      <c r="U1943" s="4"/>
      <c r="V1943" s="4">
        <f>IFERROR(__xludf.DUMMYFUNCTION("""COMPUTED_VALUE"""),6590.0)</f>
        <v>6590</v>
      </c>
      <c r="W1943" s="240" t="str">
        <f t="shared" si="1"/>
        <v/>
      </c>
      <c r="X1943" s="4" t="str">
        <f>IFERROR(__xludf.DUMMYFUNCTION("""COMPUTED_VALUE"""),"Prepare for Showcase")</f>
        <v>Prepare for Showcase</v>
      </c>
      <c r="Y1943" s="4" t="str">
        <f t="shared" si="2"/>
        <v/>
      </c>
      <c r="Z1943" s="4" t="str">
        <f>IFERROR(__xludf.DUMMYFUNCTION("IFERROR(
  FILTER('CBK Students'!O:O, TRIM('CBK Students'!B:B) = TRIM(A1943)),
  """"
)"),"#REF!")</f>
        <v>#REF!</v>
      </c>
      <c r="AA1943" s="4" t="str">
        <f>IFERROR(__xludf.DUMMYFUNCTION("IFERROR(
  FILTER('CBK Students'!P:P, TRIM('CBK Students'!B:B) = TRIM(A1943)),
  """"
)"),"#REF!")</f>
        <v>#REF!</v>
      </c>
      <c r="AB1943" s="4" t="str">
        <f>IFERROR(__xludf.DUMMYFUNCTION("IFERROR(
  FILTER('CBK Students'!Q:Q, TRIM('CBK Students'!B:B) = TRIM(A1943)),
  """"
)"),"#REF!")</f>
        <v>#REF!</v>
      </c>
    </row>
    <row r="1944" ht="18.75" customHeight="1">
      <c r="T1944" s="4"/>
      <c r="U1944" s="4"/>
      <c r="V1944" s="4">
        <f>IFERROR(__xludf.DUMMYFUNCTION("""COMPUTED_VALUE"""),6590.0)</f>
        <v>6590</v>
      </c>
      <c r="W1944" s="240" t="str">
        <f t="shared" si="1"/>
        <v/>
      </c>
      <c r="X1944" s="4" t="str">
        <f>IFERROR(__xludf.DUMMYFUNCTION("""COMPUTED_VALUE"""),"Prepare for Showcase")</f>
        <v>Prepare for Showcase</v>
      </c>
      <c r="Y1944" s="4" t="str">
        <f t="shared" si="2"/>
        <v/>
      </c>
      <c r="Z1944" s="4" t="str">
        <f>IFERROR(__xludf.DUMMYFUNCTION("IFERROR(
  FILTER('CBK Students'!O:O, TRIM('CBK Students'!B:B) = TRIM(A1944)),
  """"
)"),"#REF!")</f>
        <v>#REF!</v>
      </c>
      <c r="AA1944" s="4" t="str">
        <f>IFERROR(__xludf.DUMMYFUNCTION("IFERROR(
  FILTER('CBK Students'!P:P, TRIM('CBK Students'!B:B) = TRIM(A1944)),
  """"
)"),"#REF!")</f>
        <v>#REF!</v>
      </c>
      <c r="AB1944" s="4" t="str">
        <f>IFERROR(__xludf.DUMMYFUNCTION("IFERROR(
  FILTER('CBK Students'!Q:Q, TRIM('CBK Students'!B:B) = TRIM(A1944)),
  """"
)"),"#REF!")</f>
        <v>#REF!</v>
      </c>
    </row>
    <row r="1945" ht="18.75" customHeight="1">
      <c r="T1945" s="4"/>
      <c r="U1945" s="4"/>
      <c r="V1945" s="4">
        <f>IFERROR(__xludf.DUMMYFUNCTION("""COMPUTED_VALUE"""),6590.0)</f>
        <v>6590</v>
      </c>
      <c r="W1945" s="240" t="str">
        <f t="shared" si="1"/>
        <v/>
      </c>
      <c r="X1945" s="4" t="str">
        <f>IFERROR(__xludf.DUMMYFUNCTION("""COMPUTED_VALUE"""),"Prepare for Showcase")</f>
        <v>Prepare for Showcase</v>
      </c>
      <c r="Y1945" s="4" t="str">
        <f t="shared" si="2"/>
        <v/>
      </c>
      <c r="Z1945" s="4" t="str">
        <f>IFERROR(__xludf.DUMMYFUNCTION("IFERROR(
  FILTER('CBK Students'!O:O, TRIM('CBK Students'!B:B) = TRIM(A1945)),
  """"
)"),"#REF!")</f>
        <v>#REF!</v>
      </c>
      <c r="AA1945" s="4" t="str">
        <f>IFERROR(__xludf.DUMMYFUNCTION("IFERROR(
  FILTER('CBK Students'!P:P, TRIM('CBK Students'!B:B) = TRIM(A1945)),
  """"
)"),"#REF!")</f>
        <v>#REF!</v>
      </c>
      <c r="AB1945" s="4" t="str">
        <f>IFERROR(__xludf.DUMMYFUNCTION("IFERROR(
  FILTER('CBK Students'!Q:Q, TRIM('CBK Students'!B:B) = TRIM(A1945)),
  """"
)"),"#REF!")</f>
        <v>#REF!</v>
      </c>
    </row>
    <row r="1946" ht="18.75" customHeight="1">
      <c r="T1946" s="4"/>
      <c r="U1946" s="4"/>
      <c r="V1946" s="4">
        <f>IFERROR(__xludf.DUMMYFUNCTION("""COMPUTED_VALUE"""),6590.0)</f>
        <v>6590</v>
      </c>
      <c r="W1946" s="240" t="str">
        <f t="shared" si="1"/>
        <v/>
      </c>
      <c r="X1946" s="4" t="str">
        <f>IFERROR(__xludf.DUMMYFUNCTION("""COMPUTED_VALUE"""),"Prepare for Showcase")</f>
        <v>Prepare for Showcase</v>
      </c>
      <c r="Y1946" s="4" t="str">
        <f t="shared" si="2"/>
        <v/>
      </c>
      <c r="Z1946" s="4" t="str">
        <f>IFERROR(__xludf.DUMMYFUNCTION("IFERROR(
  FILTER('CBK Students'!O:O, TRIM('CBK Students'!B:B) = TRIM(A1946)),
  """"
)"),"#REF!")</f>
        <v>#REF!</v>
      </c>
      <c r="AA1946" s="4" t="str">
        <f>IFERROR(__xludf.DUMMYFUNCTION("IFERROR(
  FILTER('CBK Students'!P:P, TRIM('CBK Students'!B:B) = TRIM(A1946)),
  """"
)"),"#REF!")</f>
        <v>#REF!</v>
      </c>
      <c r="AB1946" s="4" t="str">
        <f>IFERROR(__xludf.DUMMYFUNCTION("IFERROR(
  FILTER('CBK Students'!Q:Q, TRIM('CBK Students'!B:B) = TRIM(A1946)),
  """"
)"),"#REF!")</f>
        <v>#REF!</v>
      </c>
    </row>
    <row r="1947" ht="18.75" customHeight="1">
      <c r="T1947" s="4"/>
      <c r="U1947" s="4"/>
      <c r="V1947" s="4">
        <f>IFERROR(__xludf.DUMMYFUNCTION("""COMPUTED_VALUE"""),6590.0)</f>
        <v>6590</v>
      </c>
      <c r="W1947" s="240" t="str">
        <f t="shared" si="1"/>
        <v/>
      </c>
      <c r="X1947" s="4" t="str">
        <f>IFERROR(__xludf.DUMMYFUNCTION("""COMPUTED_VALUE"""),"Prepare for Showcase")</f>
        <v>Prepare for Showcase</v>
      </c>
      <c r="Y1947" s="4" t="str">
        <f t="shared" si="2"/>
        <v/>
      </c>
      <c r="Z1947" s="4" t="str">
        <f>IFERROR(__xludf.DUMMYFUNCTION("IFERROR(
  FILTER('CBK Students'!O:O, TRIM('CBK Students'!B:B) = TRIM(A1947)),
  """"
)"),"#REF!")</f>
        <v>#REF!</v>
      </c>
      <c r="AA1947" s="4" t="str">
        <f>IFERROR(__xludf.DUMMYFUNCTION("IFERROR(
  FILTER('CBK Students'!P:P, TRIM('CBK Students'!B:B) = TRIM(A1947)),
  """"
)"),"#REF!")</f>
        <v>#REF!</v>
      </c>
      <c r="AB1947" s="4" t="str">
        <f>IFERROR(__xludf.DUMMYFUNCTION("IFERROR(
  FILTER('CBK Students'!Q:Q, TRIM('CBK Students'!B:B) = TRIM(A1947)),
  """"
)"),"#REF!")</f>
        <v>#REF!</v>
      </c>
    </row>
    <row r="1948" ht="18.75" customHeight="1">
      <c r="T1948" s="4"/>
      <c r="U1948" s="4"/>
      <c r="V1948" s="4">
        <f>IFERROR(__xludf.DUMMYFUNCTION("""COMPUTED_VALUE"""),6590.0)</f>
        <v>6590</v>
      </c>
      <c r="W1948" s="240" t="str">
        <f t="shared" si="1"/>
        <v/>
      </c>
      <c r="X1948" s="4" t="str">
        <f>IFERROR(__xludf.DUMMYFUNCTION("""COMPUTED_VALUE"""),"Prepare for Showcase")</f>
        <v>Prepare for Showcase</v>
      </c>
      <c r="Y1948" s="4" t="str">
        <f t="shared" si="2"/>
        <v/>
      </c>
      <c r="Z1948" s="4" t="str">
        <f>IFERROR(__xludf.DUMMYFUNCTION("IFERROR(
  FILTER('CBK Students'!O:O, TRIM('CBK Students'!B:B) = TRIM(A1948)),
  """"
)"),"#REF!")</f>
        <v>#REF!</v>
      </c>
      <c r="AA1948" s="4" t="str">
        <f>IFERROR(__xludf.DUMMYFUNCTION("IFERROR(
  FILTER('CBK Students'!P:P, TRIM('CBK Students'!B:B) = TRIM(A1948)),
  """"
)"),"#REF!")</f>
        <v>#REF!</v>
      </c>
      <c r="AB1948" s="4" t="str">
        <f>IFERROR(__xludf.DUMMYFUNCTION("IFERROR(
  FILTER('CBK Students'!Q:Q, TRIM('CBK Students'!B:B) = TRIM(A1948)),
  """"
)"),"#REF!")</f>
        <v>#REF!</v>
      </c>
    </row>
    <row r="1949" ht="18.75" customHeight="1">
      <c r="T1949" s="4"/>
      <c r="U1949" s="4"/>
      <c r="V1949" s="4">
        <f>IFERROR(__xludf.DUMMYFUNCTION("""COMPUTED_VALUE"""),6590.0)</f>
        <v>6590</v>
      </c>
      <c r="W1949" s="240" t="str">
        <f t="shared" si="1"/>
        <v/>
      </c>
      <c r="X1949" s="4" t="str">
        <f>IFERROR(__xludf.DUMMYFUNCTION("""COMPUTED_VALUE"""),"Prepare for Showcase")</f>
        <v>Prepare for Showcase</v>
      </c>
      <c r="Y1949" s="4" t="str">
        <f t="shared" si="2"/>
        <v/>
      </c>
      <c r="Z1949" s="4" t="str">
        <f>IFERROR(__xludf.DUMMYFUNCTION("IFERROR(
  FILTER('CBK Students'!O:O, TRIM('CBK Students'!B:B) = TRIM(A1949)),
  """"
)"),"#REF!")</f>
        <v>#REF!</v>
      </c>
      <c r="AA1949" s="4" t="str">
        <f>IFERROR(__xludf.DUMMYFUNCTION("IFERROR(
  FILTER('CBK Students'!P:P, TRIM('CBK Students'!B:B) = TRIM(A1949)),
  """"
)"),"#REF!")</f>
        <v>#REF!</v>
      </c>
      <c r="AB1949" s="4" t="str">
        <f>IFERROR(__xludf.DUMMYFUNCTION("IFERROR(
  FILTER('CBK Students'!Q:Q, TRIM('CBK Students'!B:B) = TRIM(A1949)),
  """"
)"),"#REF!")</f>
        <v>#REF!</v>
      </c>
    </row>
    <row r="1950" ht="18.75" customHeight="1">
      <c r="T1950" s="4"/>
      <c r="U1950" s="4"/>
      <c r="V1950" s="4">
        <f>IFERROR(__xludf.DUMMYFUNCTION("""COMPUTED_VALUE"""),6590.0)</f>
        <v>6590</v>
      </c>
      <c r="W1950" s="240" t="str">
        <f t="shared" si="1"/>
        <v/>
      </c>
      <c r="X1950" s="4" t="str">
        <f>IFERROR(__xludf.DUMMYFUNCTION("""COMPUTED_VALUE"""),"Prepare for Showcase")</f>
        <v>Prepare for Showcase</v>
      </c>
      <c r="Y1950" s="4" t="str">
        <f t="shared" si="2"/>
        <v/>
      </c>
      <c r="Z1950" s="4" t="str">
        <f>IFERROR(__xludf.DUMMYFUNCTION("IFERROR(
  FILTER('CBK Students'!O:O, TRIM('CBK Students'!B:B) = TRIM(A1950)),
  """"
)"),"#REF!")</f>
        <v>#REF!</v>
      </c>
      <c r="AA1950" s="4" t="str">
        <f>IFERROR(__xludf.DUMMYFUNCTION("IFERROR(
  FILTER('CBK Students'!P:P, TRIM('CBK Students'!B:B) = TRIM(A1950)),
  """"
)"),"#REF!")</f>
        <v>#REF!</v>
      </c>
      <c r="AB1950" s="4" t="str">
        <f>IFERROR(__xludf.DUMMYFUNCTION("IFERROR(
  FILTER('CBK Students'!Q:Q, TRIM('CBK Students'!B:B) = TRIM(A1950)),
  """"
)"),"#REF!")</f>
        <v>#REF!</v>
      </c>
    </row>
    <row r="1951" ht="18.75" customHeight="1">
      <c r="T1951" s="4"/>
      <c r="U1951" s="4"/>
      <c r="V1951" s="4">
        <f>IFERROR(__xludf.DUMMYFUNCTION("""COMPUTED_VALUE"""),6590.0)</f>
        <v>6590</v>
      </c>
      <c r="W1951" s="240" t="str">
        <f t="shared" si="1"/>
        <v/>
      </c>
      <c r="X1951" s="4" t="str">
        <f>IFERROR(__xludf.DUMMYFUNCTION("""COMPUTED_VALUE"""),"Prepare for Showcase")</f>
        <v>Prepare for Showcase</v>
      </c>
      <c r="Y1951" s="4" t="str">
        <f t="shared" si="2"/>
        <v/>
      </c>
      <c r="Z1951" s="4" t="str">
        <f>IFERROR(__xludf.DUMMYFUNCTION("IFERROR(
  FILTER('CBK Students'!O:O, TRIM('CBK Students'!B:B) = TRIM(A1951)),
  """"
)"),"#REF!")</f>
        <v>#REF!</v>
      </c>
      <c r="AA1951" s="4" t="str">
        <f>IFERROR(__xludf.DUMMYFUNCTION("IFERROR(
  FILTER('CBK Students'!P:P, TRIM('CBK Students'!B:B) = TRIM(A1951)),
  """"
)"),"#REF!")</f>
        <v>#REF!</v>
      </c>
      <c r="AB1951" s="4" t="str">
        <f>IFERROR(__xludf.DUMMYFUNCTION("IFERROR(
  FILTER('CBK Students'!Q:Q, TRIM('CBK Students'!B:B) = TRIM(A1951)),
  """"
)"),"#REF!")</f>
        <v>#REF!</v>
      </c>
    </row>
    <row r="1952" ht="18.75" customHeight="1">
      <c r="T1952" s="4"/>
      <c r="U1952" s="4"/>
      <c r="V1952" s="4">
        <f>IFERROR(__xludf.DUMMYFUNCTION("""COMPUTED_VALUE"""),6590.0)</f>
        <v>6590</v>
      </c>
      <c r="W1952" s="240" t="str">
        <f t="shared" si="1"/>
        <v/>
      </c>
      <c r="X1952" s="4" t="str">
        <f>IFERROR(__xludf.DUMMYFUNCTION("""COMPUTED_VALUE"""),"Prepare for Showcase")</f>
        <v>Prepare for Showcase</v>
      </c>
      <c r="Y1952" s="4" t="str">
        <f t="shared" si="2"/>
        <v/>
      </c>
      <c r="Z1952" s="4" t="str">
        <f>IFERROR(__xludf.DUMMYFUNCTION("IFERROR(
  FILTER('CBK Students'!O:O, TRIM('CBK Students'!B:B) = TRIM(A1952)),
  """"
)"),"#REF!")</f>
        <v>#REF!</v>
      </c>
      <c r="AA1952" s="4" t="str">
        <f>IFERROR(__xludf.DUMMYFUNCTION("IFERROR(
  FILTER('CBK Students'!P:P, TRIM('CBK Students'!B:B) = TRIM(A1952)),
  """"
)"),"#REF!")</f>
        <v>#REF!</v>
      </c>
      <c r="AB1952" s="4" t="str">
        <f>IFERROR(__xludf.DUMMYFUNCTION("IFERROR(
  FILTER('CBK Students'!Q:Q, TRIM('CBK Students'!B:B) = TRIM(A1952)),
  """"
)"),"#REF!")</f>
        <v>#REF!</v>
      </c>
    </row>
    <row r="1953" ht="18.75" customHeight="1">
      <c r="T1953" s="4"/>
      <c r="U1953" s="4"/>
      <c r="V1953" s="4">
        <f>IFERROR(__xludf.DUMMYFUNCTION("""COMPUTED_VALUE"""),6590.0)</f>
        <v>6590</v>
      </c>
      <c r="W1953" s="240" t="str">
        <f t="shared" si="1"/>
        <v/>
      </c>
      <c r="X1953" s="4" t="str">
        <f>IFERROR(__xludf.DUMMYFUNCTION("""COMPUTED_VALUE"""),"Prepare for Showcase")</f>
        <v>Prepare for Showcase</v>
      </c>
      <c r="Y1953" s="4" t="str">
        <f t="shared" si="2"/>
        <v/>
      </c>
      <c r="Z1953" s="4" t="str">
        <f>IFERROR(__xludf.DUMMYFUNCTION("IFERROR(
  FILTER('CBK Students'!O:O, TRIM('CBK Students'!B:B) = TRIM(A1953)),
  """"
)"),"#REF!")</f>
        <v>#REF!</v>
      </c>
      <c r="AA1953" s="4" t="str">
        <f>IFERROR(__xludf.DUMMYFUNCTION("IFERROR(
  FILTER('CBK Students'!P:P, TRIM('CBK Students'!B:B) = TRIM(A1953)),
  """"
)"),"#REF!")</f>
        <v>#REF!</v>
      </c>
      <c r="AB1953" s="4" t="str">
        <f>IFERROR(__xludf.DUMMYFUNCTION("IFERROR(
  FILTER('CBK Students'!Q:Q, TRIM('CBK Students'!B:B) = TRIM(A1953)),
  """"
)"),"#REF!")</f>
        <v>#REF!</v>
      </c>
    </row>
    <row r="1954" ht="18.75" customHeight="1">
      <c r="T1954" s="4"/>
      <c r="U1954" s="4"/>
      <c r="V1954" s="4">
        <f>IFERROR(__xludf.DUMMYFUNCTION("""COMPUTED_VALUE"""),6590.0)</f>
        <v>6590</v>
      </c>
      <c r="W1954" s="240" t="str">
        <f t="shared" si="1"/>
        <v/>
      </c>
      <c r="X1954" s="4" t="str">
        <f>IFERROR(__xludf.DUMMYFUNCTION("""COMPUTED_VALUE"""),"Prepare for Showcase")</f>
        <v>Prepare for Showcase</v>
      </c>
      <c r="Y1954" s="4" t="str">
        <f t="shared" si="2"/>
        <v/>
      </c>
      <c r="Z1954" s="4" t="str">
        <f>IFERROR(__xludf.DUMMYFUNCTION("IFERROR(
  FILTER('CBK Students'!O:O, TRIM('CBK Students'!B:B) = TRIM(A1954)),
  """"
)"),"#REF!")</f>
        <v>#REF!</v>
      </c>
      <c r="AA1954" s="4" t="str">
        <f>IFERROR(__xludf.DUMMYFUNCTION("IFERROR(
  FILTER('CBK Students'!P:P, TRIM('CBK Students'!B:B) = TRIM(A1954)),
  """"
)"),"#REF!")</f>
        <v>#REF!</v>
      </c>
      <c r="AB1954" s="4" t="str">
        <f>IFERROR(__xludf.DUMMYFUNCTION("IFERROR(
  FILTER('CBK Students'!Q:Q, TRIM('CBK Students'!B:B) = TRIM(A1954)),
  """"
)"),"#REF!")</f>
        <v>#REF!</v>
      </c>
    </row>
    <row r="1955" ht="18.75" customHeight="1">
      <c r="T1955" s="4"/>
      <c r="U1955" s="4"/>
      <c r="V1955" s="4">
        <f>IFERROR(__xludf.DUMMYFUNCTION("""COMPUTED_VALUE"""),6590.0)</f>
        <v>6590</v>
      </c>
      <c r="W1955" s="240" t="str">
        <f t="shared" si="1"/>
        <v/>
      </c>
      <c r="X1955" s="4" t="str">
        <f>IFERROR(__xludf.DUMMYFUNCTION("""COMPUTED_VALUE"""),"Prepare for Showcase")</f>
        <v>Prepare for Showcase</v>
      </c>
      <c r="Y1955" s="4" t="str">
        <f t="shared" si="2"/>
        <v/>
      </c>
      <c r="Z1955" s="4" t="str">
        <f>IFERROR(__xludf.DUMMYFUNCTION("IFERROR(
  FILTER('CBK Students'!O:O, TRIM('CBK Students'!B:B) = TRIM(A1955)),
  """"
)"),"#REF!")</f>
        <v>#REF!</v>
      </c>
      <c r="AA1955" s="4" t="str">
        <f>IFERROR(__xludf.DUMMYFUNCTION("IFERROR(
  FILTER('CBK Students'!P:P, TRIM('CBK Students'!B:B) = TRIM(A1955)),
  """"
)"),"#REF!")</f>
        <v>#REF!</v>
      </c>
      <c r="AB1955" s="4" t="str">
        <f>IFERROR(__xludf.DUMMYFUNCTION("IFERROR(
  FILTER('CBK Students'!Q:Q, TRIM('CBK Students'!B:B) = TRIM(A1955)),
  """"
)"),"#REF!")</f>
        <v>#REF!</v>
      </c>
    </row>
    <row r="1956" ht="18.75" customHeight="1">
      <c r="T1956" s="4"/>
      <c r="U1956" s="4"/>
      <c r="V1956" s="4">
        <f>IFERROR(__xludf.DUMMYFUNCTION("""COMPUTED_VALUE"""),6590.0)</f>
        <v>6590</v>
      </c>
      <c r="W1956" s="240" t="str">
        <f t="shared" si="1"/>
        <v/>
      </c>
      <c r="X1956" s="4" t="str">
        <f>IFERROR(__xludf.DUMMYFUNCTION("""COMPUTED_VALUE"""),"Prepare for Showcase")</f>
        <v>Prepare for Showcase</v>
      </c>
      <c r="Y1956" s="4" t="str">
        <f t="shared" si="2"/>
        <v/>
      </c>
      <c r="Z1956" s="4" t="str">
        <f>IFERROR(__xludf.DUMMYFUNCTION("IFERROR(
  FILTER('CBK Students'!O:O, TRIM('CBK Students'!B:B) = TRIM(A1956)),
  """"
)"),"#REF!")</f>
        <v>#REF!</v>
      </c>
      <c r="AA1956" s="4" t="str">
        <f>IFERROR(__xludf.DUMMYFUNCTION("IFERROR(
  FILTER('CBK Students'!P:P, TRIM('CBK Students'!B:B) = TRIM(A1956)),
  """"
)"),"#REF!")</f>
        <v>#REF!</v>
      </c>
      <c r="AB1956" s="4" t="str">
        <f>IFERROR(__xludf.DUMMYFUNCTION("IFERROR(
  FILTER('CBK Students'!Q:Q, TRIM('CBK Students'!B:B) = TRIM(A1956)),
  """"
)"),"#REF!")</f>
        <v>#REF!</v>
      </c>
    </row>
    <row r="1957" ht="18.75" customHeight="1">
      <c r="T1957" s="4"/>
      <c r="U1957" s="4"/>
      <c r="V1957" s="4">
        <f>IFERROR(__xludf.DUMMYFUNCTION("""COMPUTED_VALUE"""),6590.0)</f>
        <v>6590</v>
      </c>
      <c r="W1957" s="240" t="str">
        <f t="shared" si="1"/>
        <v/>
      </c>
      <c r="X1957" s="4" t="str">
        <f>IFERROR(__xludf.DUMMYFUNCTION("""COMPUTED_VALUE"""),"Prepare for Showcase")</f>
        <v>Prepare for Showcase</v>
      </c>
      <c r="Y1957" s="4" t="str">
        <f t="shared" si="2"/>
        <v/>
      </c>
      <c r="Z1957" s="4" t="str">
        <f>IFERROR(__xludf.DUMMYFUNCTION("IFERROR(
  FILTER('CBK Students'!O:O, TRIM('CBK Students'!B:B) = TRIM(A1957)),
  """"
)"),"#REF!")</f>
        <v>#REF!</v>
      </c>
      <c r="AA1957" s="4" t="str">
        <f>IFERROR(__xludf.DUMMYFUNCTION("IFERROR(
  FILTER('CBK Students'!P:P, TRIM('CBK Students'!B:B) = TRIM(A1957)),
  """"
)"),"#REF!")</f>
        <v>#REF!</v>
      </c>
      <c r="AB1957" s="4" t="str">
        <f>IFERROR(__xludf.DUMMYFUNCTION("IFERROR(
  FILTER('CBK Students'!Q:Q, TRIM('CBK Students'!B:B) = TRIM(A1957)),
  """"
)"),"#REF!")</f>
        <v>#REF!</v>
      </c>
    </row>
    <row r="1958" ht="18.75" customHeight="1">
      <c r="T1958" s="4"/>
      <c r="U1958" s="4"/>
      <c r="V1958" s="4">
        <f>IFERROR(__xludf.DUMMYFUNCTION("""COMPUTED_VALUE"""),6590.0)</f>
        <v>6590</v>
      </c>
      <c r="W1958" s="240" t="str">
        <f t="shared" si="1"/>
        <v/>
      </c>
      <c r="X1958" s="4" t="str">
        <f>IFERROR(__xludf.DUMMYFUNCTION("""COMPUTED_VALUE"""),"Prepare for Showcase")</f>
        <v>Prepare for Showcase</v>
      </c>
      <c r="Y1958" s="4" t="str">
        <f t="shared" si="2"/>
        <v/>
      </c>
      <c r="Z1958" s="4" t="str">
        <f>IFERROR(__xludf.DUMMYFUNCTION("IFERROR(
  FILTER('CBK Students'!O:O, TRIM('CBK Students'!B:B) = TRIM(A1958)),
  """"
)"),"#REF!")</f>
        <v>#REF!</v>
      </c>
      <c r="AA1958" s="4" t="str">
        <f>IFERROR(__xludf.DUMMYFUNCTION("IFERROR(
  FILTER('CBK Students'!P:P, TRIM('CBK Students'!B:B) = TRIM(A1958)),
  """"
)"),"#REF!")</f>
        <v>#REF!</v>
      </c>
      <c r="AB1958" s="4" t="str">
        <f>IFERROR(__xludf.DUMMYFUNCTION("IFERROR(
  FILTER('CBK Students'!Q:Q, TRIM('CBK Students'!B:B) = TRIM(A1958)),
  """"
)"),"#REF!")</f>
        <v>#REF!</v>
      </c>
    </row>
    <row r="1959" ht="18.75" customHeight="1">
      <c r="T1959" s="4"/>
      <c r="U1959" s="4"/>
      <c r="V1959" s="4">
        <f>IFERROR(__xludf.DUMMYFUNCTION("""COMPUTED_VALUE"""),6590.0)</f>
        <v>6590</v>
      </c>
      <c r="W1959" s="240" t="str">
        <f t="shared" si="1"/>
        <v/>
      </c>
      <c r="X1959" s="4" t="str">
        <f>IFERROR(__xludf.DUMMYFUNCTION("""COMPUTED_VALUE"""),"Prepare for Showcase")</f>
        <v>Prepare for Showcase</v>
      </c>
      <c r="Y1959" s="4" t="str">
        <f t="shared" si="2"/>
        <v/>
      </c>
      <c r="Z1959" s="4" t="str">
        <f>IFERROR(__xludf.DUMMYFUNCTION("IFERROR(
  FILTER('CBK Students'!O:O, TRIM('CBK Students'!B:B) = TRIM(A1959)),
  """"
)"),"#REF!")</f>
        <v>#REF!</v>
      </c>
      <c r="AA1959" s="4" t="str">
        <f>IFERROR(__xludf.DUMMYFUNCTION("IFERROR(
  FILTER('CBK Students'!P:P, TRIM('CBK Students'!B:B) = TRIM(A1959)),
  """"
)"),"#REF!")</f>
        <v>#REF!</v>
      </c>
      <c r="AB1959" s="4" t="str">
        <f>IFERROR(__xludf.DUMMYFUNCTION("IFERROR(
  FILTER('CBK Students'!Q:Q, TRIM('CBK Students'!B:B) = TRIM(A1959)),
  """"
)"),"#REF!")</f>
        <v>#REF!</v>
      </c>
    </row>
    <row r="1960" ht="18.75" customHeight="1">
      <c r="T1960" s="4"/>
      <c r="U1960" s="4"/>
      <c r="V1960" s="4">
        <f>IFERROR(__xludf.DUMMYFUNCTION("""COMPUTED_VALUE"""),6590.0)</f>
        <v>6590</v>
      </c>
      <c r="W1960" s="240" t="str">
        <f t="shared" si="1"/>
        <v/>
      </c>
      <c r="X1960" s="4" t="str">
        <f>IFERROR(__xludf.DUMMYFUNCTION("""COMPUTED_VALUE"""),"Prepare for Showcase")</f>
        <v>Prepare for Showcase</v>
      </c>
      <c r="Y1960" s="4" t="str">
        <f t="shared" si="2"/>
        <v/>
      </c>
      <c r="Z1960" s="4" t="str">
        <f>IFERROR(__xludf.DUMMYFUNCTION("IFERROR(
  FILTER('CBK Students'!O:O, TRIM('CBK Students'!B:B) = TRIM(A1960)),
  """"
)"),"#REF!")</f>
        <v>#REF!</v>
      </c>
      <c r="AA1960" s="4" t="str">
        <f>IFERROR(__xludf.DUMMYFUNCTION("IFERROR(
  FILTER('CBK Students'!P:P, TRIM('CBK Students'!B:B) = TRIM(A1960)),
  """"
)"),"#REF!")</f>
        <v>#REF!</v>
      </c>
      <c r="AB1960" s="4" t="str">
        <f>IFERROR(__xludf.DUMMYFUNCTION("IFERROR(
  FILTER('CBK Students'!Q:Q, TRIM('CBK Students'!B:B) = TRIM(A1960)),
  """"
)"),"#REF!")</f>
        <v>#REF!</v>
      </c>
    </row>
    <row r="1961" ht="18.75" customHeight="1">
      <c r="T1961" s="4"/>
      <c r="U1961" s="4"/>
      <c r="V1961" s="4">
        <f>IFERROR(__xludf.DUMMYFUNCTION("""COMPUTED_VALUE"""),6590.0)</f>
        <v>6590</v>
      </c>
      <c r="W1961" s="240" t="str">
        <f t="shared" si="1"/>
        <v/>
      </c>
      <c r="X1961" s="4" t="str">
        <f>IFERROR(__xludf.DUMMYFUNCTION("""COMPUTED_VALUE"""),"Prepare for Showcase")</f>
        <v>Prepare for Showcase</v>
      </c>
      <c r="Y1961" s="4" t="str">
        <f t="shared" si="2"/>
        <v/>
      </c>
      <c r="Z1961" s="4" t="str">
        <f>IFERROR(__xludf.DUMMYFUNCTION("IFERROR(
  FILTER('CBK Students'!O:O, TRIM('CBK Students'!B:B) = TRIM(A1961)),
  """"
)"),"#REF!")</f>
        <v>#REF!</v>
      </c>
      <c r="AA1961" s="4" t="str">
        <f>IFERROR(__xludf.DUMMYFUNCTION("IFERROR(
  FILTER('CBK Students'!P:P, TRIM('CBK Students'!B:B) = TRIM(A1961)),
  """"
)"),"#REF!")</f>
        <v>#REF!</v>
      </c>
      <c r="AB1961" s="4" t="str">
        <f>IFERROR(__xludf.DUMMYFUNCTION("IFERROR(
  FILTER('CBK Students'!Q:Q, TRIM('CBK Students'!B:B) = TRIM(A1961)),
  """"
)"),"#REF!")</f>
        <v>#REF!</v>
      </c>
    </row>
    <row r="1962" ht="18.75" customHeight="1">
      <c r="T1962" s="4"/>
      <c r="U1962" s="4"/>
      <c r="V1962" s="4">
        <f>IFERROR(__xludf.DUMMYFUNCTION("""COMPUTED_VALUE"""),6590.0)</f>
        <v>6590</v>
      </c>
      <c r="W1962" s="240" t="str">
        <f t="shared" si="1"/>
        <v/>
      </c>
      <c r="X1962" s="4" t="str">
        <f>IFERROR(__xludf.DUMMYFUNCTION("""COMPUTED_VALUE"""),"Prepare for Showcase")</f>
        <v>Prepare for Showcase</v>
      </c>
      <c r="Y1962" s="4" t="str">
        <f t="shared" si="2"/>
        <v/>
      </c>
      <c r="Z1962" s="4" t="str">
        <f>IFERROR(__xludf.DUMMYFUNCTION("IFERROR(
  FILTER('CBK Students'!O:O, TRIM('CBK Students'!B:B) = TRIM(A1962)),
  """"
)"),"#REF!")</f>
        <v>#REF!</v>
      </c>
      <c r="AA1962" s="4" t="str">
        <f>IFERROR(__xludf.DUMMYFUNCTION("IFERROR(
  FILTER('CBK Students'!P:P, TRIM('CBK Students'!B:B) = TRIM(A1962)),
  """"
)"),"#REF!")</f>
        <v>#REF!</v>
      </c>
      <c r="AB1962" s="4" t="str">
        <f>IFERROR(__xludf.DUMMYFUNCTION("IFERROR(
  FILTER('CBK Students'!Q:Q, TRIM('CBK Students'!B:B) = TRIM(A1962)),
  """"
)"),"#REF!")</f>
        <v>#REF!</v>
      </c>
    </row>
    <row r="1963" ht="18.75" customHeight="1">
      <c r="T1963" s="4"/>
      <c r="U1963" s="4"/>
      <c r="V1963" s="4">
        <f>IFERROR(__xludf.DUMMYFUNCTION("""COMPUTED_VALUE"""),6590.0)</f>
        <v>6590</v>
      </c>
      <c r="W1963" s="240" t="str">
        <f t="shared" si="1"/>
        <v/>
      </c>
      <c r="X1963" s="4" t="str">
        <f>IFERROR(__xludf.DUMMYFUNCTION("""COMPUTED_VALUE"""),"Prepare for Showcase")</f>
        <v>Prepare for Showcase</v>
      </c>
      <c r="Y1963" s="4" t="str">
        <f t="shared" si="2"/>
        <v/>
      </c>
      <c r="Z1963" s="4" t="str">
        <f>IFERROR(__xludf.DUMMYFUNCTION("IFERROR(
  FILTER('CBK Students'!O:O, TRIM('CBK Students'!B:B) = TRIM(A1963)),
  """"
)"),"#REF!")</f>
        <v>#REF!</v>
      </c>
      <c r="AA1963" s="4" t="str">
        <f>IFERROR(__xludf.DUMMYFUNCTION("IFERROR(
  FILTER('CBK Students'!P:P, TRIM('CBK Students'!B:B) = TRIM(A1963)),
  """"
)"),"#REF!")</f>
        <v>#REF!</v>
      </c>
      <c r="AB1963" s="4" t="str">
        <f>IFERROR(__xludf.DUMMYFUNCTION("IFERROR(
  FILTER('CBK Students'!Q:Q, TRIM('CBK Students'!B:B) = TRIM(A1963)),
  """"
)"),"#REF!")</f>
        <v>#REF!</v>
      </c>
    </row>
    <row r="1964" ht="18.75" customHeight="1">
      <c r="T1964" s="4"/>
      <c r="U1964" s="4"/>
      <c r="V1964" s="4">
        <f>IFERROR(__xludf.DUMMYFUNCTION("""COMPUTED_VALUE"""),6590.0)</f>
        <v>6590</v>
      </c>
      <c r="W1964" s="240" t="str">
        <f t="shared" si="1"/>
        <v/>
      </c>
      <c r="X1964" s="4" t="str">
        <f>IFERROR(__xludf.DUMMYFUNCTION("""COMPUTED_VALUE"""),"Prepare for Showcase")</f>
        <v>Prepare for Showcase</v>
      </c>
      <c r="Y1964" s="4" t="str">
        <f t="shared" si="2"/>
        <v/>
      </c>
      <c r="Z1964" s="4" t="str">
        <f>IFERROR(__xludf.DUMMYFUNCTION("IFERROR(
  FILTER('CBK Students'!O:O, TRIM('CBK Students'!B:B) = TRIM(A1964)),
  """"
)"),"#REF!")</f>
        <v>#REF!</v>
      </c>
      <c r="AA1964" s="4" t="str">
        <f>IFERROR(__xludf.DUMMYFUNCTION("IFERROR(
  FILTER('CBK Students'!P:P, TRIM('CBK Students'!B:B) = TRIM(A1964)),
  """"
)"),"#REF!")</f>
        <v>#REF!</v>
      </c>
      <c r="AB1964" s="4" t="str">
        <f>IFERROR(__xludf.DUMMYFUNCTION("IFERROR(
  FILTER('CBK Students'!Q:Q, TRIM('CBK Students'!B:B) = TRIM(A1964)),
  """"
)"),"#REF!")</f>
        <v>#REF!</v>
      </c>
    </row>
    <row r="1965" ht="18.75" customHeight="1">
      <c r="T1965" s="4"/>
      <c r="U1965" s="4"/>
      <c r="V1965" s="4">
        <f>IFERROR(__xludf.DUMMYFUNCTION("""COMPUTED_VALUE"""),6590.0)</f>
        <v>6590</v>
      </c>
      <c r="W1965" s="240" t="str">
        <f t="shared" si="1"/>
        <v/>
      </c>
      <c r="X1965" s="4" t="str">
        <f>IFERROR(__xludf.DUMMYFUNCTION("""COMPUTED_VALUE"""),"Prepare for Showcase")</f>
        <v>Prepare for Showcase</v>
      </c>
      <c r="Y1965" s="4" t="str">
        <f t="shared" si="2"/>
        <v/>
      </c>
      <c r="Z1965" s="4" t="str">
        <f>IFERROR(__xludf.DUMMYFUNCTION("IFERROR(
  FILTER('CBK Students'!O:O, TRIM('CBK Students'!B:B) = TRIM(A1965)),
  """"
)"),"#REF!")</f>
        <v>#REF!</v>
      </c>
      <c r="AA1965" s="4" t="str">
        <f>IFERROR(__xludf.DUMMYFUNCTION("IFERROR(
  FILTER('CBK Students'!P:P, TRIM('CBK Students'!B:B) = TRIM(A1965)),
  """"
)"),"#REF!")</f>
        <v>#REF!</v>
      </c>
      <c r="AB1965" s="4" t="str">
        <f>IFERROR(__xludf.DUMMYFUNCTION("IFERROR(
  FILTER('CBK Students'!Q:Q, TRIM('CBK Students'!B:B) = TRIM(A1965)),
  """"
)"),"#REF!")</f>
        <v>#REF!</v>
      </c>
    </row>
    <row r="1966" ht="18.75" customHeight="1">
      <c r="T1966" s="4"/>
      <c r="U1966" s="4"/>
      <c r="V1966" s="4">
        <f>IFERROR(__xludf.DUMMYFUNCTION("""COMPUTED_VALUE"""),6590.0)</f>
        <v>6590</v>
      </c>
      <c r="W1966" s="240" t="str">
        <f t="shared" si="1"/>
        <v/>
      </c>
      <c r="X1966" s="4" t="str">
        <f>IFERROR(__xludf.DUMMYFUNCTION("""COMPUTED_VALUE"""),"Prepare for Showcase")</f>
        <v>Prepare for Showcase</v>
      </c>
      <c r="Y1966" s="4" t="str">
        <f t="shared" si="2"/>
        <v/>
      </c>
      <c r="Z1966" s="4" t="str">
        <f>IFERROR(__xludf.DUMMYFUNCTION("IFERROR(
  FILTER('CBK Students'!O:O, TRIM('CBK Students'!B:B) = TRIM(A1966)),
  """"
)"),"#REF!")</f>
        <v>#REF!</v>
      </c>
      <c r="AA1966" s="4" t="str">
        <f>IFERROR(__xludf.DUMMYFUNCTION("IFERROR(
  FILTER('CBK Students'!P:P, TRIM('CBK Students'!B:B) = TRIM(A1966)),
  """"
)"),"#REF!")</f>
        <v>#REF!</v>
      </c>
      <c r="AB1966" s="4" t="str">
        <f>IFERROR(__xludf.DUMMYFUNCTION("IFERROR(
  FILTER('CBK Students'!Q:Q, TRIM('CBK Students'!B:B) = TRIM(A1966)),
  """"
)"),"#REF!")</f>
        <v>#REF!</v>
      </c>
    </row>
    <row r="1967" ht="18.75" customHeight="1">
      <c r="T1967" s="4"/>
      <c r="U1967" s="4"/>
      <c r="V1967" s="4">
        <f>IFERROR(__xludf.DUMMYFUNCTION("""COMPUTED_VALUE"""),6590.0)</f>
        <v>6590</v>
      </c>
      <c r="W1967" s="240" t="str">
        <f t="shared" si="1"/>
        <v/>
      </c>
      <c r="X1967" s="4" t="str">
        <f>IFERROR(__xludf.DUMMYFUNCTION("""COMPUTED_VALUE"""),"Prepare for Showcase")</f>
        <v>Prepare for Showcase</v>
      </c>
      <c r="Y1967" s="4" t="str">
        <f t="shared" si="2"/>
        <v/>
      </c>
      <c r="Z1967" s="4" t="str">
        <f>IFERROR(__xludf.DUMMYFUNCTION("IFERROR(
  FILTER('CBK Students'!O:O, TRIM('CBK Students'!B:B) = TRIM(A1967)),
  """"
)"),"#REF!")</f>
        <v>#REF!</v>
      </c>
      <c r="AA1967" s="4" t="str">
        <f>IFERROR(__xludf.DUMMYFUNCTION("IFERROR(
  FILTER('CBK Students'!P:P, TRIM('CBK Students'!B:B) = TRIM(A1967)),
  """"
)"),"#REF!")</f>
        <v>#REF!</v>
      </c>
      <c r="AB1967" s="4" t="str">
        <f>IFERROR(__xludf.DUMMYFUNCTION("IFERROR(
  FILTER('CBK Students'!Q:Q, TRIM('CBK Students'!B:B) = TRIM(A1967)),
  """"
)"),"#REF!")</f>
        <v>#REF!</v>
      </c>
    </row>
    <row r="1968" ht="18.75" customHeight="1">
      <c r="T1968" s="4"/>
      <c r="U1968" s="4"/>
      <c r="V1968" s="4">
        <f>IFERROR(__xludf.DUMMYFUNCTION("""COMPUTED_VALUE"""),6590.0)</f>
        <v>6590</v>
      </c>
      <c r="W1968" s="240" t="str">
        <f t="shared" si="1"/>
        <v/>
      </c>
      <c r="X1968" s="4" t="str">
        <f>IFERROR(__xludf.DUMMYFUNCTION("""COMPUTED_VALUE"""),"Prepare for Showcase")</f>
        <v>Prepare for Showcase</v>
      </c>
      <c r="Y1968" s="4" t="str">
        <f t="shared" si="2"/>
        <v/>
      </c>
      <c r="Z1968" s="4" t="str">
        <f>IFERROR(__xludf.DUMMYFUNCTION("IFERROR(
  FILTER('CBK Students'!O:O, TRIM('CBK Students'!B:B) = TRIM(A1968)),
  """"
)"),"#REF!")</f>
        <v>#REF!</v>
      </c>
      <c r="AA1968" s="4" t="str">
        <f>IFERROR(__xludf.DUMMYFUNCTION("IFERROR(
  FILTER('CBK Students'!P:P, TRIM('CBK Students'!B:B) = TRIM(A1968)),
  """"
)"),"#REF!")</f>
        <v>#REF!</v>
      </c>
      <c r="AB1968" s="4" t="str">
        <f>IFERROR(__xludf.DUMMYFUNCTION("IFERROR(
  FILTER('CBK Students'!Q:Q, TRIM('CBK Students'!B:B) = TRIM(A1968)),
  """"
)"),"#REF!")</f>
        <v>#REF!</v>
      </c>
    </row>
    <row r="1969" ht="18.75" customHeight="1">
      <c r="T1969" s="4"/>
      <c r="U1969" s="4"/>
      <c r="V1969" s="4">
        <f>IFERROR(__xludf.DUMMYFUNCTION("""COMPUTED_VALUE"""),6590.0)</f>
        <v>6590</v>
      </c>
      <c r="W1969" s="240" t="str">
        <f t="shared" si="1"/>
        <v/>
      </c>
      <c r="X1969" s="4" t="str">
        <f>IFERROR(__xludf.DUMMYFUNCTION("""COMPUTED_VALUE"""),"Prepare for Showcase")</f>
        <v>Prepare for Showcase</v>
      </c>
      <c r="Y1969" s="4" t="str">
        <f t="shared" si="2"/>
        <v/>
      </c>
      <c r="Z1969" s="4" t="str">
        <f>IFERROR(__xludf.DUMMYFUNCTION("IFERROR(
  FILTER('CBK Students'!O:O, TRIM('CBK Students'!B:B) = TRIM(A1969)),
  """"
)"),"#REF!")</f>
        <v>#REF!</v>
      </c>
      <c r="AA1969" s="4" t="str">
        <f>IFERROR(__xludf.DUMMYFUNCTION("IFERROR(
  FILTER('CBK Students'!P:P, TRIM('CBK Students'!B:B) = TRIM(A1969)),
  """"
)"),"#REF!")</f>
        <v>#REF!</v>
      </c>
      <c r="AB1969" s="4" t="str">
        <f>IFERROR(__xludf.DUMMYFUNCTION("IFERROR(
  FILTER('CBK Students'!Q:Q, TRIM('CBK Students'!B:B) = TRIM(A1969)),
  """"
)"),"#REF!")</f>
        <v>#REF!</v>
      </c>
    </row>
    <row r="1970" ht="18.75" customHeight="1">
      <c r="T1970" s="4"/>
      <c r="U1970" s="4"/>
      <c r="V1970" s="4">
        <f>IFERROR(__xludf.DUMMYFUNCTION("""COMPUTED_VALUE"""),6590.0)</f>
        <v>6590</v>
      </c>
      <c r="W1970" s="240" t="str">
        <f t="shared" si="1"/>
        <v/>
      </c>
      <c r="X1970" s="4" t="str">
        <f>IFERROR(__xludf.DUMMYFUNCTION("""COMPUTED_VALUE"""),"Prepare for Showcase")</f>
        <v>Prepare for Showcase</v>
      </c>
      <c r="Y1970" s="4" t="str">
        <f t="shared" si="2"/>
        <v/>
      </c>
      <c r="Z1970" s="4" t="str">
        <f>IFERROR(__xludf.DUMMYFUNCTION("IFERROR(
  FILTER('CBK Students'!O:O, TRIM('CBK Students'!B:B) = TRIM(A1970)),
  """"
)"),"#REF!")</f>
        <v>#REF!</v>
      </c>
      <c r="AA1970" s="4" t="str">
        <f>IFERROR(__xludf.DUMMYFUNCTION("IFERROR(
  FILTER('CBK Students'!P:P, TRIM('CBK Students'!B:B) = TRIM(A1970)),
  """"
)"),"#REF!")</f>
        <v>#REF!</v>
      </c>
      <c r="AB1970" s="4" t="str">
        <f>IFERROR(__xludf.DUMMYFUNCTION("IFERROR(
  FILTER('CBK Students'!Q:Q, TRIM('CBK Students'!B:B) = TRIM(A1970)),
  """"
)"),"#REF!")</f>
        <v>#REF!</v>
      </c>
    </row>
    <row r="1971" ht="18.75" customHeight="1">
      <c r="T1971" s="4"/>
      <c r="U1971" s="4"/>
      <c r="V1971" s="4">
        <f>IFERROR(__xludf.DUMMYFUNCTION("""COMPUTED_VALUE"""),6590.0)</f>
        <v>6590</v>
      </c>
      <c r="W1971" s="240" t="str">
        <f t="shared" si="1"/>
        <v/>
      </c>
      <c r="X1971" s="4" t="str">
        <f>IFERROR(__xludf.DUMMYFUNCTION("""COMPUTED_VALUE"""),"Prepare for Showcase")</f>
        <v>Prepare for Showcase</v>
      </c>
      <c r="Y1971" s="4" t="str">
        <f t="shared" si="2"/>
        <v/>
      </c>
      <c r="Z1971" s="4" t="str">
        <f>IFERROR(__xludf.DUMMYFUNCTION("IFERROR(
  FILTER('CBK Students'!O:O, TRIM('CBK Students'!B:B) = TRIM(A1971)),
  """"
)"),"#REF!")</f>
        <v>#REF!</v>
      </c>
      <c r="AA1971" s="4" t="str">
        <f>IFERROR(__xludf.DUMMYFUNCTION("IFERROR(
  FILTER('CBK Students'!P:P, TRIM('CBK Students'!B:B) = TRIM(A1971)),
  """"
)"),"#REF!")</f>
        <v>#REF!</v>
      </c>
      <c r="AB1971" s="4" t="str">
        <f>IFERROR(__xludf.DUMMYFUNCTION("IFERROR(
  FILTER('CBK Students'!Q:Q, TRIM('CBK Students'!B:B) = TRIM(A1971)),
  """"
)"),"#REF!")</f>
        <v>#REF!</v>
      </c>
    </row>
    <row r="1972" ht="18.75" customHeight="1">
      <c r="T1972" s="4"/>
      <c r="U1972" s="4"/>
      <c r="V1972" s="4">
        <f>IFERROR(__xludf.DUMMYFUNCTION("""COMPUTED_VALUE"""),6590.0)</f>
        <v>6590</v>
      </c>
      <c r="W1972" s="240" t="str">
        <f t="shared" si="1"/>
        <v/>
      </c>
      <c r="X1972" s="4" t="str">
        <f>IFERROR(__xludf.DUMMYFUNCTION("""COMPUTED_VALUE"""),"Prepare for Showcase")</f>
        <v>Prepare for Showcase</v>
      </c>
      <c r="Y1972" s="4" t="str">
        <f t="shared" si="2"/>
        <v/>
      </c>
      <c r="Z1972" s="4" t="str">
        <f>IFERROR(__xludf.DUMMYFUNCTION("IFERROR(
  FILTER('CBK Students'!O:O, TRIM('CBK Students'!B:B) = TRIM(A1972)),
  """"
)"),"#REF!")</f>
        <v>#REF!</v>
      </c>
      <c r="AA1972" s="4" t="str">
        <f>IFERROR(__xludf.DUMMYFUNCTION("IFERROR(
  FILTER('CBK Students'!P:P, TRIM('CBK Students'!B:B) = TRIM(A1972)),
  """"
)"),"#REF!")</f>
        <v>#REF!</v>
      </c>
      <c r="AB1972" s="4" t="str">
        <f>IFERROR(__xludf.DUMMYFUNCTION("IFERROR(
  FILTER('CBK Students'!Q:Q, TRIM('CBK Students'!B:B) = TRIM(A1972)),
  """"
)"),"#REF!")</f>
        <v>#REF!</v>
      </c>
    </row>
    <row r="1973" ht="18.75" customHeight="1">
      <c r="T1973" s="4"/>
      <c r="U1973" s="4"/>
      <c r="V1973" s="4">
        <f>IFERROR(__xludf.DUMMYFUNCTION("""COMPUTED_VALUE"""),6590.0)</f>
        <v>6590</v>
      </c>
      <c r="W1973" s="240" t="str">
        <f t="shared" si="1"/>
        <v/>
      </c>
      <c r="X1973" s="4" t="str">
        <f>IFERROR(__xludf.DUMMYFUNCTION("""COMPUTED_VALUE"""),"Prepare for Showcase")</f>
        <v>Prepare for Showcase</v>
      </c>
      <c r="Y1973" s="4" t="str">
        <f t="shared" si="2"/>
        <v/>
      </c>
      <c r="Z1973" s="4" t="str">
        <f>IFERROR(__xludf.DUMMYFUNCTION("IFERROR(
  FILTER('CBK Students'!O:O, TRIM('CBK Students'!B:B) = TRIM(A1973)),
  """"
)"),"#REF!")</f>
        <v>#REF!</v>
      </c>
      <c r="AA1973" s="4" t="str">
        <f>IFERROR(__xludf.DUMMYFUNCTION("IFERROR(
  FILTER('CBK Students'!P:P, TRIM('CBK Students'!B:B) = TRIM(A1973)),
  """"
)"),"#REF!")</f>
        <v>#REF!</v>
      </c>
      <c r="AB1973" s="4" t="str">
        <f>IFERROR(__xludf.DUMMYFUNCTION("IFERROR(
  FILTER('CBK Students'!Q:Q, TRIM('CBK Students'!B:B) = TRIM(A1973)),
  """"
)"),"#REF!")</f>
        <v>#REF!</v>
      </c>
    </row>
    <row r="1974" ht="18.75" customHeight="1">
      <c r="T1974" s="4"/>
      <c r="U1974" s="4"/>
      <c r="V1974" s="4">
        <f>IFERROR(__xludf.DUMMYFUNCTION("""COMPUTED_VALUE"""),6590.0)</f>
        <v>6590</v>
      </c>
      <c r="W1974" s="240" t="str">
        <f t="shared" si="1"/>
        <v/>
      </c>
      <c r="X1974" s="4" t="str">
        <f>IFERROR(__xludf.DUMMYFUNCTION("""COMPUTED_VALUE"""),"Prepare for Showcase")</f>
        <v>Prepare for Showcase</v>
      </c>
      <c r="Y1974" s="4" t="str">
        <f t="shared" si="2"/>
        <v/>
      </c>
      <c r="Z1974" s="4" t="str">
        <f>IFERROR(__xludf.DUMMYFUNCTION("IFERROR(
  FILTER('CBK Students'!O:O, TRIM('CBK Students'!B:B) = TRIM(A1974)),
  """"
)"),"#REF!")</f>
        <v>#REF!</v>
      </c>
      <c r="AA1974" s="4" t="str">
        <f>IFERROR(__xludf.DUMMYFUNCTION("IFERROR(
  FILTER('CBK Students'!P:P, TRIM('CBK Students'!B:B) = TRIM(A1974)),
  """"
)"),"#REF!")</f>
        <v>#REF!</v>
      </c>
      <c r="AB1974" s="4" t="str">
        <f>IFERROR(__xludf.DUMMYFUNCTION("IFERROR(
  FILTER('CBK Students'!Q:Q, TRIM('CBK Students'!B:B) = TRIM(A1974)),
  """"
)"),"#REF!")</f>
        <v>#REF!</v>
      </c>
    </row>
    <row r="1975" ht="18.75" customHeight="1">
      <c r="T1975" s="4"/>
      <c r="U1975" s="4"/>
      <c r="V1975" s="4">
        <f>IFERROR(__xludf.DUMMYFUNCTION("""COMPUTED_VALUE"""),6590.0)</f>
        <v>6590</v>
      </c>
      <c r="W1975" s="240" t="str">
        <f t="shared" si="1"/>
        <v/>
      </c>
      <c r="X1975" s="4" t="str">
        <f>IFERROR(__xludf.DUMMYFUNCTION("""COMPUTED_VALUE"""),"Prepare for Showcase")</f>
        <v>Prepare for Showcase</v>
      </c>
      <c r="Y1975" s="4" t="str">
        <f t="shared" si="2"/>
        <v/>
      </c>
      <c r="Z1975" s="4" t="str">
        <f>IFERROR(__xludf.DUMMYFUNCTION("IFERROR(
  FILTER('CBK Students'!O:O, TRIM('CBK Students'!B:B) = TRIM(A1975)),
  """"
)"),"#REF!")</f>
        <v>#REF!</v>
      </c>
      <c r="AA1975" s="4" t="str">
        <f>IFERROR(__xludf.DUMMYFUNCTION("IFERROR(
  FILTER('CBK Students'!P:P, TRIM('CBK Students'!B:B) = TRIM(A1975)),
  """"
)"),"#REF!")</f>
        <v>#REF!</v>
      </c>
      <c r="AB1975" s="4" t="str">
        <f>IFERROR(__xludf.DUMMYFUNCTION("IFERROR(
  FILTER('CBK Students'!Q:Q, TRIM('CBK Students'!B:B) = TRIM(A1975)),
  """"
)"),"#REF!")</f>
        <v>#REF!</v>
      </c>
    </row>
    <row r="1976" ht="18.75" customHeight="1">
      <c r="T1976" s="4"/>
      <c r="U1976" s="4"/>
      <c r="V1976" s="4">
        <f>IFERROR(__xludf.DUMMYFUNCTION("""COMPUTED_VALUE"""),6590.0)</f>
        <v>6590</v>
      </c>
      <c r="W1976" s="240" t="str">
        <f t="shared" si="1"/>
        <v/>
      </c>
      <c r="X1976" s="4" t="str">
        <f>IFERROR(__xludf.DUMMYFUNCTION("""COMPUTED_VALUE"""),"Prepare for Showcase")</f>
        <v>Prepare for Showcase</v>
      </c>
      <c r="Y1976" s="4" t="str">
        <f t="shared" si="2"/>
        <v/>
      </c>
      <c r="Z1976" s="4" t="str">
        <f>IFERROR(__xludf.DUMMYFUNCTION("IFERROR(
  FILTER('CBK Students'!O:O, TRIM('CBK Students'!B:B) = TRIM(A1976)),
  """"
)"),"#REF!")</f>
        <v>#REF!</v>
      </c>
      <c r="AA1976" s="4" t="str">
        <f>IFERROR(__xludf.DUMMYFUNCTION("IFERROR(
  FILTER('CBK Students'!P:P, TRIM('CBK Students'!B:B) = TRIM(A1976)),
  """"
)"),"#REF!")</f>
        <v>#REF!</v>
      </c>
      <c r="AB1976" s="4" t="str">
        <f>IFERROR(__xludf.DUMMYFUNCTION("IFERROR(
  FILTER('CBK Students'!Q:Q, TRIM('CBK Students'!B:B) = TRIM(A1976)),
  """"
)"),"#REF!")</f>
        <v>#REF!</v>
      </c>
    </row>
    <row r="1977" ht="18.75" customHeight="1">
      <c r="T1977" s="4"/>
      <c r="U1977" s="4"/>
      <c r="V1977" s="4">
        <f>IFERROR(__xludf.DUMMYFUNCTION("""COMPUTED_VALUE"""),6590.0)</f>
        <v>6590</v>
      </c>
      <c r="W1977" s="240" t="str">
        <f t="shared" si="1"/>
        <v/>
      </c>
      <c r="X1977" s="4" t="str">
        <f>IFERROR(__xludf.DUMMYFUNCTION("""COMPUTED_VALUE"""),"Prepare for Showcase")</f>
        <v>Prepare for Showcase</v>
      </c>
      <c r="Y1977" s="4" t="str">
        <f t="shared" si="2"/>
        <v/>
      </c>
      <c r="Z1977" s="4" t="str">
        <f>IFERROR(__xludf.DUMMYFUNCTION("IFERROR(
  FILTER('CBK Students'!O:O, TRIM('CBK Students'!B:B) = TRIM(A1977)),
  """"
)"),"#REF!")</f>
        <v>#REF!</v>
      </c>
      <c r="AA1977" s="4" t="str">
        <f>IFERROR(__xludf.DUMMYFUNCTION("IFERROR(
  FILTER('CBK Students'!P:P, TRIM('CBK Students'!B:B) = TRIM(A1977)),
  """"
)"),"#REF!")</f>
        <v>#REF!</v>
      </c>
      <c r="AB1977" s="4" t="str">
        <f>IFERROR(__xludf.DUMMYFUNCTION("IFERROR(
  FILTER('CBK Students'!Q:Q, TRIM('CBK Students'!B:B) = TRIM(A1977)),
  """"
)"),"#REF!")</f>
        <v>#REF!</v>
      </c>
    </row>
    <row r="1978" ht="18.75" customHeight="1">
      <c r="T1978" s="4"/>
      <c r="U1978" s="4"/>
      <c r="V1978" s="4">
        <f>IFERROR(__xludf.DUMMYFUNCTION("""COMPUTED_VALUE"""),6590.0)</f>
        <v>6590</v>
      </c>
      <c r="W1978" s="240" t="str">
        <f t="shared" si="1"/>
        <v/>
      </c>
      <c r="X1978" s="4" t="str">
        <f>IFERROR(__xludf.DUMMYFUNCTION("""COMPUTED_VALUE"""),"Prepare for Showcase")</f>
        <v>Prepare for Showcase</v>
      </c>
      <c r="Y1978" s="4" t="str">
        <f t="shared" si="2"/>
        <v/>
      </c>
      <c r="Z1978" s="4" t="str">
        <f>IFERROR(__xludf.DUMMYFUNCTION("IFERROR(
  FILTER('CBK Students'!O:O, TRIM('CBK Students'!B:B) = TRIM(A1978)),
  """"
)"),"#REF!")</f>
        <v>#REF!</v>
      </c>
      <c r="AA1978" s="4" t="str">
        <f>IFERROR(__xludf.DUMMYFUNCTION("IFERROR(
  FILTER('CBK Students'!P:P, TRIM('CBK Students'!B:B) = TRIM(A1978)),
  """"
)"),"#REF!")</f>
        <v>#REF!</v>
      </c>
      <c r="AB1978" s="4" t="str">
        <f>IFERROR(__xludf.DUMMYFUNCTION("IFERROR(
  FILTER('CBK Students'!Q:Q, TRIM('CBK Students'!B:B) = TRIM(A1978)),
  """"
)"),"#REF!")</f>
        <v>#REF!</v>
      </c>
    </row>
    <row r="1979" ht="18.75" customHeight="1">
      <c r="T1979" s="4"/>
      <c r="U1979" s="4"/>
      <c r="V1979" s="4">
        <f>IFERROR(__xludf.DUMMYFUNCTION("""COMPUTED_VALUE"""),6590.0)</f>
        <v>6590</v>
      </c>
      <c r="W1979" s="240" t="str">
        <f t="shared" si="1"/>
        <v/>
      </c>
      <c r="X1979" s="4" t="str">
        <f>IFERROR(__xludf.DUMMYFUNCTION("""COMPUTED_VALUE"""),"Prepare for Showcase")</f>
        <v>Prepare for Showcase</v>
      </c>
      <c r="Y1979" s="4" t="str">
        <f t="shared" si="2"/>
        <v/>
      </c>
      <c r="Z1979" s="4" t="str">
        <f>IFERROR(__xludf.DUMMYFUNCTION("IFERROR(
  FILTER('CBK Students'!O:O, TRIM('CBK Students'!B:B) = TRIM(A1979)),
  """"
)"),"#REF!")</f>
        <v>#REF!</v>
      </c>
      <c r="AA1979" s="4" t="str">
        <f>IFERROR(__xludf.DUMMYFUNCTION("IFERROR(
  FILTER('CBK Students'!P:P, TRIM('CBK Students'!B:B) = TRIM(A1979)),
  """"
)"),"#REF!")</f>
        <v>#REF!</v>
      </c>
      <c r="AB1979" s="4" t="str">
        <f>IFERROR(__xludf.DUMMYFUNCTION("IFERROR(
  FILTER('CBK Students'!Q:Q, TRIM('CBK Students'!B:B) = TRIM(A1979)),
  """"
)"),"#REF!")</f>
        <v>#REF!</v>
      </c>
    </row>
    <row r="1980" ht="18.75" customHeight="1">
      <c r="T1980" s="4"/>
      <c r="U1980" s="4"/>
      <c r="V1980" s="4">
        <f>IFERROR(__xludf.DUMMYFUNCTION("""COMPUTED_VALUE"""),6590.0)</f>
        <v>6590</v>
      </c>
      <c r="W1980" s="240" t="str">
        <f t="shared" si="1"/>
        <v/>
      </c>
      <c r="X1980" s="4" t="str">
        <f>IFERROR(__xludf.DUMMYFUNCTION("""COMPUTED_VALUE"""),"Prepare for Showcase")</f>
        <v>Prepare for Showcase</v>
      </c>
      <c r="Y1980" s="4" t="str">
        <f t="shared" si="2"/>
        <v/>
      </c>
      <c r="Z1980" s="4" t="str">
        <f>IFERROR(__xludf.DUMMYFUNCTION("IFERROR(
  FILTER('CBK Students'!O:O, TRIM('CBK Students'!B:B) = TRIM(A1980)),
  """"
)"),"#REF!")</f>
        <v>#REF!</v>
      </c>
      <c r="AA1980" s="4" t="str">
        <f>IFERROR(__xludf.DUMMYFUNCTION("IFERROR(
  FILTER('CBK Students'!P:P, TRIM('CBK Students'!B:B) = TRIM(A1980)),
  """"
)"),"#REF!")</f>
        <v>#REF!</v>
      </c>
      <c r="AB1980" s="4" t="str">
        <f>IFERROR(__xludf.DUMMYFUNCTION("IFERROR(
  FILTER('CBK Students'!Q:Q, TRIM('CBK Students'!B:B) = TRIM(A1980)),
  """"
)"),"#REF!")</f>
        <v>#REF!</v>
      </c>
    </row>
    <row r="1981" ht="18.75" customHeight="1">
      <c r="T1981" s="4"/>
      <c r="U1981" s="4"/>
      <c r="V1981" s="4">
        <f>IFERROR(__xludf.DUMMYFUNCTION("""COMPUTED_VALUE"""),6590.0)</f>
        <v>6590</v>
      </c>
      <c r="W1981" s="240" t="str">
        <f t="shared" si="1"/>
        <v/>
      </c>
      <c r="X1981" s="4" t="str">
        <f>IFERROR(__xludf.DUMMYFUNCTION("""COMPUTED_VALUE"""),"Prepare for Showcase")</f>
        <v>Prepare for Showcase</v>
      </c>
      <c r="Y1981" s="4" t="str">
        <f t="shared" si="2"/>
        <v/>
      </c>
      <c r="Z1981" s="4" t="str">
        <f>IFERROR(__xludf.DUMMYFUNCTION("IFERROR(
  FILTER('CBK Students'!O:O, TRIM('CBK Students'!B:B) = TRIM(A1981)),
  """"
)"),"#REF!")</f>
        <v>#REF!</v>
      </c>
      <c r="AA1981" s="4" t="str">
        <f>IFERROR(__xludf.DUMMYFUNCTION("IFERROR(
  FILTER('CBK Students'!P:P, TRIM('CBK Students'!B:B) = TRIM(A1981)),
  """"
)"),"#REF!")</f>
        <v>#REF!</v>
      </c>
      <c r="AB1981" s="4" t="str">
        <f>IFERROR(__xludf.DUMMYFUNCTION("IFERROR(
  FILTER('CBK Students'!Q:Q, TRIM('CBK Students'!B:B) = TRIM(A1981)),
  """"
)"),"#REF!")</f>
        <v>#REF!</v>
      </c>
    </row>
    <row r="1982" ht="18.75" customHeight="1">
      <c r="T1982" s="4"/>
      <c r="U1982" s="4"/>
      <c r="V1982" s="4">
        <f>IFERROR(__xludf.DUMMYFUNCTION("""COMPUTED_VALUE"""),6590.0)</f>
        <v>6590</v>
      </c>
      <c r="W1982" s="240" t="str">
        <f t="shared" si="1"/>
        <v/>
      </c>
      <c r="X1982" s="4" t="str">
        <f>IFERROR(__xludf.DUMMYFUNCTION("""COMPUTED_VALUE"""),"Prepare for Showcase")</f>
        <v>Prepare for Showcase</v>
      </c>
      <c r="Y1982" s="4" t="str">
        <f t="shared" si="2"/>
        <v/>
      </c>
      <c r="Z1982" s="4" t="str">
        <f>IFERROR(__xludf.DUMMYFUNCTION("IFERROR(
  FILTER('CBK Students'!O:O, TRIM('CBK Students'!B:B) = TRIM(A1982)),
  """"
)"),"#REF!")</f>
        <v>#REF!</v>
      </c>
      <c r="AA1982" s="4" t="str">
        <f>IFERROR(__xludf.DUMMYFUNCTION("IFERROR(
  FILTER('CBK Students'!P:P, TRIM('CBK Students'!B:B) = TRIM(A1982)),
  """"
)"),"#REF!")</f>
        <v>#REF!</v>
      </c>
      <c r="AB1982" s="4" t="str">
        <f>IFERROR(__xludf.DUMMYFUNCTION("IFERROR(
  FILTER('CBK Students'!Q:Q, TRIM('CBK Students'!B:B) = TRIM(A1982)),
  """"
)"),"#REF!")</f>
        <v>#REF!</v>
      </c>
    </row>
    <row r="1983" ht="18.75" customHeight="1">
      <c r="T1983" s="4"/>
      <c r="U1983" s="4"/>
      <c r="V1983" s="4">
        <f>IFERROR(__xludf.DUMMYFUNCTION("""COMPUTED_VALUE"""),6590.0)</f>
        <v>6590</v>
      </c>
      <c r="W1983" s="240" t="str">
        <f t="shared" si="1"/>
        <v/>
      </c>
      <c r="X1983" s="4" t="str">
        <f>IFERROR(__xludf.DUMMYFUNCTION("""COMPUTED_VALUE"""),"Prepare for Showcase")</f>
        <v>Prepare for Showcase</v>
      </c>
      <c r="Y1983" s="4" t="str">
        <f t="shared" si="2"/>
        <v/>
      </c>
      <c r="Z1983" s="4" t="str">
        <f>IFERROR(__xludf.DUMMYFUNCTION("IFERROR(
  FILTER('CBK Students'!O:O, TRIM('CBK Students'!B:B) = TRIM(A1983)),
  """"
)"),"#REF!")</f>
        <v>#REF!</v>
      </c>
      <c r="AA1983" s="4" t="str">
        <f>IFERROR(__xludf.DUMMYFUNCTION("IFERROR(
  FILTER('CBK Students'!P:P, TRIM('CBK Students'!B:B) = TRIM(A1983)),
  """"
)"),"#REF!")</f>
        <v>#REF!</v>
      </c>
      <c r="AB1983" s="4" t="str">
        <f>IFERROR(__xludf.DUMMYFUNCTION("IFERROR(
  FILTER('CBK Students'!Q:Q, TRIM('CBK Students'!B:B) = TRIM(A1983)),
  """"
)"),"#REF!")</f>
        <v>#REF!</v>
      </c>
    </row>
    <row r="1984" ht="18.75" customHeight="1">
      <c r="T1984" s="4"/>
      <c r="U1984" s="4"/>
      <c r="V1984" s="4">
        <f>IFERROR(__xludf.DUMMYFUNCTION("""COMPUTED_VALUE"""),6590.0)</f>
        <v>6590</v>
      </c>
      <c r="W1984" s="240" t="str">
        <f t="shared" si="1"/>
        <v/>
      </c>
      <c r="X1984" s="4" t="str">
        <f>IFERROR(__xludf.DUMMYFUNCTION("""COMPUTED_VALUE"""),"Prepare for Showcase")</f>
        <v>Prepare for Showcase</v>
      </c>
      <c r="Y1984" s="4" t="str">
        <f t="shared" si="2"/>
        <v/>
      </c>
      <c r="Z1984" s="4" t="str">
        <f>IFERROR(__xludf.DUMMYFUNCTION("IFERROR(
  FILTER('CBK Students'!O:O, TRIM('CBK Students'!B:B) = TRIM(A1984)),
  """"
)"),"#REF!")</f>
        <v>#REF!</v>
      </c>
      <c r="AA1984" s="4" t="str">
        <f>IFERROR(__xludf.DUMMYFUNCTION("IFERROR(
  FILTER('CBK Students'!P:P, TRIM('CBK Students'!B:B) = TRIM(A1984)),
  """"
)"),"#REF!")</f>
        <v>#REF!</v>
      </c>
      <c r="AB1984" s="4" t="str">
        <f>IFERROR(__xludf.DUMMYFUNCTION("IFERROR(
  FILTER('CBK Students'!Q:Q, TRIM('CBK Students'!B:B) = TRIM(A1984)),
  """"
)"),"#REF!")</f>
        <v>#REF!</v>
      </c>
    </row>
    <row r="1985" ht="18.75" customHeight="1">
      <c r="T1985" s="4"/>
      <c r="U1985" s="4"/>
      <c r="V1985" s="4">
        <f>IFERROR(__xludf.DUMMYFUNCTION("""COMPUTED_VALUE"""),6590.0)</f>
        <v>6590</v>
      </c>
      <c r="W1985" s="240" t="str">
        <f t="shared" si="1"/>
        <v/>
      </c>
      <c r="X1985" s="4" t="str">
        <f>IFERROR(__xludf.DUMMYFUNCTION("""COMPUTED_VALUE"""),"Prepare for Showcase")</f>
        <v>Prepare for Showcase</v>
      </c>
      <c r="Y1985" s="4" t="str">
        <f t="shared" si="2"/>
        <v/>
      </c>
      <c r="Z1985" s="4" t="str">
        <f>IFERROR(__xludf.DUMMYFUNCTION("IFERROR(
  FILTER('CBK Students'!O:O, TRIM('CBK Students'!B:B) = TRIM(A1985)),
  """"
)"),"#REF!")</f>
        <v>#REF!</v>
      </c>
      <c r="AA1985" s="4" t="str">
        <f>IFERROR(__xludf.DUMMYFUNCTION("IFERROR(
  FILTER('CBK Students'!P:P, TRIM('CBK Students'!B:B) = TRIM(A1985)),
  """"
)"),"#REF!")</f>
        <v>#REF!</v>
      </c>
      <c r="AB1985" s="4" t="str">
        <f>IFERROR(__xludf.DUMMYFUNCTION("IFERROR(
  FILTER('CBK Students'!Q:Q, TRIM('CBK Students'!B:B) = TRIM(A1985)),
  """"
)"),"#REF!")</f>
        <v>#REF!</v>
      </c>
    </row>
    <row r="1986" ht="18.75" customHeight="1">
      <c r="T1986" s="4"/>
      <c r="U1986" s="4"/>
      <c r="V1986" s="4">
        <f>IFERROR(__xludf.DUMMYFUNCTION("""COMPUTED_VALUE"""),6590.0)</f>
        <v>6590</v>
      </c>
      <c r="W1986" s="240" t="str">
        <f t="shared" si="1"/>
        <v/>
      </c>
      <c r="X1986" s="4" t="str">
        <f>IFERROR(__xludf.DUMMYFUNCTION("""COMPUTED_VALUE"""),"Prepare for Showcase")</f>
        <v>Prepare for Showcase</v>
      </c>
      <c r="Y1986" s="4" t="str">
        <f t="shared" si="2"/>
        <v/>
      </c>
      <c r="Z1986" s="4" t="str">
        <f>IFERROR(__xludf.DUMMYFUNCTION("IFERROR(
  FILTER('CBK Students'!O:O, TRIM('CBK Students'!B:B) = TRIM(A1986)),
  """"
)"),"#REF!")</f>
        <v>#REF!</v>
      </c>
      <c r="AA1986" s="4" t="str">
        <f>IFERROR(__xludf.DUMMYFUNCTION("IFERROR(
  FILTER('CBK Students'!P:P, TRIM('CBK Students'!B:B) = TRIM(A1986)),
  """"
)"),"#REF!")</f>
        <v>#REF!</v>
      </c>
      <c r="AB1986" s="4" t="str">
        <f>IFERROR(__xludf.DUMMYFUNCTION("IFERROR(
  FILTER('CBK Students'!Q:Q, TRIM('CBK Students'!B:B) = TRIM(A1986)),
  """"
)"),"#REF!")</f>
        <v>#REF!</v>
      </c>
    </row>
    <row r="1987" ht="18.75" customHeight="1">
      <c r="T1987" s="4"/>
      <c r="U1987" s="4"/>
      <c r="V1987" s="4">
        <f>IFERROR(__xludf.DUMMYFUNCTION("""COMPUTED_VALUE"""),6590.0)</f>
        <v>6590</v>
      </c>
      <c r="W1987" s="240" t="str">
        <f t="shared" si="1"/>
        <v/>
      </c>
      <c r="X1987" s="4" t="str">
        <f>IFERROR(__xludf.DUMMYFUNCTION("""COMPUTED_VALUE"""),"Prepare for Showcase")</f>
        <v>Prepare for Showcase</v>
      </c>
      <c r="Y1987" s="4" t="str">
        <f t="shared" si="2"/>
        <v/>
      </c>
      <c r="Z1987" s="4" t="str">
        <f>IFERROR(__xludf.DUMMYFUNCTION("IFERROR(
  FILTER('CBK Students'!O:O, TRIM('CBK Students'!B:B) = TRIM(A1987)),
  """"
)"),"#REF!")</f>
        <v>#REF!</v>
      </c>
      <c r="AA1987" s="4" t="str">
        <f>IFERROR(__xludf.DUMMYFUNCTION("IFERROR(
  FILTER('CBK Students'!P:P, TRIM('CBK Students'!B:B) = TRIM(A1987)),
  """"
)"),"#REF!")</f>
        <v>#REF!</v>
      </c>
      <c r="AB1987" s="4" t="str">
        <f>IFERROR(__xludf.DUMMYFUNCTION("IFERROR(
  FILTER('CBK Students'!Q:Q, TRIM('CBK Students'!B:B) = TRIM(A1987)),
  """"
)"),"#REF!")</f>
        <v>#REF!</v>
      </c>
    </row>
    <row r="1988" ht="18.75" customHeight="1">
      <c r="T1988" s="4"/>
      <c r="U1988" s="4"/>
      <c r="V1988" s="4">
        <f>IFERROR(__xludf.DUMMYFUNCTION("""COMPUTED_VALUE"""),6590.0)</f>
        <v>6590</v>
      </c>
      <c r="W1988" s="240" t="str">
        <f t="shared" si="1"/>
        <v/>
      </c>
      <c r="X1988" s="4" t="str">
        <f>IFERROR(__xludf.DUMMYFUNCTION("""COMPUTED_VALUE"""),"Prepare for Showcase")</f>
        <v>Prepare for Showcase</v>
      </c>
      <c r="Y1988" s="4" t="str">
        <f t="shared" si="2"/>
        <v/>
      </c>
      <c r="Z1988" s="4" t="str">
        <f>IFERROR(__xludf.DUMMYFUNCTION("IFERROR(
  FILTER('CBK Students'!O:O, TRIM('CBK Students'!B:B) = TRIM(A1988)),
  """"
)"),"#REF!")</f>
        <v>#REF!</v>
      </c>
      <c r="AA1988" s="4" t="str">
        <f>IFERROR(__xludf.DUMMYFUNCTION("IFERROR(
  FILTER('CBK Students'!P:P, TRIM('CBK Students'!B:B) = TRIM(A1988)),
  """"
)"),"#REF!")</f>
        <v>#REF!</v>
      </c>
      <c r="AB1988" s="4" t="str">
        <f>IFERROR(__xludf.DUMMYFUNCTION("IFERROR(
  FILTER('CBK Students'!Q:Q, TRIM('CBK Students'!B:B) = TRIM(A1988)),
  """"
)"),"#REF!")</f>
        <v>#REF!</v>
      </c>
    </row>
    <row r="1989" ht="18.75" customHeight="1">
      <c r="T1989" s="4"/>
      <c r="U1989" s="4"/>
      <c r="V1989" s="4">
        <f>IFERROR(__xludf.DUMMYFUNCTION("""COMPUTED_VALUE"""),6590.0)</f>
        <v>6590</v>
      </c>
      <c r="W1989" s="240" t="str">
        <f t="shared" si="1"/>
        <v/>
      </c>
      <c r="X1989" s="4" t="str">
        <f>IFERROR(__xludf.DUMMYFUNCTION("""COMPUTED_VALUE"""),"Prepare for Showcase")</f>
        <v>Prepare for Showcase</v>
      </c>
      <c r="Y1989" s="4" t="str">
        <f t="shared" si="2"/>
        <v/>
      </c>
      <c r="Z1989" s="4" t="str">
        <f>IFERROR(__xludf.DUMMYFUNCTION("IFERROR(
  FILTER('CBK Students'!O:O, TRIM('CBK Students'!B:B) = TRIM(A1989)),
  """"
)"),"#REF!")</f>
        <v>#REF!</v>
      </c>
      <c r="AA1989" s="4" t="str">
        <f>IFERROR(__xludf.DUMMYFUNCTION("IFERROR(
  FILTER('CBK Students'!P:P, TRIM('CBK Students'!B:B) = TRIM(A1989)),
  """"
)"),"#REF!")</f>
        <v>#REF!</v>
      </c>
      <c r="AB1989" s="4" t="str">
        <f>IFERROR(__xludf.DUMMYFUNCTION("IFERROR(
  FILTER('CBK Students'!Q:Q, TRIM('CBK Students'!B:B) = TRIM(A1989)),
  """"
)"),"#REF!")</f>
        <v>#REF!</v>
      </c>
    </row>
    <row r="1990" ht="18.75" customHeight="1">
      <c r="T1990" s="4"/>
      <c r="U1990" s="4"/>
      <c r="V1990" s="4">
        <f>IFERROR(__xludf.DUMMYFUNCTION("""COMPUTED_VALUE"""),6590.0)</f>
        <v>6590</v>
      </c>
      <c r="W1990" s="240" t="str">
        <f t="shared" si="1"/>
        <v/>
      </c>
      <c r="X1990" s="4" t="str">
        <f>IFERROR(__xludf.DUMMYFUNCTION("""COMPUTED_VALUE"""),"Prepare for Showcase")</f>
        <v>Prepare for Showcase</v>
      </c>
      <c r="Y1990" s="4" t="str">
        <f t="shared" si="2"/>
        <v/>
      </c>
      <c r="Z1990" s="4" t="str">
        <f>IFERROR(__xludf.DUMMYFUNCTION("IFERROR(
  FILTER('CBK Students'!O:O, TRIM('CBK Students'!B:B) = TRIM(A1990)),
  """"
)"),"#REF!")</f>
        <v>#REF!</v>
      </c>
      <c r="AA1990" s="4" t="str">
        <f>IFERROR(__xludf.DUMMYFUNCTION("IFERROR(
  FILTER('CBK Students'!P:P, TRIM('CBK Students'!B:B) = TRIM(A1990)),
  """"
)"),"#REF!")</f>
        <v>#REF!</v>
      </c>
      <c r="AB1990" s="4" t="str">
        <f>IFERROR(__xludf.DUMMYFUNCTION("IFERROR(
  FILTER('CBK Students'!Q:Q, TRIM('CBK Students'!B:B) = TRIM(A1990)),
  """"
)"),"#REF!")</f>
        <v>#REF!</v>
      </c>
    </row>
    <row r="1991" ht="18.75" customHeight="1">
      <c r="T1991" s="4"/>
      <c r="U1991" s="4"/>
      <c r="V1991" s="4">
        <f>IFERROR(__xludf.DUMMYFUNCTION("""COMPUTED_VALUE"""),6590.0)</f>
        <v>6590</v>
      </c>
      <c r="W1991" s="240" t="str">
        <f t="shared" si="1"/>
        <v/>
      </c>
      <c r="X1991" s="4" t="str">
        <f>IFERROR(__xludf.DUMMYFUNCTION("""COMPUTED_VALUE"""),"Prepare for Showcase")</f>
        <v>Prepare for Showcase</v>
      </c>
      <c r="Y1991" s="4" t="str">
        <f t="shared" si="2"/>
        <v/>
      </c>
      <c r="Z1991" s="4" t="str">
        <f>IFERROR(__xludf.DUMMYFUNCTION("IFERROR(
  FILTER('CBK Students'!O:O, TRIM('CBK Students'!B:B) = TRIM(A1991)),
  """"
)"),"#REF!")</f>
        <v>#REF!</v>
      </c>
      <c r="AA1991" s="4" t="str">
        <f>IFERROR(__xludf.DUMMYFUNCTION("IFERROR(
  FILTER('CBK Students'!P:P, TRIM('CBK Students'!B:B) = TRIM(A1991)),
  """"
)"),"#REF!")</f>
        <v>#REF!</v>
      </c>
      <c r="AB1991" s="4" t="str">
        <f>IFERROR(__xludf.DUMMYFUNCTION("IFERROR(
  FILTER('CBK Students'!Q:Q, TRIM('CBK Students'!B:B) = TRIM(A1991)),
  """"
)"),"#REF!")</f>
        <v>#REF!</v>
      </c>
    </row>
    <row r="1992" ht="18.75" customHeight="1">
      <c r="T1992" s="4"/>
      <c r="U1992" s="4"/>
      <c r="V1992" s="4">
        <f>IFERROR(__xludf.DUMMYFUNCTION("""COMPUTED_VALUE"""),6590.0)</f>
        <v>6590</v>
      </c>
      <c r="W1992" s="240" t="str">
        <f t="shared" si="1"/>
        <v/>
      </c>
      <c r="X1992" s="4" t="str">
        <f>IFERROR(__xludf.DUMMYFUNCTION("""COMPUTED_VALUE"""),"Prepare for Showcase")</f>
        <v>Prepare for Showcase</v>
      </c>
      <c r="Y1992" s="4" t="str">
        <f t="shared" si="2"/>
        <v/>
      </c>
      <c r="Z1992" s="4" t="str">
        <f>IFERROR(__xludf.DUMMYFUNCTION("IFERROR(
  FILTER('CBK Students'!O:O, TRIM('CBK Students'!B:B) = TRIM(A1992)),
  """"
)"),"#REF!")</f>
        <v>#REF!</v>
      </c>
      <c r="AA1992" s="4" t="str">
        <f>IFERROR(__xludf.DUMMYFUNCTION("IFERROR(
  FILTER('CBK Students'!P:P, TRIM('CBK Students'!B:B) = TRIM(A1992)),
  """"
)"),"#REF!")</f>
        <v>#REF!</v>
      </c>
      <c r="AB1992" s="4" t="str">
        <f>IFERROR(__xludf.DUMMYFUNCTION("IFERROR(
  FILTER('CBK Students'!Q:Q, TRIM('CBK Students'!B:B) = TRIM(A1992)),
  """"
)"),"#REF!")</f>
        <v>#REF!</v>
      </c>
    </row>
    <row r="1993" ht="18.75" customHeight="1">
      <c r="T1993" s="4"/>
      <c r="U1993" s="4"/>
      <c r="V1993" s="4">
        <f>IFERROR(__xludf.DUMMYFUNCTION("""COMPUTED_VALUE"""),6590.0)</f>
        <v>6590</v>
      </c>
      <c r="W1993" s="240" t="str">
        <f t="shared" si="1"/>
        <v/>
      </c>
      <c r="X1993" s="4" t="str">
        <f>IFERROR(__xludf.DUMMYFUNCTION("""COMPUTED_VALUE"""),"Prepare for Showcase")</f>
        <v>Prepare for Showcase</v>
      </c>
      <c r="Y1993" s="4" t="str">
        <f t="shared" si="2"/>
        <v/>
      </c>
      <c r="Z1993" s="4" t="str">
        <f>IFERROR(__xludf.DUMMYFUNCTION("IFERROR(
  FILTER('CBK Students'!O:O, TRIM('CBK Students'!B:B) = TRIM(A1993)),
  """"
)"),"#REF!")</f>
        <v>#REF!</v>
      </c>
      <c r="AA1993" s="4" t="str">
        <f>IFERROR(__xludf.DUMMYFUNCTION("IFERROR(
  FILTER('CBK Students'!P:P, TRIM('CBK Students'!B:B) = TRIM(A1993)),
  """"
)"),"#REF!")</f>
        <v>#REF!</v>
      </c>
      <c r="AB1993" s="4" t="str">
        <f>IFERROR(__xludf.DUMMYFUNCTION("IFERROR(
  FILTER('CBK Students'!Q:Q, TRIM('CBK Students'!B:B) = TRIM(A1993)),
  """"
)"),"#REF!")</f>
        <v>#REF!</v>
      </c>
    </row>
    <row r="1994" ht="18.75" customHeight="1">
      <c r="T1994" s="4"/>
      <c r="U1994" s="4"/>
      <c r="V1994" s="4">
        <f>IFERROR(__xludf.DUMMYFUNCTION("""COMPUTED_VALUE"""),6590.0)</f>
        <v>6590</v>
      </c>
      <c r="W1994" s="240" t="str">
        <f t="shared" si="1"/>
        <v/>
      </c>
      <c r="X1994" s="4" t="str">
        <f>IFERROR(__xludf.DUMMYFUNCTION("""COMPUTED_VALUE"""),"Prepare for Showcase")</f>
        <v>Prepare for Showcase</v>
      </c>
      <c r="Y1994" s="4" t="str">
        <f t="shared" si="2"/>
        <v/>
      </c>
      <c r="Z1994" s="4" t="str">
        <f>IFERROR(__xludf.DUMMYFUNCTION("IFERROR(
  FILTER('CBK Students'!O:O, TRIM('CBK Students'!B:B) = TRIM(A1994)),
  """"
)"),"#REF!")</f>
        <v>#REF!</v>
      </c>
      <c r="AA1994" s="4" t="str">
        <f>IFERROR(__xludf.DUMMYFUNCTION("IFERROR(
  FILTER('CBK Students'!P:P, TRIM('CBK Students'!B:B) = TRIM(A1994)),
  """"
)"),"#REF!")</f>
        <v>#REF!</v>
      </c>
      <c r="AB1994" s="4" t="str">
        <f>IFERROR(__xludf.DUMMYFUNCTION("IFERROR(
  FILTER('CBK Students'!Q:Q, TRIM('CBK Students'!B:B) = TRIM(A1994)),
  """"
)"),"#REF!")</f>
        <v>#REF!</v>
      </c>
    </row>
    <row r="1995" ht="18.75" customHeight="1">
      <c r="T1995" s="4"/>
      <c r="U1995" s="4"/>
      <c r="V1995" s="4">
        <f>IFERROR(__xludf.DUMMYFUNCTION("""COMPUTED_VALUE"""),6590.0)</f>
        <v>6590</v>
      </c>
      <c r="W1995" s="240" t="str">
        <f t="shared" si="1"/>
        <v/>
      </c>
      <c r="X1995" s="4" t="str">
        <f>IFERROR(__xludf.DUMMYFUNCTION("""COMPUTED_VALUE"""),"Prepare for Showcase")</f>
        <v>Prepare for Showcase</v>
      </c>
      <c r="Y1995" s="4" t="str">
        <f t="shared" si="2"/>
        <v/>
      </c>
      <c r="Z1995" s="4" t="str">
        <f>IFERROR(__xludf.DUMMYFUNCTION("IFERROR(
  FILTER('CBK Students'!O:O, TRIM('CBK Students'!B:B) = TRIM(A1995)),
  """"
)"),"#REF!")</f>
        <v>#REF!</v>
      </c>
      <c r="AA1995" s="4" t="str">
        <f>IFERROR(__xludf.DUMMYFUNCTION("IFERROR(
  FILTER('CBK Students'!P:P, TRIM('CBK Students'!B:B) = TRIM(A1995)),
  """"
)"),"#REF!")</f>
        <v>#REF!</v>
      </c>
      <c r="AB1995" s="4" t="str">
        <f>IFERROR(__xludf.DUMMYFUNCTION("IFERROR(
  FILTER('CBK Students'!Q:Q, TRIM('CBK Students'!B:B) = TRIM(A1995)),
  """"
)"),"#REF!")</f>
        <v>#REF!</v>
      </c>
    </row>
    <row r="1996" ht="18.75" customHeight="1">
      <c r="T1996" s="4"/>
      <c r="U1996" s="4"/>
      <c r="V1996" s="4">
        <f>IFERROR(__xludf.DUMMYFUNCTION("""COMPUTED_VALUE"""),6590.0)</f>
        <v>6590</v>
      </c>
      <c r="W1996" s="240" t="str">
        <f t="shared" si="1"/>
        <v/>
      </c>
      <c r="X1996" s="4" t="str">
        <f>IFERROR(__xludf.DUMMYFUNCTION("""COMPUTED_VALUE"""),"Prepare for Showcase")</f>
        <v>Prepare for Showcase</v>
      </c>
      <c r="Y1996" s="4" t="str">
        <f t="shared" si="2"/>
        <v/>
      </c>
      <c r="Z1996" s="4" t="str">
        <f>IFERROR(__xludf.DUMMYFUNCTION("IFERROR(
  FILTER('CBK Students'!O:O, TRIM('CBK Students'!B:B) = TRIM(A1996)),
  """"
)"),"#REF!")</f>
        <v>#REF!</v>
      </c>
      <c r="AA1996" s="4" t="str">
        <f>IFERROR(__xludf.DUMMYFUNCTION("IFERROR(
  FILTER('CBK Students'!P:P, TRIM('CBK Students'!B:B) = TRIM(A1996)),
  """"
)"),"#REF!")</f>
        <v>#REF!</v>
      </c>
      <c r="AB1996" s="4" t="str">
        <f>IFERROR(__xludf.DUMMYFUNCTION("IFERROR(
  FILTER('CBK Students'!Q:Q, TRIM('CBK Students'!B:B) = TRIM(A1996)),
  """"
)"),"#REF!")</f>
        <v>#REF!</v>
      </c>
    </row>
    <row r="1997" ht="18.75" customHeight="1">
      <c r="T1997" s="4"/>
      <c r="U1997" s="4"/>
      <c r="V1997" s="4">
        <f>IFERROR(__xludf.DUMMYFUNCTION("""COMPUTED_VALUE"""),6590.0)</f>
        <v>6590</v>
      </c>
      <c r="W1997" s="240" t="str">
        <f t="shared" si="1"/>
        <v/>
      </c>
      <c r="X1997" s="4" t="str">
        <f>IFERROR(__xludf.DUMMYFUNCTION("""COMPUTED_VALUE"""),"Prepare for Showcase")</f>
        <v>Prepare for Showcase</v>
      </c>
      <c r="Y1997" s="4" t="str">
        <f t="shared" si="2"/>
        <v/>
      </c>
      <c r="Z1997" s="4" t="str">
        <f>IFERROR(__xludf.DUMMYFUNCTION("IFERROR(
  FILTER('CBK Students'!O:O, TRIM('CBK Students'!B:B) = TRIM(A1997)),
  """"
)"),"#REF!")</f>
        <v>#REF!</v>
      </c>
      <c r="AA1997" s="4" t="str">
        <f>IFERROR(__xludf.DUMMYFUNCTION("IFERROR(
  FILTER('CBK Students'!P:P, TRIM('CBK Students'!B:B) = TRIM(A1997)),
  """"
)"),"#REF!")</f>
        <v>#REF!</v>
      </c>
      <c r="AB1997" s="4" t="str">
        <f>IFERROR(__xludf.DUMMYFUNCTION("IFERROR(
  FILTER('CBK Students'!Q:Q, TRIM('CBK Students'!B:B) = TRIM(A1997)),
  """"
)"),"#REF!")</f>
        <v>#REF!</v>
      </c>
    </row>
    <row r="1998" ht="18.75" customHeight="1">
      <c r="T1998" s="4"/>
      <c r="U1998" s="4"/>
      <c r="V1998" s="4">
        <f>IFERROR(__xludf.DUMMYFUNCTION("""COMPUTED_VALUE"""),6590.0)</f>
        <v>6590</v>
      </c>
      <c r="W1998" s="240" t="str">
        <f t="shared" si="1"/>
        <v/>
      </c>
      <c r="X1998" s="4" t="str">
        <f>IFERROR(__xludf.DUMMYFUNCTION("""COMPUTED_VALUE"""),"Prepare for Showcase")</f>
        <v>Prepare for Showcase</v>
      </c>
      <c r="Y1998" s="4" t="str">
        <f t="shared" si="2"/>
        <v/>
      </c>
      <c r="Z1998" s="4" t="str">
        <f>IFERROR(__xludf.DUMMYFUNCTION("IFERROR(
  FILTER('CBK Students'!O:O, TRIM('CBK Students'!B:B) = TRIM(A1998)),
  """"
)"),"#REF!")</f>
        <v>#REF!</v>
      </c>
      <c r="AA1998" s="4" t="str">
        <f>IFERROR(__xludf.DUMMYFUNCTION("IFERROR(
  FILTER('CBK Students'!P:P, TRIM('CBK Students'!B:B) = TRIM(A1998)),
  """"
)"),"#REF!")</f>
        <v>#REF!</v>
      </c>
      <c r="AB1998" s="4" t="str">
        <f>IFERROR(__xludf.DUMMYFUNCTION("IFERROR(
  FILTER('CBK Students'!Q:Q, TRIM('CBK Students'!B:B) = TRIM(A1998)),
  """"
)"),"#REF!")</f>
        <v>#REF!</v>
      </c>
    </row>
    <row r="1999" ht="18.75" customHeight="1">
      <c r="T1999" s="4"/>
      <c r="U1999" s="4"/>
      <c r="V1999" s="4">
        <f>IFERROR(__xludf.DUMMYFUNCTION("""COMPUTED_VALUE"""),6590.0)</f>
        <v>6590</v>
      </c>
      <c r="W1999" s="240" t="str">
        <f t="shared" si="1"/>
        <v/>
      </c>
      <c r="X1999" s="4" t="str">
        <f>IFERROR(__xludf.DUMMYFUNCTION("""COMPUTED_VALUE"""),"Prepare for Showcase")</f>
        <v>Prepare for Showcase</v>
      </c>
      <c r="Y1999" s="4" t="str">
        <f t="shared" si="2"/>
        <v/>
      </c>
      <c r="Z1999" s="4" t="str">
        <f>IFERROR(__xludf.DUMMYFUNCTION("IFERROR(
  FILTER('CBK Students'!O:O, TRIM('CBK Students'!B:B) = TRIM(A1999)),
  """"
)"),"#REF!")</f>
        <v>#REF!</v>
      </c>
      <c r="AA1999" s="4" t="str">
        <f>IFERROR(__xludf.DUMMYFUNCTION("IFERROR(
  FILTER('CBK Students'!P:P, TRIM('CBK Students'!B:B) = TRIM(A1999)),
  """"
)"),"#REF!")</f>
        <v>#REF!</v>
      </c>
      <c r="AB1999" s="4" t="str">
        <f>IFERROR(__xludf.DUMMYFUNCTION("IFERROR(
  FILTER('CBK Students'!Q:Q, TRIM('CBK Students'!B:B) = TRIM(A1999)),
  """"
)"),"#REF!")</f>
        <v>#REF!</v>
      </c>
    </row>
    <row r="2000" ht="18.75" customHeight="1">
      <c r="T2000" s="4"/>
      <c r="U2000" s="4"/>
      <c r="V2000" s="4">
        <f>IFERROR(__xludf.DUMMYFUNCTION("""COMPUTED_VALUE"""),6590.0)</f>
        <v>6590</v>
      </c>
      <c r="W2000" s="240" t="str">
        <f t="shared" si="1"/>
        <v/>
      </c>
      <c r="X2000" s="4" t="str">
        <f>IFERROR(__xludf.DUMMYFUNCTION("""COMPUTED_VALUE"""),"Prepare for Showcase")</f>
        <v>Prepare for Showcase</v>
      </c>
      <c r="Y2000" s="4" t="str">
        <f t="shared" si="2"/>
        <v/>
      </c>
      <c r="Z2000" s="4" t="str">
        <f>IFERROR(__xludf.DUMMYFUNCTION("IFERROR(
  FILTER('CBK Students'!O:O, TRIM('CBK Students'!B:B) = TRIM(A2000)),
  """"
)"),"#REF!")</f>
        <v>#REF!</v>
      </c>
      <c r="AA2000" s="4" t="str">
        <f>IFERROR(__xludf.DUMMYFUNCTION("IFERROR(
  FILTER('CBK Students'!P:P, TRIM('CBK Students'!B:B) = TRIM(A2000)),
  """"
)"),"#REF!")</f>
        <v>#REF!</v>
      </c>
      <c r="AB2000" s="4" t="str">
        <f>IFERROR(__xludf.DUMMYFUNCTION("IFERROR(
  FILTER('CBK Students'!Q:Q, TRIM('CBK Students'!B:B) = TRIM(A2000)),
  """"
)"),"#REF!")</f>
        <v>#REF!</v>
      </c>
    </row>
    <row r="2001" ht="18.75" customHeight="1">
      <c r="T2001" s="4"/>
      <c r="U2001" s="4"/>
      <c r="V2001" s="4">
        <f>IFERROR(__xludf.DUMMYFUNCTION("""COMPUTED_VALUE"""),6590.0)</f>
        <v>6590</v>
      </c>
      <c r="W2001" s="240" t="str">
        <f t="shared" si="1"/>
        <v/>
      </c>
      <c r="X2001" s="4" t="str">
        <f>IFERROR(__xludf.DUMMYFUNCTION("""COMPUTED_VALUE"""),"Prepare for Showcase")</f>
        <v>Prepare for Showcase</v>
      </c>
      <c r="Y2001" s="4" t="str">
        <f t="shared" si="2"/>
        <v/>
      </c>
      <c r="Z2001" s="4" t="str">
        <f>IFERROR(__xludf.DUMMYFUNCTION("IFERROR(
  FILTER('CBK Students'!O:O, TRIM('CBK Students'!B:B) = TRIM(A2001)),
  """"
)"),"#REF!")</f>
        <v>#REF!</v>
      </c>
      <c r="AA2001" s="4" t="str">
        <f>IFERROR(__xludf.DUMMYFUNCTION("IFERROR(
  FILTER('CBK Students'!P:P, TRIM('CBK Students'!B:B) = TRIM(A2001)),
  """"
)"),"#REF!")</f>
        <v>#REF!</v>
      </c>
      <c r="AB2001" s="4" t="str">
        <f>IFERROR(__xludf.DUMMYFUNCTION("IFERROR(
  FILTER('CBK Students'!Q:Q, TRIM('CBK Students'!B:B) = TRIM(A2001)),
  """"
)"),"#REF!")</f>
        <v>#REF!</v>
      </c>
    </row>
    <row r="2002" ht="18.75" customHeight="1">
      <c r="T2002" s="4"/>
      <c r="U2002" s="4"/>
      <c r="V2002" s="4">
        <f>IFERROR(__xludf.DUMMYFUNCTION("""COMPUTED_VALUE"""),6590.0)</f>
        <v>6590</v>
      </c>
      <c r="W2002" s="240" t="str">
        <f t="shared" si="1"/>
        <v/>
      </c>
      <c r="X2002" s="4" t="str">
        <f>IFERROR(__xludf.DUMMYFUNCTION("""COMPUTED_VALUE"""),"Prepare for Showcase")</f>
        <v>Prepare for Showcase</v>
      </c>
      <c r="Y2002" s="4" t="str">
        <f t="shared" si="2"/>
        <v/>
      </c>
      <c r="Z2002" s="4" t="str">
        <f>IFERROR(__xludf.DUMMYFUNCTION("IFERROR(
  FILTER('CBK Students'!O:O, TRIM('CBK Students'!B:B) = TRIM(A2002)),
  """"
)"),"#REF!")</f>
        <v>#REF!</v>
      </c>
      <c r="AA2002" s="4" t="str">
        <f>IFERROR(__xludf.DUMMYFUNCTION("IFERROR(
  FILTER('CBK Students'!P:P, TRIM('CBK Students'!B:B) = TRIM(A2002)),
  """"
)"),"#REF!")</f>
        <v>#REF!</v>
      </c>
      <c r="AB2002" s="4" t="str">
        <f>IFERROR(__xludf.DUMMYFUNCTION("IFERROR(
  FILTER('CBK Students'!Q:Q, TRIM('CBK Students'!B:B) = TRIM(A2002)),
  """"
)"),"#REF!")</f>
        <v>#REF!</v>
      </c>
    </row>
    <row r="2003" ht="18.75" customHeight="1">
      <c r="T2003" s="4"/>
      <c r="U2003" s="4"/>
      <c r="V2003" s="4">
        <f>IFERROR(__xludf.DUMMYFUNCTION("""COMPUTED_VALUE"""),6590.0)</f>
        <v>6590</v>
      </c>
      <c r="W2003" s="240" t="str">
        <f t="shared" si="1"/>
        <v/>
      </c>
      <c r="X2003" s="4" t="str">
        <f>IFERROR(__xludf.DUMMYFUNCTION("""COMPUTED_VALUE"""),"Prepare for Showcase")</f>
        <v>Prepare for Showcase</v>
      </c>
      <c r="Y2003" s="4" t="str">
        <f t="shared" si="2"/>
        <v/>
      </c>
      <c r="Z2003" s="4" t="str">
        <f>IFERROR(__xludf.DUMMYFUNCTION("IFERROR(
  FILTER('CBK Students'!O:O, TRIM('CBK Students'!B:B) = TRIM(A2003)),
  """"
)"),"#REF!")</f>
        <v>#REF!</v>
      </c>
      <c r="AA2003" s="4" t="str">
        <f>IFERROR(__xludf.DUMMYFUNCTION("IFERROR(
  FILTER('CBK Students'!P:P, TRIM('CBK Students'!B:B) = TRIM(A2003)),
  """"
)"),"#REF!")</f>
        <v>#REF!</v>
      </c>
      <c r="AB2003" s="4" t="str">
        <f>IFERROR(__xludf.DUMMYFUNCTION("IFERROR(
  FILTER('CBK Students'!Q:Q, TRIM('CBK Students'!B:B) = TRIM(A2003)),
  """"
)"),"#REF!")</f>
        <v>#REF!</v>
      </c>
    </row>
    <row r="2004" ht="18.75" customHeight="1">
      <c r="T2004" s="4"/>
      <c r="U2004" s="4"/>
      <c r="V2004" s="4">
        <f>IFERROR(__xludf.DUMMYFUNCTION("""COMPUTED_VALUE"""),6590.0)</f>
        <v>6590</v>
      </c>
      <c r="W2004" s="240" t="str">
        <f t="shared" si="1"/>
        <v/>
      </c>
      <c r="X2004" s="4" t="str">
        <f>IFERROR(__xludf.DUMMYFUNCTION("""COMPUTED_VALUE"""),"Prepare for Showcase")</f>
        <v>Prepare for Showcase</v>
      </c>
      <c r="Y2004" s="4" t="str">
        <f t="shared" si="2"/>
        <v/>
      </c>
      <c r="Z2004" s="4" t="str">
        <f>IFERROR(__xludf.DUMMYFUNCTION("IFERROR(
  FILTER('CBK Students'!O:O, TRIM('CBK Students'!B:B) = TRIM(A2004)),
  """"
)"),"#REF!")</f>
        <v>#REF!</v>
      </c>
      <c r="AA2004" s="4" t="str">
        <f>IFERROR(__xludf.DUMMYFUNCTION("IFERROR(
  FILTER('CBK Students'!P:P, TRIM('CBK Students'!B:B) = TRIM(A2004)),
  """"
)"),"#REF!")</f>
        <v>#REF!</v>
      </c>
      <c r="AB2004" s="4" t="str">
        <f>IFERROR(__xludf.DUMMYFUNCTION("IFERROR(
  FILTER('CBK Students'!Q:Q, TRIM('CBK Students'!B:B) = TRIM(A2004)),
  """"
)"),"#REF!")</f>
        <v>#REF!</v>
      </c>
    </row>
    <row r="2005" ht="18.75" customHeight="1">
      <c r="T2005" s="4"/>
      <c r="U2005" s="4"/>
      <c r="V2005" s="4">
        <f>IFERROR(__xludf.DUMMYFUNCTION("""COMPUTED_VALUE"""),6590.0)</f>
        <v>6590</v>
      </c>
      <c r="W2005" s="240" t="str">
        <f t="shared" si="1"/>
        <v/>
      </c>
      <c r="X2005" s="4" t="str">
        <f>IFERROR(__xludf.DUMMYFUNCTION("""COMPUTED_VALUE"""),"Prepare for Showcase")</f>
        <v>Prepare for Showcase</v>
      </c>
      <c r="Y2005" s="4" t="str">
        <f t="shared" si="2"/>
        <v/>
      </c>
      <c r="Z2005" s="4" t="str">
        <f>IFERROR(__xludf.DUMMYFUNCTION("IFERROR(
  FILTER('CBK Students'!O:O, TRIM('CBK Students'!B:B) = TRIM(A2005)),
  """"
)"),"#REF!")</f>
        <v>#REF!</v>
      </c>
      <c r="AA2005" s="4" t="str">
        <f>IFERROR(__xludf.DUMMYFUNCTION("IFERROR(
  FILTER('CBK Students'!P:P, TRIM('CBK Students'!B:B) = TRIM(A2005)),
  """"
)"),"#REF!")</f>
        <v>#REF!</v>
      </c>
      <c r="AB2005" s="4" t="str">
        <f>IFERROR(__xludf.DUMMYFUNCTION("IFERROR(
  FILTER('CBK Students'!Q:Q, TRIM('CBK Students'!B:B) = TRIM(A2005)),
  """"
)"),"#REF!")</f>
        <v>#REF!</v>
      </c>
    </row>
    <row r="2006" ht="18.75" customHeight="1">
      <c r="T2006" s="4"/>
      <c r="U2006" s="4"/>
      <c r="V2006" s="4">
        <f>IFERROR(__xludf.DUMMYFUNCTION("""COMPUTED_VALUE"""),6590.0)</f>
        <v>6590</v>
      </c>
      <c r="W2006" s="240" t="str">
        <f t="shared" si="1"/>
        <v/>
      </c>
      <c r="X2006" s="4" t="str">
        <f>IFERROR(__xludf.DUMMYFUNCTION("""COMPUTED_VALUE"""),"Prepare for Showcase")</f>
        <v>Prepare for Showcase</v>
      </c>
      <c r="Y2006" s="4" t="str">
        <f t="shared" si="2"/>
        <v/>
      </c>
      <c r="Z2006" s="4" t="str">
        <f>IFERROR(__xludf.DUMMYFUNCTION("IFERROR(
  FILTER('CBK Students'!O:O, TRIM('CBK Students'!B:B) = TRIM(A2006)),
  """"
)"),"#REF!")</f>
        <v>#REF!</v>
      </c>
      <c r="AA2006" s="4" t="str">
        <f>IFERROR(__xludf.DUMMYFUNCTION("IFERROR(
  FILTER('CBK Students'!P:P, TRIM('CBK Students'!B:B) = TRIM(A2006)),
  """"
)"),"#REF!")</f>
        <v>#REF!</v>
      </c>
      <c r="AB2006" s="4" t="str">
        <f>IFERROR(__xludf.DUMMYFUNCTION("IFERROR(
  FILTER('CBK Students'!Q:Q, TRIM('CBK Students'!B:B) = TRIM(A2006)),
  """"
)"),"#REF!")</f>
        <v>#REF!</v>
      </c>
    </row>
    <row r="2007" ht="18.75" customHeight="1">
      <c r="T2007" s="4"/>
      <c r="U2007" s="4"/>
      <c r="V2007" s="4">
        <f>IFERROR(__xludf.DUMMYFUNCTION("""COMPUTED_VALUE"""),6590.0)</f>
        <v>6590</v>
      </c>
      <c r="W2007" s="240" t="str">
        <f t="shared" si="1"/>
        <v/>
      </c>
      <c r="X2007" s="4" t="str">
        <f>IFERROR(__xludf.DUMMYFUNCTION("""COMPUTED_VALUE"""),"Prepare for Showcase")</f>
        <v>Prepare for Showcase</v>
      </c>
      <c r="Y2007" s="4" t="str">
        <f t="shared" si="2"/>
        <v/>
      </c>
      <c r="Z2007" s="4" t="str">
        <f>IFERROR(__xludf.DUMMYFUNCTION("IFERROR(
  FILTER('CBK Students'!O:O, TRIM('CBK Students'!B:B) = TRIM(A2007)),
  """"
)"),"#REF!")</f>
        <v>#REF!</v>
      </c>
      <c r="AA2007" s="4" t="str">
        <f>IFERROR(__xludf.DUMMYFUNCTION("IFERROR(
  FILTER('CBK Students'!P:P, TRIM('CBK Students'!B:B) = TRIM(A2007)),
  """"
)"),"#REF!")</f>
        <v>#REF!</v>
      </c>
      <c r="AB2007" s="4" t="str">
        <f>IFERROR(__xludf.DUMMYFUNCTION("IFERROR(
  FILTER('CBK Students'!Q:Q, TRIM('CBK Students'!B:B) = TRIM(A2007)),
  """"
)"),"#REF!")</f>
        <v>#REF!</v>
      </c>
    </row>
    <row r="2008" ht="18.75" customHeight="1">
      <c r="T2008" s="4"/>
      <c r="U2008" s="4"/>
      <c r="V2008" s="4">
        <f>IFERROR(__xludf.DUMMYFUNCTION("""COMPUTED_VALUE"""),6590.0)</f>
        <v>6590</v>
      </c>
      <c r="W2008" s="240" t="str">
        <f t="shared" si="1"/>
        <v/>
      </c>
      <c r="X2008" s="4" t="str">
        <f>IFERROR(__xludf.DUMMYFUNCTION("""COMPUTED_VALUE"""),"Prepare for Showcase")</f>
        <v>Prepare for Showcase</v>
      </c>
      <c r="Y2008" s="4" t="str">
        <f t="shared" si="2"/>
        <v/>
      </c>
      <c r="Z2008" s="4" t="str">
        <f>IFERROR(__xludf.DUMMYFUNCTION("IFERROR(
  FILTER('CBK Students'!O:O, TRIM('CBK Students'!B:B) = TRIM(A2008)),
  """"
)"),"#REF!")</f>
        <v>#REF!</v>
      </c>
      <c r="AA2008" s="4" t="str">
        <f>IFERROR(__xludf.DUMMYFUNCTION("IFERROR(
  FILTER('CBK Students'!P:P, TRIM('CBK Students'!B:B) = TRIM(A2008)),
  """"
)"),"#REF!")</f>
        <v>#REF!</v>
      </c>
      <c r="AB2008" s="4" t="str">
        <f>IFERROR(__xludf.DUMMYFUNCTION("IFERROR(
  FILTER('CBK Students'!Q:Q, TRIM('CBK Students'!B:B) = TRIM(A2008)),
  """"
)"),"#REF!")</f>
        <v>#REF!</v>
      </c>
    </row>
    <row r="2009" ht="18.75" customHeight="1">
      <c r="T2009" s="4"/>
      <c r="U2009" s="4"/>
      <c r="V2009" s="4">
        <f>IFERROR(__xludf.DUMMYFUNCTION("""COMPUTED_VALUE"""),6590.0)</f>
        <v>6590</v>
      </c>
      <c r="W2009" s="240" t="str">
        <f t="shared" si="1"/>
        <v/>
      </c>
      <c r="X2009" s="4" t="str">
        <f>IFERROR(__xludf.DUMMYFUNCTION("""COMPUTED_VALUE"""),"Prepare for Showcase")</f>
        <v>Prepare for Showcase</v>
      </c>
      <c r="Y2009" s="4" t="str">
        <f t="shared" si="2"/>
        <v/>
      </c>
      <c r="Z2009" s="4" t="str">
        <f>IFERROR(__xludf.DUMMYFUNCTION("IFERROR(
  FILTER('CBK Students'!O:O, TRIM('CBK Students'!B:B) = TRIM(A2009)),
  """"
)"),"#REF!")</f>
        <v>#REF!</v>
      </c>
      <c r="AA2009" s="4" t="str">
        <f>IFERROR(__xludf.DUMMYFUNCTION("IFERROR(
  FILTER('CBK Students'!P:P, TRIM('CBK Students'!B:B) = TRIM(A2009)),
  """"
)"),"#REF!")</f>
        <v>#REF!</v>
      </c>
      <c r="AB2009" s="4" t="str">
        <f>IFERROR(__xludf.DUMMYFUNCTION("IFERROR(
  FILTER('CBK Students'!Q:Q, TRIM('CBK Students'!B:B) = TRIM(A2009)),
  """"
)"),"#REF!")</f>
        <v>#REF!</v>
      </c>
    </row>
    <row r="2010" ht="18.75" customHeight="1">
      <c r="T2010" s="4"/>
      <c r="U2010" s="4"/>
      <c r="V2010" s="4">
        <f>IFERROR(__xludf.DUMMYFUNCTION("""COMPUTED_VALUE"""),6590.0)</f>
        <v>6590</v>
      </c>
      <c r="W2010" s="240" t="str">
        <f t="shared" si="1"/>
        <v/>
      </c>
      <c r="X2010" s="4" t="str">
        <f>IFERROR(__xludf.DUMMYFUNCTION("""COMPUTED_VALUE"""),"Prepare for Showcase")</f>
        <v>Prepare for Showcase</v>
      </c>
      <c r="Y2010" s="4" t="str">
        <f t="shared" si="2"/>
        <v/>
      </c>
      <c r="Z2010" s="4" t="str">
        <f>IFERROR(__xludf.DUMMYFUNCTION("IFERROR(
  FILTER('CBK Students'!O:O, TRIM('CBK Students'!B:B) = TRIM(A2010)),
  """"
)"),"#REF!")</f>
        <v>#REF!</v>
      </c>
      <c r="AA2010" s="4" t="str">
        <f>IFERROR(__xludf.DUMMYFUNCTION("IFERROR(
  FILTER('CBK Students'!P:P, TRIM('CBK Students'!B:B) = TRIM(A2010)),
  """"
)"),"#REF!")</f>
        <v>#REF!</v>
      </c>
      <c r="AB2010" s="4" t="str">
        <f>IFERROR(__xludf.DUMMYFUNCTION("IFERROR(
  FILTER('CBK Students'!Q:Q, TRIM('CBK Students'!B:B) = TRIM(A2010)),
  """"
)"),"#REF!")</f>
        <v>#REF!</v>
      </c>
    </row>
    <row r="2011" ht="18.75" customHeight="1">
      <c r="T2011" s="4"/>
      <c r="U2011" s="4"/>
      <c r="V2011" s="4">
        <f>IFERROR(__xludf.DUMMYFUNCTION("""COMPUTED_VALUE"""),6590.0)</f>
        <v>6590</v>
      </c>
      <c r="W2011" s="240" t="str">
        <f t="shared" si="1"/>
        <v/>
      </c>
      <c r="X2011" s="4" t="str">
        <f>IFERROR(__xludf.DUMMYFUNCTION("""COMPUTED_VALUE"""),"Prepare for Showcase")</f>
        <v>Prepare for Showcase</v>
      </c>
      <c r="Y2011" s="4" t="str">
        <f t="shared" si="2"/>
        <v/>
      </c>
      <c r="Z2011" s="4" t="str">
        <f>IFERROR(__xludf.DUMMYFUNCTION("IFERROR(
  FILTER('CBK Students'!O:O, TRIM('CBK Students'!B:B) = TRIM(A2011)),
  """"
)"),"#REF!")</f>
        <v>#REF!</v>
      </c>
      <c r="AA2011" s="4" t="str">
        <f>IFERROR(__xludf.DUMMYFUNCTION("IFERROR(
  FILTER('CBK Students'!P:P, TRIM('CBK Students'!B:B) = TRIM(A2011)),
  """"
)"),"#REF!")</f>
        <v>#REF!</v>
      </c>
      <c r="AB2011" s="4" t="str">
        <f>IFERROR(__xludf.DUMMYFUNCTION("IFERROR(
  FILTER('CBK Students'!Q:Q, TRIM('CBK Students'!B:B) = TRIM(A2011)),
  """"
)"),"#REF!")</f>
        <v>#REF!</v>
      </c>
    </row>
    <row r="2012" ht="18.75" customHeight="1">
      <c r="T2012" s="4"/>
      <c r="U2012" s="4"/>
      <c r="V2012" s="4">
        <f>IFERROR(__xludf.DUMMYFUNCTION("""COMPUTED_VALUE"""),6590.0)</f>
        <v>6590</v>
      </c>
      <c r="W2012" s="240" t="str">
        <f t="shared" si="1"/>
        <v/>
      </c>
      <c r="X2012" s="4" t="str">
        <f>IFERROR(__xludf.DUMMYFUNCTION("""COMPUTED_VALUE"""),"Prepare for Showcase")</f>
        <v>Prepare for Showcase</v>
      </c>
      <c r="Y2012" s="4" t="str">
        <f t="shared" si="2"/>
        <v/>
      </c>
      <c r="Z2012" s="4" t="str">
        <f>IFERROR(__xludf.DUMMYFUNCTION("IFERROR(
  FILTER('CBK Students'!O:O, TRIM('CBK Students'!B:B) = TRIM(A2012)),
  """"
)"),"#REF!")</f>
        <v>#REF!</v>
      </c>
      <c r="AA2012" s="4" t="str">
        <f>IFERROR(__xludf.DUMMYFUNCTION("IFERROR(
  FILTER('CBK Students'!P:P, TRIM('CBK Students'!B:B) = TRIM(A2012)),
  """"
)"),"#REF!")</f>
        <v>#REF!</v>
      </c>
      <c r="AB2012" s="4" t="str">
        <f>IFERROR(__xludf.DUMMYFUNCTION("IFERROR(
  FILTER('CBK Students'!Q:Q, TRIM('CBK Students'!B:B) = TRIM(A2012)),
  """"
)"),"#REF!")</f>
        <v>#REF!</v>
      </c>
    </row>
    <row r="2013" ht="18.75" customHeight="1">
      <c r="T2013" s="4"/>
      <c r="U2013" s="4"/>
      <c r="V2013" s="4">
        <f>IFERROR(__xludf.DUMMYFUNCTION("""COMPUTED_VALUE"""),6590.0)</f>
        <v>6590</v>
      </c>
      <c r="W2013" s="240" t="str">
        <f t="shared" si="1"/>
        <v/>
      </c>
      <c r="X2013" s="4" t="str">
        <f>IFERROR(__xludf.DUMMYFUNCTION("""COMPUTED_VALUE"""),"Prepare for Showcase")</f>
        <v>Prepare for Showcase</v>
      </c>
      <c r="Y2013" s="4" t="str">
        <f t="shared" si="2"/>
        <v/>
      </c>
      <c r="Z2013" s="4" t="str">
        <f>IFERROR(__xludf.DUMMYFUNCTION("IFERROR(
  FILTER('CBK Students'!O:O, TRIM('CBK Students'!B:B) = TRIM(A2013)),
  """"
)"),"#REF!")</f>
        <v>#REF!</v>
      </c>
      <c r="AA2013" s="4" t="str">
        <f>IFERROR(__xludf.DUMMYFUNCTION("IFERROR(
  FILTER('CBK Students'!P:P, TRIM('CBK Students'!B:B) = TRIM(A2013)),
  """"
)"),"#REF!")</f>
        <v>#REF!</v>
      </c>
      <c r="AB2013" s="4" t="str">
        <f>IFERROR(__xludf.DUMMYFUNCTION("IFERROR(
  FILTER('CBK Students'!Q:Q, TRIM('CBK Students'!B:B) = TRIM(A2013)),
  """"
)"),"#REF!")</f>
        <v>#REF!</v>
      </c>
    </row>
    <row r="2014" ht="18.75" customHeight="1">
      <c r="T2014" s="4"/>
      <c r="U2014" s="4"/>
      <c r="V2014" s="4">
        <f>IFERROR(__xludf.DUMMYFUNCTION("""COMPUTED_VALUE"""),6590.0)</f>
        <v>6590</v>
      </c>
      <c r="W2014" s="240" t="str">
        <f t="shared" si="1"/>
        <v/>
      </c>
      <c r="X2014" s="4" t="str">
        <f>IFERROR(__xludf.DUMMYFUNCTION("""COMPUTED_VALUE"""),"Prepare for Showcase")</f>
        <v>Prepare for Showcase</v>
      </c>
      <c r="Y2014" s="4" t="str">
        <f t="shared" si="2"/>
        <v/>
      </c>
      <c r="Z2014" s="4" t="str">
        <f>IFERROR(__xludf.DUMMYFUNCTION("IFERROR(
  FILTER('CBK Students'!O:O, TRIM('CBK Students'!B:B) = TRIM(A2014)),
  """"
)"),"#REF!")</f>
        <v>#REF!</v>
      </c>
      <c r="AA2014" s="4" t="str">
        <f>IFERROR(__xludf.DUMMYFUNCTION("IFERROR(
  FILTER('CBK Students'!P:P, TRIM('CBK Students'!B:B) = TRIM(A2014)),
  """"
)"),"#REF!")</f>
        <v>#REF!</v>
      </c>
      <c r="AB2014" s="4" t="str">
        <f>IFERROR(__xludf.DUMMYFUNCTION("IFERROR(
  FILTER('CBK Students'!Q:Q, TRIM('CBK Students'!B:B) = TRIM(A2014)),
  """"
)"),"#REF!")</f>
        <v>#REF!</v>
      </c>
    </row>
    <row r="2015" ht="18.75" customHeight="1">
      <c r="T2015" s="4"/>
      <c r="U2015" s="4"/>
      <c r="V2015" s="4">
        <f>IFERROR(__xludf.DUMMYFUNCTION("""COMPUTED_VALUE"""),6590.0)</f>
        <v>6590</v>
      </c>
      <c r="W2015" s="240" t="str">
        <f t="shared" si="1"/>
        <v/>
      </c>
      <c r="X2015" s="4" t="str">
        <f>IFERROR(__xludf.DUMMYFUNCTION("""COMPUTED_VALUE"""),"Prepare for Showcase")</f>
        <v>Prepare for Showcase</v>
      </c>
      <c r="Y2015" s="4" t="str">
        <f t="shared" si="2"/>
        <v/>
      </c>
      <c r="Z2015" s="4" t="str">
        <f>IFERROR(__xludf.DUMMYFUNCTION("IFERROR(
  FILTER('CBK Students'!O:O, TRIM('CBK Students'!B:B) = TRIM(A2015)),
  """"
)"),"#REF!")</f>
        <v>#REF!</v>
      </c>
      <c r="AA2015" s="4" t="str">
        <f>IFERROR(__xludf.DUMMYFUNCTION("IFERROR(
  FILTER('CBK Students'!P:P, TRIM('CBK Students'!B:B) = TRIM(A2015)),
  """"
)"),"#REF!")</f>
        <v>#REF!</v>
      </c>
      <c r="AB2015" s="4" t="str">
        <f>IFERROR(__xludf.DUMMYFUNCTION("IFERROR(
  FILTER('CBK Students'!Q:Q, TRIM('CBK Students'!B:B) = TRIM(A2015)),
  """"
)"),"#REF!")</f>
        <v>#REF!</v>
      </c>
    </row>
    <row r="2016" ht="18.75" customHeight="1">
      <c r="T2016" s="4"/>
      <c r="U2016" s="4"/>
      <c r="V2016" s="4">
        <f>IFERROR(__xludf.DUMMYFUNCTION("""COMPUTED_VALUE"""),6590.0)</f>
        <v>6590</v>
      </c>
      <c r="W2016" s="240" t="str">
        <f t="shared" si="1"/>
        <v/>
      </c>
      <c r="X2016" s="4" t="str">
        <f>IFERROR(__xludf.DUMMYFUNCTION("""COMPUTED_VALUE"""),"Prepare for Showcase")</f>
        <v>Prepare for Showcase</v>
      </c>
      <c r="Y2016" s="4" t="str">
        <f t="shared" si="2"/>
        <v/>
      </c>
      <c r="Z2016" s="4" t="str">
        <f>IFERROR(__xludf.DUMMYFUNCTION("IFERROR(
  FILTER('CBK Students'!O:O, TRIM('CBK Students'!B:B) = TRIM(A2016)),
  """"
)"),"#REF!")</f>
        <v>#REF!</v>
      </c>
      <c r="AA2016" s="4" t="str">
        <f>IFERROR(__xludf.DUMMYFUNCTION("IFERROR(
  FILTER('CBK Students'!P:P, TRIM('CBK Students'!B:B) = TRIM(A2016)),
  """"
)"),"#REF!")</f>
        <v>#REF!</v>
      </c>
      <c r="AB2016" s="4" t="str">
        <f>IFERROR(__xludf.DUMMYFUNCTION("IFERROR(
  FILTER('CBK Students'!Q:Q, TRIM('CBK Students'!B:B) = TRIM(A2016)),
  """"
)"),"#REF!")</f>
        <v>#REF!</v>
      </c>
    </row>
    <row r="2017" ht="18.75" customHeight="1">
      <c r="T2017" s="4"/>
      <c r="U2017" s="4"/>
      <c r="V2017" s="4">
        <f>IFERROR(__xludf.DUMMYFUNCTION("""COMPUTED_VALUE"""),6590.0)</f>
        <v>6590</v>
      </c>
      <c r="W2017" s="240" t="str">
        <f t="shared" si="1"/>
        <v/>
      </c>
      <c r="X2017" s="4" t="str">
        <f>IFERROR(__xludf.DUMMYFUNCTION("""COMPUTED_VALUE"""),"Prepare for Showcase")</f>
        <v>Prepare for Showcase</v>
      </c>
      <c r="Y2017" s="4" t="str">
        <f t="shared" si="2"/>
        <v/>
      </c>
      <c r="Z2017" s="4" t="str">
        <f>IFERROR(__xludf.DUMMYFUNCTION("IFERROR(
  FILTER('CBK Students'!O:O, TRIM('CBK Students'!B:B) = TRIM(A2017)),
  """"
)"),"#REF!")</f>
        <v>#REF!</v>
      </c>
      <c r="AA2017" s="4" t="str">
        <f>IFERROR(__xludf.DUMMYFUNCTION("IFERROR(
  FILTER('CBK Students'!P:P, TRIM('CBK Students'!B:B) = TRIM(A2017)),
  """"
)"),"#REF!")</f>
        <v>#REF!</v>
      </c>
      <c r="AB2017" s="4" t="str">
        <f>IFERROR(__xludf.DUMMYFUNCTION("IFERROR(
  FILTER('CBK Students'!Q:Q, TRIM('CBK Students'!B:B) = TRIM(A2017)),
  """"
)"),"#REF!")</f>
        <v>#REF!</v>
      </c>
    </row>
    <row r="2018" ht="18.75" customHeight="1">
      <c r="T2018" s="4"/>
      <c r="U2018" s="4"/>
      <c r="V2018" s="4">
        <f>IFERROR(__xludf.DUMMYFUNCTION("""COMPUTED_VALUE"""),6590.0)</f>
        <v>6590</v>
      </c>
      <c r="W2018" s="240" t="str">
        <f t="shared" si="1"/>
        <v/>
      </c>
      <c r="X2018" s="4" t="str">
        <f>IFERROR(__xludf.DUMMYFUNCTION("""COMPUTED_VALUE"""),"Prepare for Showcase")</f>
        <v>Prepare for Showcase</v>
      </c>
      <c r="Y2018" s="4" t="str">
        <f t="shared" si="2"/>
        <v/>
      </c>
      <c r="Z2018" s="4" t="str">
        <f>IFERROR(__xludf.DUMMYFUNCTION("IFERROR(
  FILTER('CBK Students'!O:O, TRIM('CBK Students'!B:B) = TRIM(A2018)),
  """"
)"),"#REF!")</f>
        <v>#REF!</v>
      </c>
      <c r="AA2018" s="4" t="str">
        <f>IFERROR(__xludf.DUMMYFUNCTION("IFERROR(
  FILTER('CBK Students'!P:P, TRIM('CBK Students'!B:B) = TRIM(A2018)),
  """"
)"),"#REF!")</f>
        <v>#REF!</v>
      </c>
      <c r="AB2018" s="4" t="str">
        <f>IFERROR(__xludf.DUMMYFUNCTION("IFERROR(
  FILTER('CBK Students'!Q:Q, TRIM('CBK Students'!B:B) = TRIM(A2018)),
  """"
)"),"#REF!")</f>
        <v>#REF!</v>
      </c>
    </row>
    <row r="2019" ht="18.75" customHeight="1">
      <c r="T2019" s="4"/>
      <c r="U2019" s="4"/>
      <c r="V2019" s="4">
        <f>IFERROR(__xludf.DUMMYFUNCTION("""COMPUTED_VALUE"""),6590.0)</f>
        <v>6590</v>
      </c>
      <c r="W2019" s="240" t="str">
        <f t="shared" si="1"/>
        <v/>
      </c>
      <c r="X2019" s="4" t="str">
        <f>IFERROR(__xludf.DUMMYFUNCTION("""COMPUTED_VALUE"""),"Prepare for Showcase")</f>
        <v>Prepare for Showcase</v>
      </c>
      <c r="Y2019" s="4" t="str">
        <f t="shared" si="2"/>
        <v/>
      </c>
      <c r="Z2019" s="4" t="str">
        <f>IFERROR(__xludf.DUMMYFUNCTION("IFERROR(
  FILTER('CBK Students'!O:O, TRIM('CBK Students'!B:B) = TRIM(A2019)),
  """"
)"),"#REF!")</f>
        <v>#REF!</v>
      </c>
      <c r="AA2019" s="4" t="str">
        <f>IFERROR(__xludf.DUMMYFUNCTION("IFERROR(
  FILTER('CBK Students'!P:P, TRIM('CBK Students'!B:B) = TRIM(A2019)),
  """"
)"),"#REF!")</f>
        <v>#REF!</v>
      </c>
      <c r="AB2019" s="4" t="str">
        <f>IFERROR(__xludf.DUMMYFUNCTION("IFERROR(
  FILTER('CBK Students'!Q:Q, TRIM('CBK Students'!B:B) = TRIM(A2019)),
  """"
)"),"#REF!")</f>
        <v>#REF!</v>
      </c>
    </row>
    <row r="2020" ht="18.75" customHeight="1">
      <c r="T2020" s="4"/>
      <c r="U2020" s="4"/>
      <c r="V2020" s="4">
        <f>IFERROR(__xludf.DUMMYFUNCTION("""COMPUTED_VALUE"""),6590.0)</f>
        <v>6590</v>
      </c>
      <c r="W2020" s="240" t="str">
        <f t="shared" si="1"/>
        <v/>
      </c>
      <c r="X2020" s="4" t="str">
        <f>IFERROR(__xludf.DUMMYFUNCTION("""COMPUTED_VALUE"""),"Prepare for Showcase")</f>
        <v>Prepare for Showcase</v>
      </c>
      <c r="Y2020" s="4" t="str">
        <f t="shared" si="2"/>
        <v/>
      </c>
      <c r="Z2020" s="4" t="str">
        <f>IFERROR(__xludf.DUMMYFUNCTION("IFERROR(
  FILTER('CBK Students'!O:O, TRIM('CBK Students'!B:B) = TRIM(A2020)),
  """"
)"),"#REF!")</f>
        <v>#REF!</v>
      </c>
      <c r="AA2020" s="4" t="str">
        <f>IFERROR(__xludf.DUMMYFUNCTION("IFERROR(
  FILTER('CBK Students'!P:P, TRIM('CBK Students'!B:B) = TRIM(A2020)),
  """"
)"),"#REF!")</f>
        <v>#REF!</v>
      </c>
      <c r="AB2020" s="4" t="str">
        <f>IFERROR(__xludf.DUMMYFUNCTION("IFERROR(
  FILTER('CBK Students'!Q:Q, TRIM('CBK Students'!B:B) = TRIM(A2020)),
  """"
)"),"#REF!")</f>
        <v>#REF!</v>
      </c>
    </row>
    <row r="2021" ht="18.75" customHeight="1">
      <c r="T2021" s="4"/>
      <c r="U2021" s="4"/>
      <c r="V2021" s="4">
        <f>IFERROR(__xludf.DUMMYFUNCTION("""COMPUTED_VALUE"""),6590.0)</f>
        <v>6590</v>
      </c>
      <c r="W2021" s="240" t="str">
        <f t="shared" si="1"/>
        <v/>
      </c>
      <c r="X2021" s="4" t="str">
        <f>IFERROR(__xludf.DUMMYFUNCTION("""COMPUTED_VALUE"""),"Prepare for Showcase")</f>
        <v>Prepare for Showcase</v>
      </c>
      <c r="Y2021" s="4" t="str">
        <f t="shared" si="2"/>
        <v/>
      </c>
      <c r="Z2021" s="4" t="str">
        <f>IFERROR(__xludf.DUMMYFUNCTION("IFERROR(
  FILTER('CBK Students'!O:O, TRIM('CBK Students'!B:B) = TRIM(A2021)),
  """"
)"),"#REF!")</f>
        <v>#REF!</v>
      </c>
      <c r="AA2021" s="4" t="str">
        <f>IFERROR(__xludf.DUMMYFUNCTION("IFERROR(
  FILTER('CBK Students'!P:P, TRIM('CBK Students'!B:B) = TRIM(A2021)),
  """"
)"),"#REF!")</f>
        <v>#REF!</v>
      </c>
      <c r="AB2021" s="4" t="str">
        <f>IFERROR(__xludf.DUMMYFUNCTION("IFERROR(
  FILTER('CBK Students'!Q:Q, TRIM('CBK Students'!B:B) = TRIM(A2021)),
  """"
)"),"#REF!")</f>
        <v>#REF!</v>
      </c>
    </row>
    <row r="2022" ht="18.75" customHeight="1">
      <c r="T2022" s="4"/>
      <c r="U2022" s="4"/>
      <c r="V2022" s="4">
        <f>IFERROR(__xludf.DUMMYFUNCTION("""COMPUTED_VALUE"""),6590.0)</f>
        <v>6590</v>
      </c>
      <c r="W2022" s="240" t="str">
        <f t="shared" si="1"/>
        <v/>
      </c>
      <c r="X2022" s="4" t="str">
        <f>IFERROR(__xludf.DUMMYFUNCTION("""COMPUTED_VALUE"""),"Prepare for Showcase")</f>
        <v>Prepare for Showcase</v>
      </c>
      <c r="Y2022" s="4" t="str">
        <f t="shared" si="2"/>
        <v/>
      </c>
      <c r="Z2022" s="4" t="str">
        <f>IFERROR(__xludf.DUMMYFUNCTION("IFERROR(
  FILTER('CBK Students'!O:O, TRIM('CBK Students'!B:B) = TRIM(A2022)),
  """"
)"),"#REF!")</f>
        <v>#REF!</v>
      </c>
      <c r="AA2022" s="4" t="str">
        <f>IFERROR(__xludf.DUMMYFUNCTION("IFERROR(
  FILTER('CBK Students'!P:P, TRIM('CBK Students'!B:B) = TRIM(A2022)),
  """"
)"),"#REF!")</f>
        <v>#REF!</v>
      </c>
      <c r="AB2022" s="4" t="str">
        <f>IFERROR(__xludf.DUMMYFUNCTION("IFERROR(
  FILTER('CBK Students'!Q:Q, TRIM('CBK Students'!B:B) = TRIM(A2022)),
  """"
)"),"#REF!")</f>
        <v>#REF!</v>
      </c>
    </row>
    <row r="2023" ht="18.75" customHeight="1">
      <c r="T2023" s="4"/>
      <c r="U2023" s="4"/>
      <c r="V2023" s="4">
        <f>IFERROR(__xludf.DUMMYFUNCTION("""COMPUTED_VALUE"""),6590.0)</f>
        <v>6590</v>
      </c>
      <c r="W2023" s="240" t="str">
        <f t="shared" si="1"/>
        <v/>
      </c>
      <c r="X2023" s="4" t="str">
        <f>IFERROR(__xludf.DUMMYFUNCTION("""COMPUTED_VALUE"""),"Prepare for Showcase")</f>
        <v>Prepare for Showcase</v>
      </c>
      <c r="Y2023" s="4" t="str">
        <f t="shared" si="2"/>
        <v/>
      </c>
      <c r="Z2023" s="4" t="str">
        <f>IFERROR(__xludf.DUMMYFUNCTION("IFERROR(
  FILTER('CBK Students'!O:O, TRIM('CBK Students'!B:B) = TRIM(A2023)),
  """"
)"),"#REF!")</f>
        <v>#REF!</v>
      </c>
      <c r="AA2023" s="4" t="str">
        <f>IFERROR(__xludf.DUMMYFUNCTION("IFERROR(
  FILTER('CBK Students'!P:P, TRIM('CBK Students'!B:B) = TRIM(A2023)),
  """"
)"),"#REF!")</f>
        <v>#REF!</v>
      </c>
      <c r="AB2023" s="4" t="str">
        <f>IFERROR(__xludf.DUMMYFUNCTION("IFERROR(
  FILTER('CBK Students'!Q:Q, TRIM('CBK Students'!B:B) = TRIM(A2023)),
  """"
)"),"#REF!")</f>
        <v>#REF!</v>
      </c>
    </row>
    <row r="2024" ht="18.75" customHeight="1">
      <c r="T2024" s="4"/>
      <c r="U2024" s="4"/>
      <c r="V2024" s="4">
        <f>IFERROR(__xludf.DUMMYFUNCTION("""COMPUTED_VALUE"""),6590.0)</f>
        <v>6590</v>
      </c>
      <c r="W2024" s="240" t="str">
        <f t="shared" si="1"/>
        <v/>
      </c>
      <c r="X2024" s="4" t="str">
        <f>IFERROR(__xludf.DUMMYFUNCTION("""COMPUTED_VALUE"""),"Prepare for Showcase")</f>
        <v>Prepare for Showcase</v>
      </c>
      <c r="Y2024" s="4" t="str">
        <f t="shared" si="2"/>
        <v/>
      </c>
      <c r="Z2024" s="4" t="str">
        <f>IFERROR(__xludf.DUMMYFUNCTION("IFERROR(
  FILTER('CBK Students'!O:O, TRIM('CBK Students'!B:B) = TRIM(A2024)),
  """"
)"),"#REF!")</f>
        <v>#REF!</v>
      </c>
      <c r="AA2024" s="4" t="str">
        <f>IFERROR(__xludf.DUMMYFUNCTION("IFERROR(
  FILTER('CBK Students'!P:P, TRIM('CBK Students'!B:B) = TRIM(A2024)),
  """"
)"),"#REF!")</f>
        <v>#REF!</v>
      </c>
      <c r="AB2024" s="4" t="str">
        <f>IFERROR(__xludf.DUMMYFUNCTION("IFERROR(
  FILTER('CBK Students'!Q:Q, TRIM('CBK Students'!B:B) = TRIM(A2024)),
  """"
)"),"#REF!")</f>
        <v>#REF!</v>
      </c>
    </row>
    <row r="2025" ht="18.75" customHeight="1">
      <c r="T2025" s="4"/>
      <c r="U2025" s="4"/>
      <c r="V2025" s="4">
        <f>IFERROR(__xludf.DUMMYFUNCTION("""COMPUTED_VALUE"""),6590.0)</f>
        <v>6590</v>
      </c>
      <c r="W2025" s="240" t="str">
        <f t="shared" si="1"/>
        <v/>
      </c>
      <c r="X2025" s="4" t="str">
        <f>IFERROR(__xludf.DUMMYFUNCTION("""COMPUTED_VALUE"""),"Prepare for Showcase")</f>
        <v>Prepare for Showcase</v>
      </c>
      <c r="Y2025" s="4" t="str">
        <f t="shared" si="2"/>
        <v/>
      </c>
      <c r="Z2025" s="4" t="str">
        <f>IFERROR(__xludf.DUMMYFUNCTION("IFERROR(
  FILTER('CBK Students'!O:O, TRIM('CBK Students'!B:B) = TRIM(A2025)),
  """"
)"),"#REF!")</f>
        <v>#REF!</v>
      </c>
      <c r="AA2025" s="4" t="str">
        <f>IFERROR(__xludf.DUMMYFUNCTION("IFERROR(
  FILTER('CBK Students'!P:P, TRIM('CBK Students'!B:B) = TRIM(A2025)),
  """"
)"),"#REF!")</f>
        <v>#REF!</v>
      </c>
      <c r="AB2025" s="4" t="str">
        <f>IFERROR(__xludf.DUMMYFUNCTION("IFERROR(
  FILTER('CBK Students'!Q:Q, TRIM('CBK Students'!B:B) = TRIM(A2025)),
  """"
)"),"#REF!")</f>
        <v>#REF!</v>
      </c>
    </row>
    <row r="2026" ht="18.75" customHeight="1">
      <c r="T2026" s="4"/>
      <c r="U2026" s="4"/>
      <c r="V2026" s="4">
        <f>IFERROR(__xludf.DUMMYFUNCTION("""COMPUTED_VALUE"""),6590.0)</f>
        <v>6590</v>
      </c>
      <c r="W2026" s="240" t="str">
        <f t="shared" si="1"/>
        <v/>
      </c>
      <c r="X2026" s="4" t="str">
        <f>IFERROR(__xludf.DUMMYFUNCTION("""COMPUTED_VALUE"""),"Prepare for Showcase")</f>
        <v>Prepare for Showcase</v>
      </c>
      <c r="Y2026" s="4" t="str">
        <f t="shared" si="2"/>
        <v/>
      </c>
      <c r="Z2026" s="4" t="str">
        <f>IFERROR(__xludf.DUMMYFUNCTION("IFERROR(
  FILTER('CBK Students'!O:O, TRIM('CBK Students'!B:B) = TRIM(A2026)),
  """"
)"),"#REF!")</f>
        <v>#REF!</v>
      </c>
      <c r="AA2026" s="4" t="str">
        <f>IFERROR(__xludf.DUMMYFUNCTION("IFERROR(
  FILTER('CBK Students'!P:P, TRIM('CBK Students'!B:B) = TRIM(A2026)),
  """"
)"),"#REF!")</f>
        <v>#REF!</v>
      </c>
      <c r="AB2026" s="4" t="str">
        <f>IFERROR(__xludf.DUMMYFUNCTION("IFERROR(
  FILTER('CBK Students'!Q:Q, TRIM('CBK Students'!B:B) = TRIM(A2026)),
  """"
)"),"#REF!")</f>
        <v>#REF!</v>
      </c>
    </row>
    <row r="2027" ht="18.75" customHeight="1">
      <c r="T2027" s="4"/>
      <c r="U2027" s="4"/>
      <c r="V2027" s="4">
        <f>IFERROR(__xludf.DUMMYFUNCTION("""COMPUTED_VALUE"""),6590.0)</f>
        <v>6590</v>
      </c>
      <c r="W2027" s="240" t="str">
        <f t="shared" si="1"/>
        <v/>
      </c>
      <c r="X2027" s="4" t="str">
        <f>IFERROR(__xludf.DUMMYFUNCTION("""COMPUTED_VALUE"""),"Prepare for Showcase")</f>
        <v>Prepare for Showcase</v>
      </c>
      <c r="Y2027" s="4" t="str">
        <f t="shared" si="2"/>
        <v/>
      </c>
      <c r="Z2027" s="4" t="str">
        <f>IFERROR(__xludf.DUMMYFUNCTION("IFERROR(
  FILTER('CBK Students'!O:O, TRIM('CBK Students'!B:B) = TRIM(A2027)),
  """"
)"),"#REF!")</f>
        <v>#REF!</v>
      </c>
      <c r="AA2027" s="4" t="str">
        <f>IFERROR(__xludf.DUMMYFUNCTION("IFERROR(
  FILTER('CBK Students'!P:P, TRIM('CBK Students'!B:B) = TRIM(A2027)),
  """"
)"),"#REF!")</f>
        <v>#REF!</v>
      </c>
      <c r="AB2027" s="4" t="str">
        <f>IFERROR(__xludf.DUMMYFUNCTION("IFERROR(
  FILTER('CBK Students'!Q:Q, TRIM('CBK Students'!B:B) = TRIM(A2027)),
  """"
)"),"#REF!")</f>
        <v>#REF!</v>
      </c>
    </row>
    <row r="2028" ht="18.75" customHeight="1">
      <c r="T2028" s="4"/>
      <c r="U2028" s="4"/>
      <c r="V2028" s="4">
        <f>IFERROR(__xludf.DUMMYFUNCTION("""COMPUTED_VALUE"""),6590.0)</f>
        <v>6590</v>
      </c>
      <c r="W2028" s="240" t="str">
        <f t="shared" si="1"/>
        <v/>
      </c>
      <c r="X2028" s="4" t="str">
        <f>IFERROR(__xludf.DUMMYFUNCTION("""COMPUTED_VALUE"""),"Prepare for Showcase")</f>
        <v>Prepare for Showcase</v>
      </c>
      <c r="Y2028" s="4" t="str">
        <f t="shared" si="2"/>
        <v/>
      </c>
      <c r="Z2028" s="4" t="str">
        <f>IFERROR(__xludf.DUMMYFUNCTION("IFERROR(
  FILTER('CBK Students'!O:O, TRIM('CBK Students'!B:B) = TRIM(A2028)),
  """"
)"),"#REF!")</f>
        <v>#REF!</v>
      </c>
      <c r="AA2028" s="4" t="str">
        <f>IFERROR(__xludf.DUMMYFUNCTION("IFERROR(
  FILTER('CBK Students'!P:P, TRIM('CBK Students'!B:B) = TRIM(A2028)),
  """"
)"),"#REF!")</f>
        <v>#REF!</v>
      </c>
      <c r="AB2028" s="4" t="str">
        <f>IFERROR(__xludf.DUMMYFUNCTION("IFERROR(
  FILTER('CBK Students'!Q:Q, TRIM('CBK Students'!B:B) = TRIM(A2028)),
  """"
)"),"#REF!")</f>
        <v>#REF!</v>
      </c>
    </row>
    <row r="2029" ht="18.75" customHeight="1">
      <c r="T2029" s="4"/>
      <c r="U2029" s="4"/>
      <c r="V2029" s="4">
        <f>IFERROR(__xludf.DUMMYFUNCTION("""COMPUTED_VALUE"""),6590.0)</f>
        <v>6590</v>
      </c>
      <c r="W2029" s="240" t="str">
        <f t="shared" si="1"/>
        <v/>
      </c>
      <c r="X2029" s="4" t="str">
        <f>IFERROR(__xludf.DUMMYFUNCTION("""COMPUTED_VALUE"""),"Prepare for Showcase")</f>
        <v>Prepare for Showcase</v>
      </c>
      <c r="Y2029" s="4" t="str">
        <f t="shared" si="2"/>
        <v/>
      </c>
      <c r="Z2029" s="4" t="str">
        <f>IFERROR(__xludf.DUMMYFUNCTION("IFERROR(
  FILTER('CBK Students'!O:O, TRIM('CBK Students'!B:B) = TRIM(A2029)),
  """"
)"),"#REF!")</f>
        <v>#REF!</v>
      </c>
      <c r="AA2029" s="4" t="str">
        <f>IFERROR(__xludf.DUMMYFUNCTION("IFERROR(
  FILTER('CBK Students'!P:P, TRIM('CBK Students'!B:B) = TRIM(A2029)),
  """"
)"),"#REF!")</f>
        <v>#REF!</v>
      </c>
      <c r="AB2029" s="4" t="str">
        <f>IFERROR(__xludf.DUMMYFUNCTION("IFERROR(
  FILTER('CBK Students'!Q:Q, TRIM('CBK Students'!B:B) = TRIM(A2029)),
  """"
)"),"#REF!")</f>
        <v>#REF!</v>
      </c>
    </row>
    <row r="2030" ht="18.75" customHeight="1">
      <c r="T2030" s="4"/>
      <c r="U2030" s="4"/>
      <c r="V2030" s="4">
        <f>IFERROR(__xludf.DUMMYFUNCTION("""COMPUTED_VALUE"""),6590.0)</f>
        <v>6590</v>
      </c>
      <c r="W2030" s="240" t="str">
        <f t="shared" si="1"/>
        <v/>
      </c>
      <c r="X2030" s="4" t="str">
        <f>IFERROR(__xludf.DUMMYFUNCTION("""COMPUTED_VALUE"""),"Prepare for Showcase")</f>
        <v>Prepare for Showcase</v>
      </c>
      <c r="Y2030" s="4" t="str">
        <f t="shared" si="2"/>
        <v/>
      </c>
      <c r="Z2030" s="4" t="str">
        <f>IFERROR(__xludf.DUMMYFUNCTION("IFERROR(
  FILTER('CBK Students'!O:O, TRIM('CBK Students'!B:B) = TRIM(A2030)),
  """"
)"),"#REF!")</f>
        <v>#REF!</v>
      </c>
      <c r="AA2030" s="4" t="str">
        <f>IFERROR(__xludf.DUMMYFUNCTION("IFERROR(
  FILTER('CBK Students'!P:P, TRIM('CBK Students'!B:B) = TRIM(A2030)),
  """"
)"),"#REF!")</f>
        <v>#REF!</v>
      </c>
      <c r="AB2030" s="4" t="str">
        <f>IFERROR(__xludf.DUMMYFUNCTION("IFERROR(
  FILTER('CBK Students'!Q:Q, TRIM('CBK Students'!B:B) = TRIM(A2030)),
  """"
)"),"#REF!")</f>
        <v>#REF!</v>
      </c>
    </row>
    <row r="2031" ht="18.75" customHeight="1">
      <c r="T2031" s="4"/>
      <c r="U2031" s="4"/>
      <c r="V2031" s="4">
        <f>IFERROR(__xludf.DUMMYFUNCTION("""COMPUTED_VALUE"""),6590.0)</f>
        <v>6590</v>
      </c>
      <c r="W2031" s="240" t="str">
        <f t="shared" si="1"/>
        <v/>
      </c>
      <c r="X2031" s="4" t="str">
        <f>IFERROR(__xludf.DUMMYFUNCTION("""COMPUTED_VALUE"""),"Prepare for Showcase")</f>
        <v>Prepare for Showcase</v>
      </c>
      <c r="Y2031" s="4" t="str">
        <f t="shared" si="2"/>
        <v/>
      </c>
      <c r="Z2031" s="4" t="str">
        <f>IFERROR(__xludf.DUMMYFUNCTION("IFERROR(
  FILTER('CBK Students'!O:O, TRIM('CBK Students'!B:B) = TRIM(A2031)),
  """"
)"),"#REF!")</f>
        <v>#REF!</v>
      </c>
      <c r="AA2031" s="4" t="str">
        <f>IFERROR(__xludf.DUMMYFUNCTION("IFERROR(
  FILTER('CBK Students'!P:P, TRIM('CBK Students'!B:B) = TRIM(A2031)),
  """"
)"),"#REF!")</f>
        <v>#REF!</v>
      </c>
      <c r="AB2031" s="4" t="str">
        <f>IFERROR(__xludf.DUMMYFUNCTION("IFERROR(
  FILTER('CBK Students'!Q:Q, TRIM('CBK Students'!B:B) = TRIM(A2031)),
  """"
)"),"#REF!")</f>
        <v>#REF!</v>
      </c>
    </row>
    <row r="2032" ht="18.75" customHeight="1">
      <c r="T2032" s="4"/>
      <c r="U2032" s="4"/>
      <c r="V2032" s="4">
        <f>IFERROR(__xludf.DUMMYFUNCTION("""COMPUTED_VALUE"""),6590.0)</f>
        <v>6590</v>
      </c>
      <c r="W2032" s="240" t="str">
        <f t="shared" si="1"/>
        <v/>
      </c>
      <c r="X2032" s="4" t="str">
        <f>IFERROR(__xludf.DUMMYFUNCTION("""COMPUTED_VALUE"""),"Prepare for Showcase")</f>
        <v>Prepare for Showcase</v>
      </c>
      <c r="Y2032" s="4" t="str">
        <f t="shared" si="2"/>
        <v/>
      </c>
      <c r="Z2032" s="4" t="str">
        <f>IFERROR(__xludf.DUMMYFUNCTION("IFERROR(
  FILTER('CBK Students'!O:O, TRIM('CBK Students'!B:B) = TRIM(A2032)),
  """"
)"),"#REF!")</f>
        <v>#REF!</v>
      </c>
      <c r="AA2032" s="4" t="str">
        <f>IFERROR(__xludf.DUMMYFUNCTION("IFERROR(
  FILTER('CBK Students'!P:P, TRIM('CBK Students'!B:B) = TRIM(A2032)),
  """"
)"),"#REF!")</f>
        <v>#REF!</v>
      </c>
      <c r="AB2032" s="4" t="str">
        <f>IFERROR(__xludf.DUMMYFUNCTION("IFERROR(
  FILTER('CBK Students'!Q:Q, TRIM('CBK Students'!B:B) = TRIM(A2032)),
  """"
)"),"#REF!")</f>
        <v>#REF!</v>
      </c>
    </row>
    <row r="2033" ht="18.75" customHeight="1">
      <c r="T2033" s="4"/>
      <c r="U2033" s="4"/>
      <c r="V2033" s="4">
        <f>IFERROR(__xludf.DUMMYFUNCTION("""COMPUTED_VALUE"""),6590.0)</f>
        <v>6590</v>
      </c>
      <c r="W2033" s="240" t="str">
        <f t="shared" si="1"/>
        <v/>
      </c>
      <c r="X2033" s="4" t="str">
        <f>IFERROR(__xludf.DUMMYFUNCTION("""COMPUTED_VALUE"""),"Prepare for Showcase")</f>
        <v>Prepare for Showcase</v>
      </c>
      <c r="Y2033" s="4" t="str">
        <f t="shared" si="2"/>
        <v/>
      </c>
      <c r="Z2033" s="4" t="str">
        <f>IFERROR(__xludf.DUMMYFUNCTION("IFERROR(
  FILTER('CBK Students'!O:O, TRIM('CBK Students'!B:B) = TRIM(A2033)),
  """"
)"),"#REF!")</f>
        <v>#REF!</v>
      </c>
      <c r="AA2033" s="4" t="str">
        <f>IFERROR(__xludf.DUMMYFUNCTION("IFERROR(
  FILTER('CBK Students'!P:P, TRIM('CBK Students'!B:B) = TRIM(A2033)),
  """"
)"),"#REF!")</f>
        <v>#REF!</v>
      </c>
      <c r="AB2033" s="4" t="str">
        <f>IFERROR(__xludf.DUMMYFUNCTION("IFERROR(
  FILTER('CBK Students'!Q:Q, TRIM('CBK Students'!B:B) = TRIM(A2033)),
  """"
)"),"#REF!")</f>
        <v>#REF!</v>
      </c>
    </row>
    <row r="2034" ht="18.75" customHeight="1">
      <c r="T2034" s="4"/>
      <c r="U2034" s="4"/>
      <c r="V2034" s="4">
        <f>IFERROR(__xludf.DUMMYFUNCTION("""COMPUTED_VALUE"""),6590.0)</f>
        <v>6590</v>
      </c>
      <c r="W2034" s="240" t="str">
        <f t="shared" si="1"/>
        <v/>
      </c>
      <c r="X2034" s="4" t="str">
        <f>IFERROR(__xludf.DUMMYFUNCTION("""COMPUTED_VALUE"""),"Prepare for Showcase")</f>
        <v>Prepare for Showcase</v>
      </c>
      <c r="Y2034" s="4" t="str">
        <f t="shared" si="2"/>
        <v/>
      </c>
      <c r="Z2034" s="4" t="str">
        <f>IFERROR(__xludf.DUMMYFUNCTION("IFERROR(
  FILTER('CBK Students'!O:O, TRIM('CBK Students'!B:B) = TRIM(A2034)),
  """"
)"),"#REF!")</f>
        <v>#REF!</v>
      </c>
      <c r="AA2034" s="4" t="str">
        <f>IFERROR(__xludf.DUMMYFUNCTION("IFERROR(
  FILTER('CBK Students'!P:P, TRIM('CBK Students'!B:B) = TRIM(A2034)),
  """"
)"),"#REF!")</f>
        <v>#REF!</v>
      </c>
      <c r="AB2034" s="4" t="str">
        <f>IFERROR(__xludf.DUMMYFUNCTION("IFERROR(
  FILTER('CBK Students'!Q:Q, TRIM('CBK Students'!B:B) = TRIM(A2034)),
  """"
)"),"#REF!")</f>
        <v>#REF!</v>
      </c>
    </row>
    <row r="2035" ht="18.75" customHeight="1">
      <c r="T2035" s="4"/>
      <c r="U2035" s="4"/>
      <c r="V2035" s="4">
        <f>IFERROR(__xludf.DUMMYFUNCTION("""COMPUTED_VALUE"""),6590.0)</f>
        <v>6590</v>
      </c>
      <c r="W2035" s="240" t="str">
        <f t="shared" si="1"/>
        <v/>
      </c>
      <c r="X2035" s="4" t="str">
        <f>IFERROR(__xludf.DUMMYFUNCTION("""COMPUTED_VALUE"""),"Prepare for Showcase")</f>
        <v>Prepare for Showcase</v>
      </c>
      <c r="Y2035" s="4" t="str">
        <f t="shared" si="2"/>
        <v/>
      </c>
      <c r="Z2035" s="4" t="str">
        <f>IFERROR(__xludf.DUMMYFUNCTION("IFERROR(
  FILTER('CBK Students'!O:O, TRIM('CBK Students'!B:B) = TRIM(A2035)),
  """"
)"),"#REF!")</f>
        <v>#REF!</v>
      </c>
      <c r="AA2035" s="4" t="str">
        <f>IFERROR(__xludf.DUMMYFUNCTION("IFERROR(
  FILTER('CBK Students'!P:P, TRIM('CBK Students'!B:B) = TRIM(A2035)),
  """"
)"),"#REF!")</f>
        <v>#REF!</v>
      </c>
      <c r="AB2035" s="4" t="str">
        <f>IFERROR(__xludf.DUMMYFUNCTION("IFERROR(
  FILTER('CBK Students'!Q:Q, TRIM('CBK Students'!B:B) = TRIM(A2035)),
  """"
)"),"#REF!")</f>
        <v>#REF!</v>
      </c>
    </row>
    <row r="2036" ht="18.75" customHeight="1">
      <c r="T2036" s="4"/>
      <c r="U2036" s="4"/>
      <c r="V2036" s="4">
        <f>IFERROR(__xludf.DUMMYFUNCTION("""COMPUTED_VALUE"""),6590.0)</f>
        <v>6590</v>
      </c>
      <c r="W2036" s="240" t="str">
        <f t="shared" si="1"/>
        <v/>
      </c>
      <c r="X2036" s="4" t="str">
        <f>IFERROR(__xludf.DUMMYFUNCTION("""COMPUTED_VALUE"""),"Prepare for Showcase")</f>
        <v>Prepare for Showcase</v>
      </c>
      <c r="Y2036" s="4" t="str">
        <f t="shared" si="2"/>
        <v/>
      </c>
      <c r="Z2036" s="4" t="str">
        <f>IFERROR(__xludf.DUMMYFUNCTION("IFERROR(
  FILTER('CBK Students'!O:O, TRIM('CBK Students'!B:B) = TRIM(A2036)),
  """"
)"),"#REF!")</f>
        <v>#REF!</v>
      </c>
      <c r="AA2036" s="4" t="str">
        <f>IFERROR(__xludf.DUMMYFUNCTION("IFERROR(
  FILTER('CBK Students'!P:P, TRIM('CBK Students'!B:B) = TRIM(A2036)),
  """"
)"),"#REF!")</f>
        <v>#REF!</v>
      </c>
      <c r="AB2036" s="4" t="str">
        <f>IFERROR(__xludf.DUMMYFUNCTION("IFERROR(
  FILTER('CBK Students'!Q:Q, TRIM('CBK Students'!B:B) = TRIM(A2036)),
  """"
)"),"#REF!")</f>
        <v>#REF!</v>
      </c>
    </row>
    <row r="2037" ht="18.75" customHeight="1">
      <c r="T2037" s="4"/>
      <c r="U2037" s="4"/>
      <c r="V2037" s="4">
        <f>IFERROR(__xludf.DUMMYFUNCTION("""COMPUTED_VALUE"""),6590.0)</f>
        <v>6590</v>
      </c>
      <c r="W2037" s="240" t="str">
        <f t="shared" si="1"/>
        <v/>
      </c>
      <c r="X2037" s="4" t="str">
        <f>IFERROR(__xludf.DUMMYFUNCTION("""COMPUTED_VALUE"""),"Prepare for Showcase")</f>
        <v>Prepare for Showcase</v>
      </c>
      <c r="Y2037" s="4" t="str">
        <f t="shared" si="2"/>
        <v/>
      </c>
      <c r="Z2037" s="4" t="str">
        <f>IFERROR(__xludf.DUMMYFUNCTION("IFERROR(
  FILTER('CBK Students'!O:O, TRIM('CBK Students'!B:B) = TRIM(A2037)),
  """"
)"),"#REF!")</f>
        <v>#REF!</v>
      </c>
      <c r="AA2037" s="4" t="str">
        <f>IFERROR(__xludf.DUMMYFUNCTION("IFERROR(
  FILTER('CBK Students'!P:P, TRIM('CBK Students'!B:B) = TRIM(A2037)),
  """"
)"),"#REF!")</f>
        <v>#REF!</v>
      </c>
      <c r="AB2037" s="4" t="str">
        <f>IFERROR(__xludf.DUMMYFUNCTION("IFERROR(
  FILTER('CBK Students'!Q:Q, TRIM('CBK Students'!B:B) = TRIM(A2037)),
  """"
)"),"#REF!")</f>
        <v>#REF!</v>
      </c>
    </row>
    <row r="2038" ht="18.75" customHeight="1">
      <c r="T2038" s="4"/>
      <c r="U2038" s="4"/>
      <c r="V2038" s="4">
        <f>IFERROR(__xludf.DUMMYFUNCTION("""COMPUTED_VALUE"""),6590.0)</f>
        <v>6590</v>
      </c>
      <c r="W2038" s="240" t="str">
        <f t="shared" si="1"/>
        <v/>
      </c>
      <c r="X2038" s="4" t="str">
        <f>IFERROR(__xludf.DUMMYFUNCTION("""COMPUTED_VALUE"""),"Prepare for Showcase")</f>
        <v>Prepare for Showcase</v>
      </c>
      <c r="Y2038" s="4" t="str">
        <f t="shared" si="2"/>
        <v/>
      </c>
      <c r="Z2038" s="4" t="str">
        <f>IFERROR(__xludf.DUMMYFUNCTION("IFERROR(
  FILTER('CBK Students'!O:O, TRIM('CBK Students'!B:B) = TRIM(A2038)),
  """"
)"),"#REF!")</f>
        <v>#REF!</v>
      </c>
      <c r="AA2038" s="4" t="str">
        <f>IFERROR(__xludf.DUMMYFUNCTION("IFERROR(
  FILTER('CBK Students'!P:P, TRIM('CBK Students'!B:B) = TRIM(A2038)),
  """"
)"),"#REF!")</f>
        <v>#REF!</v>
      </c>
      <c r="AB2038" s="4" t="str">
        <f>IFERROR(__xludf.DUMMYFUNCTION("IFERROR(
  FILTER('CBK Students'!Q:Q, TRIM('CBK Students'!B:B) = TRIM(A2038)),
  """"
)"),"#REF!")</f>
        <v>#REF!</v>
      </c>
    </row>
    <row r="2039" ht="18.75" customHeight="1">
      <c r="T2039" s="4"/>
      <c r="U2039" s="4"/>
      <c r="V2039" s="4">
        <f>IFERROR(__xludf.DUMMYFUNCTION("""COMPUTED_VALUE"""),6590.0)</f>
        <v>6590</v>
      </c>
      <c r="W2039" s="240" t="str">
        <f t="shared" si="1"/>
        <v/>
      </c>
      <c r="X2039" s="4" t="str">
        <f>IFERROR(__xludf.DUMMYFUNCTION("""COMPUTED_VALUE"""),"Prepare for Showcase")</f>
        <v>Prepare for Showcase</v>
      </c>
      <c r="Y2039" s="4" t="str">
        <f t="shared" si="2"/>
        <v/>
      </c>
      <c r="Z2039" s="4" t="str">
        <f>IFERROR(__xludf.DUMMYFUNCTION("IFERROR(
  FILTER('CBK Students'!O:O, TRIM('CBK Students'!B:B) = TRIM(A2039)),
  """"
)"),"#REF!")</f>
        <v>#REF!</v>
      </c>
      <c r="AA2039" s="4" t="str">
        <f>IFERROR(__xludf.DUMMYFUNCTION("IFERROR(
  FILTER('CBK Students'!P:P, TRIM('CBK Students'!B:B) = TRIM(A2039)),
  """"
)"),"#REF!")</f>
        <v>#REF!</v>
      </c>
      <c r="AB2039" s="4" t="str">
        <f>IFERROR(__xludf.DUMMYFUNCTION("IFERROR(
  FILTER('CBK Students'!Q:Q, TRIM('CBK Students'!B:B) = TRIM(A2039)),
  """"
)"),"#REF!")</f>
        <v>#REF!</v>
      </c>
    </row>
    <row r="2040" ht="18.75" customHeight="1">
      <c r="T2040" s="4"/>
      <c r="U2040" s="4"/>
      <c r="V2040" s="4">
        <f>IFERROR(__xludf.DUMMYFUNCTION("""COMPUTED_VALUE"""),6590.0)</f>
        <v>6590</v>
      </c>
      <c r="W2040" s="240" t="str">
        <f t="shared" si="1"/>
        <v/>
      </c>
      <c r="X2040" s="4" t="str">
        <f>IFERROR(__xludf.DUMMYFUNCTION("""COMPUTED_VALUE"""),"Prepare for Showcase")</f>
        <v>Prepare for Showcase</v>
      </c>
      <c r="Y2040" s="4" t="str">
        <f t="shared" si="2"/>
        <v/>
      </c>
      <c r="Z2040" s="4" t="str">
        <f>IFERROR(__xludf.DUMMYFUNCTION("IFERROR(
  FILTER('CBK Students'!O:O, TRIM('CBK Students'!B:B) = TRIM(A2040)),
  """"
)"),"#REF!")</f>
        <v>#REF!</v>
      </c>
      <c r="AA2040" s="4" t="str">
        <f>IFERROR(__xludf.DUMMYFUNCTION("IFERROR(
  FILTER('CBK Students'!P:P, TRIM('CBK Students'!B:B) = TRIM(A2040)),
  """"
)"),"#REF!")</f>
        <v>#REF!</v>
      </c>
      <c r="AB2040" s="4" t="str">
        <f>IFERROR(__xludf.DUMMYFUNCTION("IFERROR(
  FILTER('CBK Students'!Q:Q, TRIM('CBK Students'!B:B) = TRIM(A2040)),
  """"
)"),"#REF!")</f>
        <v>#REF!</v>
      </c>
    </row>
    <row r="2041" ht="18.75" customHeight="1">
      <c r="T2041" s="4"/>
      <c r="U2041" s="4"/>
      <c r="V2041" s="4">
        <f>IFERROR(__xludf.DUMMYFUNCTION("""COMPUTED_VALUE"""),6590.0)</f>
        <v>6590</v>
      </c>
      <c r="W2041" s="240" t="str">
        <f t="shared" si="1"/>
        <v/>
      </c>
      <c r="X2041" s="4" t="str">
        <f>IFERROR(__xludf.DUMMYFUNCTION("""COMPUTED_VALUE"""),"Prepare for Showcase")</f>
        <v>Prepare for Showcase</v>
      </c>
      <c r="Y2041" s="4" t="str">
        <f t="shared" si="2"/>
        <v/>
      </c>
      <c r="Z2041" s="4" t="str">
        <f>IFERROR(__xludf.DUMMYFUNCTION("IFERROR(
  FILTER('CBK Students'!O:O, TRIM('CBK Students'!B:B) = TRIM(A2041)),
  """"
)"),"#REF!")</f>
        <v>#REF!</v>
      </c>
      <c r="AA2041" s="4" t="str">
        <f>IFERROR(__xludf.DUMMYFUNCTION("IFERROR(
  FILTER('CBK Students'!P:P, TRIM('CBK Students'!B:B) = TRIM(A2041)),
  """"
)"),"#REF!")</f>
        <v>#REF!</v>
      </c>
      <c r="AB2041" s="4" t="str">
        <f>IFERROR(__xludf.DUMMYFUNCTION("IFERROR(
  FILTER('CBK Students'!Q:Q, TRIM('CBK Students'!B:B) = TRIM(A2041)),
  """"
)"),"#REF!")</f>
        <v>#REF!</v>
      </c>
    </row>
    <row r="2042" ht="18.75" customHeight="1">
      <c r="T2042" s="4"/>
      <c r="U2042" s="4"/>
      <c r="V2042" s="4">
        <f>IFERROR(__xludf.DUMMYFUNCTION("""COMPUTED_VALUE"""),6590.0)</f>
        <v>6590</v>
      </c>
      <c r="W2042" s="240" t="str">
        <f t="shared" si="1"/>
        <v/>
      </c>
      <c r="X2042" s="4" t="str">
        <f>IFERROR(__xludf.DUMMYFUNCTION("""COMPUTED_VALUE"""),"Prepare for Showcase")</f>
        <v>Prepare for Showcase</v>
      </c>
      <c r="Y2042" s="4" t="str">
        <f t="shared" si="2"/>
        <v/>
      </c>
      <c r="Z2042" s="4" t="str">
        <f>IFERROR(__xludf.DUMMYFUNCTION("IFERROR(
  FILTER('CBK Students'!O:O, TRIM('CBK Students'!B:B) = TRIM(A2042)),
  """"
)"),"#REF!")</f>
        <v>#REF!</v>
      </c>
      <c r="AA2042" s="4" t="str">
        <f>IFERROR(__xludf.DUMMYFUNCTION("IFERROR(
  FILTER('CBK Students'!P:P, TRIM('CBK Students'!B:B) = TRIM(A2042)),
  """"
)"),"#REF!")</f>
        <v>#REF!</v>
      </c>
      <c r="AB2042" s="4" t="str">
        <f>IFERROR(__xludf.DUMMYFUNCTION("IFERROR(
  FILTER('CBK Students'!Q:Q, TRIM('CBK Students'!B:B) = TRIM(A2042)),
  """"
)"),"#REF!")</f>
        <v>#REF!</v>
      </c>
    </row>
    <row r="2043" ht="18.75" customHeight="1">
      <c r="T2043" s="4"/>
      <c r="U2043" s="4"/>
      <c r="V2043" s="4">
        <f>IFERROR(__xludf.DUMMYFUNCTION("""COMPUTED_VALUE"""),6590.0)</f>
        <v>6590</v>
      </c>
      <c r="W2043" s="240" t="str">
        <f t="shared" si="1"/>
        <v/>
      </c>
      <c r="X2043" s="4" t="str">
        <f>IFERROR(__xludf.DUMMYFUNCTION("""COMPUTED_VALUE"""),"Prepare for Showcase")</f>
        <v>Prepare for Showcase</v>
      </c>
      <c r="Y2043" s="4" t="str">
        <f t="shared" si="2"/>
        <v/>
      </c>
      <c r="Z2043" s="4" t="str">
        <f>IFERROR(__xludf.DUMMYFUNCTION("IFERROR(
  FILTER('CBK Students'!O:O, TRIM('CBK Students'!B:B) = TRIM(A2043)),
  """"
)"),"#REF!")</f>
        <v>#REF!</v>
      </c>
      <c r="AA2043" s="4" t="str">
        <f>IFERROR(__xludf.DUMMYFUNCTION("IFERROR(
  FILTER('CBK Students'!P:P, TRIM('CBK Students'!B:B) = TRIM(A2043)),
  """"
)"),"#REF!")</f>
        <v>#REF!</v>
      </c>
      <c r="AB2043" s="4" t="str">
        <f>IFERROR(__xludf.DUMMYFUNCTION("IFERROR(
  FILTER('CBK Students'!Q:Q, TRIM('CBK Students'!B:B) = TRIM(A2043)),
  """"
)"),"#REF!")</f>
        <v>#REF!</v>
      </c>
    </row>
    <row r="2044" ht="18.75" customHeight="1">
      <c r="T2044" s="4"/>
      <c r="U2044" s="4"/>
      <c r="V2044" s="4">
        <f>IFERROR(__xludf.DUMMYFUNCTION("""COMPUTED_VALUE"""),6590.0)</f>
        <v>6590</v>
      </c>
      <c r="W2044" s="240" t="str">
        <f t="shared" si="1"/>
        <v/>
      </c>
      <c r="X2044" s="4" t="str">
        <f>IFERROR(__xludf.DUMMYFUNCTION("""COMPUTED_VALUE"""),"Prepare for Showcase")</f>
        <v>Prepare for Showcase</v>
      </c>
      <c r="Y2044" s="4" t="str">
        <f t="shared" si="2"/>
        <v/>
      </c>
      <c r="Z2044" s="4" t="str">
        <f>IFERROR(__xludf.DUMMYFUNCTION("IFERROR(
  FILTER('CBK Students'!O:O, TRIM('CBK Students'!B:B) = TRIM(A2044)),
  """"
)"),"#REF!")</f>
        <v>#REF!</v>
      </c>
      <c r="AA2044" s="4" t="str">
        <f>IFERROR(__xludf.DUMMYFUNCTION("IFERROR(
  FILTER('CBK Students'!P:P, TRIM('CBK Students'!B:B) = TRIM(A2044)),
  """"
)"),"#REF!")</f>
        <v>#REF!</v>
      </c>
      <c r="AB2044" s="4" t="str">
        <f>IFERROR(__xludf.DUMMYFUNCTION("IFERROR(
  FILTER('CBK Students'!Q:Q, TRIM('CBK Students'!B:B) = TRIM(A2044)),
  """"
)"),"#REF!")</f>
        <v>#REF!</v>
      </c>
    </row>
    <row r="2045" ht="18.75" customHeight="1">
      <c r="T2045" s="4"/>
      <c r="U2045" s="4"/>
      <c r="V2045" s="4">
        <f>IFERROR(__xludf.DUMMYFUNCTION("""COMPUTED_VALUE"""),6590.0)</f>
        <v>6590</v>
      </c>
      <c r="W2045" s="240" t="str">
        <f t="shared" si="1"/>
        <v/>
      </c>
      <c r="X2045" s="4" t="str">
        <f>IFERROR(__xludf.DUMMYFUNCTION("""COMPUTED_VALUE"""),"Prepare for Showcase")</f>
        <v>Prepare for Showcase</v>
      </c>
      <c r="Y2045" s="4" t="str">
        <f t="shared" si="2"/>
        <v/>
      </c>
      <c r="Z2045" s="4" t="str">
        <f>IFERROR(__xludf.DUMMYFUNCTION("IFERROR(
  FILTER('CBK Students'!O:O, TRIM('CBK Students'!B:B) = TRIM(A2045)),
  """"
)"),"#REF!")</f>
        <v>#REF!</v>
      </c>
      <c r="AA2045" s="4" t="str">
        <f>IFERROR(__xludf.DUMMYFUNCTION("IFERROR(
  FILTER('CBK Students'!P:P, TRIM('CBK Students'!B:B) = TRIM(A2045)),
  """"
)"),"#REF!")</f>
        <v>#REF!</v>
      </c>
      <c r="AB2045" s="4" t="str">
        <f>IFERROR(__xludf.DUMMYFUNCTION("IFERROR(
  FILTER('CBK Students'!Q:Q, TRIM('CBK Students'!B:B) = TRIM(A2045)),
  """"
)"),"#REF!")</f>
        <v>#REF!</v>
      </c>
    </row>
    <row r="2046" ht="18.75" customHeight="1">
      <c r="T2046" s="4"/>
      <c r="U2046" s="4"/>
      <c r="V2046" s="4">
        <f>IFERROR(__xludf.DUMMYFUNCTION("""COMPUTED_VALUE"""),6590.0)</f>
        <v>6590</v>
      </c>
      <c r="W2046" s="240" t="str">
        <f t="shared" si="1"/>
        <v/>
      </c>
      <c r="X2046" s="4" t="str">
        <f>IFERROR(__xludf.DUMMYFUNCTION("""COMPUTED_VALUE"""),"Prepare for Showcase")</f>
        <v>Prepare for Showcase</v>
      </c>
      <c r="Y2046" s="4" t="str">
        <f t="shared" si="2"/>
        <v/>
      </c>
      <c r="Z2046" s="4" t="str">
        <f>IFERROR(__xludf.DUMMYFUNCTION("IFERROR(
  FILTER('CBK Students'!O:O, TRIM('CBK Students'!B:B) = TRIM(A2046)),
  """"
)"),"#REF!")</f>
        <v>#REF!</v>
      </c>
      <c r="AA2046" s="4" t="str">
        <f>IFERROR(__xludf.DUMMYFUNCTION("IFERROR(
  FILTER('CBK Students'!P:P, TRIM('CBK Students'!B:B) = TRIM(A2046)),
  """"
)"),"#REF!")</f>
        <v>#REF!</v>
      </c>
      <c r="AB2046" s="4" t="str">
        <f>IFERROR(__xludf.DUMMYFUNCTION("IFERROR(
  FILTER('CBK Students'!Q:Q, TRIM('CBK Students'!B:B) = TRIM(A2046)),
  """"
)"),"#REF!")</f>
        <v>#REF!</v>
      </c>
    </row>
    <row r="2047" ht="18.75" customHeight="1">
      <c r="T2047" s="4"/>
      <c r="U2047" s="4"/>
      <c r="V2047" s="4">
        <f>IFERROR(__xludf.DUMMYFUNCTION("""COMPUTED_VALUE"""),6590.0)</f>
        <v>6590</v>
      </c>
      <c r="W2047" s="240" t="str">
        <f t="shared" si="1"/>
        <v/>
      </c>
      <c r="X2047" s="4" t="str">
        <f>IFERROR(__xludf.DUMMYFUNCTION("""COMPUTED_VALUE"""),"Prepare for Showcase")</f>
        <v>Prepare for Showcase</v>
      </c>
      <c r="Y2047" s="4" t="str">
        <f t="shared" si="2"/>
        <v/>
      </c>
      <c r="Z2047" s="4" t="str">
        <f>IFERROR(__xludf.DUMMYFUNCTION("IFERROR(
  FILTER('CBK Students'!O:O, TRIM('CBK Students'!B:B) = TRIM(A2047)),
  """"
)"),"#REF!")</f>
        <v>#REF!</v>
      </c>
      <c r="AA2047" s="4" t="str">
        <f>IFERROR(__xludf.DUMMYFUNCTION("IFERROR(
  FILTER('CBK Students'!P:P, TRIM('CBK Students'!B:B) = TRIM(A2047)),
  """"
)"),"#REF!")</f>
        <v>#REF!</v>
      </c>
      <c r="AB2047" s="4" t="str">
        <f>IFERROR(__xludf.DUMMYFUNCTION("IFERROR(
  FILTER('CBK Students'!Q:Q, TRIM('CBK Students'!B:B) = TRIM(A2047)),
  """"
)"),"#REF!")</f>
        <v>#REF!</v>
      </c>
    </row>
    <row r="2048" ht="18.75" customHeight="1">
      <c r="T2048" s="4"/>
      <c r="U2048" s="4"/>
      <c r="V2048" s="4">
        <f>IFERROR(__xludf.DUMMYFUNCTION("""COMPUTED_VALUE"""),6590.0)</f>
        <v>6590</v>
      </c>
      <c r="W2048" s="240" t="str">
        <f t="shared" si="1"/>
        <v/>
      </c>
      <c r="X2048" s="4" t="str">
        <f>IFERROR(__xludf.DUMMYFUNCTION("""COMPUTED_VALUE"""),"Prepare for Showcase")</f>
        <v>Prepare for Showcase</v>
      </c>
      <c r="Y2048" s="4" t="str">
        <f t="shared" si="2"/>
        <v/>
      </c>
      <c r="Z2048" s="4" t="str">
        <f>IFERROR(__xludf.DUMMYFUNCTION("IFERROR(
  FILTER('CBK Students'!O:O, TRIM('CBK Students'!B:B) = TRIM(A2048)),
  """"
)"),"#REF!")</f>
        <v>#REF!</v>
      </c>
      <c r="AA2048" s="4" t="str">
        <f>IFERROR(__xludf.DUMMYFUNCTION("IFERROR(
  FILTER('CBK Students'!P:P, TRIM('CBK Students'!B:B) = TRIM(A2048)),
  """"
)"),"#REF!")</f>
        <v>#REF!</v>
      </c>
      <c r="AB2048" s="4" t="str">
        <f>IFERROR(__xludf.DUMMYFUNCTION("IFERROR(
  FILTER('CBK Students'!Q:Q, TRIM('CBK Students'!B:B) = TRIM(A2048)),
  """"
)"),"#REF!")</f>
        <v>#REF!</v>
      </c>
    </row>
    <row r="2049" ht="18.75" customHeight="1">
      <c r="T2049" s="4"/>
      <c r="U2049" s="4"/>
      <c r="V2049" s="4">
        <f>IFERROR(__xludf.DUMMYFUNCTION("""COMPUTED_VALUE"""),6590.0)</f>
        <v>6590</v>
      </c>
      <c r="W2049" s="240" t="str">
        <f t="shared" si="1"/>
        <v/>
      </c>
      <c r="X2049" s="4" t="str">
        <f>IFERROR(__xludf.DUMMYFUNCTION("""COMPUTED_VALUE"""),"Prepare for Showcase")</f>
        <v>Prepare for Showcase</v>
      </c>
      <c r="Y2049" s="4" t="str">
        <f t="shared" si="2"/>
        <v/>
      </c>
      <c r="Z2049" s="4" t="str">
        <f>IFERROR(__xludf.DUMMYFUNCTION("IFERROR(
  FILTER('CBK Students'!O:O, TRIM('CBK Students'!B:B) = TRIM(A2049)),
  """"
)"),"#REF!")</f>
        <v>#REF!</v>
      </c>
      <c r="AA2049" s="4" t="str">
        <f>IFERROR(__xludf.DUMMYFUNCTION("IFERROR(
  FILTER('CBK Students'!P:P, TRIM('CBK Students'!B:B) = TRIM(A2049)),
  """"
)"),"#REF!")</f>
        <v>#REF!</v>
      </c>
      <c r="AB2049" s="4" t="str">
        <f>IFERROR(__xludf.DUMMYFUNCTION("IFERROR(
  FILTER('CBK Students'!Q:Q, TRIM('CBK Students'!B:B) = TRIM(A2049)),
  """"
)"),"#REF!")</f>
        <v>#REF!</v>
      </c>
    </row>
    <row r="2050" ht="18.75" customHeight="1">
      <c r="T2050" s="4"/>
      <c r="U2050" s="4"/>
      <c r="V2050" s="4">
        <f>IFERROR(__xludf.DUMMYFUNCTION("""COMPUTED_VALUE"""),6590.0)</f>
        <v>6590</v>
      </c>
      <c r="W2050" s="240" t="str">
        <f t="shared" si="1"/>
        <v/>
      </c>
      <c r="X2050" s="4" t="str">
        <f>IFERROR(__xludf.DUMMYFUNCTION("""COMPUTED_VALUE"""),"Prepare for Showcase")</f>
        <v>Prepare for Showcase</v>
      </c>
      <c r="Y2050" s="4" t="str">
        <f t="shared" si="2"/>
        <v/>
      </c>
      <c r="Z2050" s="4" t="str">
        <f>IFERROR(__xludf.DUMMYFUNCTION("IFERROR(
  FILTER('CBK Students'!O:O, TRIM('CBK Students'!B:B) = TRIM(A2050)),
  """"
)"),"#REF!")</f>
        <v>#REF!</v>
      </c>
      <c r="AA2050" s="4" t="str">
        <f>IFERROR(__xludf.DUMMYFUNCTION("IFERROR(
  FILTER('CBK Students'!P:P, TRIM('CBK Students'!B:B) = TRIM(A2050)),
  """"
)"),"#REF!")</f>
        <v>#REF!</v>
      </c>
      <c r="AB2050" s="4" t="str">
        <f>IFERROR(__xludf.DUMMYFUNCTION("IFERROR(
  FILTER('CBK Students'!Q:Q, TRIM('CBK Students'!B:B) = TRIM(A2050)),
  """"
)"),"#REF!")</f>
        <v>#REF!</v>
      </c>
    </row>
    <row r="2051" ht="18.75" customHeight="1">
      <c r="T2051" s="4"/>
      <c r="U2051" s="4"/>
      <c r="V2051" s="4">
        <f>IFERROR(__xludf.DUMMYFUNCTION("""COMPUTED_VALUE"""),6590.0)</f>
        <v>6590</v>
      </c>
      <c r="W2051" s="240" t="str">
        <f t="shared" si="1"/>
        <v/>
      </c>
      <c r="X2051" s="4" t="str">
        <f>IFERROR(__xludf.DUMMYFUNCTION("""COMPUTED_VALUE"""),"Prepare for Showcase")</f>
        <v>Prepare for Showcase</v>
      </c>
      <c r="Y2051" s="4" t="str">
        <f t="shared" si="2"/>
        <v/>
      </c>
      <c r="Z2051" s="4" t="str">
        <f>IFERROR(__xludf.DUMMYFUNCTION("IFERROR(
  FILTER('CBK Students'!O:O, TRIM('CBK Students'!B:B) = TRIM(A2051)),
  """"
)"),"#REF!")</f>
        <v>#REF!</v>
      </c>
      <c r="AA2051" s="4" t="str">
        <f>IFERROR(__xludf.DUMMYFUNCTION("IFERROR(
  FILTER('CBK Students'!P:P, TRIM('CBK Students'!B:B) = TRIM(A2051)),
  """"
)"),"#REF!")</f>
        <v>#REF!</v>
      </c>
      <c r="AB2051" s="4" t="str">
        <f>IFERROR(__xludf.DUMMYFUNCTION("IFERROR(
  FILTER('CBK Students'!Q:Q, TRIM('CBK Students'!B:B) = TRIM(A2051)),
  """"
)"),"#REF!")</f>
        <v>#REF!</v>
      </c>
    </row>
    <row r="2052" ht="18.75" customHeight="1">
      <c r="T2052" s="4"/>
      <c r="U2052" s="4"/>
      <c r="V2052" s="4">
        <f>IFERROR(__xludf.DUMMYFUNCTION("""COMPUTED_VALUE"""),6590.0)</f>
        <v>6590</v>
      </c>
      <c r="W2052" s="240" t="str">
        <f t="shared" si="1"/>
        <v/>
      </c>
      <c r="X2052" s="4" t="str">
        <f>IFERROR(__xludf.DUMMYFUNCTION("""COMPUTED_VALUE"""),"Prepare for Showcase")</f>
        <v>Prepare for Showcase</v>
      </c>
      <c r="Y2052" s="4" t="str">
        <f t="shared" si="2"/>
        <v/>
      </c>
      <c r="Z2052" s="4" t="str">
        <f>IFERROR(__xludf.DUMMYFUNCTION("IFERROR(
  FILTER('CBK Students'!O:O, TRIM('CBK Students'!B:B) = TRIM(A2052)),
  """"
)"),"#REF!")</f>
        <v>#REF!</v>
      </c>
      <c r="AA2052" s="4" t="str">
        <f>IFERROR(__xludf.DUMMYFUNCTION("IFERROR(
  FILTER('CBK Students'!P:P, TRIM('CBK Students'!B:B) = TRIM(A2052)),
  """"
)"),"#REF!")</f>
        <v>#REF!</v>
      </c>
      <c r="AB2052" s="4" t="str">
        <f>IFERROR(__xludf.DUMMYFUNCTION("IFERROR(
  FILTER('CBK Students'!Q:Q, TRIM('CBK Students'!B:B) = TRIM(A2052)),
  """"
)"),"#REF!")</f>
        <v>#REF!</v>
      </c>
    </row>
    <row r="2053" ht="18.75" customHeight="1">
      <c r="T2053" s="4"/>
      <c r="U2053" s="4"/>
      <c r="V2053" s="4">
        <f>IFERROR(__xludf.DUMMYFUNCTION("""COMPUTED_VALUE"""),6590.0)</f>
        <v>6590</v>
      </c>
      <c r="W2053" s="240" t="str">
        <f t="shared" si="1"/>
        <v/>
      </c>
      <c r="X2053" s="4" t="str">
        <f>IFERROR(__xludf.DUMMYFUNCTION("""COMPUTED_VALUE"""),"Prepare for Showcase")</f>
        <v>Prepare for Showcase</v>
      </c>
      <c r="Y2053" s="4" t="str">
        <f t="shared" si="2"/>
        <v/>
      </c>
      <c r="Z2053" s="4" t="str">
        <f>IFERROR(__xludf.DUMMYFUNCTION("IFERROR(
  FILTER('CBK Students'!O:O, TRIM('CBK Students'!B:B) = TRIM(A2053)),
  """"
)"),"#REF!")</f>
        <v>#REF!</v>
      </c>
      <c r="AA2053" s="4" t="str">
        <f>IFERROR(__xludf.DUMMYFUNCTION("IFERROR(
  FILTER('CBK Students'!P:P, TRIM('CBK Students'!B:B) = TRIM(A2053)),
  """"
)"),"#REF!")</f>
        <v>#REF!</v>
      </c>
      <c r="AB2053" s="4" t="str">
        <f>IFERROR(__xludf.DUMMYFUNCTION("IFERROR(
  FILTER('CBK Students'!Q:Q, TRIM('CBK Students'!B:B) = TRIM(A2053)),
  """"
)"),"#REF!")</f>
        <v>#REF!</v>
      </c>
    </row>
    <row r="2054" ht="18.75" customHeight="1">
      <c r="T2054" s="4"/>
      <c r="U2054" s="4"/>
      <c r="V2054" s="4">
        <f>IFERROR(__xludf.DUMMYFUNCTION("""COMPUTED_VALUE"""),6590.0)</f>
        <v>6590</v>
      </c>
      <c r="W2054" s="240" t="str">
        <f t="shared" si="1"/>
        <v/>
      </c>
      <c r="X2054" s="4" t="str">
        <f>IFERROR(__xludf.DUMMYFUNCTION("""COMPUTED_VALUE"""),"Prepare for Showcase")</f>
        <v>Prepare for Showcase</v>
      </c>
      <c r="Y2054" s="4" t="str">
        <f t="shared" si="2"/>
        <v/>
      </c>
      <c r="Z2054" s="4" t="str">
        <f>IFERROR(__xludf.DUMMYFUNCTION("IFERROR(
  FILTER('CBK Students'!O:O, TRIM('CBK Students'!B:B) = TRIM(A2054)),
  """"
)"),"#REF!")</f>
        <v>#REF!</v>
      </c>
      <c r="AA2054" s="4" t="str">
        <f>IFERROR(__xludf.DUMMYFUNCTION("IFERROR(
  FILTER('CBK Students'!P:P, TRIM('CBK Students'!B:B) = TRIM(A2054)),
  """"
)"),"#REF!")</f>
        <v>#REF!</v>
      </c>
      <c r="AB2054" s="4" t="str">
        <f>IFERROR(__xludf.DUMMYFUNCTION("IFERROR(
  FILTER('CBK Students'!Q:Q, TRIM('CBK Students'!B:B) = TRIM(A2054)),
  """"
)"),"#REF!")</f>
        <v>#REF!</v>
      </c>
    </row>
    <row r="2055" ht="18.75" customHeight="1">
      <c r="T2055" s="4"/>
      <c r="U2055" s="4"/>
      <c r="V2055" s="4">
        <f>IFERROR(__xludf.DUMMYFUNCTION("""COMPUTED_VALUE"""),6590.0)</f>
        <v>6590</v>
      </c>
      <c r="W2055" s="240" t="str">
        <f t="shared" si="1"/>
        <v/>
      </c>
      <c r="X2055" s="4" t="str">
        <f>IFERROR(__xludf.DUMMYFUNCTION("""COMPUTED_VALUE"""),"Prepare for Showcase")</f>
        <v>Prepare for Showcase</v>
      </c>
      <c r="Y2055" s="4" t="str">
        <f t="shared" si="2"/>
        <v/>
      </c>
      <c r="Z2055" s="4" t="str">
        <f>IFERROR(__xludf.DUMMYFUNCTION("IFERROR(
  FILTER('CBK Students'!O:O, TRIM('CBK Students'!B:B) = TRIM(A2055)),
  """"
)"),"#REF!")</f>
        <v>#REF!</v>
      </c>
      <c r="AA2055" s="4" t="str">
        <f>IFERROR(__xludf.DUMMYFUNCTION("IFERROR(
  FILTER('CBK Students'!P:P, TRIM('CBK Students'!B:B) = TRIM(A2055)),
  """"
)"),"#REF!")</f>
        <v>#REF!</v>
      </c>
      <c r="AB2055" s="4" t="str">
        <f>IFERROR(__xludf.DUMMYFUNCTION("IFERROR(
  FILTER('CBK Students'!Q:Q, TRIM('CBK Students'!B:B) = TRIM(A2055)),
  """"
)"),"#REF!")</f>
        <v>#REF!</v>
      </c>
    </row>
    <row r="2056" ht="18.75" customHeight="1">
      <c r="T2056" s="4"/>
      <c r="U2056" s="4"/>
      <c r="V2056" s="4">
        <f>IFERROR(__xludf.DUMMYFUNCTION("""COMPUTED_VALUE"""),6590.0)</f>
        <v>6590</v>
      </c>
      <c r="W2056" s="240" t="str">
        <f t="shared" si="1"/>
        <v/>
      </c>
      <c r="X2056" s="4" t="str">
        <f>IFERROR(__xludf.DUMMYFUNCTION("""COMPUTED_VALUE"""),"Prepare for Showcase")</f>
        <v>Prepare for Showcase</v>
      </c>
      <c r="Y2056" s="4" t="str">
        <f t="shared" si="2"/>
        <v/>
      </c>
      <c r="Z2056" s="4" t="str">
        <f>IFERROR(__xludf.DUMMYFUNCTION("IFERROR(
  FILTER('CBK Students'!O:O, TRIM('CBK Students'!B:B) = TRIM(A2056)),
  """"
)"),"#REF!")</f>
        <v>#REF!</v>
      </c>
      <c r="AA2056" s="4" t="str">
        <f>IFERROR(__xludf.DUMMYFUNCTION("IFERROR(
  FILTER('CBK Students'!P:P, TRIM('CBK Students'!B:B) = TRIM(A2056)),
  """"
)"),"#REF!")</f>
        <v>#REF!</v>
      </c>
      <c r="AB2056" s="4" t="str">
        <f>IFERROR(__xludf.DUMMYFUNCTION("IFERROR(
  FILTER('CBK Students'!Q:Q, TRIM('CBK Students'!B:B) = TRIM(A2056)),
  """"
)"),"#REF!")</f>
        <v>#REF!</v>
      </c>
    </row>
    <row r="2057" ht="18.75" customHeight="1">
      <c r="T2057" s="4"/>
      <c r="U2057" s="4"/>
      <c r="V2057" s="4">
        <f>IFERROR(__xludf.DUMMYFUNCTION("""COMPUTED_VALUE"""),6590.0)</f>
        <v>6590</v>
      </c>
      <c r="W2057" s="240" t="str">
        <f t="shared" si="1"/>
        <v/>
      </c>
      <c r="X2057" s="4" t="str">
        <f>IFERROR(__xludf.DUMMYFUNCTION("""COMPUTED_VALUE"""),"Prepare for Showcase")</f>
        <v>Prepare for Showcase</v>
      </c>
      <c r="Y2057" s="4" t="str">
        <f t="shared" si="2"/>
        <v/>
      </c>
      <c r="Z2057" s="4" t="str">
        <f>IFERROR(__xludf.DUMMYFUNCTION("IFERROR(
  FILTER('CBK Students'!O:O, TRIM('CBK Students'!B:B) = TRIM(A2057)),
  """"
)"),"#REF!")</f>
        <v>#REF!</v>
      </c>
      <c r="AA2057" s="4" t="str">
        <f>IFERROR(__xludf.DUMMYFUNCTION("IFERROR(
  FILTER('CBK Students'!P:P, TRIM('CBK Students'!B:B) = TRIM(A2057)),
  """"
)"),"#REF!")</f>
        <v>#REF!</v>
      </c>
      <c r="AB2057" s="4" t="str">
        <f>IFERROR(__xludf.DUMMYFUNCTION("IFERROR(
  FILTER('CBK Students'!Q:Q, TRIM('CBK Students'!B:B) = TRIM(A2057)),
  """"
)"),"#REF!")</f>
        <v>#REF!</v>
      </c>
    </row>
    <row r="2058" ht="18.75" customHeight="1">
      <c r="T2058" s="4"/>
      <c r="U2058" s="4"/>
      <c r="V2058" s="4">
        <f>IFERROR(__xludf.DUMMYFUNCTION("""COMPUTED_VALUE"""),6590.0)</f>
        <v>6590</v>
      </c>
      <c r="W2058" s="240" t="str">
        <f t="shared" si="1"/>
        <v/>
      </c>
      <c r="X2058" s="4" t="str">
        <f>IFERROR(__xludf.DUMMYFUNCTION("""COMPUTED_VALUE"""),"Prepare for Showcase")</f>
        <v>Prepare for Showcase</v>
      </c>
      <c r="Y2058" s="4" t="str">
        <f t="shared" si="2"/>
        <v/>
      </c>
      <c r="Z2058" s="4" t="str">
        <f>IFERROR(__xludf.DUMMYFUNCTION("IFERROR(
  FILTER('CBK Students'!O:O, TRIM('CBK Students'!B:B) = TRIM(A2058)),
  """"
)"),"#REF!")</f>
        <v>#REF!</v>
      </c>
      <c r="AA2058" s="4" t="str">
        <f>IFERROR(__xludf.DUMMYFUNCTION("IFERROR(
  FILTER('CBK Students'!P:P, TRIM('CBK Students'!B:B) = TRIM(A2058)),
  """"
)"),"#REF!")</f>
        <v>#REF!</v>
      </c>
      <c r="AB2058" s="4" t="str">
        <f>IFERROR(__xludf.DUMMYFUNCTION("IFERROR(
  FILTER('CBK Students'!Q:Q, TRIM('CBK Students'!B:B) = TRIM(A2058)),
  """"
)"),"#REF!")</f>
        <v>#REF!</v>
      </c>
    </row>
    <row r="2059" ht="18.75" customHeight="1">
      <c r="T2059" s="4"/>
      <c r="U2059" s="4"/>
      <c r="V2059" s="4">
        <f>IFERROR(__xludf.DUMMYFUNCTION("""COMPUTED_VALUE"""),6590.0)</f>
        <v>6590</v>
      </c>
      <c r="W2059" s="240" t="str">
        <f t="shared" si="1"/>
        <v/>
      </c>
      <c r="X2059" s="4" t="str">
        <f>IFERROR(__xludf.DUMMYFUNCTION("""COMPUTED_VALUE"""),"Prepare for Showcase")</f>
        <v>Prepare for Showcase</v>
      </c>
      <c r="Y2059" s="4" t="str">
        <f t="shared" si="2"/>
        <v/>
      </c>
      <c r="Z2059" s="4" t="str">
        <f>IFERROR(__xludf.DUMMYFUNCTION("IFERROR(
  FILTER('CBK Students'!O:O, TRIM('CBK Students'!B:B) = TRIM(A2059)),
  """"
)"),"#REF!")</f>
        <v>#REF!</v>
      </c>
      <c r="AA2059" s="4" t="str">
        <f>IFERROR(__xludf.DUMMYFUNCTION("IFERROR(
  FILTER('CBK Students'!P:P, TRIM('CBK Students'!B:B) = TRIM(A2059)),
  """"
)"),"#REF!")</f>
        <v>#REF!</v>
      </c>
      <c r="AB2059" s="4" t="str">
        <f>IFERROR(__xludf.DUMMYFUNCTION("IFERROR(
  FILTER('CBK Students'!Q:Q, TRIM('CBK Students'!B:B) = TRIM(A2059)),
  """"
)"),"#REF!")</f>
        <v>#REF!</v>
      </c>
    </row>
    <row r="2060" ht="18.75" customHeight="1">
      <c r="T2060" s="4"/>
      <c r="U2060" s="4"/>
      <c r="V2060" s="4">
        <f>IFERROR(__xludf.DUMMYFUNCTION("""COMPUTED_VALUE"""),6590.0)</f>
        <v>6590</v>
      </c>
      <c r="W2060" s="240" t="str">
        <f t="shared" si="1"/>
        <v/>
      </c>
      <c r="X2060" s="4" t="str">
        <f>IFERROR(__xludf.DUMMYFUNCTION("""COMPUTED_VALUE"""),"Prepare for Showcase")</f>
        <v>Prepare for Showcase</v>
      </c>
      <c r="Y2060" s="4" t="str">
        <f t="shared" si="2"/>
        <v/>
      </c>
      <c r="Z2060" s="4" t="str">
        <f>IFERROR(__xludf.DUMMYFUNCTION("IFERROR(
  FILTER('CBK Students'!O:O, TRIM('CBK Students'!B:B) = TRIM(A2060)),
  """"
)"),"#REF!")</f>
        <v>#REF!</v>
      </c>
      <c r="AA2060" s="4" t="str">
        <f>IFERROR(__xludf.DUMMYFUNCTION("IFERROR(
  FILTER('CBK Students'!P:P, TRIM('CBK Students'!B:B) = TRIM(A2060)),
  """"
)"),"#REF!")</f>
        <v>#REF!</v>
      </c>
      <c r="AB2060" s="4" t="str">
        <f>IFERROR(__xludf.DUMMYFUNCTION("IFERROR(
  FILTER('CBK Students'!Q:Q, TRIM('CBK Students'!B:B) = TRIM(A2060)),
  """"
)"),"#REF!")</f>
        <v>#REF!</v>
      </c>
    </row>
    <row r="2061" ht="18.75" customHeight="1">
      <c r="T2061" s="4"/>
      <c r="U2061" s="4"/>
      <c r="V2061" s="4">
        <f>IFERROR(__xludf.DUMMYFUNCTION("""COMPUTED_VALUE"""),6590.0)</f>
        <v>6590</v>
      </c>
      <c r="W2061" s="240" t="str">
        <f t="shared" si="1"/>
        <v/>
      </c>
      <c r="X2061" s="4" t="str">
        <f>IFERROR(__xludf.DUMMYFUNCTION("""COMPUTED_VALUE"""),"Prepare for Showcase")</f>
        <v>Prepare for Showcase</v>
      </c>
      <c r="Y2061" s="4" t="str">
        <f t="shared" si="2"/>
        <v/>
      </c>
      <c r="Z2061" s="4" t="str">
        <f>IFERROR(__xludf.DUMMYFUNCTION("IFERROR(
  FILTER('CBK Students'!O:O, TRIM('CBK Students'!B:B) = TRIM(A2061)),
  """"
)"),"#REF!")</f>
        <v>#REF!</v>
      </c>
      <c r="AA2061" s="4" t="str">
        <f>IFERROR(__xludf.DUMMYFUNCTION("IFERROR(
  FILTER('CBK Students'!P:P, TRIM('CBK Students'!B:B) = TRIM(A2061)),
  """"
)"),"#REF!")</f>
        <v>#REF!</v>
      </c>
      <c r="AB2061" s="4" t="str">
        <f>IFERROR(__xludf.DUMMYFUNCTION("IFERROR(
  FILTER('CBK Students'!Q:Q, TRIM('CBK Students'!B:B) = TRIM(A2061)),
  """"
)"),"#REF!")</f>
        <v>#REF!</v>
      </c>
    </row>
    <row r="2062" ht="18.75" customHeight="1">
      <c r="T2062" s="4"/>
      <c r="U2062" s="4"/>
      <c r="V2062" s="4">
        <f>IFERROR(__xludf.DUMMYFUNCTION("""COMPUTED_VALUE"""),6590.0)</f>
        <v>6590</v>
      </c>
      <c r="W2062" s="240" t="str">
        <f t="shared" si="1"/>
        <v/>
      </c>
      <c r="X2062" s="4" t="str">
        <f>IFERROR(__xludf.DUMMYFUNCTION("""COMPUTED_VALUE"""),"Prepare for Showcase")</f>
        <v>Prepare for Showcase</v>
      </c>
      <c r="Y2062" s="4" t="str">
        <f t="shared" si="2"/>
        <v/>
      </c>
      <c r="Z2062" s="4" t="str">
        <f>IFERROR(__xludf.DUMMYFUNCTION("IFERROR(
  FILTER('CBK Students'!O:O, TRIM('CBK Students'!B:B) = TRIM(A2062)),
  """"
)"),"#REF!")</f>
        <v>#REF!</v>
      </c>
      <c r="AA2062" s="4" t="str">
        <f>IFERROR(__xludf.DUMMYFUNCTION("IFERROR(
  FILTER('CBK Students'!P:P, TRIM('CBK Students'!B:B) = TRIM(A2062)),
  """"
)"),"#REF!")</f>
        <v>#REF!</v>
      </c>
      <c r="AB2062" s="4" t="str">
        <f>IFERROR(__xludf.DUMMYFUNCTION("IFERROR(
  FILTER('CBK Students'!Q:Q, TRIM('CBK Students'!B:B) = TRIM(A2062)),
  """"
)"),"#REF!")</f>
        <v>#REF!</v>
      </c>
    </row>
    <row r="2063" ht="18.75" customHeight="1">
      <c r="T2063" s="4"/>
      <c r="U2063" s="4"/>
      <c r="V2063" s="4">
        <f>IFERROR(__xludf.DUMMYFUNCTION("""COMPUTED_VALUE"""),6590.0)</f>
        <v>6590</v>
      </c>
      <c r="W2063" s="240" t="str">
        <f t="shared" si="1"/>
        <v/>
      </c>
      <c r="X2063" s="4" t="str">
        <f>IFERROR(__xludf.DUMMYFUNCTION("""COMPUTED_VALUE"""),"Prepare for Showcase")</f>
        <v>Prepare for Showcase</v>
      </c>
      <c r="Y2063" s="4" t="str">
        <f t="shared" si="2"/>
        <v/>
      </c>
      <c r="Z2063" s="4" t="str">
        <f>IFERROR(__xludf.DUMMYFUNCTION("IFERROR(
  FILTER('CBK Students'!O:O, TRIM('CBK Students'!B:B) = TRIM(A2063)),
  """"
)"),"#REF!")</f>
        <v>#REF!</v>
      </c>
      <c r="AA2063" s="4" t="str">
        <f>IFERROR(__xludf.DUMMYFUNCTION("IFERROR(
  FILTER('CBK Students'!P:P, TRIM('CBK Students'!B:B) = TRIM(A2063)),
  """"
)"),"#REF!")</f>
        <v>#REF!</v>
      </c>
      <c r="AB2063" s="4" t="str">
        <f>IFERROR(__xludf.DUMMYFUNCTION("IFERROR(
  FILTER('CBK Students'!Q:Q, TRIM('CBK Students'!B:B) = TRIM(A2063)),
  """"
)"),"#REF!")</f>
        <v>#REF!</v>
      </c>
    </row>
    <row r="2064" ht="18.75" customHeight="1">
      <c r="T2064" s="4"/>
      <c r="U2064" s="4"/>
      <c r="V2064" s="4">
        <f>IFERROR(__xludf.DUMMYFUNCTION("""COMPUTED_VALUE"""),6590.0)</f>
        <v>6590</v>
      </c>
      <c r="W2064" s="240" t="str">
        <f t="shared" si="1"/>
        <v/>
      </c>
      <c r="X2064" s="4" t="str">
        <f>IFERROR(__xludf.DUMMYFUNCTION("""COMPUTED_VALUE"""),"Prepare for Showcase")</f>
        <v>Prepare for Showcase</v>
      </c>
      <c r="Y2064" s="4" t="str">
        <f t="shared" si="2"/>
        <v/>
      </c>
      <c r="Z2064" s="4" t="str">
        <f>IFERROR(__xludf.DUMMYFUNCTION("IFERROR(
  FILTER('CBK Students'!O:O, TRIM('CBK Students'!B:B) = TRIM(A2064)),
  """"
)"),"#REF!")</f>
        <v>#REF!</v>
      </c>
      <c r="AA2064" s="4" t="str">
        <f>IFERROR(__xludf.DUMMYFUNCTION("IFERROR(
  FILTER('CBK Students'!P:P, TRIM('CBK Students'!B:B) = TRIM(A2064)),
  """"
)"),"#REF!")</f>
        <v>#REF!</v>
      </c>
      <c r="AB2064" s="4" t="str">
        <f>IFERROR(__xludf.DUMMYFUNCTION("IFERROR(
  FILTER('CBK Students'!Q:Q, TRIM('CBK Students'!B:B) = TRIM(A2064)),
  """"
)"),"#REF!")</f>
        <v>#REF!</v>
      </c>
    </row>
    <row r="2065" ht="18.75" customHeight="1">
      <c r="T2065" s="4"/>
      <c r="U2065" s="4"/>
      <c r="V2065" s="4">
        <f>IFERROR(__xludf.DUMMYFUNCTION("""COMPUTED_VALUE"""),6590.0)</f>
        <v>6590</v>
      </c>
      <c r="W2065" s="240" t="str">
        <f t="shared" si="1"/>
        <v/>
      </c>
      <c r="X2065" s="4" t="str">
        <f>IFERROR(__xludf.DUMMYFUNCTION("""COMPUTED_VALUE"""),"Prepare for Showcase")</f>
        <v>Prepare for Showcase</v>
      </c>
      <c r="Y2065" s="4" t="str">
        <f t="shared" si="2"/>
        <v/>
      </c>
      <c r="Z2065" s="4" t="str">
        <f>IFERROR(__xludf.DUMMYFUNCTION("IFERROR(
  FILTER('CBK Students'!O:O, TRIM('CBK Students'!B:B) = TRIM(A2065)),
  """"
)"),"#REF!")</f>
        <v>#REF!</v>
      </c>
      <c r="AA2065" s="4" t="str">
        <f>IFERROR(__xludf.DUMMYFUNCTION("IFERROR(
  FILTER('CBK Students'!P:P, TRIM('CBK Students'!B:B) = TRIM(A2065)),
  """"
)"),"#REF!")</f>
        <v>#REF!</v>
      </c>
      <c r="AB2065" s="4" t="str">
        <f>IFERROR(__xludf.DUMMYFUNCTION("IFERROR(
  FILTER('CBK Students'!Q:Q, TRIM('CBK Students'!B:B) = TRIM(A2065)),
  """"
)"),"#REF!")</f>
        <v>#REF!</v>
      </c>
    </row>
    <row r="2066" ht="18.75" customHeight="1">
      <c r="T2066" s="4"/>
      <c r="U2066" s="4"/>
      <c r="V2066" s="4">
        <f>IFERROR(__xludf.DUMMYFUNCTION("""COMPUTED_VALUE"""),6590.0)</f>
        <v>6590</v>
      </c>
      <c r="W2066" s="240" t="str">
        <f t="shared" si="1"/>
        <v/>
      </c>
      <c r="X2066" s="4" t="str">
        <f>IFERROR(__xludf.DUMMYFUNCTION("""COMPUTED_VALUE"""),"Prepare for Showcase")</f>
        <v>Prepare for Showcase</v>
      </c>
      <c r="Y2066" s="4" t="str">
        <f t="shared" si="2"/>
        <v/>
      </c>
      <c r="Z2066" s="4" t="str">
        <f>IFERROR(__xludf.DUMMYFUNCTION("IFERROR(
  FILTER('CBK Students'!O:O, TRIM('CBK Students'!B:B) = TRIM(A2066)),
  """"
)"),"#REF!")</f>
        <v>#REF!</v>
      </c>
      <c r="AA2066" s="4" t="str">
        <f>IFERROR(__xludf.DUMMYFUNCTION("IFERROR(
  FILTER('CBK Students'!P:P, TRIM('CBK Students'!B:B) = TRIM(A2066)),
  """"
)"),"#REF!")</f>
        <v>#REF!</v>
      </c>
      <c r="AB2066" s="4" t="str">
        <f>IFERROR(__xludf.DUMMYFUNCTION("IFERROR(
  FILTER('CBK Students'!Q:Q, TRIM('CBK Students'!B:B) = TRIM(A2066)),
  """"
)"),"#REF!")</f>
        <v>#REF!</v>
      </c>
    </row>
    <row r="2067" ht="18.75" customHeight="1">
      <c r="T2067" s="4"/>
      <c r="U2067" s="4"/>
      <c r="V2067" s="4">
        <f>IFERROR(__xludf.DUMMYFUNCTION("""COMPUTED_VALUE"""),6590.0)</f>
        <v>6590</v>
      </c>
      <c r="W2067" s="240" t="str">
        <f t="shared" si="1"/>
        <v/>
      </c>
      <c r="X2067" s="4" t="str">
        <f>IFERROR(__xludf.DUMMYFUNCTION("""COMPUTED_VALUE"""),"Prepare for Showcase")</f>
        <v>Prepare for Showcase</v>
      </c>
      <c r="Y2067" s="4" t="str">
        <f t="shared" si="2"/>
        <v/>
      </c>
      <c r="Z2067" s="4" t="str">
        <f>IFERROR(__xludf.DUMMYFUNCTION("IFERROR(
  FILTER('CBK Students'!O:O, TRIM('CBK Students'!B:B) = TRIM(A2067)),
  """"
)"),"#REF!")</f>
        <v>#REF!</v>
      </c>
      <c r="AA2067" s="4" t="str">
        <f>IFERROR(__xludf.DUMMYFUNCTION("IFERROR(
  FILTER('CBK Students'!P:P, TRIM('CBK Students'!B:B) = TRIM(A2067)),
  """"
)"),"#REF!")</f>
        <v>#REF!</v>
      </c>
      <c r="AB2067" s="4" t="str">
        <f>IFERROR(__xludf.DUMMYFUNCTION("IFERROR(
  FILTER('CBK Students'!Q:Q, TRIM('CBK Students'!B:B) = TRIM(A2067)),
  """"
)"),"#REF!")</f>
        <v>#REF!</v>
      </c>
    </row>
    <row r="2068" ht="18.75" customHeight="1">
      <c r="T2068" s="4"/>
      <c r="U2068" s="4"/>
      <c r="V2068" s="4">
        <f>IFERROR(__xludf.DUMMYFUNCTION("""COMPUTED_VALUE"""),6590.0)</f>
        <v>6590</v>
      </c>
      <c r="W2068" s="240" t="str">
        <f t="shared" si="1"/>
        <v/>
      </c>
      <c r="X2068" s="4" t="str">
        <f>IFERROR(__xludf.DUMMYFUNCTION("""COMPUTED_VALUE"""),"Prepare for Showcase")</f>
        <v>Prepare for Showcase</v>
      </c>
      <c r="Y2068" s="4" t="str">
        <f t="shared" si="2"/>
        <v/>
      </c>
      <c r="Z2068" s="4" t="str">
        <f>IFERROR(__xludf.DUMMYFUNCTION("IFERROR(
  FILTER('CBK Students'!O:O, TRIM('CBK Students'!B:B) = TRIM(A2068)),
  """"
)"),"#REF!")</f>
        <v>#REF!</v>
      </c>
      <c r="AA2068" s="4" t="str">
        <f>IFERROR(__xludf.DUMMYFUNCTION("IFERROR(
  FILTER('CBK Students'!P:P, TRIM('CBK Students'!B:B) = TRIM(A2068)),
  """"
)"),"#REF!")</f>
        <v>#REF!</v>
      </c>
      <c r="AB2068" s="4" t="str">
        <f>IFERROR(__xludf.DUMMYFUNCTION("IFERROR(
  FILTER('CBK Students'!Q:Q, TRIM('CBK Students'!B:B) = TRIM(A2068)),
  """"
)"),"#REF!")</f>
        <v>#REF!</v>
      </c>
    </row>
    <row r="2069" ht="18.75" customHeight="1">
      <c r="T2069" s="4"/>
      <c r="U2069" s="4"/>
      <c r="V2069" s="4">
        <f>IFERROR(__xludf.DUMMYFUNCTION("""COMPUTED_VALUE"""),6590.0)</f>
        <v>6590</v>
      </c>
      <c r="W2069" s="240" t="str">
        <f t="shared" si="1"/>
        <v/>
      </c>
      <c r="X2069" s="4" t="str">
        <f>IFERROR(__xludf.DUMMYFUNCTION("""COMPUTED_VALUE"""),"Prepare for Showcase")</f>
        <v>Prepare for Showcase</v>
      </c>
      <c r="Y2069" s="4" t="str">
        <f t="shared" si="2"/>
        <v/>
      </c>
      <c r="Z2069" s="4" t="str">
        <f>IFERROR(__xludf.DUMMYFUNCTION("IFERROR(
  FILTER('CBK Students'!O:O, TRIM('CBK Students'!B:B) = TRIM(A2069)),
  """"
)"),"#REF!")</f>
        <v>#REF!</v>
      </c>
      <c r="AA2069" s="4" t="str">
        <f>IFERROR(__xludf.DUMMYFUNCTION("IFERROR(
  FILTER('CBK Students'!P:P, TRIM('CBK Students'!B:B) = TRIM(A2069)),
  """"
)"),"#REF!")</f>
        <v>#REF!</v>
      </c>
      <c r="AB2069" s="4" t="str">
        <f>IFERROR(__xludf.DUMMYFUNCTION("IFERROR(
  FILTER('CBK Students'!Q:Q, TRIM('CBK Students'!B:B) = TRIM(A2069)),
  """"
)"),"#REF!")</f>
        <v>#REF!</v>
      </c>
    </row>
    <row r="2070" ht="18.75" customHeight="1">
      <c r="T2070" s="4"/>
      <c r="U2070" s="4"/>
      <c r="V2070" s="4">
        <f>IFERROR(__xludf.DUMMYFUNCTION("""COMPUTED_VALUE"""),6590.0)</f>
        <v>6590</v>
      </c>
      <c r="W2070" s="240" t="str">
        <f t="shared" si="1"/>
        <v/>
      </c>
      <c r="X2070" s="4" t="str">
        <f>IFERROR(__xludf.DUMMYFUNCTION("""COMPUTED_VALUE"""),"Prepare for Showcase")</f>
        <v>Prepare for Showcase</v>
      </c>
      <c r="Y2070" s="4" t="str">
        <f t="shared" si="2"/>
        <v/>
      </c>
      <c r="Z2070" s="4" t="str">
        <f>IFERROR(__xludf.DUMMYFUNCTION("IFERROR(
  FILTER('CBK Students'!O:O, TRIM('CBK Students'!B:B) = TRIM(A2070)),
  """"
)"),"#REF!")</f>
        <v>#REF!</v>
      </c>
      <c r="AA2070" s="4" t="str">
        <f>IFERROR(__xludf.DUMMYFUNCTION("IFERROR(
  FILTER('CBK Students'!P:P, TRIM('CBK Students'!B:B) = TRIM(A2070)),
  """"
)"),"#REF!")</f>
        <v>#REF!</v>
      </c>
      <c r="AB2070" s="4" t="str">
        <f>IFERROR(__xludf.DUMMYFUNCTION("IFERROR(
  FILTER('CBK Students'!Q:Q, TRIM('CBK Students'!B:B) = TRIM(A2070)),
  """"
)"),"#REF!")</f>
        <v>#REF!</v>
      </c>
    </row>
    <row r="2071" ht="18.75" customHeight="1">
      <c r="T2071" s="4"/>
      <c r="U2071" s="4"/>
      <c r="V2071" s="4">
        <f>IFERROR(__xludf.DUMMYFUNCTION("""COMPUTED_VALUE"""),6590.0)</f>
        <v>6590</v>
      </c>
      <c r="W2071" s="240" t="str">
        <f t="shared" si="1"/>
        <v/>
      </c>
      <c r="X2071" s="4" t="str">
        <f>IFERROR(__xludf.DUMMYFUNCTION("""COMPUTED_VALUE"""),"Prepare for Showcase")</f>
        <v>Prepare for Showcase</v>
      </c>
      <c r="Y2071" s="4" t="str">
        <f t="shared" si="2"/>
        <v/>
      </c>
      <c r="Z2071" s="4" t="str">
        <f>IFERROR(__xludf.DUMMYFUNCTION("IFERROR(
  FILTER('CBK Students'!O:O, TRIM('CBK Students'!B:B) = TRIM(A2071)),
  """"
)"),"#REF!")</f>
        <v>#REF!</v>
      </c>
      <c r="AA2071" s="4" t="str">
        <f>IFERROR(__xludf.DUMMYFUNCTION("IFERROR(
  FILTER('CBK Students'!P:P, TRIM('CBK Students'!B:B) = TRIM(A2071)),
  """"
)"),"#REF!")</f>
        <v>#REF!</v>
      </c>
      <c r="AB2071" s="4" t="str">
        <f>IFERROR(__xludf.DUMMYFUNCTION("IFERROR(
  FILTER('CBK Students'!Q:Q, TRIM('CBK Students'!B:B) = TRIM(A2071)),
  """"
)"),"#REF!")</f>
        <v>#REF!</v>
      </c>
    </row>
    <row r="2072" ht="18.75" customHeight="1">
      <c r="T2072" s="4"/>
      <c r="U2072" s="4"/>
      <c r="V2072" s="4">
        <f>IFERROR(__xludf.DUMMYFUNCTION("""COMPUTED_VALUE"""),6590.0)</f>
        <v>6590</v>
      </c>
      <c r="W2072" s="240" t="str">
        <f t="shared" si="1"/>
        <v/>
      </c>
      <c r="X2072" s="4" t="str">
        <f>IFERROR(__xludf.DUMMYFUNCTION("""COMPUTED_VALUE"""),"Prepare for Showcase")</f>
        <v>Prepare for Showcase</v>
      </c>
      <c r="Y2072" s="4" t="str">
        <f t="shared" si="2"/>
        <v/>
      </c>
      <c r="Z2072" s="4" t="str">
        <f>IFERROR(__xludf.DUMMYFUNCTION("IFERROR(
  FILTER('CBK Students'!O:O, TRIM('CBK Students'!B:B) = TRIM(A2072)),
  """"
)"),"#REF!")</f>
        <v>#REF!</v>
      </c>
      <c r="AA2072" s="4" t="str">
        <f>IFERROR(__xludf.DUMMYFUNCTION("IFERROR(
  FILTER('CBK Students'!P:P, TRIM('CBK Students'!B:B) = TRIM(A2072)),
  """"
)"),"#REF!")</f>
        <v>#REF!</v>
      </c>
      <c r="AB2072" s="4" t="str">
        <f>IFERROR(__xludf.DUMMYFUNCTION("IFERROR(
  FILTER('CBK Students'!Q:Q, TRIM('CBK Students'!B:B) = TRIM(A2072)),
  """"
)"),"#REF!")</f>
        <v>#REF!</v>
      </c>
    </row>
    <row r="2073" ht="18.75" customHeight="1">
      <c r="T2073" s="4"/>
      <c r="U2073" s="4"/>
      <c r="V2073" s="4">
        <f>IFERROR(__xludf.DUMMYFUNCTION("""COMPUTED_VALUE"""),6590.0)</f>
        <v>6590</v>
      </c>
      <c r="W2073" s="240" t="str">
        <f t="shared" si="1"/>
        <v/>
      </c>
      <c r="X2073" s="4" t="str">
        <f>IFERROR(__xludf.DUMMYFUNCTION("""COMPUTED_VALUE"""),"Prepare for Showcase")</f>
        <v>Prepare for Showcase</v>
      </c>
      <c r="Y2073" s="4" t="str">
        <f t="shared" si="2"/>
        <v/>
      </c>
      <c r="Z2073" s="4" t="str">
        <f>IFERROR(__xludf.DUMMYFUNCTION("IFERROR(
  FILTER('CBK Students'!O:O, TRIM('CBK Students'!B:B) = TRIM(A2073)),
  """"
)"),"#REF!")</f>
        <v>#REF!</v>
      </c>
      <c r="AA2073" s="4" t="str">
        <f>IFERROR(__xludf.DUMMYFUNCTION("IFERROR(
  FILTER('CBK Students'!P:P, TRIM('CBK Students'!B:B) = TRIM(A2073)),
  """"
)"),"#REF!")</f>
        <v>#REF!</v>
      </c>
      <c r="AB2073" s="4" t="str">
        <f>IFERROR(__xludf.DUMMYFUNCTION("IFERROR(
  FILTER('CBK Students'!Q:Q, TRIM('CBK Students'!B:B) = TRIM(A2073)),
  """"
)"),"#REF!")</f>
        <v>#REF!</v>
      </c>
    </row>
    <row r="2074" ht="18.75" customHeight="1">
      <c r="T2074" s="4"/>
      <c r="U2074" s="4"/>
      <c r="V2074" s="4">
        <f>IFERROR(__xludf.DUMMYFUNCTION("""COMPUTED_VALUE"""),6590.0)</f>
        <v>6590</v>
      </c>
      <c r="W2074" s="240" t="str">
        <f t="shared" si="1"/>
        <v/>
      </c>
      <c r="X2074" s="4" t="str">
        <f>IFERROR(__xludf.DUMMYFUNCTION("""COMPUTED_VALUE"""),"Prepare for Showcase")</f>
        <v>Prepare for Showcase</v>
      </c>
      <c r="Y2074" s="4" t="str">
        <f t="shared" si="2"/>
        <v/>
      </c>
      <c r="Z2074" s="4" t="str">
        <f>IFERROR(__xludf.DUMMYFUNCTION("IFERROR(
  FILTER('CBK Students'!O:O, TRIM('CBK Students'!B:B) = TRIM(A2074)),
  """"
)"),"#REF!")</f>
        <v>#REF!</v>
      </c>
      <c r="AA2074" s="4" t="str">
        <f>IFERROR(__xludf.DUMMYFUNCTION("IFERROR(
  FILTER('CBK Students'!P:P, TRIM('CBK Students'!B:B) = TRIM(A2074)),
  """"
)"),"#REF!")</f>
        <v>#REF!</v>
      </c>
      <c r="AB2074" s="4" t="str">
        <f>IFERROR(__xludf.DUMMYFUNCTION("IFERROR(
  FILTER('CBK Students'!Q:Q, TRIM('CBK Students'!B:B) = TRIM(A2074)),
  """"
)"),"#REF!")</f>
        <v>#REF!</v>
      </c>
    </row>
    <row r="2075" ht="18.75" customHeight="1">
      <c r="T2075" s="4"/>
      <c r="U2075" s="4"/>
      <c r="V2075" s="4">
        <f>IFERROR(__xludf.DUMMYFUNCTION("""COMPUTED_VALUE"""),6590.0)</f>
        <v>6590</v>
      </c>
      <c r="W2075" s="240" t="str">
        <f t="shared" si="1"/>
        <v/>
      </c>
      <c r="X2075" s="4" t="str">
        <f>IFERROR(__xludf.DUMMYFUNCTION("""COMPUTED_VALUE"""),"Prepare for Showcase")</f>
        <v>Prepare for Showcase</v>
      </c>
      <c r="Y2075" s="4" t="str">
        <f t="shared" si="2"/>
        <v/>
      </c>
      <c r="Z2075" s="4" t="str">
        <f>IFERROR(__xludf.DUMMYFUNCTION("IFERROR(
  FILTER('CBK Students'!O:O, TRIM('CBK Students'!B:B) = TRIM(A2075)),
  """"
)"),"#REF!")</f>
        <v>#REF!</v>
      </c>
      <c r="AA2075" s="4" t="str">
        <f>IFERROR(__xludf.DUMMYFUNCTION("IFERROR(
  FILTER('CBK Students'!P:P, TRIM('CBK Students'!B:B) = TRIM(A2075)),
  """"
)"),"#REF!")</f>
        <v>#REF!</v>
      </c>
      <c r="AB2075" s="4" t="str">
        <f>IFERROR(__xludf.DUMMYFUNCTION("IFERROR(
  FILTER('CBK Students'!Q:Q, TRIM('CBK Students'!B:B) = TRIM(A2075)),
  """"
)"),"#REF!")</f>
        <v>#REF!</v>
      </c>
    </row>
    <row r="2076" ht="18.75" customHeight="1">
      <c r="T2076" s="4"/>
      <c r="U2076" s="4"/>
      <c r="V2076" s="4">
        <f>IFERROR(__xludf.DUMMYFUNCTION("""COMPUTED_VALUE"""),6590.0)</f>
        <v>6590</v>
      </c>
      <c r="W2076" s="240" t="str">
        <f t="shared" si="1"/>
        <v/>
      </c>
      <c r="X2076" s="4" t="str">
        <f>IFERROR(__xludf.DUMMYFUNCTION("""COMPUTED_VALUE"""),"Prepare for Showcase")</f>
        <v>Prepare for Showcase</v>
      </c>
      <c r="Y2076" s="4" t="str">
        <f t="shared" si="2"/>
        <v/>
      </c>
      <c r="Z2076" s="4" t="str">
        <f>IFERROR(__xludf.DUMMYFUNCTION("IFERROR(
  FILTER('CBK Students'!O:O, TRIM('CBK Students'!B:B) = TRIM(A2076)),
  """"
)"),"#REF!")</f>
        <v>#REF!</v>
      </c>
      <c r="AA2076" s="4" t="str">
        <f>IFERROR(__xludf.DUMMYFUNCTION("IFERROR(
  FILTER('CBK Students'!P:P, TRIM('CBK Students'!B:B) = TRIM(A2076)),
  """"
)"),"#REF!")</f>
        <v>#REF!</v>
      </c>
      <c r="AB2076" s="4" t="str">
        <f>IFERROR(__xludf.DUMMYFUNCTION("IFERROR(
  FILTER('CBK Students'!Q:Q, TRIM('CBK Students'!B:B) = TRIM(A2076)),
  """"
)"),"#REF!")</f>
        <v>#REF!</v>
      </c>
    </row>
    <row r="2077" ht="18.75" customHeight="1">
      <c r="T2077" s="4"/>
      <c r="U2077" s="4"/>
      <c r="V2077" s="4">
        <f>IFERROR(__xludf.DUMMYFUNCTION("""COMPUTED_VALUE"""),6590.0)</f>
        <v>6590</v>
      </c>
      <c r="W2077" s="240" t="str">
        <f t="shared" si="1"/>
        <v/>
      </c>
      <c r="X2077" s="4" t="str">
        <f>IFERROR(__xludf.DUMMYFUNCTION("""COMPUTED_VALUE"""),"Prepare for Showcase")</f>
        <v>Prepare for Showcase</v>
      </c>
      <c r="Y2077" s="4" t="str">
        <f t="shared" si="2"/>
        <v/>
      </c>
      <c r="Z2077" s="4" t="str">
        <f>IFERROR(__xludf.DUMMYFUNCTION("IFERROR(
  FILTER('CBK Students'!O:O, TRIM('CBK Students'!B:B) = TRIM(A2077)),
  """"
)"),"#REF!")</f>
        <v>#REF!</v>
      </c>
      <c r="AA2077" s="4" t="str">
        <f>IFERROR(__xludf.DUMMYFUNCTION("IFERROR(
  FILTER('CBK Students'!P:P, TRIM('CBK Students'!B:B) = TRIM(A2077)),
  """"
)"),"#REF!")</f>
        <v>#REF!</v>
      </c>
      <c r="AB2077" s="4" t="str">
        <f>IFERROR(__xludf.DUMMYFUNCTION("IFERROR(
  FILTER('CBK Students'!Q:Q, TRIM('CBK Students'!B:B) = TRIM(A2077)),
  """"
)"),"#REF!")</f>
        <v>#REF!</v>
      </c>
    </row>
    <row r="2078" ht="18.75" customHeight="1">
      <c r="T2078" s="4"/>
      <c r="U2078" s="4"/>
      <c r="V2078" s="4">
        <f>IFERROR(__xludf.DUMMYFUNCTION("""COMPUTED_VALUE"""),6590.0)</f>
        <v>6590</v>
      </c>
      <c r="W2078" s="240" t="str">
        <f t="shared" si="1"/>
        <v/>
      </c>
      <c r="X2078" s="4" t="str">
        <f>IFERROR(__xludf.DUMMYFUNCTION("""COMPUTED_VALUE"""),"Prepare for Showcase")</f>
        <v>Prepare for Showcase</v>
      </c>
      <c r="Y2078" s="4" t="str">
        <f t="shared" si="2"/>
        <v/>
      </c>
      <c r="Z2078" s="4" t="str">
        <f>IFERROR(__xludf.DUMMYFUNCTION("IFERROR(
  FILTER('CBK Students'!O:O, TRIM('CBK Students'!B:B) = TRIM(A2078)),
  """"
)"),"#REF!")</f>
        <v>#REF!</v>
      </c>
      <c r="AA2078" s="4" t="str">
        <f>IFERROR(__xludf.DUMMYFUNCTION("IFERROR(
  FILTER('CBK Students'!P:P, TRIM('CBK Students'!B:B) = TRIM(A2078)),
  """"
)"),"#REF!")</f>
        <v>#REF!</v>
      </c>
      <c r="AB2078" s="4" t="str">
        <f>IFERROR(__xludf.DUMMYFUNCTION("IFERROR(
  FILTER('CBK Students'!Q:Q, TRIM('CBK Students'!B:B) = TRIM(A2078)),
  """"
)"),"#REF!")</f>
        <v>#REF!</v>
      </c>
    </row>
    <row r="2079" ht="18.75" customHeight="1">
      <c r="T2079" s="4"/>
      <c r="U2079" s="4"/>
      <c r="V2079" s="4">
        <f>IFERROR(__xludf.DUMMYFUNCTION("""COMPUTED_VALUE"""),6590.0)</f>
        <v>6590</v>
      </c>
      <c r="W2079" s="240" t="str">
        <f t="shared" si="1"/>
        <v/>
      </c>
      <c r="X2079" s="4" t="str">
        <f>IFERROR(__xludf.DUMMYFUNCTION("""COMPUTED_VALUE"""),"Prepare for Showcase")</f>
        <v>Prepare for Showcase</v>
      </c>
      <c r="Y2079" s="4" t="str">
        <f t="shared" si="2"/>
        <v/>
      </c>
      <c r="Z2079" s="4" t="str">
        <f>IFERROR(__xludf.DUMMYFUNCTION("IFERROR(
  FILTER('CBK Students'!O:O, TRIM('CBK Students'!B:B) = TRIM(A2079)),
  """"
)"),"#REF!")</f>
        <v>#REF!</v>
      </c>
      <c r="AA2079" s="4" t="str">
        <f>IFERROR(__xludf.DUMMYFUNCTION("IFERROR(
  FILTER('CBK Students'!P:P, TRIM('CBK Students'!B:B) = TRIM(A2079)),
  """"
)"),"#REF!")</f>
        <v>#REF!</v>
      </c>
      <c r="AB2079" s="4" t="str">
        <f>IFERROR(__xludf.DUMMYFUNCTION("IFERROR(
  FILTER('CBK Students'!Q:Q, TRIM('CBK Students'!B:B) = TRIM(A2079)),
  """"
)"),"#REF!")</f>
        <v>#REF!</v>
      </c>
    </row>
    <row r="2080" ht="18.75" customHeight="1">
      <c r="T2080" s="4"/>
      <c r="U2080" s="4"/>
      <c r="V2080" s="4">
        <f>IFERROR(__xludf.DUMMYFUNCTION("""COMPUTED_VALUE"""),6590.0)</f>
        <v>6590</v>
      </c>
      <c r="W2080" s="240" t="str">
        <f t="shared" si="1"/>
        <v/>
      </c>
      <c r="X2080" s="4" t="str">
        <f>IFERROR(__xludf.DUMMYFUNCTION("""COMPUTED_VALUE"""),"Prepare for Showcase")</f>
        <v>Prepare for Showcase</v>
      </c>
      <c r="Y2080" s="4" t="str">
        <f t="shared" si="2"/>
        <v/>
      </c>
      <c r="Z2080" s="4" t="str">
        <f>IFERROR(__xludf.DUMMYFUNCTION("IFERROR(
  FILTER('CBK Students'!O:O, TRIM('CBK Students'!B:B) = TRIM(A2080)),
  """"
)"),"#REF!")</f>
        <v>#REF!</v>
      </c>
      <c r="AA2080" s="4" t="str">
        <f>IFERROR(__xludf.DUMMYFUNCTION("IFERROR(
  FILTER('CBK Students'!P:P, TRIM('CBK Students'!B:B) = TRIM(A2080)),
  """"
)"),"#REF!")</f>
        <v>#REF!</v>
      </c>
      <c r="AB2080" s="4" t="str">
        <f>IFERROR(__xludf.DUMMYFUNCTION("IFERROR(
  FILTER('CBK Students'!Q:Q, TRIM('CBK Students'!B:B) = TRIM(A2080)),
  """"
)"),"#REF!")</f>
        <v>#REF!</v>
      </c>
    </row>
    <row r="2081" ht="18.75" customHeight="1">
      <c r="T2081" s="4"/>
      <c r="U2081" s="4"/>
      <c r="V2081" s="4">
        <f>IFERROR(__xludf.DUMMYFUNCTION("""COMPUTED_VALUE"""),6590.0)</f>
        <v>6590</v>
      </c>
      <c r="W2081" s="240" t="str">
        <f t="shared" si="1"/>
        <v/>
      </c>
      <c r="X2081" s="4" t="str">
        <f>IFERROR(__xludf.DUMMYFUNCTION("""COMPUTED_VALUE"""),"Prepare for Showcase")</f>
        <v>Prepare for Showcase</v>
      </c>
      <c r="Y2081" s="4" t="str">
        <f t="shared" si="2"/>
        <v/>
      </c>
      <c r="Z2081" s="4" t="str">
        <f>IFERROR(__xludf.DUMMYFUNCTION("IFERROR(
  FILTER('CBK Students'!O:O, TRIM('CBK Students'!B:B) = TRIM(A2081)),
  """"
)"),"#REF!")</f>
        <v>#REF!</v>
      </c>
      <c r="AA2081" s="4" t="str">
        <f>IFERROR(__xludf.DUMMYFUNCTION("IFERROR(
  FILTER('CBK Students'!P:P, TRIM('CBK Students'!B:B) = TRIM(A2081)),
  """"
)"),"#REF!")</f>
        <v>#REF!</v>
      </c>
      <c r="AB2081" s="4" t="str">
        <f>IFERROR(__xludf.DUMMYFUNCTION("IFERROR(
  FILTER('CBK Students'!Q:Q, TRIM('CBK Students'!B:B) = TRIM(A2081)),
  """"
)"),"#REF!")</f>
        <v>#REF!</v>
      </c>
    </row>
    <row r="2082" ht="18.75" customHeight="1">
      <c r="T2082" s="4"/>
      <c r="U2082" s="4"/>
      <c r="V2082" s="4">
        <f>IFERROR(__xludf.DUMMYFUNCTION("""COMPUTED_VALUE"""),6590.0)</f>
        <v>6590</v>
      </c>
      <c r="W2082" s="240" t="str">
        <f t="shared" si="1"/>
        <v/>
      </c>
      <c r="X2082" s="4" t="str">
        <f>IFERROR(__xludf.DUMMYFUNCTION("""COMPUTED_VALUE"""),"Prepare for Showcase")</f>
        <v>Prepare for Showcase</v>
      </c>
      <c r="Y2082" s="4" t="str">
        <f t="shared" si="2"/>
        <v/>
      </c>
      <c r="Z2082" s="4" t="str">
        <f>IFERROR(__xludf.DUMMYFUNCTION("IFERROR(
  FILTER('CBK Students'!O:O, TRIM('CBK Students'!B:B) = TRIM(A2082)),
  """"
)"),"#REF!")</f>
        <v>#REF!</v>
      </c>
      <c r="AA2082" s="4" t="str">
        <f>IFERROR(__xludf.DUMMYFUNCTION("IFERROR(
  FILTER('CBK Students'!P:P, TRIM('CBK Students'!B:B) = TRIM(A2082)),
  """"
)"),"#REF!")</f>
        <v>#REF!</v>
      </c>
      <c r="AB2082" s="4" t="str">
        <f>IFERROR(__xludf.DUMMYFUNCTION("IFERROR(
  FILTER('CBK Students'!Q:Q, TRIM('CBK Students'!B:B) = TRIM(A2082)),
  """"
)"),"#REF!")</f>
        <v>#REF!</v>
      </c>
    </row>
    <row r="2083" ht="18.75" customHeight="1">
      <c r="T2083" s="4"/>
      <c r="U2083" s="4"/>
      <c r="V2083" s="4">
        <f>IFERROR(__xludf.DUMMYFUNCTION("""COMPUTED_VALUE"""),6590.0)</f>
        <v>6590</v>
      </c>
      <c r="W2083" s="240" t="str">
        <f t="shared" si="1"/>
        <v/>
      </c>
      <c r="X2083" s="4" t="str">
        <f>IFERROR(__xludf.DUMMYFUNCTION("""COMPUTED_VALUE"""),"Prepare for Showcase")</f>
        <v>Prepare for Showcase</v>
      </c>
      <c r="Y2083" s="4" t="str">
        <f t="shared" si="2"/>
        <v/>
      </c>
      <c r="Z2083" s="4" t="str">
        <f>IFERROR(__xludf.DUMMYFUNCTION("IFERROR(
  FILTER('CBK Students'!O:O, TRIM('CBK Students'!B:B) = TRIM(A2083)),
  """"
)"),"#REF!")</f>
        <v>#REF!</v>
      </c>
      <c r="AA2083" s="4" t="str">
        <f>IFERROR(__xludf.DUMMYFUNCTION("IFERROR(
  FILTER('CBK Students'!P:P, TRIM('CBK Students'!B:B) = TRIM(A2083)),
  """"
)"),"#REF!")</f>
        <v>#REF!</v>
      </c>
      <c r="AB2083" s="4" t="str">
        <f>IFERROR(__xludf.DUMMYFUNCTION("IFERROR(
  FILTER('CBK Students'!Q:Q, TRIM('CBK Students'!B:B) = TRIM(A2083)),
  """"
)"),"#REF!")</f>
        <v>#REF!</v>
      </c>
    </row>
    <row r="2084" ht="18.75" customHeight="1">
      <c r="T2084" s="4"/>
      <c r="U2084" s="4"/>
      <c r="V2084" s="4">
        <f>IFERROR(__xludf.DUMMYFUNCTION("""COMPUTED_VALUE"""),6590.0)</f>
        <v>6590</v>
      </c>
      <c r="W2084" s="240" t="str">
        <f t="shared" si="1"/>
        <v/>
      </c>
      <c r="X2084" s="4" t="str">
        <f>IFERROR(__xludf.DUMMYFUNCTION("""COMPUTED_VALUE"""),"Prepare for Showcase")</f>
        <v>Prepare for Showcase</v>
      </c>
      <c r="Y2084" s="4" t="str">
        <f t="shared" si="2"/>
        <v/>
      </c>
      <c r="Z2084" s="4" t="str">
        <f>IFERROR(__xludf.DUMMYFUNCTION("IFERROR(
  FILTER('CBK Students'!O:O, TRIM('CBK Students'!B:B) = TRIM(A2084)),
  """"
)"),"#REF!")</f>
        <v>#REF!</v>
      </c>
      <c r="AA2084" s="4" t="str">
        <f>IFERROR(__xludf.DUMMYFUNCTION("IFERROR(
  FILTER('CBK Students'!P:P, TRIM('CBK Students'!B:B) = TRIM(A2084)),
  """"
)"),"#REF!")</f>
        <v>#REF!</v>
      </c>
      <c r="AB2084" s="4" t="str">
        <f>IFERROR(__xludf.DUMMYFUNCTION("IFERROR(
  FILTER('CBK Students'!Q:Q, TRIM('CBK Students'!B:B) = TRIM(A2084)),
  """"
)"),"#REF!")</f>
        <v>#REF!</v>
      </c>
    </row>
    <row r="2085" ht="18.75" customHeight="1">
      <c r="T2085" s="4"/>
      <c r="U2085" s="4"/>
      <c r="V2085" s="4">
        <f>IFERROR(__xludf.DUMMYFUNCTION("""COMPUTED_VALUE"""),6590.0)</f>
        <v>6590</v>
      </c>
      <c r="W2085" s="240" t="str">
        <f t="shared" si="1"/>
        <v/>
      </c>
      <c r="X2085" s="4" t="str">
        <f>IFERROR(__xludf.DUMMYFUNCTION("""COMPUTED_VALUE"""),"Prepare for Showcase")</f>
        <v>Prepare for Showcase</v>
      </c>
      <c r="Y2085" s="4" t="str">
        <f t="shared" si="2"/>
        <v/>
      </c>
      <c r="Z2085" s="4" t="str">
        <f>IFERROR(__xludf.DUMMYFUNCTION("IFERROR(
  FILTER('CBK Students'!O:O, TRIM('CBK Students'!B:B) = TRIM(A2085)),
  """"
)"),"#REF!")</f>
        <v>#REF!</v>
      </c>
      <c r="AA2085" s="4" t="str">
        <f>IFERROR(__xludf.DUMMYFUNCTION("IFERROR(
  FILTER('CBK Students'!P:P, TRIM('CBK Students'!B:B) = TRIM(A2085)),
  """"
)"),"#REF!")</f>
        <v>#REF!</v>
      </c>
      <c r="AB2085" s="4" t="str">
        <f>IFERROR(__xludf.DUMMYFUNCTION("IFERROR(
  FILTER('CBK Students'!Q:Q, TRIM('CBK Students'!B:B) = TRIM(A2085)),
  """"
)"),"#REF!")</f>
        <v>#REF!</v>
      </c>
    </row>
    <row r="2086" ht="18.75" customHeight="1">
      <c r="T2086" s="4"/>
      <c r="U2086" s="4"/>
      <c r="V2086" s="4">
        <f>IFERROR(__xludf.DUMMYFUNCTION("""COMPUTED_VALUE"""),6590.0)</f>
        <v>6590</v>
      </c>
      <c r="W2086" s="240" t="str">
        <f t="shared" si="1"/>
        <v/>
      </c>
      <c r="X2086" s="4" t="str">
        <f>IFERROR(__xludf.DUMMYFUNCTION("""COMPUTED_VALUE"""),"Prepare for Showcase")</f>
        <v>Prepare for Showcase</v>
      </c>
      <c r="Y2086" s="4" t="str">
        <f t="shared" si="2"/>
        <v/>
      </c>
      <c r="Z2086" s="4" t="str">
        <f>IFERROR(__xludf.DUMMYFUNCTION("IFERROR(
  FILTER('CBK Students'!O:O, TRIM('CBK Students'!B:B) = TRIM(A2086)),
  """"
)"),"#REF!")</f>
        <v>#REF!</v>
      </c>
      <c r="AA2086" s="4" t="str">
        <f>IFERROR(__xludf.DUMMYFUNCTION("IFERROR(
  FILTER('CBK Students'!P:P, TRIM('CBK Students'!B:B) = TRIM(A2086)),
  """"
)"),"#REF!")</f>
        <v>#REF!</v>
      </c>
      <c r="AB2086" s="4" t="str">
        <f>IFERROR(__xludf.DUMMYFUNCTION("IFERROR(
  FILTER('CBK Students'!Q:Q, TRIM('CBK Students'!B:B) = TRIM(A2086)),
  """"
)"),"#REF!")</f>
        <v>#REF!</v>
      </c>
    </row>
    <row r="2087" ht="18.75" customHeight="1">
      <c r="T2087" s="4"/>
      <c r="U2087" s="4"/>
      <c r="V2087" s="4">
        <f>IFERROR(__xludf.DUMMYFUNCTION("""COMPUTED_VALUE"""),6590.0)</f>
        <v>6590</v>
      </c>
      <c r="W2087" s="240" t="str">
        <f t="shared" si="1"/>
        <v/>
      </c>
      <c r="X2087" s="4" t="str">
        <f>IFERROR(__xludf.DUMMYFUNCTION("""COMPUTED_VALUE"""),"Prepare for Showcase")</f>
        <v>Prepare for Showcase</v>
      </c>
      <c r="Y2087" s="4" t="str">
        <f t="shared" si="2"/>
        <v/>
      </c>
      <c r="Z2087" s="4" t="str">
        <f>IFERROR(__xludf.DUMMYFUNCTION("IFERROR(
  FILTER('CBK Students'!O:O, TRIM('CBK Students'!B:B) = TRIM(A2087)),
  """"
)"),"#REF!")</f>
        <v>#REF!</v>
      </c>
      <c r="AA2087" s="4" t="str">
        <f>IFERROR(__xludf.DUMMYFUNCTION("IFERROR(
  FILTER('CBK Students'!P:P, TRIM('CBK Students'!B:B) = TRIM(A2087)),
  """"
)"),"#REF!")</f>
        <v>#REF!</v>
      </c>
      <c r="AB2087" s="4" t="str">
        <f>IFERROR(__xludf.DUMMYFUNCTION("IFERROR(
  FILTER('CBK Students'!Q:Q, TRIM('CBK Students'!B:B) = TRIM(A2087)),
  """"
)"),"#REF!")</f>
        <v>#REF!</v>
      </c>
    </row>
    <row r="2088" ht="18.75" customHeight="1">
      <c r="T2088" s="4"/>
      <c r="U2088" s="4"/>
      <c r="V2088" s="4">
        <f>IFERROR(__xludf.DUMMYFUNCTION("""COMPUTED_VALUE"""),6590.0)</f>
        <v>6590</v>
      </c>
      <c r="W2088" s="240" t="str">
        <f t="shared" si="1"/>
        <v/>
      </c>
      <c r="X2088" s="4" t="str">
        <f>IFERROR(__xludf.DUMMYFUNCTION("""COMPUTED_VALUE"""),"Prepare for Showcase")</f>
        <v>Prepare for Showcase</v>
      </c>
      <c r="Y2088" s="4" t="str">
        <f t="shared" si="2"/>
        <v/>
      </c>
      <c r="Z2088" s="4" t="str">
        <f>IFERROR(__xludf.DUMMYFUNCTION("IFERROR(
  FILTER('CBK Students'!O:O, TRIM('CBK Students'!B:B) = TRIM(A2088)),
  """"
)"),"#REF!")</f>
        <v>#REF!</v>
      </c>
      <c r="AA2088" s="4" t="str">
        <f>IFERROR(__xludf.DUMMYFUNCTION("IFERROR(
  FILTER('CBK Students'!P:P, TRIM('CBK Students'!B:B) = TRIM(A2088)),
  """"
)"),"#REF!")</f>
        <v>#REF!</v>
      </c>
      <c r="AB2088" s="4" t="str">
        <f>IFERROR(__xludf.DUMMYFUNCTION("IFERROR(
  FILTER('CBK Students'!Q:Q, TRIM('CBK Students'!B:B) = TRIM(A2088)),
  """"
)"),"#REF!")</f>
        <v>#REF!</v>
      </c>
    </row>
    <row r="2089" ht="18.75" customHeight="1">
      <c r="T2089" s="4"/>
      <c r="U2089" s="4"/>
      <c r="V2089" s="4">
        <f>IFERROR(__xludf.DUMMYFUNCTION("""COMPUTED_VALUE"""),6590.0)</f>
        <v>6590</v>
      </c>
      <c r="W2089" s="240" t="str">
        <f t="shared" si="1"/>
        <v/>
      </c>
      <c r="X2089" s="4" t="str">
        <f>IFERROR(__xludf.DUMMYFUNCTION("""COMPUTED_VALUE"""),"Prepare for Showcase")</f>
        <v>Prepare for Showcase</v>
      </c>
      <c r="Y2089" s="4" t="str">
        <f t="shared" si="2"/>
        <v/>
      </c>
      <c r="Z2089" s="4" t="str">
        <f>IFERROR(__xludf.DUMMYFUNCTION("IFERROR(
  FILTER('CBK Students'!O:O, TRIM('CBK Students'!B:B) = TRIM(A2089)),
  """"
)"),"#REF!")</f>
        <v>#REF!</v>
      </c>
      <c r="AA2089" s="4" t="str">
        <f>IFERROR(__xludf.DUMMYFUNCTION("IFERROR(
  FILTER('CBK Students'!P:P, TRIM('CBK Students'!B:B) = TRIM(A2089)),
  """"
)"),"#REF!")</f>
        <v>#REF!</v>
      </c>
      <c r="AB2089" s="4" t="str">
        <f>IFERROR(__xludf.DUMMYFUNCTION("IFERROR(
  FILTER('CBK Students'!Q:Q, TRIM('CBK Students'!B:B) = TRIM(A2089)),
  """"
)"),"#REF!")</f>
        <v>#REF!</v>
      </c>
    </row>
    <row r="2090" ht="18.75" customHeight="1">
      <c r="T2090" s="4"/>
      <c r="U2090" s="4"/>
      <c r="V2090" s="4">
        <f>IFERROR(__xludf.DUMMYFUNCTION("""COMPUTED_VALUE"""),6590.0)</f>
        <v>6590</v>
      </c>
      <c r="W2090" s="240" t="str">
        <f t="shared" si="1"/>
        <v/>
      </c>
      <c r="X2090" s="4" t="str">
        <f>IFERROR(__xludf.DUMMYFUNCTION("""COMPUTED_VALUE"""),"Prepare for Showcase")</f>
        <v>Prepare for Showcase</v>
      </c>
      <c r="Y2090" s="4" t="str">
        <f t="shared" si="2"/>
        <v/>
      </c>
      <c r="Z2090" s="4" t="str">
        <f>IFERROR(__xludf.DUMMYFUNCTION("IFERROR(
  FILTER('CBK Students'!O:O, TRIM('CBK Students'!B:B) = TRIM(A2090)),
  """"
)"),"#REF!")</f>
        <v>#REF!</v>
      </c>
      <c r="AA2090" s="4" t="str">
        <f>IFERROR(__xludf.DUMMYFUNCTION("IFERROR(
  FILTER('CBK Students'!P:P, TRIM('CBK Students'!B:B) = TRIM(A2090)),
  """"
)"),"#REF!")</f>
        <v>#REF!</v>
      </c>
      <c r="AB2090" s="4" t="str">
        <f>IFERROR(__xludf.DUMMYFUNCTION("IFERROR(
  FILTER('CBK Students'!Q:Q, TRIM('CBK Students'!B:B) = TRIM(A2090)),
  """"
)"),"#REF!")</f>
        <v>#REF!</v>
      </c>
    </row>
    <row r="2091" ht="18.75" customHeight="1">
      <c r="T2091" s="4"/>
      <c r="U2091" s="4"/>
      <c r="V2091" s="4">
        <f>IFERROR(__xludf.DUMMYFUNCTION("""COMPUTED_VALUE"""),6590.0)</f>
        <v>6590</v>
      </c>
      <c r="W2091" s="240" t="str">
        <f t="shared" si="1"/>
        <v/>
      </c>
      <c r="X2091" s="4" t="str">
        <f>IFERROR(__xludf.DUMMYFUNCTION("""COMPUTED_VALUE"""),"Prepare for Showcase")</f>
        <v>Prepare for Showcase</v>
      </c>
      <c r="Y2091" s="4" t="str">
        <f t="shared" si="2"/>
        <v/>
      </c>
      <c r="Z2091" s="4" t="str">
        <f>IFERROR(__xludf.DUMMYFUNCTION("IFERROR(
  FILTER('CBK Students'!O:O, TRIM('CBK Students'!B:B) = TRIM(A2091)),
  """"
)"),"#REF!")</f>
        <v>#REF!</v>
      </c>
      <c r="AA2091" s="4" t="str">
        <f>IFERROR(__xludf.DUMMYFUNCTION("IFERROR(
  FILTER('CBK Students'!P:P, TRIM('CBK Students'!B:B) = TRIM(A2091)),
  """"
)"),"#REF!")</f>
        <v>#REF!</v>
      </c>
      <c r="AB2091" s="4" t="str">
        <f>IFERROR(__xludf.DUMMYFUNCTION("IFERROR(
  FILTER('CBK Students'!Q:Q, TRIM('CBK Students'!B:B) = TRIM(A2091)),
  """"
)"),"#REF!")</f>
        <v>#REF!</v>
      </c>
    </row>
    <row r="2092" ht="18.75" customHeight="1">
      <c r="T2092" s="4"/>
      <c r="U2092" s="4"/>
      <c r="V2092" s="4">
        <f>IFERROR(__xludf.DUMMYFUNCTION("""COMPUTED_VALUE"""),6590.0)</f>
        <v>6590</v>
      </c>
      <c r="W2092" s="240" t="str">
        <f t="shared" si="1"/>
        <v/>
      </c>
      <c r="X2092" s="4" t="str">
        <f>IFERROR(__xludf.DUMMYFUNCTION("""COMPUTED_VALUE"""),"Prepare for Showcase")</f>
        <v>Prepare for Showcase</v>
      </c>
      <c r="Y2092" s="4" t="str">
        <f t="shared" si="2"/>
        <v/>
      </c>
      <c r="Z2092" s="4" t="str">
        <f>IFERROR(__xludf.DUMMYFUNCTION("IFERROR(
  FILTER('CBK Students'!O:O, TRIM('CBK Students'!B:B) = TRIM(A2092)),
  """"
)"),"#REF!")</f>
        <v>#REF!</v>
      </c>
      <c r="AA2092" s="4" t="str">
        <f>IFERROR(__xludf.DUMMYFUNCTION("IFERROR(
  FILTER('CBK Students'!P:P, TRIM('CBK Students'!B:B) = TRIM(A2092)),
  """"
)"),"#REF!")</f>
        <v>#REF!</v>
      </c>
      <c r="AB2092" s="4" t="str">
        <f>IFERROR(__xludf.DUMMYFUNCTION("IFERROR(
  FILTER('CBK Students'!Q:Q, TRIM('CBK Students'!B:B) = TRIM(A2092)),
  """"
)"),"#REF!")</f>
        <v>#REF!</v>
      </c>
    </row>
    <row r="2093" ht="18.75" customHeight="1">
      <c r="T2093" s="4"/>
      <c r="U2093" s="4"/>
      <c r="V2093" s="4">
        <f>IFERROR(__xludf.DUMMYFUNCTION("""COMPUTED_VALUE"""),6590.0)</f>
        <v>6590</v>
      </c>
      <c r="W2093" s="240" t="str">
        <f t="shared" si="1"/>
        <v/>
      </c>
      <c r="X2093" s="4" t="str">
        <f>IFERROR(__xludf.DUMMYFUNCTION("""COMPUTED_VALUE"""),"Prepare for Showcase")</f>
        <v>Prepare for Showcase</v>
      </c>
      <c r="Y2093" s="4" t="str">
        <f t="shared" si="2"/>
        <v/>
      </c>
      <c r="Z2093" s="4" t="str">
        <f>IFERROR(__xludf.DUMMYFUNCTION("IFERROR(
  FILTER('CBK Students'!O:O, TRIM('CBK Students'!B:B) = TRIM(A2093)),
  """"
)"),"#REF!")</f>
        <v>#REF!</v>
      </c>
      <c r="AA2093" s="4" t="str">
        <f>IFERROR(__xludf.DUMMYFUNCTION("IFERROR(
  FILTER('CBK Students'!P:P, TRIM('CBK Students'!B:B) = TRIM(A2093)),
  """"
)"),"#REF!")</f>
        <v>#REF!</v>
      </c>
      <c r="AB2093" s="4" t="str">
        <f>IFERROR(__xludf.DUMMYFUNCTION("IFERROR(
  FILTER('CBK Students'!Q:Q, TRIM('CBK Students'!B:B) = TRIM(A2093)),
  """"
)"),"#REF!")</f>
        <v>#REF!</v>
      </c>
    </row>
    <row r="2094" ht="18.75" customHeight="1">
      <c r="T2094" s="4"/>
      <c r="U2094" s="4"/>
      <c r="V2094" s="4">
        <f>IFERROR(__xludf.DUMMYFUNCTION("""COMPUTED_VALUE"""),6590.0)</f>
        <v>6590</v>
      </c>
      <c r="W2094" s="240" t="str">
        <f t="shared" si="1"/>
        <v/>
      </c>
      <c r="X2094" s="4" t="str">
        <f>IFERROR(__xludf.DUMMYFUNCTION("""COMPUTED_VALUE"""),"Prepare for Showcase")</f>
        <v>Prepare for Showcase</v>
      </c>
      <c r="Y2094" s="4" t="str">
        <f t="shared" si="2"/>
        <v/>
      </c>
      <c r="Z2094" s="4" t="str">
        <f>IFERROR(__xludf.DUMMYFUNCTION("IFERROR(
  FILTER('CBK Students'!O:O, TRIM('CBK Students'!B:B) = TRIM(A2094)),
  """"
)"),"#REF!")</f>
        <v>#REF!</v>
      </c>
      <c r="AA2094" s="4" t="str">
        <f>IFERROR(__xludf.DUMMYFUNCTION("IFERROR(
  FILTER('CBK Students'!P:P, TRIM('CBK Students'!B:B) = TRIM(A2094)),
  """"
)"),"#REF!")</f>
        <v>#REF!</v>
      </c>
      <c r="AB2094" s="4" t="str">
        <f>IFERROR(__xludf.DUMMYFUNCTION("IFERROR(
  FILTER('CBK Students'!Q:Q, TRIM('CBK Students'!B:B) = TRIM(A2094)),
  """"
)"),"#REF!")</f>
        <v>#REF!</v>
      </c>
    </row>
    <row r="2095" ht="18.75" customHeight="1">
      <c r="T2095" s="4"/>
      <c r="U2095" s="4"/>
      <c r="V2095" s="4">
        <f>IFERROR(__xludf.DUMMYFUNCTION("""COMPUTED_VALUE"""),6590.0)</f>
        <v>6590</v>
      </c>
      <c r="W2095" s="240" t="str">
        <f t="shared" si="1"/>
        <v/>
      </c>
      <c r="X2095" s="4" t="str">
        <f>IFERROR(__xludf.DUMMYFUNCTION("""COMPUTED_VALUE"""),"Prepare for Showcase")</f>
        <v>Prepare for Showcase</v>
      </c>
      <c r="Y2095" s="4" t="str">
        <f t="shared" si="2"/>
        <v/>
      </c>
      <c r="Z2095" s="4" t="str">
        <f>IFERROR(__xludf.DUMMYFUNCTION("IFERROR(
  FILTER('CBK Students'!O:O, TRIM('CBK Students'!B:B) = TRIM(A2095)),
  """"
)"),"#REF!")</f>
        <v>#REF!</v>
      </c>
      <c r="AA2095" s="4" t="str">
        <f>IFERROR(__xludf.DUMMYFUNCTION("IFERROR(
  FILTER('CBK Students'!P:P, TRIM('CBK Students'!B:B) = TRIM(A2095)),
  """"
)"),"#REF!")</f>
        <v>#REF!</v>
      </c>
      <c r="AB2095" s="4" t="str">
        <f>IFERROR(__xludf.DUMMYFUNCTION("IFERROR(
  FILTER('CBK Students'!Q:Q, TRIM('CBK Students'!B:B) = TRIM(A2095)),
  """"
)"),"#REF!")</f>
        <v>#REF!</v>
      </c>
    </row>
    <row r="2096" ht="18.75" customHeight="1">
      <c r="T2096" s="4"/>
      <c r="U2096" s="4"/>
      <c r="V2096" s="4">
        <f>IFERROR(__xludf.DUMMYFUNCTION("""COMPUTED_VALUE"""),6590.0)</f>
        <v>6590</v>
      </c>
      <c r="W2096" s="240" t="str">
        <f t="shared" si="1"/>
        <v/>
      </c>
      <c r="X2096" s="4" t="str">
        <f>IFERROR(__xludf.DUMMYFUNCTION("""COMPUTED_VALUE"""),"Prepare for Showcase")</f>
        <v>Prepare for Showcase</v>
      </c>
      <c r="Y2096" s="4" t="str">
        <f t="shared" si="2"/>
        <v/>
      </c>
      <c r="Z2096" s="4" t="str">
        <f>IFERROR(__xludf.DUMMYFUNCTION("IFERROR(
  FILTER('CBK Students'!O:O, TRIM('CBK Students'!B:B) = TRIM(A2096)),
  """"
)"),"#REF!")</f>
        <v>#REF!</v>
      </c>
      <c r="AA2096" s="4" t="str">
        <f>IFERROR(__xludf.DUMMYFUNCTION("IFERROR(
  FILTER('CBK Students'!P:P, TRIM('CBK Students'!B:B) = TRIM(A2096)),
  """"
)"),"#REF!")</f>
        <v>#REF!</v>
      </c>
      <c r="AB2096" s="4" t="str">
        <f>IFERROR(__xludf.DUMMYFUNCTION("IFERROR(
  FILTER('CBK Students'!Q:Q, TRIM('CBK Students'!B:B) = TRIM(A2096)),
  """"
)"),"#REF!")</f>
        <v>#REF!</v>
      </c>
    </row>
    <row r="2097" ht="18.75" customHeight="1">
      <c r="T2097" s="4"/>
      <c r="U2097" s="4"/>
      <c r="V2097" s="4">
        <f>IFERROR(__xludf.DUMMYFUNCTION("""COMPUTED_VALUE"""),6590.0)</f>
        <v>6590</v>
      </c>
      <c r="W2097" s="240" t="str">
        <f t="shared" si="1"/>
        <v/>
      </c>
      <c r="X2097" s="4" t="str">
        <f>IFERROR(__xludf.DUMMYFUNCTION("""COMPUTED_VALUE"""),"Prepare for Showcase")</f>
        <v>Prepare for Showcase</v>
      </c>
      <c r="Y2097" s="4" t="str">
        <f t="shared" si="2"/>
        <v/>
      </c>
      <c r="Z2097" s="4" t="str">
        <f>IFERROR(__xludf.DUMMYFUNCTION("IFERROR(
  FILTER('CBK Students'!O:O, TRIM('CBK Students'!B:B) = TRIM(A2097)),
  """"
)"),"#REF!")</f>
        <v>#REF!</v>
      </c>
      <c r="AA2097" s="4" t="str">
        <f>IFERROR(__xludf.DUMMYFUNCTION("IFERROR(
  FILTER('CBK Students'!P:P, TRIM('CBK Students'!B:B) = TRIM(A2097)),
  """"
)"),"#REF!")</f>
        <v>#REF!</v>
      </c>
      <c r="AB2097" s="4" t="str">
        <f>IFERROR(__xludf.DUMMYFUNCTION("IFERROR(
  FILTER('CBK Students'!Q:Q, TRIM('CBK Students'!B:B) = TRIM(A2097)),
  """"
)"),"#REF!")</f>
        <v>#REF!</v>
      </c>
    </row>
    <row r="2098" ht="18.75" customHeight="1">
      <c r="T2098" s="4"/>
      <c r="U2098" s="4"/>
      <c r="V2098" s="4">
        <f>IFERROR(__xludf.DUMMYFUNCTION("""COMPUTED_VALUE"""),6590.0)</f>
        <v>6590</v>
      </c>
      <c r="W2098" s="240" t="str">
        <f t="shared" si="1"/>
        <v/>
      </c>
      <c r="X2098" s="4" t="str">
        <f>IFERROR(__xludf.DUMMYFUNCTION("""COMPUTED_VALUE"""),"Prepare for Showcase")</f>
        <v>Prepare for Showcase</v>
      </c>
      <c r="Y2098" s="4" t="str">
        <f t="shared" si="2"/>
        <v/>
      </c>
      <c r="Z2098" s="4" t="str">
        <f>IFERROR(__xludf.DUMMYFUNCTION("IFERROR(
  FILTER('CBK Students'!O:O, TRIM('CBK Students'!B:B) = TRIM(A2098)),
  """"
)"),"#REF!")</f>
        <v>#REF!</v>
      </c>
      <c r="AA2098" s="4" t="str">
        <f>IFERROR(__xludf.DUMMYFUNCTION("IFERROR(
  FILTER('CBK Students'!P:P, TRIM('CBK Students'!B:B) = TRIM(A2098)),
  """"
)"),"#REF!")</f>
        <v>#REF!</v>
      </c>
      <c r="AB2098" s="4" t="str">
        <f>IFERROR(__xludf.DUMMYFUNCTION("IFERROR(
  FILTER('CBK Students'!Q:Q, TRIM('CBK Students'!B:B) = TRIM(A2098)),
  """"
)"),"#REF!")</f>
        <v>#REF!</v>
      </c>
    </row>
    <row r="2099" ht="18.75" customHeight="1">
      <c r="T2099" s="4"/>
      <c r="U2099" s="4"/>
      <c r="V2099" s="4">
        <f>IFERROR(__xludf.DUMMYFUNCTION("""COMPUTED_VALUE"""),6590.0)</f>
        <v>6590</v>
      </c>
      <c r="W2099" s="240" t="str">
        <f t="shared" si="1"/>
        <v/>
      </c>
      <c r="X2099" s="4" t="str">
        <f>IFERROR(__xludf.DUMMYFUNCTION("""COMPUTED_VALUE"""),"Prepare for Showcase")</f>
        <v>Prepare for Showcase</v>
      </c>
      <c r="Y2099" s="4" t="str">
        <f t="shared" si="2"/>
        <v/>
      </c>
      <c r="Z2099" s="4" t="str">
        <f>IFERROR(__xludf.DUMMYFUNCTION("IFERROR(
  FILTER('CBK Students'!O:O, TRIM('CBK Students'!B:B) = TRIM(A2099)),
  """"
)"),"#REF!")</f>
        <v>#REF!</v>
      </c>
      <c r="AA2099" s="4" t="str">
        <f>IFERROR(__xludf.DUMMYFUNCTION("IFERROR(
  FILTER('CBK Students'!P:P, TRIM('CBK Students'!B:B) = TRIM(A2099)),
  """"
)"),"#REF!")</f>
        <v>#REF!</v>
      </c>
      <c r="AB2099" s="4" t="str">
        <f>IFERROR(__xludf.DUMMYFUNCTION("IFERROR(
  FILTER('CBK Students'!Q:Q, TRIM('CBK Students'!B:B) = TRIM(A2099)),
  """"
)"),"#REF!")</f>
        <v>#REF!</v>
      </c>
    </row>
    <row r="2100" ht="18.75" customHeight="1">
      <c r="T2100" s="4"/>
      <c r="U2100" s="4"/>
      <c r="V2100" s="4">
        <f>IFERROR(__xludf.DUMMYFUNCTION("""COMPUTED_VALUE"""),6590.0)</f>
        <v>6590</v>
      </c>
      <c r="W2100" s="240" t="str">
        <f t="shared" si="1"/>
        <v/>
      </c>
      <c r="X2100" s="4" t="str">
        <f>IFERROR(__xludf.DUMMYFUNCTION("""COMPUTED_VALUE"""),"Prepare for Showcase")</f>
        <v>Prepare for Showcase</v>
      </c>
      <c r="Y2100" s="4" t="str">
        <f t="shared" si="2"/>
        <v/>
      </c>
      <c r="Z2100" s="4" t="str">
        <f>IFERROR(__xludf.DUMMYFUNCTION("IFERROR(
  FILTER('CBK Students'!O:O, TRIM('CBK Students'!B:B) = TRIM(A2100)),
  """"
)"),"#REF!")</f>
        <v>#REF!</v>
      </c>
      <c r="AA2100" s="4" t="str">
        <f>IFERROR(__xludf.DUMMYFUNCTION("IFERROR(
  FILTER('CBK Students'!P:P, TRIM('CBK Students'!B:B) = TRIM(A2100)),
  """"
)"),"#REF!")</f>
        <v>#REF!</v>
      </c>
      <c r="AB2100" s="4" t="str">
        <f>IFERROR(__xludf.DUMMYFUNCTION("IFERROR(
  FILTER('CBK Students'!Q:Q, TRIM('CBK Students'!B:B) = TRIM(A2100)),
  """"
)"),"#REF!")</f>
        <v>#REF!</v>
      </c>
    </row>
    <row r="2101" ht="18.75" customHeight="1">
      <c r="T2101" s="4"/>
      <c r="U2101" s="4"/>
      <c r="V2101" s="4">
        <f>IFERROR(__xludf.DUMMYFUNCTION("""COMPUTED_VALUE"""),6590.0)</f>
        <v>6590</v>
      </c>
      <c r="W2101" s="240" t="str">
        <f t="shared" si="1"/>
        <v/>
      </c>
      <c r="X2101" s="4" t="str">
        <f>IFERROR(__xludf.DUMMYFUNCTION("""COMPUTED_VALUE"""),"Prepare for Showcase")</f>
        <v>Prepare for Showcase</v>
      </c>
      <c r="Y2101" s="4" t="str">
        <f t="shared" si="2"/>
        <v/>
      </c>
      <c r="Z2101" s="4" t="str">
        <f>IFERROR(__xludf.DUMMYFUNCTION("IFERROR(
  FILTER('CBK Students'!O:O, TRIM('CBK Students'!B:B) = TRIM(A2101)),
  """"
)"),"#REF!")</f>
        <v>#REF!</v>
      </c>
      <c r="AA2101" s="4" t="str">
        <f>IFERROR(__xludf.DUMMYFUNCTION("IFERROR(
  FILTER('CBK Students'!P:P, TRIM('CBK Students'!B:B) = TRIM(A2101)),
  """"
)"),"#REF!")</f>
        <v>#REF!</v>
      </c>
      <c r="AB2101" s="4" t="str">
        <f>IFERROR(__xludf.DUMMYFUNCTION("IFERROR(
  FILTER('CBK Students'!Q:Q, TRIM('CBK Students'!B:B) = TRIM(A2101)),
  """"
)"),"#REF!")</f>
        <v>#REF!</v>
      </c>
    </row>
    <row r="2102" ht="18.75" customHeight="1">
      <c r="T2102" s="4"/>
      <c r="U2102" s="4"/>
      <c r="V2102" s="4">
        <f>IFERROR(__xludf.DUMMYFUNCTION("""COMPUTED_VALUE"""),6590.0)</f>
        <v>6590</v>
      </c>
      <c r="W2102" s="240" t="str">
        <f t="shared" si="1"/>
        <v/>
      </c>
      <c r="X2102" s="4" t="str">
        <f>IFERROR(__xludf.DUMMYFUNCTION("""COMPUTED_VALUE"""),"Prepare for Showcase")</f>
        <v>Prepare for Showcase</v>
      </c>
      <c r="Y2102" s="4" t="str">
        <f t="shared" si="2"/>
        <v/>
      </c>
      <c r="Z2102" s="4" t="str">
        <f>IFERROR(__xludf.DUMMYFUNCTION("IFERROR(
  FILTER('CBK Students'!O:O, TRIM('CBK Students'!B:B) = TRIM(A2102)),
  """"
)"),"#REF!")</f>
        <v>#REF!</v>
      </c>
      <c r="AA2102" s="4" t="str">
        <f>IFERROR(__xludf.DUMMYFUNCTION("IFERROR(
  FILTER('CBK Students'!P:P, TRIM('CBK Students'!B:B) = TRIM(A2102)),
  """"
)"),"#REF!")</f>
        <v>#REF!</v>
      </c>
      <c r="AB2102" s="4" t="str">
        <f>IFERROR(__xludf.DUMMYFUNCTION("IFERROR(
  FILTER('CBK Students'!Q:Q, TRIM('CBK Students'!B:B) = TRIM(A2102)),
  """"
)"),"#REF!")</f>
        <v>#REF!</v>
      </c>
    </row>
    <row r="2103" ht="18.75" customHeight="1">
      <c r="T2103" s="4"/>
      <c r="U2103" s="4"/>
      <c r="V2103" s="4">
        <f>IFERROR(__xludf.DUMMYFUNCTION("""COMPUTED_VALUE"""),6590.0)</f>
        <v>6590</v>
      </c>
      <c r="W2103" s="240" t="str">
        <f t="shared" si="1"/>
        <v/>
      </c>
      <c r="X2103" s="4" t="str">
        <f>IFERROR(__xludf.DUMMYFUNCTION("""COMPUTED_VALUE"""),"Prepare for Showcase")</f>
        <v>Prepare for Showcase</v>
      </c>
      <c r="Y2103" s="4" t="str">
        <f t="shared" si="2"/>
        <v/>
      </c>
      <c r="Z2103" s="4" t="str">
        <f>IFERROR(__xludf.DUMMYFUNCTION("IFERROR(
  FILTER('CBK Students'!O:O, TRIM('CBK Students'!B:B) = TRIM(A2103)),
  """"
)"),"#REF!")</f>
        <v>#REF!</v>
      </c>
      <c r="AA2103" s="4" t="str">
        <f>IFERROR(__xludf.DUMMYFUNCTION("IFERROR(
  FILTER('CBK Students'!P:P, TRIM('CBK Students'!B:B) = TRIM(A2103)),
  """"
)"),"#REF!")</f>
        <v>#REF!</v>
      </c>
      <c r="AB2103" s="4" t="str">
        <f>IFERROR(__xludf.DUMMYFUNCTION("IFERROR(
  FILTER('CBK Students'!Q:Q, TRIM('CBK Students'!B:B) = TRIM(A2103)),
  """"
)"),"#REF!")</f>
        <v>#REF!</v>
      </c>
    </row>
    <row r="2104" ht="18.75" customHeight="1">
      <c r="T2104" s="4"/>
      <c r="U2104" s="4"/>
      <c r="V2104" s="4">
        <f>IFERROR(__xludf.DUMMYFUNCTION("""COMPUTED_VALUE"""),6590.0)</f>
        <v>6590</v>
      </c>
      <c r="W2104" s="240" t="str">
        <f t="shared" si="1"/>
        <v/>
      </c>
      <c r="X2104" s="4" t="str">
        <f>IFERROR(__xludf.DUMMYFUNCTION("""COMPUTED_VALUE"""),"Prepare for Showcase")</f>
        <v>Prepare for Showcase</v>
      </c>
      <c r="Y2104" s="4" t="str">
        <f t="shared" si="2"/>
        <v/>
      </c>
      <c r="Z2104" s="4" t="str">
        <f>IFERROR(__xludf.DUMMYFUNCTION("IFERROR(
  FILTER('CBK Students'!O:O, TRIM('CBK Students'!B:B) = TRIM(A2104)),
  """"
)"),"#REF!")</f>
        <v>#REF!</v>
      </c>
      <c r="AA2104" s="4" t="str">
        <f>IFERROR(__xludf.DUMMYFUNCTION("IFERROR(
  FILTER('CBK Students'!P:P, TRIM('CBK Students'!B:B) = TRIM(A2104)),
  """"
)"),"#REF!")</f>
        <v>#REF!</v>
      </c>
      <c r="AB2104" s="4" t="str">
        <f>IFERROR(__xludf.DUMMYFUNCTION("IFERROR(
  FILTER('CBK Students'!Q:Q, TRIM('CBK Students'!B:B) = TRIM(A2104)),
  """"
)"),"#REF!")</f>
        <v>#REF!</v>
      </c>
    </row>
    <row r="2105" ht="18.75" customHeight="1">
      <c r="T2105" s="4"/>
      <c r="U2105" s="4"/>
      <c r="V2105" s="4">
        <f>IFERROR(__xludf.DUMMYFUNCTION("""COMPUTED_VALUE"""),6590.0)</f>
        <v>6590</v>
      </c>
      <c r="W2105" s="240" t="str">
        <f t="shared" si="1"/>
        <v/>
      </c>
      <c r="X2105" s="4" t="str">
        <f>IFERROR(__xludf.DUMMYFUNCTION("""COMPUTED_VALUE"""),"Prepare for Showcase")</f>
        <v>Prepare for Showcase</v>
      </c>
      <c r="Y2105" s="4" t="str">
        <f t="shared" si="2"/>
        <v/>
      </c>
      <c r="Z2105" s="4" t="str">
        <f>IFERROR(__xludf.DUMMYFUNCTION("IFERROR(
  FILTER('CBK Students'!O:O, TRIM('CBK Students'!B:B) = TRIM(A2105)),
  """"
)"),"#REF!")</f>
        <v>#REF!</v>
      </c>
      <c r="AA2105" s="4" t="str">
        <f>IFERROR(__xludf.DUMMYFUNCTION("IFERROR(
  FILTER('CBK Students'!P:P, TRIM('CBK Students'!B:B) = TRIM(A2105)),
  """"
)"),"#REF!")</f>
        <v>#REF!</v>
      </c>
      <c r="AB2105" s="4" t="str">
        <f>IFERROR(__xludf.DUMMYFUNCTION("IFERROR(
  FILTER('CBK Students'!Q:Q, TRIM('CBK Students'!B:B) = TRIM(A2105)),
  """"
)"),"#REF!")</f>
        <v>#REF!</v>
      </c>
    </row>
    <row r="2106" ht="18.75" customHeight="1">
      <c r="T2106" s="4"/>
      <c r="U2106" s="4"/>
      <c r="V2106" s="4">
        <f>IFERROR(__xludf.DUMMYFUNCTION("""COMPUTED_VALUE"""),6590.0)</f>
        <v>6590</v>
      </c>
      <c r="W2106" s="240" t="str">
        <f t="shared" si="1"/>
        <v/>
      </c>
      <c r="X2106" s="4" t="str">
        <f>IFERROR(__xludf.DUMMYFUNCTION("""COMPUTED_VALUE"""),"Prepare for Showcase")</f>
        <v>Prepare for Showcase</v>
      </c>
      <c r="Y2106" s="4" t="str">
        <f t="shared" si="2"/>
        <v/>
      </c>
      <c r="Z2106" s="4" t="str">
        <f>IFERROR(__xludf.DUMMYFUNCTION("IFERROR(
  FILTER('CBK Students'!O:O, TRIM('CBK Students'!B:B) = TRIM(A2106)),
  """"
)"),"#REF!")</f>
        <v>#REF!</v>
      </c>
      <c r="AA2106" s="4" t="str">
        <f>IFERROR(__xludf.DUMMYFUNCTION("IFERROR(
  FILTER('CBK Students'!P:P, TRIM('CBK Students'!B:B) = TRIM(A2106)),
  """"
)"),"#REF!")</f>
        <v>#REF!</v>
      </c>
      <c r="AB2106" s="4" t="str">
        <f>IFERROR(__xludf.DUMMYFUNCTION("IFERROR(
  FILTER('CBK Students'!Q:Q, TRIM('CBK Students'!B:B) = TRIM(A2106)),
  """"
)"),"#REF!")</f>
        <v>#REF!</v>
      </c>
    </row>
    <row r="2107" ht="18.75" customHeight="1">
      <c r="T2107" s="4"/>
      <c r="U2107" s="4"/>
      <c r="V2107" s="4">
        <f>IFERROR(__xludf.DUMMYFUNCTION("""COMPUTED_VALUE"""),6590.0)</f>
        <v>6590</v>
      </c>
      <c r="W2107" s="240" t="str">
        <f t="shared" si="1"/>
        <v/>
      </c>
      <c r="X2107" s="4" t="str">
        <f>IFERROR(__xludf.DUMMYFUNCTION("""COMPUTED_VALUE"""),"Prepare for Showcase")</f>
        <v>Prepare for Showcase</v>
      </c>
      <c r="Y2107" s="4" t="str">
        <f t="shared" si="2"/>
        <v/>
      </c>
      <c r="Z2107" s="4" t="str">
        <f>IFERROR(__xludf.DUMMYFUNCTION("IFERROR(
  FILTER('CBK Students'!O:O, TRIM('CBK Students'!B:B) = TRIM(A2107)),
  """"
)"),"#REF!")</f>
        <v>#REF!</v>
      </c>
      <c r="AA2107" s="4" t="str">
        <f>IFERROR(__xludf.DUMMYFUNCTION("IFERROR(
  FILTER('CBK Students'!P:P, TRIM('CBK Students'!B:B) = TRIM(A2107)),
  """"
)"),"#REF!")</f>
        <v>#REF!</v>
      </c>
      <c r="AB2107" s="4" t="str">
        <f>IFERROR(__xludf.DUMMYFUNCTION("IFERROR(
  FILTER('CBK Students'!Q:Q, TRIM('CBK Students'!B:B) = TRIM(A2107)),
  """"
)"),"#REF!")</f>
        <v>#REF!</v>
      </c>
    </row>
    <row r="2108" ht="18.75" customHeight="1">
      <c r="T2108" s="4"/>
      <c r="U2108" s="4"/>
      <c r="V2108" s="4">
        <f>IFERROR(__xludf.DUMMYFUNCTION("""COMPUTED_VALUE"""),6590.0)</f>
        <v>6590</v>
      </c>
      <c r="W2108" s="240" t="str">
        <f t="shared" si="1"/>
        <v/>
      </c>
      <c r="X2108" s="4" t="str">
        <f>IFERROR(__xludf.DUMMYFUNCTION("""COMPUTED_VALUE"""),"Prepare for Showcase")</f>
        <v>Prepare for Showcase</v>
      </c>
      <c r="Y2108" s="4" t="str">
        <f t="shared" si="2"/>
        <v/>
      </c>
      <c r="Z2108" s="4" t="str">
        <f>IFERROR(__xludf.DUMMYFUNCTION("IFERROR(
  FILTER('CBK Students'!O:O, TRIM('CBK Students'!B:B) = TRIM(A2108)),
  """"
)"),"#REF!")</f>
        <v>#REF!</v>
      </c>
      <c r="AA2108" s="4" t="str">
        <f>IFERROR(__xludf.DUMMYFUNCTION("IFERROR(
  FILTER('CBK Students'!P:P, TRIM('CBK Students'!B:B) = TRIM(A2108)),
  """"
)"),"#REF!")</f>
        <v>#REF!</v>
      </c>
      <c r="AB2108" s="4" t="str">
        <f>IFERROR(__xludf.DUMMYFUNCTION("IFERROR(
  FILTER('CBK Students'!Q:Q, TRIM('CBK Students'!B:B) = TRIM(A2108)),
  """"
)"),"#REF!")</f>
        <v>#REF!</v>
      </c>
    </row>
    <row r="2109" ht="18.75" customHeight="1">
      <c r="T2109" s="4"/>
      <c r="U2109" s="4"/>
      <c r="V2109" s="4">
        <f>IFERROR(__xludf.DUMMYFUNCTION("""COMPUTED_VALUE"""),6590.0)</f>
        <v>6590</v>
      </c>
      <c r="W2109" s="240" t="str">
        <f t="shared" si="1"/>
        <v/>
      </c>
      <c r="X2109" s="4" t="str">
        <f>IFERROR(__xludf.DUMMYFUNCTION("""COMPUTED_VALUE"""),"Prepare for Showcase")</f>
        <v>Prepare for Showcase</v>
      </c>
      <c r="Y2109" s="4" t="str">
        <f t="shared" si="2"/>
        <v/>
      </c>
      <c r="Z2109" s="4" t="str">
        <f>IFERROR(__xludf.DUMMYFUNCTION("IFERROR(
  FILTER('CBK Students'!O:O, TRIM('CBK Students'!B:B) = TRIM(A2109)),
  """"
)"),"#REF!")</f>
        <v>#REF!</v>
      </c>
      <c r="AA2109" s="4" t="str">
        <f>IFERROR(__xludf.DUMMYFUNCTION("IFERROR(
  FILTER('CBK Students'!P:P, TRIM('CBK Students'!B:B) = TRIM(A2109)),
  """"
)"),"#REF!")</f>
        <v>#REF!</v>
      </c>
      <c r="AB2109" s="4" t="str">
        <f>IFERROR(__xludf.DUMMYFUNCTION("IFERROR(
  FILTER('CBK Students'!Q:Q, TRIM('CBK Students'!B:B) = TRIM(A2109)),
  """"
)"),"#REF!")</f>
        <v>#REF!</v>
      </c>
    </row>
    <row r="2110" ht="18.75" customHeight="1">
      <c r="T2110" s="4"/>
      <c r="U2110" s="4"/>
      <c r="V2110" s="4">
        <f>IFERROR(__xludf.DUMMYFUNCTION("""COMPUTED_VALUE"""),6590.0)</f>
        <v>6590</v>
      </c>
      <c r="W2110" s="240" t="str">
        <f t="shared" si="1"/>
        <v/>
      </c>
      <c r="X2110" s="4" t="str">
        <f>IFERROR(__xludf.DUMMYFUNCTION("""COMPUTED_VALUE"""),"Prepare for Showcase")</f>
        <v>Prepare for Showcase</v>
      </c>
      <c r="Y2110" s="4" t="str">
        <f t="shared" si="2"/>
        <v/>
      </c>
      <c r="Z2110" s="4" t="str">
        <f>IFERROR(__xludf.DUMMYFUNCTION("IFERROR(
  FILTER('CBK Students'!O:O, TRIM('CBK Students'!B:B) = TRIM(A2110)),
  """"
)"),"#REF!")</f>
        <v>#REF!</v>
      </c>
      <c r="AA2110" s="4" t="str">
        <f>IFERROR(__xludf.DUMMYFUNCTION("IFERROR(
  FILTER('CBK Students'!P:P, TRIM('CBK Students'!B:B) = TRIM(A2110)),
  """"
)"),"#REF!")</f>
        <v>#REF!</v>
      </c>
      <c r="AB2110" s="4" t="str">
        <f>IFERROR(__xludf.DUMMYFUNCTION("IFERROR(
  FILTER('CBK Students'!Q:Q, TRIM('CBK Students'!B:B) = TRIM(A2110)),
  """"
)"),"#REF!")</f>
        <v>#REF!</v>
      </c>
    </row>
    <row r="2111" ht="18.75" customHeight="1">
      <c r="T2111" s="4"/>
      <c r="U2111" s="4"/>
      <c r="V2111" s="4">
        <f>IFERROR(__xludf.DUMMYFUNCTION("""COMPUTED_VALUE"""),6590.0)</f>
        <v>6590</v>
      </c>
      <c r="W2111" s="240" t="str">
        <f t="shared" si="1"/>
        <v/>
      </c>
      <c r="X2111" s="4" t="str">
        <f>IFERROR(__xludf.DUMMYFUNCTION("""COMPUTED_VALUE"""),"Prepare for Showcase")</f>
        <v>Prepare for Showcase</v>
      </c>
      <c r="Y2111" s="4" t="str">
        <f t="shared" si="2"/>
        <v/>
      </c>
      <c r="Z2111" s="4" t="str">
        <f>IFERROR(__xludf.DUMMYFUNCTION("IFERROR(
  FILTER('CBK Students'!O:O, TRIM('CBK Students'!B:B) = TRIM(A2111)),
  """"
)"),"#REF!")</f>
        <v>#REF!</v>
      </c>
      <c r="AA2111" s="4" t="str">
        <f>IFERROR(__xludf.DUMMYFUNCTION("IFERROR(
  FILTER('CBK Students'!P:P, TRIM('CBK Students'!B:B) = TRIM(A2111)),
  """"
)"),"#REF!")</f>
        <v>#REF!</v>
      </c>
      <c r="AB2111" s="4" t="str">
        <f>IFERROR(__xludf.DUMMYFUNCTION("IFERROR(
  FILTER('CBK Students'!Q:Q, TRIM('CBK Students'!B:B) = TRIM(A2111)),
  """"
)"),"#REF!")</f>
        <v>#REF!</v>
      </c>
    </row>
    <row r="2112" ht="18.75" customHeight="1">
      <c r="T2112" s="4"/>
      <c r="U2112" s="4"/>
      <c r="V2112" s="4">
        <f>IFERROR(__xludf.DUMMYFUNCTION("""COMPUTED_VALUE"""),6590.0)</f>
        <v>6590</v>
      </c>
      <c r="W2112" s="240" t="str">
        <f t="shared" si="1"/>
        <v/>
      </c>
      <c r="X2112" s="4" t="str">
        <f>IFERROR(__xludf.DUMMYFUNCTION("""COMPUTED_VALUE"""),"Prepare for Showcase")</f>
        <v>Prepare for Showcase</v>
      </c>
      <c r="Y2112" s="4" t="str">
        <f t="shared" si="2"/>
        <v/>
      </c>
      <c r="Z2112" s="4" t="str">
        <f>IFERROR(__xludf.DUMMYFUNCTION("IFERROR(
  FILTER('CBK Students'!O:O, TRIM('CBK Students'!B:B) = TRIM(A2112)),
  """"
)"),"#REF!")</f>
        <v>#REF!</v>
      </c>
      <c r="AA2112" s="4" t="str">
        <f>IFERROR(__xludf.DUMMYFUNCTION("IFERROR(
  FILTER('CBK Students'!P:P, TRIM('CBK Students'!B:B) = TRIM(A2112)),
  """"
)"),"#REF!")</f>
        <v>#REF!</v>
      </c>
      <c r="AB2112" s="4" t="str">
        <f>IFERROR(__xludf.DUMMYFUNCTION("IFERROR(
  FILTER('CBK Students'!Q:Q, TRIM('CBK Students'!B:B) = TRIM(A2112)),
  """"
)"),"#REF!")</f>
        <v>#REF!</v>
      </c>
    </row>
    <row r="2113" ht="18.75" customHeight="1">
      <c r="T2113" s="4"/>
      <c r="U2113" s="4"/>
      <c r="V2113" s="4">
        <f>IFERROR(__xludf.DUMMYFUNCTION("""COMPUTED_VALUE"""),6590.0)</f>
        <v>6590</v>
      </c>
      <c r="W2113" s="240" t="str">
        <f t="shared" si="1"/>
        <v/>
      </c>
      <c r="X2113" s="4" t="str">
        <f>IFERROR(__xludf.DUMMYFUNCTION("""COMPUTED_VALUE"""),"Prepare for Showcase")</f>
        <v>Prepare for Showcase</v>
      </c>
      <c r="Y2113" s="4" t="str">
        <f t="shared" si="2"/>
        <v/>
      </c>
      <c r="Z2113" s="4" t="str">
        <f>IFERROR(__xludf.DUMMYFUNCTION("IFERROR(
  FILTER('CBK Students'!O:O, TRIM('CBK Students'!B:B) = TRIM(A2113)),
  """"
)"),"#REF!")</f>
        <v>#REF!</v>
      </c>
      <c r="AA2113" s="4" t="str">
        <f>IFERROR(__xludf.DUMMYFUNCTION("IFERROR(
  FILTER('CBK Students'!P:P, TRIM('CBK Students'!B:B) = TRIM(A2113)),
  """"
)"),"#REF!")</f>
        <v>#REF!</v>
      </c>
      <c r="AB2113" s="4" t="str">
        <f>IFERROR(__xludf.DUMMYFUNCTION("IFERROR(
  FILTER('CBK Students'!Q:Q, TRIM('CBK Students'!B:B) = TRIM(A2113)),
  """"
)"),"#REF!")</f>
        <v>#REF!</v>
      </c>
    </row>
    <row r="2114" ht="18.75" customHeight="1">
      <c r="T2114" s="4"/>
      <c r="U2114" s="4"/>
      <c r="V2114" s="4">
        <f>IFERROR(__xludf.DUMMYFUNCTION("""COMPUTED_VALUE"""),6590.0)</f>
        <v>6590</v>
      </c>
      <c r="W2114" s="240" t="str">
        <f t="shared" si="1"/>
        <v/>
      </c>
      <c r="X2114" s="4" t="str">
        <f>IFERROR(__xludf.DUMMYFUNCTION("""COMPUTED_VALUE"""),"Prepare for Showcase")</f>
        <v>Prepare for Showcase</v>
      </c>
      <c r="Y2114" s="4" t="str">
        <f t="shared" si="2"/>
        <v/>
      </c>
      <c r="Z2114" s="4" t="str">
        <f>IFERROR(__xludf.DUMMYFUNCTION("IFERROR(
  FILTER('CBK Students'!O:O, TRIM('CBK Students'!B:B) = TRIM(A2114)),
  """"
)"),"#REF!")</f>
        <v>#REF!</v>
      </c>
      <c r="AA2114" s="4" t="str">
        <f>IFERROR(__xludf.DUMMYFUNCTION("IFERROR(
  FILTER('CBK Students'!P:P, TRIM('CBK Students'!B:B) = TRIM(A2114)),
  """"
)"),"#REF!")</f>
        <v>#REF!</v>
      </c>
      <c r="AB2114" s="4" t="str">
        <f>IFERROR(__xludf.DUMMYFUNCTION("IFERROR(
  FILTER('CBK Students'!Q:Q, TRIM('CBK Students'!B:B) = TRIM(A2114)),
  """"
)"),"#REF!")</f>
        <v>#REF!</v>
      </c>
    </row>
    <row r="2115" ht="18.75" customHeight="1">
      <c r="T2115" s="4"/>
      <c r="U2115" s="4"/>
      <c r="V2115" s="4">
        <f>IFERROR(__xludf.DUMMYFUNCTION("""COMPUTED_VALUE"""),6590.0)</f>
        <v>6590</v>
      </c>
      <c r="W2115" s="240" t="str">
        <f t="shared" si="1"/>
        <v/>
      </c>
      <c r="X2115" s="4" t="str">
        <f>IFERROR(__xludf.DUMMYFUNCTION("""COMPUTED_VALUE"""),"Prepare for Showcase")</f>
        <v>Prepare for Showcase</v>
      </c>
      <c r="Y2115" s="4" t="str">
        <f t="shared" si="2"/>
        <v/>
      </c>
      <c r="Z2115" s="4" t="str">
        <f>IFERROR(__xludf.DUMMYFUNCTION("IFERROR(
  FILTER('CBK Students'!O:O, TRIM('CBK Students'!B:B) = TRIM(A2115)),
  """"
)"),"#REF!")</f>
        <v>#REF!</v>
      </c>
      <c r="AA2115" s="4" t="str">
        <f>IFERROR(__xludf.DUMMYFUNCTION("IFERROR(
  FILTER('CBK Students'!P:P, TRIM('CBK Students'!B:B) = TRIM(A2115)),
  """"
)"),"#REF!")</f>
        <v>#REF!</v>
      </c>
      <c r="AB2115" s="4" t="str">
        <f>IFERROR(__xludf.DUMMYFUNCTION("IFERROR(
  FILTER('CBK Students'!Q:Q, TRIM('CBK Students'!B:B) = TRIM(A2115)),
  """"
)"),"#REF!")</f>
        <v>#REF!</v>
      </c>
    </row>
    <row r="2116" ht="18.75" customHeight="1">
      <c r="T2116" s="4"/>
      <c r="U2116" s="4"/>
      <c r="V2116" s="4">
        <f>IFERROR(__xludf.DUMMYFUNCTION("""COMPUTED_VALUE"""),6590.0)</f>
        <v>6590</v>
      </c>
      <c r="W2116" s="240" t="str">
        <f t="shared" si="1"/>
        <v/>
      </c>
      <c r="X2116" s="4" t="str">
        <f>IFERROR(__xludf.DUMMYFUNCTION("""COMPUTED_VALUE"""),"Prepare for Showcase")</f>
        <v>Prepare for Showcase</v>
      </c>
      <c r="Y2116" s="4" t="str">
        <f t="shared" si="2"/>
        <v/>
      </c>
      <c r="Z2116" s="4" t="str">
        <f>IFERROR(__xludf.DUMMYFUNCTION("IFERROR(
  FILTER('CBK Students'!O:O, TRIM('CBK Students'!B:B) = TRIM(A2116)),
  """"
)"),"#REF!")</f>
        <v>#REF!</v>
      </c>
      <c r="AA2116" s="4" t="str">
        <f>IFERROR(__xludf.DUMMYFUNCTION("IFERROR(
  FILTER('CBK Students'!P:P, TRIM('CBK Students'!B:B) = TRIM(A2116)),
  """"
)"),"#REF!")</f>
        <v>#REF!</v>
      </c>
      <c r="AB2116" s="4" t="str">
        <f>IFERROR(__xludf.DUMMYFUNCTION("IFERROR(
  FILTER('CBK Students'!Q:Q, TRIM('CBK Students'!B:B) = TRIM(A2116)),
  """"
)"),"#REF!")</f>
        <v>#REF!</v>
      </c>
    </row>
    <row r="2117" ht="18.75" customHeight="1">
      <c r="T2117" s="4"/>
      <c r="U2117" s="4"/>
      <c r="V2117" s="4">
        <f>IFERROR(__xludf.DUMMYFUNCTION("""COMPUTED_VALUE"""),6590.0)</f>
        <v>6590</v>
      </c>
      <c r="W2117" s="240" t="str">
        <f t="shared" si="1"/>
        <v/>
      </c>
      <c r="X2117" s="4" t="str">
        <f>IFERROR(__xludf.DUMMYFUNCTION("""COMPUTED_VALUE"""),"Prepare for Showcase")</f>
        <v>Prepare for Showcase</v>
      </c>
      <c r="Y2117" s="4" t="str">
        <f t="shared" si="2"/>
        <v/>
      </c>
      <c r="Z2117" s="4" t="str">
        <f>IFERROR(__xludf.DUMMYFUNCTION("IFERROR(
  FILTER('CBK Students'!O:O, TRIM('CBK Students'!B:B) = TRIM(A2117)),
  """"
)"),"#REF!")</f>
        <v>#REF!</v>
      </c>
      <c r="AA2117" s="4" t="str">
        <f>IFERROR(__xludf.DUMMYFUNCTION("IFERROR(
  FILTER('CBK Students'!P:P, TRIM('CBK Students'!B:B) = TRIM(A2117)),
  """"
)"),"#REF!")</f>
        <v>#REF!</v>
      </c>
      <c r="AB2117" s="4" t="str">
        <f>IFERROR(__xludf.DUMMYFUNCTION("IFERROR(
  FILTER('CBK Students'!Q:Q, TRIM('CBK Students'!B:B) = TRIM(A2117)),
  """"
)"),"#REF!")</f>
        <v>#REF!</v>
      </c>
    </row>
    <row r="2118" ht="18.75" customHeight="1">
      <c r="T2118" s="4"/>
      <c r="U2118" s="4"/>
      <c r="V2118" s="4">
        <f>IFERROR(__xludf.DUMMYFUNCTION("""COMPUTED_VALUE"""),6590.0)</f>
        <v>6590</v>
      </c>
      <c r="W2118" s="240" t="str">
        <f t="shared" si="1"/>
        <v/>
      </c>
      <c r="X2118" s="4" t="str">
        <f>IFERROR(__xludf.DUMMYFUNCTION("""COMPUTED_VALUE"""),"Prepare for Showcase")</f>
        <v>Prepare for Showcase</v>
      </c>
      <c r="Y2118" s="4" t="str">
        <f t="shared" si="2"/>
        <v/>
      </c>
      <c r="Z2118" s="4" t="str">
        <f>IFERROR(__xludf.DUMMYFUNCTION("IFERROR(
  FILTER('CBK Students'!O:O, TRIM('CBK Students'!B:B) = TRIM(A2118)),
  """"
)"),"#REF!")</f>
        <v>#REF!</v>
      </c>
      <c r="AA2118" s="4" t="str">
        <f>IFERROR(__xludf.DUMMYFUNCTION("IFERROR(
  FILTER('CBK Students'!P:P, TRIM('CBK Students'!B:B) = TRIM(A2118)),
  """"
)"),"#REF!")</f>
        <v>#REF!</v>
      </c>
      <c r="AB2118" s="4" t="str">
        <f>IFERROR(__xludf.DUMMYFUNCTION("IFERROR(
  FILTER('CBK Students'!Q:Q, TRIM('CBK Students'!B:B) = TRIM(A2118)),
  """"
)"),"#REF!")</f>
        <v>#REF!</v>
      </c>
    </row>
    <row r="2119" ht="18.75" customHeight="1">
      <c r="T2119" s="4"/>
      <c r="U2119" s="4"/>
      <c r="V2119" s="4">
        <f>IFERROR(__xludf.DUMMYFUNCTION("""COMPUTED_VALUE"""),6590.0)</f>
        <v>6590</v>
      </c>
      <c r="W2119" s="240" t="str">
        <f t="shared" si="1"/>
        <v/>
      </c>
      <c r="X2119" s="4" t="str">
        <f>IFERROR(__xludf.DUMMYFUNCTION("""COMPUTED_VALUE"""),"Prepare for Showcase")</f>
        <v>Prepare for Showcase</v>
      </c>
      <c r="Y2119" s="4" t="str">
        <f t="shared" si="2"/>
        <v/>
      </c>
      <c r="Z2119" s="4" t="str">
        <f>IFERROR(__xludf.DUMMYFUNCTION("IFERROR(
  FILTER('CBK Students'!O:O, TRIM('CBK Students'!B:B) = TRIM(A2119)),
  """"
)"),"#REF!")</f>
        <v>#REF!</v>
      </c>
      <c r="AA2119" s="4" t="str">
        <f>IFERROR(__xludf.DUMMYFUNCTION("IFERROR(
  FILTER('CBK Students'!P:P, TRIM('CBK Students'!B:B) = TRIM(A2119)),
  """"
)"),"#REF!")</f>
        <v>#REF!</v>
      </c>
      <c r="AB2119" s="4" t="str">
        <f>IFERROR(__xludf.DUMMYFUNCTION("IFERROR(
  FILTER('CBK Students'!Q:Q, TRIM('CBK Students'!B:B) = TRIM(A2119)),
  """"
)"),"#REF!")</f>
        <v>#REF!</v>
      </c>
    </row>
    <row r="2120" ht="18.75" customHeight="1">
      <c r="T2120" s="4"/>
      <c r="U2120" s="4"/>
      <c r="V2120" s="4">
        <f>IFERROR(__xludf.DUMMYFUNCTION("""COMPUTED_VALUE"""),6590.0)</f>
        <v>6590</v>
      </c>
      <c r="W2120" s="240" t="str">
        <f t="shared" si="1"/>
        <v/>
      </c>
      <c r="X2120" s="4" t="str">
        <f>IFERROR(__xludf.DUMMYFUNCTION("""COMPUTED_VALUE"""),"Prepare for Showcase")</f>
        <v>Prepare for Showcase</v>
      </c>
      <c r="Y2120" s="4" t="str">
        <f t="shared" si="2"/>
        <v/>
      </c>
      <c r="Z2120" s="4" t="str">
        <f>IFERROR(__xludf.DUMMYFUNCTION("IFERROR(
  FILTER('CBK Students'!O:O, TRIM('CBK Students'!B:B) = TRIM(A2120)),
  """"
)"),"#REF!")</f>
        <v>#REF!</v>
      </c>
      <c r="AA2120" s="4" t="str">
        <f>IFERROR(__xludf.DUMMYFUNCTION("IFERROR(
  FILTER('CBK Students'!P:P, TRIM('CBK Students'!B:B) = TRIM(A2120)),
  """"
)"),"#REF!")</f>
        <v>#REF!</v>
      </c>
      <c r="AB2120" s="4" t="str">
        <f>IFERROR(__xludf.DUMMYFUNCTION("IFERROR(
  FILTER('CBK Students'!Q:Q, TRIM('CBK Students'!B:B) = TRIM(A2120)),
  """"
)"),"#REF!")</f>
        <v>#REF!</v>
      </c>
    </row>
    <row r="2121" ht="18.75" customHeight="1">
      <c r="T2121" s="4"/>
      <c r="U2121" s="4"/>
      <c r="V2121" s="4">
        <f>IFERROR(__xludf.DUMMYFUNCTION("""COMPUTED_VALUE"""),6590.0)</f>
        <v>6590</v>
      </c>
      <c r="W2121" s="240" t="str">
        <f t="shared" si="1"/>
        <v/>
      </c>
      <c r="X2121" s="4" t="str">
        <f>IFERROR(__xludf.DUMMYFUNCTION("""COMPUTED_VALUE"""),"Prepare for Showcase")</f>
        <v>Prepare for Showcase</v>
      </c>
      <c r="Y2121" s="4" t="str">
        <f t="shared" si="2"/>
        <v/>
      </c>
      <c r="Z2121" s="4" t="str">
        <f>IFERROR(__xludf.DUMMYFUNCTION("IFERROR(
  FILTER('CBK Students'!O:O, TRIM('CBK Students'!B:B) = TRIM(A2121)),
  """"
)"),"#REF!")</f>
        <v>#REF!</v>
      </c>
      <c r="AA2121" s="4" t="str">
        <f>IFERROR(__xludf.DUMMYFUNCTION("IFERROR(
  FILTER('CBK Students'!P:P, TRIM('CBK Students'!B:B) = TRIM(A2121)),
  """"
)"),"#REF!")</f>
        <v>#REF!</v>
      </c>
      <c r="AB2121" s="4" t="str">
        <f>IFERROR(__xludf.DUMMYFUNCTION("IFERROR(
  FILTER('CBK Students'!Q:Q, TRIM('CBK Students'!B:B) = TRIM(A2121)),
  """"
)"),"#REF!")</f>
        <v>#REF!</v>
      </c>
    </row>
    <row r="2122" ht="18.75" customHeight="1">
      <c r="T2122" s="4"/>
      <c r="U2122" s="4"/>
      <c r="V2122" s="4">
        <f>IFERROR(__xludf.DUMMYFUNCTION("""COMPUTED_VALUE"""),6590.0)</f>
        <v>6590</v>
      </c>
      <c r="W2122" s="240" t="str">
        <f t="shared" si="1"/>
        <v/>
      </c>
      <c r="X2122" s="4" t="str">
        <f>IFERROR(__xludf.DUMMYFUNCTION("""COMPUTED_VALUE"""),"Prepare for Showcase")</f>
        <v>Prepare for Showcase</v>
      </c>
      <c r="Y2122" s="4" t="str">
        <f t="shared" si="2"/>
        <v/>
      </c>
      <c r="Z2122" s="4" t="str">
        <f>IFERROR(__xludf.DUMMYFUNCTION("IFERROR(
  FILTER('CBK Students'!O:O, TRIM('CBK Students'!B:B) = TRIM(A2122)),
  """"
)"),"#REF!")</f>
        <v>#REF!</v>
      </c>
      <c r="AA2122" s="4" t="str">
        <f>IFERROR(__xludf.DUMMYFUNCTION("IFERROR(
  FILTER('CBK Students'!P:P, TRIM('CBK Students'!B:B) = TRIM(A2122)),
  """"
)"),"#REF!")</f>
        <v>#REF!</v>
      </c>
      <c r="AB2122" s="4" t="str">
        <f>IFERROR(__xludf.DUMMYFUNCTION("IFERROR(
  FILTER('CBK Students'!Q:Q, TRIM('CBK Students'!B:B) = TRIM(A2122)),
  """"
)"),"#REF!")</f>
        <v>#REF!</v>
      </c>
    </row>
    <row r="2123" ht="18.75" customHeight="1">
      <c r="T2123" s="4"/>
      <c r="U2123" s="4"/>
      <c r="V2123" s="4">
        <f>IFERROR(__xludf.DUMMYFUNCTION("""COMPUTED_VALUE"""),6590.0)</f>
        <v>6590</v>
      </c>
      <c r="W2123" s="240" t="str">
        <f t="shared" si="1"/>
        <v/>
      </c>
      <c r="X2123" s="4" t="str">
        <f>IFERROR(__xludf.DUMMYFUNCTION("""COMPUTED_VALUE"""),"Prepare for Showcase")</f>
        <v>Prepare for Showcase</v>
      </c>
      <c r="Y2123" s="4" t="str">
        <f t="shared" si="2"/>
        <v/>
      </c>
      <c r="Z2123" s="4" t="str">
        <f>IFERROR(__xludf.DUMMYFUNCTION("IFERROR(
  FILTER('CBK Students'!O:O, TRIM('CBK Students'!B:B) = TRIM(A2123)),
  """"
)"),"#REF!")</f>
        <v>#REF!</v>
      </c>
      <c r="AA2123" s="4" t="str">
        <f>IFERROR(__xludf.DUMMYFUNCTION("IFERROR(
  FILTER('CBK Students'!P:P, TRIM('CBK Students'!B:B) = TRIM(A2123)),
  """"
)"),"#REF!")</f>
        <v>#REF!</v>
      </c>
      <c r="AB2123" s="4" t="str">
        <f>IFERROR(__xludf.DUMMYFUNCTION("IFERROR(
  FILTER('CBK Students'!Q:Q, TRIM('CBK Students'!B:B) = TRIM(A2123)),
  """"
)"),"#REF!")</f>
        <v>#REF!</v>
      </c>
    </row>
    <row r="2124" ht="18.75" customHeight="1">
      <c r="T2124" s="4"/>
      <c r="U2124" s="4"/>
      <c r="V2124" s="4">
        <f>IFERROR(__xludf.DUMMYFUNCTION("""COMPUTED_VALUE"""),6590.0)</f>
        <v>6590</v>
      </c>
      <c r="W2124" s="240" t="str">
        <f t="shared" si="1"/>
        <v/>
      </c>
      <c r="X2124" s="4" t="str">
        <f>IFERROR(__xludf.DUMMYFUNCTION("""COMPUTED_VALUE"""),"Prepare for Showcase")</f>
        <v>Prepare for Showcase</v>
      </c>
      <c r="Y2124" s="4" t="str">
        <f t="shared" si="2"/>
        <v/>
      </c>
      <c r="Z2124" s="4" t="str">
        <f>IFERROR(__xludf.DUMMYFUNCTION("IFERROR(
  FILTER('CBK Students'!O:O, TRIM('CBK Students'!B:B) = TRIM(A2124)),
  """"
)"),"#REF!")</f>
        <v>#REF!</v>
      </c>
      <c r="AA2124" s="4" t="str">
        <f>IFERROR(__xludf.DUMMYFUNCTION("IFERROR(
  FILTER('CBK Students'!P:P, TRIM('CBK Students'!B:B) = TRIM(A2124)),
  """"
)"),"#REF!")</f>
        <v>#REF!</v>
      </c>
      <c r="AB2124" s="4" t="str">
        <f>IFERROR(__xludf.DUMMYFUNCTION("IFERROR(
  FILTER('CBK Students'!Q:Q, TRIM('CBK Students'!B:B) = TRIM(A2124)),
  """"
)"),"#REF!")</f>
        <v>#REF!</v>
      </c>
    </row>
    <row r="2125" ht="18.75" customHeight="1">
      <c r="T2125" s="4"/>
      <c r="U2125" s="4"/>
      <c r="V2125" s="4">
        <f>IFERROR(__xludf.DUMMYFUNCTION("""COMPUTED_VALUE"""),6590.0)</f>
        <v>6590</v>
      </c>
      <c r="W2125" s="240" t="str">
        <f t="shared" si="1"/>
        <v/>
      </c>
      <c r="X2125" s="4" t="str">
        <f>IFERROR(__xludf.DUMMYFUNCTION("""COMPUTED_VALUE"""),"Prepare for Showcase")</f>
        <v>Prepare for Showcase</v>
      </c>
      <c r="Y2125" s="4" t="str">
        <f t="shared" si="2"/>
        <v/>
      </c>
      <c r="Z2125" s="4" t="str">
        <f>IFERROR(__xludf.DUMMYFUNCTION("IFERROR(
  FILTER('CBK Students'!O:O, TRIM('CBK Students'!B:B) = TRIM(A2125)),
  """"
)"),"#REF!")</f>
        <v>#REF!</v>
      </c>
      <c r="AA2125" s="4" t="str">
        <f>IFERROR(__xludf.DUMMYFUNCTION("IFERROR(
  FILTER('CBK Students'!P:P, TRIM('CBK Students'!B:B) = TRIM(A2125)),
  """"
)"),"#REF!")</f>
        <v>#REF!</v>
      </c>
      <c r="AB2125" s="4" t="str">
        <f>IFERROR(__xludf.DUMMYFUNCTION("IFERROR(
  FILTER('CBK Students'!Q:Q, TRIM('CBK Students'!B:B) = TRIM(A2125)),
  """"
)"),"#REF!")</f>
        <v>#REF!</v>
      </c>
    </row>
    <row r="2126" ht="18.75" customHeight="1">
      <c r="T2126" s="4"/>
      <c r="U2126" s="4"/>
      <c r="V2126" s="4">
        <f>IFERROR(__xludf.DUMMYFUNCTION("""COMPUTED_VALUE"""),6590.0)</f>
        <v>6590</v>
      </c>
      <c r="W2126" s="240" t="str">
        <f t="shared" si="1"/>
        <v/>
      </c>
      <c r="X2126" s="4" t="str">
        <f>IFERROR(__xludf.DUMMYFUNCTION("""COMPUTED_VALUE"""),"Prepare for Showcase")</f>
        <v>Prepare for Showcase</v>
      </c>
      <c r="Y2126" s="4" t="str">
        <f t="shared" si="2"/>
        <v/>
      </c>
      <c r="Z2126" s="4" t="str">
        <f>IFERROR(__xludf.DUMMYFUNCTION("IFERROR(
  FILTER('CBK Students'!O:O, TRIM('CBK Students'!B:B) = TRIM(A2126)),
  """"
)"),"#REF!")</f>
        <v>#REF!</v>
      </c>
      <c r="AA2126" s="4" t="str">
        <f>IFERROR(__xludf.DUMMYFUNCTION("IFERROR(
  FILTER('CBK Students'!P:P, TRIM('CBK Students'!B:B) = TRIM(A2126)),
  """"
)"),"#REF!")</f>
        <v>#REF!</v>
      </c>
      <c r="AB2126" s="4" t="str">
        <f>IFERROR(__xludf.DUMMYFUNCTION("IFERROR(
  FILTER('CBK Students'!Q:Q, TRIM('CBK Students'!B:B) = TRIM(A2126)),
  """"
)"),"#REF!")</f>
        <v>#REF!</v>
      </c>
    </row>
    <row r="2127" ht="18.75" customHeight="1">
      <c r="T2127" s="4"/>
      <c r="U2127" s="4"/>
      <c r="V2127" s="4">
        <f>IFERROR(__xludf.DUMMYFUNCTION("""COMPUTED_VALUE"""),6590.0)</f>
        <v>6590</v>
      </c>
      <c r="W2127" s="240" t="str">
        <f t="shared" si="1"/>
        <v/>
      </c>
      <c r="X2127" s="4" t="str">
        <f>IFERROR(__xludf.DUMMYFUNCTION("""COMPUTED_VALUE"""),"Prepare for Showcase")</f>
        <v>Prepare for Showcase</v>
      </c>
      <c r="Y2127" s="4" t="str">
        <f t="shared" si="2"/>
        <v/>
      </c>
      <c r="Z2127" s="4" t="str">
        <f>IFERROR(__xludf.DUMMYFUNCTION("IFERROR(
  FILTER('CBK Students'!O:O, TRIM('CBK Students'!B:B) = TRIM(A2127)),
  """"
)"),"#REF!")</f>
        <v>#REF!</v>
      </c>
      <c r="AA2127" s="4" t="str">
        <f>IFERROR(__xludf.DUMMYFUNCTION("IFERROR(
  FILTER('CBK Students'!P:P, TRIM('CBK Students'!B:B) = TRIM(A2127)),
  """"
)"),"#REF!")</f>
        <v>#REF!</v>
      </c>
      <c r="AB2127" s="4" t="str">
        <f>IFERROR(__xludf.DUMMYFUNCTION("IFERROR(
  FILTER('CBK Students'!Q:Q, TRIM('CBK Students'!B:B) = TRIM(A2127)),
  """"
)"),"#REF!")</f>
        <v>#REF!</v>
      </c>
    </row>
    <row r="2128" ht="18.75" customHeight="1">
      <c r="T2128" s="4"/>
      <c r="U2128" s="4"/>
      <c r="V2128" s="4">
        <f>IFERROR(__xludf.DUMMYFUNCTION("""COMPUTED_VALUE"""),6590.0)</f>
        <v>6590</v>
      </c>
      <c r="W2128" s="240" t="str">
        <f t="shared" si="1"/>
        <v/>
      </c>
      <c r="X2128" s="4" t="str">
        <f>IFERROR(__xludf.DUMMYFUNCTION("""COMPUTED_VALUE"""),"Prepare for Showcase")</f>
        <v>Prepare for Showcase</v>
      </c>
      <c r="Y2128" s="4" t="str">
        <f t="shared" si="2"/>
        <v/>
      </c>
      <c r="Z2128" s="4" t="str">
        <f>IFERROR(__xludf.DUMMYFUNCTION("IFERROR(
  FILTER('CBK Students'!O:O, TRIM('CBK Students'!B:B) = TRIM(A2128)),
  """"
)"),"#REF!")</f>
        <v>#REF!</v>
      </c>
      <c r="AA2128" s="4" t="str">
        <f>IFERROR(__xludf.DUMMYFUNCTION("IFERROR(
  FILTER('CBK Students'!P:P, TRIM('CBK Students'!B:B) = TRIM(A2128)),
  """"
)"),"#REF!")</f>
        <v>#REF!</v>
      </c>
      <c r="AB2128" s="4" t="str">
        <f>IFERROR(__xludf.DUMMYFUNCTION("IFERROR(
  FILTER('CBK Students'!Q:Q, TRIM('CBK Students'!B:B) = TRIM(A2128)),
  """"
)"),"#REF!")</f>
        <v>#REF!</v>
      </c>
    </row>
    <row r="2129" ht="18.75" customHeight="1">
      <c r="T2129" s="4"/>
      <c r="U2129" s="4"/>
      <c r="V2129" s="4">
        <f>IFERROR(__xludf.DUMMYFUNCTION("""COMPUTED_VALUE"""),6590.0)</f>
        <v>6590</v>
      </c>
      <c r="W2129" s="240" t="str">
        <f t="shared" si="1"/>
        <v/>
      </c>
      <c r="X2129" s="4" t="str">
        <f>IFERROR(__xludf.DUMMYFUNCTION("""COMPUTED_VALUE"""),"Prepare for Showcase")</f>
        <v>Prepare for Showcase</v>
      </c>
      <c r="Y2129" s="4" t="str">
        <f t="shared" si="2"/>
        <v/>
      </c>
      <c r="Z2129" s="4" t="str">
        <f>IFERROR(__xludf.DUMMYFUNCTION("IFERROR(
  FILTER('CBK Students'!O:O, TRIM('CBK Students'!B:B) = TRIM(A2129)),
  """"
)"),"#REF!")</f>
        <v>#REF!</v>
      </c>
      <c r="AA2129" s="4" t="str">
        <f>IFERROR(__xludf.DUMMYFUNCTION("IFERROR(
  FILTER('CBK Students'!P:P, TRIM('CBK Students'!B:B) = TRIM(A2129)),
  """"
)"),"#REF!")</f>
        <v>#REF!</v>
      </c>
      <c r="AB2129" s="4" t="str">
        <f>IFERROR(__xludf.DUMMYFUNCTION("IFERROR(
  FILTER('CBK Students'!Q:Q, TRIM('CBK Students'!B:B) = TRIM(A2129)),
  """"
)"),"#REF!")</f>
        <v>#REF!</v>
      </c>
    </row>
    <row r="2130" ht="18.75" customHeight="1">
      <c r="T2130" s="4"/>
      <c r="U2130" s="4"/>
      <c r="V2130" s="4">
        <f>IFERROR(__xludf.DUMMYFUNCTION("""COMPUTED_VALUE"""),6590.0)</f>
        <v>6590</v>
      </c>
      <c r="W2130" s="240" t="str">
        <f t="shared" si="1"/>
        <v/>
      </c>
      <c r="X2130" s="4" t="str">
        <f>IFERROR(__xludf.DUMMYFUNCTION("""COMPUTED_VALUE"""),"Prepare for Showcase")</f>
        <v>Prepare for Showcase</v>
      </c>
      <c r="Y2130" s="4" t="str">
        <f t="shared" si="2"/>
        <v/>
      </c>
      <c r="Z2130" s="4" t="str">
        <f>IFERROR(__xludf.DUMMYFUNCTION("IFERROR(
  FILTER('CBK Students'!O:O, TRIM('CBK Students'!B:B) = TRIM(A2130)),
  """"
)"),"#REF!")</f>
        <v>#REF!</v>
      </c>
      <c r="AA2130" s="4" t="str">
        <f>IFERROR(__xludf.DUMMYFUNCTION("IFERROR(
  FILTER('CBK Students'!P:P, TRIM('CBK Students'!B:B) = TRIM(A2130)),
  """"
)"),"#REF!")</f>
        <v>#REF!</v>
      </c>
      <c r="AB2130" s="4" t="str">
        <f>IFERROR(__xludf.DUMMYFUNCTION("IFERROR(
  FILTER('CBK Students'!Q:Q, TRIM('CBK Students'!B:B) = TRIM(A2130)),
  """"
)"),"#REF!")</f>
        <v>#REF!</v>
      </c>
    </row>
    <row r="2131" ht="18.75" customHeight="1">
      <c r="T2131" s="4"/>
      <c r="U2131" s="4"/>
      <c r="V2131" s="4">
        <f>IFERROR(__xludf.DUMMYFUNCTION("""COMPUTED_VALUE"""),6590.0)</f>
        <v>6590</v>
      </c>
      <c r="W2131" s="240" t="str">
        <f t="shared" si="1"/>
        <v/>
      </c>
      <c r="X2131" s="4" t="str">
        <f>IFERROR(__xludf.DUMMYFUNCTION("""COMPUTED_VALUE"""),"Prepare for Showcase")</f>
        <v>Prepare for Showcase</v>
      </c>
      <c r="Y2131" s="4" t="str">
        <f t="shared" si="2"/>
        <v/>
      </c>
      <c r="Z2131" s="4" t="str">
        <f>IFERROR(__xludf.DUMMYFUNCTION("IFERROR(
  FILTER('CBK Students'!O:O, TRIM('CBK Students'!B:B) = TRIM(A2131)),
  """"
)"),"#REF!")</f>
        <v>#REF!</v>
      </c>
      <c r="AA2131" s="4" t="str">
        <f>IFERROR(__xludf.DUMMYFUNCTION("IFERROR(
  FILTER('CBK Students'!P:P, TRIM('CBK Students'!B:B) = TRIM(A2131)),
  """"
)"),"#REF!")</f>
        <v>#REF!</v>
      </c>
      <c r="AB2131" s="4" t="str">
        <f>IFERROR(__xludf.DUMMYFUNCTION("IFERROR(
  FILTER('CBK Students'!Q:Q, TRIM('CBK Students'!B:B) = TRIM(A2131)),
  """"
)"),"#REF!")</f>
        <v>#REF!</v>
      </c>
    </row>
    <row r="2132" ht="18.75" customHeight="1">
      <c r="T2132" s="4"/>
      <c r="U2132" s="4"/>
      <c r="V2132" s="4">
        <f>IFERROR(__xludf.DUMMYFUNCTION("""COMPUTED_VALUE"""),6590.0)</f>
        <v>6590</v>
      </c>
      <c r="W2132" s="240" t="str">
        <f t="shared" si="1"/>
        <v/>
      </c>
      <c r="X2132" s="4" t="str">
        <f>IFERROR(__xludf.DUMMYFUNCTION("""COMPUTED_VALUE"""),"Prepare for Showcase")</f>
        <v>Prepare for Showcase</v>
      </c>
      <c r="Y2132" s="4" t="str">
        <f t="shared" si="2"/>
        <v/>
      </c>
      <c r="Z2132" s="4" t="str">
        <f>IFERROR(__xludf.DUMMYFUNCTION("IFERROR(
  FILTER('CBK Students'!O:O, TRIM('CBK Students'!B:B) = TRIM(A2132)),
  """"
)"),"#REF!")</f>
        <v>#REF!</v>
      </c>
      <c r="AA2132" s="4" t="str">
        <f>IFERROR(__xludf.DUMMYFUNCTION("IFERROR(
  FILTER('CBK Students'!P:P, TRIM('CBK Students'!B:B) = TRIM(A2132)),
  """"
)"),"#REF!")</f>
        <v>#REF!</v>
      </c>
      <c r="AB2132" s="4" t="str">
        <f>IFERROR(__xludf.DUMMYFUNCTION("IFERROR(
  FILTER('CBK Students'!Q:Q, TRIM('CBK Students'!B:B) = TRIM(A2132)),
  """"
)"),"#REF!")</f>
        <v>#REF!</v>
      </c>
    </row>
    <row r="2133" ht="18.75" customHeight="1">
      <c r="T2133" s="4"/>
      <c r="U2133" s="4"/>
      <c r="V2133" s="4">
        <f>IFERROR(__xludf.DUMMYFUNCTION("""COMPUTED_VALUE"""),6590.0)</f>
        <v>6590</v>
      </c>
      <c r="W2133" s="240" t="str">
        <f t="shared" si="1"/>
        <v/>
      </c>
      <c r="X2133" s="4" t="str">
        <f>IFERROR(__xludf.DUMMYFUNCTION("""COMPUTED_VALUE"""),"Prepare for Showcase")</f>
        <v>Prepare for Showcase</v>
      </c>
      <c r="Y2133" s="4" t="str">
        <f t="shared" si="2"/>
        <v/>
      </c>
      <c r="Z2133" s="4" t="str">
        <f>IFERROR(__xludf.DUMMYFUNCTION("IFERROR(
  FILTER('CBK Students'!O:O, TRIM('CBK Students'!B:B) = TRIM(A2133)),
  """"
)"),"#REF!")</f>
        <v>#REF!</v>
      </c>
      <c r="AA2133" s="4" t="str">
        <f>IFERROR(__xludf.DUMMYFUNCTION("IFERROR(
  FILTER('CBK Students'!P:P, TRIM('CBK Students'!B:B) = TRIM(A2133)),
  """"
)"),"#REF!")</f>
        <v>#REF!</v>
      </c>
      <c r="AB2133" s="4" t="str">
        <f>IFERROR(__xludf.DUMMYFUNCTION("IFERROR(
  FILTER('CBK Students'!Q:Q, TRIM('CBK Students'!B:B) = TRIM(A2133)),
  """"
)"),"#REF!")</f>
        <v>#REF!</v>
      </c>
    </row>
    <row r="2134" ht="18.75" customHeight="1">
      <c r="T2134" s="4"/>
      <c r="U2134" s="4"/>
      <c r="V2134" s="4">
        <f>IFERROR(__xludf.DUMMYFUNCTION("""COMPUTED_VALUE"""),6590.0)</f>
        <v>6590</v>
      </c>
      <c r="W2134" s="240" t="str">
        <f t="shared" si="1"/>
        <v/>
      </c>
      <c r="X2134" s="4" t="str">
        <f>IFERROR(__xludf.DUMMYFUNCTION("""COMPUTED_VALUE"""),"Prepare for Showcase")</f>
        <v>Prepare for Showcase</v>
      </c>
      <c r="Y2134" s="4" t="str">
        <f t="shared" si="2"/>
        <v/>
      </c>
      <c r="Z2134" s="4" t="str">
        <f>IFERROR(__xludf.DUMMYFUNCTION("IFERROR(
  FILTER('CBK Students'!O:O, TRIM('CBK Students'!B:B) = TRIM(A2134)),
  """"
)"),"#REF!")</f>
        <v>#REF!</v>
      </c>
      <c r="AA2134" s="4" t="str">
        <f>IFERROR(__xludf.DUMMYFUNCTION("IFERROR(
  FILTER('CBK Students'!P:P, TRIM('CBK Students'!B:B) = TRIM(A2134)),
  """"
)"),"#REF!")</f>
        <v>#REF!</v>
      </c>
      <c r="AB2134" s="4" t="str">
        <f>IFERROR(__xludf.DUMMYFUNCTION("IFERROR(
  FILTER('CBK Students'!Q:Q, TRIM('CBK Students'!B:B) = TRIM(A2134)),
  """"
)"),"#REF!")</f>
        <v>#REF!</v>
      </c>
    </row>
    <row r="2135" ht="18.75" customHeight="1">
      <c r="T2135" s="4"/>
      <c r="U2135" s="4"/>
      <c r="V2135" s="4">
        <f>IFERROR(__xludf.DUMMYFUNCTION("""COMPUTED_VALUE"""),6590.0)</f>
        <v>6590</v>
      </c>
      <c r="W2135" s="240" t="str">
        <f t="shared" si="1"/>
        <v/>
      </c>
      <c r="X2135" s="4" t="str">
        <f>IFERROR(__xludf.DUMMYFUNCTION("""COMPUTED_VALUE"""),"Prepare for Showcase")</f>
        <v>Prepare for Showcase</v>
      </c>
      <c r="Y2135" s="4" t="str">
        <f t="shared" si="2"/>
        <v/>
      </c>
      <c r="Z2135" s="4" t="str">
        <f>IFERROR(__xludf.DUMMYFUNCTION("IFERROR(
  FILTER('CBK Students'!O:O, TRIM('CBK Students'!B:B) = TRIM(A2135)),
  """"
)"),"#REF!")</f>
        <v>#REF!</v>
      </c>
      <c r="AA2135" s="4" t="str">
        <f>IFERROR(__xludf.DUMMYFUNCTION("IFERROR(
  FILTER('CBK Students'!P:P, TRIM('CBK Students'!B:B) = TRIM(A2135)),
  """"
)"),"#REF!")</f>
        <v>#REF!</v>
      </c>
      <c r="AB2135" s="4" t="str">
        <f>IFERROR(__xludf.DUMMYFUNCTION("IFERROR(
  FILTER('CBK Students'!Q:Q, TRIM('CBK Students'!B:B) = TRIM(A2135)),
  """"
)"),"#REF!")</f>
        <v>#REF!</v>
      </c>
    </row>
    <row r="2136" ht="18.75" customHeight="1">
      <c r="T2136" s="4"/>
      <c r="U2136" s="4"/>
      <c r="V2136" s="4">
        <f>IFERROR(__xludf.DUMMYFUNCTION("""COMPUTED_VALUE"""),6590.0)</f>
        <v>6590</v>
      </c>
      <c r="W2136" s="240" t="str">
        <f t="shared" si="1"/>
        <v/>
      </c>
      <c r="X2136" s="4" t="str">
        <f>IFERROR(__xludf.DUMMYFUNCTION("""COMPUTED_VALUE"""),"Prepare for Showcase")</f>
        <v>Prepare for Showcase</v>
      </c>
      <c r="Y2136" s="4" t="str">
        <f t="shared" si="2"/>
        <v/>
      </c>
      <c r="Z2136" s="4" t="str">
        <f>IFERROR(__xludf.DUMMYFUNCTION("IFERROR(
  FILTER('CBK Students'!O:O, TRIM('CBK Students'!B:B) = TRIM(A2136)),
  """"
)"),"#REF!")</f>
        <v>#REF!</v>
      </c>
      <c r="AA2136" s="4" t="str">
        <f>IFERROR(__xludf.DUMMYFUNCTION("IFERROR(
  FILTER('CBK Students'!P:P, TRIM('CBK Students'!B:B) = TRIM(A2136)),
  """"
)"),"#REF!")</f>
        <v>#REF!</v>
      </c>
      <c r="AB2136" s="4" t="str">
        <f>IFERROR(__xludf.DUMMYFUNCTION("IFERROR(
  FILTER('CBK Students'!Q:Q, TRIM('CBK Students'!B:B) = TRIM(A2136)),
  """"
)"),"#REF!")</f>
        <v>#REF!</v>
      </c>
    </row>
    <row r="2137" ht="18.75" customHeight="1">
      <c r="T2137" s="4"/>
      <c r="U2137" s="4"/>
      <c r="V2137" s="4">
        <f>IFERROR(__xludf.DUMMYFUNCTION("""COMPUTED_VALUE"""),6590.0)</f>
        <v>6590</v>
      </c>
      <c r="W2137" s="240" t="str">
        <f t="shared" si="1"/>
        <v/>
      </c>
      <c r="X2137" s="4" t="str">
        <f>IFERROR(__xludf.DUMMYFUNCTION("""COMPUTED_VALUE"""),"Prepare for Showcase")</f>
        <v>Prepare for Showcase</v>
      </c>
      <c r="Y2137" s="4" t="str">
        <f t="shared" si="2"/>
        <v/>
      </c>
      <c r="Z2137" s="4" t="str">
        <f>IFERROR(__xludf.DUMMYFUNCTION("IFERROR(
  FILTER('CBK Students'!O:O, TRIM('CBK Students'!B:B) = TRIM(A2137)),
  """"
)"),"#REF!")</f>
        <v>#REF!</v>
      </c>
      <c r="AA2137" s="4" t="str">
        <f>IFERROR(__xludf.DUMMYFUNCTION("IFERROR(
  FILTER('CBK Students'!P:P, TRIM('CBK Students'!B:B) = TRIM(A2137)),
  """"
)"),"#REF!")</f>
        <v>#REF!</v>
      </c>
      <c r="AB2137" s="4" t="str">
        <f>IFERROR(__xludf.DUMMYFUNCTION("IFERROR(
  FILTER('CBK Students'!Q:Q, TRIM('CBK Students'!B:B) = TRIM(A2137)),
  """"
)"),"#REF!")</f>
        <v>#REF!</v>
      </c>
    </row>
    <row r="2138" ht="18.75" customHeight="1">
      <c r="T2138" s="4"/>
      <c r="U2138" s="4"/>
      <c r="V2138" s="4">
        <f>IFERROR(__xludf.DUMMYFUNCTION("""COMPUTED_VALUE"""),6590.0)</f>
        <v>6590</v>
      </c>
      <c r="W2138" s="240" t="str">
        <f t="shared" si="1"/>
        <v/>
      </c>
      <c r="X2138" s="4" t="str">
        <f>IFERROR(__xludf.DUMMYFUNCTION("""COMPUTED_VALUE"""),"Prepare for Showcase")</f>
        <v>Prepare for Showcase</v>
      </c>
      <c r="Y2138" s="4" t="str">
        <f t="shared" si="2"/>
        <v/>
      </c>
      <c r="Z2138" s="4" t="str">
        <f>IFERROR(__xludf.DUMMYFUNCTION("IFERROR(
  FILTER('CBK Students'!O:O, TRIM('CBK Students'!B:B) = TRIM(A2138)),
  """"
)"),"#REF!")</f>
        <v>#REF!</v>
      </c>
      <c r="AA2138" s="4" t="str">
        <f>IFERROR(__xludf.DUMMYFUNCTION("IFERROR(
  FILTER('CBK Students'!P:P, TRIM('CBK Students'!B:B) = TRIM(A2138)),
  """"
)"),"#REF!")</f>
        <v>#REF!</v>
      </c>
      <c r="AB2138" s="4" t="str">
        <f>IFERROR(__xludf.DUMMYFUNCTION("IFERROR(
  FILTER('CBK Students'!Q:Q, TRIM('CBK Students'!B:B) = TRIM(A2138)),
  """"
)"),"#REF!")</f>
        <v>#REF!</v>
      </c>
    </row>
    <row r="2139" ht="18.75" customHeight="1">
      <c r="T2139" s="4"/>
      <c r="U2139" s="4"/>
      <c r="V2139" s="4">
        <f>IFERROR(__xludf.DUMMYFUNCTION("""COMPUTED_VALUE"""),6590.0)</f>
        <v>6590</v>
      </c>
      <c r="W2139" s="240" t="str">
        <f t="shared" si="1"/>
        <v/>
      </c>
      <c r="X2139" s="4" t="str">
        <f>IFERROR(__xludf.DUMMYFUNCTION("""COMPUTED_VALUE"""),"Prepare for Showcase")</f>
        <v>Prepare for Showcase</v>
      </c>
      <c r="Y2139" s="4" t="str">
        <f t="shared" si="2"/>
        <v/>
      </c>
      <c r="Z2139" s="4" t="str">
        <f>IFERROR(__xludf.DUMMYFUNCTION("IFERROR(
  FILTER('CBK Students'!O:O, TRIM('CBK Students'!B:B) = TRIM(A2139)),
  """"
)"),"#REF!")</f>
        <v>#REF!</v>
      </c>
      <c r="AA2139" s="4" t="str">
        <f>IFERROR(__xludf.DUMMYFUNCTION("IFERROR(
  FILTER('CBK Students'!P:P, TRIM('CBK Students'!B:B) = TRIM(A2139)),
  """"
)"),"#REF!")</f>
        <v>#REF!</v>
      </c>
      <c r="AB2139" s="4" t="str">
        <f>IFERROR(__xludf.DUMMYFUNCTION("IFERROR(
  FILTER('CBK Students'!Q:Q, TRIM('CBK Students'!B:B) = TRIM(A2139)),
  """"
)"),"#REF!")</f>
        <v>#REF!</v>
      </c>
    </row>
    <row r="2140" ht="18.75" customHeight="1">
      <c r="T2140" s="4"/>
      <c r="U2140" s="4"/>
      <c r="V2140" s="4">
        <f>IFERROR(__xludf.DUMMYFUNCTION("""COMPUTED_VALUE"""),6590.0)</f>
        <v>6590</v>
      </c>
      <c r="W2140" s="240" t="str">
        <f t="shared" si="1"/>
        <v/>
      </c>
      <c r="X2140" s="4" t="str">
        <f>IFERROR(__xludf.DUMMYFUNCTION("""COMPUTED_VALUE"""),"Prepare for Showcase")</f>
        <v>Prepare for Showcase</v>
      </c>
      <c r="Y2140" s="4" t="str">
        <f t="shared" si="2"/>
        <v/>
      </c>
      <c r="Z2140" s="4" t="str">
        <f>IFERROR(__xludf.DUMMYFUNCTION("IFERROR(
  FILTER('CBK Students'!O:O, TRIM('CBK Students'!B:B) = TRIM(A2140)),
  """"
)"),"#REF!")</f>
        <v>#REF!</v>
      </c>
      <c r="AA2140" s="4" t="str">
        <f>IFERROR(__xludf.DUMMYFUNCTION("IFERROR(
  FILTER('CBK Students'!P:P, TRIM('CBK Students'!B:B) = TRIM(A2140)),
  """"
)"),"#REF!")</f>
        <v>#REF!</v>
      </c>
      <c r="AB2140" s="4" t="str">
        <f>IFERROR(__xludf.DUMMYFUNCTION("IFERROR(
  FILTER('CBK Students'!Q:Q, TRIM('CBK Students'!B:B) = TRIM(A2140)),
  """"
)"),"#REF!")</f>
        <v>#REF!</v>
      </c>
    </row>
    <row r="2141" ht="18.75" customHeight="1">
      <c r="T2141" s="4"/>
      <c r="U2141" s="4"/>
      <c r="V2141" s="4">
        <f>IFERROR(__xludf.DUMMYFUNCTION("""COMPUTED_VALUE"""),6590.0)</f>
        <v>6590</v>
      </c>
      <c r="W2141" s="240" t="str">
        <f t="shared" si="1"/>
        <v/>
      </c>
      <c r="X2141" s="4" t="str">
        <f>IFERROR(__xludf.DUMMYFUNCTION("""COMPUTED_VALUE"""),"Prepare for Showcase")</f>
        <v>Prepare for Showcase</v>
      </c>
      <c r="Y2141" s="4" t="str">
        <f t="shared" si="2"/>
        <v/>
      </c>
      <c r="Z2141" s="4" t="str">
        <f>IFERROR(__xludf.DUMMYFUNCTION("IFERROR(
  FILTER('CBK Students'!O:O, TRIM('CBK Students'!B:B) = TRIM(A2141)),
  """"
)"),"#REF!")</f>
        <v>#REF!</v>
      </c>
      <c r="AA2141" s="4" t="str">
        <f>IFERROR(__xludf.DUMMYFUNCTION("IFERROR(
  FILTER('CBK Students'!P:P, TRIM('CBK Students'!B:B) = TRIM(A2141)),
  """"
)"),"#REF!")</f>
        <v>#REF!</v>
      </c>
      <c r="AB2141" s="4" t="str">
        <f>IFERROR(__xludf.DUMMYFUNCTION("IFERROR(
  FILTER('CBK Students'!Q:Q, TRIM('CBK Students'!B:B) = TRIM(A2141)),
  """"
)"),"#REF!")</f>
        <v>#REF!</v>
      </c>
    </row>
    <row r="2142" ht="18.75" customHeight="1">
      <c r="T2142" s="4"/>
      <c r="U2142" s="4"/>
      <c r="V2142" s="4">
        <f>IFERROR(__xludf.DUMMYFUNCTION("""COMPUTED_VALUE"""),6590.0)</f>
        <v>6590</v>
      </c>
      <c r="W2142" s="240" t="str">
        <f t="shared" si="1"/>
        <v/>
      </c>
      <c r="X2142" s="4" t="str">
        <f>IFERROR(__xludf.DUMMYFUNCTION("""COMPUTED_VALUE"""),"Prepare for Showcase")</f>
        <v>Prepare for Showcase</v>
      </c>
      <c r="Y2142" s="4" t="str">
        <f t="shared" si="2"/>
        <v/>
      </c>
      <c r="Z2142" s="4" t="str">
        <f>IFERROR(__xludf.DUMMYFUNCTION("IFERROR(
  FILTER('CBK Students'!O:O, TRIM('CBK Students'!B:B) = TRIM(A2142)),
  """"
)"),"#REF!")</f>
        <v>#REF!</v>
      </c>
      <c r="AA2142" s="4" t="str">
        <f>IFERROR(__xludf.DUMMYFUNCTION("IFERROR(
  FILTER('CBK Students'!P:P, TRIM('CBK Students'!B:B) = TRIM(A2142)),
  """"
)"),"#REF!")</f>
        <v>#REF!</v>
      </c>
      <c r="AB2142" s="4" t="str">
        <f>IFERROR(__xludf.DUMMYFUNCTION("IFERROR(
  FILTER('CBK Students'!Q:Q, TRIM('CBK Students'!B:B) = TRIM(A2142)),
  """"
)"),"#REF!")</f>
        <v>#REF!</v>
      </c>
    </row>
    <row r="2143" ht="18.75" customHeight="1">
      <c r="T2143" s="4"/>
      <c r="U2143" s="4"/>
      <c r="V2143" s="4">
        <f>IFERROR(__xludf.DUMMYFUNCTION("""COMPUTED_VALUE"""),6590.0)</f>
        <v>6590</v>
      </c>
      <c r="W2143" s="240" t="str">
        <f t="shared" si="1"/>
        <v/>
      </c>
      <c r="X2143" s="4" t="str">
        <f>IFERROR(__xludf.DUMMYFUNCTION("""COMPUTED_VALUE"""),"Prepare for Showcase")</f>
        <v>Prepare for Showcase</v>
      </c>
      <c r="Y2143" s="4" t="str">
        <f t="shared" si="2"/>
        <v/>
      </c>
      <c r="Z2143" s="4" t="str">
        <f>IFERROR(__xludf.DUMMYFUNCTION("IFERROR(
  FILTER('CBK Students'!O:O, TRIM('CBK Students'!B:B) = TRIM(A2143)),
  """"
)"),"#REF!")</f>
        <v>#REF!</v>
      </c>
      <c r="AA2143" s="4" t="str">
        <f>IFERROR(__xludf.DUMMYFUNCTION("IFERROR(
  FILTER('CBK Students'!P:P, TRIM('CBK Students'!B:B) = TRIM(A2143)),
  """"
)"),"#REF!")</f>
        <v>#REF!</v>
      </c>
      <c r="AB2143" s="4" t="str">
        <f>IFERROR(__xludf.DUMMYFUNCTION("IFERROR(
  FILTER('CBK Students'!Q:Q, TRIM('CBK Students'!B:B) = TRIM(A2143)),
  """"
)"),"#REF!")</f>
        <v>#REF!</v>
      </c>
    </row>
    <row r="2144" ht="18.75" customHeight="1">
      <c r="T2144" s="4"/>
      <c r="U2144" s="4"/>
      <c r="V2144" s="4">
        <f>IFERROR(__xludf.DUMMYFUNCTION("""COMPUTED_VALUE"""),6590.0)</f>
        <v>6590</v>
      </c>
      <c r="W2144" s="240" t="str">
        <f t="shared" si="1"/>
        <v/>
      </c>
      <c r="X2144" s="4" t="str">
        <f>IFERROR(__xludf.DUMMYFUNCTION("""COMPUTED_VALUE"""),"Prepare for Showcase")</f>
        <v>Prepare for Showcase</v>
      </c>
      <c r="Y2144" s="4" t="str">
        <f t="shared" si="2"/>
        <v/>
      </c>
      <c r="Z2144" s="4" t="str">
        <f>IFERROR(__xludf.DUMMYFUNCTION("IFERROR(
  FILTER('CBK Students'!O:O, TRIM('CBK Students'!B:B) = TRIM(A2144)),
  """"
)"),"#REF!")</f>
        <v>#REF!</v>
      </c>
      <c r="AA2144" s="4" t="str">
        <f>IFERROR(__xludf.DUMMYFUNCTION("IFERROR(
  FILTER('CBK Students'!P:P, TRIM('CBK Students'!B:B) = TRIM(A2144)),
  """"
)"),"#REF!")</f>
        <v>#REF!</v>
      </c>
      <c r="AB2144" s="4" t="str">
        <f>IFERROR(__xludf.DUMMYFUNCTION("IFERROR(
  FILTER('CBK Students'!Q:Q, TRIM('CBK Students'!B:B) = TRIM(A2144)),
  """"
)"),"#REF!")</f>
        <v>#REF!</v>
      </c>
    </row>
    <row r="2145" ht="18.75" customHeight="1">
      <c r="T2145" s="4"/>
      <c r="U2145" s="4"/>
      <c r="V2145" s="4">
        <f>IFERROR(__xludf.DUMMYFUNCTION("""COMPUTED_VALUE"""),6590.0)</f>
        <v>6590</v>
      </c>
      <c r="W2145" s="240" t="str">
        <f t="shared" si="1"/>
        <v/>
      </c>
      <c r="X2145" s="4" t="str">
        <f>IFERROR(__xludf.DUMMYFUNCTION("""COMPUTED_VALUE"""),"Prepare for Showcase")</f>
        <v>Prepare for Showcase</v>
      </c>
      <c r="Y2145" s="4" t="str">
        <f t="shared" si="2"/>
        <v/>
      </c>
      <c r="Z2145" s="4" t="str">
        <f>IFERROR(__xludf.DUMMYFUNCTION("IFERROR(
  FILTER('CBK Students'!O:O, TRIM('CBK Students'!B:B) = TRIM(A2145)),
  """"
)"),"#REF!")</f>
        <v>#REF!</v>
      </c>
      <c r="AA2145" s="4" t="str">
        <f>IFERROR(__xludf.DUMMYFUNCTION("IFERROR(
  FILTER('CBK Students'!P:P, TRIM('CBK Students'!B:B) = TRIM(A2145)),
  """"
)"),"#REF!")</f>
        <v>#REF!</v>
      </c>
      <c r="AB2145" s="4" t="str">
        <f>IFERROR(__xludf.DUMMYFUNCTION("IFERROR(
  FILTER('CBK Students'!Q:Q, TRIM('CBK Students'!B:B) = TRIM(A2145)),
  """"
)"),"#REF!")</f>
        <v>#REF!</v>
      </c>
    </row>
    <row r="2146" ht="18.75" customHeight="1">
      <c r="T2146" s="4"/>
      <c r="U2146" s="4"/>
      <c r="V2146" s="4">
        <f>IFERROR(__xludf.DUMMYFUNCTION("""COMPUTED_VALUE"""),6590.0)</f>
        <v>6590</v>
      </c>
      <c r="W2146" s="240" t="str">
        <f t="shared" si="1"/>
        <v/>
      </c>
      <c r="X2146" s="4" t="str">
        <f>IFERROR(__xludf.DUMMYFUNCTION("""COMPUTED_VALUE"""),"Prepare for Showcase")</f>
        <v>Prepare for Showcase</v>
      </c>
      <c r="Y2146" s="4" t="str">
        <f t="shared" si="2"/>
        <v/>
      </c>
      <c r="Z2146" s="4" t="str">
        <f>IFERROR(__xludf.DUMMYFUNCTION("IFERROR(
  FILTER('CBK Students'!O:O, TRIM('CBK Students'!B:B) = TRIM(A2146)),
  """"
)"),"#REF!")</f>
        <v>#REF!</v>
      </c>
      <c r="AA2146" s="4" t="str">
        <f>IFERROR(__xludf.DUMMYFUNCTION("IFERROR(
  FILTER('CBK Students'!P:P, TRIM('CBK Students'!B:B) = TRIM(A2146)),
  """"
)"),"#REF!")</f>
        <v>#REF!</v>
      </c>
      <c r="AB2146" s="4" t="str">
        <f>IFERROR(__xludf.DUMMYFUNCTION("IFERROR(
  FILTER('CBK Students'!Q:Q, TRIM('CBK Students'!B:B) = TRIM(A2146)),
  """"
)"),"#REF!")</f>
        <v>#REF!</v>
      </c>
    </row>
    <row r="2147" ht="18.75" customHeight="1">
      <c r="T2147" s="4"/>
      <c r="U2147" s="4"/>
      <c r="V2147" s="4">
        <f>IFERROR(__xludf.DUMMYFUNCTION("""COMPUTED_VALUE"""),6590.0)</f>
        <v>6590</v>
      </c>
      <c r="W2147" s="240" t="str">
        <f t="shared" si="1"/>
        <v/>
      </c>
      <c r="X2147" s="4" t="str">
        <f>IFERROR(__xludf.DUMMYFUNCTION("""COMPUTED_VALUE"""),"Prepare for Showcase")</f>
        <v>Prepare for Showcase</v>
      </c>
      <c r="Y2147" s="4" t="str">
        <f t="shared" si="2"/>
        <v/>
      </c>
      <c r="Z2147" s="4" t="str">
        <f>IFERROR(__xludf.DUMMYFUNCTION("IFERROR(
  FILTER('CBK Students'!O:O, TRIM('CBK Students'!B:B) = TRIM(A2147)),
  """"
)"),"#REF!")</f>
        <v>#REF!</v>
      </c>
      <c r="AA2147" s="4" t="str">
        <f>IFERROR(__xludf.DUMMYFUNCTION("IFERROR(
  FILTER('CBK Students'!P:P, TRIM('CBK Students'!B:B) = TRIM(A2147)),
  """"
)"),"#REF!")</f>
        <v>#REF!</v>
      </c>
      <c r="AB2147" s="4" t="str">
        <f>IFERROR(__xludf.DUMMYFUNCTION("IFERROR(
  FILTER('CBK Students'!Q:Q, TRIM('CBK Students'!B:B) = TRIM(A2147)),
  """"
)"),"#REF!")</f>
        <v>#REF!</v>
      </c>
    </row>
    <row r="2148" ht="18.75" customHeight="1">
      <c r="T2148" s="4"/>
      <c r="U2148" s="4"/>
      <c r="V2148" s="4">
        <f>IFERROR(__xludf.DUMMYFUNCTION("""COMPUTED_VALUE"""),6590.0)</f>
        <v>6590</v>
      </c>
      <c r="W2148" s="240" t="str">
        <f t="shared" si="1"/>
        <v/>
      </c>
      <c r="X2148" s="4" t="str">
        <f>IFERROR(__xludf.DUMMYFUNCTION("""COMPUTED_VALUE"""),"Prepare for Showcase")</f>
        <v>Prepare for Showcase</v>
      </c>
      <c r="Y2148" s="4" t="str">
        <f t="shared" si="2"/>
        <v/>
      </c>
      <c r="Z2148" s="4" t="str">
        <f>IFERROR(__xludf.DUMMYFUNCTION("IFERROR(
  FILTER('CBK Students'!O:O, TRIM('CBK Students'!B:B) = TRIM(A2148)),
  """"
)"),"#REF!")</f>
        <v>#REF!</v>
      </c>
      <c r="AA2148" s="4" t="str">
        <f>IFERROR(__xludf.DUMMYFUNCTION("IFERROR(
  FILTER('CBK Students'!P:P, TRIM('CBK Students'!B:B) = TRIM(A2148)),
  """"
)"),"#REF!")</f>
        <v>#REF!</v>
      </c>
      <c r="AB2148" s="4" t="str">
        <f>IFERROR(__xludf.DUMMYFUNCTION("IFERROR(
  FILTER('CBK Students'!Q:Q, TRIM('CBK Students'!B:B) = TRIM(A2148)),
  """"
)"),"#REF!")</f>
        <v>#REF!</v>
      </c>
    </row>
    <row r="2149" ht="18.75" customHeight="1">
      <c r="T2149" s="4"/>
      <c r="U2149" s="4"/>
      <c r="V2149" s="4">
        <f>IFERROR(__xludf.DUMMYFUNCTION("""COMPUTED_VALUE"""),6590.0)</f>
        <v>6590</v>
      </c>
      <c r="W2149" s="240" t="str">
        <f t="shared" si="1"/>
        <v/>
      </c>
      <c r="X2149" s="4" t="str">
        <f>IFERROR(__xludf.DUMMYFUNCTION("""COMPUTED_VALUE"""),"Prepare for Showcase")</f>
        <v>Prepare for Showcase</v>
      </c>
      <c r="Y2149" s="4" t="str">
        <f t="shared" si="2"/>
        <v/>
      </c>
      <c r="Z2149" s="4" t="str">
        <f>IFERROR(__xludf.DUMMYFUNCTION("IFERROR(
  FILTER('CBK Students'!O:O, TRIM('CBK Students'!B:B) = TRIM(A2149)),
  """"
)"),"#REF!")</f>
        <v>#REF!</v>
      </c>
      <c r="AA2149" s="4" t="str">
        <f>IFERROR(__xludf.DUMMYFUNCTION("IFERROR(
  FILTER('CBK Students'!P:P, TRIM('CBK Students'!B:B) = TRIM(A2149)),
  """"
)"),"#REF!")</f>
        <v>#REF!</v>
      </c>
      <c r="AB2149" s="4" t="str">
        <f>IFERROR(__xludf.DUMMYFUNCTION("IFERROR(
  FILTER('CBK Students'!Q:Q, TRIM('CBK Students'!B:B) = TRIM(A2149)),
  """"
)"),"#REF!")</f>
        <v>#REF!</v>
      </c>
    </row>
    <row r="2150" ht="18.75" customHeight="1">
      <c r="T2150" s="4"/>
      <c r="U2150" s="4"/>
      <c r="V2150" s="4">
        <f>IFERROR(__xludf.DUMMYFUNCTION("""COMPUTED_VALUE"""),6590.0)</f>
        <v>6590</v>
      </c>
      <c r="W2150" s="240" t="str">
        <f t="shared" si="1"/>
        <v/>
      </c>
      <c r="X2150" s="4" t="str">
        <f>IFERROR(__xludf.DUMMYFUNCTION("""COMPUTED_VALUE"""),"Prepare for Showcase")</f>
        <v>Prepare for Showcase</v>
      </c>
      <c r="Y2150" s="4" t="str">
        <f t="shared" si="2"/>
        <v/>
      </c>
      <c r="Z2150" s="4" t="str">
        <f>IFERROR(__xludf.DUMMYFUNCTION("IFERROR(
  FILTER('CBK Students'!O:O, TRIM('CBK Students'!B:B) = TRIM(A2150)),
  """"
)"),"#REF!")</f>
        <v>#REF!</v>
      </c>
      <c r="AA2150" s="4" t="str">
        <f>IFERROR(__xludf.DUMMYFUNCTION("IFERROR(
  FILTER('CBK Students'!P:P, TRIM('CBK Students'!B:B) = TRIM(A2150)),
  """"
)"),"#REF!")</f>
        <v>#REF!</v>
      </c>
      <c r="AB2150" s="4" t="str">
        <f>IFERROR(__xludf.DUMMYFUNCTION("IFERROR(
  FILTER('CBK Students'!Q:Q, TRIM('CBK Students'!B:B) = TRIM(A2150)),
  """"
)"),"#REF!")</f>
        <v>#REF!</v>
      </c>
    </row>
    <row r="2151" ht="18.75" customHeight="1">
      <c r="T2151" s="4"/>
      <c r="U2151" s="4"/>
      <c r="V2151" s="4">
        <f>IFERROR(__xludf.DUMMYFUNCTION("""COMPUTED_VALUE"""),6590.0)</f>
        <v>6590</v>
      </c>
      <c r="W2151" s="240" t="str">
        <f t="shared" si="1"/>
        <v/>
      </c>
      <c r="X2151" s="4" t="str">
        <f>IFERROR(__xludf.DUMMYFUNCTION("""COMPUTED_VALUE"""),"Prepare for Showcase")</f>
        <v>Prepare for Showcase</v>
      </c>
      <c r="Y2151" s="4" t="str">
        <f t="shared" si="2"/>
        <v/>
      </c>
      <c r="Z2151" s="4" t="str">
        <f>IFERROR(__xludf.DUMMYFUNCTION("IFERROR(
  FILTER('CBK Students'!O:O, TRIM('CBK Students'!B:B) = TRIM(A2151)),
  """"
)"),"#REF!")</f>
        <v>#REF!</v>
      </c>
      <c r="AA2151" s="4" t="str">
        <f>IFERROR(__xludf.DUMMYFUNCTION("IFERROR(
  FILTER('CBK Students'!P:P, TRIM('CBK Students'!B:B) = TRIM(A2151)),
  """"
)"),"#REF!")</f>
        <v>#REF!</v>
      </c>
      <c r="AB2151" s="4" t="str">
        <f>IFERROR(__xludf.DUMMYFUNCTION("IFERROR(
  FILTER('CBK Students'!Q:Q, TRIM('CBK Students'!B:B) = TRIM(A2151)),
  """"
)"),"#REF!")</f>
        <v>#REF!</v>
      </c>
    </row>
    <row r="2152" ht="18.75" customHeight="1">
      <c r="T2152" s="4"/>
      <c r="U2152" s="4"/>
      <c r="V2152" s="4">
        <f>IFERROR(__xludf.DUMMYFUNCTION("""COMPUTED_VALUE"""),6590.0)</f>
        <v>6590</v>
      </c>
      <c r="W2152" s="240" t="str">
        <f t="shared" si="1"/>
        <v/>
      </c>
      <c r="X2152" s="4" t="str">
        <f>IFERROR(__xludf.DUMMYFUNCTION("""COMPUTED_VALUE"""),"Prepare for Showcase")</f>
        <v>Prepare for Showcase</v>
      </c>
      <c r="Y2152" s="4" t="str">
        <f t="shared" si="2"/>
        <v/>
      </c>
      <c r="Z2152" s="4" t="str">
        <f>IFERROR(__xludf.DUMMYFUNCTION("IFERROR(
  FILTER('CBK Students'!O:O, TRIM('CBK Students'!B:B) = TRIM(A2152)),
  """"
)"),"#REF!")</f>
        <v>#REF!</v>
      </c>
      <c r="AA2152" s="4" t="str">
        <f>IFERROR(__xludf.DUMMYFUNCTION("IFERROR(
  FILTER('CBK Students'!P:P, TRIM('CBK Students'!B:B) = TRIM(A2152)),
  """"
)"),"#REF!")</f>
        <v>#REF!</v>
      </c>
      <c r="AB2152" s="4" t="str">
        <f>IFERROR(__xludf.DUMMYFUNCTION("IFERROR(
  FILTER('CBK Students'!Q:Q, TRIM('CBK Students'!B:B) = TRIM(A2152)),
  """"
)"),"#REF!")</f>
        <v>#REF!</v>
      </c>
    </row>
    <row r="2153" ht="18.75" customHeight="1">
      <c r="T2153" s="4"/>
      <c r="U2153" s="4"/>
      <c r="V2153" s="4">
        <f>IFERROR(__xludf.DUMMYFUNCTION("""COMPUTED_VALUE"""),6590.0)</f>
        <v>6590</v>
      </c>
      <c r="W2153" s="240" t="str">
        <f t="shared" si="1"/>
        <v/>
      </c>
      <c r="X2153" s="4" t="str">
        <f>IFERROR(__xludf.DUMMYFUNCTION("""COMPUTED_VALUE"""),"Prepare for Showcase")</f>
        <v>Prepare for Showcase</v>
      </c>
      <c r="Y2153" s="4" t="str">
        <f t="shared" si="2"/>
        <v/>
      </c>
      <c r="Z2153" s="4" t="str">
        <f>IFERROR(__xludf.DUMMYFUNCTION("IFERROR(
  FILTER('CBK Students'!O:O, TRIM('CBK Students'!B:B) = TRIM(A2153)),
  """"
)"),"#REF!")</f>
        <v>#REF!</v>
      </c>
      <c r="AA2153" s="4" t="str">
        <f>IFERROR(__xludf.DUMMYFUNCTION("IFERROR(
  FILTER('CBK Students'!P:P, TRIM('CBK Students'!B:B) = TRIM(A2153)),
  """"
)"),"#REF!")</f>
        <v>#REF!</v>
      </c>
      <c r="AB2153" s="4" t="str">
        <f>IFERROR(__xludf.DUMMYFUNCTION("IFERROR(
  FILTER('CBK Students'!Q:Q, TRIM('CBK Students'!B:B) = TRIM(A2153)),
  """"
)"),"#REF!")</f>
        <v>#REF!</v>
      </c>
    </row>
    <row r="2154" ht="18.75" customHeight="1">
      <c r="T2154" s="4"/>
      <c r="U2154" s="4"/>
      <c r="V2154" s="4">
        <f>IFERROR(__xludf.DUMMYFUNCTION("""COMPUTED_VALUE"""),6590.0)</f>
        <v>6590</v>
      </c>
      <c r="W2154" s="240" t="str">
        <f t="shared" si="1"/>
        <v/>
      </c>
      <c r="X2154" s="4" t="str">
        <f>IFERROR(__xludf.DUMMYFUNCTION("""COMPUTED_VALUE"""),"Prepare for Showcase")</f>
        <v>Prepare for Showcase</v>
      </c>
      <c r="Y2154" s="4" t="str">
        <f t="shared" si="2"/>
        <v/>
      </c>
      <c r="Z2154" s="4" t="str">
        <f>IFERROR(__xludf.DUMMYFUNCTION("IFERROR(
  FILTER('CBK Students'!O:O, TRIM('CBK Students'!B:B) = TRIM(A2154)),
  """"
)"),"#REF!")</f>
        <v>#REF!</v>
      </c>
      <c r="AA2154" s="4" t="str">
        <f>IFERROR(__xludf.DUMMYFUNCTION("IFERROR(
  FILTER('CBK Students'!P:P, TRIM('CBK Students'!B:B) = TRIM(A2154)),
  """"
)"),"#REF!")</f>
        <v>#REF!</v>
      </c>
      <c r="AB2154" s="4" t="str">
        <f>IFERROR(__xludf.DUMMYFUNCTION("IFERROR(
  FILTER('CBK Students'!Q:Q, TRIM('CBK Students'!B:B) = TRIM(A2154)),
  """"
)"),"#REF!")</f>
        <v>#REF!</v>
      </c>
    </row>
    <row r="2155" ht="18.75" customHeight="1">
      <c r="T2155" s="4"/>
      <c r="U2155" s="4"/>
      <c r="V2155" s="4">
        <f>IFERROR(__xludf.DUMMYFUNCTION("""COMPUTED_VALUE"""),6590.0)</f>
        <v>6590</v>
      </c>
      <c r="W2155" s="240" t="str">
        <f t="shared" si="1"/>
        <v/>
      </c>
      <c r="X2155" s="4" t="str">
        <f>IFERROR(__xludf.DUMMYFUNCTION("""COMPUTED_VALUE"""),"Prepare for Showcase")</f>
        <v>Prepare for Showcase</v>
      </c>
      <c r="Y2155" s="4" t="str">
        <f t="shared" si="2"/>
        <v/>
      </c>
      <c r="Z2155" s="4" t="str">
        <f>IFERROR(__xludf.DUMMYFUNCTION("IFERROR(
  FILTER('CBK Students'!O:O, TRIM('CBK Students'!B:B) = TRIM(A2155)),
  """"
)"),"#REF!")</f>
        <v>#REF!</v>
      </c>
      <c r="AA2155" s="4" t="str">
        <f>IFERROR(__xludf.DUMMYFUNCTION("IFERROR(
  FILTER('CBK Students'!P:P, TRIM('CBK Students'!B:B) = TRIM(A2155)),
  """"
)"),"#REF!")</f>
        <v>#REF!</v>
      </c>
      <c r="AB2155" s="4" t="str">
        <f>IFERROR(__xludf.DUMMYFUNCTION("IFERROR(
  FILTER('CBK Students'!Q:Q, TRIM('CBK Students'!B:B) = TRIM(A2155)),
  """"
)"),"#REF!")</f>
        <v>#REF!</v>
      </c>
    </row>
    <row r="2156" ht="18.75" customHeight="1">
      <c r="T2156" s="4"/>
      <c r="U2156" s="4"/>
      <c r="V2156" s="4">
        <f>IFERROR(__xludf.DUMMYFUNCTION("""COMPUTED_VALUE"""),6590.0)</f>
        <v>6590</v>
      </c>
      <c r="W2156" s="240" t="str">
        <f t="shared" si="1"/>
        <v/>
      </c>
      <c r="X2156" s="4" t="str">
        <f>IFERROR(__xludf.DUMMYFUNCTION("""COMPUTED_VALUE"""),"Prepare for Showcase")</f>
        <v>Prepare for Showcase</v>
      </c>
      <c r="Y2156" s="4" t="str">
        <f t="shared" si="2"/>
        <v/>
      </c>
      <c r="Z2156" s="4" t="str">
        <f>IFERROR(__xludf.DUMMYFUNCTION("IFERROR(
  FILTER('CBK Students'!O:O, TRIM('CBK Students'!B:B) = TRIM(A2156)),
  """"
)"),"#REF!")</f>
        <v>#REF!</v>
      </c>
      <c r="AA2156" s="4" t="str">
        <f>IFERROR(__xludf.DUMMYFUNCTION("IFERROR(
  FILTER('CBK Students'!P:P, TRIM('CBK Students'!B:B) = TRIM(A2156)),
  """"
)"),"#REF!")</f>
        <v>#REF!</v>
      </c>
      <c r="AB2156" s="4" t="str">
        <f>IFERROR(__xludf.DUMMYFUNCTION("IFERROR(
  FILTER('CBK Students'!Q:Q, TRIM('CBK Students'!B:B) = TRIM(A2156)),
  """"
)"),"#REF!")</f>
        <v>#REF!</v>
      </c>
    </row>
    <row r="2157" ht="18.75" customHeight="1">
      <c r="T2157" s="4"/>
      <c r="U2157" s="4"/>
      <c r="V2157" s="4">
        <f>IFERROR(__xludf.DUMMYFUNCTION("""COMPUTED_VALUE"""),6590.0)</f>
        <v>6590</v>
      </c>
      <c r="W2157" s="240" t="str">
        <f t="shared" si="1"/>
        <v/>
      </c>
      <c r="X2157" s="4" t="str">
        <f>IFERROR(__xludf.DUMMYFUNCTION("""COMPUTED_VALUE"""),"Prepare for Showcase")</f>
        <v>Prepare for Showcase</v>
      </c>
      <c r="Y2157" s="4" t="str">
        <f t="shared" si="2"/>
        <v/>
      </c>
      <c r="Z2157" s="4" t="str">
        <f>IFERROR(__xludf.DUMMYFUNCTION("IFERROR(
  FILTER('CBK Students'!O:O, TRIM('CBK Students'!B:B) = TRIM(A2157)),
  """"
)"),"#REF!")</f>
        <v>#REF!</v>
      </c>
      <c r="AA2157" s="4" t="str">
        <f>IFERROR(__xludf.DUMMYFUNCTION("IFERROR(
  FILTER('CBK Students'!P:P, TRIM('CBK Students'!B:B) = TRIM(A2157)),
  """"
)"),"#REF!")</f>
        <v>#REF!</v>
      </c>
      <c r="AB2157" s="4" t="str">
        <f>IFERROR(__xludf.DUMMYFUNCTION("IFERROR(
  FILTER('CBK Students'!Q:Q, TRIM('CBK Students'!B:B) = TRIM(A2157)),
  """"
)"),"#REF!")</f>
        <v>#REF!</v>
      </c>
    </row>
    <row r="2158" ht="18.75" customHeight="1">
      <c r="T2158" s="4"/>
      <c r="U2158" s="4"/>
      <c r="V2158" s="4">
        <f>IFERROR(__xludf.DUMMYFUNCTION("""COMPUTED_VALUE"""),6590.0)</f>
        <v>6590</v>
      </c>
      <c r="W2158" s="240" t="str">
        <f t="shared" si="1"/>
        <v/>
      </c>
      <c r="X2158" s="4" t="str">
        <f>IFERROR(__xludf.DUMMYFUNCTION("""COMPUTED_VALUE"""),"Prepare for Showcase")</f>
        <v>Prepare for Showcase</v>
      </c>
      <c r="Y2158" s="4" t="str">
        <f t="shared" si="2"/>
        <v/>
      </c>
      <c r="Z2158" s="4" t="str">
        <f>IFERROR(__xludf.DUMMYFUNCTION("IFERROR(
  FILTER('CBK Students'!O:O, TRIM('CBK Students'!B:B) = TRIM(A2158)),
  """"
)"),"#REF!")</f>
        <v>#REF!</v>
      </c>
      <c r="AA2158" s="4" t="str">
        <f>IFERROR(__xludf.DUMMYFUNCTION("IFERROR(
  FILTER('CBK Students'!P:P, TRIM('CBK Students'!B:B) = TRIM(A2158)),
  """"
)"),"#REF!")</f>
        <v>#REF!</v>
      </c>
      <c r="AB2158" s="4" t="str">
        <f>IFERROR(__xludf.DUMMYFUNCTION("IFERROR(
  FILTER('CBK Students'!Q:Q, TRIM('CBK Students'!B:B) = TRIM(A2158)),
  """"
)"),"#REF!")</f>
        <v>#REF!</v>
      </c>
    </row>
    <row r="2159" ht="18.75" customHeight="1">
      <c r="T2159" s="4"/>
      <c r="U2159" s="4"/>
      <c r="V2159" s="4">
        <f>IFERROR(__xludf.DUMMYFUNCTION("""COMPUTED_VALUE"""),6590.0)</f>
        <v>6590</v>
      </c>
      <c r="W2159" s="240" t="str">
        <f t="shared" si="1"/>
        <v/>
      </c>
      <c r="X2159" s="4" t="str">
        <f>IFERROR(__xludf.DUMMYFUNCTION("""COMPUTED_VALUE"""),"Prepare for Showcase")</f>
        <v>Prepare for Showcase</v>
      </c>
      <c r="Y2159" s="4" t="str">
        <f t="shared" si="2"/>
        <v/>
      </c>
      <c r="Z2159" s="4" t="str">
        <f>IFERROR(__xludf.DUMMYFUNCTION("IFERROR(
  FILTER('CBK Students'!O:O, TRIM('CBK Students'!B:B) = TRIM(A2159)),
  """"
)"),"#REF!")</f>
        <v>#REF!</v>
      </c>
      <c r="AA2159" s="4" t="str">
        <f>IFERROR(__xludf.DUMMYFUNCTION("IFERROR(
  FILTER('CBK Students'!P:P, TRIM('CBK Students'!B:B) = TRIM(A2159)),
  """"
)"),"#REF!")</f>
        <v>#REF!</v>
      </c>
      <c r="AB2159" s="4" t="str">
        <f>IFERROR(__xludf.DUMMYFUNCTION("IFERROR(
  FILTER('CBK Students'!Q:Q, TRIM('CBK Students'!B:B) = TRIM(A2159)),
  """"
)"),"#REF!")</f>
        <v>#REF!</v>
      </c>
    </row>
    <row r="2160" ht="18.75" customHeight="1">
      <c r="T2160" s="4"/>
      <c r="U2160" s="4"/>
      <c r="V2160" s="4">
        <f>IFERROR(__xludf.DUMMYFUNCTION("""COMPUTED_VALUE"""),6590.0)</f>
        <v>6590</v>
      </c>
      <c r="W2160" s="240" t="str">
        <f t="shared" si="1"/>
        <v/>
      </c>
      <c r="X2160" s="4" t="str">
        <f>IFERROR(__xludf.DUMMYFUNCTION("""COMPUTED_VALUE"""),"Prepare for Showcase")</f>
        <v>Prepare for Showcase</v>
      </c>
      <c r="Y2160" s="4" t="str">
        <f t="shared" si="2"/>
        <v/>
      </c>
      <c r="Z2160" s="4" t="str">
        <f>IFERROR(__xludf.DUMMYFUNCTION("IFERROR(
  FILTER('CBK Students'!O:O, TRIM('CBK Students'!B:B) = TRIM(A2160)),
  """"
)"),"#REF!")</f>
        <v>#REF!</v>
      </c>
      <c r="AA2160" s="4" t="str">
        <f>IFERROR(__xludf.DUMMYFUNCTION("IFERROR(
  FILTER('CBK Students'!P:P, TRIM('CBK Students'!B:B) = TRIM(A2160)),
  """"
)"),"#REF!")</f>
        <v>#REF!</v>
      </c>
      <c r="AB2160" s="4" t="str">
        <f>IFERROR(__xludf.DUMMYFUNCTION("IFERROR(
  FILTER('CBK Students'!Q:Q, TRIM('CBK Students'!B:B) = TRIM(A2160)),
  """"
)"),"#REF!")</f>
        <v>#REF!</v>
      </c>
    </row>
    <row r="2161" ht="18.75" customHeight="1">
      <c r="T2161" s="4"/>
      <c r="U2161" s="4"/>
      <c r="V2161" s="4">
        <f>IFERROR(__xludf.DUMMYFUNCTION("""COMPUTED_VALUE"""),6590.0)</f>
        <v>6590</v>
      </c>
      <c r="W2161" s="240" t="str">
        <f t="shared" si="1"/>
        <v/>
      </c>
      <c r="X2161" s="4" t="str">
        <f>IFERROR(__xludf.DUMMYFUNCTION("""COMPUTED_VALUE"""),"Prepare for Showcase")</f>
        <v>Prepare for Showcase</v>
      </c>
      <c r="Y2161" s="4" t="str">
        <f t="shared" si="2"/>
        <v/>
      </c>
      <c r="Z2161" s="4" t="str">
        <f>IFERROR(__xludf.DUMMYFUNCTION("IFERROR(
  FILTER('CBK Students'!O:O, TRIM('CBK Students'!B:B) = TRIM(A2161)),
  """"
)"),"#REF!")</f>
        <v>#REF!</v>
      </c>
      <c r="AA2161" s="4" t="str">
        <f>IFERROR(__xludf.DUMMYFUNCTION("IFERROR(
  FILTER('CBK Students'!P:P, TRIM('CBK Students'!B:B) = TRIM(A2161)),
  """"
)"),"#REF!")</f>
        <v>#REF!</v>
      </c>
      <c r="AB2161" s="4" t="str">
        <f>IFERROR(__xludf.DUMMYFUNCTION("IFERROR(
  FILTER('CBK Students'!Q:Q, TRIM('CBK Students'!B:B) = TRIM(A2161)),
  """"
)"),"#REF!")</f>
        <v>#REF!</v>
      </c>
    </row>
    <row r="2162" ht="18.75" customHeight="1">
      <c r="T2162" s="4"/>
      <c r="U2162" s="4"/>
      <c r="V2162" s="4">
        <f>IFERROR(__xludf.DUMMYFUNCTION("""COMPUTED_VALUE"""),6590.0)</f>
        <v>6590</v>
      </c>
      <c r="W2162" s="240" t="str">
        <f t="shared" si="1"/>
        <v/>
      </c>
      <c r="X2162" s="4" t="str">
        <f>IFERROR(__xludf.DUMMYFUNCTION("""COMPUTED_VALUE"""),"Prepare for Showcase")</f>
        <v>Prepare for Showcase</v>
      </c>
      <c r="Y2162" s="4" t="str">
        <f t="shared" si="2"/>
        <v/>
      </c>
      <c r="Z2162" s="4" t="str">
        <f>IFERROR(__xludf.DUMMYFUNCTION("IFERROR(
  FILTER('CBK Students'!O:O, TRIM('CBK Students'!B:B) = TRIM(A2162)),
  """"
)"),"#REF!")</f>
        <v>#REF!</v>
      </c>
      <c r="AA2162" s="4" t="str">
        <f>IFERROR(__xludf.DUMMYFUNCTION("IFERROR(
  FILTER('CBK Students'!P:P, TRIM('CBK Students'!B:B) = TRIM(A2162)),
  """"
)"),"#REF!")</f>
        <v>#REF!</v>
      </c>
      <c r="AB2162" s="4" t="str">
        <f>IFERROR(__xludf.DUMMYFUNCTION("IFERROR(
  FILTER('CBK Students'!Q:Q, TRIM('CBK Students'!B:B) = TRIM(A2162)),
  """"
)"),"#REF!")</f>
        <v>#REF!</v>
      </c>
    </row>
    <row r="2163" ht="18.75" customHeight="1">
      <c r="T2163" s="4"/>
      <c r="U2163" s="4"/>
      <c r="V2163" s="4">
        <f>IFERROR(__xludf.DUMMYFUNCTION("""COMPUTED_VALUE"""),6590.0)</f>
        <v>6590</v>
      </c>
      <c r="W2163" s="240" t="str">
        <f t="shared" si="1"/>
        <v/>
      </c>
      <c r="X2163" s="4" t="str">
        <f>IFERROR(__xludf.DUMMYFUNCTION("""COMPUTED_VALUE"""),"Prepare for Showcase")</f>
        <v>Prepare for Showcase</v>
      </c>
      <c r="Y2163" s="4" t="str">
        <f t="shared" si="2"/>
        <v/>
      </c>
      <c r="Z2163" s="4" t="str">
        <f>IFERROR(__xludf.DUMMYFUNCTION("IFERROR(
  FILTER('CBK Students'!O:O, TRIM('CBK Students'!B:B) = TRIM(A2163)),
  """"
)"),"#REF!")</f>
        <v>#REF!</v>
      </c>
      <c r="AA2163" s="4" t="str">
        <f>IFERROR(__xludf.DUMMYFUNCTION("IFERROR(
  FILTER('CBK Students'!P:P, TRIM('CBK Students'!B:B) = TRIM(A2163)),
  """"
)"),"#REF!")</f>
        <v>#REF!</v>
      </c>
      <c r="AB2163" s="4" t="str">
        <f>IFERROR(__xludf.DUMMYFUNCTION("IFERROR(
  FILTER('CBK Students'!Q:Q, TRIM('CBK Students'!B:B) = TRIM(A2163)),
  """"
)"),"#REF!")</f>
        <v>#REF!</v>
      </c>
    </row>
    <row r="2164" ht="18.75" customHeight="1">
      <c r="T2164" s="4"/>
      <c r="U2164" s="4"/>
      <c r="V2164" s="4">
        <f>IFERROR(__xludf.DUMMYFUNCTION("""COMPUTED_VALUE"""),6590.0)</f>
        <v>6590</v>
      </c>
      <c r="W2164" s="240" t="str">
        <f t="shared" si="1"/>
        <v/>
      </c>
      <c r="X2164" s="4" t="str">
        <f>IFERROR(__xludf.DUMMYFUNCTION("""COMPUTED_VALUE"""),"Prepare for Showcase")</f>
        <v>Prepare for Showcase</v>
      </c>
      <c r="Y2164" s="4" t="str">
        <f t="shared" si="2"/>
        <v/>
      </c>
      <c r="Z2164" s="4" t="str">
        <f>IFERROR(__xludf.DUMMYFUNCTION("IFERROR(
  FILTER('CBK Students'!O:O, TRIM('CBK Students'!B:B) = TRIM(A2164)),
  """"
)"),"#REF!")</f>
        <v>#REF!</v>
      </c>
      <c r="AA2164" s="4" t="str">
        <f>IFERROR(__xludf.DUMMYFUNCTION("IFERROR(
  FILTER('CBK Students'!P:P, TRIM('CBK Students'!B:B) = TRIM(A2164)),
  """"
)"),"#REF!")</f>
        <v>#REF!</v>
      </c>
      <c r="AB2164" s="4" t="str">
        <f>IFERROR(__xludf.DUMMYFUNCTION("IFERROR(
  FILTER('CBK Students'!Q:Q, TRIM('CBK Students'!B:B) = TRIM(A2164)),
  """"
)"),"#REF!")</f>
        <v>#REF!</v>
      </c>
    </row>
    <row r="2165" ht="18.75" customHeight="1">
      <c r="T2165" s="4"/>
      <c r="U2165" s="4"/>
      <c r="V2165" s="4">
        <f>IFERROR(__xludf.DUMMYFUNCTION("""COMPUTED_VALUE"""),6590.0)</f>
        <v>6590</v>
      </c>
      <c r="W2165" s="240" t="str">
        <f t="shared" si="1"/>
        <v/>
      </c>
      <c r="X2165" s="4" t="str">
        <f>IFERROR(__xludf.DUMMYFUNCTION("""COMPUTED_VALUE"""),"Prepare for Showcase")</f>
        <v>Prepare for Showcase</v>
      </c>
      <c r="Y2165" s="4" t="str">
        <f t="shared" si="2"/>
        <v/>
      </c>
      <c r="Z2165" s="4" t="str">
        <f>IFERROR(__xludf.DUMMYFUNCTION("IFERROR(
  FILTER('CBK Students'!O:O, TRIM('CBK Students'!B:B) = TRIM(A2165)),
  """"
)"),"#REF!")</f>
        <v>#REF!</v>
      </c>
      <c r="AA2165" s="4" t="str">
        <f>IFERROR(__xludf.DUMMYFUNCTION("IFERROR(
  FILTER('CBK Students'!P:P, TRIM('CBK Students'!B:B) = TRIM(A2165)),
  """"
)"),"#REF!")</f>
        <v>#REF!</v>
      </c>
      <c r="AB2165" s="4" t="str">
        <f>IFERROR(__xludf.DUMMYFUNCTION("IFERROR(
  FILTER('CBK Students'!Q:Q, TRIM('CBK Students'!B:B) = TRIM(A2165)),
  """"
)"),"#REF!")</f>
        <v>#REF!</v>
      </c>
    </row>
    <row r="2166" ht="18.75" customHeight="1">
      <c r="T2166" s="4"/>
      <c r="U2166" s="4"/>
      <c r="V2166" s="4">
        <f>IFERROR(__xludf.DUMMYFUNCTION("""COMPUTED_VALUE"""),6590.0)</f>
        <v>6590</v>
      </c>
      <c r="W2166" s="240" t="str">
        <f t="shared" si="1"/>
        <v/>
      </c>
      <c r="X2166" s="4" t="str">
        <f>IFERROR(__xludf.DUMMYFUNCTION("""COMPUTED_VALUE"""),"Prepare for Showcase")</f>
        <v>Prepare for Showcase</v>
      </c>
      <c r="Y2166" s="4" t="str">
        <f t="shared" si="2"/>
        <v/>
      </c>
      <c r="Z2166" s="4" t="str">
        <f>IFERROR(__xludf.DUMMYFUNCTION("IFERROR(
  FILTER('CBK Students'!O:O, TRIM('CBK Students'!B:B) = TRIM(A2166)),
  """"
)"),"#REF!")</f>
        <v>#REF!</v>
      </c>
      <c r="AA2166" s="4" t="str">
        <f>IFERROR(__xludf.DUMMYFUNCTION("IFERROR(
  FILTER('CBK Students'!P:P, TRIM('CBK Students'!B:B) = TRIM(A2166)),
  """"
)"),"#REF!")</f>
        <v>#REF!</v>
      </c>
      <c r="AB2166" s="4" t="str">
        <f>IFERROR(__xludf.DUMMYFUNCTION("IFERROR(
  FILTER('CBK Students'!Q:Q, TRIM('CBK Students'!B:B) = TRIM(A2166)),
  """"
)"),"#REF!")</f>
        <v>#REF!</v>
      </c>
    </row>
    <row r="2167" ht="18.75" customHeight="1">
      <c r="T2167" s="4"/>
      <c r="U2167" s="4"/>
      <c r="V2167" s="4">
        <f>IFERROR(__xludf.DUMMYFUNCTION("""COMPUTED_VALUE"""),6590.0)</f>
        <v>6590</v>
      </c>
      <c r="W2167" s="240" t="str">
        <f t="shared" si="1"/>
        <v/>
      </c>
      <c r="X2167" s="4" t="str">
        <f>IFERROR(__xludf.DUMMYFUNCTION("""COMPUTED_VALUE"""),"Prepare for Showcase")</f>
        <v>Prepare for Showcase</v>
      </c>
      <c r="Y2167" s="4" t="str">
        <f t="shared" si="2"/>
        <v/>
      </c>
      <c r="Z2167" s="4" t="str">
        <f>IFERROR(__xludf.DUMMYFUNCTION("IFERROR(
  FILTER('CBK Students'!O:O, TRIM('CBK Students'!B:B) = TRIM(A2167)),
  """"
)"),"#REF!")</f>
        <v>#REF!</v>
      </c>
      <c r="AA2167" s="4" t="str">
        <f>IFERROR(__xludf.DUMMYFUNCTION("IFERROR(
  FILTER('CBK Students'!P:P, TRIM('CBK Students'!B:B) = TRIM(A2167)),
  """"
)"),"#REF!")</f>
        <v>#REF!</v>
      </c>
      <c r="AB2167" s="4" t="str">
        <f>IFERROR(__xludf.DUMMYFUNCTION("IFERROR(
  FILTER('CBK Students'!Q:Q, TRIM('CBK Students'!B:B) = TRIM(A2167)),
  """"
)"),"#REF!")</f>
        <v>#REF!</v>
      </c>
    </row>
    <row r="2168" ht="18.75" customHeight="1">
      <c r="T2168" s="4"/>
      <c r="U2168" s="4"/>
      <c r="V2168" s="4">
        <f>IFERROR(__xludf.DUMMYFUNCTION("""COMPUTED_VALUE"""),6590.0)</f>
        <v>6590</v>
      </c>
      <c r="W2168" s="240" t="str">
        <f t="shared" si="1"/>
        <v/>
      </c>
      <c r="X2168" s="4" t="str">
        <f>IFERROR(__xludf.DUMMYFUNCTION("""COMPUTED_VALUE"""),"Prepare for Showcase")</f>
        <v>Prepare for Showcase</v>
      </c>
      <c r="Y2168" s="4" t="str">
        <f t="shared" si="2"/>
        <v/>
      </c>
      <c r="Z2168" s="4" t="str">
        <f>IFERROR(__xludf.DUMMYFUNCTION("IFERROR(
  FILTER('CBK Students'!O:O, TRIM('CBK Students'!B:B) = TRIM(A2168)),
  """"
)"),"#REF!")</f>
        <v>#REF!</v>
      </c>
      <c r="AA2168" s="4" t="str">
        <f>IFERROR(__xludf.DUMMYFUNCTION("IFERROR(
  FILTER('CBK Students'!P:P, TRIM('CBK Students'!B:B) = TRIM(A2168)),
  """"
)"),"#REF!")</f>
        <v>#REF!</v>
      </c>
      <c r="AB2168" s="4" t="str">
        <f>IFERROR(__xludf.DUMMYFUNCTION("IFERROR(
  FILTER('CBK Students'!Q:Q, TRIM('CBK Students'!B:B) = TRIM(A2168)),
  """"
)"),"#REF!")</f>
        <v>#REF!</v>
      </c>
    </row>
    <row r="2169" ht="18.75" customHeight="1">
      <c r="T2169" s="4"/>
      <c r="U2169" s="4"/>
      <c r="V2169" s="4">
        <f>IFERROR(__xludf.DUMMYFUNCTION("""COMPUTED_VALUE"""),6590.0)</f>
        <v>6590</v>
      </c>
      <c r="W2169" s="240" t="str">
        <f t="shared" si="1"/>
        <v/>
      </c>
      <c r="X2169" s="4" t="str">
        <f>IFERROR(__xludf.DUMMYFUNCTION("""COMPUTED_VALUE"""),"Prepare for Showcase")</f>
        <v>Prepare for Showcase</v>
      </c>
      <c r="Y2169" s="4" t="str">
        <f t="shared" si="2"/>
        <v/>
      </c>
      <c r="Z2169" s="4" t="str">
        <f>IFERROR(__xludf.DUMMYFUNCTION("IFERROR(
  FILTER('CBK Students'!O:O, TRIM('CBK Students'!B:B) = TRIM(A2169)),
  """"
)"),"#REF!")</f>
        <v>#REF!</v>
      </c>
      <c r="AA2169" s="4" t="str">
        <f>IFERROR(__xludf.DUMMYFUNCTION("IFERROR(
  FILTER('CBK Students'!P:P, TRIM('CBK Students'!B:B) = TRIM(A2169)),
  """"
)"),"#REF!")</f>
        <v>#REF!</v>
      </c>
      <c r="AB2169" s="4" t="str">
        <f>IFERROR(__xludf.DUMMYFUNCTION("IFERROR(
  FILTER('CBK Students'!Q:Q, TRIM('CBK Students'!B:B) = TRIM(A2169)),
  """"
)"),"#REF!")</f>
        <v>#REF!</v>
      </c>
    </row>
    <row r="2170" ht="18.75" customHeight="1">
      <c r="T2170" s="4"/>
      <c r="U2170" s="4"/>
      <c r="V2170" s="4">
        <f>IFERROR(__xludf.DUMMYFUNCTION("""COMPUTED_VALUE"""),6590.0)</f>
        <v>6590</v>
      </c>
      <c r="W2170" s="240" t="str">
        <f t="shared" si="1"/>
        <v/>
      </c>
      <c r="X2170" s="4" t="str">
        <f>IFERROR(__xludf.DUMMYFUNCTION("""COMPUTED_VALUE"""),"Prepare for Showcase")</f>
        <v>Prepare for Showcase</v>
      </c>
      <c r="Y2170" s="4" t="str">
        <f t="shared" si="2"/>
        <v/>
      </c>
      <c r="Z2170" s="4" t="str">
        <f>IFERROR(__xludf.DUMMYFUNCTION("IFERROR(
  FILTER('CBK Students'!O:O, TRIM('CBK Students'!B:B) = TRIM(A2170)),
  """"
)"),"#REF!")</f>
        <v>#REF!</v>
      </c>
      <c r="AA2170" s="4" t="str">
        <f>IFERROR(__xludf.DUMMYFUNCTION("IFERROR(
  FILTER('CBK Students'!P:P, TRIM('CBK Students'!B:B) = TRIM(A2170)),
  """"
)"),"#REF!")</f>
        <v>#REF!</v>
      </c>
      <c r="AB2170" s="4" t="str">
        <f>IFERROR(__xludf.DUMMYFUNCTION("IFERROR(
  FILTER('CBK Students'!Q:Q, TRIM('CBK Students'!B:B) = TRIM(A2170)),
  """"
)"),"#REF!")</f>
        <v>#REF!</v>
      </c>
    </row>
    <row r="2171" ht="18.75" customHeight="1">
      <c r="T2171" s="4"/>
      <c r="U2171" s="4"/>
      <c r="V2171" s="4">
        <f>IFERROR(__xludf.DUMMYFUNCTION("""COMPUTED_VALUE"""),6590.0)</f>
        <v>6590</v>
      </c>
      <c r="W2171" s="240" t="str">
        <f t="shared" si="1"/>
        <v/>
      </c>
      <c r="X2171" s="4" t="str">
        <f>IFERROR(__xludf.DUMMYFUNCTION("""COMPUTED_VALUE"""),"Prepare for Showcase")</f>
        <v>Prepare for Showcase</v>
      </c>
      <c r="Y2171" s="4" t="str">
        <f t="shared" si="2"/>
        <v/>
      </c>
      <c r="Z2171" s="4" t="str">
        <f>IFERROR(__xludf.DUMMYFUNCTION("IFERROR(
  FILTER('CBK Students'!O:O, TRIM('CBK Students'!B:B) = TRIM(A2171)),
  """"
)"),"#REF!")</f>
        <v>#REF!</v>
      </c>
      <c r="AA2171" s="4" t="str">
        <f>IFERROR(__xludf.DUMMYFUNCTION("IFERROR(
  FILTER('CBK Students'!P:P, TRIM('CBK Students'!B:B) = TRIM(A2171)),
  """"
)"),"#REF!")</f>
        <v>#REF!</v>
      </c>
      <c r="AB2171" s="4" t="str">
        <f>IFERROR(__xludf.DUMMYFUNCTION("IFERROR(
  FILTER('CBK Students'!Q:Q, TRIM('CBK Students'!B:B) = TRIM(A2171)),
  """"
)"),"#REF!")</f>
        <v>#REF!</v>
      </c>
    </row>
    <row r="2172" ht="18.75" customHeight="1">
      <c r="T2172" s="4"/>
      <c r="U2172" s="4"/>
      <c r="V2172" s="4">
        <f>IFERROR(__xludf.DUMMYFUNCTION("""COMPUTED_VALUE"""),6590.0)</f>
        <v>6590</v>
      </c>
      <c r="W2172" s="240" t="str">
        <f t="shared" si="1"/>
        <v/>
      </c>
      <c r="X2172" s="4" t="str">
        <f>IFERROR(__xludf.DUMMYFUNCTION("""COMPUTED_VALUE"""),"Prepare for Showcase")</f>
        <v>Prepare for Showcase</v>
      </c>
      <c r="Y2172" s="4" t="str">
        <f t="shared" si="2"/>
        <v/>
      </c>
      <c r="Z2172" s="4" t="str">
        <f>IFERROR(__xludf.DUMMYFUNCTION("IFERROR(
  FILTER('CBK Students'!O:O, TRIM('CBK Students'!B:B) = TRIM(A2172)),
  """"
)"),"#REF!")</f>
        <v>#REF!</v>
      </c>
      <c r="AA2172" s="4" t="str">
        <f>IFERROR(__xludf.DUMMYFUNCTION("IFERROR(
  FILTER('CBK Students'!P:P, TRIM('CBK Students'!B:B) = TRIM(A2172)),
  """"
)"),"#REF!")</f>
        <v>#REF!</v>
      </c>
      <c r="AB2172" s="4" t="str">
        <f>IFERROR(__xludf.DUMMYFUNCTION("IFERROR(
  FILTER('CBK Students'!Q:Q, TRIM('CBK Students'!B:B) = TRIM(A2172)),
  """"
)"),"#REF!")</f>
        <v>#REF!</v>
      </c>
    </row>
    <row r="2173" ht="18.75" customHeight="1">
      <c r="T2173" s="4"/>
      <c r="U2173" s="4"/>
      <c r="V2173" s="4">
        <f>IFERROR(__xludf.DUMMYFUNCTION("""COMPUTED_VALUE"""),6590.0)</f>
        <v>6590</v>
      </c>
      <c r="W2173" s="240" t="str">
        <f t="shared" si="1"/>
        <v/>
      </c>
      <c r="X2173" s="4" t="str">
        <f>IFERROR(__xludf.DUMMYFUNCTION("""COMPUTED_VALUE"""),"Prepare for Showcase")</f>
        <v>Prepare for Showcase</v>
      </c>
      <c r="Y2173" s="4" t="str">
        <f t="shared" si="2"/>
        <v/>
      </c>
      <c r="Z2173" s="4" t="str">
        <f>IFERROR(__xludf.DUMMYFUNCTION("IFERROR(
  FILTER('CBK Students'!O:O, TRIM('CBK Students'!B:B) = TRIM(A2173)),
  """"
)"),"#REF!")</f>
        <v>#REF!</v>
      </c>
      <c r="AA2173" s="4" t="str">
        <f>IFERROR(__xludf.DUMMYFUNCTION("IFERROR(
  FILTER('CBK Students'!P:P, TRIM('CBK Students'!B:B) = TRIM(A2173)),
  """"
)"),"#REF!")</f>
        <v>#REF!</v>
      </c>
      <c r="AB2173" s="4" t="str">
        <f>IFERROR(__xludf.DUMMYFUNCTION("IFERROR(
  FILTER('CBK Students'!Q:Q, TRIM('CBK Students'!B:B) = TRIM(A2173)),
  """"
)"),"#REF!")</f>
        <v>#REF!</v>
      </c>
    </row>
    <row r="2174" ht="18.75" customHeight="1">
      <c r="T2174" s="4"/>
      <c r="U2174" s="4"/>
      <c r="V2174" s="4">
        <f>IFERROR(__xludf.DUMMYFUNCTION("""COMPUTED_VALUE"""),6590.0)</f>
        <v>6590</v>
      </c>
      <c r="W2174" s="240" t="str">
        <f t="shared" si="1"/>
        <v/>
      </c>
      <c r="X2174" s="4" t="str">
        <f>IFERROR(__xludf.DUMMYFUNCTION("""COMPUTED_VALUE"""),"Prepare for Showcase")</f>
        <v>Prepare for Showcase</v>
      </c>
      <c r="Y2174" s="4" t="str">
        <f t="shared" si="2"/>
        <v/>
      </c>
      <c r="Z2174" s="4" t="str">
        <f>IFERROR(__xludf.DUMMYFUNCTION("IFERROR(
  FILTER('CBK Students'!O:O, TRIM('CBK Students'!B:B) = TRIM(A2174)),
  """"
)"),"#REF!")</f>
        <v>#REF!</v>
      </c>
      <c r="AA2174" s="4" t="str">
        <f>IFERROR(__xludf.DUMMYFUNCTION("IFERROR(
  FILTER('CBK Students'!P:P, TRIM('CBK Students'!B:B) = TRIM(A2174)),
  """"
)"),"#REF!")</f>
        <v>#REF!</v>
      </c>
      <c r="AB2174" s="4" t="str">
        <f>IFERROR(__xludf.DUMMYFUNCTION("IFERROR(
  FILTER('CBK Students'!Q:Q, TRIM('CBK Students'!B:B) = TRIM(A2174)),
  """"
)"),"#REF!")</f>
        <v>#REF!</v>
      </c>
    </row>
    <row r="2175" ht="18.75" customHeight="1">
      <c r="T2175" s="4"/>
      <c r="U2175" s="4"/>
      <c r="V2175" s="4">
        <f>IFERROR(__xludf.DUMMYFUNCTION("""COMPUTED_VALUE"""),6590.0)</f>
        <v>6590</v>
      </c>
      <c r="W2175" s="240" t="str">
        <f t="shared" si="1"/>
        <v/>
      </c>
      <c r="X2175" s="4" t="str">
        <f>IFERROR(__xludf.DUMMYFUNCTION("""COMPUTED_VALUE"""),"Prepare for Showcase")</f>
        <v>Prepare for Showcase</v>
      </c>
      <c r="Y2175" s="4" t="str">
        <f t="shared" si="2"/>
        <v/>
      </c>
      <c r="Z2175" s="4" t="str">
        <f>IFERROR(__xludf.DUMMYFUNCTION("IFERROR(
  FILTER('CBK Students'!O:O, TRIM('CBK Students'!B:B) = TRIM(A2175)),
  """"
)"),"#REF!")</f>
        <v>#REF!</v>
      </c>
      <c r="AA2175" s="4" t="str">
        <f>IFERROR(__xludf.DUMMYFUNCTION("IFERROR(
  FILTER('CBK Students'!P:P, TRIM('CBK Students'!B:B) = TRIM(A2175)),
  """"
)"),"#REF!")</f>
        <v>#REF!</v>
      </c>
      <c r="AB2175" s="4" t="str">
        <f>IFERROR(__xludf.DUMMYFUNCTION("IFERROR(
  FILTER('CBK Students'!Q:Q, TRIM('CBK Students'!B:B) = TRIM(A2175)),
  """"
)"),"#REF!")</f>
        <v>#REF!</v>
      </c>
    </row>
    <row r="2176" ht="18.75" customHeight="1">
      <c r="T2176" s="4"/>
      <c r="U2176" s="4"/>
      <c r="V2176" s="4">
        <f>IFERROR(__xludf.DUMMYFUNCTION("""COMPUTED_VALUE"""),6590.0)</f>
        <v>6590</v>
      </c>
      <c r="W2176" s="240" t="str">
        <f t="shared" si="1"/>
        <v/>
      </c>
      <c r="X2176" s="4" t="str">
        <f>IFERROR(__xludf.DUMMYFUNCTION("""COMPUTED_VALUE"""),"Prepare for Showcase")</f>
        <v>Prepare for Showcase</v>
      </c>
      <c r="Y2176" s="4" t="str">
        <f t="shared" si="2"/>
        <v/>
      </c>
      <c r="Z2176" s="4" t="str">
        <f>IFERROR(__xludf.DUMMYFUNCTION("IFERROR(
  FILTER('CBK Students'!O:O, TRIM('CBK Students'!B:B) = TRIM(A2176)),
  """"
)"),"#REF!")</f>
        <v>#REF!</v>
      </c>
      <c r="AA2176" s="4" t="str">
        <f>IFERROR(__xludf.DUMMYFUNCTION("IFERROR(
  FILTER('CBK Students'!P:P, TRIM('CBK Students'!B:B) = TRIM(A2176)),
  """"
)"),"#REF!")</f>
        <v>#REF!</v>
      </c>
      <c r="AB2176" s="4" t="str">
        <f>IFERROR(__xludf.DUMMYFUNCTION("IFERROR(
  FILTER('CBK Students'!Q:Q, TRIM('CBK Students'!B:B) = TRIM(A2176)),
  """"
)"),"#REF!")</f>
        <v>#REF!</v>
      </c>
    </row>
    <row r="2177" ht="18.75" customHeight="1">
      <c r="T2177" s="4"/>
      <c r="U2177" s="4"/>
      <c r="V2177" s="4">
        <f>IFERROR(__xludf.DUMMYFUNCTION("""COMPUTED_VALUE"""),6590.0)</f>
        <v>6590</v>
      </c>
      <c r="W2177" s="240" t="str">
        <f t="shared" si="1"/>
        <v/>
      </c>
      <c r="X2177" s="4" t="str">
        <f>IFERROR(__xludf.DUMMYFUNCTION("""COMPUTED_VALUE"""),"Prepare for Showcase")</f>
        <v>Prepare for Showcase</v>
      </c>
      <c r="Y2177" s="4" t="str">
        <f t="shared" si="2"/>
        <v/>
      </c>
      <c r="Z2177" s="4" t="str">
        <f>IFERROR(__xludf.DUMMYFUNCTION("IFERROR(
  FILTER('CBK Students'!O:O, TRIM('CBK Students'!B:B) = TRIM(A2177)),
  """"
)"),"#REF!")</f>
        <v>#REF!</v>
      </c>
      <c r="AA2177" s="4" t="str">
        <f>IFERROR(__xludf.DUMMYFUNCTION("IFERROR(
  FILTER('CBK Students'!P:P, TRIM('CBK Students'!B:B) = TRIM(A2177)),
  """"
)"),"#REF!")</f>
        <v>#REF!</v>
      </c>
      <c r="AB2177" s="4" t="str">
        <f>IFERROR(__xludf.DUMMYFUNCTION("IFERROR(
  FILTER('CBK Students'!Q:Q, TRIM('CBK Students'!B:B) = TRIM(A2177)),
  """"
)"),"#REF!")</f>
        <v>#REF!</v>
      </c>
    </row>
    <row r="2178" ht="18.75" customHeight="1">
      <c r="T2178" s="4"/>
      <c r="U2178" s="4"/>
      <c r="V2178" s="4">
        <f>IFERROR(__xludf.DUMMYFUNCTION("""COMPUTED_VALUE"""),6590.0)</f>
        <v>6590</v>
      </c>
      <c r="W2178" s="240" t="str">
        <f t="shared" si="1"/>
        <v/>
      </c>
      <c r="X2178" s="4" t="str">
        <f>IFERROR(__xludf.DUMMYFUNCTION("""COMPUTED_VALUE"""),"Prepare for Showcase")</f>
        <v>Prepare for Showcase</v>
      </c>
      <c r="Y2178" s="4" t="str">
        <f t="shared" si="2"/>
        <v/>
      </c>
      <c r="Z2178" s="4" t="str">
        <f>IFERROR(__xludf.DUMMYFUNCTION("IFERROR(
  FILTER('CBK Students'!O:O, TRIM('CBK Students'!B:B) = TRIM(A2178)),
  """"
)"),"#REF!")</f>
        <v>#REF!</v>
      </c>
      <c r="AA2178" s="4" t="str">
        <f>IFERROR(__xludf.DUMMYFUNCTION("IFERROR(
  FILTER('CBK Students'!P:P, TRIM('CBK Students'!B:B) = TRIM(A2178)),
  """"
)"),"#REF!")</f>
        <v>#REF!</v>
      </c>
      <c r="AB2178" s="4" t="str">
        <f>IFERROR(__xludf.DUMMYFUNCTION("IFERROR(
  FILTER('CBK Students'!Q:Q, TRIM('CBK Students'!B:B) = TRIM(A2178)),
  """"
)"),"#REF!")</f>
        <v>#REF!</v>
      </c>
    </row>
    <row r="2179" ht="18.75" customHeight="1">
      <c r="T2179" s="4"/>
      <c r="U2179" s="4"/>
      <c r="V2179" s="4">
        <f>IFERROR(__xludf.DUMMYFUNCTION("""COMPUTED_VALUE"""),6590.0)</f>
        <v>6590</v>
      </c>
      <c r="W2179" s="240" t="str">
        <f t="shared" si="1"/>
        <v/>
      </c>
      <c r="X2179" s="4" t="str">
        <f>IFERROR(__xludf.DUMMYFUNCTION("""COMPUTED_VALUE"""),"Prepare for Showcase")</f>
        <v>Prepare for Showcase</v>
      </c>
      <c r="Y2179" s="4" t="str">
        <f t="shared" si="2"/>
        <v/>
      </c>
      <c r="Z2179" s="4" t="str">
        <f>IFERROR(__xludf.DUMMYFUNCTION("IFERROR(
  FILTER('CBK Students'!O:O, TRIM('CBK Students'!B:B) = TRIM(A2179)),
  """"
)"),"#REF!")</f>
        <v>#REF!</v>
      </c>
      <c r="AA2179" s="4" t="str">
        <f>IFERROR(__xludf.DUMMYFUNCTION("IFERROR(
  FILTER('CBK Students'!P:P, TRIM('CBK Students'!B:B) = TRIM(A2179)),
  """"
)"),"#REF!")</f>
        <v>#REF!</v>
      </c>
      <c r="AB2179" s="4" t="str">
        <f>IFERROR(__xludf.DUMMYFUNCTION("IFERROR(
  FILTER('CBK Students'!Q:Q, TRIM('CBK Students'!B:B) = TRIM(A2179)),
  """"
)"),"#REF!")</f>
        <v>#REF!</v>
      </c>
    </row>
    <row r="2180" ht="18.75" customHeight="1">
      <c r="T2180" s="4"/>
      <c r="U2180" s="4"/>
      <c r="V2180" s="4">
        <f>IFERROR(__xludf.DUMMYFUNCTION("""COMPUTED_VALUE"""),6590.0)</f>
        <v>6590</v>
      </c>
      <c r="W2180" s="240" t="str">
        <f t="shared" si="1"/>
        <v/>
      </c>
      <c r="X2180" s="4" t="str">
        <f>IFERROR(__xludf.DUMMYFUNCTION("""COMPUTED_VALUE"""),"Prepare for Showcase")</f>
        <v>Prepare for Showcase</v>
      </c>
      <c r="Y2180" s="4" t="str">
        <f t="shared" si="2"/>
        <v/>
      </c>
      <c r="Z2180" s="4" t="str">
        <f>IFERROR(__xludf.DUMMYFUNCTION("IFERROR(
  FILTER('CBK Students'!O:O, TRIM('CBK Students'!B:B) = TRIM(A2180)),
  """"
)"),"#REF!")</f>
        <v>#REF!</v>
      </c>
      <c r="AA2180" s="4" t="str">
        <f>IFERROR(__xludf.DUMMYFUNCTION("IFERROR(
  FILTER('CBK Students'!P:P, TRIM('CBK Students'!B:B) = TRIM(A2180)),
  """"
)"),"#REF!")</f>
        <v>#REF!</v>
      </c>
      <c r="AB2180" s="4" t="str">
        <f>IFERROR(__xludf.DUMMYFUNCTION("IFERROR(
  FILTER('CBK Students'!Q:Q, TRIM('CBK Students'!B:B) = TRIM(A2180)),
  """"
)"),"#REF!")</f>
        <v>#REF!</v>
      </c>
    </row>
    <row r="2181" ht="18.75" customHeight="1">
      <c r="T2181" s="4"/>
      <c r="U2181" s="4"/>
      <c r="V2181" s="4">
        <f>IFERROR(__xludf.DUMMYFUNCTION("""COMPUTED_VALUE"""),6590.0)</f>
        <v>6590</v>
      </c>
      <c r="W2181" s="240" t="str">
        <f t="shared" si="1"/>
        <v/>
      </c>
      <c r="X2181" s="4" t="str">
        <f>IFERROR(__xludf.DUMMYFUNCTION("""COMPUTED_VALUE"""),"Prepare for Showcase")</f>
        <v>Prepare for Showcase</v>
      </c>
      <c r="Y2181" s="4" t="str">
        <f t="shared" si="2"/>
        <v/>
      </c>
      <c r="Z2181" s="4" t="str">
        <f>IFERROR(__xludf.DUMMYFUNCTION("IFERROR(
  FILTER('CBK Students'!O:O, TRIM('CBK Students'!B:B) = TRIM(A2181)),
  """"
)"),"#REF!")</f>
        <v>#REF!</v>
      </c>
      <c r="AA2181" s="4" t="str">
        <f>IFERROR(__xludf.DUMMYFUNCTION("IFERROR(
  FILTER('CBK Students'!P:P, TRIM('CBK Students'!B:B) = TRIM(A2181)),
  """"
)"),"#REF!")</f>
        <v>#REF!</v>
      </c>
      <c r="AB2181" s="4" t="str">
        <f>IFERROR(__xludf.DUMMYFUNCTION("IFERROR(
  FILTER('CBK Students'!Q:Q, TRIM('CBK Students'!B:B) = TRIM(A2181)),
  """"
)"),"#REF!")</f>
        <v>#REF!</v>
      </c>
    </row>
    <row r="2182" ht="18.75" customHeight="1">
      <c r="T2182" s="4"/>
      <c r="U2182" s="4"/>
      <c r="V2182" s="4">
        <f>IFERROR(__xludf.DUMMYFUNCTION("""COMPUTED_VALUE"""),6590.0)</f>
        <v>6590</v>
      </c>
      <c r="W2182" s="240" t="str">
        <f t="shared" si="1"/>
        <v/>
      </c>
      <c r="X2182" s="4" t="str">
        <f>IFERROR(__xludf.DUMMYFUNCTION("""COMPUTED_VALUE"""),"Prepare for Showcase")</f>
        <v>Prepare for Showcase</v>
      </c>
      <c r="Y2182" s="4" t="str">
        <f t="shared" si="2"/>
        <v/>
      </c>
      <c r="Z2182" s="4" t="str">
        <f>IFERROR(__xludf.DUMMYFUNCTION("IFERROR(
  FILTER('CBK Students'!O:O, TRIM('CBK Students'!B:B) = TRIM(A2182)),
  """"
)"),"#REF!")</f>
        <v>#REF!</v>
      </c>
      <c r="AA2182" s="4" t="str">
        <f>IFERROR(__xludf.DUMMYFUNCTION("IFERROR(
  FILTER('CBK Students'!P:P, TRIM('CBK Students'!B:B) = TRIM(A2182)),
  """"
)"),"#REF!")</f>
        <v>#REF!</v>
      </c>
      <c r="AB2182" s="4" t="str">
        <f>IFERROR(__xludf.DUMMYFUNCTION("IFERROR(
  FILTER('CBK Students'!Q:Q, TRIM('CBK Students'!B:B) = TRIM(A2182)),
  """"
)"),"#REF!")</f>
        <v>#REF!</v>
      </c>
    </row>
    <row r="2183" ht="18.75" customHeight="1">
      <c r="T2183" s="4"/>
      <c r="U2183" s="4"/>
      <c r="V2183" s="4">
        <f>IFERROR(__xludf.DUMMYFUNCTION("""COMPUTED_VALUE"""),6590.0)</f>
        <v>6590</v>
      </c>
      <c r="W2183" s="240" t="str">
        <f t="shared" si="1"/>
        <v/>
      </c>
      <c r="X2183" s="4" t="str">
        <f>IFERROR(__xludf.DUMMYFUNCTION("""COMPUTED_VALUE"""),"Prepare for Showcase")</f>
        <v>Prepare for Showcase</v>
      </c>
      <c r="Y2183" s="4" t="str">
        <f t="shared" si="2"/>
        <v/>
      </c>
      <c r="Z2183" s="4" t="str">
        <f>IFERROR(__xludf.DUMMYFUNCTION("IFERROR(
  FILTER('CBK Students'!O:O, TRIM('CBK Students'!B:B) = TRIM(A2183)),
  """"
)"),"#REF!")</f>
        <v>#REF!</v>
      </c>
      <c r="AA2183" s="4" t="str">
        <f>IFERROR(__xludf.DUMMYFUNCTION("IFERROR(
  FILTER('CBK Students'!P:P, TRIM('CBK Students'!B:B) = TRIM(A2183)),
  """"
)"),"#REF!")</f>
        <v>#REF!</v>
      </c>
      <c r="AB2183" s="4" t="str">
        <f>IFERROR(__xludf.DUMMYFUNCTION("IFERROR(
  FILTER('CBK Students'!Q:Q, TRIM('CBK Students'!B:B) = TRIM(A2183)),
  """"
)"),"#REF!")</f>
        <v>#REF!</v>
      </c>
    </row>
    <row r="2184" ht="18.75" customHeight="1">
      <c r="T2184" s="4"/>
      <c r="U2184" s="4"/>
      <c r="V2184" s="4">
        <f>IFERROR(__xludf.DUMMYFUNCTION("""COMPUTED_VALUE"""),6590.0)</f>
        <v>6590</v>
      </c>
      <c r="W2184" s="240" t="str">
        <f t="shared" si="1"/>
        <v/>
      </c>
      <c r="X2184" s="4" t="str">
        <f>IFERROR(__xludf.DUMMYFUNCTION("""COMPUTED_VALUE"""),"Prepare for Showcase")</f>
        <v>Prepare for Showcase</v>
      </c>
      <c r="Y2184" s="4" t="str">
        <f t="shared" si="2"/>
        <v/>
      </c>
      <c r="Z2184" s="4" t="str">
        <f>IFERROR(__xludf.DUMMYFUNCTION("IFERROR(
  FILTER('CBK Students'!O:O, TRIM('CBK Students'!B:B) = TRIM(A2184)),
  """"
)"),"#REF!")</f>
        <v>#REF!</v>
      </c>
      <c r="AA2184" s="4" t="str">
        <f>IFERROR(__xludf.DUMMYFUNCTION("IFERROR(
  FILTER('CBK Students'!P:P, TRIM('CBK Students'!B:B) = TRIM(A2184)),
  """"
)"),"#REF!")</f>
        <v>#REF!</v>
      </c>
      <c r="AB2184" s="4" t="str">
        <f>IFERROR(__xludf.DUMMYFUNCTION("IFERROR(
  FILTER('CBK Students'!Q:Q, TRIM('CBK Students'!B:B) = TRIM(A2184)),
  """"
)"),"#REF!")</f>
        <v>#REF!</v>
      </c>
    </row>
    <row r="2185" ht="18.75" customHeight="1">
      <c r="T2185" s="4"/>
      <c r="U2185" s="4"/>
      <c r="V2185" s="4">
        <f>IFERROR(__xludf.DUMMYFUNCTION("""COMPUTED_VALUE"""),6590.0)</f>
        <v>6590</v>
      </c>
      <c r="W2185" s="240" t="str">
        <f t="shared" si="1"/>
        <v/>
      </c>
      <c r="X2185" s="4" t="str">
        <f>IFERROR(__xludf.DUMMYFUNCTION("""COMPUTED_VALUE"""),"Prepare for Showcase")</f>
        <v>Prepare for Showcase</v>
      </c>
      <c r="Y2185" s="4" t="str">
        <f t="shared" si="2"/>
        <v/>
      </c>
      <c r="Z2185" s="4" t="str">
        <f>IFERROR(__xludf.DUMMYFUNCTION("IFERROR(
  FILTER('CBK Students'!O:O, TRIM('CBK Students'!B:B) = TRIM(A2185)),
  """"
)"),"#REF!")</f>
        <v>#REF!</v>
      </c>
      <c r="AA2185" s="4" t="str">
        <f>IFERROR(__xludf.DUMMYFUNCTION("IFERROR(
  FILTER('CBK Students'!P:P, TRIM('CBK Students'!B:B) = TRIM(A2185)),
  """"
)"),"#REF!")</f>
        <v>#REF!</v>
      </c>
      <c r="AB2185" s="4" t="str">
        <f>IFERROR(__xludf.DUMMYFUNCTION("IFERROR(
  FILTER('CBK Students'!Q:Q, TRIM('CBK Students'!B:B) = TRIM(A2185)),
  """"
)"),"#REF!")</f>
        <v>#REF!</v>
      </c>
    </row>
    <row r="2186" ht="18.75" customHeight="1">
      <c r="T2186" s="4"/>
      <c r="U2186" s="4"/>
      <c r="V2186" s="4">
        <f>IFERROR(__xludf.DUMMYFUNCTION("""COMPUTED_VALUE"""),6590.0)</f>
        <v>6590</v>
      </c>
      <c r="W2186" s="240" t="str">
        <f t="shared" si="1"/>
        <v/>
      </c>
      <c r="X2186" s="4" t="str">
        <f>IFERROR(__xludf.DUMMYFUNCTION("""COMPUTED_VALUE"""),"Prepare for Showcase")</f>
        <v>Prepare for Showcase</v>
      </c>
      <c r="Y2186" s="4" t="str">
        <f t="shared" si="2"/>
        <v/>
      </c>
      <c r="Z2186" s="4" t="str">
        <f>IFERROR(__xludf.DUMMYFUNCTION("IFERROR(
  FILTER('CBK Students'!O:O, TRIM('CBK Students'!B:B) = TRIM(A2186)),
  """"
)"),"#REF!")</f>
        <v>#REF!</v>
      </c>
      <c r="AA2186" s="4" t="str">
        <f>IFERROR(__xludf.DUMMYFUNCTION("IFERROR(
  FILTER('CBK Students'!P:P, TRIM('CBK Students'!B:B) = TRIM(A2186)),
  """"
)"),"#REF!")</f>
        <v>#REF!</v>
      </c>
      <c r="AB2186" s="4" t="str">
        <f>IFERROR(__xludf.DUMMYFUNCTION("IFERROR(
  FILTER('CBK Students'!Q:Q, TRIM('CBK Students'!B:B) = TRIM(A2186)),
  """"
)"),"#REF!")</f>
        <v>#REF!</v>
      </c>
    </row>
    <row r="2187" ht="18.75" customHeight="1">
      <c r="T2187" s="4"/>
      <c r="U2187" s="4"/>
      <c r="V2187" s="4">
        <f>IFERROR(__xludf.DUMMYFUNCTION("""COMPUTED_VALUE"""),6590.0)</f>
        <v>6590</v>
      </c>
      <c r="W2187" s="240" t="str">
        <f t="shared" si="1"/>
        <v/>
      </c>
      <c r="X2187" s="4" t="str">
        <f>IFERROR(__xludf.DUMMYFUNCTION("""COMPUTED_VALUE"""),"Prepare for Showcase")</f>
        <v>Prepare for Showcase</v>
      </c>
      <c r="Y2187" s="4" t="str">
        <f t="shared" si="2"/>
        <v/>
      </c>
      <c r="Z2187" s="4" t="str">
        <f>IFERROR(__xludf.DUMMYFUNCTION("IFERROR(
  FILTER('CBK Students'!O:O, TRIM('CBK Students'!B:B) = TRIM(A2187)),
  """"
)"),"#REF!")</f>
        <v>#REF!</v>
      </c>
      <c r="AA2187" s="4" t="str">
        <f>IFERROR(__xludf.DUMMYFUNCTION("IFERROR(
  FILTER('CBK Students'!P:P, TRIM('CBK Students'!B:B) = TRIM(A2187)),
  """"
)"),"#REF!")</f>
        <v>#REF!</v>
      </c>
      <c r="AB2187" s="4" t="str">
        <f>IFERROR(__xludf.DUMMYFUNCTION("IFERROR(
  FILTER('CBK Students'!Q:Q, TRIM('CBK Students'!B:B) = TRIM(A2187)),
  """"
)"),"#REF!")</f>
        <v>#REF!</v>
      </c>
    </row>
    <row r="2188" ht="18.75" customHeight="1">
      <c r="T2188" s="4"/>
      <c r="U2188" s="4"/>
      <c r="V2188" s="4">
        <f>IFERROR(__xludf.DUMMYFUNCTION("""COMPUTED_VALUE"""),6590.0)</f>
        <v>6590</v>
      </c>
      <c r="W2188" s="240" t="str">
        <f t="shared" si="1"/>
        <v/>
      </c>
      <c r="X2188" s="4" t="str">
        <f>IFERROR(__xludf.DUMMYFUNCTION("""COMPUTED_VALUE"""),"Prepare for Showcase")</f>
        <v>Prepare for Showcase</v>
      </c>
      <c r="Y2188" s="4" t="str">
        <f t="shared" si="2"/>
        <v/>
      </c>
      <c r="Z2188" s="4" t="str">
        <f>IFERROR(__xludf.DUMMYFUNCTION("IFERROR(
  FILTER('CBK Students'!O:O, TRIM('CBK Students'!B:B) = TRIM(A2188)),
  """"
)"),"#REF!")</f>
        <v>#REF!</v>
      </c>
      <c r="AA2188" s="4" t="str">
        <f>IFERROR(__xludf.DUMMYFUNCTION("IFERROR(
  FILTER('CBK Students'!P:P, TRIM('CBK Students'!B:B) = TRIM(A2188)),
  """"
)"),"#REF!")</f>
        <v>#REF!</v>
      </c>
      <c r="AB2188" s="4" t="str">
        <f>IFERROR(__xludf.DUMMYFUNCTION("IFERROR(
  FILTER('CBK Students'!Q:Q, TRIM('CBK Students'!B:B) = TRIM(A2188)),
  """"
)"),"#REF!")</f>
        <v>#REF!</v>
      </c>
    </row>
    <row r="2189" ht="18.75" customHeight="1">
      <c r="T2189" s="4"/>
      <c r="U2189" s="4"/>
      <c r="V2189" s="4">
        <f>IFERROR(__xludf.DUMMYFUNCTION("""COMPUTED_VALUE"""),6590.0)</f>
        <v>6590</v>
      </c>
      <c r="W2189" s="240" t="str">
        <f t="shared" si="1"/>
        <v/>
      </c>
      <c r="X2189" s="4" t="str">
        <f>IFERROR(__xludf.DUMMYFUNCTION("""COMPUTED_VALUE"""),"Prepare for Showcase")</f>
        <v>Prepare for Showcase</v>
      </c>
      <c r="Y2189" s="4" t="str">
        <f t="shared" si="2"/>
        <v/>
      </c>
      <c r="Z2189" s="4" t="str">
        <f>IFERROR(__xludf.DUMMYFUNCTION("IFERROR(
  FILTER('CBK Students'!O:O, TRIM('CBK Students'!B:B) = TRIM(A2189)),
  """"
)"),"#REF!")</f>
        <v>#REF!</v>
      </c>
      <c r="AA2189" s="4" t="str">
        <f>IFERROR(__xludf.DUMMYFUNCTION("IFERROR(
  FILTER('CBK Students'!P:P, TRIM('CBK Students'!B:B) = TRIM(A2189)),
  """"
)"),"#REF!")</f>
        <v>#REF!</v>
      </c>
      <c r="AB2189" s="4" t="str">
        <f>IFERROR(__xludf.DUMMYFUNCTION("IFERROR(
  FILTER('CBK Students'!Q:Q, TRIM('CBK Students'!B:B) = TRIM(A2189)),
  """"
)"),"#REF!")</f>
        <v>#REF!</v>
      </c>
    </row>
    <row r="2190" ht="18.75" customHeight="1">
      <c r="T2190" s="4"/>
      <c r="U2190" s="4"/>
      <c r="V2190" s="4">
        <f>IFERROR(__xludf.DUMMYFUNCTION("""COMPUTED_VALUE"""),6590.0)</f>
        <v>6590</v>
      </c>
      <c r="W2190" s="240" t="str">
        <f t="shared" si="1"/>
        <v/>
      </c>
      <c r="X2190" s="4" t="str">
        <f>IFERROR(__xludf.DUMMYFUNCTION("""COMPUTED_VALUE"""),"Prepare for Showcase")</f>
        <v>Prepare for Showcase</v>
      </c>
      <c r="Y2190" s="4" t="str">
        <f t="shared" si="2"/>
        <v/>
      </c>
      <c r="Z2190" s="4" t="str">
        <f>IFERROR(__xludf.DUMMYFUNCTION("IFERROR(
  FILTER('CBK Students'!O:O, TRIM('CBK Students'!B:B) = TRIM(A2190)),
  """"
)"),"#REF!")</f>
        <v>#REF!</v>
      </c>
      <c r="AA2190" s="4" t="str">
        <f>IFERROR(__xludf.DUMMYFUNCTION("IFERROR(
  FILTER('CBK Students'!P:P, TRIM('CBK Students'!B:B) = TRIM(A2190)),
  """"
)"),"#REF!")</f>
        <v>#REF!</v>
      </c>
      <c r="AB2190" s="4" t="str">
        <f>IFERROR(__xludf.DUMMYFUNCTION("IFERROR(
  FILTER('CBK Students'!Q:Q, TRIM('CBK Students'!B:B) = TRIM(A2190)),
  """"
)"),"#REF!")</f>
        <v>#REF!</v>
      </c>
    </row>
    <row r="2191" ht="18.75" customHeight="1">
      <c r="T2191" s="4"/>
      <c r="U2191" s="4"/>
      <c r="V2191" s="4">
        <f>IFERROR(__xludf.DUMMYFUNCTION("""COMPUTED_VALUE"""),6590.0)</f>
        <v>6590</v>
      </c>
      <c r="W2191" s="240" t="str">
        <f t="shared" si="1"/>
        <v/>
      </c>
      <c r="X2191" s="4" t="str">
        <f>IFERROR(__xludf.DUMMYFUNCTION("""COMPUTED_VALUE"""),"Prepare for Showcase")</f>
        <v>Prepare for Showcase</v>
      </c>
      <c r="Y2191" s="4" t="str">
        <f t="shared" si="2"/>
        <v/>
      </c>
      <c r="Z2191" s="4" t="str">
        <f>IFERROR(__xludf.DUMMYFUNCTION("IFERROR(
  FILTER('CBK Students'!O:O, TRIM('CBK Students'!B:B) = TRIM(A2191)),
  """"
)"),"#REF!")</f>
        <v>#REF!</v>
      </c>
      <c r="AA2191" s="4" t="str">
        <f>IFERROR(__xludf.DUMMYFUNCTION("IFERROR(
  FILTER('CBK Students'!P:P, TRIM('CBK Students'!B:B) = TRIM(A2191)),
  """"
)"),"#REF!")</f>
        <v>#REF!</v>
      </c>
      <c r="AB2191" s="4" t="str">
        <f>IFERROR(__xludf.DUMMYFUNCTION("IFERROR(
  FILTER('CBK Students'!Q:Q, TRIM('CBK Students'!B:B) = TRIM(A2191)),
  """"
)"),"#REF!")</f>
        <v>#REF!</v>
      </c>
    </row>
    <row r="2192" ht="18.75" customHeight="1">
      <c r="T2192" s="4"/>
      <c r="U2192" s="4"/>
      <c r="V2192" s="4">
        <f>IFERROR(__xludf.DUMMYFUNCTION("""COMPUTED_VALUE"""),6590.0)</f>
        <v>6590</v>
      </c>
      <c r="W2192" s="240" t="str">
        <f t="shared" si="1"/>
        <v/>
      </c>
      <c r="X2192" s="4" t="str">
        <f>IFERROR(__xludf.DUMMYFUNCTION("""COMPUTED_VALUE"""),"Prepare for Showcase")</f>
        <v>Prepare for Showcase</v>
      </c>
      <c r="Y2192" s="4" t="str">
        <f t="shared" si="2"/>
        <v/>
      </c>
      <c r="Z2192" s="4" t="str">
        <f>IFERROR(__xludf.DUMMYFUNCTION("IFERROR(
  FILTER('CBK Students'!O:O, TRIM('CBK Students'!B:B) = TRIM(A2192)),
  """"
)"),"#REF!")</f>
        <v>#REF!</v>
      </c>
      <c r="AA2192" s="4" t="str">
        <f>IFERROR(__xludf.DUMMYFUNCTION("IFERROR(
  FILTER('CBK Students'!P:P, TRIM('CBK Students'!B:B) = TRIM(A2192)),
  """"
)"),"#REF!")</f>
        <v>#REF!</v>
      </c>
      <c r="AB2192" s="4" t="str">
        <f>IFERROR(__xludf.DUMMYFUNCTION("IFERROR(
  FILTER('CBK Students'!Q:Q, TRIM('CBK Students'!B:B) = TRIM(A2192)),
  """"
)"),"#REF!")</f>
        <v>#REF!</v>
      </c>
    </row>
    <row r="2193" ht="18.75" customHeight="1">
      <c r="T2193" s="4"/>
      <c r="U2193" s="4"/>
      <c r="V2193" s="4">
        <f>IFERROR(__xludf.DUMMYFUNCTION("""COMPUTED_VALUE"""),6590.0)</f>
        <v>6590</v>
      </c>
      <c r="W2193" s="240" t="str">
        <f t="shared" si="1"/>
        <v/>
      </c>
      <c r="X2193" s="4" t="str">
        <f>IFERROR(__xludf.DUMMYFUNCTION("""COMPUTED_VALUE"""),"Prepare for Showcase")</f>
        <v>Prepare for Showcase</v>
      </c>
      <c r="Y2193" s="4" t="str">
        <f t="shared" si="2"/>
        <v/>
      </c>
      <c r="Z2193" s="4" t="str">
        <f>IFERROR(__xludf.DUMMYFUNCTION("IFERROR(
  FILTER('CBK Students'!O:O, TRIM('CBK Students'!B:B) = TRIM(A2193)),
  """"
)"),"#REF!")</f>
        <v>#REF!</v>
      </c>
      <c r="AA2193" s="4" t="str">
        <f>IFERROR(__xludf.DUMMYFUNCTION("IFERROR(
  FILTER('CBK Students'!P:P, TRIM('CBK Students'!B:B) = TRIM(A2193)),
  """"
)"),"#REF!")</f>
        <v>#REF!</v>
      </c>
      <c r="AB2193" s="4" t="str">
        <f>IFERROR(__xludf.DUMMYFUNCTION("IFERROR(
  FILTER('CBK Students'!Q:Q, TRIM('CBK Students'!B:B) = TRIM(A2193)),
  """"
)"),"#REF!")</f>
        <v>#REF!</v>
      </c>
    </row>
    <row r="2194" ht="18.75" customHeight="1">
      <c r="T2194" s="4"/>
      <c r="U2194" s="4"/>
      <c r="V2194" s="4">
        <f>IFERROR(__xludf.DUMMYFUNCTION("""COMPUTED_VALUE"""),6590.0)</f>
        <v>6590</v>
      </c>
      <c r="W2194" s="240" t="str">
        <f t="shared" si="1"/>
        <v/>
      </c>
      <c r="X2194" s="4" t="str">
        <f>IFERROR(__xludf.DUMMYFUNCTION("""COMPUTED_VALUE"""),"Prepare for Showcase")</f>
        <v>Prepare for Showcase</v>
      </c>
      <c r="Y2194" s="4" t="str">
        <f t="shared" si="2"/>
        <v/>
      </c>
      <c r="Z2194" s="4" t="str">
        <f>IFERROR(__xludf.DUMMYFUNCTION("IFERROR(
  FILTER('CBK Students'!O:O, TRIM('CBK Students'!B:B) = TRIM(A2194)),
  """"
)"),"#REF!")</f>
        <v>#REF!</v>
      </c>
      <c r="AA2194" s="4" t="str">
        <f>IFERROR(__xludf.DUMMYFUNCTION("IFERROR(
  FILTER('CBK Students'!P:P, TRIM('CBK Students'!B:B) = TRIM(A2194)),
  """"
)"),"#REF!")</f>
        <v>#REF!</v>
      </c>
      <c r="AB2194" s="4" t="str">
        <f>IFERROR(__xludf.DUMMYFUNCTION("IFERROR(
  FILTER('CBK Students'!Q:Q, TRIM('CBK Students'!B:B) = TRIM(A2194)),
  """"
)"),"#REF!")</f>
        <v>#REF!</v>
      </c>
    </row>
    <row r="2195" ht="18.75" customHeight="1">
      <c r="T2195" s="4"/>
      <c r="U2195" s="4"/>
      <c r="V2195" s="4">
        <f>IFERROR(__xludf.DUMMYFUNCTION("""COMPUTED_VALUE"""),6590.0)</f>
        <v>6590</v>
      </c>
      <c r="W2195" s="240" t="str">
        <f t="shared" si="1"/>
        <v/>
      </c>
      <c r="X2195" s="4" t="str">
        <f>IFERROR(__xludf.DUMMYFUNCTION("""COMPUTED_VALUE"""),"Prepare for Showcase")</f>
        <v>Prepare for Showcase</v>
      </c>
      <c r="Y2195" s="4" t="str">
        <f t="shared" si="2"/>
        <v/>
      </c>
      <c r="Z2195" s="4" t="str">
        <f>IFERROR(__xludf.DUMMYFUNCTION("IFERROR(
  FILTER('CBK Students'!O:O, TRIM('CBK Students'!B:B) = TRIM(A2195)),
  """"
)"),"#REF!")</f>
        <v>#REF!</v>
      </c>
      <c r="AA2195" s="4" t="str">
        <f>IFERROR(__xludf.DUMMYFUNCTION("IFERROR(
  FILTER('CBK Students'!P:P, TRIM('CBK Students'!B:B) = TRIM(A2195)),
  """"
)"),"#REF!")</f>
        <v>#REF!</v>
      </c>
      <c r="AB2195" s="4" t="str">
        <f>IFERROR(__xludf.DUMMYFUNCTION("IFERROR(
  FILTER('CBK Students'!Q:Q, TRIM('CBK Students'!B:B) = TRIM(A2195)),
  """"
)"),"#REF!")</f>
        <v>#REF!</v>
      </c>
    </row>
    <row r="2196" ht="18.75" customHeight="1">
      <c r="T2196" s="4"/>
      <c r="U2196" s="4"/>
      <c r="V2196" s="4">
        <f>IFERROR(__xludf.DUMMYFUNCTION("""COMPUTED_VALUE"""),6590.0)</f>
        <v>6590</v>
      </c>
      <c r="W2196" s="240" t="str">
        <f t="shared" si="1"/>
        <v/>
      </c>
      <c r="X2196" s="4" t="str">
        <f>IFERROR(__xludf.DUMMYFUNCTION("""COMPUTED_VALUE"""),"Prepare for Showcase")</f>
        <v>Prepare for Showcase</v>
      </c>
      <c r="Y2196" s="4" t="str">
        <f t="shared" si="2"/>
        <v/>
      </c>
      <c r="Z2196" s="4" t="str">
        <f>IFERROR(__xludf.DUMMYFUNCTION("IFERROR(
  FILTER('CBK Students'!O:O, TRIM('CBK Students'!B:B) = TRIM(A2196)),
  """"
)"),"#REF!")</f>
        <v>#REF!</v>
      </c>
      <c r="AA2196" s="4" t="str">
        <f>IFERROR(__xludf.DUMMYFUNCTION("IFERROR(
  FILTER('CBK Students'!P:P, TRIM('CBK Students'!B:B) = TRIM(A2196)),
  """"
)"),"#REF!")</f>
        <v>#REF!</v>
      </c>
      <c r="AB2196" s="4" t="str">
        <f>IFERROR(__xludf.DUMMYFUNCTION("IFERROR(
  FILTER('CBK Students'!Q:Q, TRIM('CBK Students'!B:B) = TRIM(A2196)),
  """"
)"),"#REF!")</f>
        <v>#REF!</v>
      </c>
    </row>
    <row r="2197" ht="18.75" customHeight="1">
      <c r="T2197" s="4"/>
      <c r="U2197" s="4"/>
      <c r="V2197" s="4">
        <f>IFERROR(__xludf.DUMMYFUNCTION("""COMPUTED_VALUE"""),6590.0)</f>
        <v>6590</v>
      </c>
      <c r="W2197" s="240" t="str">
        <f t="shared" si="1"/>
        <v/>
      </c>
      <c r="X2197" s="4" t="str">
        <f>IFERROR(__xludf.DUMMYFUNCTION("""COMPUTED_VALUE"""),"Prepare for Showcase")</f>
        <v>Prepare for Showcase</v>
      </c>
      <c r="Y2197" s="4" t="str">
        <f t="shared" si="2"/>
        <v/>
      </c>
      <c r="Z2197" s="4" t="str">
        <f>IFERROR(__xludf.DUMMYFUNCTION("IFERROR(
  FILTER('CBK Students'!O:O, TRIM('CBK Students'!B:B) = TRIM(A2197)),
  """"
)"),"#REF!")</f>
        <v>#REF!</v>
      </c>
      <c r="AA2197" s="4" t="str">
        <f>IFERROR(__xludf.DUMMYFUNCTION("IFERROR(
  FILTER('CBK Students'!P:P, TRIM('CBK Students'!B:B) = TRIM(A2197)),
  """"
)"),"#REF!")</f>
        <v>#REF!</v>
      </c>
      <c r="AB2197" s="4" t="str">
        <f>IFERROR(__xludf.DUMMYFUNCTION("IFERROR(
  FILTER('CBK Students'!Q:Q, TRIM('CBK Students'!B:B) = TRIM(A2197)),
  """"
)"),"#REF!")</f>
        <v>#REF!</v>
      </c>
    </row>
    <row r="2198" ht="18.75" customHeight="1">
      <c r="T2198" s="4"/>
      <c r="U2198" s="4"/>
      <c r="V2198" s="4">
        <f>IFERROR(__xludf.DUMMYFUNCTION("""COMPUTED_VALUE"""),6590.0)</f>
        <v>6590</v>
      </c>
      <c r="W2198" s="240" t="str">
        <f t="shared" si="1"/>
        <v/>
      </c>
      <c r="X2198" s="4" t="str">
        <f>IFERROR(__xludf.DUMMYFUNCTION("""COMPUTED_VALUE"""),"Prepare for Showcase")</f>
        <v>Prepare for Showcase</v>
      </c>
      <c r="Y2198" s="4" t="str">
        <f t="shared" si="2"/>
        <v/>
      </c>
      <c r="Z2198" s="4" t="str">
        <f>IFERROR(__xludf.DUMMYFUNCTION("IFERROR(
  FILTER('CBK Students'!O:O, TRIM('CBK Students'!B:B) = TRIM(A2198)),
  """"
)"),"#REF!")</f>
        <v>#REF!</v>
      </c>
      <c r="AA2198" s="4" t="str">
        <f>IFERROR(__xludf.DUMMYFUNCTION("IFERROR(
  FILTER('CBK Students'!P:P, TRIM('CBK Students'!B:B) = TRIM(A2198)),
  """"
)"),"#REF!")</f>
        <v>#REF!</v>
      </c>
      <c r="AB2198" s="4" t="str">
        <f>IFERROR(__xludf.DUMMYFUNCTION("IFERROR(
  FILTER('CBK Students'!Q:Q, TRIM('CBK Students'!B:B) = TRIM(A2198)),
  """"
)"),"#REF!")</f>
        <v>#REF!</v>
      </c>
    </row>
    <row r="2199" ht="18.75" customHeight="1">
      <c r="T2199" s="4"/>
      <c r="U2199" s="4"/>
      <c r="V2199" s="4">
        <f>IFERROR(__xludf.DUMMYFUNCTION("""COMPUTED_VALUE"""),6590.0)</f>
        <v>6590</v>
      </c>
      <c r="W2199" s="240" t="str">
        <f t="shared" si="1"/>
        <v/>
      </c>
      <c r="X2199" s="4" t="str">
        <f>IFERROR(__xludf.DUMMYFUNCTION("""COMPUTED_VALUE"""),"Prepare for Showcase")</f>
        <v>Prepare for Showcase</v>
      </c>
      <c r="Y2199" s="4" t="str">
        <f t="shared" si="2"/>
        <v/>
      </c>
      <c r="Z2199" s="4" t="str">
        <f>IFERROR(__xludf.DUMMYFUNCTION("IFERROR(
  FILTER('CBK Students'!O:O, TRIM('CBK Students'!B:B) = TRIM(A2199)),
  """"
)"),"#REF!")</f>
        <v>#REF!</v>
      </c>
      <c r="AA2199" s="4" t="str">
        <f>IFERROR(__xludf.DUMMYFUNCTION("IFERROR(
  FILTER('CBK Students'!P:P, TRIM('CBK Students'!B:B) = TRIM(A2199)),
  """"
)"),"#REF!")</f>
        <v>#REF!</v>
      </c>
      <c r="AB2199" s="4" t="str">
        <f>IFERROR(__xludf.DUMMYFUNCTION("IFERROR(
  FILTER('CBK Students'!Q:Q, TRIM('CBK Students'!B:B) = TRIM(A2199)),
  """"
)"),"#REF!")</f>
        <v>#REF!</v>
      </c>
    </row>
    <row r="2200" ht="18.75" customHeight="1">
      <c r="T2200" s="4"/>
      <c r="U2200" s="4"/>
      <c r="V2200" s="4">
        <f>IFERROR(__xludf.DUMMYFUNCTION("""COMPUTED_VALUE"""),6590.0)</f>
        <v>6590</v>
      </c>
      <c r="W2200" s="240" t="str">
        <f t="shared" si="1"/>
        <v/>
      </c>
      <c r="X2200" s="4" t="str">
        <f>IFERROR(__xludf.DUMMYFUNCTION("""COMPUTED_VALUE"""),"Prepare for Showcase")</f>
        <v>Prepare for Showcase</v>
      </c>
      <c r="Y2200" s="4" t="str">
        <f t="shared" si="2"/>
        <v/>
      </c>
      <c r="Z2200" s="4" t="str">
        <f>IFERROR(__xludf.DUMMYFUNCTION("IFERROR(
  FILTER('CBK Students'!O:O, TRIM('CBK Students'!B:B) = TRIM(A2200)),
  """"
)"),"#REF!")</f>
        <v>#REF!</v>
      </c>
      <c r="AA2200" s="4" t="str">
        <f>IFERROR(__xludf.DUMMYFUNCTION("IFERROR(
  FILTER('CBK Students'!P:P, TRIM('CBK Students'!B:B) = TRIM(A2200)),
  """"
)"),"#REF!")</f>
        <v>#REF!</v>
      </c>
      <c r="AB2200" s="4" t="str">
        <f>IFERROR(__xludf.DUMMYFUNCTION("IFERROR(
  FILTER('CBK Students'!Q:Q, TRIM('CBK Students'!B:B) = TRIM(A2200)),
  """"
)"),"#REF!")</f>
        <v>#REF!</v>
      </c>
    </row>
    <row r="2201" ht="18.75" customHeight="1">
      <c r="T2201" s="4"/>
      <c r="U2201" s="4"/>
      <c r="V2201" s="4">
        <f>IFERROR(__xludf.DUMMYFUNCTION("""COMPUTED_VALUE"""),6590.0)</f>
        <v>6590</v>
      </c>
      <c r="W2201" s="240" t="str">
        <f t="shared" si="1"/>
        <v/>
      </c>
      <c r="X2201" s="4" t="str">
        <f>IFERROR(__xludf.DUMMYFUNCTION("""COMPUTED_VALUE"""),"Prepare for Showcase")</f>
        <v>Prepare for Showcase</v>
      </c>
      <c r="Y2201" s="4" t="str">
        <f t="shared" si="2"/>
        <v/>
      </c>
      <c r="Z2201" s="4" t="str">
        <f>IFERROR(__xludf.DUMMYFUNCTION("IFERROR(
  FILTER('CBK Students'!O:O, TRIM('CBK Students'!B:B) = TRIM(A2201)),
  """"
)"),"#REF!")</f>
        <v>#REF!</v>
      </c>
      <c r="AA2201" s="4" t="str">
        <f>IFERROR(__xludf.DUMMYFUNCTION("IFERROR(
  FILTER('CBK Students'!P:P, TRIM('CBK Students'!B:B) = TRIM(A2201)),
  """"
)"),"#REF!")</f>
        <v>#REF!</v>
      </c>
      <c r="AB2201" s="4" t="str">
        <f>IFERROR(__xludf.DUMMYFUNCTION("IFERROR(
  FILTER('CBK Students'!Q:Q, TRIM('CBK Students'!B:B) = TRIM(A2201)),
  """"
)"),"#REF!")</f>
        <v>#REF!</v>
      </c>
    </row>
    <row r="2202" ht="18.75" customHeight="1">
      <c r="T2202" s="4"/>
      <c r="U2202" s="4"/>
      <c r="V2202" s="4">
        <f>IFERROR(__xludf.DUMMYFUNCTION("""COMPUTED_VALUE"""),6590.0)</f>
        <v>6590</v>
      </c>
      <c r="W2202" s="240" t="str">
        <f t="shared" si="1"/>
        <v/>
      </c>
      <c r="X2202" s="4" t="str">
        <f>IFERROR(__xludf.DUMMYFUNCTION("""COMPUTED_VALUE"""),"Prepare for Showcase")</f>
        <v>Prepare for Showcase</v>
      </c>
      <c r="Y2202" s="4" t="str">
        <f t="shared" si="2"/>
        <v/>
      </c>
      <c r="Z2202" s="4" t="str">
        <f>IFERROR(__xludf.DUMMYFUNCTION("IFERROR(
  FILTER('CBK Students'!O:O, TRIM('CBK Students'!B:B) = TRIM(A2202)),
  """"
)"),"#REF!")</f>
        <v>#REF!</v>
      </c>
      <c r="AA2202" s="4" t="str">
        <f>IFERROR(__xludf.DUMMYFUNCTION("IFERROR(
  FILTER('CBK Students'!P:P, TRIM('CBK Students'!B:B) = TRIM(A2202)),
  """"
)"),"#REF!")</f>
        <v>#REF!</v>
      </c>
      <c r="AB2202" s="4" t="str">
        <f>IFERROR(__xludf.DUMMYFUNCTION("IFERROR(
  FILTER('CBK Students'!Q:Q, TRIM('CBK Students'!B:B) = TRIM(A2202)),
  """"
)"),"#REF!")</f>
        <v>#REF!</v>
      </c>
    </row>
    <row r="2203" ht="18.75" customHeight="1">
      <c r="T2203" s="4"/>
      <c r="U2203" s="4"/>
      <c r="V2203" s="4">
        <f>IFERROR(__xludf.DUMMYFUNCTION("""COMPUTED_VALUE"""),6590.0)</f>
        <v>6590</v>
      </c>
      <c r="W2203" s="240" t="str">
        <f t="shared" si="1"/>
        <v/>
      </c>
      <c r="X2203" s="4" t="str">
        <f>IFERROR(__xludf.DUMMYFUNCTION("""COMPUTED_VALUE"""),"Prepare for Showcase")</f>
        <v>Prepare for Showcase</v>
      </c>
      <c r="Y2203" s="4" t="str">
        <f t="shared" si="2"/>
        <v/>
      </c>
      <c r="Z2203" s="4" t="str">
        <f>IFERROR(__xludf.DUMMYFUNCTION("IFERROR(
  FILTER('CBK Students'!O:O, TRIM('CBK Students'!B:B) = TRIM(A2203)),
  """"
)"),"#REF!")</f>
        <v>#REF!</v>
      </c>
      <c r="AA2203" s="4" t="str">
        <f>IFERROR(__xludf.DUMMYFUNCTION("IFERROR(
  FILTER('CBK Students'!P:P, TRIM('CBK Students'!B:B) = TRIM(A2203)),
  """"
)"),"#REF!")</f>
        <v>#REF!</v>
      </c>
      <c r="AB2203" s="4" t="str">
        <f>IFERROR(__xludf.DUMMYFUNCTION("IFERROR(
  FILTER('CBK Students'!Q:Q, TRIM('CBK Students'!B:B) = TRIM(A2203)),
  """"
)"),"#REF!")</f>
        <v>#REF!</v>
      </c>
    </row>
    <row r="2204" ht="18.75" customHeight="1">
      <c r="T2204" s="4"/>
      <c r="U2204" s="4"/>
      <c r="V2204" s="4">
        <f>IFERROR(__xludf.DUMMYFUNCTION("""COMPUTED_VALUE"""),6590.0)</f>
        <v>6590</v>
      </c>
      <c r="W2204" s="240" t="str">
        <f t="shared" si="1"/>
        <v/>
      </c>
      <c r="X2204" s="4" t="str">
        <f>IFERROR(__xludf.DUMMYFUNCTION("""COMPUTED_VALUE"""),"Prepare for Showcase")</f>
        <v>Prepare for Showcase</v>
      </c>
      <c r="Y2204" s="4" t="str">
        <f t="shared" si="2"/>
        <v/>
      </c>
      <c r="Z2204" s="4" t="str">
        <f>IFERROR(__xludf.DUMMYFUNCTION("IFERROR(
  FILTER('CBK Students'!O:O, TRIM('CBK Students'!B:B) = TRIM(A2204)),
  """"
)"),"#REF!")</f>
        <v>#REF!</v>
      </c>
      <c r="AA2204" s="4" t="str">
        <f>IFERROR(__xludf.DUMMYFUNCTION("IFERROR(
  FILTER('CBK Students'!P:P, TRIM('CBK Students'!B:B) = TRIM(A2204)),
  """"
)"),"#REF!")</f>
        <v>#REF!</v>
      </c>
      <c r="AB2204" s="4" t="str">
        <f>IFERROR(__xludf.DUMMYFUNCTION("IFERROR(
  FILTER('CBK Students'!Q:Q, TRIM('CBK Students'!B:B) = TRIM(A2204)),
  """"
)"),"#REF!")</f>
        <v>#REF!</v>
      </c>
    </row>
    <row r="2205" ht="18.75" customHeight="1">
      <c r="T2205" s="4"/>
      <c r="U2205" s="4"/>
      <c r="V2205" s="4">
        <f>IFERROR(__xludf.DUMMYFUNCTION("""COMPUTED_VALUE"""),6590.0)</f>
        <v>6590</v>
      </c>
      <c r="W2205" s="240" t="str">
        <f t="shared" si="1"/>
        <v/>
      </c>
      <c r="X2205" s="4" t="str">
        <f>IFERROR(__xludf.DUMMYFUNCTION("""COMPUTED_VALUE"""),"Prepare for Showcase")</f>
        <v>Prepare for Showcase</v>
      </c>
      <c r="Y2205" s="4" t="str">
        <f t="shared" si="2"/>
        <v/>
      </c>
      <c r="Z2205" s="4" t="str">
        <f>IFERROR(__xludf.DUMMYFUNCTION("IFERROR(
  FILTER('CBK Students'!O:O, TRIM('CBK Students'!B:B) = TRIM(A2205)),
  """"
)"),"#REF!")</f>
        <v>#REF!</v>
      </c>
      <c r="AA2205" s="4" t="str">
        <f>IFERROR(__xludf.DUMMYFUNCTION("IFERROR(
  FILTER('CBK Students'!P:P, TRIM('CBK Students'!B:B) = TRIM(A2205)),
  """"
)"),"#REF!")</f>
        <v>#REF!</v>
      </c>
      <c r="AB2205" s="4" t="str">
        <f>IFERROR(__xludf.DUMMYFUNCTION("IFERROR(
  FILTER('CBK Students'!Q:Q, TRIM('CBK Students'!B:B) = TRIM(A2205)),
  """"
)"),"#REF!")</f>
        <v>#REF!</v>
      </c>
    </row>
    <row r="2206" ht="18.75" customHeight="1">
      <c r="T2206" s="4"/>
      <c r="U2206" s="4"/>
      <c r="V2206" s="4">
        <f>IFERROR(__xludf.DUMMYFUNCTION("""COMPUTED_VALUE"""),6590.0)</f>
        <v>6590</v>
      </c>
      <c r="W2206" s="240" t="str">
        <f t="shared" si="1"/>
        <v/>
      </c>
      <c r="X2206" s="4" t="str">
        <f>IFERROR(__xludf.DUMMYFUNCTION("""COMPUTED_VALUE"""),"Prepare for Showcase")</f>
        <v>Prepare for Showcase</v>
      </c>
      <c r="Y2206" s="4" t="str">
        <f t="shared" si="2"/>
        <v/>
      </c>
      <c r="Z2206" s="4" t="str">
        <f>IFERROR(__xludf.DUMMYFUNCTION("IFERROR(
  FILTER('CBK Students'!O:O, TRIM('CBK Students'!B:B) = TRIM(A2206)),
  """"
)"),"#REF!")</f>
        <v>#REF!</v>
      </c>
      <c r="AA2206" s="4" t="str">
        <f>IFERROR(__xludf.DUMMYFUNCTION("IFERROR(
  FILTER('CBK Students'!P:P, TRIM('CBK Students'!B:B) = TRIM(A2206)),
  """"
)"),"#REF!")</f>
        <v>#REF!</v>
      </c>
      <c r="AB2206" s="4" t="str">
        <f>IFERROR(__xludf.DUMMYFUNCTION("IFERROR(
  FILTER('CBK Students'!Q:Q, TRIM('CBK Students'!B:B) = TRIM(A2206)),
  """"
)"),"#REF!")</f>
        <v>#REF!</v>
      </c>
    </row>
    <row r="2207" ht="18.75" customHeight="1">
      <c r="T2207" s="4"/>
      <c r="U2207" s="4"/>
      <c r="V2207" s="4">
        <f>IFERROR(__xludf.DUMMYFUNCTION("""COMPUTED_VALUE"""),6590.0)</f>
        <v>6590</v>
      </c>
      <c r="W2207" s="240" t="str">
        <f t="shared" si="1"/>
        <v/>
      </c>
      <c r="X2207" s="4" t="str">
        <f>IFERROR(__xludf.DUMMYFUNCTION("""COMPUTED_VALUE"""),"Prepare for Showcase")</f>
        <v>Prepare for Showcase</v>
      </c>
      <c r="Y2207" s="4" t="str">
        <f t="shared" si="2"/>
        <v/>
      </c>
      <c r="Z2207" s="4" t="str">
        <f>IFERROR(__xludf.DUMMYFUNCTION("IFERROR(
  FILTER('CBK Students'!O:O, TRIM('CBK Students'!B:B) = TRIM(A2207)),
  """"
)"),"#REF!")</f>
        <v>#REF!</v>
      </c>
      <c r="AA2207" s="4" t="str">
        <f>IFERROR(__xludf.DUMMYFUNCTION("IFERROR(
  FILTER('CBK Students'!P:P, TRIM('CBK Students'!B:B) = TRIM(A2207)),
  """"
)"),"#REF!")</f>
        <v>#REF!</v>
      </c>
      <c r="AB2207" s="4" t="str">
        <f>IFERROR(__xludf.DUMMYFUNCTION("IFERROR(
  FILTER('CBK Students'!Q:Q, TRIM('CBK Students'!B:B) = TRIM(A2207)),
  """"
)"),"#REF!")</f>
        <v>#REF!</v>
      </c>
    </row>
    <row r="2208" ht="18.75" customHeight="1">
      <c r="T2208" s="4"/>
      <c r="U2208" s="4"/>
      <c r="V2208" s="4">
        <f>IFERROR(__xludf.DUMMYFUNCTION("""COMPUTED_VALUE"""),6590.0)</f>
        <v>6590</v>
      </c>
      <c r="W2208" s="240" t="str">
        <f t="shared" si="1"/>
        <v/>
      </c>
      <c r="X2208" s="4" t="str">
        <f>IFERROR(__xludf.DUMMYFUNCTION("""COMPUTED_VALUE"""),"Prepare for Showcase")</f>
        <v>Prepare for Showcase</v>
      </c>
      <c r="Y2208" s="4" t="str">
        <f t="shared" si="2"/>
        <v/>
      </c>
      <c r="Z2208" s="4" t="str">
        <f>IFERROR(__xludf.DUMMYFUNCTION("IFERROR(
  FILTER('CBK Students'!O:O, TRIM('CBK Students'!B:B) = TRIM(A2208)),
  """"
)"),"#REF!")</f>
        <v>#REF!</v>
      </c>
      <c r="AA2208" s="4" t="str">
        <f>IFERROR(__xludf.DUMMYFUNCTION("IFERROR(
  FILTER('CBK Students'!P:P, TRIM('CBK Students'!B:B) = TRIM(A2208)),
  """"
)"),"#REF!")</f>
        <v>#REF!</v>
      </c>
      <c r="AB2208" s="4" t="str">
        <f>IFERROR(__xludf.DUMMYFUNCTION("IFERROR(
  FILTER('CBK Students'!Q:Q, TRIM('CBK Students'!B:B) = TRIM(A2208)),
  """"
)"),"#REF!")</f>
        <v>#REF!</v>
      </c>
    </row>
    <row r="2209" ht="18.75" customHeight="1">
      <c r="T2209" s="4"/>
      <c r="U2209" s="4"/>
      <c r="V2209" s="4">
        <f>IFERROR(__xludf.DUMMYFUNCTION("""COMPUTED_VALUE"""),6590.0)</f>
        <v>6590</v>
      </c>
      <c r="W2209" s="240" t="str">
        <f t="shared" si="1"/>
        <v/>
      </c>
      <c r="X2209" s="4" t="str">
        <f>IFERROR(__xludf.DUMMYFUNCTION("""COMPUTED_VALUE"""),"Prepare for Showcase")</f>
        <v>Prepare for Showcase</v>
      </c>
      <c r="Y2209" s="4" t="str">
        <f t="shared" si="2"/>
        <v/>
      </c>
      <c r="Z2209" s="4" t="str">
        <f>IFERROR(__xludf.DUMMYFUNCTION("IFERROR(
  FILTER('CBK Students'!O:O, TRIM('CBK Students'!B:B) = TRIM(A2209)),
  """"
)"),"#REF!")</f>
        <v>#REF!</v>
      </c>
      <c r="AA2209" s="4" t="str">
        <f>IFERROR(__xludf.DUMMYFUNCTION("IFERROR(
  FILTER('CBK Students'!P:P, TRIM('CBK Students'!B:B) = TRIM(A2209)),
  """"
)"),"#REF!")</f>
        <v>#REF!</v>
      </c>
      <c r="AB2209" s="4" t="str">
        <f>IFERROR(__xludf.DUMMYFUNCTION("IFERROR(
  FILTER('CBK Students'!Q:Q, TRIM('CBK Students'!B:B) = TRIM(A2209)),
  """"
)"),"#REF!")</f>
        <v>#REF!</v>
      </c>
    </row>
    <row r="2210" ht="18.75" customHeight="1">
      <c r="T2210" s="4"/>
      <c r="U2210" s="4"/>
      <c r="V2210" s="4">
        <f>IFERROR(__xludf.DUMMYFUNCTION("""COMPUTED_VALUE"""),6590.0)</f>
        <v>6590</v>
      </c>
      <c r="W2210" s="240" t="str">
        <f t="shared" si="1"/>
        <v/>
      </c>
      <c r="X2210" s="4" t="str">
        <f>IFERROR(__xludf.DUMMYFUNCTION("""COMPUTED_VALUE"""),"Prepare for Showcase")</f>
        <v>Prepare for Showcase</v>
      </c>
      <c r="Y2210" s="4" t="str">
        <f t="shared" si="2"/>
        <v/>
      </c>
      <c r="Z2210" s="4" t="str">
        <f>IFERROR(__xludf.DUMMYFUNCTION("IFERROR(
  FILTER('CBK Students'!O:O, TRIM('CBK Students'!B:B) = TRIM(A2210)),
  """"
)"),"#REF!")</f>
        <v>#REF!</v>
      </c>
      <c r="AA2210" s="4" t="str">
        <f>IFERROR(__xludf.DUMMYFUNCTION("IFERROR(
  FILTER('CBK Students'!P:P, TRIM('CBK Students'!B:B) = TRIM(A2210)),
  """"
)"),"#REF!")</f>
        <v>#REF!</v>
      </c>
      <c r="AB2210" s="4" t="str">
        <f>IFERROR(__xludf.DUMMYFUNCTION("IFERROR(
  FILTER('CBK Students'!Q:Q, TRIM('CBK Students'!B:B) = TRIM(A2210)),
  """"
)"),"#REF!")</f>
        <v>#REF!</v>
      </c>
    </row>
    <row r="2211" ht="18.75" customHeight="1">
      <c r="T2211" s="4"/>
      <c r="U2211" s="4"/>
      <c r="V2211" s="4">
        <f>IFERROR(__xludf.DUMMYFUNCTION("""COMPUTED_VALUE"""),6590.0)</f>
        <v>6590</v>
      </c>
      <c r="W2211" s="240" t="str">
        <f t="shared" si="1"/>
        <v/>
      </c>
      <c r="X2211" s="4" t="str">
        <f>IFERROR(__xludf.DUMMYFUNCTION("""COMPUTED_VALUE"""),"Prepare for Showcase")</f>
        <v>Prepare for Showcase</v>
      </c>
      <c r="Y2211" s="4" t="str">
        <f t="shared" si="2"/>
        <v/>
      </c>
      <c r="Z2211" s="4" t="str">
        <f>IFERROR(__xludf.DUMMYFUNCTION("IFERROR(
  FILTER('CBK Students'!O:O, TRIM('CBK Students'!B:B) = TRIM(A2211)),
  """"
)"),"#REF!")</f>
        <v>#REF!</v>
      </c>
      <c r="AA2211" s="4" t="str">
        <f>IFERROR(__xludf.DUMMYFUNCTION("IFERROR(
  FILTER('CBK Students'!P:P, TRIM('CBK Students'!B:B) = TRIM(A2211)),
  """"
)"),"#REF!")</f>
        <v>#REF!</v>
      </c>
      <c r="AB2211" s="4" t="str">
        <f>IFERROR(__xludf.DUMMYFUNCTION("IFERROR(
  FILTER('CBK Students'!Q:Q, TRIM('CBK Students'!B:B) = TRIM(A2211)),
  """"
)"),"#REF!")</f>
        <v>#REF!</v>
      </c>
    </row>
    <row r="2212" ht="18.75" customHeight="1">
      <c r="T2212" s="4"/>
      <c r="U2212" s="4"/>
      <c r="V2212" s="4">
        <f>IFERROR(__xludf.DUMMYFUNCTION("""COMPUTED_VALUE"""),6590.0)</f>
        <v>6590</v>
      </c>
      <c r="W2212" s="240" t="str">
        <f t="shared" si="1"/>
        <v/>
      </c>
      <c r="X2212" s="4" t="str">
        <f>IFERROR(__xludf.DUMMYFUNCTION("""COMPUTED_VALUE"""),"Prepare for Showcase")</f>
        <v>Prepare for Showcase</v>
      </c>
      <c r="Y2212" s="4" t="str">
        <f t="shared" si="2"/>
        <v/>
      </c>
      <c r="Z2212" s="4" t="str">
        <f>IFERROR(__xludf.DUMMYFUNCTION("IFERROR(
  FILTER('CBK Students'!O:O, TRIM('CBK Students'!B:B) = TRIM(A2212)),
  """"
)"),"#REF!")</f>
        <v>#REF!</v>
      </c>
      <c r="AA2212" s="4" t="str">
        <f>IFERROR(__xludf.DUMMYFUNCTION("IFERROR(
  FILTER('CBK Students'!P:P, TRIM('CBK Students'!B:B) = TRIM(A2212)),
  """"
)"),"#REF!")</f>
        <v>#REF!</v>
      </c>
      <c r="AB2212" s="4" t="str">
        <f>IFERROR(__xludf.DUMMYFUNCTION("IFERROR(
  FILTER('CBK Students'!Q:Q, TRIM('CBK Students'!B:B) = TRIM(A2212)),
  """"
)"),"#REF!")</f>
        <v>#REF!</v>
      </c>
    </row>
    <row r="2213" ht="18.75" customHeight="1">
      <c r="T2213" s="4"/>
      <c r="U2213" s="4"/>
      <c r="V2213" s="4">
        <f>IFERROR(__xludf.DUMMYFUNCTION("""COMPUTED_VALUE"""),6590.0)</f>
        <v>6590</v>
      </c>
      <c r="W2213" s="240" t="str">
        <f t="shared" si="1"/>
        <v/>
      </c>
      <c r="X2213" s="4" t="str">
        <f>IFERROR(__xludf.DUMMYFUNCTION("""COMPUTED_VALUE"""),"Prepare for Showcase")</f>
        <v>Prepare for Showcase</v>
      </c>
      <c r="Y2213" s="4" t="str">
        <f t="shared" si="2"/>
        <v/>
      </c>
      <c r="Z2213" s="4" t="str">
        <f>IFERROR(__xludf.DUMMYFUNCTION("IFERROR(
  FILTER('CBK Students'!O:O, TRIM('CBK Students'!B:B) = TRIM(A2213)),
  """"
)"),"#REF!")</f>
        <v>#REF!</v>
      </c>
      <c r="AA2213" s="4" t="str">
        <f>IFERROR(__xludf.DUMMYFUNCTION("IFERROR(
  FILTER('CBK Students'!P:P, TRIM('CBK Students'!B:B) = TRIM(A2213)),
  """"
)"),"#REF!")</f>
        <v>#REF!</v>
      </c>
      <c r="AB2213" s="4" t="str">
        <f>IFERROR(__xludf.DUMMYFUNCTION("IFERROR(
  FILTER('CBK Students'!Q:Q, TRIM('CBK Students'!B:B) = TRIM(A2213)),
  """"
)"),"#REF!")</f>
        <v>#REF!</v>
      </c>
    </row>
    <row r="2214" ht="18.75" customHeight="1">
      <c r="T2214" s="4"/>
      <c r="U2214" s="4"/>
      <c r="V2214" s="4">
        <f>IFERROR(__xludf.DUMMYFUNCTION("""COMPUTED_VALUE"""),6590.0)</f>
        <v>6590</v>
      </c>
      <c r="W2214" s="240" t="str">
        <f t="shared" si="1"/>
        <v/>
      </c>
      <c r="X2214" s="4" t="str">
        <f>IFERROR(__xludf.DUMMYFUNCTION("""COMPUTED_VALUE"""),"Prepare for Showcase")</f>
        <v>Prepare for Showcase</v>
      </c>
      <c r="Y2214" s="4" t="str">
        <f t="shared" si="2"/>
        <v/>
      </c>
      <c r="Z2214" s="4" t="str">
        <f>IFERROR(__xludf.DUMMYFUNCTION("IFERROR(
  FILTER('CBK Students'!O:O, TRIM('CBK Students'!B:B) = TRIM(A2214)),
  """"
)"),"#REF!")</f>
        <v>#REF!</v>
      </c>
      <c r="AA2214" s="4" t="str">
        <f>IFERROR(__xludf.DUMMYFUNCTION("IFERROR(
  FILTER('CBK Students'!P:P, TRIM('CBK Students'!B:B) = TRIM(A2214)),
  """"
)"),"#REF!")</f>
        <v>#REF!</v>
      </c>
      <c r="AB2214" s="4" t="str">
        <f>IFERROR(__xludf.DUMMYFUNCTION("IFERROR(
  FILTER('CBK Students'!Q:Q, TRIM('CBK Students'!B:B) = TRIM(A2214)),
  """"
)"),"#REF!")</f>
        <v>#REF!</v>
      </c>
    </row>
    <row r="2215" ht="18.75" customHeight="1">
      <c r="T2215" s="4"/>
      <c r="U2215" s="4"/>
      <c r="V2215" s="4">
        <f>IFERROR(__xludf.DUMMYFUNCTION("""COMPUTED_VALUE"""),6590.0)</f>
        <v>6590</v>
      </c>
      <c r="W2215" s="240" t="str">
        <f t="shared" si="1"/>
        <v/>
      </c>
      <c r="X2215" s="4" t="str">
        <f>IFERROR(__xludf.DUMMYFUNCTION("""COMPUTED_VALUE"""),"Prepare for Showcase")</f>
        <v>Prepare for Showcase</v>
      </c>
      <c r="Y2215" s="4" t="str">
        <f t="shared" si="2"/>
        <v/>
      </c>
      <c r="Z2215" s="4" t="str">
        <f>IFERROR(__xludf.DUMMYFUNCTION("IFERROR(
  FILTER('CBK Students'!O:O, TRIM('CBK Students'!B:B) = TRIM(A2215)),
  """"
)"),"#REF!")</f>
        <v>#REF!</v>
      </c>
      <c r="AA2215" s="4" t="str">
        <f>IFERROR(__xludf.DUMMYFUNCTION("IFERROR(
  FILTER('CBK Students'!P:P, TRIM('CBK Students'!B:B) = TRIM(A2215)),
  """"
)"),"#REF!")</f>
        <v>#REF!</v>
      </c>
      <c r="AB2215" s="4" t="str">
        <f>IFERROR(__xludf.DUMMYFUNCTION("IFERROR(
  FILTER('CBK Students'!Q:Q, TRIM('CBK Students'!B:B) = TRIM(A2215)),
  """"
)"),"#REF!")</f>
        <v>#REF!</v>
      </c>
    </row>
    <row r="2216" ht="18.75" customHeight="1">
      <c r="T2216" s="4"/>
      <c r="U2216" s="4"/>
      <c r="V2216" s="4">
        <f>IFERROR(__xludf.DUMMYFUNCTION("""COMPUTED_VALUE"""),6590.0)</f>
        <v>6590</v>
      </c>
      <c r="W2216" s="240" t="str">
        <f t="shared" si="1"/>
        <v/>
      </c>
      <c r="X2216" s="4" t="str">
        <f>IFERROR(__xludf.DUMMYFUNCTION("""COMPUTED_VALUE"""),"Prepare for Showcase")</f>
        <v>Prepare for Showcase</v>
      </c>
      <c r="Y2216" s="4" t="str">
        <f t="shared" si="2"/>
        <v/>
      </c>
      <c r="Z2216" s="4" t="str">
        <f>IFERROR(__xludf.DUMMYFUNCTION("IFERROR(
  FILTER('CBK Students'!O:O, TRIM('CBK Students'!B:B) = TRIM(A2216)),
  """"
)"),"#REF!")</f>
        <v>#REF!</v>
      </c>
      <c r="AA2216" s="4" t="str">
        <f>IFERROR(__xludf.DUMMYFUNCTION("IFERROR(
  FILTER('CBK Students'!P:P, TRIM('CBK Students'!B:B) = TRIM(A2216)),
  """"
)"),"#REF!")</f>
        <v>#REF!</v>
      </c>
      <c r="AB2216" s="4" t="str">
        <f>IFERROR(__xludf.DUMMYFUNCTION("IFERROR(
  FILTER('CBK Students'!Q:Q, TRIM('CBK Students'!B:B) = TRIM(A2216)),
  """"
)"),"#REF!")</f>
        <v>#REF!</v>
      </c>
    </row>
    <row r="2217" ht="18.75" customHeight="1">
      <c r="T2217" s="4"/>
      <c r="U2217" s="4"/>
      <c r="V2217" s="4">
        <f>IFERROR(__xludf.DUMMYFUNCTION("""COMPUTED_VALUE"""),6590.0)</f>
        <v>6590</v>
      </c>
      <c r="W2217" s="240" t="str">
        <f t="shared" si="1"/>
        <v/>
      </c>
      <c r="X2217" s="4" t="str">
        <f>IFERROR(__xludf.DUMMYFUNCTION("""COMPUTED_VALUE"""),"Prepare for Showcase")</f>
        <v>Prepare for Showcase</v>
      </c>
      <c r="Y2217" s="4" t="str">
        <f t="shared" si="2"/>
        <v/>
      </c>
      <c r="Z2217" s="4" t="str">
        <f>IFERROR(__xludf.DUMMYFUNCTION("IFERROR(
  FILTER('CBK Students'!O:O, TRIM('CBK Students'!B:B) = TRIM(A2217)),
  """"
)"),"#REF!")</f>
        <v>#REF!</v>
      </c>
      <c r="AA2217" s="4" t="str">
        <f>IFERROR(__xludf.DUMMYFUNCTION("IFERROR(
  FILTER('CBK Students'!P:P, TRIM('CBK Students'!B:B) = TRIM(A2217)),
  """"
)"),"#REF!")</f>
        <v>#REF!</v>
      </c>
      <c r="AB2217" s="4" t="str">
        <f>IFERROR(__xludf.DUMMYFUNCTION("IFERROR(
  FILTER('CBK Students'!Q:Q, TRIM('CBK Students'!B:B) = TRIM(A2217)),
  """"
)"),"#REF!")</f>
        <v>#REF!</v>
      </c>
    </row>
    <row r="2218" ht="18.75" customHeight="1">
      <c r="T2218" s="4"/>
      <c r="U2218" s="4"/>
      <c r="V2218" s="4">
        <f>IFERROR(__xludf.DUMMYFUNCTION("""COMPUTED_VALUE"""),6590.0)</f>
        <v>6590</v>
      </c>
      <c r="W2218" s="240" t="str">
        <f t="shared" si="1"/>
        <v/>
      </c>
      <c r="X2218" s="4" t="str">
        <f>IFERROR(__xludf.DUMMYFUNCTION("""COMPUTED_VALUE"""),"Prepare for Showcase")</f>
        <v>Prepare for Showcase</v>
      </c>
      <c r="Y2218" s="4" t="str">
        <f t="shared" si="2"/>
        <v/>
      </c>
      <c r="Z2218" s="4" t="str">
        <f>IFERROR(__xludf.DUMMYFUNCTION("IFERROR(
  FILTER('CBK Students'!O:O, TRIM('CBK Students'!B:B) = TRIM(A2218)),
  """"
)"),"#REF!")</f>
        <v>#REF!</v>
      </c>
      <c r="AA2218" s="4" t="str">
        <f>IFERROR(__xludf.DUMMYFUNCTION("IFERROR(
  FILTER('CBK Students'!P:P, TRIM('CBK Students'!B:B) = TRIM(A2218)),
  """"
)"),"#REF!")</f>
        <v>#REF!</v>
      </c>
      <c r="AB2218" s="4" t="str">
        <f>IFERROR(__xludf.DUMMYFUNCTION("IFERROR(
  FILTER('CBK Students'!Q:Q, TRIM('CBK Students'!B:B) = TRIM(A2218)),
  """"
)"),"#REF!")</f>
        <v>#REF!</v>
      </c>
    </row>
    <row r="2219" ht="18.75" customHeight="1">
      <c r="T2219" s="4"/>
      <c r="U2219" s="4"/>
      <c r="V2219" s="4">
        <f>IFERROR(__xludf.DUMMYFUNCTION("""COMPUTED_VALUE"""),6590.0)</f>
        <v>6590</v>
      </c>
      <c r="W2219" s="240" t="str">
        <f t="shared" si="1"/>
        <v/>
      </c>
      <c r="X2219" s="4" t="str">
        <f>IFERROR(__xludf.DUMMYFUNCTION("""COMPUTED_VALUE"""),"Prepare for Showcase")</f>
        <v>Prepare for Showcase</v>
      </c>
      <c r="Y2219" s="4" t="str">
        <f t="shared" si="2"/>
        <v/>
      </c>
      <c r="Z2219" s="4" t="str">
        <f>IFERROR(__xludf.DUMMYFUNCTION("IFERROR(
  FILTER('CBK Students'!O:O, TRIM('CBK Students'!B:B) = TRIM(A2219)),
  """"
)"),"#REF!")</f>
        <v>#REF!</v>
      </c>
      <c r="AA2219" s="4" t="str">
        <f>IFERROR(__xludf.DUMMYFUNCTION("IFERROR(
  FILTER('CBK Students'!P:P, TRIM('CBK Students'!B:B) = TRIM(A2219)),
  """"
)"),"#REF!")</f>
        <v>#REF!</v>
      </c>
      <c r="AB2219" s="4" t="str">
        <f>IFERROR(__xludf.DUMMYFUNCTION("IFERROR(
  FILTER('CBK Students'!Q:Q, TRIM('CBK Students'!B:B) = TRIM(A2219)),
  """"
)"),"#REF!")</f>
        <v>#REF!</v>
      </c>
    </row>
    <row r="2220" ht="18.75" customHeight="1">
      <c r="T2220" s="4"/>
      <c r="U2220" s="4"/>
      <c r="V2220" s="4">
        <f>IFERROR(__xludf.DUMMYFUNCTION("""COMPUTED_VALUE"""),6590.0)</f>
        <v>6590</v>
      </c>
      <c r="W2220" s="240" t="str">
        <f t="shared" si="1"/>
        <v/>
      </c>
      <c r="X2220" s="4" t="str">
        <f>IFERROR(__xludf.DUMMYFUNCTION("""COMPUTED_VALUE"""),"Prepare for Showcase")</f>
        <v>Prepare for Showcase</v>
      </c>
      <c r="Y2220" s="4" t="str">
        <f t="shared" si="2"/>
        <v/>
      </c>
      <c r="Z2220" s="4" t="str">
        <f>IFERROR(__xludf.DUMMYFUNCTION("IFERROR(
  FILTER('CBK Students'!O:O, TRIM('CBK Students'!B:B) = TRIM(A2220)),
  """"
)"),"#REF!")</f>
        <v>#REF!</v>
      </c>
      <c r="AA2220" s="4" t="str">
        <f>IFERROR(__xludf.DUMMYFUNCTION("IFERROR(
  FILTER('CBK Students'!P:P, TRIM('CBK Students'!B:B) = TRIM(A2220)),
  """"
)"),"#REF!")</f>
        <v>#REF!</v>
      </c>
      <c r="AB2220" s="4" t="str">
        <f>IFERROR(__xludf.DUMMYFUNCTION("IFERROR(
  FILTER('CBK Students'!Q:Q, TRIM('CBK Students'!B:B) = TRIM(A2220)),
  """"
)"),"#REF!")</f>
        <v>#REF!</v>
      </c>
    </row>
    <row r="2221" ht="18.75" customHeight="1">
      <c r="T2221" s="4"/>
      <c r="U2221" s="4"/>
      <c r="V2221" s="4">
        <f>IFERROR(__xludf.DUMMYFUNCTION("""COMPUTED_VALUE"""),6590.0)</f>
        <v>6590</v>
      </c>
      <c r="W2221" s="240" t="str">
        <f t="shared" si="1"/>
        <v/>
      </c>
      <c r="X2221" s="4" t="str">
        <f>IFERROR(__xludf.DUMMYFUNCTION("""COMPUTED_VALUE"""),"Prepare for Showcase")</f>
        <v>Prepare for Showcase</v>
      </c>
      <c r="Y2221" s="4" t="str">
        <f t="shared" si="2"/>
        <v/>
      </c>
      <c r="Z2221" s="4" t="str">
        <f>IFERROR(__xludf.DUMMYFUNCTION("IFERROR(
  FILTER('CBK Students'!O:O, TRIM('CBK Students'!B:B) = TRIM(A2221)),
  """"
)"),"#REF!")</f>
        <v>#REF!</v>
      </c>
      <c r="AA2221" s="4" t="str">
        <f>IFERROR(__xludf.DUMMYFUNCTION("IFERROR(
  FILTER('CBK Students'!P:P, TRIM('CBK Students'!B:B) = TRIM(A2221)),
  """"
)"),"#REF!")</f>
        <v>#REF!</v>
      </c>
      <c r="AB2221" s="4" t="str">
        <f>IFERROR(__xludf.DUMMYFUNCTION("IFERROR(
  FILTER('CBK Students'!Q:Q, TRIM('CBK Students'!B:B) = TRIM(A2221)),
  """"
)"),"#REF!")</f>
        <v>#REF!</v>
      </c>
    </row>
    <row r="2222" ht="18.75" customHeight="1">
      <c r="T2222" s="4"/>
      <c r="U2222" s="4"/>
      <c r="V2222" s="4">
        <f>IFERROR(__xludf.DUMMYFUNCTION("""COMPUTED_VALUE"""),6590.0)</f>
        <v>6590</v>
      </c>
      <c r="W2222" s="240" t="str">
        <f t="shared" si="1"/>
        <v/>
      </c>
      <c r="X2222" s="4" t="str">
        <f>IFERROR(__xludf.DUMMYFUNCTION("""COMPUTED_VALUE"""),"Prepare for Showcase")</f>
        <v>Prepare for Showcase</v>
      </c>
      <c r="Y2222" s="4" t="str">
        <f t="shared" si="2"/>
        <v/>
      </c>
      <c r="Z2222" s="4" t="str">
        <f>IFERROR(__xludf.DUMMYFUNCTION("IFERROR(
  FILTER('CBK Students'!O:O, TRIM('CBK Students'!B:B) = TRIM(A2222)),
  """"
)"),"#REF!")</f>
        <v>#REF!</v>
      </c>
      <c r="AA2222" s="4" t="str">
        <f>IFERROR(__xludf.DUMMYFUNCTION("IFERROR(
  FILTER('CBK Students'!P:P, TRIM('CBK Students'!B:B) = TRIM(A2222)),
  """"
)"),"#REF!")</f>
        <v>#REF!</v>
      </c>
      <c r="AB2222" s="4" t="str">
        <f>IFERROR(__xludf.DUMMYFUNCTION("IFERROR(
  FILTER('CBK Students'!Q:Q, TRIM('CBK Students'!B:B) = TRIM(A2222)),
  """"
)"),"#REF!")</f>
        <v>#REF!</v>
      </c>
    </row>
    <row r="2223" ht="18.75" customHeight="1">
      <c r="T2223" s="4"/>
      <c r="U2223" s="4"/>
      <c r="V2223" s="4">
        <f>IFERROR(__xludf.DUMMYFUNCTION("""COMPUTED_VALUE"""),6590.0)</f>
        <v>6590</v>
      </c>
      <c r="W2223" s="240" t="str">
        <f t="shared" si="1"/>
        <v/>
      </c>
      <c r="X2223" s="4" t="str">
        <f>IFERROR(__xludf.DUMMYFUNCTION("""COMPUTED_VALUE"""),"Prepare for Showcase")</f>
        <v>Prepare for Showcase</v>
      </c>
      <c r="Y2223" s="4" t="str">
        <f t="shared" si="2"/>
        <v/>
      </c>
      <c r="Z2223" s="4" t="str">
        <f>IFERROR(__xludf.DUMMYFUNCTION("IFERROR(
  FILTER('CBK Students'!O:O, TRIM('CBK Students'!B:B) = TRIM(A2223)),
  """"
)"),"#REF!")</f>
        <v>#REF!</v>
      </c>
      <c r="AA2223" s="4" t="str">
        <f>IFERROR(__xludf.DUMMYFUNCTION("IFERROR(
  FILTER('CBK Students'!P:P, TRIM('CBK Students'!B:B) = TRIM(A2223)),
  """"
)"),"#REF!")</f>
        <v>#REF!</v>
      </c>
      <c r="AB2223" s="4" t="str">
        <f>IFERROR(__xludf.DUMMYFUNCTION("IFERROR(
  FILTER('CBK Students'!Q:Q, TRIM('CBK Students'!B:B) = TRIM(A2223)),
  """"
)"),"#REF!")</f>
        <v>#REF!</v>
      </c>
    </row>
    <row r="2224" ht="18.75" customHeight="1">
      <c r="T2224" s="4"/>
      <c r="U2224" s="4"/>
      <c r="V2224" s="4">
        <f>IFERROR(__xludf.DUMMYFUNCTION("""COMPUTED_VALUE"""),6590.0)</f>
        <v>6590</v>
      </c>
      <c r="W2224" s="240" t="str">
        <f t="shared" si="1"/>
        <v/>
      </c>
      <c r="X2224" s="4" t="str">
        <f>IFERROR(__xludf.DUMMYFUNCTION("""COMPUTED_VALUE"""),"Prepare for Showcase")</f>
        <v>Prepare for Showcase</v>
      </c>
      <c r="Y2224" s="4" t="str">
        <f t="shared" si="2"/>
        <v/>
      </c>
      <c r="Z2224" s="4" t="str">
        <f>IFERROR(__xludf.DUMMYFUNCTION("IFERROR(
  FILTER('CBK Students'!O:O, TRIM('CBK Students'!B:B) = TRIM(A2224)),
  """"
)"),"#REF!")</f>
        <v>#REF!</v>
      </c>
      <c r="AA2224" s="4" t="str">
        <f>IFERROR(__xludf.DUMMYFUNCTION("IFERROR(
  FILTER('CBK Students'!P:P, TRIM('CBK Students'!B:B) = TRIM(A2224)),
  """"
)"),"#REF!")</f>
        <v>#REF!</v>
      </c>
      <c r="AB2224" s="4" t="str">
        <f>IFERROR(__xludf.DUMMYFUNCTION("IFERROR(
  FILTER('CBK Students'!Q:Q, TRIM('CBK Students'!B:B) = TRIM(A2224)),
  """"
)"),"#REF!")</f>
        <v>#REF!</v>
      </c>
    </row>
    <row r="2225" ht="18.75" customHeight="1">
      <c r="T2225" s="4"/>
      <c r="U2225" s="4"/>
      <c r="V2225" s="4">
        <f>IFERROR(__xludf.DUMMYFUNCTION("""COMPUTED_VALUE"""),6590.0)</f>
        <v>6590</v>
      </c>
      <c r="W2225" s="240" t="str">
        <f t="shared" si="1"/>
        <v/>
      </c>
      <c r="X2225" s="4" t="str">
        <f>IFERROR(__xludf.DUMMYFUNCTION("""COMPUTED_VALUE"""),"Prepare for Showcase")</f>
        <v>Prepare for Showcase</v>
      </c>
      <c r="Y2225" s="4" t="str">
        <f t="shared" si="2"/>
        <v/>
      </c>
      <c r="Z2225" s="4" t="str">
        <f>IFERROR(__xludf.DUMMYFUNCTION("IFERROR(
  FILTER('CBK Students'!O:O, TRIM('CBK Students'!B:B) = TRIM(A2225)),
  """"
)"),"#REF!")</f>
        <v>#REF!</v>
      </c>
      <c r="AA2225" s="4" t="str">
        <f>IFERROR(__xludf.DUMMYFUNCTION("IFERROR(
  FILTER('CBK Students'!P:P, TRIM('CBK Students'!B:B) = TRIM(A2225)),
  """"
)"),"#REF!")</f>
        <v>#REF!</v>
      </c>
      <c r="AB2225" s="4" t="str">
        <f>IFERROR(__xludf.DUMMYFUNCTION("IFERROR(
  FILTER('CBK Students'!Q:Q, TRIM('CBK Students'!B:B) = TRIM(A2225)),
  """"
)"),"#REF!")</f>
        <v>#REF!</v>
      </c>
    </row>
    <row r="2226" ht="18.75" customHeight="1">
      <c r="T2226" s="4"/>
      <c r="U2226" s="4"/>
      <c r="V2226" s="4">
        <f>IFERROR(__xludf.DUMMYFUNCTION("""COMPUTED_VALUE"""),6590.0)</f>
        <v>6590</v>
      </c>
      <c r="W2226" s="240" t="str">
        <f t="shared" si="1"/>
        <v/>
      </c>
      <c r="X2226" s="4" t="str">
        <f>IFERROR(__xludf.DUMMYFUNCTION("""COMPUTED_VALUE"""),"Prepare for Showcase")</f>
        <v>Prepare for Showcase</v>
      </c>
      <c r="Y2226" s="4" t="str">
        <f t="shared" si="2"/>
        <v/>
      </c>
      <c r="Z2226" s="4" t="str">
        <f>IFERROR(__xludf.DUMMYFUNCTION("IFERROR(
  FILTER('CBK Students'!O:O, TRIM('CBK Students'!B:B) = TRIM(A2226)),
  """"
)"),"#REF!")</f>
        <v>#REF!</v>
      </c>
      <c r="AA2226" s="4" t="str">
        <f>IFERROR(__xludf.DUMMYFUNCTION("IFERROR(
  FILTER('CBK Students'!P:P, TRIM('CBK Students'!B:B) = TRIM(A2226)),
  """"
)"),"#REF!")</f>
        <v>#REF!</v>
      </c>
      <c r="AB2226" s="4" t="str">
        <f>IFERROR(__xludf.DUMMYFUNCTION("IFERROR(
  FILTER('CBK Students'!Q:Q, TRIM('CBK Students'!B:B) = TRIM(A2226)),
  """"
)"),"#REF!")</f>
        <v>#REF!</v>
      </c>
    </row>
    <row r="2227" ht="18.75" customHeight="1">
      <c r="T2227" s="4"/>
      <c r="U2227" s="4"/>
      <c r="V2227" s="4">
        <f>IFERROR(__xludf.DUMMYFUNCTION("""COMPUTED_VALUE"""),6590.0)</f>
        <v>6590</v>
      </c>
      <c r="W2227" s="240" t="str">
        <f t="shared" si="1"/>
        <v/>
      </c>
      <c r="X2227" s="4" t="str">
        <f>IFERROR(__xludf.DUMMYFUNCTION("""COMPUTED_VALUE"""),"Prepare for Showcase")</f>
        <v>Prepare for Showcase</v>
      </c>
      <c r="Y2227" s="4" t="str">
        <f t="shared" si="2"/>
        <v/>
      </c>
      <c r="Z2227" s="4" t="str">
        <f>IFERROR(__xludf.DUMMYFUNCTION("IFERROR(
  FILTER('CBK Students'!O:O, TRIM('CBK Students'!B:B) = TRIM(A2227)),
  """"
)"),"#REF!")</f>
        <v>#REF!</v>
      </c>
      <c r="AA2227" s="4" t="str">
        <f>IFERROR(__xludf.DUMMYFUNCTION("IFERROR(
  FILTER('CBK Students'!P:P, TRIM('CBK Students'!B:B) = TRIM(A2227)),
  """"
)"),"#REF!")</f>
        <v>#REF!</v>
      </c>
      <c r="AB2227" s="4" t="str">
        <f>IFERROR(__xludf.DUMMYFUNCTION("IFERROR(
  FILTER('CBK Students'!Q:Q, TRIM('CBK Students'!B:B) = TRIM(A2227)),
  """"
)"),"#REF!")</f>
        <v>#REF!</v>
      </c>
    </row>
    <row r="2228" ht="18.75" customHeight="1">
      <c r="T2228" s="4"/>
      <c r="U2228" s="4"/>
      <c r="V2228" s="4">
        <f>IFERROR(__xludf.DUMMYFUNCTION("""COMPUTED_VALUE"""),6590.0)</f>
        <v>6590</v>
      </c>
      <c r="W2228" s="240" t="str">
        <f t="shared" si="1"/>
        <v/>
      </c>
      <c r="X2228" s="4" t="str">
        <f>IFERROR(__xludf.DUMMYFUNCTION("""COMPUTED_VALUE"""),"Prepare for Showcase")</f>
        <v>Prepare for Showcase</v>
      </c>
      <c r="Y2228" s="4" t="str">
        <f t="shared" si="2"/>
        <v/>
      </c>
      <c r="Z2228" s="4" t="str">
        <f>IFERROR(__xludf.DUMMYFUNCTION("IFERROR(
  FILTER('CBK Students'!O:O, TRIM('CBK Students'!B:B) = TRIM(A2228)),
  """"
)"),"#REF!")</f>
        <v>#REF!</v>
      </c>
      <c r="AA2228" s="4" t="str">
        <f>IFERROR(__xludf.DUMMYFUNCTION("IFERROR(
  FILTER('CBK Students'!P:P, TRIM('CBK Students'!B:B) = TRIM(A2228)),
  """"
)"),"#REF!")</f>
        <v>#REF!</v>
      </c>
      <c r="AB2228" s="4" t="str">
        <f>IFERROR(__xludf.DUMMYFUNCTION("IFERROR(
  FILTER('CBK Students'!Q:Q, TRIM('CBK Students'!B:B) = TRIM(A2228)),
  """"
)"),"#REF!")</f>
        <v>#REF!</v>
      </c>
    </row>
    <row r="2229" ht="18.75" customHeight="1">
      <c r="T2229" s="4"/>
      <c r="U2229" s="4"/>
      <c r="V2229" s="4">
        <f>IFERROR(__xludf.DUMMYFUNCTION("""COMPUTED_VALUE"""),6590.0)</f>
        <v>6590</v>
      </c>
      <c r="W2229" s="240" t="str">
        <f t="shared" si="1"/>
        <v/>
      </c>
      <c r="X2229" s="4" t="str">
        <f>IFERROR(__xludf.DUMMYFUNCTION("""COMPUTED_VALUE"""),"Prepare for Showcase")</f>
        <v>Prepare for Showcase</v>
      </c>
      <c r="Y2229" s="4" t="str">
        <f t="shared" si="2"/>
        <v/>
      </c>
      <c r="Z2229" s="4" t="str">
        <f>IFERROR(__xludf.DUMMYFUNCTION("IFERROR(
  FILTER('CBK Students'!O:O, TRIM('CBK Students'!B:B) = TRIM(A2229)),
  """"
)"),"#REF!")</f>
        <v>#REF!</v>
      </c>
      <c r="AA2229" s="4" t="str">
        <f>IFERROR(__xludf.DUMMYFUNCTION("IFERROR(
  FILTER('CBK Students'!P:P, TRIM('CBK Students'!B:B) = TRIM(A2229)),
  """"
)"),"#REF!")</f>
        <v>#REF!</v>
      </c>
      <c r="AB2229" s="4" t="str">
        <f>IFERROR(__xludf.DUMMYFUNCTION("IFERROR(
  FILTER('CBK Students'!Q:Q, TRIM('CBK Students'!B:B) = TRIM(A2229)),
  """"
)"),"#REF!")</f>
        <v>#REF!</v>
      </c>
    </row>
    <row r="2230" ht="18.75" customHeight="1">
      <c r="T2230" s="4"/>
      <c r="U2230" s="4"/>
      <c r="V2230" s="4">
        <f>IFERROR(__xludf.DUMMYFUNCTION("""COMPUTED_VALUE"""),6590.0)</f>
        <v>6590</v>
      </c>
      <c r="W2230" s="240" t="str">
        <f t="shared" si="1"/>
        <v/>
      </c>
      <c r="X2230" s="4" t="str">
        <f>IFERROR(__xludf.DUMMYFUNCTION("""COMPUTED_VALUE"""),"Prepare for Showcase")</f>
        <v>Prepare for Showcase</v>
      </c>
      <c r="Y2230" s="4" t="str">
        <f t="shared" si="2"/>
        <v/>
      </c>
      <c r="Z2230" s="4" t="str">
        <f>IFERROR(__xludf.DUMMYFUNCTION("IFERROR(
  FILTER('CBK Students'!O:O, TRIM('CBK Students'!B:B) = TRIM(A2230)),
  """"
)"),"#REF!")</f>
        <v>#REF!</v>
      </c>
      <c r="AA2230" s="4" t="str">
        <f>IFERROR(__xludf.DUMMYFUNCTION("IFERROR(
  FILTER('CBK Students'!P:P, TRIM('CBK Students'!B:B) = TRIM(A2230)),
  """"
)"),"#REF!")</f>
        <v>#REF!</v>
      </c>
      <c r="AB2230" s="4" t="str">
        <f>IFERROR(__xludf.DUMMYFUNCTION("IFERROR(
  FILTER('CBK Students'!Q:Q, TRIM('CBK Students'!B:B) = TRIM(A2230)),
  """"
)"),"#REF!")</f>
        <v>#REF!</v>
      </c>
    </row>
    <row r="2231" ht="18.75" customHeight="1">
      <c r="T2231" s="4"/>
      <c r="U2231" s="4"/>
      <c r="V2231" s="4">
        <f>IFERROR(__xludf.DUMMYFUNCTION("""COMPUTED_VALUE"""),6590.0)</f>
        <v>6590</v>
      </c>
      <c r="W2231" s="240" t="str">
        <f t="shared" si="1"/>
        <v/>
      </c>
      <c r="X2231" s="4" t="str">
        <f>IFERROR(__xludf.DUMMYFUNCTION("""COMPUTED_VALUE"""),"Prepare for Showcase")</f>
        <v>Prepare for Showcase</v>
      </c>
      <c r="Y2231" s="4" t="str">
        <f t="shared" si="2"/>
        <v/>
      </c>
      <c r="Z2231" s="4" t="str">
        <f>IFERROR(__xludf.DUMMYFUNCTION("IFERROR(
  FILTER('CBK Students'!O:O, TRIM('CBK Students'!B:B) = TRIM(A2231)),
  """"
)"),"#REF!")</f>
        <v>#REF!</v>
      </c>
      <c r="AA2231" s="4" t="str">
        <f>IFERROR(__xludf.DUMMYFUNCTION("IFERROR(
  FILTER('CBK Students'!P:P, TRIM('CBK Students'!B:B) = TRIM(A2231)),
  """"
)"),"#REF!")</f>
        <v>#REF!</v>
      </c>
      <c r="AB2231" s="4" t="str">
        <f>IFERROR(__xludf.DUMMYFUNCTION("IFERROR(
  FILTER('CBK Students'!Q:Q, TRIM('CBK Students'!B:B) = TRIM(A2231)),
  """"
)"),"#REF!")</f>
        <v>#REF!</v>
      </c>
    </row>
    <row r="2232" ht="18.75" customHeight="1">
      <c r="T2232" s="4"/>
      <c r="U2232" s="4"/>
      <c r="V2232" s="4">
        <f>IFERROR(__xludf.DUMMYFUNCTION("""COMPUTED_VALUE"""),6590.0)</f>
        <v>6590</v>
      </c>
      <c r="W2232" s="240" t="str">
        <f t="shared" si="1"/>
        <v/>
      </c>
      <c r="X2232" s="4" t="str">
        <f>IFERROR(__xludf.DUMMYFUNCTION("""COMPUTED_VALUE"""),"Prepare for Showcase")</f>
        <v>Prepare for Showcase</v>
      </c>
      <c r="Y2232" s="4" t="str">
        <f t="shared" si="2"/>
        <v/>
      </c>
      <c r="Z2232" s="4" t="str">
        <f>IFERROR(__xludf.DUMMYFUNCTION("IFERROR(
  FILTER('CBK Students'!O:O, TRIM('CBK Students'!B:B) = TRIM(A2232)),
  """"
)"),"#REF!")</f>
        <v>#REF!</v>
      </c>
      <c r="AA2232" s="4" t="str">
        <f>IFERROR(__xludf.DUMMYFUNCTION("IFERROR(
  FILTER('CBK Students'!P:P, TRIM('CBK Students'!B:B) = TRIM(A2232)),
  """"
)"),"#REF!")</f>
        <v>#REF!</v>
      </c>
      <c r="AB2232" s="4" t="str">
        <f>IFERROR(__xludf.DUMMYFUNCTION("IFERROR(
  FILTER('CBK Students'!Q:Q, TRIM('CBK Students'!B:B) = TRIM(A2232)),
  """"
)"),"#REF!")</f>
        <v>#REF!</v>
      </c>
    </row>
    <row r="2233" ht="18.75" customHeight="1">
      <c r="T2233" s="4"/>
      <c r="U2233" s="4"/>
      <c r="V2233" s="4">
        <f>IFERROR(__xludf.DUMMYFUNCTION("""COMPUTED_VALUE"""),6590.0)</f>
        <v>6590</v>
      </c>
      <c r="W2233" s="240" t="str">
        <f t="shared" si="1"/>
        <v/>
      </c>
      <c r="X2233" s="4" t="str">
        <f>IFERROR(__xludf.DUMMYFUNCTION("""COMPUTED_VALUE"""),"Prepare for Showcase")</f>
        <v>Prepare for Showcase</v>
      </c>
      <c r="Y2233" s="4" t="str">
        <f t="shared" si="2"/>
        <v/>
      </c>
      <c r="Z2233" s="4" t="str">
        <f>IFERROR(__xludf.DUMMYFUNCTION("IFERROR(
  FILTER('CBK Students'!O:O, TRIM('CBK Students'!B:B) = TRIM(A2233)),
  """"
)"),"#REF!")</f>
        <v>#REF!</v>
      </c>
      <c r="AA2233" s="4" t="str">
        <f>IFERROR(__xludf.DUMMYFUNCTION("IFERROR(
  FILTER('CBK Students'!P:P, TRIM('CBK Students'!B:B) = TRIM(A2233)),
  """"
)"),"#REF!")</f>
        <v>#REF!</v>
      </c>
      <c r="AB2233" s="4" t="str">
        <f>IFERROR(__xludf.DUMMYFUNCTION("IFERROR(
  FILTER('CBK Students'!Q:Q, TRIM('CBK Students'!B:B) = TRIM(A2233)),
  """"
)"),"#REF!")</f>
        <v>#REF!</v>
      </c>
    </row>
    <row r="2234" ht="18.75" customHeight="1">
      <c r="T2234" s="4"/>
      <c r="U2234" s="4"/>
      <c r="V2234" s="4">
        <f>IFERROR(__xludf.DUMMYFUNCTION("""COMPUTED_VALUE"""),6590.0)</f>
        <v>6590</v>
      </c>
      <c r="W2234" s="240" t="str">
        <f t="shared" si="1"/>
        <v/>
      </c>
      <c r="X2234" s="4" t="str">
        <f>IFERROR(__xludf.DUMMYFUNCTION("""COMPUTED_VALUE"""),"Prepare for Showcase")</f>
        <v>Prepare for Showcase</v>
      </c>
      <c r="Y2234" s="4" t="str">
        <f t="shared" si="2"/>
        <v/>
      </c>
      <c r="Z2234" s="4" t="str">
        <f>IFERROR(__xludf.DUMMYFUNCTION("IFERROR(
  FILTER('CBK Students'!O:O, TRIM('CBK Students'!B:B) = TRIM(A2234)),
  """"
)"),"#REF!")</f>
        <v>#REF!</v>
      </c>
      <c r="AA2234" s="4" t="str">
        <f>IFERROR(__xludf.DUMMYFUNCTION("IFERROR(
  FILTER('CBK Students'!P:P, TRIM('CBK Students'!B:B) = TRIM(A2234)),
  """"
)"),"#REF!")</f>
        <v>#REF!</v>
      </c>
      <c r="AB2234" s="4" t="str">
        <f>IFERROR(__xludf.DUMMYFUNCTION("IFERROR(
  FILTER('CBK Students'!Q:Q, TRIM('CBK Students'!B:B) = TRIM(A2234)),
  """"
)"),"#REF!")</f>
        <v>#REF!</v>
      </c>
    </row>
    <row r="2235" ht="18.75" customHeight="1">
      <c r="T2235" s="4"/>
      <c r="U2235" s="4"/>
      <c r="V2235" s="4">
        <f>IFERROR(__xludf.DUMMYFUNCTION("""COMPUTED_VALUE"""),6590.0)</f>
        <v>6590</v>
      </c>
      <c r="W2235" s="240" t="str">
        <f t="shared" si="1"/>
        <v/>
      </c>
      <c r="X2235" s="4" t="str">
        <f>IFERROR(__xludf.DUMMYFUNCTION("""COMPUTED_VALUE"""),"Prepare for Showcase")</f>
        <v>Prepare for Showcase</v>
      </c>
      <c r="Y2235" s="4" t="str">
        <f t="shared" si="2"/>
        <v/>
      </c>
      <c r="Z2235" s="4" t="str">
        <f>IFERROR(__xludf.DUMMYFUNCTION("IFERROR(
  FILTER('CBK Students'!O:O, TRIM('CBK Students'!B:B) = TRIM(A2235)),
  """"
)"),"#REF!")</f>
        <v>#REF!</v>
      </c>
      <c r="AA2235" s="4" t="str">
        <f>IFERROR(__xludf.DUMMYFUNCTION("IFERROR(
  FILTER('CBK Students'!P:P, TRIM('CBK Students'!B:B) = TRIM(A2235)),
  """"
)"),"#REF!")</f>
        <v>#REF!</v>
      </c>
      <c r="AB2235" s="4" t="str">
        <f>IFERROR(__xludf.DUMMYFUNCTION("IFERROR(
  FILTER('CBK Students'!Q:Q, TRIM('CBK Students'!B:B) = TRIM(A2235)),
  """"
)"),"#REF!")</f>
        <v>#REF!</v>
      </c>
    </row>
    <row r="2236" ht="18.75" customHeight="1">
      <c r="T2236" s="4"/>
      <c r="U2236" s="4"/>
      <c r="V2236" s="4">
        <f>IFERROR(__xludf.DUMMYFUNCTION("""COMPUTED_VALUE"""),6590.0)</f>
        <v>6590</v>
      </c>
      <c r="W2236" s="240" t="str">
        <f t="shared" si="1"/>
        <v/>
      </c>
      <c r="X2236" s="4" t="str">
        <f>IFERROR(__xludf.DUMMYFUNCTION("""COMPUTED_VALUE"""),"Prepare for Showcase")</f>
        <v>Prepare for Showcase</v>
      </c>
      <c r="Y2236" s="4" t="str">
        <f t="shared" si="2"/>
        <v/>
      </c>
      <c r="Z2236" s="4" t="str">
        <f>IFERROR(__xludf.DUMMYFUNCTION("IFERROR(
  FILTER('CBK Students'!O:O, TRIM('CBK Students'!B:B) = TRIM(A2236)),
  """"
)"),"#REF!")</f>
        <v>#REF!</v>
      </c>
      <c r="AA2236" s="4" t="str">
        <f>IFERROR(__xludf.DUMMYFUNCTION("IFERROR(
  FILTER('CBK Students'!P:P, TRIM('CBK Students'!B:B) = TRIM(A2236)),
  """"
)"),"#REF!")</f>
        <v>#REF!</v>
      </c>
      <c r="AB2236" s="4" t="str">
        <f>IFERROR(__xludf.DUMMYFUNCTION("IFERROR(
  FILTER('CBK Students'!Q:Q, TRIM('CBK Students'!B:B) = TRIM(A2236)),
  """"
)"),"#REF!")</f>
        <v>#REF!</v>
      </c>
    </row>
    <row r="2237" ht="18.75" customHeight="1">
      <c r="T2237" s="4"/>
      <c r="U2237" s="4"/>
      <c r="V2237" s="4">
        <f>IFERROR(__xludf.DUMMYFUNCTION("""COMPUTED_VALUE"""),6590.0)</f>
        <v>6590</v>
      </c>
      <c r="W2237" s="240" t="str">
        <f t="shared" si="1"/>
        <v/>
      </c>
      <c r="X2237" s="4" t="str">
        <f>IFERROR(__xludf.DUMMYFUNCTION("""COMPUTED_VALUE"""),"Prepare for Showcase")</f>
        <v>Prepare for Showcase</v>
      </c>
      <c r="Y2237" s="4" t="str">
        <f t="shared" si="2"/>
        <v/>
      </c>
      <c r="Z2237" s="4" t="str">
        <f>IFERROR(__xludf.DUMMYFUNCTION("IFERROR(
  FILTER('CBK Students'!O:O, TRIM('CBK Students'!B:B) = TRIM(A2237)),
  """"
)"),"#REF!")</f>
        <v>#REF!</v>
      </c>
      <c r="AA2237" s="4" t="str">
        <f>IFERROR(__xludf.DUMMYFUNCTION("IFERROR(
  FILTER('CBK Students'!P:P, TRIM('CBK Students'!B:B) = TRIM(A2237)),
  """"
)"),"#REF!")</f>
        <v>#REF!</v>
      </c>
      <c r="AB2237" s="4" t="str">
        <f>IFERROR(__xludf.DUMMYFUNCTION("IFERROR(
  FILTER('CBK Students'!Q:Q, TRIM('CBK Students'!B:B) = TRIM(A2237)),
  """"
)"),"#REF!")</f>
        <v>#REF!</v>
      </c>
    </row>
    <row r="2238" ht="18.75" customHeight="1">
      <c r="T2238" s="4"/>
      <c r="U2238" s="4"/>
      <c r="V2238" s="4">
        <f>IFERROR(__xludf.DUMMYFUNCTION("""COMPUTED_VALUE"""),6590.0)</f>
        <v>6590</v>
      </c>
      <c r="W2238" s="240" t="str">
        <f t="shared" si="1"/>
        <v/>
      </c>
      <c r="X2238" s="4" t="str">
        <f>IFERROR(__xludf.DUMMYFUNCTION("""COMPUTED_VALUE"""),"Prepare for Showcase")</f>
        <v>Prepare for Showcase</v>
      </c>
      <c r="Y2238" s="4" t="str">
        <f t="shared" si="2"/>
        <v/>
      </c>
      <c r="Z2238" s="4" t="str">
        <f>IFERROR(__xludf.DUMMYFUNCTION("IFERROR(
  FILTER('CBK Students'!O:O, TRIM('CBK Students'!B:B) = TRIM(A2238)),
  """"
)"),"#REF!")</f>
        <v>#REF!</v>
      </c>
      <c r="AA2238" s="4" t="str">
        <f>IFERROR(__xludf.DUMMYFUNCTION("IFERROR(
  FILTER('CBK Students'!P:P, TRIM('CBK Students'!B:B) = TRIM(A2238)),
  """"
)"),"#REF!")</f>
        <v>#REF!</v>
      </c>
      <c r="AB2238" s="4" t="str">
        <f>IFERROR(__xludf.DUMMYFUNCTION("IFERROR(
  FILTER('CBK Students'!Q:Q, TRIM('CBK Students'!B:B) = TRIM(A2238)),
  """"
)"),"#REF!")</f>
        <v>#REF!</v>
      </c>
    </row>
    <row r="2239" ht="18.75" customHeight="1">
      <c r="T2239" s="4"/>
      <c r="U2239" s="4"/>
      <c r="V2239" s="4">
        <f>IFERROR(__xludf.DUMMYFUNCTION("""COMPUTED_VALUE"""),6590.0)</f>
        <v>6590</v>
      </c>
      <c r="W2239" s="240" t="str">
        <f t="shared" si="1"/>
        <v/>
      </c>
      <c r="X2239" s="4" t="str">
        <f>IFERROR(__xludf.DUMMYFUNCTION("""COMPUTED_VALUE"""),"Prepare for Showcase")</f>
        <v>Prepare for Showcase</v>
      </c>
      <c r="Y2239" s="4" t="str">
        <f t="shared" si="2"/>
        <v/>
      </c>
      <c r="Z2239" s="4" t="str">
        <f>IFERROR(__xludf.DUMMYFUNCTION("IFERROR(
  FILTER('CBK Students'!O:O, TRIM('CBK Students'!B:B) = TRIM(A2239)),
  """"
)"),"#REF!")</f>
        <v>#REF!</v>
      </c>
      <c r="AA2239" s="4" t="str">
        <f>IFERROR(__xludf.DUMMYFUNCTION("IFERROR(
  FILTER('CBK Students'!P:P, TRIM('CBK Students'!B:B) = TRIM(A2239)),
  """"
)"),"#REF!")</f>
        <v>#REF!</v>
      </c>
      <c r="AB2239" s="4" t="str">
        <f>IFERROR(__xludf.DUMMYFUNCTION("IFERROR(
  FILTER('CBK Students'!Q:Q, TRIM('CBK Students'!B:B) = TRIM(A2239)),
  """"
)"),"#REF!")</f>
        <v>#REF!</v>
      </c>
    </row>
    <row r="2240" ht="18.75" customHeight="1">
      <c r="T2240" s="4"/>
      <c r="U2240" s="4"/>
      <c r="V2240" s="4">
        <f>IFERROR(__xludf.DUMMYFUNCTION("""COMPUTED_VALUE"""),6590.0)</f>
        <v>6590</v>
      </c>
      <c r="W2240" s="240" t="str">
        <f t="shared" si="1"/>
        <v/>
      </c>
      <c r="X2240" s="4" t="str">
        <f>IFERROR(__xludf.DUMMYFUNCTION("""COMPUTED_VALUE"""),"Prepare for Showcase")</f>
        <v>Prepare for Showcase</v>
      </c>
      <c r="Y2240" s="4" t="str">
        <f t="shared" si="2"/>
        <v/>
      </c>
      <c r="Z2240" s="4" t="str">
        <f>IFERROR(__xludf.DUMMYFUNCTION("IFERROR(
  FILTER('CBK Students'!O:O, TRIM('CBK Students'!B:B) = TRIM(A2240)),
  """"
)"),"#REF!")</f>
        <v>#REF!</v>
      </c>
      <c r="AA2240" s="4" t="str">
        <f>IFERROR(__xludf.DUMMYFUNCTION("IFERROR(
  FILTER('CBK Students'!P:P, TRIM('CBK Students'!B:B) = TRIM(A2240)),
  """"
)"),"#REF!")</f>
        <v>#REF!</v>
      </c>
      <c r="AB2240" s="4" t="str">
        <f>IFERROR(__xludf.DUMMYFUNCTION("IFERROR(
  FILTER('CBK Students'!Q:Q, TRIM('CBK Students'!B:B) = TRIM(A2240)),
  """"
)"),"#REF!")</f>
        <v>#REF!</v>
      </c>
    </row>
    <row r="2241" ht="18.75" customHeight="1">
      <c r="T2241" s="4"/>
      <c r="U2241" s="4"/>
      <c r="V2241" s="4">
        <f>IFERROR(__xludf.DUMMYFUNCTION("""COMPUTED_VALUE"""),6590.0)</f>
        <v>6590</v>
      </c>
      <c r="W2241" s="240" t="str">
        <f t="shared" si="1"/>
        <v/>
      </c>
      <c r="X2241" s="4" t="str">
        <f>IFERROR(__xludf.DUMMYFUNCTION("""COMPUTED_VALUE"""),"Prepare for Showcase")</f>
        <v>Prepare for Showcase</v>
      </c>
      <c r="Y2241" s="4" t="str">
        <f t="shared" si="2"/>
        <v/>
      </c>
      <c r="Z2241" s="4" t="str">
        <f>IFERROR(__xludf.DUMMYFUNCTION("IFERROR(
  FILTER('CBK Students'!O:O, TRIM('CBK Students'!B:B) = TRIM(A2241)),
  """"
)"),"#REF!")</f>
        <v>#REF!</v>
      </c>
      <c r="AA2241" s="4" t="str">
        <f>IFERROR(__xludf.DUMMYFUNCTION("IFERROR(
  FILTER('CBK Students'!P:P, TRIM('CBK Students'!B:B) = TRIM(A2241)),
  """"
)"),"#REF!")</f>
        <v>#REF!</v>
      </c>
      <c r="AB2241" s="4" t="str">
        <f>IFERROR(__xludf.DUMMYFUNCTION("IFERROR(
  FILTER('CBK Students'!Q:Q, TRIM('CBK Students'!B:B) = TRIM(A2241)),
  """"
)"),"#REF!")</f>
        <v>#REF!</v>
      </c>
    </row>
    <row r="2242" ht="18.75" customHeight="1">
      <c r="T2242" s="4"/>
      <c r="U2242" s="4"/>
      <c r="V2242" s="4">
        <f>IFERROR(__xludf.DUMMYFUNCTION("""COMPUTED_VALUE"""),6590.0)</f>
        <v>6590</v>
      </c>
      <c r="W2242" s="240" t="str">
        <f t="shared" si="1"/>
        <v/>
      </c>
      <c r="X2242" s="4" t="str">
        <f>IFERROR(__xludf.DUMMYFUNCTION("""COMPUTED_VALUE"""),"Prepare for Showcase")</f>
        <v>Prepare for Showcase</v>
      </c>
      <c r="Y2242" s="4" t="str">
        <f t="shared" si="2"/>
        <v/>
      </c>
      <c r="Z2242" s="4" t="str">
        <f>IFERROR(__xludf.DUMMYFUNCTION("IFERROR(
  FILTER('CBK Students'!O:O, TRIM('CBK Students'!B:B) = TRIM(A2242)),
  """"
)"),"#REF!")</f>
        <v>#REF!</v>
      </c>
      <c r="AA2242" s="4" t="str">
        <f>IFERROR(__xludf.DUMMYFUNCTION("IFERROR(
  FILTER('CBK Students'!P:P, TRIM('CBK Students'!B:B) = TRIM(A2242)),
  """"
)"),"#REF!")</f>
        <v>#REF!</v>
      </c>
      <c r="AB2242" s="4" t="str">
        <f>IFERROR(__xludf.DUMMYFUNCTION("IFERROR(
  FILTER('CBK Students'!Q:Q, TRIM('CBK Students'!B:B) = TRIM(A2242)),
  """"
)"),"#REF!")</f>
        <v>#REF!</v>
      </c>
    </row>
    <row r="2243" ht="18.75" customHeight="1">
      <c r="T2243" s="4"/>
      <c r="U2243" s="4"/>
      <c r="V2243" s="4">
        <f>IFERROR(__xludf.DUMMYFUNCTION("""COMPUTED_VALUE"""),6590.0)</f>
        <v>6590</v>
      </c>
      <c r="W2243" s="240" t="str">
        <f t="shared" si="1"/>
        <v/>
      </c>
      <c r="X2243" s="4" t="str">
        <f>IFERROR(__xludf.DUMMYFUNCTION("""COMPUTED_VALUE"""),"Prepare for Showcase")</f>
        <v>Prepare for Showcase</v>
      </c>
      <c r="Y2243" s="4" t="str">
        <f t="shared" si="2"/>
        <v/>
      </c>
      <c r="Z2243" s="4" t="str">
        <f>IFERROR(__xludf.DUMMYFUNCTION("IFERROR(
  FILTER('CBK Students'!O:O, TRIM('CBK Students'!B:B) = TRIM(A2243)),
  """"
)"),"#REF!")</f>
        <v>#REF!</v>
      </c>
      <c r="AA2243" s="4" t="str">
        <f>IFERROR(__xludf.DUMMYFUNCTION("IFERROR(
  FILTER('CBK Students'!P:P, TRIM('CBK Students'!B:B) = TRIM(A2243)),
  """"
)"),"#REF!")</f>
        <v>#REF!</v>
      </c>
      <c r="AB2243" s="4" t="str">
        <f>IFERROR(__xludf.DUMMYFUNCTION("IFERROR(
  FILTER('CBK Students'!Q:Q, TRIM('CBK Students'!B:B) = TRIM(A2243)),
  """"
)"),"#REF!")</f>
        <v>#REF!</v>
      </c>
    </row>
    <row r="2244" ht="18.75" customHeight="1">
      <c r="T2244" s="4"/>
      <c r="U2244" s="4"/>
      <c r="V2244" s="4">
        <f>IFERROR(__xludf.DUMMYFUNCTION("""COMPUTED_VALUE"""),6590.0)</f>
        <v>6590</v>
      </c>
      <c r="W2244" s="240" t="str">
        <f t="shared" si="1"/>
        <v/>
      </c>
      <c r="X2244" s="4" t="str">
        <f>IFERROR(__xludf.DUMMYFUNCTION("""COMPUTED_VALUE"""),"Prepare for Showcase")</f>
        <v>Prepare for Showcase</v>
      </c>
      <c r="Y2244" s="4" t="str">
        <f t="shared" si="2"/>
        <v/>
      </c>
      <c r="Z2244" s="4" t="str">
        <f>IFERROR(__xludf.DUMMYFUNCTION("IFERROR(
  FILTER('CBK Students'!O:O, TRIM('CBK Students'!B:B) = TRIM(A2244)),
  """"
)"),"#REF!")</f>
        <v>#REF!</v>
      </c>
      <c r="AA2244" s="4" t="str">
        <f>IFERROR(__xludf.DUMMYFUNCTION("IFERROR(
  FILTER('CBK Students'!P:P, TRIM('CBK Students'!B:B) = TRIM(A2244)),
  """"
)"),"#REF!")</f>
        <v>#REF!</v>
      </c>
      <c r="AB2244" s="4" t="str">
        <f>IFERROR(__xludf.DUMMYFUNCTION("IFERROR(
  FILTER('CBK Students'!Q:Q, TRIM('CBK Students'!B:B) = TRIM(A2244)),
  """"
)"),"#REF!")</f>
        <v>#REF!</v>
      </c>
    </row>
    <row r="2245" ht="18.75" customHeight="1">
      <c r="T2245" s="4"/>
      <c r="U2245" s="4"/>
      <c r="V2245" s="4">
        <f>IFERROR(__xludf.DUMMYFUNCTION("""COMPUTED_VALUE"""),6590.0)</f>
        <v>6590</v>
      </c>
      <c r="W2245" s="240" t="str">
        <f t="shared" si="1"/>
        <v/>
      </c>
      <c r="X2245" s="4" t="str">
        <f>IFERROR(__xludf.DUMMYFUNCTION("""COMPUTED_VALUE"""),"Prepare for Showcase")</f>
        <v>Prepare for Showcase</v>
      </c>
      <c r="Y2245" s="4" t="str">
        <f t="shared" si="2"/>
        <v/>
      </c>
      <c r="Z2245" s="4" t="str">
        <f>IFERROR(__xludf.DUMMYFUNCTION("IFERROR(
  FILTER('CBK Students'!O:O, TRIM('CBK Students'!B:B) = TRIM(A2245)),
  """"
)"),"#REF!")</f>
        <v>#REF!</v>
      </c>
      <c r="AA2245" s="4" t="str">
        <f>IFERROR(__xludf.DUMMYFUNCTION("IFERROR(
  FILTER('CBK Students'!P:P, TRIM('CBK Students'!B:B) = TRIM(A2245)),
  """"
)"),"#REF!")</f>
        <v>#REF!</v>
      </c>
      <c r="AB2245" s="4" t="str">
        <f>IFERROR(__xludf.DUMMYFUNCTION("IFERROR(
  FILTER('CBK Students'!Q:Q, TRIM('CBK Students'!B:B) = TRIM(A2245)),
  """"
)"),"#REF!")</f>
        <v>#REF!</v>
      </c>
    </row>
    <row r="2246" ht="18.75" customHeight="1">
      <c r="T2246" s="4"/>
      <c r="U2246" s="4"/>
      <c r="V2246" s="4">
        <f>IFERROR(__xludf.DUMMYFUNCTION("""COMPUTED_VALUE"""),6590.0)</f>
        <v>6590</v>
      </c>
      <c r="W2246" s="240" t="str">
        <f t="shared" si="1"/>
        <v/>
      </c>
      <c r="X2246" s="4" t="str">
        <f>IFERROR(__xludf.DUMMYFUNCTION("""COMPUTED_VALUE"""),"Prepare for Showcase")</f>
        <v>Prepare for Showcase</v>
      </c>
      <c r="Y2246" s="4" t="str">
        <f t="shared" si="2"/>
        <v/>
      </c>
      <c r="Z2246" s="4" t="str">
        <f>IFERROR(__xludf.DUMMYFUNCTION("IFERROR(
  FILTER('CBK Students'!O:O, TRIM('CBK Students'!B:B) = TRIM(A2246)),
  """"
)"),"#REF!")</f>
        <v>#REF!</v>
      </c>
      <c r="AA2246" s="4" t="str">
        <f>IFERROR(__xludf.DUMMYFUNCTION("IFERROR(
  FILTER('CBK Students'!P:P, TRIM('CBK Students'!B:B) = TRIM(A2246)),
  """"
)"),"#REF!")</f>
        <v>#REF!</v>
      </c>
      <c r="AB2246" s="4" t="str">
        <f>IFERROR(__xludf.DUMMYFUNCTION("IFERROR(
  FILTER('CBK Students'!Q:Q, TRIM('CBK Students'!B:B) = TRIM(A2246)),
  """"
)"),"#REF!")</f>
        <v>#REF!</v>
      </c>
    </row>
    <row r="2247" ht="18.75" customHeight="1">
      <c r="T2247" s="4"/>
      <c r="U2247" s="4"/>
      <c r="V2247" s="4">
        <f>IFERROR(__xludf.DUMMYFUNCTION("""COMPUTED_VALUE"""),6590.0)</f>
        <v>6590</v>
      </c>
      <c r="W2247" s="240" t="str">
        <f t="shared" si="1"/>
        <v/>
      </c>
      <c r="X2247" s="4" t="str">
        <f>IFERROR(__xludf.DUMMYFUNCTION("""COMPUTED_VALUE"""),"Prepare for Showcase")</f>
        <v>Prepare for Showcase</v>
      </c>
      <c r="Y2247" s="4" t="str">
        <f t="shared" si="2"/>
        <v/>
      </c>
      <c r="Z2247" s="4" t="str">
        <f>IFERROR(__xludf.DUMMYFUNCTION("IFERROR(
  FILTER('CBK Students'!O:O, TRIM('CBK Students'!B:B) = TRIM(A2247)),
  """"
)"),"#REF!")</f>
        <v>#REF!</v>
      </c>
      <c r="AA2247" s="4" t="str">
        <f>IFERROR(__xludf.DUMMYFUNCTION("IFERROR(
  FILTER('CBK Students'!P:P, TRIM('CBK Students'!B:B) = TRIM(A2247)),
  """"
)"),"#REF!")</f>
        <v>#REF!</v>
      </c>
      <c r="AB2247" s="4" t="str">
        <f>IFERROR(__xludf.DUMMYFUNCTION("IFERROR(
  FILTER('CBK Students'!Q:Q, TRIM('CBK Students'!B:B) = TRIM(A2247)),
  """"
)"),"#REF!")</f>
        <v>#REF!</v>
      </c>
    </row>
    <row r="2248" ht="18.75" customHeight="1">
      <c r="T2248" s="4"/>
      <c r="U2248" s="4"/>
      <c r="V2248" s="4">
        <f>IFERROR(__xludf.DUMMYFUNCTION("""COMPUTED_VALUE"""),6590.0)</f>
        <v>6590</v>
      </c>
      <c r="W2248" s="240" t="str">
        <f t="shared" si="1"/>
        <v/>
      </c>
      <c r="X2248" s="4" t="str">
        <f>IFERROR(__xludf.DUMMYFUNCTION("""COMPUTED_VALUE"""),"Prepare for Showcase")</f>
        <v>Prepare for Showcase</v>
      </c>
      <c r="Y2248" s="4" t="str">
        <f t="shared" si="2"/>
        <v/>
      </c>
      <c r="Z2248" s="4" t="str">
        <f>IFERROR(__xludf.DUMMYFUNCTION("IFERROR(
  FILTER('CBK Students'!O:O, TRIM('CBK Students'!B:B) = TRIM(A2248)),
  """"
)"),"#REF!")</f>
        <v>#REF!</v>
      </c>
      <c r="AA2248" s="4" t="str">
        <f>IFERROR(__xludf.DUMMYFUNCTION("IFERROR(
  FILTER('CBK Students'!P:P, TRIM('CBK Students'!B:B) = TRIM(A2248)),
  """"
)"),"#REF!")</f>
        <v>#REF!</v>
      </c>
      <c r="AB2248" s="4" t="str">
        <f>IFERROR(__xludf.DUMMYFUNCTION("IFERROR(
  FILTER('CBK Students'!Q:Q, TRIM('CBK Students'!B:B) = TRIM(A2248)),
  """"
)"),"#REF!")</f>
        <v>#REF!</v>
      </c>
    </row>
    <row r="2249" ht="18.75" customHeight="1">
      <c r="T2249" s="4"/>
      <c r="U2249" s="4"/>
      <c r="V2249" s="4">
        <f>IFERROR(__xludf.DUMMYFUNCTION("""COMPUTED_VALUE"""),6590.0)</f>
        <v>6590</v>
      </c>
      <c r="W2249" s="240" t="str">
        <f t="shared" si="1"/>
        <v/>
      </c>
      <c r="X2249" s="4" t="str">
        <f>IFERROR(__xludf.DUMMYFUNCTION("""COMPUTED_VALUE"""),"Prepare for Showcase")</f>
        <v>Prepare for Showcase</v>
      </c>
      <c r="Y2249" s="4" t="str">
        <f t="shared" si="2"/>
        <v/>
      </c>
      <c r="Z2249" s="4" t="str">
        <f>IFERROR(__xludf.DUMMYFUNCTION("IFERROR(
  FILTER('CBK Students'!O:O, TRIM('CBK Students'!B:B) = TRIM(A2249)),
  """"
)"),"#REF!")</f>
        <v>#REF!</v>
      </c>
      <c r="AA2249" s="4" t="str">
        <f>IFERROR(__xludf.DUMMYFUNCTION("IFERROR(
  FILTER('CBK Students'!P:P, TRIM('CBK Students'!B:B) = TRIM(A2249)),
  """"
)"),"#REF!")</f>
        <v>#REF!</v>
      </c>
      <c r="AB2249" s="4" t="str">
        <f>IFERROR(__xludf.DUMMYFUNCTION("IFERROR(
  FILTER('CBK Students'!Q:Q, TRIM('CBK Students'!B:B) = TRIM(A2249)),
  """"
)"),"#REF!")</f>
        <v>#REF!</v>
      </c>
    </row>
    <row r="2250" ht="18.75" customHeight="1">
      <c r="T2250" s="4"/>
      <c r="U2250" s="4"/>
      <c r="V2250" s="4">
        <f>IFERROR(__xludf.DUMMYFUNCTION("""COMPUTED_VALUE"""),6590.0)</f>
        <v>6590</v>
      </c>
      <c r="W2250" s="240" t="str">
        <f t="shared" si="1"/>
        <v/>
      </c>
      <c r="X2250" s="4" t="str">
        <f>IFERROR(__xludf.DUMMYFUNCTION("""COMPUTED_VALUE"""),"Prepare for Showcase")</f>
        <v>Prepare for Showcase</v>
      </c>
      <c r="Y2250" s="4" t="str">
        <f t="shared" si="2"/>
        <v/>
      </c>
      <c r="Z2250" s="4" t="str">
        <f>IFERROR(__xludf.DUMMYFUNCTION("IFERROR(
  FILTER('CBK Students'!O:O, TRIM('CBK Students'!B:B) = TRIM(A2250)),
  """"
)"),"#REF!")</f>
        <v>#REF!</v>
      </c>
      <c r="AA2250" s="4" t="str">
        <f>IFERROR(__xludf.DUMMYFUNCTION("IFERROR(
  FILTER('CBK Students'!P:P, TRIM('CBK Students'!B:B) = TRIM(A2250)),
  """"
)"),"#REF!")</f>
        <v>#REF!</v>
      </c>
      <c r="AB2250" s="4" t="str">
        <f>IFERROR(__xludf.DUMMYFUNCTION("IFERROR(
  FILTER('CBK Students'!Q:Q, TRIM('CBK Students'!B:B) = TRIM(A2250)),
  """"
)"),"#REF!")</f>
        <v>#REF!</v>
      </c>
    </row>
    <row r="2251" ht="18.75" customHeight="1">
      <c r="T2251" s="4"/>
      <c r="U2251" s="4"/>
      <c r="V2251" s="4">
        <f>IFERROR(__xludf.DUMMYFUNCTION("""COMPUTED_VALUE"""),6590.0)</f>
        <v>6590</v>
      </c>
      <c r="W2251" s="240" t="str">
        <f t="shared" si="1"/>
        <v/>
      </c>
      <c r="X2251" s="4" t="str">
        <f>IFERROR(__xludf.DUMMYFUNCTION("""COMPUTED_VALUE"""),"Prepare for Showcase")</f>
        <v>Prepare for Showcase</v>
      </c>
      <c r="Y2251" s="4" t="str">
        <f t="shared" si="2"/>
        <v/>
      </c>
      <c r="Z2251" s="4" t="str">
        <f>IFERROR(__xludf.DUMMYFUNCTION("IFERROR(
  FILTER('CBK Students'!O:O, TRIM('CBK Students'!B:B) = TRIM(A2251)),
  """"
)"),"#REF!")</f>
        <v>#REF!</v>
      </c>
      <c r="AA2251" s="4" t="str">
        <f>IFERROR(__xludf.DUMMYFUNCTION("IFERROR(
  FILTER('CBK Students'!P:P, TRIM('CBK Students'!B:B) = TRIM(A2251)),
  """"
)"),"#REF!")</f>
        <v>#REF!</v>
      </c>
      <c r="AB2251" s="4" t="str">
        <f>IFERROR(__xludf.DUMMYFUNCTION("IFERROR(
  FILTER('CBK Students'!Q:Q, TRIM('CBK Students'!B:B) = TRIM(A2251)),
  """"
)"),"#REF!")</f>
        <v>#REF!</v>
      </c>
    </row>
    <row r="2252" ht="18.75" customHeight="1">
      <c r="T2252" s="4"/>
      <c r="U2252" s="4"/>
      <c r="V2252" s="4">
        <f>IFERROR(__xludf.DUMMYFUNCTION("""COMPUTED_VALUE"""),6590.0)</f>
        <v>6590</v>
      </c>
      <c r="W2252" s="240" t="str">
        <f t="shared" si="1"/>
        <v/>
      </c>
      <c r="X2252" s="4" t="str">
        <f>IFERROR(__xludf.DUMMYFUNCTION("""COMPUTED_VALUE"""),"Prepare for Showcase")</f>
        <v>Prepare for Showcase</v>
      </c>
      <c r="Y2252" s="4" t="str">
        <f t="shared" si="2"/>
        <v/>
      </c>
      <c r="Z2252" s="4" t="str">
        <f>IFERROR(__xludf.DUMMYFUNCTION("IFERROR(
  FILTER('CBK Students'!O:O, TRIM('CBK Students'!B:B) = TRIM(A2252)),
  """"
)"),"#REF!")</f>
        <v>#REF!</v>
      </c>
      <c r="AA2252" s="4" t="str">
        <f>IFERROR(__xludf.DUMMYFUNCTION("IFERROR(
  FILTER('CBK Students'!P:P, TRIM('CBK Students'!B:B) = TRIM(A2252)),
  """"
)"),"#REF!")</f>
        <v>#REF!</v>
      </c>
      <c r="AB2252" s="4" t="str">
        <f>IFERROR(__xludf.DUMMYFUNCTION("IFERROR(
  FILTER('CBK Students'!Q:Q, TRIM('CBK Students'!B:B) = TRIM(A2252)),
  """"
)"),"#REF!")</f>
        <v>#REF!</v>
      </c>
    </row>
    <row r="2253" ht="18.75" customHeight="1">
      <c r="T2253" s="4"/>
      <c r="U2253" s="4"/>
      <c r="V2253" s="4">
        <f>IFERROR(__xludf.DUMMYFUNCTION("""COMPUTED_VALUE"""),6590.0)</f>
        <v>6590</v>
      </c>
      <c r="W2253" s="240" t="str">
        <f t="shared" si="1"/>
        <v/>
      </c>
      <c r="X2253" s="4" t="str">
        <f>IFERROR(__xludf.DUMMYFUNCTION("""COMPUTED_VALUE"""),"Prepare for Showcase")</f>
        <v>Prepare for Showcase</v>
      </c>
      <c r="Y2253" s="4" t="str">
        <f t="shared" si="2"/>
        <v/>
      </c>
      <c r="Z2253" s="4" t="str">
        <f>IFERROR(__xludf.DUMMYFUNCTION("IFERROR(
  FILTER('CBK Students'!O:O, TRIM('CBK Students'!B:B) = TRIM(A2253)),
  """"
)"),"#REF!")</f>
        <v>#REF!</v>
      </c>
      <c r="AA2253" s="4" t="str">
        <f>IFERROR(__xludf.DUMMYFUNCTION("IFERROR(
  FILTER('CBK Students'!P:P, TRIM('CBK Students'!B:B) = TRIM(A2253)),
  """"
)"),"#REF!")</f>
        <v>#REF!</v>
      </c>
      <c r="AB2253" s="4" t="str">
        <f>IFERROR(__xludf.DUMMYFUNCTION("IFERROR(
  FILTER('CBK Students'!Q:Q, TRIM('CBK Students'!B:B) = TRIM(A2253)),
  """"
)"),"#REF!")</f>
        <v>#REF!</v>
      </c>
    </row>
    <row r="2254" ht="18.75" customHeight="1">
      <c r="T2254" s="4"/>
      <c r="U2254" s="4"/>
      <c r="V2254" s="4">
        <f>IFERROR(__xludf.DUMMYFUNCTION("""COMPUTED_VALUE"""),6590.0)</f>
        <v>6590</v>
      </c>
      <c r="W2254" s="240" t="str">
        <f t="shared" si="1"/>
        <v/>
      </c>
      <c r="X2254" s="4" t="str">
        <f>IFERROR(__xludf.DUMMYFUNCTION("""COMPUTED_VALUE"""),"Prepare for Showcase")</f>
        <v>Prepare for Showcase</v>
      </c>
      <c r="Y2254" s="4" t="str">
        <f t="shared" si="2"/>
        <v/>
      </c>
      <c r="Z2254" s="4" t="str">
        <f>IFERROR(__xludf.DUMMYFUNCTION("IFERROR(
  FILTER('CBK Students'!O:O, TRIM('CBK Students'!B:B) = TRIM(A2254)),
  """"
)"),"#REF!")</f>
        <v>#REF!</v>
      </c>
      <c r="AA2254" s="4" t="str">
        <f>IFERROR(__xludf.DUMMYFUNCTION("IFERROR(
  FILTER('CBK Students'!P:P, TRIM('CBK Students'!B:B) = TRIM(A2254)),
  """"
)"),"#REF!")</f>
        <v>#REF!</v>
      </c>
      <c r="AB2254" s="4" t="str">
        <f>IFERROR(__xludf.DUMMYFUNCTION("IFERROR(
  FILTER('CBK Students'!Q:Q, TRIM('CBK Students'!B:B) = TRIM(A2254)),
  """"
)"),"#REF!")</f>
        <v>#REF!</v>
      </c>
    </row>
    <row r="2255" ht="18.75" customHeight="1">
      <c r="T2255" s="4"/>
      <c r="U2255" s="4"/>
      <c r="V2255" s="4">
        <f>IFERROR(__xludf.DUMMYFUNCTION("""COMPUTED_VALUE"""),6590.0)</f>
        <v>6590</v>
      </c>
      <c r="W2255" s="240" t="str">
        <f t="shared" si="1"/>
        <v/>
      </c>
      <c r="X2255" s="4" t="str">
        <f>IFERROR(__xludf.DUMMYFUNCTION("""COMPUTED_VALUE"""),"Prepare for Showcase")</f>
        <v>Prepare for Showcase</v>
      </c>
      <c r="Y2255" s="4" t="str">
        <f t="shared" si="2"/>
        <v/>
      </c>
      <c r="Z2255" s="4" t="str">
        <f>IFERROR(__xludf.DUMMYFUNCTION("IFERROR(
  FILTER('CBK Students'!O:O, TRIM('CBK Students'!B:B) = TRIM(A2255)),
  """"
)"),"#REF!")</f>
        <v>#REF!</v>
      </c>
      <c r="AA2255" s="4" t="str">
        <f>IFERROR(__xludf.DUMMYFUNCTION("IFERROR(
  FILTER('CBK Students'!P:P, TRIM('CBK Students'!B:B) = TRIM(A2255)),
  """"
)"),"#REF!")</f>
        <v>#REF!</v>
      </c>
      <c r="AB2255" s="4" t="str">
        <f>IFERROR(__xludf.DUMMYFUNCTION("IFERROR(
  FILTER('CBK Students'!Q:Q, TRIM('CBK Students'!B:B) = TRIM(A2255)),
  """"
)"),"#REF!")</f>
        <v>#REF!</v>
      </c>
    </row>
    <row r="2256" ht="18.75" customHeight="1">
      <c r="T2256" s="4"/>
      <c r="U2256" s="4"/>
      <c r="V2256" s="4">
        <f>IFERROR(__xludf.DUMMYFUNCTION("""COMPUTED_VALUE"""),6590.0)</f>
        <v>6590</v>
      </c>
      <c r="W2256" s="240" t="str">
        <f t="shared" si="1"/>
        <v/>
      </c>
      <c r="X2256" s="4" t="str">
        <f>IFERROR(__xludf.DUMMYFUNCTION("""COMPUTED_VALUE"""),"Prepare for Showcase")</f>
        <v>Prepare for Showcase</v>
      </c>
      <c r="Y2256" s="4" t="str">
        <f t="shared" si="2"/>
        <v/>
      </c>
      <c r="Z2256" s="4" t="str">
        <f>IFERROR(__xludf.DUMMYFUNCTION("IFERROR(
  FILTER('CBK Students'!O:O, TRIM('CBK Students'!B:B) = TRIM(A2256)),
  """"
)"),"#REF!")</f>
        <v>#REF!</v>
      </c>
      <c r="AA2256" s="4" t="str">
        <f>IFERROR(__xludf.DUMMYFUNCTION("IFERROR(
  FILTER('CBK Students'!P:P, TRIM('CBK Students'!B:B) = TRIM(A2256)),
  """"
)"),"#REF!")</f>
        <v>#REF!</v>
      </c>
      <c r="AB2256" s="4" t="str">
        <f>IFERROR(__xludf.DUMMYFUNCTION("IFERROR(
  FILTER('CBK Students'!Q:Q, TRIM('CBK Students'!B:B) = TRIM(A2256)),
  """"
)"),"#REF!")</f>
        <v>#REF!</v>
      </c>
    </row>
    <row r="2257" ht="18.75" customHeight="1">
      <c r="T2257" s="4"/>
      <c r="U2257" s="4"/>
      <c r="V2257" s="4">
        <f>IFERROR(__xludf.DUMMYFUNCTION("""COMPUTED_VALUE"""),6590.0)</f>
        <v>6590</v>
      </c>
      <c r="W2257" s="240" t="str">
        <f t="shared" si="1"/>
        <v/>
      </c>
      <c r="X2257" s="4" t="str">
        <f>IFERROR(__xludf.DUMMYFUNCTION("""COMPUTED_VALUE"""),"Prepare for Showcase")</f>
        <v>Prepare for Showcase</v>
      </c>
      <c r="Y2257" s="4" t="str">
        <f t="shared" si="2"/>
        <v/>
      </c>
      <c r="Z2257" s="4" t="str">
        <f>IFERROR(__xludf.DUMMYFUNCTION("IFERROR(
  FILTER('CBK Students'!O:O, TRIM('CBK Students'!B:B) = TRIM(A2257)),
  """"
)"),"#REF!")</f>
        <v>#REF!</v>
      </c>
      <c r="AA2257" s="4" t="str">
        <f>IFERROR(__xludf.DUMMYFUNCTION("IFERROR(
  FILTER('CBK Students'!P:P, TRIM('CBK Students'!B:B) = TRIM(A2257)),
  """"
)"),"#REF!")</f>
        <v>#REF!</v>
      </c>
      <c r="AB2257" s="4" t="str">
        <f>IFERROR(__xludf.DUMMYFUNCTION("IFERROR(
  FILTER('CBK Students'!Q:Q, TRIM('CBK Students'!B:B) = TRIM(A2257)),
  """"
)"),"#REF!")</f>
        <v>#REF!</v>
      </c>
    </row>
    <row r="2258" ht="18.75" customHeight="1">
      <c r="T2258" s="4"/>
      <c r="U2258" s="4"/>
      <c r="V2258" s="4">
        <f>IFERROR(__xludf.DUMMYFUNCTION("""COMPUTED_VALUE"""),6590.0)</f>
        <v>6590</v>
      </c>
      <c r="W2258" s="240" t="str">
        <f t="shared" si="1"/>
        <v/>
      </c>
      <c r="X2258" s="4" t="str">
        <f>IFERROR(__xludf.DUMMYFUNCTION("""COMPUTED_VALUE"""),"Prepare for Showcase")</f>
        <v>Prepare for Showcase</v>
      </c>
      <c r="Y2258" s="4" t="str">
        <f t="shared" si="2"/>
        <v/>
      </c>
      <c r="Z2258" s="4" t="str">
        <f>IFERROR(__xludf.DUMMYFUNCTION("IFERROR(
  FILTER('CBK Students'!O:O, TRIM('CBK Students'!B:B) = TRIM(A2258)),
  """"
)"),"#REF!")</f>
        <v>#REF!</v>
      </c>
      <c r="AA2258" s="4" t="str">
        <f>IFERROR(__xludf.DUMMYFUNCTION("IFERROR(
  FILTER('CBK Students'!P:P, TRIM('CBK Students'!B:B) = TRIM(A2258)),
  """"
)"),"#REF!")</f>
        <v>#REF!</v>
      </c>
      <c r="AB2258" s="4" t="str">
        <f>IFERROR(__xludf.DUMMYFUNCTION("IFERROR(
  FILTER('CBK Students'!Q:Q, TRIM('CBK Students'!B:B) = TRIM(A2258)),
  """"
)"),"#REF!")</f>
        <v>#REF!</v>
      </c>
    </row>
    <row r="2259" ht="18.75" customHeight="1">
      <c r="T2259" s="4"/>
      <c r="U2259" s="4"/>
      <c r="V2259" s="4">
        <f>IFERROR(__xludf.DUMMYFUNCTION("""COMPUTED_VALUE"""),6590.0)</f>
        <v>6590</v>
      </c>
      <c r="W2259" s="240" t="str">
        <f t="shared" si="1"/>
        <v/>
      </c>
      <c r="X2259" s="4" t="str">
        <f>IFERROR(__xludf.DUMMYFUNCTION("""COMPUTED_VALUE"""),"Prepare for Showcase")</f>
        <v>Prepare for Showcase</v>
      </c>
      <c r="Y2259" s="4" t="str">
        <f t="shared" si="2"/>
        <v/>
      </c>
      <c r="Z2259" s="4" t="str">
        <f>IFERROR(__xludf.DUMMYFUNCTION("IFERROR(
  FILTER('CBK Students'!O:O, TRIM('CBK Students'!B:B) = TRIM(A2259)),
  """"
)"),"#REF!")</f>
        <v>#REF!</v>
      </c>
      <c r="AA2259" s="4" t="str">
        <f>IFERROR(__xludf.DUMMYFUNCTION("IFERROR(
  FILTER('CBK Students'!P:P, TRIM('CBK Students'!B:B) = TRIM(A2259)),
  """"
)"),"#REF!")</f>
        <v>#REF!</v>
      </c>
      <c r="AB2259" s="4" t="str">
        <f>IFERROR(__xludf.DUMMYFUNCTION("IFERROR(
  FILTER('CBK Students'!Q:Q, TRIM('CBK Students'!B:B) = TRIM(A2259)),
  """"
)"),"#REF!")</f>
        <v>#REF!</v>
      </c>
    </row>
    <row r="2260" ht="18.75" customHeight="1">
      <c r="W2260" s="240" t="str">
        <f t="shared" si="1"/>
        <v/>
      </c>
      <c r="Y2260" s="4" t="str">
        <f t="shared" si="2"/>
        <v/>
      </c>
      <c r="Z2260" s="4" t="str">
        <f>IFERROR(__xludf.DUMMYFUNCTION("IFERROR(
  FILTER('CBK Students'!O:O, TRIM('CBK Students'!B:B) = TRIM(A2260)),
  """"
)"),"#REF!")</f>
        <v>#REF!</v>
      </c>
      <c r="AA2260" s="4" t="str">
        <f>IFERROR(__xludf.DUMMYFUNCTION("IFERROR(
  FILTER('CBK Students'!P:P, TRIM('CBK Students'!B:B) = TRIM(A2260)),
  """"
)"),"#REF!")</f>
        <v>#REF!</v>
      </c>
      <c r="AB2260" s="4" t="str">
        <f>IFERROR(__xludf.DUMMYFUNCTION("IFERROR(
  FILTER('CBK Students'!Q:Q, TRIM('CBK Students'!B:B) = TRIM(A2260)),
  """"
)"),"#REF!")</f>
        <v>#REF!</v>
      </c>
    </row>
    <row r="2261" ht="18.75" customHeight="1">
      <c r="W2261" s="240" t="str">
        <f t="shared" si="1"/>
        <v/>
      </c>
      <c r="Y2261" s="4" t="str">
        <f t="shared" si="2"/>
        <v/>
      </c>
      <c r="Z2261" s="4" t="str">
        <f>IFERROR(__xludf.DUMMYFUNCTION("IFERROR(
  FILTER('CBK Students'!O:O, TRIM('CBK Students'!B:B) = TRIM(A2261)),
  """"
)"),"#REF!")</f>
        <v>#REF!</v>
      </c>
      <c r="AA2261" s="4" t="str">
        <f>IFERROR(__xludf.DUMMYFUNCTION("IFERROR(
  FILTER('CBK Students'!P:P, TRIM('CBK Students'!B:B) = TRIM(A2261)),
  """"
)"),"#REF!")</f>
        <v>#REF!</v>
      </c>
      <c r="AB2261" s="4" t="str">
        <f>IFERROR(__xludf.DUMMYFUNCTION("IFERROR(
  FILTER('CBK Students'!Q:Q, TRIM('CBK Students'!B:B) = TRIM(A2261)),
  """"
)"),"#REF!")</f>
        <v>#REF!</v>
      </c>
    </row>
    <row r="2262" ht="18.75" customHeight="1">
      <c r="W2262" s="240" t="str">
        <f t="shared" si="1"/>
        <v/>
      </c>
      <c r="Y2262" s="4" t="str">
        <f t="shared" si="2"/>
        <v/>
      </c>
      <c r="Z2262" s="4" t="str">
        <f>IFERROR(__xludf.DUMMYFUNCTION("IFERROR(
  FILTER('CBK Students'!O:O, TRIM('CBK Students'!B:B) = TRIM(A2262)),
  """"
)"),"#REF!")</f>
        <v>#REF!</v>
      </c>
      <c r="AA2262" s="4" t="str">
        <f>IFERROR(__xludf.DUMMYFUNCTION("IFERROR(
  FILTER('CBK Students'!P:P, TRIM('CBK Students'!B:B) = TRIM(A2262)),
  """"
)"),"#REF!")</f>
        <v>#REF!</v>
      </c>
      <c r="AB2262" s="4" t="str">
        <f>IFERROR(__xludf.DUMMYFUNCTION("IFERROR(
  FILTER('CBK Students'!Q:Q, TRIM('CBK Students'!B:B) = TRIM(A2262)),
  """"
)"),"#REF!")</f>
        <v>#REF!</v>
      </c>
    </row>
    <row r="2263" ht="18.75" customHeight="1">
      <c r="W2263" s="240" t="str">
        <f t="shared" si="1"/>
        <v/>
      </c>
      <c r="Y2263" s="4" t="str">
        <f t="shared" si="2"/>
        <v/>
      </c>
      <c r="Z2263" s="4" t="str">
        <f>IFERROR(__xludf.DUMMYFUNCTION("IFERROR(
  FILTER('CBK Students'!O:O, TRIM('CBK Students'!B:B) = TRIM(A2263)),
  """"
)"),"#REF!")</f>
        <v>#REF!</v>
      </c>
      <c r="AA2263" s="4" t="str">
        <f>IFERROR(__xludf.DUMMYFUNCTION("IFERROR(
  FILTER('CBK Students'!P:P, TRIM('CBK Students'!B:B) = TRIM(A2263)),
  """"
)"),"#REF!")</f>
        <v>#REF!</v>
      </c>
      <c r="AB2263" s="4" t="str">
        <f>IFERROR(__xludf.DUMMYFUNCTION("IFERROR(
  FILTER('CBK Students'!Q:Q, TRIM('CBK Students'!B:B) = TRIM(A2263)),
  """"
)"),"#REF!")</f>
        <v>#REF!</v>
      </c>
    </row>
    <row r="2264" ht="18.75" customHeight="1">
      <c r="W2264" s="240" t="str">
        <f t="shared" si="1"/>
        <v/>
      </c>
      <c r="Y2264" s="4" t="str">
        <f t="shared" si="2"/>
        <v/>
      </c>
      <c r="Z2264" s="4" t="str">
        <f>IFERROR(__xludf.DUMMYFUNCTION("IFERROR(
  FILTER('CBK Students'!O:O, TRIM('CBK Students'!B:B) = TRIM(A2264)),
  """"
)"),"#REF!")</f>
        <v>#REF!</v>
      </c>
      <c r="AA2264" s="4" t="str">
        <f>IFERROR(__xludf.DUMMYFUNCTION("IFERROR(
  FILTER('CBK Students'!P:P, TRIM('CBK Students'!B:B) = TRIM(A2264)),
  """"
)"),"#REF!")</f>
        <v>#REF!</v>
      </c>
      <c r="AB2264" s="4" t="str">
        <f>IFERROR(__xludf.DUMMYFUNCTION("IFERROR(
  FILTER('CBK Students'!Q:Q, TRIM('CBK Students'!B:B) = TRIM(A2264)),
  """"
)"),"#REF!")</f>
        <v>#REF!</v>
      </c>
    </row>
    <row r="2265" ht="18.75" customHeight="1">
      <c r="W2265" s="240" t="str">
        <f t="shared" si="1"/>
        <v/>
      </c>
      <c r="Y2265" s="4" t="str">
        <f t="shared" si="2"/>
        <v/>
      </c>
      <c r="Z2265" s="4" t="str">
        <f>IFERROR(__xludf.DUMMYFUNCTION("IFERROR(
  FILTER('CBK Students'!O:O, TRIM('CBK Students'!B:B) = TRIM(A2265)),
  """"
)"),"#REF!")</f>
        <v>#REF!</v>
      </c>
      <c r="AA2265" s="4" t="str">
        <f>IFERROR(__xludf.DUMMYFUNCTION("IFERROR(
  FILTER('CBK Students'!P:P, TRIM('CBK Students'!B:B) = TRIM(A2265)),
  """"
)"),"#REF!")</f>
        <v>#REF!</v>
      </c>
      <c r="AB2265" s="4" t="str">
        <f>IFERROR(__xludf.DUMMYFUNCTION("IFERROR(
  FILTER('CBK Students'!Q:Q, TRIM('CBK Students'!B:B) = TRIM(A2265)),
  """"
)"),"#REF!")</f>
        <v>#REF!</v>
      </c>
    </row>
    <row r="2266" ht="18.75" customHeight="1">
      <c r="W2266" s="240" t="str">
        <f t="shared" si="1"/>
        <v/>
      </c>
      <c r="Y2266" s="4" t="str">
        <f t="shared" si="2"/>
        <v/>
      </c>
      <c r="Z2266" s="4" t="str">
        <f>IFERROR(__xludf.DUMMYFUNCTION("IFERROR(
  FILTER('CBK Students'!O:O, TRIM('CBK Students'!B:B) = TRIM(A2266)),
  """"
)"),"#REF!")</f>
        <v>#REF!</v>
      </c>
      <c r="AA2266" s="4" t="str">
        <f>IFERROR(__xludf.DUMMYFUNCTION("IFERROR(
  FILTER('CBK Students'!P:P, TRIM('CBK Students'!B:B) = TRIM(A2266)),
  """"
)"),"#REF!")</f>
        <v>#REF!</v>
      </c>
      <c r="AB2266" s="4" t="str">
        <f>IFERROR(__xludf.DUMMYFUNCTION("IFERROR(
  FILTER('CBK Students'!Q:Q, TRIM('CBK Students'!B:B) = TRIM(A2266)),
  """"
)"),"#REF!")</f>
        <v>#REF!</v>
      </c>
    </row>
    <row r="2267" ht="18.75" customHeight="1">
      <c r="W2267" s="240" t="str">
        <f t="shared" ref="W2267:W2268" si="3">IF(
  OR(B2267="L250A Physical Computing", B2267="L232A Game Development", B2267="L330A Mobile Apps Development", B2267="L370A HCI and Machine Learning", B2267="L350A Embedded System"),
    IFERROR(
      IF(AND(F2267&lt;&gt;"", G2267&lt;&gt;"", H2267&lt;&gt;"", I2267&lt;&gt;"", J2267&lt;&gt;"", K2267&lt;&gt;""), "Start with Final Project", "Learning"),
    ""),
IF(
  OR(B2267="L230B Coding and Algorithm ", B2267="L220B Digital Animation", B2267="L221B Creative Computing", B2267="L321B 3D Design for AR and VR"),
    IFERROR(
      IF(AND(C2267&lt;&gt;"", D2267&lt;&gt;"", E2267&lt;&gt;""), "Start with Final Project", "Learning"),
    ""),
IF(
  OR(B2267="E371C AI with Python I"),
    IFERROR(
      IF(AND(O2267&lt;&gt;"", P2267&lt;&gt;"", Q2267&lt;&gt;""), "Start with Final Project", "Learning"),
    ""),
"")))</f>
        <v/>
      </c>
      <c r="Y2267" s="4" t="str">
        <f t="shared" si="2"/>
        <v/>
      </c>
      <c r="Z2267" s="4" t="str">
        <f>IFERROR(__xludf.DUMMYFUNCTION("IFERROR(
  FILTER('CBK Students'!O:O, TRIM('CBK Students'!B:B) = TRIM(A2267)),
  """"
)"),"#REF!")</f>
        <v>#REF!</v>
      </c>
      <c r="AA2267" s="4" t="str">
        <f>IFERROR(__xludf.DUMMYFUNCTION("IFERROR(
  FILTER('CBK Students'!P:P, TRIM('CBK Students'!B:B) = TRIM(A2267)),
  """"
)"),"#REF!")</f>
        <v>#REF!</v>
      </c>
      <c r="AB2267" s="4" t="str">
        <f>IFERROR(__xludf.DUMMYFUNCTION("IFERROR(
  FILTER('CBK Students'!Q:Q, TRIM('CBK Students'!B:B) = TRIM(A2267)),
  """"
)"),"#REF!")</f>
        <v>#REF!</v>
      </c>
    </row>
    <row r="2268" ht="18.75" customHeight="1">
      <c r="W2268" s="240" t="str">
        <f t="shared" si="3"/>
        <v/>
      </c>
      <c r="Y2268" s="4" t="str">
        <f t="shared" si="2"/>
        <v/>
      </c>
      <c r="Z2268" s="4" t="str">
        <f>IFERROR(__xludf.DUMMYFUNCTION("IFERROR(
  FILTER('CBK Students'!O:O, TRIM('CBK Students'!B:B) = TRIM(A2268)),
  """"
)"),"#REF!")</f>
        <v>#REF!</v>
      </c>
      <c r="AA2268" s="4" t="str">
        <f>IFERROR(__xludf.DUMMYFUNCTION("IFERROR(
  FILTER('CBK Students'!P:P, TRIM('CBK Students'!B:B) = TRIM(A2268)),
  """"
)"),"#REF!")</f>
        <v>#REF!</v>
      </c>
      <c r="AB2268" s="4" t="str">
        <f>IFERROR(__xludf.DUMMYFUNCTION("IFERROR(
  FILTER('CBK Students'!Q:Q, TRIM('CBK Students'!B:B) = TRIM(A2268)),
  """"
)"),"#REF!")</f>
        <v>#REF!</v>
      </c>
    </row>
    <row r="2269">
      <c r="Z2269" s="4"/>
      <c r="AA2269" s="4" t="str">
        <f>IFERROR(__xludf.DUMMYFUNCTION("IFERROR(
  FILTER('CBK Students'!P:P, TRIM('CBK Students'!B:B) = TRIM(A2269)),
  """"
)"),"")</f>
        <v/>
      </c>
      <c r="AB2269" s="4" t="str">
        <f>IFERROR(__xludf.DUMMYFUNCTION("IFERROR(
  FILTER('CBK Students'!Q:Q, TRIM('CBK Students'!B:B) = TRIM(A2269)),
  """"
)"),"")</f>
        <v/>
      </c>
    </row>
    <row r="2270">
      <c r="Z2270" s="4" t="str">
        <f>IFERROR(__xludf.DUMMYFUNCTION("IFERROR(
  FILTER('CBK Students'!O:O, TRIM('CBK Students'!B:B) = TRIM(A2270)),
  """"
)"),"")</f>
        <v/>
      </c>
      <c r="AA2270" s="4"/>
      <c r="AB2270" s="4"/>
    </row>
    <row r="2271">
      <c r="Z2271" s="4"/>
      <c r="AA2271" s="4"/>
      <c r="AB2271" s="4"/>
    </row>
    <row r="2272">
      <c r="Z2272" s="4"/>
      <c r="AA2272" s="4"/>
      <c r="AB2272" s="4"/>
    </row>
    <row r="2273">
      <c r="Z2273" s="4"/>
      <c r="AA2273" s="4"/>
      <c r="AB2273" s="4"/>
    </row>
    <row r="2274">
      <c r="Z2274" s="4"/>
      <c r="AA2274" s="4"/>
      <c r="AB2274" s="4"/>
    </row>
    <row r="2275">
      <c r="Z2275" s="4"/>
      <c r="AA2275" s="4"/>
      <c r="AB2275" s="4"/>
    </row>
    <row r="2276">
      <c r="Z2276" s="4"/>
      <c r="AA2276" s="4"/>
      <c r="AB2276" s="4"/>
    </row>
    <row r="2277">
      <c r="Z2277" s="4"/>
      <c r="AA2277" s="4"/>
      <c r="AB2277" s="4"/>
    </row>
    <row r="2278">
      <c r="Z2278" s="4"/>
      <c r="AA2278" s="4"/>
      <c r="AB2278" s="4"/>
    </row>
    <row r="2279">
      <c r="Z2279" s="4"/>
      <c r="AA2279" s="4"/>
      <c r="AB2279" s="4"/>
    </row>
    <row r="2280">
      <c r="Z2280" s="4"/>
      <c r="AA2280" s="4"/>
      <c r="AB2280" s="4"/>
    </row>
    <row r="2281">
      <c r="Z2281" s="4"/>
      <c r="AA2281" s="4"/>
      <c r="AB2281" s="4"/>
    </row>
    <row r="2282">
      <c r="Z2282" s="4"/>
      <c r="AA2282" s="4"/>
      <c r="AB2282" s="4"/>
    </row>
    <row r="2283">
      <c r="Z2283" s="4"/>
      <c r="AA2283" s="4"/>
      <c r="AB2283" s="4"/>
    </row>
    <row r="2284">
      <c r="Z2284" s="4"/>
      <c r="AA2284" s="4"/>
      <c r="AB2284" s="4"/>
    </row>
    <row r="2285">
      <c r="Z2285" s="4"/>
      <c r="AA2285" s="4"/>
      <c r="AB2285" s="4"/>
    </row>
    <row r="2286">
      <c r="Z2286" s="4"/>
      <c r="AA2286" s="4"/>
      <c r="AB2286" s="4"/>
    </row>
    <row r="2287">
      <c r="Z2287" s="4"/>
      <c r="AA2287" s="4"/>
      <c r="AB2287" s="4"/>
    </row>
    <row r="2288">
      <c r="Z2288" s="4"/>
      <c r="AA2288" s="4"/>
      <c r="AB2288" s="4"/>
    </row>
    <row r="2289">
      <c r="Z2289" s="4"/>
      <c r="AA2289" s="4"/>
      <c r="AB2289" s="4"/>
    </row>
    <row r="2290">
      <c r="Z2290" s="4"/>
      <c r="AA2290" s="4"/>
      <c r="AB2290" s="4"/>
    </row>
    <row r="2291">
      <c r="Z2291" s="4"/>
      <c r="AA2291" s="4"/>
      <c r="AB2291" s="4"/>
    </row>
    <row r="2292">
      <c r="Z2292" s="4"/>
      <c r="AA2292" s="4"/>
      <c r="AB2292" s="4"/>
    </row>
    <row r="2293">
      <c r="Z2293" s="4"/>
      <c r="AA2293" s="4"/>
      <c r="AB2293" s="4"/>
    </row>
    <row r="2294">
      <c r="Z2294" s="4"/>
      <c r="AA2294" s="4"/>
      <c r="AB2294" s="4"/>
    </row>
    <row r="2295">
      <c r="Z2295" s="4"/>
      <c r="AA2295" s="4"/>
      <c r="AB2295" s="4"/>
    </row>
    <row r="2296">
      <c r="Z2296" s="4"/>
      <c r="AA2296" s="4"/>
      <c r="AB2296" s="4"/>
    </row>
    <row r="2297">
      <c r="Z2297" s="4"/>
      <c r="AA2297" s="4"/>
      <c r="AB2297" s="4"/>
    </row>
    <row r="2298">
      <c r="Z2298" s="4"/>
      <c r="AA2298" s="4"/>
      <c r="AB2298" s="4"/>
    </row>
    <row r="2299">
      <c r="Z2299" s="4"/>
      <c r="AA2299" s="4"/>
      <c r="AB2299" s="4"/>
    </row>
    <row r="2300">
      <c r="Z2300" s="4"/>
      <c r="AA2300" s="4"/>
      <c r="AB2300" s="4"/>
    </row>
    <row r="2301">
      <c r="Z2301" s="4"/>
      <c r="AA2301" s="4"/>
      <c r="AB2301" s="4"/>
    </row>
    <row r="2302">
      <c r="Z2302" s="4"/>
      <c r="AA2302" s="4"/>
      <c r="AB2302" s="4"/>
    </row>
    <row r="2303">
      <c r="Z2303" s="4"/>
      <c r="AA2303" s="4"/>
      <c r="AB2303" s="4"/>
    </row>
    <row r="2304">
      <c r="Z2304" s="4"/>
      <c r="AA2304" s="4"/>
      <c r="AB2304" s="4"/>
    </row>
    <row r="2305">
      <c r="Z2305" s="4"/>
      <c r="AA2305" s="4"/>
      <c r="AB2305" s="4"/>
    </row>
    <row r="2306">
      <c r="Z2306" s="4"/>
      <c r="AA2306" s="4"/>
      <c r="AB2306" s="4"/>
    </row>
    <row r="2307">
      <c r="Z2307" s="4"/>
      <c r="AA2307" s="4"/>
      <c r="AB2307" s="4"/>
    </row>
    <row r="2308">
      <c r="Z2308" s="4"/>
      <c r="AA2308" s="4"/>
      <c r="AB2308" s="4"/>
    </row>
    <row r="2309">
      <c r="Z2309" s="4"/>
      <c r="AA2309" s="4"/>
      <c r="AB2309" s="4"/>
    </row>
    <row r="2310">
      <c r="Z2310" s="4"/>
      <c r="AA2310" s="4"/>
      <c r="AB2310" s="4"/>
    </row>
    <row r="2311">
      <c r="Z2311" s="4"/>
      <c r="AA2311" s="4"/>
      <c r="AB2311" s="4"/>
    </row>
    <row r="2312">
      <c r="Z2312" s="4"/>
      <c r="AA2312" s="4"/>
      <c r="AB2312" s="4"/>
    </row>
    <row r="2313">
      <c r="Z2313" s="4"/>
      <c r="AA2313" s="4"/>
      <c r="AB2313" s="4"/>
    </row>
    <row r="2314">
      <c r="Z2314" s="4"/>
      <c r="AA2314" s="4"/>
      <c r="AB2314" s="4"/>
    </row>
    <row r="2315">
      <c r="Z2315" s="4"/>
      <c r="AA2315" s="4"/>
      <c r="AB2315" s="4"/>
    </row>
    <row r="2316">
      <c r="Z2316" s="4"/>
      <c r="AA2316" s="4"/>
      <c r="AB2316" s="4"/>
    </row>
    <row r="2317">
      <c r="Z2317" s="4"/>
      <c r="AA2317" s="4"/>
      <c r="AB2317" s="4"/>
    </row>
    <row r="2318">
      <c r="Z2318" s="4"/>
      <c r="AA2318" s="4"/>
      <c r="AB2318" s="4"/>
    </row>
    <row r="2319">
      <c r="Z2319" s="4"/>
      <c r="AA2319" s="4"/>
      <c r="AB2319" s="4"/>
    </row>
    <row r="2320">
      <c r="Z2320" s="4"/>
      <c r="AA2320" s="4"/>
      <c r="AB2320" s="4"/>
    </row>
    <row r="2321">
      <c r="Z2321" s="4"/>
      <c r="AA2321" s="4"/>
      <c r="AB2321" s="4"/>
    </row>
    <row r="2322">
      <c r="Z2322" s="4"/>
      <c r="AA2322" s="4"/>
      <c r="AB2322" s="4"/>
    </row>
    <row r="2323">
      <c r="Z2323" s="4"/>
      <c r="AA2323" s="4"/>
      <c r="AB2323" s="4"/>
    </row>
    <row r="2324">
      <c r="Z2324" s="4"/>
      <c r="AA2324" s="4"/>
      <c r="AB2324" s="4"/>
    </row>
    <row r="2325">
      <c r="Z2325" s="4"/>
      <c r="AA2325" s="4"/>
      <c r="AB2325" s="4"/>
    </row>
    <row r="2326">
      <c r="Z2326" s="4"/>
      <c r="AA2326" s="4"/>
      <c r="AB2326" s="4"/>
    </row>
    <row r="2327">
      <c r="Z2327" s="4"/>
      <c r="AA2327" s="4"/>
      <c r="AB2327" s="4"/>
    </row>
    <row r="2328">
      <c r="Z2328" s="4"/>
      <c r="AA2328" s="4"/>
      <c r="AB2328" s="4"/>
    </row>
    <row r="2329">
      <c r="Z2329" s="4"/>
      <c r="AA2329" s="4"/>
      <c r="AB2329" s="4"/>
    </row>
    <row r="2330">
      <c r="Z2330" s="4"/>
      <c r="AA2330" s="4"/>
      <c r="AB2330" s="4"/>
    </row>
    <row r="2331">
      <c r="Z2331" s="4"/>
      <c r="AA2331" s="4"/>
      <c r="AB2331" s="4"/>
    </row>
    <row r="2332">
      <c r="Z2332" s="4"/>
      <c r="AA2332" s="4"/>
      <c r="AB2332" s="4"/>
    </row>
    <row r="2333">
      <c r="Z2333" s="4"/>
      <c r="AA2333" s="4"/>
      <c r="AB2333" s="4"/>
    </row>
    <row r="2334">
      <c r="Z2334" s="4"/>
      <c r="AA2334" s="4"/>
      <c r="AB2334" s="4"/>
    </row>
    <row r="2335">
      <c r="Z2335" s="4"/>
      <c r="AA2335" s="4"/>
      <c r="AB2335" s="4"/>
    </row>
    <row r="2336">
      <c r="Z2336" s="4"/>
      <c r="AA2336" s="4"/>
      <c r="AB2336" s="4"/>
    </row>
    <row r="2337">
      <c r="Z2337" s="4"/>
      <c r="AA2337" s="4"/>
      <c r="AB2337" s="4"/>
    </row>
    <row r="2338">
      <c r="Z2338" s="4"/>
      <c r="AA2338" s="4"/>
      <c r="AB2338" s="4"/>
    </row>
    <row r="2339">
      <c r="Z2339" s="4"/>
      <c r="AA2339" s="4"/>
      <c r="AB2339" s="4"/>
    </row>
    <row r="2340">
      <c r="Z2340" s="4"/>
      <c r="AA2340" s="4"/>
      <c r="AB2340" s="4"/>
    </row>
    <row r="2341">
      <c r="Z2341" s="4"/>
      <c r="AA2341" s="4"/>
      <c r="AB2341" s="4"/>
    </row>
    <row r="2342">
      <c r="Z2342" s="4"/>
      <c r="AA2342" s="4"/>
      <c r="AB2342" s="4"/>
    </row>
    <row r="2343">
      <c r="Z2343" s="4"/>
      <c r="AA2343" s="4"/>
      <c r="AB2343" s="4"/>
    </row>
    <row r="2344">
      <c r="Z2344" s="4"/>
      <c r="AA2344" s="4"/>
      <c r="AB2344" s="4"/>
    </row>
    <row r="2345">
      <c r="Z2345" s="4"/>
      <c r="AA2345" s="4"/>
      <c r="AB2345" s="4"/>
    </row>
    <row r="2346">
      <c r="Z2346" s="4"/>
      <c r="AA2346" s="4"/>
      <c r="AB2346" s="4"/>
    </row>
    <row r="2347">
      <c r="Z2347" s="4"/>
      <c r="AA2347" s="4"/>
      <c r="AB2347" s="4"/>
    </row>
    <row r="2348">
      <c r="Z2348" s="4"/>
      <c r="AA2348" s="4"/>
      <c r="AB2348" s="4"/>
    </row>
    <row r="2349">
      <c r="Z2349" s="4"/>
      <c r="AA2349" s="4"/>
      <c r="AB2349" s="4"/>
    </row>
    <row r="2350">
      <c r="Z2350" s="4"/>
      <c r="AA2350" s="4"/>
      <c r="AB2350" s="4"/>
    </row>
    <row r="2351">
      <c r="Z2351" s="4"/>
      <c r="AA2351" s="4"/>
      <c r="AB2351" s="4"/>
    </row>
    <row r="2352">
      <c r="Z2352" s="4"/>
      <c r="AA2352" s="4"/>
      <c r="AB2352" s="4"/>
    </row>
    <row r="2353">
      <c r="Z2353" s="4"/>
      <c r="AA2353" s="4"/>
      <c r="AB2353" s="4"/>
    </row>
    <row r="2354">
      <c r="Z2354" s="4"/>
      <c r="AA2354" s="4"/>
      <c r="AB2354" s="4"/>
    </row>
    <row r="2355">
      <c r="Z2355" s="4"/>
      <c r="AA2355" s="4"/>
      <c r="AB2355" s="4"/>
    </row>
    <row r="2356">
      <c r="Z2356" s="4"/>
      <c r="AA2356" s="4"/>
      <c r="AB2356" s="4"/>
    </row>
    <row r="2357">
      <c r="Z2357" s="4"/>
      <c r="AA2357" s="4"/>
      <c r="AB2357" s="4"/>
    </row>
    <row r="2358">
      <c r="Z2358" s="4"/>
      <c r="AA2358" s="4"/>
      <c r="AB2358" s="4"/>
    </row>
    <row r="2359">
      <c r="Z2359" s="4"/>
      <c r="AA2359" s="4"/>
      <c r="AB2359" s="4"/>
    </row>
    <row r="2360">
      <c r="Z2360" s="4"/>
      <c r="AA2360" s="4"/>
      <c r="AB2360" s="4"/>
    </row>
    <row r="2361">
      <c r="Z2361" s="4"/>
      <c r="AA2361" s="4"/>
      <c r="AB2361" s="4"/>
    </row>
    <row r="2362">
      <c r="Z2362" s="4"/>
      <c r="AA2362" s="4"/>
      <c r="AB2362" s="4"/>
    </row>
    <row r="2363">
      <c r="Z2363" s="4"/>
      <c r="AA2363" s="4"/>
      <c r="AB2363" s="4"/>
    </row>
    <row r="2364">
      <c r="Z2364" s="4"/>
      <c r="AA2364" s="4"/>
      <c r="AB2364" s="4"/>
    </row>
    <row r="2365">
      <c r="Z2365" s="4"/>
      <c r="AA2365" s="4"/>
      <c r="AB2365" s="4"/>
    </row>
    <row r="2366">
      <c r="Z2366" s="4"/>
      <c r="AA2366" s="4"/>
      <c r="AB2366" s="4"/>
    </row>
    <row r="2367">
      <c r="Z2367" s="4"/>
      <c r="AA2367" s="4"/>
      <c r="AB2367" s="4"/>
    </row>
    <row r="2368">
      <c r="Z2368" s="4"/>
      <c r="AA2368" s="4"/>
      <c r="AB2368" s="4"/>
    </row>
    <row r="2369">
      <c r="Z2369" s="4"/>
      <c r="AA2369" s="4"/>
      <c r="AB2369" s="4"/>
    </row>
    <row r="2370">
      <c r="Z2370" s="4"/>
      <c r="AA2370" s="4"/>
      <c r="AB2370" s="4"/>
    </row>
    <row r="2371">
      <c r="Z2371" s="4"/>
      <c r="AA2371" s="4"/>
      <c r="AB2371" s="4"/>
    </row>
    <row r="2372">
      <c r="Z2372" s="4"/>
      <c r="AA2372" s="4"/>
      <c r="AB2372" s="4"/>
    </row>
    <row r="2373">
      <c r="Z2373" s="4"/>
      <c r="AA2373" s="4"/>
      <c r="AB2373" s="4"/>
    </row>
    <row r="2374">
      <c r="Z2374" s="4"/>
      <c r="AA2374" s="4"/>
      <c r="AB2374" s="4"/>
    </row>
    <row r="2375">
      <c r="Z2375" s="4"/>
      <c r="AA2375" s="4"/>
      <c r="AB2375" s="4"/>
    </row>
    <row r="2376">
      <c r="Z2376" s="4"/>
      <c r="AA2376" s="4"/>
      <c r="AB2376" s="4"/>
    </row>
    <row r="2377">
      <c r="Z2377" s="4"/>
      <c r="AA2377" s="4"/>
      <c r="AB2377" s="4"/>
    </row>
    <row r="2378">
      <c r="Z2378" s="4"/>
      <c r="AA2378" s="4"/>
      <c r="AB2378" s="4"/>
    </row>
    <row r="2379">
      <c r="Z2379" s="4"/>
      <c r="AA2379" s="4"/>
      <c r="AB2379" s="4"/>
    </row>
    <row r="2380">
      <c r="Z2380" s="4"/>
      <c r="AA2380" s="4"/>
      <c r="AB2380" s="4"/>
    </row>
    <row r="2381">
      <c r="Z2381" s="4"/>
      <c r="AA2381" s="4"/>
      <c r="AB2381" s="4"/>
    </row>
    <row r="2382">
      <c r="Z2382" s="4"/>
      <c r="AA2382" s="4"/>
      <c r="AB2382" s="4"/>
    </row>
    <row r="2383">
      <c r="Z2383" s="4"/>
      <c r="AA2383" s="4"/>
      <c r="AB2383" s="4"/>
    </row>
    <row r="2384">
      <c r="Z2384" s="4"/>
      <c r="AA2384" s="4"/>
      <c r="AB2384" s="4"/>
    </row>
    <row r="2385">
      <c r="Z2385" s="4"/>
      <c r="AA2385" s="4"/>
      <c r="AB2385" s="4"/>
    </row>
    <row r="2386">
      <c r="Z2386" s="4"/>
      <c r="AA2386" s="4"/>
      <c r="AB2386" s="4"/>
    </row>
    <row r="2387">
      <c r="Z2387" s="4"/>
      <c r="AA2387" s="4"/>
      <c r="AB2387" s="4"/>
    </row>
    <row r="2388">
      <c r="Z2388" s="4"/>
      <c r="AA2388" s="4"/>
      <c r="AB2388" s="4"/>
    </row>
    <row r="2389">
      <c r="Z2389" s="4"/>
      <c r="AA2389" s="4"/>
      <c r="AB2389" s="4"/>
    </row>
    <row r="2390">
      <c r="Z2390" s="4"/>
      <c r="AA2390" s="4"/>
      <c r="AB2390" s="4"/>
    </row>
    <row r="2391">
      <c r="Z2391" s="4"/>
      <c r="AA2391" s="4"/>
      <c r="AB2391" s="4"/>
    </row>
    <row r="2392">
      <c r="Z2392" s="4"/>
      <c r="AA2392" s="4"/>
      <c r="AB2392" s="4"/>
    </row>
    <row r="2393">
      <c r="Z2393" s="4"/>
      <c r="AA2393" s="4"/>
      <c r="AB2393" s="4"/>
    </row>
    <row r="2394">
      <c r="Z2394" s="4"/>
      <c r="AA2394" s="4"/>
      <c r="AB2394" s="4"/>
    </row>
    <row r="2395">
      <c r="Z2395" s="4"/>
      <c r="AA2395" s="4"/>
      <c r="AB2395" s="4"/>
    </row>
    <row r="2396">
      <c r="Z2396" s="4"/>
      <c r="AA2396" s="4"/>
      <c r="AB2396" s="4"/>
    </row>
    <row r="2397">
      <c r="Z2397" s="4"/>
      <c r="AA2397" s="4"/>
      <c r="AB2397" s="4"/>
    </row>
    <row r="2398">
      <c r="Z2398" s="4"/>
      <c r="AA2398" s="4"/>
      <c r="AB2398" s="4"/>
    </row>
    <row r="2399">
      <c r="Z2399" s="4"/>
      <c r="AA2399" s="4"/>
      <c r="AB2399" s="4"/>
    </row>
    <row r="2400">
      <c r="Z2400" s="4"/>
      <c r="AA2400" s="4"/>
      <c r="AB2400" s="4"/>
    </row>
    <row r="2401">
      <c r="Z2401" s="4"/>
      <c r="AA2401" s="4"/>
      <c r="AB2401" s="4"/>
    </row>
    <row r="2402">
      <c r="Z2402" s="4"/>
      <c r="AA2402" s="4"/>
      <c r="AB2402" s="4"/>
    </row>
    <row r="2403">
      <c r="Z2403" s="4"/>
      <c r="AA2403" s="4"/>
      <c r="AB2403" s="4"/>
    </row>
    <row r="2404">
      <c r="Z2404" s="4"/>
      <c r="AA2404" s="4"/>
      <c r="AB2404" s="4"/>
    </row>
    <row r="2405">
      <c r="Z2405" s="4"/>
      <c r="AA2405" s="4"/>
      <c r="AB2405" s="4"/>
    </row>
    <row r="2406">
      <c r="Z2406" s="4"/>
      <c r="AA2406" s="4"/>
      <c r="AB2406" s="4"/>
    </row>
    <row r="2407">
      <c r="Z2407" s="4"/>
      <c r="AA2407" s="4"/>
      <c r="AB2407" s="4"/>
    </row>
    <row r="2408">
      <c r="Z2408" s="4"/>
      <c r="AA2408" s="4"/>
      <c r="AB2408" s="4"/>
    </row>
    <row r="2409">
      <c r="Z2409" s="4"/>
      <c r="AA2409" s="4"/>
      <c r="AB2409" s="4"/>
    </row>
    <row r="2410">
      <c r="Z2410" s="4"/>
      <c r="AA2410" s="4"/>
      <c r="AB2410" s="4"/>
    </row>
    <row r="2411">
      <c r="Z2411" s="4"/>
      <c r="AA2411" s="4"/>
      <c r="AB2411" s="4"/>
    </row>
    <row r="2412">
      <c r="Z2412" s="4"/>
      <c r="AA2412" s="4"/>
      <c r="AB2412" s="4"/>
    </row>
    <row r="2413">
      <c r="Z2413" s="4"/>
      <c r="AA2413" s="4"/>
      <c r="AB2413" s="4"/>
    </row>
    <row r="2414">
      <c r="Z2414" s="4"/>
      <c r="AA2414" s="4"/>
      <c r="AB2414" s="4"/>
    </row>
    <row r="2415">
      <c r="Z2415" s="4"/>
      <c r="AA2415" s="4"/>
      <c r="AB2415" s="4"/>
    </row>
    <row r="2416">
      <c r="Z2416" s="4"/>
      <c r="AA2416" s="4"/>
      <c r="AB2416" s="4"/>
    </row>
    <row r="2417">
      <c r="Z2417" s="4"/>
      <c r="AA2417" s="4"/>
      <c r="AB2417" s="4"/>
    </row>
    <row r="2418">
      <c r="Z2418" s="4"/>
      <c r="AA2418" s="4"/>
      <c r="AB2418" s="4"/>
    </row>
    <row r="2419">
      <c r="Z2419" s="4"/>
      <c r="AA2419" s="4"/>
      <c r="AB2419" s="4"/>
    </row>
    <row r="2420">
      <c r="Z2420" s="4"/>
      <c r="AA2420" s="4"/>
      <c r="AB2420" s="4"/>
    </row>
    <row r="2421">
      <c r="Z2421" s="4"/>
      <c r="AA2421" s="4"/>
      <c r="AB2421" s="4"/>
    </row>
    <row r="2422">
      <c r="Z2422" s="4"/>
      <c r="AA2422" s="4"/>
      <c r="AB2422" s="4"/>
    </row>
    <row r="2423">
      <c r="Z2423" s="4"/>
      <c r="AA2423" s="4"/>
      <c r="AB2423" s="4"/>
    </row>
    <row r="2424">
      <c r="Z2424" s="4"/>
      <c r="AA2424" s="4"/>
      <c r="AB2424" s="4"/>
    </row>
    <row r="2425">
      <c r="Z2425" s="4"/>
      <c r="AA2425" s="4"/>
      <c r="AB2425" s="4"/>
    </row>
    <row r="2426">
      <c r="Z2426" s="4"/>
      <c r="AA2426" s="4"/>
      <c r="AB2426" s="4"/>
    </row>
    <row r="2427">
      <c r="Z2427" s="4"/>
      <c r="AA2427" s="4"/>
      <c r="AB2427" s="4"/>
    </row>
    <row r="2428">
      <c r="Z2428" s="4"/>
      <c r="AA2428" s="4"/>
      <c r="AB2428" s="4"/>
    </row>
    <row r="2429">
      <c r="Z2429" s="4"/>
      <c r="AA2429" s="4"/>
      <c r="AB2429" s="4"/>
    </row>
    <row r="2430">
      <c r="Z2430" s="4"/>
      <c r="AA2430" s="4"/>
      <c r="AB2430" s="4"/>
    </row>
    <row r="2431">
      <c r="Z2431" s="4"/>
      <c r="AA2431" s="4"/>
      <c r="AB2431" s="4"/>
    </row>
    <row r="2432">
      <c r="Z2432" s="4"/>
      <c r="AA2432" s="4"/>
      <c r="AB2432" s="4"/>
    </row>
    <row r="2433">
      <c r="Z2433" s="4"/>
      <c r="AA2433" s="4"/>
      <c r="AB2433" s="4"/>
    </row>
    <row r="2434">
      <c r="Z2434" s="4"/>
      <c r="AA2434" s="4"/>
      <c r="AB2434" s="4"/>
    </row>
    <row r="2435">
      <c r="Z2435" s="4"/>
      <c r="AA2435" s="4"/>
      <c r="AB2435" s="4"/>
    </row>
    <row r="2436">
      <c r="Z2436" s="4"/>
      <c r="AA2436" s="4"/>
      <c r="AB2436" s="4"/>
    </row>
    <row r="2437">
      <c r="Z2437" s="4"/>
      <c r="AA2437" s="4"/>
      <c r="AB2437" s="4"/>
    </row>
    <row r="2438">
      <c r="Z2438" s="4"/>
      <c r="AA2438" s="4"/>
      <c r="AB2438" s="4"/>
    </row>
    <row r="2439">
      <c r="Z2439" s="4"/>
      <c r="AA2439" s="4"/>
      <c r="AB2439" s="4"/>
    </row>
    <row r="2440">
      <c r="Z2440" s="4"/>
      <c r="AA2440" s="4"/>
      <c r="AB2440" s="4"/>
    </row>
    <row r="2441">
      <c r="Z2441" s="4"/>
      <c r="AA2441" s="4"/>
      <c r="AB2441" s="4"/>
    </row>
    <row r="2442">
      <c r="Z2442" s="4"/>
      <c r="AA2442" s="4"/>
      <c r="AB2442" s="4"/>
    </row>
    <row r="2443">
      <c r="Z2443" s="4"/>
      <c r="AA2443" s="4"/>
      <c r="AB2443" s="4"/>
    </row>
    <row r="2444">
      <c r="Z2444" s="4"/>
      <c r="AA2444" s="4"/>
      <c r="AB2444" s="4"/>
    </row>
    <row r="2445">
      <c r="Z2445" s="4"/>
      <c r="AA2445" s="4"/>
      <c r="AB2445" s="4"/>
    </row>
    <row r="2446">
      <c r="Z2446" s="4"/>
      <c r="AA2446" s="4"/>
      <c r="AB2446" s="4"/>
    </row>
    <row r="2447">
      <c r="Z2447" s="4"/>
      <c r="AA2447" s="4"/>
      <c r="AB2447" s="4"/>
    </row>
    <row r="2448">
      <c r="Z2448" s="4"/>
      <c r="AA2448" s="4"/>
      <c r="AB2448" s="4"/>
    </row>
    <row r="2449">
      <c r="Z2449" s="4"/>
      <c r="AA2449" s="4"/>
      <c r="AB2449" s="4"/>
    </row>
    <row r="2450">
      <c r="Z2450" s="4"/>
      <c r="AA2450" s="4"/>
      <c r="AB2450" s="4"/>
    </row>
    <row r="2451">
      <c r="Z2451" s="4"/>
      <c r="AA2451" s="4"/>
      <c r="AB2451" s="4"/>
    </row>
    <row r="2452">
      <c r="Z2452" s="4"/>
      <c r="AA2452" s="4"/>
      <c r="AB2452" s="4"/>
    </row>
    <row r="2453">
      <c r="Z2453" s="4"/>
      <c r="AA2453" s="4"/>
      <c r="AB2453" s="4"/>
    </row>
    <row r="2454">
      <c r="Z2454" s="4"/>
      <c r="AA2454" s="4"/>
      <c r="AB2454" s="4"/>
    </row>
    <row r="2455">
      <c r="Z2455" s="4"/>
      <c r="AA2455" s="4"/>
      <c r="AB2455" s="4"/>
    </row>
    <row r="2456">
      <c r="Z2456" s="4"/>
      <c r="AA2456" s="4"/>
      <c r="AB2456" s="4"/>
    </row>
    <row r="2457">
      <c r="Z2457" s="4"/>
      <c r="AA2457" s="4"/>
      <c r="AB2457" s="4"/>
    </row>
    <row r="2458">
      <c r="Z2458" s="4"/>
      <c r="AA2458" s="4"/>
      <c r="AB2458" s="4"/>
    </row>
    <row r="2459">
      <c r="Z2459" s="4"/>
      <c r="AA2459" s="4"/>
      <c r="AB2459" s="4"/>
    </row>
    <row r="2460">
      <c r="Z2460" s="4"/>
      <c r="AA2460" s="4"/>
      <c r="AB2460" s="4"/>
    </row>
    <row r="2461">
      <c r="Z2461" s="4"/>
      <c r="AA2461" s="4"/>
      <c r="AB2461" s="4"/>
    </row>
    <row r="2462">
      <c r="Z2462" s="4"/>
      <c r="AA2462" s="4"/>
      <c r="AB2462" s="4"/>
    </row>
    <row r="2463">
      <c r="Z2463" s="4"/>
      <c r="AA2463" s="4"/>
      <c r="AB2463" s="4"/>
    </row>
    <row r="2464">
      <c r="Z2464" s="4"/>
      <c r="AA2464" s="4"/>
      <c r="AB2464" s="4"/>
    </row>
    <row r="2465">
      <c r="Z2465" s="4"/>
      <c r="AA2465" s="4"/>
      <c r="AB2465" s="4"/>
    </row>
    <row r="2466">
      <c r="Z2466" s="4"/>
      <c r="AA2466" s="4"/>
      <c r="AB2466" s="4"/>
    </row>
    <row r="2467">
      <c r="Z2467" s="4"/>
      <c r="AA2467" s="4"/>
      <c r="AB2467" s="4"/>
    </row>
    <row r="2468">
      <c r="Z2468" s="4"/>
      <c r="AA2468" s="4"/>
      <c r="AB2468" s="4"/>
    </row>
    <row r="2469">
      <c r="Z2469" s="4"/>
      <c r="AA2469" s="4"/>
      <c r="AB2469" s="4"/>
    </row>
    <row r="2470">
      <c r="Z2470" s="4"/>
      <c r="AA2470" s="4"/>
      <c r="AB2470" s="4"/>
    </row>
    <row r="2471">
      <c r="Z2471" s="4"/>
      <c r="AA2471" s="4"/>
      <c r="AB2471" s="4"/>
    </row>
    <row r="2472">
      <c r="Z2472" s="4"/>
      <c r="AA2472" s="4"/>
      <c r="AB2472" s="4"/>
    </row>
    <row r="2473">
      <c r="Z2473" s="4"/>
      <c r="AA2473" s="4"/>
      <c r="AB2473" s="4"/>
    </row>
    <row r="2474">
      <c r="Z2474" s="4"/>
      <c r="AA2474" s="4"/>
      <c r="AB2474" s="4"/>
    </row>
    <row r="2475">
      <c r="Z2475" s="4"/>
      <c r="AA2475" s="4"/>
      <c r="AB2475" s="4"/>
    </row>
    <row r="2476">
      <c r="Z2476" s="4"/>
      <c r="AA2476" s="4"/>
      <c r="AB2476" s="4"/>
    </row>
    <row r="2477">
      <c r="Z2477" s="4"/>
      <c r="AA2477" s="4"/>
      <c r="AB2477" s="4"/>
    </row>
    <row r="2478">
      <c r="Z2478" s="4"/>
      <c r="AA2478" s="4"/>
      <c r="AB2478" s="4"/>
    </row>
    <row r="2479">
      <c r="Z2479" s="4"/>
      <c r="AA2479" s="4"/>
      <c r="AB2479" s="4"/>
    </row>
    <row r="2480">
      <c r="Z2480" s="4"/>
      <c r="AA2480" s="4"/>
      <c r="AB2480" s="4"/>
    </row>
    <row r="2481">
      <c r="Z2481" s="4"/>
      <c r="AA2481" s="4"/>
      <c r="AB2481" s="4"/>
    </row>
    <row r="2482">
      <c r="Z2482" s="4"/>
      <c r="AA2482" s="4"/>
      <c r="AB2482" s="4"/>
    </row>
    <row r="2483">
      <c r="Z2483" s="4"/>
      <c r="AA2483" s="4"/>
      <c r="AB2483" s="4"/>
    </row>
    <row r="2484">
      <c r="Z2484" s="4"/>
      <c r="AA2484" s="4"/>
      <c r="AB2484" s="4"/>
    </row>
    <row r="2485">
      <c r="Z2485" s="4"/>
      <c r="AA2485" s="4"/>
      <c r="AB2485" s="4"/>
    </row>
    <row r="2486">
      <c r="Z2486" s="4"/>
      <c r="AA2486" s="4"/>
      <c r="AB2486" s="4"/>
    </row>
    <row r="2487">
      <c r="Z2487" s="4"/>
      <c r="AA2487" s="4"/>
      <c r="AB2487" s="4"/>
    </row>
    <row r="2488">
      <c r="Z2488" s="4"/>
      <c r="AA2488" s="4"/>
      <c r="AB2488" s="4"/>
    </row>
    <row r="2489">
      <c r="Z2489" s="4"/>
      <c r="AA2489" s="4"/>
      <c r="AB2489" s="4"/>
    </row>
    <row r="2490">
      <c r="Z2490" s="4"/>
      <c r="AA2490" s="4"/>
      <c r="AB2490" s="4"/>
    </row>
    <row r="2491">
      <c r="Z2491" s="4"/>
      <c r="AA2491" s="4"/>
      <c r="AB2491" s="4"/>
    </row>
    <row r="2492">
      <c r="Z2492" s="4"/>
      <c r="AA2492" s="4"/>
      <c r="AB2492" s="4"/>
    </row>
    <row r="2493">
      <c r="Z2493" s="4"/>
      <c r="AA2493" s="4"/>
      <c r="AB2493" s="4"/>
    </row>
    <row r="2494">
      <c r="Z2494" s="4"/>
      <c r="AA2494" s="4"/>
      <c r="AB2494" s="4"/>
    </row>
    <row r="2495">
      <c r="Z2495" s="4"/>
      <c r="AA2495" s="4"/>
      <c r="AB2495" s="4"/>
    </row>
    <row r="2496">
      <c r="Z2496" s="4"/>
      <c r="AA2496" s="4"/>
      <c r="AB2496" s="4"/>
    </row>
    <row r="2497">
      <c r="Z2497" s="4"/>
      <c r="AA2497" s="4"/>
      <c r="AB2497" s="4"/>
    </row>
    <row r="2498">
      <c r="Z2498" s="4"/>
      <c r="AA2498" s="4"/>
      <c r="AB2498" s="4"/>
    </row>
    <row r="2499">
      <c r="Z2499" s="4"/>
      <c r="AA2499" s="4"/>
      <c r="AB2499" s="4"/>
    </row>
    <row r="2500">
      <c r="Z2500" s="4"/>
      <c r="AA2500" s="4"/>
      <c r="AB2500" s="4"/>
    </row>
    <row r="2501">
      <c r="Z2501" s="4"/>
      <c r="AA2501" s="4"/>
      <c r="AB2501" s="4"/>
    </row>
    <row r="2502">
      <c r="Z2502" s="4"/>
      <c r="AA2502" s="4"/>
      <c r="AB2502" s="4"/>
    </row>
    <row r="2503">
      <c r="Z2503" s="4"/>
      <c r="AA2503" s="4"/>
      <c r="AB2503" s="4"/>
    </row>
    <row r="2504">
      <c r="Z2504" s="4"/>
      <c r="AA2504" s="4"/>
      <c r="AB2504" s="4"/>
    </row>
    <row r="2505">
      <c r="Z2505" s="4"/>
      <c r="AA2505" s="4"/>
      <c r="AB2505" s="4"/>
    </row>
    <row r="2506">
      <c r="Z2506" s="4"/>
      <c r="AA2506" s="4"/>
      <c r="AB2506" s="4"/>
    </row>
    <row r="2507">
      <c r="Z2507" s="4"/>
      <c r="AA2507" s="4"/>
      <c r="AB2507" s="4"/>
    </row>
    <row r="2508">
      <c r="Z2508" s="4"/>
      <c r="AA2508" s="4"/>
      <c r="AB2508" s="4"/>
    </row>
    <row r="2509">
      <c r="Z2509" s="4"/>
      <c r="AA2509" s="4"/>
      <c r="AB2509" s="4"/>
    </row>
    <row r="2510">
      <c r="Z2510" s="4"/>
      <c r="AA2510" s="4"/>
      <c r="AB2510" s="4"/>
    </row>
    <row r="2511">
      <c r="Z2511" s="4"/>
      <c r="AA2511" s="4"/>
      <c r="AB2511" s="4"/>
    </row>
    <row r="2512">
      <c r="Z2512" s="4"/>
      <c r="AA2512" s="4"/>
      <c r="AB2512" s="4"/>
    </row>
    <row r="2513">
      <c r="Z2513" s="4"/>
      <c r="AA2513" s="4"/>
      <c r="AB2513" s="4"/>
    </row>
    <row r="2514">
      <c r="Z2514" s="4"/>
      <c r="AA2514" s="4"/>
      <c r="AB2514" s="4"/>
    </row>
    <row r="2515">
      <c r="Z2515" s="4"/>
      <c r="AA2515" s="4"/>
      <c r="AB2515" s="4"/>
    </row>
    <row r="2516">
      <c r="Z2516" s="4"/>
      <c r="AA2516" s="4"/>
      <c r="AB2516" s="4"/>
    </row>
    <row r="2517">
      <c r="Z2517" s="4"/>
      <c r="AA2517" s="4"/>
      <c r="AB2517" s="4"/>
    </row>
    <row r="2518">
      <c r="Z2518" s="4"/>
      <c r="AA2518" s="4"/>
      <c r="AB2518" s="4"/>
    </row>
    <row r="2519">
      <c r="Z2519" s="4"/>
      <c r="AA2519" s="4"/>
      <c r="AB2519" s="4"/>
    </row>
    <row r="2520">
      <c r="Z2520" s="4"/>
      <c r="AA2520" s="4"/>
      <c r="AB2520" s="4"/>
    </row>
    <row r="2521">
      <c r="Z2521" s="4"/>
      <c r="AA2521" s="4"/>
      <c r="AB2521" s="4"/>
    </row>
    <row r="2522">
      <c r="Z2522" s="4"/>
      <c r="AA2522" s="4"/>
      <c r="AB2522" s="4"/>
    </row>
    <row r="2523">
      <c r="Z2523" s="4"/>
      <c r="AA2523" s="4"/>
      <c r="AB2523" s="4"/>
    </row>
    <row r="2524">
      <c r="Z2524" s="4"/>
      <c r="AA2524" s="4"/>
      <c r="AB2524" s="4"/>
    </row>
    <row r="2525">
      <c r="Z2525" s="4"/>
      <c r="AA2525" s="4"/>
      <c r="AB2525" s="4"/>
    </row>
    <row r="2526">
      <c r="Z2526" s="4"/>
      <c r="AA2526" s="4"/>
      <c r="AB2526" s="4"/>
    </row>
    <row r="2527">
      <c r="Z2527" s="4"/>
      <c r="AA2527" s="4"/>
      <c r="AB2527" s="4"/>
    </row>
    <row r="2528">
      <c r="Z2528" s="4"/>
      <c r="AA2528" s="4"/>
      <c r="AB2528" s="4"/>
    </row>
    <row r="2529">
      <c r="Z2529" s="4"/>
      <c r="AA2529" s="4"/>
      <c r="AB2529" s="4"/>
    </row>
    <row r="2530">
      <c r="Z2530" s="4"/>
      <c r="AA2530" s="4"/>
      <c r="AB2530" s="4"/>
    </row>
    <row r="2531">
      <c r="Z2531" s="4"/>
      <c r="AA2531" s="4"/>
      <c r="AB2531" s="4"/>
    </row>
    <row r="2532">
      <c r="Z2532" s="4"/>
      <c r="AA2532" s="4"/>
      <c r="AB2532" s="4"/>
    </row>
    <row r="2533">
      <c r="Z2533" s="4"/>
      <c r="AA2533" s="4"/>
      <c r="AB2533" s="4"/>
    </row>
    <row r="2534">
      <c r="Z2534" s="4"/>
      <c r="AA2534" s="4"/>
      <c r="AB2534" s="4"/>
    </row>
    <row r="2535">
      <c r="Z2535" s="4"/>
      <c r="AA2535" s="4"/>
      <c r="AB2535" s="4"/>
    </row>
    <row r="2536">
      <c r="Z2536" s="4"/>
      <c r="AA2536" s="4"/>
      <c r="AB2536" s="4"/>
    </row>
    <row r="2537">
      <c r="Z2537" s="4"/>
      <c r="AA2537" s="4"/>
      <c r="AB2537" s="4"/>
    </row>
    <row r="2538">
      <c r="Z2538" s="4"/>
      <c r="AA2538" s="4"/>
      <c r="AB2538" s="4"/>
    </row>
    <row r="2539">
      <c r="Z2539" s="4"/>
      <c r="AA2539" s="4"/>
      <c r="AB2539" s="4"/>
    </row>
    <row r="2540">
      <c r="Z2540" s="4"/>
      <c r="AA2540" s="4"/>
      <c r="AB2540" s="4"/>
    </row>
    <row r="2541">
      <c r="Z2541" s="4"/>
      <c r="AA2541" s="4"/>
      <c r="AB2541" s="4"/>
    </row>
    <row r="2542">
      <c r="Z2542" s="4"/>
      <c r="AA2542" s="4"/>
      <c r="AB2542" s="4"/>
    </row>
    <row r="2543">
      <c r="Z2543" s="4"/>
      <c r="AA2543" s="4"/>
      <c r="AB2543" s="4"/>
    </row>
    <row r="2544">
      <c r="Z2544" s="4"/>
      <c r="AA2544" s="4"/>
      <c r="AB2544" s="4"/>
    </row>
    <row r="2545">
      <c r="Z2545" s="4"/>
      <c r="AA2545" s="4"/>
      <c r="AB2545" s="4"/>
    </row>
    <row r="2546">
      <c r="Z2546" s="4"/>
      <c r="AA2546" s="4"/>
      <c r="AB2546" s="4"/>
    </row>
    <row r="2547">
      <c r="Z2547" s="4"/>
      <c r="AA2547" s="4"/>
      <c r="AB2547" s="4"/>
    </row>
    <row r="2548">
      <c r="Z2548" s="4"/>
      <c r="AA2548" s="4"/>
      <c r="AB2548" s="4"/>
    </row>
    <row r="2549">
      <c r="Z2549" s="4"/>
      <c r="AA2549" s="4"/>
      <c r="AB2549" s="4"/>
    </row>
    <row r="2550">
      <c r="Z2550" s="4"/>
      <c r="AA2550" s="4"/>
      <c r="AB2550" s="4"/>
    </row>
    <row r="2551">
      <c r="Z2551" s="4"/>
      <c r="AA2551" s="4"/>
      <c r="AB2551" s="4"/>
    </row>
    <row r="2552">
      <c r="Z2552" s="4"/>
      <c r="AA2552" s="4"/>
      <c r="AB2552" s="4"/>
    </row>
    <row r="2553">
      <c r="Z2553" s="4"/>
      <c r="AA2553" s="4"/>
      <c r="AB2553" s="4"/>
    </row>
    <row r="2554">
      <c r="Z2554" s="4"/>
      <c r="AA2554" s="4"/>
      <c r="AB2554" s="4"/>
    </row>
    <row r="2555">
      <c r="Z2555" s="4"/>
      <c r="AA2555" s="4"/>
      <c r="AB2555" s="4"/>
    </row>
    <row r="2556">
      <c r="Z2556" s="4"/>
      <c r="AA2556" s="4"/>
      <c r="AB2556" s="4"/>
    </row>
    <row r="2557">
      <c r="Z2557" s="4"/>
      <c r="AA2557" s="4"/>
      <c r="AB2557" s="4"/>
    </row>
    <row r="2558">
      <c r="Z2558" s="4"/>
      <c r="AA2558" s="4"/>
      <c r="AB2558" s="4"/>
    </row>
    <row r="2559">
      <c r="Z2559" s="4"/>
      <c r="AA2559" s="4"/>
      <c r="AB2559" s="4"/>
    </row>
    <row r="2560">
      <c r="Z2560" s="4"/>
      <c r="AA2560" s="4"/>
      <c r="AB2560" s="4"/>
    </row>
    <row r="2561">
      <c r="Z2561" s="4"/>
      <c r="AA2561" s="4"/>
      <c r="AB2561" s="4"/>
    </row>
    <row r="2562">
      <c r="Z2562" s="4"/>
      <c r="AA2562" s="4"/>
      <c r="AB2562" s="4"/>
    </row>
    <row r="2563">
      <c r="Z2563" s="4"/>
      <c r="AA2563" s="4"/>
      <c r="AB2563" s="4"/>
    </row>
    <row r="2564">
      <c r="Z2564" s="4"/>
      <c r="AA2564" s="4"/>
      <c r="AB2564" s="4"/>
    </row>
    <row r="2565">
      <c r="Z2565" s="4"/>
      <c r="AA2565" s="4"/>
      <c r="AB2565" s="4"/>
    </row>
    <row r="2566">
      <c r="Z2566" s="4"/>
      <c r="AA2566" s="4"/>
      <c r="AB2566" s="4"/>
    </row>
    <row r="2567">
      <c r="Z2567" s="4"/>
      <c r="AA2567" s="4"/>
      <c r="AB2567" s="4"/>
    </row>
    <row r="2568">
      <c r="Z2568" s="4"/>
      <c r="AA2568" s="4"/>
      <c r="AB2568" s="4"/>
    </row>
    <row r="2569">
      <c r="Z2569" s="4"/>
      <c r="AA2569" s="4"/>
      <c r="AB2569" s="4"/>
    </row>
    <row r="2570">
      <c r="Z2570" s="4"/>
      <c r="AA2570" s="4"/>
      <c r="AB2570" s="4"/>
    </row>
    <row r="2571">
      <c r="Z2571" s="4"/>
      <c r="AA2571" s="4"/>
      <c r="AB2571" s="4"/>
    </row>
    <row r="2572">
      <c r="Z2572" s="4"/>
      <c r="AA2572" s="4"/>
      <c r="AB2572" s="4"/>
    </row>
    <row r="2573">
      <c r="Z2573" s="4"/>
      <c r="AA2573" s="4"/>
      <c r="AB2573" s="4"/>
    </row>
    <row r="2574">
      <c r="Z2574" s="4"/>
      <c r="AA2574" s="4"/>
      <c r="AB2574" s="4"/>
    </row>
    <row r="2575">
      <c r="Z2575" s="4"/>
      <c r="AA2575" s="4"/>
      <c r="AB2575" s="4"/>
    </row>
    <row r="2576">
      <c r="Z2576" s="4"/>
      <c r="AA2576" s="4"/>
      <c r="AB2576" s="4"/>
    </row>
    <row r="2577">
      <c r="Z2577" s="4"/>
      <c r="AA2577" s="4"/>
      <c r="AB2577" s="4"/>
    </row>
    <row r="2578">
      <c r="Z2578" s="4"/>
      <c r="AA2578" s="4"/>
      <c r="AB2578" s="4"/>
    </row>
    <row r="2579">
      <c r="Z2579" s="4"/>
      <c r="AA2579" s="4"/>
      <c r="AB2579" s="4"/>
    </row>
    <row r="2580">
      <c r="Z2580" s="4"/>
      <c r="AA2580" s="4"/>
      <c r="AB2580" s="4"/>
    </row>
    <row r="2581">
      <c r="Z2581" s="4"/>
      <c r="AA2581" s="4"/>
      <c r="AB2581" s="4"/>
    </row>
    <row r="2582">
      <c r="Z2582" s="4"/>
      <c r="AA2582" s="4"/>
      <c r="AB2582" s="4"/>
    </row>
    <row r="2583">
      <c r="Z2583" s="4"/>
      <c r="AA2583" s="4"/>
      <c r="AB2583" s="4"/>
    </row>
    <row r="2584">
      <c r="Z2584" s="4"/>
      <c r="AA2584" s="4"/>
      <c r="AB2584" s="4"/>
    </row>
    <row r="2585">
      <c r="Z2585" s="4"/>
      <c r="AA2585" s="4"/>
      <c r="AB2585" s="4"/>
    </row>
    <row r="2586">
      <c r="Z2586" s="4"/>
      <c r="AA2586" s="4"/>
      <c r="AB2586" s="4"/>
    </row>
    <row r="2587">
      <c r="Z2587" s="4"/>
      <c r="AA2587" s="4"/>
      <c r="AB2587" s="4"/>
    </row>
    <row r="2588">
      <c r="Z2588" s="4"/>
      <c r="AA2588" s="4"/>
      <c r="AB2588" s="4"/>
    </row>
    <row r="2589">
      <c r="Z2589" s="4"/>
      <c r="AA2589" s="4"/>
      <c r="AB2589" s="4"/>
    </row>
    <row r="2590">
      <c r="Z2590" s="4"/>
      <c r="AA2590" s="4"/>
      <c r="AB2590" s="4"/>
    </row>
    <row r="2591">
      <c r="Z2591" s="4"/>
      <c r="AA2591" s="4"/>
      <c r="AB2591" s="4"/>
    </row>
    <row r="2592">
      <c r="Z2592" s="4"/>
      <c r="AA2592" s="4"/>
      <c r="AB2592" s="4"/>
    </row>
    <row r="2593">
      <c r="Z2593" s="4"/>
      <c r="AA2593" s="4"/>
      <c r="AB2593" s="4"/>
    </row>
    <row r="2594">
      <c r="Z2594" s="4"/>
      <c r="AA2594" s="4"/>
      <c r="AB2594" s="4"/>
    </row>
    <row r="2595">
      <c r="Z2595" s="4"/>
      <c r="AA2595" s="4"/>
      <c r="AB2595" s="4"/>
    </row>
    <row r="2596">
      <c r="Z2596" s="4"/>
      <c r="AA2596" s="4"/>
      <c r="AB2596" s="4"/>
    </row>
    <row r="2597">
      <c r="Z2597" s="4"/>
      <c r="AA2597" s="4"/>
      <c r="AB2597" s="4"/>
    </row>
    <row r="2598">
      <c r="Z2598" s="4"/>
      <c r="AA2598" s="4"/>
      <c r="AB2598" s="4"/>
    </row>
    <row r="2599">
      <c r="Z2599" s="4"/>
      <c r="AA2599" s="4"/>
      <c r="AB2599" s="4"/>
    </row>
    <row r="2600">
      <c r="Z2600" s="4"/>
      <c r="AA2600" s="4"/>
      <c r="AB2600" s="4"/>
    </row>
    <row r="2601">
      <c r="Z2601" s="4"/>
      <c r="AA2601" s="4"/>
      <c r="AB2601" s="4"/>
    </row>
    <row r="2602">
      <c r="Z2602" s="4"/>
      <c r="AA2602" s="4"/>
      <c r="AB2602" s="4"/>
    </row>
    <row r="2603">
      <c r="Z2603" s="4"/>
      <c r="AA2603" s="4"/>
      <c r="AB2603" s="4"/>
    </row>
    <row r="2604">
      <c r="Z2604" s="4"/>
      <c r="AA2604" s="4"/>
      <c r="AB2604" s="4"/>
    </row>
    <row r="2605">
      <c r="Z2605" s="4"/>
      <c r="AA2605" s="4"/>
      <c r="AB2605" s="4"/>
    </row>
    <row r="2606">
      <c r="Z2606" s="4"/>
      <c r="AA2606" s="4"/>
      <c r="AB2606" s="4"/>
    </row>
    <row r="2607">
      <c r="Z2607" s="4"/>
      <c r="AA2607" s="4"/>
      <c r="AB2607" s="4"/>
    </row>
    <row r="2608">
      <c r="Z2608" s="4"/>
      <c r="AA2608" s="4"/>
      <c r="AB2608" s="4"/>
    </row>
    <row r="2609">
      <c r="Z2609" s="4"/>
      <c r="AA2609" s="4"/>
      <c r="AB2609" s="4"/>
    </row>
    <row r="2610">
      <c r="Z2610" s="4"/>
      <c r="AA2610" s="4"/>
      <c r="AB2610" s="4"/>
    </row>
    <row r="2611">
      <c r="Z2611" s="4"/>
      <c r="AA2611" s="4"/>
      <c r="AB2611" s="4"/>
    </row>
    <row r="2612">
      <c r="Z2612" s="4"/>
      <c r="AA2612" s="4"/>
      <c r="AB2612" s="4"/>
    </row>
    <row r="2613">
      <c r="Z2613" s="4"/>
      <c r="AA2613" s="4"/>
      <c r="AB2613" s="4"/>
    </row>
    <row r="2614">
      <c r="Z2614" s="4"/>
      <c r="AA2614" s="4"/>
      <c r="AB2614" s="4"/>
    </row>
    <row r="2615">
      <c r="Z2615" s="4"/>
      <c r="AA2615" s="4"/>
      <c r="AB2615" s="4"/>
    </row>
    <row r="2616">
      <c r="Z2616" s="4"/>
      <c r="AA2616" s="4"/>
      <c r="AB2616" s="4"/>
    </row>
    <row r="2617">
      <c r="Z2617" s="4"/>
      <c r="AA2617" s="4"/>
      <c r="AB2617" s="4"/>
    </row>
    <row r="2618">
      <c r="Z2618" s="4"/>
      <c r="AA2618" s="4"/>
      <c r="AB2618" s="4"/>
    </row>
    <row r="2619">
      <c r="Z2619" s="4"/>
      <c r="AA2619" s="4"/>
      <c r="AB2619" s="4"/>
    </row>
    <row r="2620">
      <c r="Z2620" s="4"/>
      <c r="AA2620" s="4"/>
      <c r="AB2620" s="4"/>
    </row>
    <row r="2621">
      <c r="Z2621" s="4"/>
      <c r="AA2621" s="4"/>
      <c r="AB2621" s="4"/>
    </row>
    <row r="2622">
      <c r="Z2622" s="4"/>
      <c r="AA2622" s="4"/>
      <c r="AB2622" s="4"/>
    </row>
    <row r="2623">
      <c r="Z2623" s="4"/>
      <c r="AA2623" s="4"/>
      <c r="AB2623" s="4"/>
    </row>
    <row r="2624">
      <c r="Z2624" s="4"/>
      <c r="AA2624" s="4"/>
      <c r="AB2624" s="4"/>
    </row>
    <row r="2625">
      <c r="Z2625" s="4"/>
      <c r="AA2625" s="4"/>
      <c r="AB2625" s="4"/>
    </row>
    <row r="2626">
      <c r="Z2626" s="4"/>
      <c r="AA2626" s="4"/>
      <c r="AB2626" s="4"/>
    </row>
    <row r="2627">
      <c r="Z2627" s="4"/>
      <c r="AA2627" s="4"/>
      <c r="AB2627" s="4"/>
    </row>
    <row r="2628">
      <c r="Z2628" s="4"/>
      <c r="AA2628" s="4"/>
      <c r="AB2628" s="4"/>
    </row>
    <row r="2629">
      <c r="Z2629" s="4"/>
      <c r="AA2629" s="4"/>
      <c r="AB2629" s="4"/>
    </row>
    <row r="2630">
      <c r="Z2630" s="4"/>
      <c r="AA2630" s="4"/>
      <c r="AB2630" s="4"/>
    </row>
    <row r="2631">
      <c r="Z2631" s="4"/>
      <c r="AA2631" s="4"/>
      <c r="AB2631" s="4"/>
    </row>
    <row r="2632">
      <c r="Z2632" s="4"/>
      <c r="AA2632" s="4"/>
      <c r="AB2632" s="4"/>
    </row>
    <row r="2633">
      <c r="Z2633" s="4"/>
      <c r="AA2633" s="4"/>
      <c r="AB2633" s="4"/>
    </row>
    <row r="2634">
      <c r="Z2634" s="4"/>
      <c r="AA2634" s="4"/>
      <c r="AB2634" s="4"/>
    </row>
    <row r="2635">
      <c r="Z2635" s="4"/>
      <c r="AA2635" s="4"/>
      <c r="AB2635" s="4"/>
    </row>
    <row r="2636">
      <c r="Z2636" s="4"/>
      <c r="AA2636" s="4"/>
      <c r="AB2636" s="4"/>
    </row>
    <row r="2637">
      <c r="Z2637" s="4"/>
      <c r="AA2637" s="4"/>
      <c r="AB2637" s="4"/>
    </row>
    <row r="2638">
      <c r="Z2638" s="4"/>
      <c r="AA2638" s="4"/>
      <c r="AB2638" s="4"/>
    </row>
    <row r="2639">
      <c r="Z2639" s="4"/>
      <c r="AA2639" s="4"/>
      <c r="AB2639" s="4"/>
    </row>
    <row r="2640">
      <c r="Z2640" s="4"/>
      <c r="AA2640" s="4"/>
      <c r="AB2640" s="4"/>
    </row>
    <row r="2641">
      <c r="Z2641" s="4"/>
      <c r="AA2641" s="4"/>
      <c r="AB2641" s="4"/>
    </row>
    <row r="2642">
      <c r="Z2642" s="4"/>
      <c r="AA2642" s="4"/>
      <c r="AB2642" s="4"/>
    </row>
    <row r="2643">
      <c r="Z2643" s="4"/>
      <c r="AA2643" s="4"/>
      <c r="AB2643" s="4"/>
    </row>
    <row r="2644">
      <c r="Z2644" s="4"/>
      <c r="AA2644" s="4"/>
      <c r="AB2644" s="4"/>
    </row>
    <row r="2645">
      <c r="Z2645" s="4"/>
      <c r="AA2645" s="4"/>
      <c r="AB2645" s="4"/>
    </row>
    <row r="2646">
      <c r="Z2646" s="4"/>
      <c r="AA2646" s="4"/>
      <c r="AB2646" s="4"/>
    </row>
    <row r="2647">
      <c r="Z2647" s="4"/>
      <c r="AA2647" s="4"/>
      <c r="AB2647" s="4"/>
    </row>
    <row r="2648">
      <c r="Z2648" s="4"/>
      <c r="AA2648" s="4"/>
      <c r="AB2648" s="4"/>
    </row>
    <row r="2649">
      <c r="Z2649" s="4"/>
      <c r="AA2649" s="4"/>
      <c r="AB2649" s="4"/>
    </row>
    <row r="2650">
      <c r="Z2650" s="4"/>
      <c r="AA2650" s="4"/>
      <c r="AB2650" s="4"/>
    </row>
    <row r="2651">
      <c r="Z2651" s="4"/>
      <c r="AA2651" s="4"/>
      <c r="AB2651" s="4"/>
    </row>
    <row r="2652">
      <c r="Z2652" s="4"/>
      <c r="AA2652" s="4"/>
      <c r="AB2652" s="4"/>
    </row>
    <row r="2653">
      <c r="Z2653" s="4"/>
      <c r="AA2653" s="4"/>
      <c r="AB2653" s="4"/>
    </row>
    <row r="2654">
      <c r="Z2654" s="4"/>
      <c r="AA2654" s="4"/>
      <c r="AB2654" s="4"/>
    </row>
    <row r="2655">
      <c r="Z2655" s="4"/>
      <c r="AA2655" s="4"/>
      <c r="AB2655" s="4"/>
    </row>
    <row r="2656">
      <c r="Z2656" s="4"/>
      <c r="AA2656" s="4"/>
      <c r="AB2656" s="4"/>
    </row>
    <row r="2657">
      <c r="Z2657" s="4"/>
      <c r="AA2657" s="4"/>
      <c r="AB2657" s="4"/>
    </row>
    <row r="2658">
      <c r="Z2658" s="4"/>
      <c r="AA2658" s="4"/>
      <c r="AB2658" s="4"/>
    </row>
    <row r="2659">
      <c r="Z2659" s="4"/>
      <c r="AA2659" s="4"/>
      <c r="AB2659" s="4"/>
    </row>
    <row r="2660">
      <c r="Z2660" s="4"/>
      <c r="AA2660" s="4"/>
      <c r="AB2660" s="4"/>
    </row>
    <row r="2661">
      <c r="Z2661" s="4"/>
      <c r="AA2661" s="4"/>
      <c r="AB2661" s="4"/>
    </row>
    <row r="2662">
      <c r="Z2662" s="4"/>
      <c r="AA2662" s="4"/>
      <c r="AB2662" s="4"/>
    </row>
    <row r="2663">
      <c r="Z2663" s="4"/>
      <c r="AA2663" s="4"/>
      <c r="AB2663" s="4"/>
    </row>
    <row r="2664">
      <c r="Z2664" s="4"/>
      <c r="AA2664" s="4"/>
      <c r="AB2664" s="4"/>
    </row>
    <row r="2665">
      <c r="Z2665" s="4"/>
      <c r="AA2665" s="4"/>
      <c r="AB2665" s="4"/>
    </row>
    <row r="2666">
      <c r="Z2666" s="4"/>
      <c r="AA2666" s="4"/>
      <c r="AB2666" s="4"/>
    </row>
    <row r="2667">
      <c r="Z2667" s="4"/>
      <c r="AA2667" s="4"/>
      <c r="AB2667" s="4"/>
    </row>
    <row r="2668">
      <c r="Z2668" s="4"/>
      <c r="AA2668" s="4"/>
      <c r="AB2668" s="4"/>
    </row>
    <row r="2669">
      <c r="Z2669" s="4"/>
      <c r="AA2669" s="4"/>
      <c r="AB2669" s="4"/>
    </row>
    <row r="2670">
      <c r="Z2670" s="4"/>
      <c r="AA2670" s="4"/>
      <c r="AB2670" s="4"/>
    </row>
    <row r="2671">
      <c r="Z2671" s="4"/>
      <c r="AA2671" s="4"/>
      <c r="AB2671" s="4"/>
    </row>
    <row r="2672">
      <c r="Z2672" s="4"/>
      <c r="AA2672" s="4"/>
      <c r="AB2672" s="4"/>
    </row>
    <row r="2673">
      <c r="Z2673" s="4"/>
      <c r="AA2673" s="4"/>
      <c r="AB2673" s="4"/>
    </row>
    <row r="2674">
      <c r="Z2674" s="4"/>
      <c r="AA2674" s="4"/>
      <c r="AB2674" s="4"/>
    </row>
    <row r="2675">
      <c r="Z2675" s="4"/>
      <c r="AA2675" s="4"/>
      <c r="AB2675" s="4"/>
    </row>
    <row r="2676">
      <c r="Z2676" s="4"/>
      <c r="AA2676" s="4"/>
      <c r="AB2676" s="4"/>
    </row>
    <row r="2677">
      <c r="Z2677" s="4"/>
      <c r="AA2677" s="4"/>
      <c r="AB2677" s="4"/>
    </row>
    <row r="2678">
      <c r="Z2678" s="4"/>
      <c r="AA2678" s="4"/>
      <c r="AB2678" s="4"/>
    </row>
    <row r="2679">
      <c r="Z2679" s="4"/>
      <c r="AA2679" s="4"/>
      <c r="AB2679" s="4"/>
    </row>
    <row r="2680">
      <c r="Z2680" s="4"/>
      <c r="AA2680" s="4"/>
      <c r="AB2680" s="4"/>
    </row>
    <row r="2681">
      <c r="Z2681" s="4"/>
      <c r="AA2681" s="4"/>
      <c r="AB2681" s="4"/>
    </row>
    <row r="2682">
      <c r="Z2682" s="4"/>
      <c r="AA2682" s="4"/>
      <c r="AB2682" s="4"/>
    </row>
    <row r="2683">
      <c r="Z2683" s="4"/>
      <c r="AA2683" s="4"/>
      <c r="AB2683" s="4"/>
    </row>
    <row r="2684">
      <c r="Z2684" s="4"/>
      <c r="AA2684" s="4"/>
      <c r="AB2684" s="4"/>
    </row>
    <row r="2685">
      <c r="Z2685" s="4"/>
      <c r="AA2685" s="4"/>
      <c r="AB2685" s="4"/>
    </row>
    <row r="2686">
      <c r="Z2686" s="4"/>
      <c r="AA2686" s="4"/>
      <c r="AB2686" s="4"/>
    </row>
    <row r="2687">
      <c r="Z2687" s="4"/>
      <c r="AA2687" s="4"/>
      <c r="AB2687" s="4"/>
    </row>
    <row r="2688">
      <c r="Z2688" s="4"/>
      <c r="AA2688" s="4"/>
      <c r="AB2688" s="4"/>
    </row>
    <row r="2689">
      <c r="Z2689" s="4"/>
      <c r="AA2689" s="4"/>
      <c r="AB2689" s="4"/>
    </row>
    <row r="2690">
      <c r="Z2690" s="4"/>
      <c r="AA2690" s="4"/>
      <c r="AB2690" s="4"/>
    </row>
    <row r="2691">
      <c r="Z2691" s="4"/>
      <c r="AA2691" s="4"/>
      <c r="AB2691" s="4"/>
    </row>
    <row r="2692">
      <c r="Z2692" s="4"/>
      <c r="AA2692" s="4"/>
      <c r="AB2692" s="4"/>
    </row>
    <row r="2693">
      <c r="Z2693" s="4"/>
      <c r="AA2693" s="4"/>
      <c r="AB2693" s="4"/>
    </row>
    <row r="2694">
      <c r="Z2694" s="4"/>
      <c r="AA2694" s="4"/>
      <c r="AB2694" s="4"/>
    </row>
    <row r="2695">
      <c r="Z2695" s="4"/>
      <c r="AA2695" s="4"/>
      <c r="AB2695" s="4"/>
    </row>
    <row r="2696">
      <c r="Z2696" s="4"/>
      <c r="AA2696" s="4"/>
      <c r="AB2696" s="4"/>
    </row>
    <row r="2697">
      <c r="Z2697" s="4"/>
      <c r="AA2697" s="4"/>
      <c r="AB2697" s="4"/>
    </row>
    <row r="2698">
      <c r="Z2698" s="4"/>
      <c r="AA2698" s="4"/>
      <c r="AB2698" s="4"/>
    </row>
    <row r="2699">
      <c r="Z2699" s="4"/>
      <c r="AA2699" s="4"/>
      <c r="AB2699" s="4"/>
    </row>
    <row r="2700">
      <c r="Z2700" s="4"/>
      <c r="AA2700" s="4"/>
      <c r="AB2700" s="4"/>
    </row>
    <row r="2701">
      <c r="Z2701" s="4"/>
      <c r="AA2701" s="4"/>
      <c r="AB2701" s="4"/>
    </row>
    <row r="2702">
      <c r="Z2702" s="4"/>
      <c r="AA2702" s="4"/>
      <c r="AB2702" s="4"/>
    </row>
    <row r="2703">
      <c r="Z2703" s="4"/>
      <c r="AA2703" s="4"/>
      <c r="AB2703" s="4"/>
    </row>
    <row r="2704">
      <c r="Z2704" s="4"/>
      <c r="AA2704" s="4"/>
      <c r="AB2704" s="4"/>
    </row>
    <row r="2705">
      <c r="Z2705" s="4"/>
      <c r="AA2705" s="4"/>
      <c r="AB2705" s="4"/>
    </row>
    <row r="2706">
      <c r="Z2706" s="4"/>
      <c r="AA2706" s="4"/>
      <c r="AB2706" s="4"/>
    </row>
    <row r="2707">
      <c r="Z2707" s="4"/>
      <c r="AA2707" s="4"/>
      <c r="AB2707" s="4"/>
    </row>
    <row r="2708">
      <c r="Z2708" s="4"/>
      <c r="AA2708" s="4"/>
      <c r="AB2708" s="4"/>
    </row>
    <row r="2709">
      <c r="Z2709" s="4"/>
      <c r="AA2709" s="4"/>
      <c r="AB2709" s="4"/>
    </row>
    <row r="2710">
      <c r="Z2710" s="4"/>
      <c r="AA2710" s="4"/>
      <c r="AB2710" s="4"/>
    </row>
    <row r="2711">
      <c r="Z2711" s="4"/>
      <c r="AA2711" s="4"/>
      <c r="AB2711" s="4"/>
    </row>
    <row r="2712">
      <c r="Z2712" s="4"/>
      <c r="AA2712" s="4"/>
      <c r="AB2712" s="4"/>
    </row>
    <row r="2713">
      <c r="Z2713" s="4"/>
      <c r="AA2713" s="4"/>
      <c r="AB2713" s="4"/>
    </row>
    <row r="2714">
      <c r="Z2714" s="4"/>
      <c r="AA2714" s="4"/>
      <c r="AB2714" s="4"/>
    </row>
    <row r="2715">
      <c r="Z2715" s="4"/>
      <c r="AA2715" s="4"/>
      <c r="AB2715" s="4"/>
    </row>
    <row r="2716">
      <c r="Z2716" s="4"/>
      <c r="AA2716" s="4"/>
      <c r="AB2716" s="4"/>
    </row>
    <row r="2717">
      <c r="Z2717" s="4"/>
      <c r="AA2717" s="4"/>
      <c r="AB2717" s="4"/>
    </row>
    <row r="2718">
      <c r="Z2718" s="4"/>
      <c r="AA2718" s="4"/>
      <c r="AB2718" s="4"/>
    </row>
    <row r="2719">
      <c r="Z2719" s="4"/>
      <c r="AA2719" s="4"/>
      <c r="AB2719" s="4"/>
    </row>
    <row r="2720">
      <c r="Z2720" s="4"/>
      <c r="AA2720" s="4"/>
      <c r="AB2720" s="4"/>
    </row>
    <row r="2721">
      <c r="Z2721" s="4"/>
      <c r="AA2721" s="4"/>
      <c r="AB2721" s="4"/>
    </row>
    <row r="2722">
      <c r="Z2722" s="4"/>
      <c r="AA2722" s="4"/>
      <c r="AB2722" s="4"/>
    </row>
    <row r="2723">
      <c r="Z2723" s="4"/>
      <c r="AA2723" s="4"/>
      <c r="AB2723" s="4"/>
    </row>
    <row r="2724">
      <c r="Z2724" s="4"/>
      <c r="AA2724" s="4"/>
      <c r="AB2724" s="4"/>
    </row>
    <row r="2725">
      <c r="Z2725" s="4"/>
      <c r="AA2725" s="4"/>
      <c r="AB2725" s="4"/>
    </row>
    <row r="2726">
      <c r="Z2726" s="4"/>
      <c r="AA2726" s="4"/>
      <c r="AB2726" s="4"/>
    </row>
    <row r="2727">
      <c r="Z2727" s="4"/>
      <c r="AA2727" s="4"/>
      <c r="AB2727" s="4"/>
    </row>
    <row r="2728">
      <c r="Z2728" s="4"/>
      <c r="AA2728" s="4"/>
      <c r="AB2728" s="4"/>
    </row>
    <row r="2729">
      <c r="Z2729" s="4"/>
      <c r="AA2729" s="4"/>
      <c r="AB2729" s="4"/>
    </row>
    <row r="2730">
      <c r="Z2730" s="4"/>
      <c r="AA2730" s="4"/>
      <c r="AB2730" s="4"/>
    </row>
    <row r="2731">
      <c r="Z2731" s="4"/>
      <c r="AA2731" s="4"/>
      <c r="AB2731" s="4"/>
    </row>
    <row r="2732">
      <c r="Z2732" s="4"/>
      <c r="AA2732" s="4"/>
      <c r="AB2732" s="4"/>
    </row>
    <row r="2733">
      <c r="Z2733" s="4"/>
      <c r="AA2733" s="4"/>
      <c r="AB2733" s="4"/>
    </row>
    <row r="2734">
      <c r="Z2734" s="4"/>
      <c r="AA2734" s="4"/>
      <c r="AB2734" s="4"/>
    </row>
    <row r="2735">
      <c r="Z2735" s="4"/>
      <c r="AA2735" s="4"/>
      <c r="AB2735" s="4"/>
    </row>
    <row r="2736">
      <c r="Z2736" s="4"/>
      <c r="AA2736" s="4"/>
      <c r="AB2736" s="4"/>
    </row>
    <row r="2737">
      <c r="Z2737" s="4"/>
      <c r="AA2737" s="4"/>
      <c r="AB2737" s="4"/>
    </row>
    <row r="2738">
      <c r="Z2738" s="4"/>
      <c r="AA2738" s="4"/>
      <c r="AB2738" s="4"/>
    </row>
    <row r="2739">
      <c r="Z2739" s="4"/>
      <c r="AA2739" s="4"/>
      <c r="AB2739" s="4"/>
    </row>
    <row r="2740">
      <c r="Z2740" s="4"/>
      <c r="AA2740" s="4"/>
      <c r="AB2740" s="4"/>
    </row>
    <row r="2741">
      <c r="Z2741" s="4"/>
      <c r="AA2741" s="4"/>
      <c r="AB2741" s="4"/>
    </row>
    <row r="2742">
      <c r="Z2742" s="4"/>
      <c r="AA2742" s="4"/>
      <c r="AB2742" s="4"/>
    </row>
    <row r="2743">
      <c r="Z2743" s="4"/>
      <c r="AA2743" s="4"/>
      <c r="AB2743" s="4"/>
    </row>
    <row r="2744">
      <c r="Z2744" s="4"/>
      <c r="AA2744" s="4"/>
      <c r="AB2744" s="4"/>
    </row>
    <row r="2745">
      <c r="Z2745" s="4"/>
      <c r="AA2745" s="4"/>
      <c r="AB2745" s="4"/>
    </row>
    <row r="2746">
      <c r="Z2746" s="4"/>
      <c r="AA2746" s="4"/>
      <c r="AB2746" s="4"/>
    </row>
    <row r="2747">
      <c r="Z2747" s="4"/>
      <c r="AA2747" s="4"/>
      <c r="AB2747" s="4"/>
    </row>
    <row r="2748">
      <c r="Z2748" s="4"/>
      <c r="AA2748" s="4"/>
      <c r="AB2748" s="4"/>
    </row>
    <row r="2749">
      <c r="Z2749" s="4"/>
      <c r="AA2749" s="4"/>
      <c r="AB2749" s="4"/>
    </row>
    <row r="2750">
      <c r="Z2750" s="4"/>
      <c r="AA2750" s="4"/>
      <c r="AB2750" s="4"/>
    </row>
    <row r="2751">
      <c r="Z2751" s="4"/>
      <c r="AA2751" s="4"/>
      <c r="AB2751" s="4"/>
    </row>
    <row r="2752">
      <c r="Z2752" s="4"/>
      <c r="AA2752" s="4"/>
      <c r="AB2752" s="4"/>
    </row>
    <row r="2753">
      <c r="Z2753" s="4"/>
      <c r="AA2753" s="4"/>
      <c r="AB2753" s="4"/>
    </row>
    <row r="2754">
      <c r="Z2754" s="4"/>
      <c r="AA2754" s="4"/>
      <c r="AB2754" s="4"/>
    </row>
    <row r="2755">
      <c r="Z2755" s="4"/>
      <c r="AA2755" s="4"/>
      <c r="AB2755" s="4"/>
    </row>
    <row r="2756">
      <c r="Z2756" s="4"/>
      <c r="AA2756" s="4"/>
      <c r="AB2756" s="4"/>
    </row>
    <row r="2757">
      <c r="Z2757" s="4"/>
      <c r="AA2757" s="4"/>
      <c r="AB2757" s="4"/>
    </row>
    <row r="2758">
      <c r="Z2758" s="4"/>
      <c r="AA2758" s="4"/>
      <c r="AB2758" s="4"/>
    </row>
    <row r="2759">
      <c r="Z2759" s="4"/>
      <c r="AA2759" s="4"/>
      <c r="AB2759" s="4"/>
    </row>
    <row r="2760">
      <c r="Z2760" s="4"/>
      <c r="AA2760" s="4"/>
      <c r="AB2760" s="4"/>
    </row>
    <row r="2761">
      <c r="Z2761" s="4"/>
      <c r="AA2761" s="4"/>
      <c r="AB2761" s="4"/>
    </row>
    <row r="2762">
      <c r="Z2762" s="4"/>
      <c r="AA2762" s="4"/>
      <c r="AB2762" s="4"/>
    </row>
    <row r="2763">
      <c r="Z2763" s="4"/>
      <c r="AA2763" s="4"/>
      <c r="AB2763" s="4"/>
    </row>
    <row r="2764">
      <c r="Z2764" s="4"/>
      <c r="AA2764" s="4"/>
      <c r="AB2764" s="4"/>
    </row>
    <row r="2765">
      <c r="Z2765" s="4"/>
      <c r="AA2765" s="4"/>
      <c r="AB2765" s="4"/>
    </row>
    <row r="2766">
      <c r="Z2766" s="4"/>
      <c r="AA2766" s="4"/>
      <c r="AB2766" s="4"/>
    </row>
    <row r="2767">
      <c r="Z2767" s="4"/>
      <c r="AA2767" s="4"/>
      <c r="AB2767" s="4"/>
    </row>
    <row r="2768">
      <c r="Z2768" s="4"/>
      <c r="AA2768" s="4"/>
      <c r="AB2768" s="4"/>
    </row>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7.0"/>
  </cols>
  <sheetData>
    <row r="1">
      <c r="A1" s="129" t="s">
        <v>899</v>
      </c>
      <c r="B1" s="241" t="s">
        <v>900</v>
      </c>
    </row>
    <row r="2">
      <c r="A2" s="129" t="s">
        <v>901</v>
      </c>
      <c r="B2" s="227" t="s">
        <v>902</v>
      </c>
    </row>
  </sheetData>
  <hyperlinks>
    <hyperlink r:id="rId1" ref="B1"/>
    <hyperlink r:id="rId2" ref="B2"/>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1.29"/>
    <col customWidth="1" min="2" max="2" width="29.86"/>
    <col customWidth="1" min="3" max="9" width="21.29"/>
  </cols>
  <sheetData>
    <row r="1">
      <c r="A1" s="129" t="s">
        <v>903</v>
      </c>
      <c r="B1" s="129" t="s">
        <v>777</v>
      </c>
      <c r="C1" s="129" t="s">
        <v>904</v>
      </c>
      <c r="D1" s="129" t="s">
        <v>776</v>
      </c>
      <c r="E1" s="129" t="s">
        <v>778</v>
      </c>
      <c r="F1" s="129" t="s">
        <v>779</v>
      </c>
      <c r="G1" s="129" t="s">
        <v>780</v>
      </c>
      <c r="H1" s="129" t="s">
        <v>789</v>
      </c>
      <c r="I1" s="129" t="s">
        <v>781</v>
      </c>
      <c r="J1" s="129" t="s">
        <v>782</v>
      </c>
      <c r="K1" s="129" t="s">
        <v>783</v>
      </c>
      <c r="L1" s="129" t="s">
        <v>784</v>
      </c>
      <c r="M1" s="129" t="s">
        <v>785</v>
      </c>
      <c r="N1" s="129" t="s">
        <v>786</v>
      </c>
      <c r="O1" s="129" t="s">
        <v>787</v>
      </c>
      <c r="P1" s="129" t="s">
        <v>788</v>
      </c>
      <c r="Q1" s="129" t="s">
        <v>790</v>
      </c>
      <c r="R1" s="129" t="s">
        <v>791</v>
      </c>
      <c r="S1" s="129" t="s">
        <v>792</v>
      </c>
      <c r="T1" s="129" t="s">
        <v>793</v>
      </c>
      <c r="U1" s="4" t="s">
        <v>304</v>
      </c>
      <c r="V1" s="4" t="s">
        <v>304</v>
      </c>
      <c r="W1" s="4" t="s">
        <v>304</v>
      </c>
      <c r="X1" s="4" t="s">
        <v>304</v>
      </c>
      <c r="Y1" s="4" t="s">
        <v>304</v>
      </c>
      <c r="Z1" s="4" t="s">
        <v>304</v>
      </c>
    </row>
    <row r="2">
      <c r="A2" s="242">
        <v>138.0</v>
      </c>
      <c r="B2" s="129" t="s">
        <v>800</v>
      </c>
      <c r="C2" s="242">
        <v>48980.0</v>
      </c>
      <c r="D2" s="129" t="s">
        <v>293</v>
      </c>
    </row>
    <row r="3">
      <c r="A3" s="242">
        <v>138.0</v>
      </c>
      <c r="B3" s="129" t="s">
        <v>800</v>
      </c>
      <c r="C3" s="242">
        <v>48981.0</v>
      </c>
      <c r="D3" s="129" t="s">
        <v>294</v>
      </c>
    </row>
    <row r="4">
      <c r="A4" s="242">
        <v>138.0</v>
      </c>
      <c r="B4" s="129" t="s">
        <v>800</v>
      </c>
      <c r="C4" s="242">
        <v>49599.0</v>
      </c>
      <c r="D4" s="129" t="s">
        <v>860</v>
      </c>
    </row>
    <row r="5">
      <c r="A5" s="242">
        <v>138.0</v>
      </c>
      <c r="B5" s="129" t="s">
        <v>800</v>
      </c>
      <c r="C5" s="242">
        <v>49622.0</v>
      </c>
      <c r="D5" s="129" t="s">
        <v>164</v>
      </c>
    </row>
    <row r="6">
      <c r="A6" s="242">
        <v>138.0</v>
      </c>
      <c r="B6" s="129" t="s">
        <v>800</v>
      </c>
      <c r="C6" s="242">
        <v>49294.0</v>
      </c>
      <c r="D6" s="129" t="s">
        <v>375</v>
      </c>
    </row>
    <row r="7">
      <c r="A7" s="242">
        <v>138.0</v>
      </c>
      <c r="B7" s="129" t="s">
        <v>800</v>
      </c>
      <c r="C7" s="242">
        <v>42387.0</v>
      </c>
      <c r="D7" s="129" t="s">
        <v>858</v>
      </c>
    </row>
    <row r="8">
      <c r="A8" s="242">
        <v>138.0</v>
      </c>
      <c r="B8" s="129" t="s">
        <v>800</v>
      </c>
      <c r="C8" s="242">
        <v>49624.0</v>
      </c>
      <c r="D8" s="129" t="s">
        <v>836</v>
      </c>
    </row>
    <row r="9">
      <c r="A9" s="242">
        <v>138.0</v>
      </c>
      <c r="B9" s="129" t="s">
        <v>800</v>
      </c>
      <c r="C9" s="242">
        <v>47691.0</v>
      </c>
      <c r="D9" s="129" t="s">
        <v>275</v>
      </c>
    </row>
    <row r="10">
      <c r="A10" s="242">
        <v>138.0</v>
      </c>
      <c r="B10" s="129" t="s">
        <v>800</v>
      </c>
      <c r="C10" s="242">
        <v>49843.0</v>
      </c>
      <c r="D10" s="129" t="s">
        <v>833</v>
      </c>
    </row>
    <row r="11">
      <c r="A11" s="242">
        <v>138.0</v>
      </c>
      <c r="B11" s="129" t="s">
        <v>800</v>
      </c>
      <c r="C11" s="242">
        <v>42494.0</v>
      </c>
      <c r="D11" s="129" t="s">
        <v>382</v>
      </c>
    </row>
    <row r="12">
      <c r="A12" s="242">
        <v>138.0</v>
      </c>
      <c r="B12" s="129" t="s">
        <v>800</v>
      </c>
      <c r="C12" s="242">
        <v>49625.0</v>
      </c>
      <c r="D12" s="129" t="s">
        <v>850</v>
      </c>
    </row>
    <row r="13">
      <c r="A13" s="242">
        <v>138.0</v>
      </c>
      <c r="B13" s="129" t="s">
        <v>800</v>
      </c>
      <c r="C13" s="242">
        <v>45415.0</v>
      </c>
      <c r="D13" s="129" t="s">
        <v>108</v>
      </c>
    </row>
    <row r="14">
      <c r="A14" s="242">
        <v>138.0</v>
      </c>
      <c r="B14" s="129" t="s">
        <v>800</v>
      </c>
      <c r="C14" s="242">
        <v>47860.0</v>
      </c>
      <c r="D14" s="129" t="s">
        <v>875</v>
      </c>
    </row>
    <row r="15">
      <c r="A15" s="242">
        <v>138.0</v>
      </c>
      <c r="B15" s="129" t="s">
        <v>800</v>
      </c>
      <c r="C15" s="242">
        <v>49123.0</v>
      </c>
      <c r="D15" s="129" t="s">
        <v>824</v>
      </c>
    </row>
    <row r="16">
      <c r="A16" s="242">
        <v>138.0</v>
      </c>
      <c r="B16" s="129" t="s">
        <v>800</v>
      </c>
      <c r="C16" s="242">
        <v>48983.0</v>
      </c>
      <c r="D16" s="129" t="s">
        <v>319</v>
      </c>
    </row>
    <row r="17">
      <c r="A17" s="242">
        <v>138.0</v>
      </c>
      <c r="B17" s="129" t="s">
        <v>800</v>
      </c>
      <c r="C17" s="242">
        <v>49600.0</v>
      </c>
      <c r="D17" s="129" t="s">
        <v>830</v>
      </c>
    </row>
    <row r="18">
      <c r="A18" s="242">
        <v>138.0</v>
      </c>
      <c r="B18" s="129" t="s">
        <v>800</v>
      </c>
      <c r="C18" s="242">
        <v>40993.0</v>
      </c>
      <c r="D18" s="129" t="s">
        <v>163</v>
      </c>
    </row>
    <row r="19">
      <c r="A19" s="242">
        <v>138.0</v>
      </c>
      <c r="B19" s="129" t="s">
        <v>800</v>
      </c>
      <c r="C19" s="242">
        <v>48626.0</v>
      </c>
      <c r="D19" s="129" t="s">
        <v>42</v>
      </c>
    </row>
    <row r="20">
      <c r="A20" s="242">
        <v>138.0</v>
      </c>
      <c r="B20" s="129" t="s">
        <v>800</v>
      </c>
      <c r="C20" s="242">
        <v>46948.0</v>
      </c>
      <c r="D20" s="129" t="s">
        <v>273</v>
      </c>
    </row>
    <row r="21">
      <c r="A21" s="242">
        <v>138.0</v>
      </c>
      <c r="B21" s="129" t="s">
        <v>800</v>
      </c>
      <c r="C21" s="242">
        <v>47339.0</v>
      </c>
      <c r="D21" s="129" t="s">
        <v>868</v>
      </c>
    </row>
    <row r="22">
      <c r="A22" s="242">
        <v>138.0</v>
      </c>
      <c r="B22" s="129" t="s">
        <v>800</v>
      </c>
      <c r="C22" s="242">
        <v>48984.0</v>
      </c>
      <c r="D22" s="129" t="s">
        <v>317</v>
      </c>
    </row>
    <row r="23">
      <c r="A23" s="242">
        <v>138.0</v>
      </c>
      <c r="B23" s="129" t="s">
        <v>800</v>
      </c>
      <c r="C23" s="242">
        <v>48511.0</v>
      </c>
      <c r="D23" s="129" t="s">
        <v>587</v>
      </c>
    </row>
    <row r="24">
      <c r="A24" s="242">
        <v>138.0</v>
      </c>
      <c r="B24" s="129" t="s">
        <v>800</v>
      </c>
      <c r="C24" s="242">
        <v>49301.0</v>
      </c>
      <c r="D24" s="129" t="s">
        <v>877</v>
      </c>
    </row>
    <row r="25">
      <c r="A25" s="242">
        <v>138.0</v>
      </c>
      <c r="B25" s="129" t="s">
        <v>800</v>
      </c>
      <c r="C25" s="242">
        <v>19792.0</v>
      </c>
      <c r="D25" s="129" t="s">
        <v>831</v>
      </c>
    </row>
    <row r="26">
      <c r="A26" s="242">
        <v>138.0</v>
      </c>
      <c r="B26" s="129" t="s">
        <v>800</v>
      </c>
      <c r="C26" s="242">
        <v>49161.0</v>
      </c>
      <c r="D26" s="129" t="s">
        <v>449</v>
      </c>
    </row>
    <row r="27">
      <c r="A27" s="242">
        <v>105.0</v>
      </c>
      <c r="B27" s="129" t="s">
        <v>806</v>
      </c>
      <c r="C27" s="242">
        <v>49696.0</v>
      </c>
      <c r="D27" s="129" t="s">
        <v>539</v>
      </c>
      <c r="E27" s="242">
        <v>10.0</v>
      </c>
    </row>
    <row r="28">
      <c r="A28" s="242">
        <v>105.0</v>
      </c>
      <c r="B28" s="129" t="s">
        <v>806</v>
      </c>
      <c r="C28" s="242">
        <v>38405.0</v>
      </c>
      <c r="D28" s="129" t="s">
        <v>846</v>
      </c>
      <c r="E28" s="242">
        <v>10.0</v>
      </c>
      <c r="F28" s="242">
        <v>10.0</v>
      </c>
    </row>
    <row r="29">
      <c r="A29" s="242">
        <v>105.0</v>
      </c>
      <c r="B29" s="129" t="s">
        <v>806</v>
      </c>
      <c r="C29" s="242">
        <v>32659.0</v>
      </c>
      <c r="D29" s="129" t="s">
        <v>896</v>
      </c>
      <c r="E29" s="242">
        <v>7.0</v>
      </c>
      <c r="F29" s="242">
        <v>8.0</v>
      </c>
      <c r="G29" s="242">
        <v>8.0</v>
      </c>
      <c r="H29" s="242">
        <v>0.0</v>
      </c>
    </row>
    <row r="30">
      <c r="A30" s="242">
        <v>105.0</v>
      </c>
      <c r="B30" s="129" t="s">
        <v>806</v>
      </c>
      <c r="C30" s="242">
        <v>36832.0</v>
      </c>
      <c r="D30" s="129" t="s">
        <v>897</v>
      </c>
      <c r="E30" s="242">
        <v>8.0</v>
      </c>
      <c r="F30" s="242">
        <v>8.0</v>
      </c>
      <c r="G30" s="242">
        <v>8.0</v>
      </c>
      <c r="H30" s="242">
        <v>0.0</v>
      </c>
    </row>
    <row r="31">
      <c r="A31" s="242">
        <v>105.0</v>
      </c>
      <c r="B31" s="129" t="s">
        <v>806</v>
      </c>
      <c r="C31" s="242">
        <v>37593.0</v>
      </c>
      <c r="D31" s="129" t="s">
        <v>246</v>
      </c>
      <c r="E31" s="242">
        <v>6.0</v>
      </c>
      <c r="F31" s="242">
        <v>7.0</v>
      </c>
      <c r="G31" s="242">
        <v>8.0</v>
      </c>
    </row>
    <row r="32">
      <c r="A32" s="242">
        <v>105.0</v>
      </c>
      <c r="B32" s="129" t="s">
        <v>806</v>
      </c>
      <c r="C32" s="242">
        <v>24276.0</v>
      </c>
      <c r="D32" s="129" t="s">
        <v>577</v>
      </c>
      <c r="E32" s="242">
        <v>10.0</v>
      </c>
      <c r="F32" s="242">
        <v>10.0</v>
      </c>
      <c r="G32" s="242">
        <v>10.0</v>
      </c>
      <c r="H32" s="242">
        <v>0.0</v>
      </c>
    </row>
    <row r="33">
      <c r="A33" s="242">
        <v>105.0</v>
      </c>
      <c r="B33" s="129" t="s">
        <v>806</v>
      </c>
      <c r="C33" s="242">
        <v>49937.0</v>
      </c>
      <c r="D33" s="129" t="s">
        <v>805</v>
      </c>
      <c r="E33" s="242">
        <v>10.0</v>
      </c>
    </row>
    <row r="34">
      <c r="A34" s="242">
        <v>105.0</v>
      </c>
      <c r="B34" s="129" t="s">
        <v>806</v>
      </c>
      <c r="C34" s="242">
        <v>37635.0</v>
      </c>
      <c r="D34" s="129" t="s">
        <v>544</v>
      </c>
      <c r="E34" s="242">
        <v>10.0</v>
      </c>
      <c r="F34" s="242">
        <v>10.0</v>
      </c>
      <c r="G34" s="242">
        <v>10.0</v>
      </c>
    </row>
    <row r="35">
      <c r="A35" s="242">
        <v>105.0</v>
      </c>
      <c r="B35" s="129" t="s">
        <v>806</v>
      </c>
      <c r="C35" s="242">
        <v>49891.0</v>
      </c>
      <c r="D35" s="129" t="s">
        <v>441</v>
      </c>
    </row>
    <row r="36">
      <c r="A36" s="242">
        <v>105.0</v>
      </c>
      <c r="B36" s="129" t="s">
        <v>806</v>
      </c>
      <c r="C36" s="242">
        <v>38416.0</v>
      </c>
      <c r="D36" s="129" t="s">
        <v>445</v>
      </c>
      <c r="E36" s="242">
        <v>6.0</v>
      </c>
      <c r="F36" s="242">
        <v>10.0</v>
      </c>
      <c r="G36" s="242">
        <v>10.0</v>
      </c>
    </row>
    <row r="37">
      <c r="A37" s="242">
        <v>105.0</v>
      </c>
      <c r="B37" s="129" t="s">
        <v>806</v>
      </c>
      <c r="C37" s="242">
        <v>40411.0</v>
      </c>
      <c r="D37" s="129" t="s">
        <v>862</v>
      </c>
      <c r="E37" s="242">
        <v>10.0</v>
      </c>
      <c r="F37" s="242">
        <v>9.0</v>
      </c>
    </row>
    <row r="38">
      <c r="A38" s="242">
        <v>105.0</v>
      </c>
      <c r="B38" s="129" t="s">
        <v>806</v>
      </c>
      <c r="C38" s="242">
        <v>38432.0</v>
      </c>
      <c r="D38" s="129" t="s">
        <v>360</v>
      </c>
      <c r="E38" s="242">
        <v>8.0</v>
      </c>
      <c r="F38" s="242">
        <v>8.0</v>
      </c>
    </row>
    <row r="39">
      <c r="A39" s="242">
        <v>105.0</v>
      </c>
      <c r="B39" s="129" t="s">
        <v>806</v>
      </c>
      <c r="C39" s="242">
        <v>50065.0</v>
      </c>
      <c r="D39" s="129" t="s">
        <v>177</v>
      </c>
    </row>
    <row r="40">
      <c r="A40" s="242">
        <v>105.0</v>
      </c>
      <c r="B40" s="129" t="s">
        <v>806</v>
      </c>
      <c r="C40" s="242">
        <v>37637.0</v>
      </c>
      <c r="D40" s="129" t="s">
        <v>542</v>
      </c>
      <c r="E40" s="242">
        <v>7.0</v>
      </c>
      <c r="F40" s="242">
        <v>9.0</v>
      </c>
      <c r="G40" s="242">
        <v>10.0</v>
      </c>
    </row>
    <row r="41">
      <c r="A41" s="242">
        <v>105.0</v>
      </c>
      <c r="B41" s="129" t="s">
        <v>806</v>
      </c>
      <c r="C41" s="242">
        <v>38415.0</v>
      </c>
      <c r="D41" s="129" t="s">
        <v>468</v>
      </c>
      <c r="E41" s="242">
        <v>6.0</v>
      </c>
      <c r="F41" s="242">
        <v>8.0</v>
      </c>
      <c r="G41" s="242">
        <v>8.0</v>
      </c>
    </row>
    <row r="42">
      <c r="A42" s="242">
        <v>105.0</v>
      </c>
      <c r="B42" s="129" t="s">
        <v>806</v>
      </c>
      <c r="C42" s="242">
        <v>40994.0</v>
      </c>
      <c r="D42" s="129" t="s">
        <v>158</v>
      </c>
      <c r="E42" s="242">
        <v>8.0</v>
      </c>
      <c r="F42" s="242">
        <v>7.0</v>
      </c>
      <c r="G42" s="242">
        <v>10.0</v>
      </c>
    </row>
    <row r="43">
      <c r="A43" s="242">
        <v>105.0</v>
      </c>
      <c r="B43" s="129" t="s">
        <v>806</v>
      </c>
      <c r="C43" s="242">
        <v>38406.0</v>
      </c>
      <c r="D43" s="129" t="s">
        <v>466</v>
      </c>
      <c r="E43" s="242">
        <v>7.0</v>
      </c>
      <c r="F43" s="242">
        <v>7.0</v>
      </c>
      <c r="G43" s="242">
        <v>8.0</v>
      </c>
    </row>
    <row r="44">
      <c r="A44" s="242">
        <v>105.0</v>
      </c>
      <c r="B44" s="129" t="s">
        <v>806</v>
      </c>
      <c r="C44" s="242">
        <v>44988.0</v>
      </c>
      <c r="D44" s="129" t="s">
        <v>610</v>
      </c>
      <c r="E44" s="242">
        <v>10.0</v>
      </c>
    </row>
    <row r="45">
      <c r="A45" s="242">
        <v>105.0</v>
      </c>
      <c r="B45" s="129" t="s">
        <v>806</v>
      </c>
      <c r="C45" s="242">
        <v>49697.0</v>
      </c>
      <c r="D45" s="129" t="s">
        <v>37</v>
      </c>
    </row>
    <row r="46">
      <c r="A46" s="242">
        <v>105.0</v>
      </c>
      <c r="B46" s="129" t="s">
        <v>806</v>
      </c>
      <c r="C46" s="242">
        <v>41115.0</v>
      </c>
      <c r="D46" s="129" t="s">
        <v>469</v>
      </c>
      <c r="E46" s="242">
        <v>8.0</v>
      </c>
    </row>
    <row r="47">
      <c r="A47" s="242">
        <v>105.0</v>
      </c>
      <c r="B47" s="129" t="s">
        <v>806</v>
      </c>
      <c r="C47" s="242">
        <v>23747.0</v>
      </c>
      <c r="D47" s="129" t="s">
        <v>829</v>
      </c>
      <c r="E47" s="242">
        <v>6.0</v>
      </c>
      <c r="F47" s="242">
        <v>10.0</v>
      </c>
      <c r="G47" s="242">
        <v>7.0</v>
      </c>
    </row>
    <row r="48">
      <c r="A48" s="242">
        <v>105.0</v>
      </c>
      <c r="B48" s="129" t="s">
        <v>806</v>
      </c>
      <c r="C48" s="242">
        <v>49842.0</v>
      </c>
      <c r="D48" s="129" t="s">
        <v>885</v>
      </c>
      <c r="E48" s="242">
        <v>6.0</v>
      </c>
    </row>
    <row r="49">
      <c r="A49" s="242">
        <v>105.0</v>
      </c>
      <c r="B49" s="129" t="s">
        <v>806</v>
      </c>
      <c r="C49" s="242">
        <v>38097.0</v>
      </c>
      <c r="D49" s="129" t="s">
        <v>47</v>
      </c>
      <c r="E49" s="242">
        <v>8.0</v>
      </c>
      <c r="F49" s="242">
        <v>8.0</v>
      </c>
    </row>
    <row r="50">
      <c r="A50" s="242">
        <v>105.0</v>
      </c>
      <c r="B50" s="129" t="s">
        <v>806</v>
      </c>
      <c r="C50" s="242">
        <v>30981.0</v>
      </c>
      <c r="D50" s="129" t="s">
        <v>847</v>
      </c>
      <c r="E50" s="242">
        <v>10.0</v>
      </c>
      <c r="F50" s="242">
        <v>5.0</v>
      </c>
      <c r="G50" s="242">
        <v>10.0</v>
      </c>
      <c r="H50" s="242">
        <v>0.0</v>
      </c>
    </row>
    <row r="51">
      <c r="A51" s="242">
        <v>105.0</v>
      </c>
      <c r="B51" s="129" t="s">
        <v>806</v>
      </c>
      <c r="C51" s="242">
        <v>37639.0</v>
      </c>
      <c r="D51" s="129" t="s">
        <v>288</v>
      </c>
      <c r="E51" s="242">
        <v>10.0</v>
      </c>
      <c r="F51" s="242">
        <v>10.0</v>
      </c>
      <c r="G51" s="242">
        <v>8.0</v>
      </c>
    </row>
    <row r="52">
      <c r="A52" s="242">
        <v>105.0</v>
      </c>
      <c r="B52" s="129" t="s">
        <v>806</v>
      </c>
      <c r="C52" s="242">
        <v>38077.0</v>
      </c>
      <c r="D52" s="129" t="s">
        <v>893</v>
      </c>
      <c r="E52" s="242">
        <v>8.0</v>
      </c>
      <c r="F52" s="242">
        <v>9.0</v>
      </c>
      <c r="G52" s="242">
        <v>10.0</v>
      </c>
    </row>
    <row r="53">
      <c r="A53" s="242">
        <v>105.0</v>
      </c>
      <c r="B53" s="129" t="s">
        <v>806</v>
      </c>
      <c r="C53" s="242">
        <v>39346.0</v>
      </c>
      <c r="D53" s="129" t="s">
        <v>857</v>
      </c>
      <c r="E53" s="242">
        <v>7.0</v>
      </c>
      <c r="F53" s="242">
        <v>7.0</v>
      </c>
      <c r="G53" s="242">
        <v>8.0</v>
      </c>
    </row>
    <row r="54">
      <c r="A54" s="242">
        <v>101.0</v>
      </c>
      <c r="B54" s="129" t="s">
        <v>812</v>
      </c>
      <c r="C54" s="242">
        <v>48979.0</v>
      </c>
      <c r="D54" s="129" t="s">
        <v>814</v>
      </c>
      <c r="E54" s="242">
        <v>9.0</v>
      </c>
    </row>
    <row r="55">
      <c r="A55" s="242">
        <v>101.0</v>
      </c>
      <c r="B55" s="129" t="s">
        <v>812</v>
      </c>
      <c r="C55" s="242">
        <v>23746.0</v>
      </c>
      <c r="D55" s="129" t="s">
        <v>263</v>
      </c>
      <c r="E55" s="242">
        <v>10.0</v>
      </c>
      <c r="F55" s="242">
        <v>10.0</v>
      </c>
      <c r="G55" s="242">
        <v>10.0</v>
      </c>
    </row>
    <row r="56">
      <c r="A56" s="242">
        <v>26.0</v>
      </c>
      <c r="B56" s="129" t="s">
        <v>803</v>
      </c>
      <c r="C56" s="242">
        <v>35792.0</v>
      </c>
      <c r="D56" s="129" t="s">
        <v>834</v>
      </c>
    </row>
    <row r="57">
      <c r="A57" s="242">
        <v>101.0</v>
      </c>
      <c r="B57" s="129" t="s">
        <v>812</v>
      </c>
      <c r="C57" s="242">
        <v>38942.0</v>
      </c>
      <c r="D57" s="129" t="s">
        <v>458</v>
      </c>
      <c r="E57" s="242">
        <v>7.0</v>
      </c>
      <c r="F57" s="242">
        <v>10.0</v>
      </c>
      <c r="G57" s="242">
        <v>8.0</v>
      </c>
    </row>
    <row r="58">
      <c r="A58" s="242">
        <v>101.0</v>
      </c>
      <c r="B58" s="129" t="s">
        <v>812</v>
      </c>
      <c r="C58" s="242">
        <v>37338.0</v>
      </c>
      <c r="D58" s="129" t="s">
        <v>267</v>
      </c>
      <c r="E58" s="242">
        <v>9.0</v>
      </c>
    </row>
    <row r="59">
      <c r="A59" s="242">
        <v>101.0</v>
      </c>
      <c r="B59" s="129" t="s">
        <v>812</v>
      </c>
      <c r="C59" s="242">
        <v>38407.0</v>
      </c>
      <c r="D59" s="129" t="s">
        <v>874</v>
      </c>
      <c r="E59" s="242">
        <v>8.0</v>
      </c>
    </row>
    <row r="60">
      <c r="A60" s="242">
        <v>101.0</v>
      </c>
      <c r="B60" s="129" t="s">
        <v>812</v>
      </c>
      <c r="C60" s="242">
        <v>50216.0</v>
      </c>
      <c r="D60" s="129" t="s">
        <v>451</v>
      </c>
    </row>
    <row r="61">
      <c r="A61" s="242">
        <v>42.0</v>
      </c>
      <c r="B61" s="129" t="s">
        <v>799</v>
      </c>
      <c r="C61" s="242">
        <v>31717.0</v>
      </c>
      <c r="D61" s="129" t="s">
        <v>712</v>
      </c>
    </row>
    <row r="62">
      <c r="A62" s="242">
        <v>101.0</v>
      </c>
      <c r="B62" s="129" t="s">
        <v>812</v>
      </c>
      <c r="C62" s="242">
        <v>50243.0</v>
      </c>
      <c r="D62" s="129" t="s">
        <v>873</v>
      </c>
    </row>
    <row r="63">
      <c r="A63" s="242">
        <v>101.0</v>
      </c>
      <c r="B63" s="129" t="s">
        <v>812</v>
      </c>
      <c r="C63" s="242">
        <v>38408.0</v>
      </c>
      <c r="D63" s="129" t="s">
        <v>819</v>
      </c>
    </row>
    <row r="64">
      <c r="A64" s="242">
        <v>101.0</v>
      </c>
      <c r="B64" s="129" t="s">
        <v>812</v>
      </c>
      <c r="C64" s="242">
        <v>38370.0</v>
      </c>
      <c r="D64" s="129" t="s">
        <v>878</v>
      </c>
      <c r="E64" s="242">
        <v>10.0</v>
      </c>
    </row>
    <row r="65">
      <c r="A65" s="242">
        <v>101.0</v>
      </c>
      <c r="B65" s="129" t="s">
        <v>812</v>
      </c>
      <c r="C65" s="242">
        <v>30986.0</v>
      </c>
      <c r="D65" s="129" t="s">
        <v>365</v>
      </c>
      <c r="E65" s="242">
        <v>8.0</v>
      </c>
      <c r="F65" s="242">
        <v>10.0</v>
      </c>
      <c r="G65" s="242">
        <v>8.0</v>
      </c>
    </row>
    <row r="66">
      <c r="A66" s="242">
        <v>101.0</v>
      </c>
      <c r="B66" s="129" t="s">
        <v>812</v>
      </c>
      <c r="C66" s="242">
        <v>38459.0</v>
      </c>
      <c r="D66" s="129" t="s">
        <v>413</v>
      </c>
      <c r="E66" s="242">
        <v>9.0</v>
      </c>
    </row>
    <row r="67">
      <c r="A67" s="242">
        <v>102.0</v>
      </c>
      <c r="B67" s="129" t="s">
        <v>821</v>
      </c>
      <c r="C67" s="242">
        <v>35793.0</v>
      </c>
      <c r="D67" s="129" t="s">
        <v>883</v>
      </c>
    </row>
    <row r="68">
      <c r="A68" s="242">
        <v>101.0</v>
      </c>
      <c r="B68" s="129" t="s">
        <v>812</v>
      </c>
      <c r="C68" s="242">
        <v>31164.0</v>
      </c>
      <c r="D68" s="129" t="s">
        <v>326</v>
      </c>
      <c r="E68" s="242">
        <v>10.0</v>
      </c>
      <c r="F68" s="242">
        <v>9.0</v>
      </c>
    </row>
    <row r="69">
      <c r="A69" s="242">
        <v>68.0</v>
      </c>
      <c r="B69" s="129" t="s">
        <v>815</v>
      </c>
      <c r="C69" s="242">
        <v>35844.0</v>
      </c>
      <c r="D69" s="129" t="s">
        <v>87</v>
      </c>
    </row>
    <row r="70">
      <c r="A70" s="242">
        <v>101.0</v>
      </c>
      <c r="B70" s="129" t="s">
        <v>812</v>
      </c>
      <c r="C70" s="242">
        <v>30985.0</v>
      </c>
      <c r="D70" s="129" t="s">
        <v>369</v>
      </c>
      <c r="E70" s="242">
        <v>9.0</v>
      </c>
      <c r="F70" s="242">
        <v>6.0</v>
      </c>
    </row>
    <row r="71">
      <c r="A71" s="242">
        <v>101.0</v>
      </c>
      <c r="B71" s="129" t="s">
        <v>812</v>
      </c>
      <c r="C71" s="242">
        <v>50185.0</v>
      </c>
      <c r="D71" s="129" t="s">
        <v>892</v>
      </c>
    </row>
    <row r="72">
      <c r="A72" s="242">
        <v>101.0</v>
      </c>
      <c r="B72" s="129" t="s">
        <v>812</v>
      </c>
      <c r="C72" s="242">
        <v>37418.0</v>
      </c>
      <c r="D72" s="129" t="s">
        <v>315</v>
      </c>
      <c r="E72" s="242">
        <v>10.0</v>
      </c>
      <c r="F72" s="242">
        <v>10.0</v>
      </c>
      <c r="G72" s="242">
        <v>7.0</v>
      </c>
    </row>
    <row r="73">
      <c r="A73" s="242">
        <v>101.0</v>
      </c>
      <c r="B73" s="129" t="s">
        <v>812</v>
      </c>
      <c r="C73" s="242">
        <v>36312.0</v>
      </c>
      <c r="D73" s="129" t="s">
        <v>827</v>
      </c>
    </row>
    <row r="74">
      <c r="A74" s="242">
        <v>101.0</v>
      </c>
      <c r="B74" s="129" t="s">
        <v>812</v>
      </c>
      <c r="C74" s="242">
        <v>49623.0</v>
      </c>
      <c r="D74" s="129" t="s">
        <v>271</v>
      </c>
    </row>
    <row r="75">
      <c r="A75" s="242">
        <v>42.0</v>
      </c>
      <c r="B75" s="129" t="s">
        <v>799</v>
      </c>
      <c r="C75" s="242">
        <v>23454.0</v>
      </c>
      <c r="D75" s="129" t="s">
        <v>870</v>
      </c>
      <c r="I75" s="242">
        <v>10.0</v>
      </c>
      <c r="J75" s="242">
        <v>10.0</v>
      </c>
      <c r="K75" s="242">
        <v>10.0</v>
      </c>
      <c r="L75" s="242">
        <v>10.0</v>
      </c>
      <c r="M75" s="242">
        <v>10.0</v>
      </c>
      <c r="N75" s="242">
        <v>10.0</v>
      </c>
    </row>
    <row r="76">
      <c r="A76" s="242">
        <v>184.0</v>
      </c>
      <c r="B76" s="129" t="s">
        <v>807</v>
      </c>
      <c r="C76" s="242">
        <v>49119.0</v>
      </c>
      <c r="D76" s="129" t="s">
        <v>206</v>
      </c>
      <c r="R76" s="242">
        <v>10.0</v>
      </c>
      <c r="S76" s="242">
        <v>10.0</v>
      </c>
    </row>
    <row r="77">
      <c r="A77" s="242">
        <v>101.0</v>
      </c>
      <c r="B77" s="129" t="s">
        <v>812</v>
      </c>
      <c r="C77" s="242">
        <v>50246.0</v>
      </c>
      <c r="D77" s="129" t="s">
        <v>388</v>
      </c>
    </row>
    <row r="78">
      <c r="A78" s="242">
        <v>102.0</v>
      </c>
      <c r="B78" s="129" t="s">
        <v>821</v>
      </c>
      <c r="C78" s="242">
        <v>37526.0</v>
      </c>
      <c r="D78" s="129" t="s">
        <v>842</v>
      </c>
      <c r="E78" s="242">
        <v>10.0</v>
      </c>
      <c r="F78" s="242">
        <v>9.0</v>
      </c>
      <c r="G78" s="242">
        <v>8.0</v>
      </c>
    </row>
    <row r="79">
      <c r="A79" s="242">
        <v>101.0</v>
      </c>
      <c r="B79" s="129" t="s">
        <v>812</v>
      </c>
      <c r="C79" s="242">
        <v>49118.0</v>
      </c>
      <c r="D79" s="129" t="s">
        <v>854</v>
      </c>
      <c r="E79" s="242">
        <v>8.0</v>
      </c>
    </row>
    <row r="80">
      <c r="A80" s="242">
        <v>101.0</v>
      </c>
      <c r="B80" s="129" t="s">
        <v>812</v>
      </c>
      <c r="C80" s="242">
        <v>37412.0</v>
      </c>
      <c r="D80" s="129" t="s">
        <v>866</v>
      </c>
      <c r="E80" s="242">
        <v>7.0</v>
      </c>
      <c r="F80" s="242">
        <v>8.0</v>
      </c>
      <c r="G80" s="242">
        <v>10.0</v>
      </c>
    </row>
    <row r="81">
      <c r="A81" s="242">
        <v>101.0</v>
      </c>
      <c r="B81" s="129" t="s">
        <v>812</v>
      </c>
      <c r="C81" s="242">
        <v>38529.0</v>
      </c>
      <c r="D81" s="129" t="s">
        <v>362</v>
      </c>
    </row>
    <row r="82">
      <c r="A82" s="242">
        <v>42.0</v>
      </c>
      <c r="B82" s="129" t="s">
        <v>799</v>
      </c>
      <c r="C82" s="242">
        <v>23460.0</v>
      </c>
      <c r="D82" s="129" t="s">
        <v>871</v>
      </c>
      <c r="I82" s="242">
        <v>10.0</v>
      </c>
      <c r="J82" s="242">
        <v>10.0</v>
      </c>
      <c r="K82" s="242">
        <v>10.0</v>
      </c>
      <c r="L82" s="242">
        <v>10.0</v>
      </c>
      <c r="M82" s="242">
        <v>10.0</v>
      </c>
      <c r="N82" s="242">
        <v>10.0</v>
      </c>
    </row>
    <row r="83">
      <c r="A83" s="242">
        <v>101.0</v>
      </c>
      <c r="B83" s="129" t="s">
        <v>812</v>
      </c>
      <c r="C83" s="242">
        <v>49207.0</v>
      </c>
      <c r="D83" s="129" t="s">
        <v>826</v>
      </c>
      <c r="E83" s="242">
        <v>7.0</v>
      </c>
      <c r="F83" s="242">
        <v>9.5</v>
      </c>
    </row>
    <row r="84">
      <c r="A84" s="242">
        <v>101.0</v>
      </c>
      <c r="B84" s="129" t="s">
        <v>812</v>
      </c>
      <c r="C84" s="242">
        <v>47314.0</v>
      </c>
      <c r="D84" s="129" t="s">
        <v>447</v>
      </c>
      <c r="E84" s="242">
        <v>7.0</v>
      </c>
    </row>
    <row r="85">
      <c r="A85" s="242">
        <v>102.0</v>
      </c>
      <c r="B85" s="129" t="s">
        <v>821</v>
      </c>
      <c r="C85" s="242">
        <v>22098.0</v>
      </c>
      <c r="D85" s="129" t="s">
        <v>36</v>
      </c>
      <c r="E85" s="242">
        <v>7.0</v>
      </c>
      <c r="F85" s="242">
        <v>10.0</v>
      </c>
      <c r="G85" s="242">
        <v>10.0</v>
      </c>
    </row>
    <row r="86">
      <c r="A86" s="242">
        <v>102.0</v>
      </c>
      <c r="B86" s="129" t="s">
        <v>821</v>
      </c>
      <c r="C86" s="242">
        <v>41116.0</v>
      </c>
      <c r="D86" s="129" t="s">
        <v>226</v>
      </c>
      <c r="E86" s="242">
        <v>6.0</v>
      </c>
    </row>
    <row r="87">
      <c r="A87" s="242">
        <v>183.0</v>
      </c>
      <c r="B87" s="129" t="s">
        <v>891</v>
      </c>
      <c r="C87" s="242">
        <v>48778.0</v>
      </c>
      <c r="D87" s="129" t="s">
        <v>890</v>
      </c>
      <c r="Q87" s="242">
        <v>10.0</v>
      </c>
      <c r="R87" s="242">
        <v>10.0</v>
      </c>
      <c r="S87" s="242">
        <v>10.0</v>
      </c>
    </row>
    <row r="88">
      <c r="A88" s="242">
        <v>105.0</v>
      </c>
      <c r="B88" s="129" t="s">
        <v>806</v>
      </c>
      <c r="C88" s="242">
        <v>37339.0</v>
      </c>
      <c r="D88" s="129" t="s">
        <v>204</v>
      </c>
      <c r="E88" s="242">
        <v>10.0</v>
      </c>
      <c r="F88" s="242">
        <v>8.0</v>
      </c>
      <c r="G88" s="242">
        <v>10.0</v>
      </c>
      <c r="H88" s="242">
        <v>0.0</v>
      </c>
    </row>
    <row r="89">
      <c r="A89" s="242">
        <v>102.0</v>
      </c>
      <c r="B89" s="129" t="s">
        <v>821</v>
      </c>
      <c r="C89" s="242">
        <v>35891.0</v>
      </c>
      <c r="D89" s="129" t="s">
        <v>453</v>
      </c>
      <c r="E89" s="242">
        <v>8.0</v>
      </c>
      <c r="F89" s="242">
        <v>9.0</v>
      </c>
      <c r="G89" s="242">
        <v>8.0</v>
      </c>
    </row>
    <row r="90">
      <c r="A90" s="242">
        <v>102.0</v>
      </c>
      <c r="B90" s="129" t="s">
        <v>821</v>
      </c>
      <c r="C90" s="242">
        <v>38371.0</v>
      </c>
      <c r="D90" s="129" t="s">
        <v>855</v>
      </c>
      <c r="E90" s="242">
        <v>8.0</v>
      </c>
      <c r="F90" s="242">
        <v>8.0</v>
      </c>
      <c r="G90" s="242">
        <v>9.0</v>
      </c>
    </row>
    <row r="91">
      <c r="A91" s="242">
        <v>102.0</v>
      </c>
      <c r="B91" s="129" t="s">
        <v>821</v>
      </c>
      <c r="C91" s="242">
        <v>35795.0</v>
      </c>
      <c r="D91" s="129" t="s">
        <v>731</v>
      </c>
      <c r="E91" s="242">
        <v>10.0</v>
      </c>
      <c r="F91" s="242">
        <v>8.0</v>
      </c>
      <c r="G91" s="242">
        <v>7.0</v>
      </c>
    </row>
    <row r="92">
      <c r="A92" s="242">
        <v>102.0</v>
      </c>
      <c r="B92" s="129" t="s">
        <v>821</v>
      </c>
      <c r="C92" s="242">
        <v>22548.0</v>
      </c>
      <c r="D92" s="129" t="s">
        <v>125</v>
      </c>
      <c r="E92" s="242">
        <v>7.0</v>
      </c>
      <c r="F92" s="242">
        <v>10.0</v>
      </c>
    </row>
    <row r="93">
      <c r="A93" s="242">
        <v>102.0</v>
      </c>
      <c r="B93" s="129" t="s">
        <v>821</v>
      </c>
      <c r="C93" s="242">
        <v>39347.0</v>
      </c>
      <c r="D93" s="129" t="s">
        <v>861</v>
      </c>
      <c r="E93" s="242">
        <v>8.0</v>
      </c>
      <c r="F93" s="242">
        <v>8.0</v>
      </c>
      <c r="G93" s="242">
        <v>9.0</v>
      </c>
    </row>
    <row r="94">
      <c r="A94" s="242">
        <v>102.0</v>
      </c>
      <c r="B94" s="129" t="s">
        <v>821</v>
      </c>
      <c r="C94" s="242">
        <v>48969.0</v>
      </c>
      <c r="D94" s="129" t="s">
        <v>832</v>
      </c>
      <c r="E94" s="242">
        <v>8.0</v>
      </c>
      <c r="F94" s="242">
        <v>9.0</v>
      </c>
      <c r="G94" s="242">
        <v>10.0</v>
      </c>
    </row>
    <row r="95">
      <c r="A95" s="242">
        <v>102.0</v>
      </c>
      <c r="B95" s="129" t="s">
        <v>821</v>
      </c>
      <c r="C95" s="242">
        <v>45371.0</v>
      </c>
      <c r="D95" s="129" t="s">
        <v>356</v>
      </c>
      <c r="E95" s="242">
        <v>10.0</v>
      </c>
      <c r="F95" s="242">
        <v>7.0</v>
      </c>
      <c r="G95" s="242">
        <v>10.0</v>
      </c>
    </row>
    <row r="96">
      <c r="A96" s="242">
        <v>102.0</v>
      </c>
      <c r="B96" s="129" t="s">
        <v>821</v>
      </c>
      <c r="C96" s="242">
        <v>37449.0</v>
      </c>
      <c r="D96" s="129" t="s">
        <v>35</v>
      </c>
      <c r="E96" s="242">
        <v>8.0</v>
      </c>
      <c r="F96" s="242">
        <v>7.0</v>
      </c>
      <c r="G96" s="242">
        <v>10.0</v>
      </c>
    </row>
    <row r="97">
      <c r="A97" s="242">
        <v>102.0</v>
      </c>
      <c r="B97" s="129" t="s">
        <v>821</v>
      </c>
      <c r="C97" s="242">
        <v>38078.0</v>
      </c>
      <c r="D97" s="129" t="s">
        <v>228</v>
      </c>
      <c r="E97" s="242">
        <v>10.0</v>
      </c>
      <c r="F97" s="242">
        <v>8.0</v>
      </c>
    </row>
    <row r="98">
      <c r="A98" s="242">
        <v>102.0</v>
      </c>
      <c r="B98" s="129" t="s">
        <v>821</v>
      </c>
      <c r="C98" s="242">
        <v>41210.0</v>
      </c>
      <c r="D98" s="129" t="s">
        <v>261</v>
      </c>
      <c r="E98" s="242">
        <v>10.0</v>
      </c>
      <c r="F98" s="242">
        <v>7.0</v>
      </c>
      <c r="G98" s="242">
        <v>10.0</v>
      </c>
    </row>
    <row r="99">
      <c r="A99" s="242">
        <v>102.0</v>
      </c>
      <c r="B99" s="129" t="s">
        <v>821</v>
      </c>
      <c r="C99" s="242">
        <v>38098.0</v>
      </c>
      <c r="D99" s="129" t="s">
        <v>45</v>
      </c>
      <c r="E99" s="242">
        <v>10.0</v>
      </c>
      <c r="F99" s="242">
        <v>10.0</v>
      </c>
      <c r="G99" s="242">
        <v>10.0</v>
      </c>
      <c r="H99" s="242">
        <v>0.0</v>
      </c>
    </row>
    <row r="100">
      <c r="A100" s="242">
        <v>102.0</v>
      </c>
      <c r="B100" s="129" t="s">
        <v>821</v>
      </c>
      <c r="C100" s="242">
        <v>38937.0</v>
      </c>
      <c r="D100" s="129" t="s">
        <v>727</v>
      </c>
      <c r="E100" s="242">
        <v>10.0</v>
      </c>
      <c r="F100" s="242">
        <v>8.0</v>
      </c>
    </row>
    <row r="101">
      <c r="A101" s="242">
        <v>102.0</v>
      </c>
      <c r="B101" s="129" t="s">
        <v>821</v>
      </c>
      <c r="C101" s="242">
        <v>6644.0</v>
      </c>
      <c r="D101" s="129" t="s">
        <v>196</v>
      </c>
      <c r="E101" s="242">
        <v>8.0</v>
      </c>
    </row>
    <row r="102">
      <c r="A102" s="242">
        <v>106.0</v>
      </c>
      <c r="B102" s="129" t="s">
        <v>804</v>
      </c>
      <c r="C102" s="242">
        <v>7462.0</v>
      </c>
      <c r="D102" s="129" t="s">
        <v>151</v>
      </c>
      <c r="E102" s="242">
        <v>6.0</v>
      </c>
      <c r="F102" s="242">
        <v>7.0</v>
      </c>
    </row>
    <row r="103">
      <c r="A103" s="242">
        <v>102.0</v>
      </c>
      <c r="B103" s="129" t="s">
        <v>821</v>
      </c>
      <c r="C103" s="242">
        <v>40995.0</v>
      </c>
      <c r="D103" s="129" t="s">
        <v>149</v>
      </c>
      <c r="E103" s="242">
        <v>8.0</v>
      </c>
      <c r="F103" s="242">
        <v>8.0</v>
      </c>
      <c r="G103" s="242">
        <v>10.0</v>
      </c>
    </row>
    <row r="104">
      <c r="A104" s="242">
        <v>102.0</v>
      </c>
      <c r="B104" s="129" t="s">
        <v>821</v>
      </c>
      <c r="C104" s="242">
        <v>37524.0</v>
      </c>
      <c r="D104" s="129" t="s">
        <v>887</v>
      </c>
      <c r="E104" s="242">
        <v>10.0</v>
      </c>
      <c r="F104" s="242">
        <v>7.0</v>
      </c>
      <c r="G104" s="242">
        <v>10.0</v>
      </c>
    </row>
    <row r="105">
      <c r="A105" s="242">
        <v>137.0</v>
      </c>
      <c r="B105" s="129" t="s">
        <v>822</v>
      </c>
      <c r="C105" s="242">
        <v>10703.0</v>
      </c>
      <c r="D105" s="129" t="s">
        <v>844</v>
      </c>
      <c r="Q105" s="242">
        <v>10.0</v>
      </c>
      <c r="R105" s="242">
        <v>10.0</v>
      </c>
      <c r="S105" s="242">
        <v>10.0</v>
      </c>
    </row>
    <row r="106">
      <c r="A106" s="242">
        <v>102.0</v>
      </c>
      <c r="B106" s="129" t="s">
        <v>821</v>
      </c>
      <c r="C106" s="242">
        <v>40058.0</v>
      </c>
      <c r="D106" s="129" t="s">
        <v>230</v>
      </c>
      <c r="E106" s="242">
        <v>8.0</v>
      </c>
    </row>
    <row r="107">
      <c r="A107" s="242">
        <v>42.0</v>
      </c>
      <c r="B107" s="129" t="s">
        <v>799</v>
      </c>
      <c r="C107" s="242">
        <v>18263.0</v>
      </c>
      <c r="D107" s="129" t="s">
        <v>708</v>
      </c>
      <c r="I107" s="242">
        <v>10.0</v>
      </c>
      <c r="J107" s="242">
        <v>10.0</v>
      </c>
      <c r="K107" s="242">
        <v>10.0</v>
      </c>
      <c r="L107" s="242">
        <v>10.0</v>
      </c>
      <c r="M107" s="242">
        <v>10.0</v>
      </c>
      <c r="N107" s="242">
        <v>10.0</v>
      </c>
    </row>
    <row r="108">
      <c r="A108" s="242">
        <v>106.0</v>
      </c>
      <c r="B108" s="129" t="s">
        <v>804</v>
      </c>
      <c r="C108" s="242">
        <v>8248.0</v>
      </c>
      <c r="D108" s="129" t="s">
        <v>718</v>
      </c>
    </row>
    <row r="109">
      <c r="A109" s="242">
        <v>149.0</v>
      </c>
      <c r="B109" s="129" t="s">
        <v>801</v>
      </c>
      <c r="C109" s="242">
        <v>15011.0</v>
      </c>
      <c r="D109" s="129" t="s">
        <v>845</v>
      </c>
    </row>
    <row r="110">
      <c r="A110" s="242">
        <v>42.0</v>
      </c>
      <c r="B110" s="129" t="s">
        <v>799</v>
      </c>
      <c r="C110" s="242">
        <v>22756.0</v>
      </c>
      <c r="D110" s="129" t="s">
        <v>303</v>
      </c>
      <c r="I110" s="242">
        <v>10.0</v>
      </c>
      <c r="M110" s="242">
        <v>10.0</v>
      </c>
    </row>
    <row r="111">
      <c r="A111" s="242">
        <v>26.0</v>
      </c>
      <c r="B111" s="129" t="s">
        <v>803</v>
      </c>
      <c r="C111" s="242">
        <v>10702.0</v>
      </c>
      <c r="D111" s="129" t="s">
        <v>325</v>
      </c>
      <c r="I111" s="242">
        <v>10.0</v>
      </c>
      <c r="J111" s="242">
        <v>10.0</v>
      </c>
    </row>
    <row r="112">
      <c r="A112" s="242">
        <v>42.0</v>
      </c>
      <c r="B112" s="129" t="s">
        <v>799</v>
      </c>
      <c r="C112" s="242">
        <v>23755.0</v>
      </c>
      <c r="D112" s="129" t="s">
        <v>884</v>
      </c>
      <c r="I112" s="242">
        <v>10.0</v>
      </c>
      <c r="J112" s="242">
        <v>10.0</v>
      </c>
      <c r="K112" s="242">
        <v>7.0</v>
      </c>
    </row>
    <row r="113">
      <c r="A113" s="242">
        <v>142.0</v>
      </c>
      <c r="B113" s="129" t="s">
        <v>841</v>
      </c>
      <c r="C113" s="242">
        <v>6641.0</v>
      </c>
      <c r="D113" s="129" t="s">
        <v>295</v>
      </c>
      <c r="Q113" s="242">
        <v>10.0</v>
      </c>
      <c r="R113" s="242">
        <v>10.0</v>
      </c>
      <c r="S113" s="242">
        <v>10.0</v>
      </c>
    </row>
    <row r="114">
      <c r="A114" s="242">
        <v>42.0</v>
      </c>
      <c r="B114" s="129" t="s">
        <v>799</v>
      </c>
      <c r="C114" s="242">
        <v>18081.0</v>
      </c>
      <c r="D114" s="129" t="s">
        <v>90</v>
      </c>
      <c r="I114" s="242">
        <v>10.0</v>
      </c>
    </row>
    <row r="115">
      <c r="A115" s="242">
        <v>197.0</v>
      </c>
      <c r="B115" s="129" t="s">
        <v>811</v>
      </c>
      <c r="C115" s="242">
        <v>23754.0</v>
      </c>
      <c r="D115" s="129" t="s">
        <v>882</v>
      </c>
    </row>
    <row r="116">
      <c r="A116" s="242">
        <v>42.0</v>
      </c>
      <c r="B116" s="129" t="s">
        <v>799</v>
      </c>
      <c r="C116" s="242">
        <v>23456.0</v>
      </c>
      <c r="D116" s="129" t="s">
        <v>889</v>
      </c>
      <c r="I116" s="242">
        <v>10.0</v>
      </c>
      <c r="J116" s="242">
        <v>10.0</v>
      </c>
      <c r="K116" s="242">
        <v>10.0</v>
      </c>
      <c r="L116" s="242">
        <v>8.0</v>
      </c>
      <c r="M116" s="242">
        <v>8.0</v>
      </c>
      <c r="N116" s="242">
        <v>10.0</v>
      </c>
    </row>
    <row r="117">
      <c r="A117" s="242">
        <v>106.0</v>
      </c>
      <c r="B117" s="129" t="s">
        <v>804</v>
      </c>
      <c r="C117" s="242">
        <v>14094.0</v>
      </c>
      <c r="D117" s="129" t="s">
        <v>666</v>
      </c>
      <c r="E117" s="242">
        <v>8.0</v>
      </c>
      <c r="F117" s="242">
        <v>10.0</v>
      </c>
    </row>
    <row r="118">
      <c r="A118" s="242">
        <v>42.0</v>
      </c>
      <c r="B118" s="129" t="s">
        <v>799</v>
      </c>
      <c r="C118" s="242">
        <v>30840.0</v>
      </c>
      <c r="D118" s="129" t="s">
        <v>813</v>
      </c>
      <c r="I118" s="242">
        <v>10.0</v>
      </c>
      <c r="J118" s="242">
        <v>10.0</v>
      </c>
      <c r="K118" s="242">
        <v>10.0</v>
      </c>
      <c r="L118" s="242">
        <v>10.0</v>
      </c>
      <c r="M118" s="242">
        <v>10.0</v>
      </c>
      <c r="N118" s="242">
        <v>10.0</v>
      </c>
    </row>
    <row r="119">
      <c r="A119" s="242">
        <v>42.0</v>
      </c>
      <c r="B119" s="129" t="s">
        <v>799</v>
      </c>
      <c r="C119" s="242">
        <v>34489.0</v>
      </c>
      <c r="D119" s="129" t="s">
        <v>145</v>
      </c>
      <c r="I119" s="242">
        <v>10.0</v>
      </c>
      <c r="J119" s="242">
        <v>10.0</v>
      </c>
      <c r="K119" s="242">
        <v>10.0</v>
      </c>
      <c r="L119" s="242">
        <v>10.0</v>
      </c>
    </row>
    <row r="120">
      <c r="A120" s="242">
        <v>42.0</v>
      </c>
      <c r="B120" s="129" t="s">
        <v>799</v>
      </c>
      <c r="C120" s="242">
        <v>22549.0</v>
      </c>
      <c r="D120" s="129" t="s">
        <v>94</v>
      </c>
      <c r="I120" s="242">
        <v>10.0</v>
      </c>
      <c r="J120" s="242">
        <v>10.0</v>
      </c>
      <c r="K120" s="242">
        <v>10.0</v>
      </c>
      <c r="L120" s="242">
        <v>10.0</v>
      </c>
      <c r="M120" s="242">
        <v>10.0</v>
      </c>
      <c r="N120" s="242">
        <v>10.0</v>
      </c>
    </row>
    <row r="121">
      <c r="A121" s="242">
        <v>149.0</v>
      </c>
      <c r="B121" s="129" t="s">
        <v>801</v>
      </c>
      <c r="C121" s="242">
        <v>30938.0</v>
      </c>
      <c r="D121" s="129" t="s">
        <v>817</v>
      </c>
    </row>
    <row r="122">
      <c r="A122" s="242">
        <v>42.0</v>
      </c>
      <c r="B122" s="129" t="s">
        <v>799</v>
      </c>
      <c r="C122" s="242">
        <v>14108.0</v>
      </c>
      <c r="D122" s="129" t="s">
        <v>704</v>
      </c>
      <c r="I122" s="242">
        <v>8.0</v>
      </c>
      <c r="J122" s="242">
        <v>8.0</v>
      </c>
    </row>
    <row r="123">
      <c r="A123" s="242">
        <v>42.0</v>
      </c>
      <c r="B123" s="129" t="s">
        <v>799</v>
      </c>
      <c r="C123" s="242">
        <v>20524.0</v>
      </c>
      <c r="D123" s="129" t="s">
        <v>140</v>
      </c>
      <c r="I123" s="242">
        <v>10.0</v>
      </c>
      <c r="J123" s="242">
        <v>10.0</v>
      </c>
      <c r="K123" s="242">
        <v>10.0</v>
      </c>
      <c r="L123" s="242">
        <v>10.0</v>
      </c>
    </row>
    <row r="124">
      <c r="A124" s="242">
        <v>42.0</v>
      </c>
      <c r="B124" s="129" t="s">
        <v>799</v>
      </c>
      <c r="C124" s="242">
        <v>13895.0</v>
      </c>
      <c r="D124" s="129" t="s">
        <v>248</v>
      </c>
      <c r="I124" s="242">
        <v>10.0</v>
      </c>
      <c r="J124" s="242">
        <v>10.0</v>
      </c>
      <c r="K124" s="242">
        <v>10.0</v>
      </c>
      <c r="L124" s="242">
        <v>10.0</v>
      </c>
      <c r="M124" s="242">
        <v>10.0</v>
      </c>
      <c r="N124" s="242">
        <v>10.0</v>
      </c>
    </row>
    <row r="125">
      <c r="A125" s="242">
        <v>42.0</v>
      </c>
      <c r="B125" s="129" t="s">
        <v>799</v>
      </c>
      <c r="C125" s="242">
        <v>16688.0</v>
      </c>
      <c r="D125" s="129" t="s">
        <v>848</v>
      </c>
      <c r="I125" s="242">
        <v>10.0</v>
      </c>
      <c r="J125" s="242">
        <v>10.0</v>
      </c>
      <c r="K125" s="242">
        <v>10.0</v>
      </c>
      <c r="L125" s="242">
        <v>10.0</v>
      </c>
      <c r="M125" s="242">
        <v>10.0</v>
      </c>
      <c r="N125" s="242">
        <v>10.0</v>
      </c>
    </row>
    <row r="126">
      <c r="A126" s="242">
        <v>42.0</v>
      </c>
      <c r="B126" s="129" t="s">
        <v>799</v>
      </c>
      <c r="C126" s="242">
        <v>38372.0</v>
      </c>
      <c r="D126" s="129" t="s">
        <v>352</v>
      </c>
      <c r="I126" s="242">
        <v>10.0</v>
      </c>
      <c r="J126" s="242">
        <v>10.0</v>
      </c>
    </row>
    <row r="127">
      <c r="A127" s="242">
        <v>26.0</v>
      </c>
      <c r="B127" s="129" t="s">
        <v>803</v>
      </c>
      <c r="C127" s="242">
        <v>10701.0</v>
      </c>
      <c r="D127" s="129" t="s">
        <v>322</v>
      </c>
    </row>
    <row r="128">
      <c r="A128" s="242">
        <v>68.0</v>
      </c>
      <c r="B128" s="129" t="s">
        <v>815</v>
      </c>
      <c r="C128" s="242">
        <v>7253.0</v>
      </c>
      <c r="D128" s="129" t="s">
        <v>865</v>
      </c>
    </row>
    <row r="129">
      <c r="A129" s="242">
        <v>26.0</v>
      </c>
      <c r="B129" s="129" t="s">
        <v>803</v>
      </c>
      <c r="C129" s="242">
        <v>22924.0</v>
      </c>
      <c r="D129" s="129" t="s">
        <v>285</v>
      </c>
      <c r="I129" s="242">
        <v>10.0</v>
      </c>
      <c r="J129" s="242">
        <v>10.0</v>
      </c>
      <c r="K129" s="242">
        <v>10.0</v>
      </c>
      <c r="L129" s="242">
        <v>10.0</v>
      </c>
      <c r="M129" s="242">
        <v>10.0</v>
      </c>
      <c r="N129" s="242">
        <v>10.0</v>
      </c>
    </row>
    <row r="130">
      <c r="A130" s="242">
        <v>42.0</v>
      </c>
      <c r="B130" s="129" t="s">
        <v>799</v>
      </c>
      <c r="C130" s="242">
        <v>36071.0</v>
      </c>
      <c r="D130" s="129" t="s">
        <v>823</v>
      </c>
      <c r="I130" s="242">
        <v>10.0</v>
      </c>
      <c r="J130" s="242">
        <v>10.0</v>
      </c>
      <c r="K130" s="242">
        <v>10.0</v>
      </c>
      <c r="L130" s="242">
        <v>10.0</v>
      </c>
      <c r="M130" s="242">
        <v>10.0</v>
      </c>
      <c r="N130" s="242">
        <v>10.0</v>
      </c>
    </row>
    <row r="131">
      <c r="A131" s="242">
        <v>42.0</v>
      </c>
      <c r="B131" s="129" t="s">
        <v>799</v>
      </c>
      <c r="C131" s="242">
        <v>36070.0</v>
      </c>
      <c r="D131" s="129" t="s">
        <v>849</v>
      </c>
      <c r="I131" s="242">
        <v>10.0</v>
      </c>
      <c r="J131" s="242">
        <v>10.0</v>
      </c>
      <c r="K131" s="242">
        <v>10.0</v>
      </c>
      <c r="L131" s="242">
        <v>10.0</v>
      </c>
      <c r="M131" s="242">
        <v>10.0</v>
      </c>
      <c r="N131" s="242">
        <v>10.0</v>
      </c>
    </row>
    <row r="132">
      <c r="A132" s="242">
        <v>42.0</v>
      </c>
      <c r="B132" s="129" t="s">
        <v>799</v>
      </c>
      <c r="C132" s="242">
        <v>22034.0</v>
      </c>
      <c r="D132" s="129" t="s">
        <v>869</v>
      </c>
      <c r="I132" s="242">
        <v>10.0</v>
      </c>
      <c r="J132" s="242">
        <v>10.0</v>
      </c>
      <c r="K132" s="242">
        <v>10.0</v>
      </c>
      <c r="L132" s="242">
        <v>10.0</v>
      </c>
      <c r="M132" s="242">
        <v>10.0</v>
      </c>
      <c r="N132" s="242">
        <v>10.0</v>
      </c>
    </row>
    <row r="133">
      <c r="A133" s="242">
        <v>42.0</v>
      </c>
      <c r="B133" s="129" t="s">
        <v>799</v>
      </c>
      <c r="C133" s="242">
        <v>22923.0</v>
      </c>
      <c r="D133" s="129" t="s">
        <v>306</v>
      </c>
      <c r="I133" s="242">
        <v>10.0</v>
      </c>
      <c r="J133" s="242">
        <v>10.0</v>
      </c>
      <c r="K133" s="242">
        <v>10.0</v>
      </c>
      <c r="L133" s="242">
        <v>10.0</v>
      </c>
      <c r="M133" s="242">
        <v>10.0</v>
      </c>
      <c r="N133" s="242">
        <v>10.0</v>
      </c>
    </row>
    <row r="134">
      <c r="A134" s="242">
        <v>26.0</v>
      </c>
      <c r="B134" s="129" t="s">
        <v>803</v>
      </c>
      <c r="C134" s="242">
        <v>7182.0</v>
      </c>
      <c r="D134" s="129" t="s">
        <v>898</v>
      </c>
      <c r="I134" s="242">
        <v>10.0</v>
      </c>
      <c r="J134" s="242">
        <v>10.0</v>
      </c>
      <c r="K134" s="242">
        <v>10.0</v>
      </c>
      <c r="L134" s="242">
        <v>10.0</v>
      </c>
      <c r="M134" s="242">
        <v>10.0</v>
      </c>
      <c r="N134" s="242">
        <v>10.0</v>
      </c>
    </row>
    <row r="135">
      <c r="A135" s="242">
        <v>26.0</v>
      </c>
      <c r="B135" s="129" t="s">
        <v>803</v>
      </c>
      <c r="C135" s="242">
        <v>7079.0</v>
      </c>
      <c r="D135" s="129" t="s">
        <v>864</v>
      </c>
      <c r="I135" s="242">
        <v>10.0</v>
      </c>
      <c r="J135" s="242">
        <v>10.0</v>
      </c>
      <c r="K135" s="242">
        <v>10.0</v>
      </c>
      <c r="L135" s="242">
        <v>8.0</v>
      </c>
    </row>
    <row r="136">
      <c r="A136" s="242">
        <v>26.0</v>
      </c>
      <c r="B136" s="129" t="s">
        <v>803</v>
      </c>
      <c r="C136" s="242">
        <v>8097.0</v>
      </c>
      <c r="D136" s="129" t="s">
        <v>863</v>
      </c>
      <c r="I136" s="242">
        <v>10.0</v>
      </c>
      <c r="K136" s="242">
        <v>10.0</v>
      </c>
    </row>
    <row r="137">
      <c r="A137" s="242">
        <v>26.0</v>
      </c>
      <c r="B137" s="129" t="s">
        <v>803</v>
      </c>
      <c r="C137" s="242">
        <v>7459.0</v>
      </c>
      <c r="D137" s="129" t="s">
        <v>856</v>
      </c>
    </row>
    <row r="138">
      <c r="A138" s="242">
        <v>137.0</v>
      </c>
      <c r="B138" s="129" t="s">
        <v>822</v>
      </c>
      <c r="C138" s="242">
        <v>34564.0</v>
      </c>
      <c r="D138" s="129" t="s">
        <v>409</v>
      </c>
    </row>
    <row r="139">
      <c r="A139" s="242">
        <v>26.0</v>
      </c>
      <c r="B139" s="129" t="s">
        <v>803</v>
      </c>
      <c r="C139" s="242">
        <v>39986.0</v>
      </c>
      <c r="D139" s="129" t="s">
        <v>40</v>
      </c>
    </row>
    <row r="140">
      <c r="A140" s="242">
        <v>26.0</v>
      </c>
      <c r="B140" s="129" t="s">
        <v>803</v>
      </c>
      <c r="C140" s="242">
        <v>34563.0</v>
      </c>
      <c r="D140" s="129" t="s">
        <v>411</v>
      </c>
      <c r="I140" s="242">
        <v>10.0</v>
      </c>
      <c r="J140" s="242">
        <v>10.0</v>
      </c>
      <c r="K140" s="242">
        <v>10.0</v>
      </c>
      <c r="L140" s="242">
        <v>10.0</v>
      </c>
    </row>
    <row r="141">
      <c r="A141" s="242">
        <v>26.0</v>
      </c>
      <c r="B141" s="129" t="s">
        <v>803</v>
      </c>
      <c r="C141" s="242">
        <v>35794.0</v>
      </c>
      <c r="D141" s="129" t="s">
        <v>820</v>
      </c>
    </row>
    <row r="142">
      <c r="A142" s="242">
        <v>106.0</v>
      </c>
      <c r="B142" s="129" t="s">
        <v>804</v>
      </c>
      <c r="C142" s="242">
        <v>7256.0</v>
      </c>
      <c r="D142" s="129" t="s">
        <v>122</v>
      </c>
      <c r="E142" s="242">
        <v>7.0</v>
      </c>
    </row>
    <row r="143">
      <c r="A143" s="242">
        <v>26.0</v>
      </c>
      <c r="B143" s="129" t="s">
        <v>803</v>
      </c>
      <c r="C143" s="242">
        <v>37013.0</v>
      </c>
      <c r="D143" s="129" t="s">
        <v>371</v>
      </c>
      <c r="I143" s="242">
        <v>10.0</v>
      </c>
      <c r="J143" s="242">
        <v>10.0</v>
      </c>
    </row>
    <row r="144">
      <c r="A144" s="242">
        <v>26.0</v>
      </c>
      <c r="B144" s="129" t="s">
        <v>803</v>
      </c>
      <c r="C144" s="242">
        <v>23826.0</v>
      </c>
      <c r="D144" s="129" t="s">
        <v>722</v>
      </c>
      <c r="I144" s="242">
        <v>10.0</v>
      </c>
      <c r="J144" s="242">
        <v>10.0</v>
      </c>
    </row>
    <row r="145">
      <c r="A145" s="242">
        <v>106.0</v>
      </c>
      <c r="B145" s="129" t="s">
        <v>804</v>
      </c>
      <c r="C145" s="242">
        <v>8249.0</v>
      </c>
      <c r="D145" s="129" t="s">
        <v>452</v>
      </c>
    </row>
    <row r="146">
      <c r="A146" s="242">
        <v>137.0</v>
      </c>
      <c r="B146" s="129" t="s">
        <v>822</v>
      </c>
      <c r="C146" s="242">
        <v>7259.0</v>
      </c>
      <c r="D146" s="129" t="s">
        <v>879</v>
      </c>
      <c r="Q146" s="242">
        <v>10.0</v>
      </c>
    </row>
    <row r="147">
      <c r="A147" s="242">
        <v>43.0</v>
      </c>
      <c r="B147" s="129" t="s">
        <v>809</v>
      </c>
      <c r="C147" s="242">
        <v>7177.0</v>
      </c>
      <c r="D147" s="129" t="s">
        <v>670</v>
      </c>
      <c r="I147" s="242">
        <v>10.0</v>
      </c>
      <c r="J147" s="242">
        <v>10.0</v>
      </c>
      <c r="K147" s="242">
        <v>10.0</v>
      </c>
      <c r="L147" s="242">
        <v>9.0</v>
      </c>
    </row>
    <row r="148">
      <c r="A148" s="242">
        <v>106.0</v>
      </c>
      <c r="B148" s="129" t="s">
        <v>804</v>
      </c>
      <c r="C148" s="242">
        <v>14107.0</v>
      </c>
      <c r="D148" s="129" t="s">
        <v>687</v>
      </c>
      <c r="E148" s="242">
        <v>9.0</v>
      </c>
      <c r="F148" s="242">
        <v>10.0</v>
      </c>
    </row>
    <row r="149">
      <c r="A149" s="242">
        <v>106.0</v>
      </c>
      <c r="B149" s="129" t="s">
        <v>804</v>
      </c>
      <c r="C149" s="242">
        <v>22036.0</v>
      </c>
      <c r="D149" s="129" t="s">
        <v>706</v>
      </c>
      <c r="E149" s="242">
        <v>9.0</v>
      </c>
    </row>
    <row r="150">
      <c r="A150" s="242">
        <v>106.0</v>
      </c>
      <c r="B150" s="129" t="s">
        <v>804</v>
      </c>
      <c r="C150" s="242">
        <v>22918.0</v>
      </c>
      <c r="D150" s="129" t="s">
        <v>837</v>
      </c>
      <c r="E150" s="242">
        <v>8.0</v>
      </c>
    </row>
    <row r="151">
      <c r="A151" s="242">
        <v>106.0</v>
      </c>
      <c r="B151" s="129" t="s">
        <v>804</v>
      </c>
      <c r="C151" s="242">
        <v>22550.0</v>
      </c>
      <c r="D151" s="129" t="s">
        <v>301</v>
      </c>
      <c r="E151" s="242">
        <v>10.0</v>
      </c>
      <c r="F151" s="242">
        <v>9.0</v>
      </c>
    </row>
    <row r="152">
      <c r="A152" s="242">
        <v>106.0</v>
      </c>
      <c r="B152" s="129" t="s">
        <v>804</v>
      </c>
      <c r="C152" s="242">
        <v>22919.0</v>
      </c>
      <c r="D152" s="129" t="s">
        <v>818</v>
      </c>
      <c r="E152" s="242">
        <v>8.0</v>
      </c>
    </row>
    <row r="153">
      <c r="A153" s="242">
        <v>106.0</v>
      </c>
      <c r="B153" s="129" t="s">
        <v>804</v>
      </c>
      <c r="C153" s="242">
        <v>36392.0</v>
      </c>
      <c r="D153" s="129" t="s">
        <v>156</v>
      </c>
      <c r="E153" s="242">
        <v>8.0</v>
      </c>
    </row>
    <row r="154">
      <c r="A154" s="242">
        <v>43.0</v>
      </c>
      <c r="B154" s="129" t="s">
        <v>809</v>
      </c>
      <c r="C154" s="242">
        <v>7178.0</v>
      </c>
      <c r="D154" s="129" t="s">
        <v>725</v>
      </c>
      <c r="I154" s="242">
        <v>10.0</v>
      </c>
      <c r="J154" s="242">
        <v>8.0</v>
      </c>
    </row>
    <row r="155">
      <c r="A155" s="242">
        <v>137.0</v>
      </c>
      <c r="B155" s="129" t="s">
        <v>822</v>
      </c>
      <c r="C155" s="242">
        <v>22097.0</v>
      </c>
      <c r="D155" s="129" t="s">
        <v>257</v>
      </c>
    </row>
    <row r="156">
      <c r="A156" s="242">
        <v>137.0</v>
      </c>
      <c r="B156" s="129" t="s">
        <v>822</v>
      </c>
      <c r="C156" s="242">
        <v>35054.0</v>
      </c>
      <c r="D156" s="129" t="s">
        <v>137</v>
      </c>
      <c r="Q156" s="242">
        <v>10.0</v>
      </c>
      <c r="R156" s="242">
        <v>10.0</v>
      </c>
      <c r="S156" s="242">
        <v>10.0</v>
      </c>
    </row>
    <row r="157">
      <c r="A157" s="242">
        <v>43.0</v>
      </c>
      <c r="B157" s="129" t="s">
        <v>809</v>
      </c>
      <c r="C157" s="242">
        <v>11625.0</v>
      </c>
      <c r="D157" s="129" t="s">
        <v>808</v>
      </c>
      <c r="I157" s="242">
        <v>10.0</v>
      </c>
      <c r="J157" s="242">
        <v>10.0</v>
      </c>
      <c r="K157" s="242">
        <v>10.0</v>
      </c>
      <c r="L157" s="242">
        <v>10.0</v>
      </c>
      <c r="M157" s="242">
        <v>10.0</v>
      </c>
      <c r="N157" s="242">
        <v>10.0</v>
      </c>
    </row>
    <row r="158">
      <c r="A158" s="242">
        <v>43.0</v>
      </c>
      <c r="B158" s="129" t="s">
        <v>809</v>
      </c>
      <c r="C158" s="242">
        <v>6645.0</v>
      </c>
      <c r="D158" s="129" t="s">
        <v>202</v>
      </c>
      <c r="I158" s="242">
        <v>10.0</v>
      </c>
    </row>
    <row r="159">
      <c r="A159" s="242">
        <v>44.0</v>
      </c>
      <c r="B159" s="129" t="s">
        <v>853</v>
      </c>
      <c r="C159" s="242">
        <v>7187.0</v>
      </c>
      <c r="D159" s="129" t="s">
        <v>131</v>
      </c>
      <c r="I159" s="242">
        <v>10.0</v>
      </c>
      <c r="J159" s="242">
        <v>10.0</v>
      </c>
      <c r="K159" s="242">
        <v>10.0</v>
      </c>
    </row>
    <row r="160">
      <c r="A160" s="242">
        <v>44.0</v>
      </c>
      <c r="B160" s="129" t="s">
        <v>853</v>
      </c>
      <c r="C160" s="242">
        <v>7172.0</v>
      </c>
      <c r="D160" s="129" t="s">
        <v>34</v>
      </c>
      <c r="I160" s="242">
        <v>10.0</v>
      </c>
      <c r="J160" s="242">
        <v>10.0</v>
      </c>
      <c r="K160" s="242">
        <v>10.0</v>
      </c>
    </row>
    <row r="161">
      <c r="A161" s="242">
        <v>44.0</v>
      </c>
      <c r="B161" s="129" t="s">
        <v>853</v>
      </c>
      <c r="C161" s="242">
        <v>7180.0</v>
      </c>
      <c r="D161" s="129" t="s">
        <v>880</v>
      </c>
      <c r="I161" s="242">
        <v>10.0</v>
      </c>
      <c r="J161" s="242">
        <v>10.0</v>
      </c>
      <c r="K161" s="242">
        <v>10.0</v>
      </c>
      <c r="L161" s="242">
        <v>10.0</v>
      </c>
      <c r="M161" s="242">
        <v>10.0</v>
      </c>
    </row>
    <row r="162">
      <c r="A162" s="242">
        <v>44.0</v>
      </c>
      <c r="B162" s="129" t="s">
        <v>853</v>
      </c>
      <c r="C162" s="242">
        <v>7113.0</v>
      </c>
      <c r="D162" s="129" t="s">
        <v>852</v>
      </c>
      <c r="I162" s="242">
        <v>10.0</v>
      </c>
      <c r="J162" s="242">
        <v>10.0</v>
      </c>
      <c r="K162" s="242">
        <v>10.0</v>
      </c>
    </row>
    <row r="163">
      <c r="A163" s="242">
        <v>44.0</v>
      </c>
      <c r="B163" s="129" t="s">
        <v>853</v>
      </c>
      <c r="C163" s="242">
        <v>35055.0</v>
      </c>
      <c r="D163" s="129" t="s">
        <v>135</v>
      </c>
      <c r="I163" s="242">
        <v>10.0</v>
      </c>
    </row>
    <row r="164">
      <c r="A164" s="242">
        <v>68.0</v>
      </c>
      <c r="B164" s="129" t="s">
        <v>815</v>
      </c>
      <c r="C164" s="242">
        <v>21231.0</v>
      </c>
      <c r="D164" s="129" t="s">
        <v>835</v>
      </c>
      <c r="I164" s="242">
        <v>10.0</v>
      </c>
      <c r="J164" s="242">
        <v>10.0</v>
      </c>
      <c r="K164" s="242">
        <v>10.0</v>
      </c>
      <c r="L164" s="242">
        <v>10.0</v>
      </c>
      <c r="M164" s="242">
        <v>10.0</v>
      </c>
      <c r="N164" s="242">
        <v>10.0</v>
      </c>
    </row>
    <row r="165">
      <c r="A165" s="242">
        <v>68.0</v>
      </c>
      <c r="B165" s="129" t="s">
        <v>815</v>
      </c>
      <c r="C165" s="242">
        <v>20174.0</v>
      </c>
      <c r="D165" s="129" t="s">
        <v>212</v>
      </c>
      <c r="I165" s="242">
        <v>10.0</v>
      </c>
      <c r="J165" s="242">
        <v>10.0</v>
      </c>
      <c r="K165" s="242">
        <v>10.0</v>
      </c>
      <c r="L165" s="242">
        <v>10.0</v>
      </c>
      <c r="M165" s="242">
        <v>10.0</v>
      </c>
      <c r="N165" s="242">
        <v>10.0</v>
      </c>
    </row>
    <row r="166">
      <c r="A166" s="242">
        <v>68.0</v>
      </c>
      <c r="B166" s="129" t="s">
        <v>815</v>
      </c>
      <c r="C166" s="242">
        <v>7165.0</v>
      </c>
      <c r="D166" s="129" t="s">
        <v>220</v>
      </c>
      <c r="I166" s="242">
        <v>10.0</v>
      </c>
      <c r="J166" s="242">
        <v>10.0</v>
      </c>
      <c r="K166" s="242">
        <v>10.0</v>
      </c>
      <c r="L166" s="242">
        <v>10.0</v>
      </c>
      <c r="M166" s="242">
        <v>10.0</v>
      </c>
      <c r="N166" s="242">
        <v>10.0</v>
      </c>
      <c r="O166" s="242">
        <v>10.0</v>
      </c>
    </row>
    <row r="167">
      <c r="A167" s="242">
        <v>68.0</v>
      </c>
      <c r="B167" s="129" t="s">
        <v>815</v>
      </c>
      <c r="C167" s="242">
        <v>21167.0</v>
      </c>
      <c r="D167" s="129" t="s">
        <v>851</v>
      </c>
      <c r="I167" s="242">
        <v>10.0</v>
      </c>
      <c r="J167" s="242">
        <v>10.0</v>
      </c>
      <c r="K167" s="242">
        <v>10.0</v>
      </c>
      <c r="M167" s="242">
        <v>10.0</v>
      </c>
    </row>
    <row r="168">
      <c r="A168" s="242">
        <v>68.0</v>
      </c>
      <c r="B168" s="129" t="s">
        <v>815</v>
      </c>
      <c r="C168" s="242">
        <v>21162.0</v>
      </c>
      <c r="D168" s="129" t="s">
        <v>843</v>
      </c>
      <c r="H168" s="242">
        <v>0.0</v>
      </c>
      <c r="I168" s="242">
        <v>10.0</v>
      </c>
      <c r="J168" s="242">
        <v>10.0</v>
      </c>
      <c r="K168" s="242">
        <v>10.0</v>
      </c>
      <c r="L168" s="242">
        <v>10.0</v>
      </c>
      <c r="M168" s="242">
        <v>10.0</v>
      </c>
      <c r="N168" s="242">
        <v>10.0</v>
      </c>
    </row>
    <row r="169">
      <c r="A169" s="242">
        <v>148.0</v>
      </c>
      <c r="B169" s="129" t="s">
        <v>802</v>
      </c>
      <c r="C169" s="242">
        <v>21163.0</v>
      </c>
      <c r="D169" s="129" t="s">
        <v>223</v>
      </c>
      <c r="Q169" s="242">
        <v>10.0</v>
      </c>
    </row>
    <row r="170">
      <c r="A170" s="242">
        <v>149.0</v>
      </c>
      <c r="B170" s="129" t="s">
        <v>801</v>
      </c>
      <c r="C170" s="242">
        <v>36414.0</v>
      </c>
      <c r="D170" s="129" t="s">
        <v>676</v>
      </c>
    </row>
    <row r="171">
      <c r="A171" s="242">
        <v>149.0</v>
      </c>
      <c r="B171" s="129" t="s">
        <v>801</v>
      </c>
      <c r="C171" s="242">
        <v>37450.0</v>
      </c>
      <c r="D171" s="129" t="s">
        <v>259</v>
      </c>
      <c r="Q171" s="242">
        <v>10.0</v>
      </c>
    </row>
    <row r="172">
      <c r="A172" s="242">
        <v>149.0</v>
      </c>
      <c r="B172" s="129" t="s">
        <v>801</v>
      </c>
      <c r="C172" s="242">
        <v>37425.0</v>
      </c>
      <c r="D172" s="129" t="s">
        <v>236</v>
      </c>
    </row>
    <row r="173">
      <c r="A173" s="242">
        <v>149.0</v>
      </c>
      <c r="B173" s="129" t="s">
        <v>801</v>
      </c>
      <c r="C173" s="242">
        <v>22437.0</v>
      </c>
      <c r="D173" s="129" t="s">
        <v>192</v>
      </c>
    </row>
    <row r="174">
      <c r="A174" s="242">
        <v>142.0</v>
      </c>
      <c r="B174" s="129" t="s">
        <v>841</v>
      </c>
      <c r="C174" s="242">
        <v>20553.0</v>
      </c>
      <c r="D174" s="129" t="s">
        <v>840</v>
      </c>
      <c r="Q174" s="242">
        <v>10.0</v>
      </c>
    </row>
    <row r="175">
      <c r="A175" s="242">
        <v>148.0</v>
      </c>
      <c r="B175" s="129" t="s">
        <v>802</v>
      </c>
      <c r="C175" s="242">
        <v>14330.0</v>
      </c>
      <c r="D175" s="129" t="s">
        <v>825</v>
      </c>
    </row>
    <row r="176">
      <c r="A176" s="242">
        <v>138.0</v>
      </c>
      <c r="B176" s="129" t="s">
        <v>800</v>
      </c>
      <c r="C176" s="242">
        <v>50378.0</v>
      </c>
      <c r="D176" s="129" t="s">
        <v>881</v>
      </c>
    </row>
    <row r="177">
      <c r="A177" s="242">
        <v>184.0</v>
      </c>
      <c r="B177" s="129" t="s">
        <v>807</v>
      </c>
      <c r="C177" s="242">
        <v>16871.0</v>
      </c>
      <c r="D177" s="129" t="s">
        <v>358</v>
      </c>
    </row>
    <row r="178">
      <c r="A178" s="242">
        <v>184.0</v>
      </c>
      <c r="B178" s="129" t="s">
        <v>807</v>
      </c>
      <c r="C178" s="242">
        <v>37154.0</v>
      </c>
      <c r="D178" s="129" t="s">
        <v>668</v>
      </c>
    </row>
    <row r="179">
      <c r="A179" s="242">
        <v>138.0</v>
      </c>
      <c r="B179" s="129" t="s">
        <v>800</v>
      </c>
      <c r="C179" s="242">
        <v>50391.0</v>
      </c>
      <c r="D179" s="129" t="s">
        <v>114</v>
      </c>
    </row>
    <row r="180">
      <c r="A180" s="242">
        <v>105.0</v>
      </c>
      <c r="B180" s="129" t="s">
        <v>806</v>
      </c>
      <c r="C180" s="242">
        <v>38096.0</v>
      </c>
      <c r="D180" s="129" t="s">
        <v>46</v>
      </c>
      <c r="E180" s="242">
        <v>7.0</v>
      </c>
      <c r="F180" s="242">
        <v>10.0</v>
      </c>
    </row>
    <row r="181">
      <c r="A181" s="242">
        <v>105.0</v>
      </c>
      <c r="B181" s="129" t="s">
        <v>806</v>
      </c>
      <c r="C181" s="242">
        <v>50426.0</v>
      </c>
      <c r="D181" s="129" t="s">
        <v>859</v>
      </c>
      <c r="E181" s="242">
        <v>10.0</v>
      </c>
    </row>
    <row r="182">
      <c r="A182" s="242">
        <v>105.0</v>
      </c>
      <c r="B182" s="129" t="s">
        <v>806</v>
      </c>
      <c r="C182" s="242">
        <v>50425.0</v>
      </c>
      <c r="D182" s="129" t="s">
        <v>311</v>
      </c>
    </row>
    <row r="183">
      <c r="A183" s="242">
        <v>44.0</v>
      </c>
      <c r="B183" s="129" t="s">
        <v>853</v>
      </c>
      <c r="C183" s="242">
        <v>7080.0</v>
      </c>
      <c r="D183" s="129" t="s">
        <v>876</v>
      </c>
      <c r="I183" s="242">
        <v>10.0</v>
      </c>
      <c r="J183" s="242">
        <v>10.0</v>
      </c>
      <c r="K183" s="242">
        <v>10.0</v>
      </c>
    </row>
    <row r="184">
      <c r="A184" s="242">
        <v>44.0</v>
      </c>
      <c r="B184" s="129" t="s">
        <v>853</v>
      </c>
      <c r="C184" s="242">
        <v>7168.0</v>
      </c>
      <c r="D184" s="129" t="s">
        <v>222</v>
      </c>
      <c r="I184" s="242">
        <v>10.0</v>
      </c>
      <c r="J184" s="242">
        <v>10.0</v>
      </c>
      <c r="K184" s="242">
        <v>10.0</v>
      </c>
    </row>
    <row r="185">
      <c r="A185" s="242">
        <v>138.0</v>
      </c>
      <c r="B185" s="129" t="s">
        <v>800</v>
      </c>
      <c r="C185" s="242">
        <v>50597.0</v>
      </c>
      <c r="D185" s="129" t="s">
        <v>116</v>
      </c>
    </row>
    <row r="186">
      <c r="A186" s="242">
        <v>138.0</v>
      </c>
      <c r="B186" s="129" t="s">
        <v>800</v>
      </c>
      <c r="C186" s="242">
        <v>51533.0</v>
      </c>
      <c r="D186" s="129" t="s">
        <v>169</v>
      </c>
    </row>
    <row r="187">
      <c r="A187" s="242">
        <v>138.0</v>
      </c>
      <c r="B187" s="129" t="s">
        <v>800</v>
      </c>
      <c r="C187" s="242">
        <v>51534.0</v>
      </c>
      <c r="D187" s="129" t="s">
        <v>167</v>
      </c>
    </row>
    <row r="188">
      <c r="A188" s="242">
        <v>138.0</v>
      </c>
      <c r="B188" s="129" t="s">
        <v>800</v>
      </c>
      <c r="C188" s="242">
        <v>50475.0</v>
      </c>
      <c r="D188" s="129" t="s">
        <v>277</v>
      </c>
    </row>
    <row r="189">
      <c r="A189" s="242">
        <v>138.0</v>
      </c>
      <c r="B189" s="129" t="s">
        <v>800</v>
      </c>
      <c r="C189" s="242">
        <v>51781.0</v>
      </c>
      <c r="D189" s="129" t="s">
        <v>867</v>
      </c>
    </row>
    <row r="190">
      <c r="A190" s="242">
        <v>138.0</v>
      </c>
      <c r="B190" s="129" t="s">
        <v>800</v>
      </c>
      <c r="C190" s="242">
        <v>51532.0</v>
      </c>
      <c r="D190" s="129" t="s">
        <v>420</v>
      </c>
    </row>
    <row r="191">
      <c r="A191" s="242">
        <v>138.0</v>
      </c>
      <c r="B191" s="129" t="s">
        <v>800</v>
      </c>
      <c r="C191" s="242">
        <v>51751.0</v>
      </c>
      <c r="D191" s="129" t="s">
        <v>816</v>
      </c>
    </row>
    <row r="192">
      <c r="A192" s="242">
        <v>138.0</v>
      </c>
      <c r="B192" s="129" t="s">
        <v>800</v>
      </c>
      <c r="C192" s="242">
        <v>51214.0</v>
      </c>
      <c r="D192" s="129" t="s">
        <v>418</v>
      </c>
    </row>
    <row r="193">
      <c r="A193" s="242">
        <v>138.0</v>
      </c>
      <c r="B193" s="129" t="s">
        <v>800</v>
      </c>
      <c r="C193" s="242">
        <v>50062.0</v>
      </c>
      <c r="D193" s="129" t="s">
        <v>828</v>
      </c>
    </row>
    <row r="194">
      <c r="A194" s="242">
        <v>138.0</v>
      </c>
      <c r="B194" s="129" t="s">
        <v>800</v>
      </c>
      <c r="C194" s="242">
        <v>51653.0</v>
      </c>
      <c r="D194" s="129" t="s">
        <v>422</v>
      </c>
    </row>
    <row r="195">
      <c r="A195" s="242">
        <v>197.0</v>
      </c>
      <c r="B195" s="129" t="s">
        <v>811</v>
      </c>
      <c r="C195" s="242">
        <v>50595.0</v>
      </c>
      <c r="D195" s="129" t="s">
        <v>810</v>
      </c>
    </row>
    <row r="196">
      <c r="A196" s="242">
        <v>197.0</v>
      </c>
      <c r="B196" s="129" t="s">
        <v>811</v>
      </c>
      <c r="C196" s="242">
        <v>50596.0</v>
      </c>
      <c r="D196" s="129" t="s">
        <v>397</v>
      </c>
    </row>
    <row r="197">
      <c r="A197" s="242">
        <v>197.0</v>
      </c>
      <c r="B197" s="129" t="s">
        <v>811</v>
      </c>
      <c r="C197" s="242">
        <v>50594.0</v>
      </c>
      <c r="D197" s="129" t="s">
        <v>872</v>
      </c>
    </row>
    <row r="198">
      <c r="A198" s="242">
        <v>138.0</v>
      </c>
      <c r="B198" s="129" t="s">
        <v>800</v>
      </c>
      <c r="C198" s="242">
        <v>51784.0</v>
      </c>
      <c r="D198" s="129" t="s">
        <v>346</v>
      </c>
    </row>
    <row r="199">
      <c r="A199" s="242">
        <v>138.0</v>
      </c>
      <c r="B199" s="129" t="s">
        <v>800</v>
      </c>
      <c r="C199" s="242">
        <v>51782.0</v>
      </c>
      <c r="D199" s="129" t="s">
        <v>364</v>
      </c>
    </row>
    <row r="200">
      <c r="A200" s="242">
        <v>105.0</v>
      </c>
      <c r="B200" s="129" t="s">
        <v>806</v>
      </c>
      <c r="C200" s="242">
        <v>51935.0</v>
      </c>
      <c r="D200" s="129" t="s">
        <v>895</v>
      </c>
    </row>
    <row r="201">
      <c r="A201" s="242">
        <v>101.0</v>
      </c>
      <c r="B201" s="129" t="s">
        <v>812</v>
      </c>
      <c r="C201" s="242">
        <v>51642.0</v>
      </c>
      <c r="D201" s="129" t="s">
        <v>838</v>
      </c>
    </row>
    <row r="202">
      <c r="A202" s="242">
        <v>102.0</v>
      </c>
      <c r="B202" s="129" t="s">
        <v>821</v>
      </c>
      <c r="C202" s="242">
        <v>52087.0</v>
      </c>
      <c r="D202" s="129" t="s">
        <v>839</v>
      </c>
      <c r="E202" s="242">
        <v>10.0</v>
      </c>
    </row>
    <row r="203">
      <c r="A203" s="242">
        <v>138.0</v>
      </c>
      <c r="B203" s="129" t="s">
        <v>800</v>
      </c>
      <c r="C203" s="242">
        <v>52058.0</v>
      </c>
      <c r="D203" s="129" t="s">
        <v>428</v>
      </c>
    </row>
    <row r="204">
      <c r="A204" s="242">
        <v>138.0</v>
      </c>
      <c r="B204" s="129" t="s">
        <v>800</v>
      </c>
      <c r="C204" s="242">
        <v>52057.0</v>
      </c>
      <c r="D204" s="129" t="s">
        <v>430</v>
      </c>
    </row>
    <row r="205">
      <c r="A205" s="242">
        <v>138.0</v>
      </c>
      <c r="B205" s="129" t="s">
        <v>800</v>
      </c>
      <c r="C205" s="242">
        <v>52034.0</v>
      </c>
      <c r="D205" s="129" t="s">
        <v>426</v>
      </c>
    </row>
    <row r="206">
      <c r="A206" s="242">
        <v>197.0</v>
      </c>
      <c r="B206" s="129" t="s">
        <v>811</v>
      </c>
      <c r="C206" s="242">
        <v>51752.0</v>
      </c>
      <c r="D206" s="129" t="s">
        <v>888</v>
      </c>
    </row>
    <row r="207">
      <c r="A207" s="242">
        <v>197.0</v>
      </c>
      <c r="B207" s="129" t="s">
        <v>811</v>
      </c>
      <c r="C207" s="242">
        <v>51937.0</v>
      </c>
      <c r="D207" s="129" t="s">
        <v>106</v>
      </c>
    </row>
    <row r="208">
      <c r="A208" s="242">
        <v>138.0</v>
      </c>
      <c r="B208" s="129" t="s">
        <v>800</v>
      </c>
      <c r="C208" s="242">
        <v>51726.0</v>
      </c>
      <c r="D208" s="129" t="s">
        <v>170</v>
      </c>
    </row>
    <row r="209">
      <c r="A209" s="242">
        <v>138.0</v>
      </c>
      <c r="B209" s="129" t="s">
        <v>800</v>
      </c>
      <c r="C209" s="242">
        <v>52959.0</v>
      </c>
      <c r="D209" s="129" t="s">
        <v>886</v>
      </c>
    </row>
    <row r="210">
      <c r="A210" s="242">
        <v>138.0</v>
      </c>
      <c r="B210" s="129" t="s">
        <v>800</v>
      </c>
      <c r="C210" s="242">
        <v>52709.0</v>
      </c>
      <c r="D210" s="129" t="s">
        <v>278</v>
      </c>
    </row>
    <row r="211">
      <c r="A211" s="242">
        <v>177.0</v>
      </c>
      <c r="B211" s="129" t="s">
        <v>894</v>
      </c>
      <c r="C211" s="242">
        <v>52707.0</v>
      </c>
      <c r="D211" s="129" t="s">
        <v>281</v>
      </c>
    </row>
    <row r="212">
      <c r="A212" s="242">
        <v>177.0</v>
      </c>
      <c r="B212" s="129" t="s">
        <v>894</v>
      </c>
      <c r="C212" s="242">
        <v>52708.0</v>
      </c>
      <c r="D212" s="129" t="s">
        <v>280</v>
      </c>
    </row>
    <row r="213">
      <c r="B213" s="5"/>
      <c r="D213" s="5"/>
    </row>
    <row r="214">
      <c r="B214" s="5"/>
      <c r="D214" s="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29" t="s">
        <v>49</v>
      </c>
      <c r="B1" s="129" t="s">
        <v>905</v>
      </c>
      <c r="C1" s="129" t="s">
        <v>657</v>
      </c>
    </row>
    <row r="2">
      <c r="A2" s="129" t="s">
        <v>552</v>
      </c>
      <c r="B2" s="243">
        <v>45957.0</v>
      </c>
    </row>
    <row r="3">
      <c r="A3" s="129" t="s">
        <v>122</v>
      </c>
      <c r="B3" s="243">
        <v>45957.0</v>
      </c>
    </row>
    <row r="4">
      <c r="A4" s="129" t="s">
        <v>172</v>
      </c>
      <c r="B4" s="243">
        <v>45957.0</v>
      </c>
    </row>
    <row r="5">
      <c r="A5" s="129" t="s">
        <v>322</v>
      </c>
      <c r="B5" s="243">
        <v>45957.0</v>
      </c>
    </row>
    <row r="6">
      <c r="A6" s="129" t="s">
        <v>325</v>
      </c>
      <c r="B6" s="243">
        <v>45957.0</v>
      </c>
    </row>
    <row r="7">
      <c r="A7" s="129" t="s">
        <v>163</v>
      </c>
      <c r="B7" s="243">
        <v>45957.0</v>
      </c>
    </row>
    <row r="8">
      <c r="A8" s="129" t="s">
        <v>158</v>
      </c>
      <c r="B8" s="243">
        <v>45957.0</v>
      </c>
    </row>
    <row r="9">
      <c r="A9" s="129" t="s">
        <v>131</v>
      </c>
      <c r="B9" s="243">
        <v>45957.0</v>
      </c>
    </row>
    <row r="10">
      <c r="A10" s="129" t="s">
        <v>90</v>
      </c>
      <c r="B10" s="243">
        <v>45957.0</v>
      </c>
    </row>
    <row r="11">
      <c r="A11" s="129" t="s">
        <v>129</v>
      </c>
      <c r="B11" s="243">
        <v>45959.0</v>
      </c>
    </row>
    <row r="12">
      <c r="A12" s="129" t="s">
        <v>147</v>
      </c>
      <c r="B12" s="243">
        <v>45959.0</v>
      </c>
    </row>
    <row r="13">
      <c r="A13" s="129" t="s">
        <v>153</v>
      </c>
      <c r="B13" s="243">
        <v>45955.0</v>
      </c>
    </row>
    <row r="14">
      <c r="A14" s="129" t="s">
        <v>600</v>
      </c>
      <c r="B14" s="243">
        <v>45960.0</v>
      </c>
    </row>
    <row r="15">
      <c r="A15" s="129" t="s">
        <v>603</v>
      </c>
      <c r="B15" s="243">
        <v>45960.0</v>
      </c>
    </row>
    <row r="16">
      <c r="A16" s="129" t="s">
        <v>127</v>
      </c>
      <c r="B16" s="243">
        <v>45960.0</v>
      </c>
    </row>
    <row r="17">
      <c r="A17" s="129" t="s">
        <v>85</v>
      </c>
      <c r="B17" s="243">
        <v>45960.0</v>
      </c>
    </row>
    <row r="18">
      <c r="A18" s="129" t="s">
        <v>87</v>
      </c>
      <c r="B18" s="243">
        <v>45960.0</v>
      </c>
    </row>
    <row r="19">
      <c r="A19" s="129" t="s">
        <v>469</v>
      </c>
      <c r="B19" s="243">
        <v>45960.0</v>
      </c>
    </row>
    <row r="20">
      <c r="A20" s="129" t="s">
        <v>464</v>
      </c>
      <c r="B20" s="243">
        <v>45960.0</v>
      </c>
    </row>
    <row r="21">
      <c r="A21" s="129" t="s">
        <v>468</v>
      </c>
      <c r="B21" s="243">
        <v>45960.0</v>
      </c>
    </row>
    <row r="22">
      <c r="A22" s="129" t="s">
        <v>118</v>
      </c>
      <c r="B22" s="243">
        <v>45962.0</v>
      </c>
    </row>
    <row r="23">
      <c r="A23" s="129" t="s">
        <v>190</v>
      </c>
      <c r="B23" s="243">
        <v>45962.0</v>
      </c>
    </row>
    <row r="24">
      <c r="A24" s="129" t="s">
        <v>215</v>
      </c>
      <c r="B24" s="243">
        <v>45962.0</v>
      </c>
    </row>
    <row r="25">
      <c r="A25" s="129" t="s">
        <v>217</v>
      </c>
      <c r="B25" s="243">
        <v>45962.0</v>
      </c>
    </row>
    <row r="26">
      <c r="A26" s="129" t="s">
        <v>561</v>
      </c>
      <c r="B26" s="243">
        <v>45962.0</v>
      </c>
    </row>
    <row r="27">
      <c r="A27" s="129" t="s">
        <v>554</v>
      </c>
      <c r="B27" s="243">
        <v>45962.0</v>
      </c>
    </row>
    <row r="28">
      <c r="A28" s="129" t="s">
        <v>464</v>
      </c>
      <c r="B28" s="243">
        <v>45962.0</v>
      </c>
    </row>
    <row r="29">
      <c r="A29" s="129" t="s">
        <v>220</v>
      </c>
      <c r="B29" s="243">
        <v>45962.0</v>
      </c>
    </row>
    <row r="30">
      <c r="A30" s="129" t="s">
        <v>223</v>
      </c>
      <c r="B30" s="243">
        <v>45962.0</v>
      </c>
    </row>
    <row r="31">
      <c r="A31" s="129" t="s">
        <v>241</v>
      </c>
      <c r="B31" s="243">
        <v>45962.0</v>
      </c>
    </row>
    <row r="32">
      <c r="A32" s="129" t="s">
        <v>571</v>
      </c>
      <c r="B32" s="243">
        <v>45962.0</v>
      </c>
    </row>
    <row r="33">
      <c r="A33" s="129" t="s">
        <v>569</v>
      </c>
      <c r="B33" s="243">
        <v>45962.0</v>
      </c>
    </row>
    <row r="34">
      <c r="A34" s="129" t="s">
        <v>577</v>
      </c>
      <c r="B34" s="243">
        <v>45962.0</v>
      </c>
    </row>
    <row r="35">
      <c r="A35" s="129" t="s">
        <v>578</v>
      </c>
      <c r="B35" s="243">
        <v>45962.0</v>
      </c>
    </row>
    <row r="36">
      <c r="A36" s="129" t="s">
        <v>566</v>
      </c>
      <c r="B36" s="243">
        <v>45962.0</v>
      </c>
    </row>
    <row r="37">
      <c r="A37" s="129" t="s">
        <v>295</v>
      </c>
      <c r="B37" s="243">
        <v>45962.0</v>
      </c>
    </row>
    <row r="38">
      <c r="A38" s="129" t="s">
        <v>218</v>
      </c>
      <c r="B38" s="243">
        <v>45962.0</v>
      </c>
    </row>
    <row r="39">
      <c r="A39" s="129" t="s">
        <v>574</v>
      </c>
      <c r="B39" s="243">
        <v>45962.0</v>
      </c>
    </row>
    <row r="40">
      <c r="A40" s="129" t="s">
        <v>261</v>
      </c>
      <c r="B40" s="243">
        <v>45962.0</v>
      </c>
    </row>
    <row r="41">
      <c r="A41" s="129" t="s">
        <v>297</v>
      </c>
      <c r="B41" s="243">
        <v>45962.0</v>
      </c>
    </row>
    <row r="42">
      <c r="A42" s="129" t="s">
        <v>188</v>
      </c>
      <c r="B42" s="243">
        <v>45962.0</v>
      </c>
    </row>
    <row r="43">
      <c r="A43" s="129" t="s">
        <v>259</v>
      </c>
      <c r="B43" s="243">
        <v>45962.0</v>
      </c>
    </row>
    <row r="44">
      <c r="A44" s="129" t="s">
        <v>588</v>
      </c>
      <c r="B44" s="243">
        <v>45962.0</v>
      </c>
    </row>
    <row r="45">
      <c r="A45" s="129" t="s">
        <v>282</v>
      </c>
      <c r="B45" s="243">
        <v>45962.0</v>
      </c>
    </row>
    <row r="46">
      <c r="A46" s="129" t="s">
        <v>153</v>
      </c>
      <c r="B46" s="243">
        <v>45962.0</v>
      </c>
    </row>
    <row r="47">
      <c r="A47" s="129" t="s">
        <v>303</v>
      </c>
      <c r="B47" s="243">
        <v>45962.0</v>
      </c>
    </row>
    <row r="48">
      <c r="A48" s="129" t="s">
        <v>285</v>
      </c>
      <c r="B48" s="243">
        <v>45962.0</v>
      </c>
    </row>
    <row r="49">
      <c r="A49" s="129" t="s">
        <v>331</v>
      </c>
      <c r="B49" s="243">
        <v>45962.0</v>
      </c>
    </row>
    <row r="50">
      <c r="A50" s="129" t="s">
        <v>243</v>
      </c>
      <c r="B50" s="243">
        <v>45962.0</v>
      </c>
    </row>
    <row r="51">
      <c r="A51" s="129" t="s">
        <v>245</v>
      </c>
      <c r="B51" s="243">
        <v>45962.0</v>
      </c>
    </row>
    <row r="52">
      <c r="A52" s="129" t="s">
        <v>246</v>
      </c>
      <c r="B52" s="243">
        <v>45962.0</v>
      </c>
    </row>
    <row r="53">
      <c r="A53" s="129" t="s">
        <v>149</v>
      </c>
      <c r="B53" s="243">
        <v>45962.0</v>
      </c>
    </row>
    <row r="54">
      <c r="A54" s="129" t="s">
        <v>163</v>
      </c>
      <c r="B54" s="243">
        <v>45962.0</v>
      </c>
    </row>
    <row r="55">
      <c r="A55" s="129" t="s">
        <v>158</v>
      </c>
      <c r="B55" s="243">
        <v>45962.0</v>
      </c>
    </row>
    <row r="56">
      <c r="A56" s="129" t="s">
        <v>322</v>
      </c>
      <c r="B56" s="243">
        <v>45962.0</v>
      </c>
    </row>
    <row r="57">
      <c r="A57" s="129" t="s">
        <v>325</v>
      </c>
      <c r="B57" s="243">
        <v>45962.0</v>
      </c>
    </row>
    <row r="58">
      <c r="A58" s="129" t="s">
        <v>470</v>
      </c>
      <c r="B58" s="243">
        <v>45964.0</v>
      </c>
    </row>
    <row r="59">
      <c r="A59" s="129" t="s">
        <v>172</v>
      </c>
      <c r="B59" s="243">
        <v>45964.0</v>
      </c>
    </row>
    <row r="60">
      <c r="A60" s="129" t="s">
        <v>194</v>
      </c>
      <c r="B60" s="243">
        <v>45962.0</v>
      </c>
    </row>
    <row r="61">
      <c r="A61" s="129" t="s">
        <v>282</v>
      </c>
      <c r="B61" s="243">
        <v>45964.0</v>
      </c>
    </row>
    <row r="62">
      <c r="A62" s="129" t="s">
        <v>413</v>
      </c>
      <c r="B62" s="243">
        <v>45966.0</v>
      </c>
    </row>
    <row r="63">
      <c r="A63" s="129" t="s">
        <v>103</v>
      </c>
      <c r="B63" s="243">
        <v>45957.0</v>
      </c>
    </row>
    <row r="64">
      <c r="A64" s="129" t="s">
        <v>135</v>
      </c>
      <c r="B64" s="243">
        <v>45966.0</v>
      </c>
    </row>
    <row r="65">
      <c r="A65" s="129" t="s">
        <v>129</v>
      </c>
      <c r="B65" s="243">
        <v>45966.0</v>
      </c>
    </row>
    <row r="66">
      <c r="A66" s="129" t="s">
        <v>600</v>
      </c>
      <c r="B66" s="243">
        <v>45967.0</v>
      </c>
    </row>
    <row r="67">
      <c r="A67" s="129" t="s">
        <v>443</v>
      </c>
      <c r="B67" s="243">
        <v>45967.0</v>
      </c>
    </row>
    <row r="68">
      <c r="A68" s="129" t="s">
        <v>453</v>
      </c>
      <c r="B68" s="243">
        <v>45967.0</v>
      </c>
    </row>
    <row r="69">
      <c r="A69" s="129" t="s">
        <v>456</v>
      </c>
      <c r="B69" s="243">
        <v>45967.0</v>
      </c>
    </row>
    <row r="70">
      <c r="A70" s="129" t="s">
        <v>118</v>
      </c>
      <c r="B70" s="243">
        <v>45969.0</v>
      </c>
    </row>
    <row r="71">
      <c r="A71" s="129" t="s">
        <v>190</v>
      </c>
      <c r="B71" s="243">
        <v>45969.0</v>
      </c>
    </row>
    <row r="72">
      <c r="A72" s="129" t="s">
        <v>301</v>
      </c>
      <c r="B72" s="243">
        <v>45969.0</v>
      </c>
    </row>
    <row r="73">
      <c r="A73" s="129" t="s">
        <v>215</v>
      </c>
      <c r="B73" s="243">
        <v>45969.0</v>
      </c>
    </row>
    <row r="74">
      <c r="A74" s="129" t="s">
        <v>217</v>
      </c>
      <c r="B74" s="243">
        <v>45969.0</v>
      </c>
    </row>
    <row r="75">
      <c r="A75" s="129" t="s">
        <v>452</v>
      </c>
      <c r="B75" s="243">
        <v>45969.0</v>
      </c>
    </row>
    <row r="76">
      <c r="A76" s="129" t="s">
        <v>209</v>
      </c>
      <c r="B76" s="243">
        <v>45969.0</v>
      </c>
    </row>
    <row r="77">
      <c r="A77" s="129" t="s">
        <v>456</v>
      </c>
      <c r="B77" s="243">
        <v>45969.0</v>
      </c>
    </row>
    <row r="78">
      <c r="A78" s="129" t="s">
        <v>261</v>
      </c>
      <c r="B78" s="243">
        <v>45969.0</v>
      </c>
    </row>
    <row r="79">
      <c r="A79" s="129" t="s">
        <v>554</v>
      </c>
      <c r="B79" s="243">
        <v>45969.0</v>
      </c>
    </row>
    <row r="80">
      <c r="A80" s="129" t="s">
        <v>212</v>
      </c>
      <c r="B80" s="243">
        <v>45969.0</v>
      </c>
    </row>
    <row r="81">
      <c r="A81" s="129" t="s">
        <v>218</v>
      </c>
      <c r="B81" s="243">
        <v>45969.0</v>
      </c>
    </row>
    <row r="82">
      <c r="A82" s="129" t="s">
        <v>295</v>
      </c>
      <c r="B82" s="243">
        <v>45969.0</v>
      </c>
    </row>
    <row r="83">
      <c r="A83" s="129" t="s">
        <v>34</v>
      </c>
      <c r="B83" s="243">
        <v>45969.0</v>
      </c>
    </row>
    <row r="84">
      <c r="A84" s="129" t="s">
        <v>297</v>
      </c>
      <c r="B84" s="243">
        <v>45969.0</v>
      </c>
    </row>
    <row r="85">
      <c r="A85" s="129" t="s">
        <v>188</v>
      </c>
      <c r="B85" s="243">
        <v>45969.0</v>
      </c>
    </row>
    <row r="86">
      <c r="A86" s="129" t="s">
        <v>566</v>
      </c>
      <c r="B86" s="243">
        <v>45969.0</v>
      </c>
    </row>
    <row r="87">
      <c r="A87" s="129" t="s">
        <v>223</v>
      </c>
      <c r="B87" s="243">
        <v>45969.0</v>
      </c>
    </row>
    <row r="88">
      <c r="A88" s="129" t="s">
        <v>220</v>
      </c>
      <c r="B88" s="243">
        <v>45969.0</v>
      </c>
    </row>
    <row r="89">
      <c r="A89" s="129" t="s">
        <v>254</v>
      </c>
      <c r="B89" s="243">
        <v>45969.0</v>
      </c>
    </row>
    <row r="90">
      <c r="A90" s="129" t="s">
        <v>282</v>
      </c>
      <c r="B90" s="243">
        <v>45969.0</v>
      </c>
    </row>
    <row r="91">
      <c r="A91" s="129" t="s">
        <v>153</v>
      </c>
      <c r="B91" s="243">
        <v>45969.0</v>
      </c>
    </row>
    <row r="92">
      <c r="A92" s="129" t="s">
        <v>583</v>
      </c>
      <c r="B92" s="243">
        <v>45969.0</v>
      </c>
    </row>
    <row r="93">
      <c r="A93" s="129" t="s">
        <v>588</v>
      </c>
      <c r="B93" s="243">
        <v>45969.0</v>
      </c>
    </row>
    <row r="94">
      <c r="A94" s="129" t="s">
        <v>40</v>
      </c>
      <c r="B94" s="243">
        <v>45969.0</v>
      </c>
    </row>
    <row r="95">
      <c r="A95" s="129" t="s">
        <v>245</v>
      </c>
      <c r="B95" s="243">
        <v>45969.0</v>
      </c>
    </row>
    <row r="96">
      <c r="A96" s="129" t="s">
        <v>243</v>
      </c>
      <c r="B96" s="243">
        <v>45969.0</v>
      </c>
    </row>
    <row r="97">
      <c r="A97" s="129" t="s">
        <v>350</v>
      </c>
      <c r="B97" s="243">
        <v>45969.0</v>
      </c>
    </row>
    <row r="98">
      <c r="A98" s="129" t="s">
        <v>35</v>
      </c>
      <c r="B98" s="243">
        <v>45971.0</v>
      </c>
    </row>
    <row r="99">
      <c r="A99" s="129" t="s">
        <v>122</v>
      </c>
      <c r="B99" s="243">
        <v>45971.0</v>
      </c>
    </row>
    <row r="100">
      <c r="A100" s="129" t="s">
        <v>259</v>
      </c>
      <c r="B100" s="243">
        <v>45971.0</v>
      </c>
    </row>
    <row r="101">
      <c r="A101" s="129" t="s">
        <v>129</v>
      </c>
      <c r="B101" s="243">
        <v>45973.0</v>
      </c>
    </row>
    <row r="102">
      <c r="A102" s="129" t="s">
        <v>413</v>
      </c>
      <c r="B102" s="243">
        <v>45973.0</v>
      </c>
    </row>
    <row r="103">
      <c r="A103" s="129" t="s">
        <v>103</v>
      </c>
      <c r="B103" s="243">
        <v>45973.0</v>
      </c>
    </row>
    <row r="104">
      <c r="A104" s="129" t="s">
        <v>259</v>
      </c>
      <c r="B104" s="243">
        <v>45973.0</v>
      </c>
    </row>
    <row r="105">
      <c r="A105" s="129" t="s">
        <v>469</v>
      </c>
      <c r="B105" s="243">
        <v>45973.0</v>
      </c>
    </row>
    <row r="106">
      <c r="A106" s="129" t="s">
        <v>434</v>
      </c>
      <c r="B106" s="243">
        <v>45974.0</v>
      </c>
    </row>
    <row r="107">
      <c r="A107" s="129" t="s">
        <v>87</v>
      </c>
      <c r="B107" s="243">
        <v>45974.0</v>
      </c>
    </row>
    <row r="108">
      <c r="A108" s="129" t="s">
        <v>202</v>
      </c>
      <c r="B108" s="243">
        <v>45976.0</v>
      </c>
    </row>
    <row r="109">
      <c r="A109" s="129" t="s">
        <v>118</v>
      </c>
      <c r="B109" s="243">
        <v>45976.0</v>
      </c>
    </row>
    <row r="110">
      <c r="A110" s="129" t="s">
        <v>301</v>
      </c>
      <c r="B110" s="243">
        <v>45976.0</v>
      </c>
    </row>
    <row r="111">
      <c r="A111" s="129" t="s">
        <v>217</v>
      </c>
      <c r="B111" s="243">
        <v>45976.0</v>
      </c>
    </row>
    <row r="112">
      <c r="A112" s="129" t="s">
        <v>215</v>
      </c>
      <c r="B112" s="243">
        <v>45976.0</v>
      </c>
    </row>
    <row r="113">
      <c r="A113" s="129" t="s">
        <v>453</v>
      </c>
      <c r="B113" s="243">
        <v>45976.0</v>
      </c>
    </row>
    <row r="114">
      <c r="A114" s="129" t="s">
        <v>218</v>
      </c>
      <c r="B114" s="243">
        <v>45976.0</v>
      </c>
    </row>
    <row r="115">
      <c r="A115" s="129" t="s">
        <v>443</v>
      </c>
      <c r="B115" s="243">
        <v>45974.0</v>
      </c>
    </row>
    <row r="116">
      <c r="A116" s="129" t="s">
        <v>561</v>
      </c>
      <c r="B116" s="243">
        <v>45976.0</v>
      </c>
    </row>
    <row r="117">
      <c r="A117" s="129" t="s">
        <v>220</v>
      </c>
      <c r="B117" s="243">
        <v>45976.0</v>
      </c>
    </row>
    <row r="118">
      <c r="A118" s="129" t="s">
        <v>566</v>
      </c>
      <c r="B118" s="243">
        <v>45976.0</v>
      </c>
    </row>
    <row r="119">
      <c r="A119" s="129" t="s">
        <v>223</v>
      </c>
      <c r="B119" s="243">
        <v>45976.0</v>
      </c>
    </row>
    <row r="120">
      <c r="A120" s="129" t="s">
        <v>42</v>
      </c>
      <c r="B120" s="243">
        <v>45976.0</v>
      </c>
    </row>
    <row r="121">
      <c r="A121" s="129" t="s">
        <v>238</v>
      </c>
      <c r="B121" s="243">
        <v>45976.0</v>
      </c>
    </row>
    <row r="122">
      <c r="A122" s="129" t="s">
        <v>571</v>
      </c>
      <c r="B122" s="243">
        <v>45976.0</v>
      </c>
    </row>
    <row r="123">
      <c r="A123" s="129" t="s">
        <v>241</v>
      </c>
      <c r="B123" s="243">
        <v>45976.0</v>
      </c>
    </row>
    <row r="124">
      <c r="A124" s="129" t="s">
        <v>236</v>
      </c>
      <c r="B124" s="243">
        <v>45976.0</v>
      </c>
    </row>
    <row r="125">
      <c r="A125" s="129" t="s">
        <v>267</v>
      </c>
      <c r="B125" s="243">
        <v>45976.0</v>
      </c>
    </row>
    <row r="126">
      <c r="A126" s="129" t="s">
        <v>326</v>
      </c>
      <c r="B126" s="243">
        <v>45976.0</v>
      </c>
    </row>
    <row r="127">
      <c r="A127" s="129" t="s">
        <v>662</v>
      </c>
      <c r="B127" s="243">
        <v>45976.0</v>
      </c>
    </row>
    <row r="128">
      <c r="A128" s="129" t="s">
        <v>577</v>
      </c>
      <c r="B128" s="243">
        <v>45976.0</v>
      </c>
    </row>
    <row r="129">
      <c r="A129" s="129" t="s">
        <v>585</v>
      </c>
      <c r="B129" s="243">
        <v>45976.0</v>
      </c>
    </row>
    <row r="130">
      <c r="A130" s="129" t="s">
        <v>153</v>
      </c>
      <c r="B130" s="243">
        <v>45976.0</v>
      </c>
    </row>
    <row r="131">
      <c r="A131" s="129" t="s">
        <v>129</v>
      </c>
      <c r="B131" s="243">
        <v>45976.0</v>
      </c>
    </row>
    <row r="132">
      <c r="A132" s="129" t="s">
        <v>583</v>
      </c>
      <c r="B132" s="243">
        <v>45976.0</v>
      </c>
    </row>
    <row r="133">
      <c r="A133" s="129" t="s">
        <v>282</v>
      </c>
      <c r="B133" s="243">
        <v>45976.0</v>
      </c>
    </row>
    <row r="134">
      <c r="A134" s="129" t="s">
        <v>469</v>
      </c>
      <c r="B134" s="243">
        <v>45976.0</v>
      </c>
    </row>
    <row r="135">
      <c r="A135" s="129" t="s">
        <v>325</v>
      </c>
      <c r="B135" s="243">
        <v>45976.0</v>
      </c>
    </row>
    <row r="136">
      <c r="A136" s="129" t="s">
        <v>322</v>
      </c>
      <c r="B136" s="243">
        <v>45976.0</v>
      </c>
    </row>
    <row r="137">
      <c r="A137" s="129" t="s">
        <v>587</v>
      </c>
      <c r="B137" s="243">
        <v>45976.0</v>
      </c>
    </row>
    <row r="138">
      <c r="A138" s="129" t="s">
        <v>309</v>
      </c>
      <c r="B138" s="243">
        <v>45976.0</v>
      </c>
    </row>
    <row r="139">
      <c r="A139" s="129" t="s">
        <v>330</v>
      </c>
      <c r="B139" s="243">
        <v>45976.0</v>
      </c>
    </row>
    <row r="140">
      <c r="A140" s="129" t="s">
        <v>362</v>
      </c>
      <c r="B140" s="243">
        <v>45976.0</v>
      </c>
    </row>
    <row r="141">
      <c r="A141" s="129" t="s">
        <v>350</v>
      </c>
      <c r="B141" s="243">
        <v>45976.0</v>
      </c>
    </row>
    <row r="142">
      <c r="A142" s="129" t="s">
        <v>246</v>
      </c>
      <c r="B142" s="243">
        <v>45976.0</v>
      </c>
    </row>
    <row r="143">
      <c r="A143" s="129" t="s">
        <v>35</v>
      </c>
      <c r="B143" s="243">
        <v>45978.0</v>
      </c>
    </row>
    <row r="144">
      <c r="A144" s="129" t="s">
        <v>556</v>
      </c>
      <c r="B144" s="243">
        <v>45978.0</v>
      </c>
    </row>
    <row r="145">
      <c r="A145" s="129" t="s">
        <v>554</v>
      </c>
      <c r="B145" s="243">
        <v>45978.0</v>
      </c>
    </row>
    <row r="146">
      <c r="A146" s="129" t="s">
        <v>129</v>
      </c>
      <c r="B146" s="243">
        <v>45980.0</v>
      </c>
    </row>
    <row r="147">
      <c r="A147" s="129" t="s">
        <v>556</v>
      </c>
      <c r="B147" s="243">
        <v>45980.0</v>
      </c>
    </row>
    <row r="148">
      <c r="A148" s="129" t="s">
        <v>156</v>
      </c>
      <c r="B148" s="243">
        <v>45980.0</v>
      </c>
    </row>
    <row r="149">
      <c r="A149" s="129" t="s">
        <v>413</v>
      </c>
      <c r="B149" s="243">
        <v>45980.0</v>
      </c>
    </row>
    <row r="150">
      <c r="A150" s="129" t="s">
        <v>578</v>
      </c>
      <c r="B150" s="243">
        <v>45980.0</v>
      </c>
    </row>
    <row r="151">
      <c r="A151" s="129" t="s">
        <v>605</v>
      </c>
      <c r="B151" s="243">
        <v>45981.0</v>
      </c>
    </row>
    <row r="152">
      <c r="A152" s="129" t="s">
        <v>600</v>
      </c>
      <c r="B152" s="243">
        <v>45981.0</v>
      </c>
    </row>
    <row r="153">
      <c r="A153" s="129" t="s">
        <v>217</v>
      </c>
      <c r="B153" s="243">
        <v>45983.0</v>
      </c>
    </row>
    <row r="154">
      <c r="A154" s="129" t="s">
        <v>215</v>
      </c>
      <c r="B154" s="243">
        <v>45983.0</v>
      </c>
    </row>
    <row r="155">
      <c r="A155" s="129" t="s">
        <v>559</v>
      </c>
      <c r="B155" s="243">
        <v>45983.0</v>
      </c>
    </row>
    <row r="156">
      <c r="A156" s="129" t="s">
        <v>190</v>
      </c>
      <c r="B156" s="243">
        <v>45983.0</v>
      </c>
    </row>
    <row r="157">
      <c r="A157" s="129" t="s">
        <v>301</v>
      </c>
      <c r="B157" s="243">
        <v>45983.0</v>
      </c>
    </row>
    <row r="158">
      <c r="A158" s="129" t="s">
        <v>218</v>
      </c>
      <c r="B158" s="243">
        <v>45983.0</v>
      </c>
    </row>
    <row r="159">
      <c r="A159" s="129" t="s">
        <v>662</v>
      </c>
      <c r="B159" s="243">
        <v>45983.0</v>
      </c>
    </row>
    <row r="160">
      <c r="A160" s="129" t="s">
        <v>577</v>
      </c>
      <c r="B160" s="243">
        <v>45983.0</v>
      </c>
    </row>
    <row r="161">
      <c r="A161" s="129" t="s">
        <v>569</v>
      </c>
      <c r="B161" s="243">
        <v>45983.0</v>
      </c>
    </row>
    <row r="162">
      <c r="A162" s="129" t="s">
        <v>238</v>
      </c>
      <c r="B162" s="243">
        <v>45983.0</v>
      </c>
    </row>
    <row r="163">
      <c r="A163" s="129" t="s">
        <v>566</v>
      </c>
      <c r="B163" s="243">
        <v>45983.0</v>
      </c>
    </row>
    <row r="164">
      <c r="A164" s="129" t="s">
        <v>223</v>
      </c>
      <c r="B164" s="243">
        <v>45983.0</v>
      </c>
    </row>
    <row r="165">
      <c r="A165" s="129" t="s">
        <v>42</v>
      </c>
      <c r="B165" s="243">
        <v>45983.0</v>
      </c>
    </row>
    <row r="166">
      <c r="A166" s="129" t="s">
        <v>576</v>
      </c>
      <c r="B166" s="243">
        <v>45983.0</v>
      </c>
    </row>
    <row r="167">
      <c r="A167" s="129" t="s">
        <v>578</v>
      </c>
      <c r="B167" s="243">
        <v>45983.0</v>
      </c>
    </row>
    <row r="168">
      <c r="A168" s="129" t="s">
        <v>297</v>
      </c>
      <c r="B168" s="243">
        <v>45983.0</v>
      </c>
    </row>
    <row r="169">
      <c r="A169" s="129" t="s">
        <v>267</v>
      </c>
      <c r="B169" s="243">
        <v>45983.0</v>
      </c>
    </row>
    <row r="170">
      <c r="A170" s="129" t="s">
        <v>153</v>
      </c>
      <c r="B170" s="243">
        <v>45983.0</v>
      </c>
    </row>
    <row r="171">
      <c r="A171" s="129" t="s">
        <v>587</v>
      </c>
      <c r="B171" s="243">
        <v>45983.0</v>
      </c>
    </row>
    <row r="172">
      <c r="A172" s="129" t="s">
        <v>282</v>
      </c>
      <c r="B172" s="243">
        <v>45983.0</v>
      </c>
    </row>
    <row r="173">
      <c r="A173" s="129" t="s">
        <v>303</v>
      </c>
      <c r="B173" s="243">
        <v>45983.0</v>
      </c>
    </row>
    <row r="174">
      <c r="A174" s="129" t="s">
        <v>285</v>
      </c>
      <c r="B174" s="243">
        <v>45983.0</v>
      </c>
    </row>
    <row r="175">
      <c r="A175" s="129" t="s">
        <v>583</v>
      </c>
      <c r="B175" s="243">
        <v>45983.0</v>
      </c>
    </row>
    <row r="176">
      <c r="A176" s="129" t="s">
        <v>588</v>
      </c>
      <c r="B176" s="243">
        <v>45983.0</v>
      </c>
    </row>
    <row r="177">
      <c r="A177" s="129" t="s">
        <v>40</v>
      </c>
      <c r="B177" s="243">
        <v>45983.0</v>
      </c>
    </row>
    <row r="178">
      <c r="A178" s="129" t="s">
        <v>243</v>
      </c>
      <c r="B178" s="243">
        <v>45983.0</v>
      </c>
    </row>
    <row r="179">
      <c r="A179" s="129" t="s">
        <v>245</v>
      </c>
      <c r="B179" s="243">
        <v>45983.0</v>
      </c>
    </row>
    <row r="180">
      <c r="A180" s="129" t="s">
        <v>87</v>
      </c>
      <c r="B180" s="243">
        <v>45983.0</v>
      </c>
    </row>
    <row r="181">
      <c r="A181" s="129" t="s">
        <v>87</v>
      </c>
      <c r="B181" s="243">
        <v>45981.0</v>
      </c>
    </row>
    <row r="182">
      <c r="A182" s="129" t="s">
        <v>331</v>
      </c>
      <c r="B182" s="243">
        <v>45983.0</v>
      </c>
    </row>
    <row r="183">
      <c r="A183" s="129" t="s">
        <v>35</v>
      </c>
      <c r="B183" s="243">
        <v>45985.0</v>
      </c>
    </row>
    <row r="184">
      <c r="A184" s="129" t="s">
        <v>96</v>
      </c>
      <c r="B184" s="243">
        <v>45985.0</v>
      </c>
    </row>
    <row r="185">
      <c r="A185" s="129" t="s">
        <v>98</v>
      </c>
      <c r="B185" s="243">
        <v>45985.0</v>
      </c>
    </row>
    <row r="186">
      <c r="A186" s="129" t="s">
        <v>108</v>
      </c>
      <c r="B186" s="243">
        <v>45985.0</v>
      </c>
    </row>
    <row r="187">
      <c r="A187" s="129" t="s">
        <v>103</v>
      </c>
      <c r="B187" s="243">
        <v>45985.0</v>
      </c>
    </row>
    <row r="188">
      <c r="A188" s="129" t="s">
        <v>129</v>
      </c>
      <c r="B188" s="243">
        <v>45987.0</v>
      </c>
    </row>
    <row r="189">
      <c r="A189" s="129" t="s">
        <v>190</v>
      </c>
      <c r="B189" s="243">
        <v>45987.0</v>
      </c>
    </row>
    <row r="190">
      <c r="A190" s="129" t="s">
        <v>103</v>
      </c>
      <c r="B190" s="243">
        <v>45987.0</v>
      </c>
    </row>
    <row r="191">
      <c r="A191" s="129" t="s">
        <v>108</v>
      </c>
      <c r="B191" s="243">
        <v>45987.0</v>
      </c>
    </row>
    <row r="192">
      <c r="A192" s="129" t="s">
        <v>98</v>
      </c>
      <c r="B192" s="243">
        <v>45987.0</v>
      </c>
    </row>
    <row r="193">
      <c r="A193" s="129" t="s">
        <v>96</v>
      </c>
      <c r="B193" s="243">
        <v>45987.0</v>
      </c>
    </row>
    <row r="194">
      <c r="A194" s="129" t="s">
        <v>569</v>
      </c>
      <c r="B194" s="243">
        <v>45987.0</v>
      </c>
    </row>
    <row r="195">
      <c r="A195" s="129" t="s">
        <v>447</v>
      </c>
      <c r="B195" s="243">
        <v>45988.0</v>
      </c>
    </row>
    <row r="196">
      <c r="A196" s="129" t="s">
        <v>605</v>
      </c>
      <c r="B196" s="243">
        <v>45988.0</v>
      </c>
    </row>
    <row r="197">
      <c r="A197" s="129" t="s">
        <v>610</v>
      </c>
      <c r="B197" s="243">
        <v>45988.0</v>
      </c>
    </row>
    <row r="198">
      <c r="A198" s="129" t="s">
        <v>226</v>
      </c>
      <c r="B198" s="243">
        <v>45988.0</v>
      </c>
    </row>
    <row r="199">
      <c r="A199" s="129" t="s">
        <v>597</v>
      </c>
      <c r="B199" s="243">
        <v>45988.0</v>
      </c>
    </row>
    <row r="200">
      <c r="A200" s="129" t="s">
        <v>87</v>
      </c>
      <c r="B200" s="243">
        <v>45988.0</v>
      </c>
    </row>
    <row r="201">
      <c r="A201" s="129" t="s">
        <v>456</v>
      </c>
      <c r="B201" s="243">
        <v>45988.0</v>
      </c>
    </row>
    <row r="202">
      <c r="A202" s="129" t="s">
        <v>464</v>
      </c>
      <c r="B202" s="243">
        <v>45988.0</v>
      </c>
    </row>
    <row r="203">
      <c r="A203" s="129" t="s">
        <v>373</v>
      </c>
      <c r="B203" s="243">
        <v>45989.0</v>
      </c>
    </row>
    <row r="204">
      <c r="A204" s="129" t="s">
        <v>566</v>
      </c>
      <c r="B204" s="243">
        <v>45989.0</v>
      </c>
    </row>
    <row r="205">
      <c r="A205" s="129" t="s">
        <v>202</v>
      </c>
      <c r="B205" s="243">
        <v>45990.0</v>
      </c>
    </row>
    <row r="206">
      <c r="A206" s="129" t="s">
        <v>218</v>
      </c>
      <c r="B206" s="243">
        <v>45990.0</v>
      </c>
    </row>
    <row r="207">
      <c r="A207" s="129" t="s">
        <v>269</v>
      </c>
      <c r="B207" s="243">
        <v>45990.0</v>
      </c>
    </row>
    <row r="208">
      <c r="A208" s="129" t="s">
        <v>223</v>
      </c>
      <c r="B208" s="243">
        <v>45989.0</v>
      </c>
    </row>
    <row r="209">
      <c r="A209" s="129" t="s">
        <v>236</v>
      </c>
      <c r="B209" s="243">
        <v>45990.0</v>
      </c>
    </row>
    <row r="210">
      <c r="A210" s="129" t="s">
        <v>569</v>
      </c>
      <c r="B210" s="243">
        <v>45990.0</v>
      </c>
    </row>
    <row r="211">
      <c r="A211" s="129" t="s">
        <v>571</v>
      </c>
      <c r="B211" s="243">
        <v>45990.0</v>
      </c>
    </row>
    <row r="212">
      <c r="A212" s="129" t="s">
        <v>273</v>
      </c>
      <c r="B212" s="243">
        <v>45990.0</v>
      </c>
    </row>
    <row r="213">
      <c r="A213" s="129" t="s">
        <v>215</v>
      </c>
      <c r="B213" s="243">
        <v>45990.0</v>
      </c>
    </row>
    <row r="214">
      <c r="A214" s="129" t="s">
        <v>217</v>
      </c>
      <c r="B214" s="243">
        <v>45990.0</v>
      </c>
    </row>
    <row r="215">
      <c r="A215" s="129" t="s">
        <v>190</v>
      </c>
      <c r="B215" s="243">
        <v>45990.0</v>
      </c>
    </row>
    <row r="216">
      <c r="A216" s="129" t="s">
        <v>196</v>
      </c>
      <c r="B216" s="243">
        <v>45990.0</v>
      </c>
    </row>
    <row r="217">
      <c r="A217" s="129" t="s">
        <v>207</v>
      </c>
      <c r="B217" s="243">
        <v>45990.0</v>
      </c>
    </row>
    <row r="218">
      <c r="A218" s="129" t="s">
        <v>301</v>
      </c>
      <c r="B218" s="243">
        <v>45990.0</v>
      </c>
    </row>
    <row r="219">
      <c r="A219" s="129" t="s">
        <v>297</v>
      </c>
      <c r="B219" s="243">
        <v>45990.0</v>
      </c>
    </row>
    <row r="220">
      <c r="A220" s="129" t="s">
        <v>42</v>
      </c>
      <c r="B220" s="243">
        <v>45990.0</v>
      </c>
    </row>
    <row r="221">
      <c r="A221" s="129" t="s">
        <v>209</v>
      </c>
      <c r="B221" s="243">
        <v>45990.0</v>
      </c>
    </row>
    <row r="222">
      <c r="A222" s="129" t="s">
        <v>226</v>
      </c>
      <c r="B222" s="243">
        <v>45990.0</v>
      </c>
    </row>
    <row r="223">
      <c r="A223" s="129" t="s">
        <v>566</v>
      </c>
      <c r="B223" s="243">
        <v>45990.0</v>
      </c>
    </row>
    <row r="224">
      <c r="A224" s="129" t="s">
        <v>223</v>
      </c>
      <c r="B224" s="243">
        <v>45990.0</v>
      </c>
    </row>
    <row r="225">
      <c r="A225" s="129" t="s">
        <v>282</v>
      </c>
      <c r="B225" s="243">
        <v>45990.0</v>
      </c>
    </row>
    <row r="226">
      <c r="A226" s="129" t="s">
        <v>129</v>
      </c>
      <c r="B226" s="243">
        <v>45990.0</v>
      </c>
    </row>
    <row r="227">
      <c r="A227" s="129" t="s">
        <v>297</v>
      </c>
      <c r="B227" s="243">
        <v>45987.0</v>
      </c>
    </row>
    <row r="228">
      <c r="A228" s="129" t="s">
        <v>373</v>
      </c>
      <c r="B228" s="243">
        <v>45990.0</v>
      </c>
    </row>
    <row r="229">
      <c r="A229" s="129" t="s">
        <v>322</v>
      </c>
      <c r="B229" s="243">
        <v>45990.0</v>
      </c>
    </row>
    <row r="230">
      <c r="A230" s="129" t="s">
        <v>325</v>
      </c>
      <c r="B230" s="243">
        <v>45990.0</v>
      </c>
    </row>
    <row r="231">
      <c r="A231" s="129" t="s">
        <v>583</v>
      </c>
      <c r="B231" s="243">
        <v>45990.0</v>
      </c>
    </row>
    <row r="232">
      <c r="A232" s="129" t="s">
        <v>303</v>
      </c>
      <c r="B232" s="243">
        <v>45990.0</v>
      </c>
    </row>
    <row r="233">
      <c r="A233" s="129" t="s">
        <v>587</v>
      </c>
      <c r="B233" s="243">
        <v>45990.0</v>
      </c>
    </row>
    <row r="234">
      <c r="A234" s="129" t="s">
        <v>331</v>
      </c>
      <c r="B234" s="243">
        <v>45990.0</v>
      </c>
    </row>
    <row r="235">
      <c r="A235" s="129" t="s">
        <v>108</v>
      </c>
      <c r="B235" s="243">
        <v>45992.0</v>
      </c>
    </row>
    <row r="236">
      <c r="A236" s="129" t="s">
        <v>325</v>
      </c>
      <c r="B236" s="243">
        <v>45992.0</v>
      </c>
    </row>
    <row r="237">
      <c r="A237" s="129" t="s">
        <v>322</v>
      </c>
      <c r="B237" s="243">
        <v>45992.0</v>
      </c>
    </row>
    <row r="238">
      <c r="A238" s="129" t="s">
        <v>98</v>
      </c>
      <c r="B238" s="243">
        <v>45992.0</v>
      </c>
    </row>
    <row r="239">
      <c r="A239" s="129" t="s">
        <v>122</v>
      </c>
      <c r="B239" s="243">
        <v>45992.0</v>
      </c>
    </row>
    <row r="240">
      <c r="A240" s="129" t="s">
        <v>131</v>
      </c>
      <c r="B240" s="243">
        <v>45992.0</v>
      </c>
    </row>
    <row r="241">
      <c r="A241" s="129" t="s">
        <v>552</v>
      </c>
      <c r="B241" s="243">
        <v>45992.0</v>
      </c>
    </row>
    <row r="242">
      <c r="A242" s="129" t="s">
        <v>267</v>
      </c>
      <c r="B242" s="243">
        <v>45992.0</v>
      </c>
    </row>
    <row r="243">
      <c r="A243" s="129" t="s">
        <v>129</v>
      </c>
      <c r="B243" s="243">
        <v>45994.0</v>
      </c>
    </row>
    <row r="244">
      <c r="A244" s="129" t="s">
        <v>267</v>
      </c>
      <c r="B244" s="243">
        <v>45994.0</v>
      </c>
    </row>
    <row r="245">
      <c r="A245" s="129" t="s">
        <v>75</v>
      </c>
      <c r="B245" s="243">
        <v>45994.0</v>
      </c>
    </row>
    <row r="246">
      <c r="A246" s="129" t="s">
        <v>556</v>
      </c>
      <c r="B246" s="243">
        <v>45994.0</v>
      </c>
    </row>
    <row r="247">
      <c r="A247" s="129" t="s">
        <v>202</v>
      </c>
      <c r="B247" s="243">
        <v>45994.0</v>
      </c>
    </row>
    <row r="248">
      <c r="A248" s="129" t="s">
        <v>196</v>
      </c>
      <c r="B248" s="243">
        <v>45994.0</v>
      </c>
    </row>
    <row r="249">
      <c r="A249" s="129" t="s">
        <v>137</v>
      </c>
      <c r="B249" s="243">
        <v>45994.0</v>
      </c>
    </row>
    <row r="250">
      <c r="A250" s="129" t="s">
        <v>135</v>
      </c>
      <c r="B250" s="243">
        <v>45994.0</v>
      </c>
    </row>
    <row r="251">
      <c r="A251" s="129" t="s">
        <v>131</v>
      </c>
      <c r="B251" s="243">
        <v>45994.0</v>
      </c>
    </row>
    <row r="252">
      <c r="A252" s="129" t="s">
        <v>122</v>
      </c>
      <c r="B252" s="243">
        <v>45994.0</v>
      </c>
    </row>
    <row r="253">
      <c r="A253" s="129" t="s">
        <v>597</v>
      </c>
      <c r="B253" s="243">
        <v>45995.0</v>
      </c>
    </row>
    <row r="254">
      <c r="A254" s="129" t="s">
        <v>605</v>
      </c>
      <c r="B254" s="243">
        <v>45995.0</v>
      </c>
    </row>
    <row r="255">
      <c r="A255" s="129" t="s">
        <v>600</v>
      </c>
      <c r="B255" s="243">
        <v>45995.0</v>
      </c>
    </row>
    <row r="256">
      <c r="A256" s="129" t="s">
        <v>596</v>
      </c>
      <c r="B256" s="243">
        <v>45995.0</v>
      </c>
    </row>
    <row r="257">
      <c r="A257" s="129" t="s">
        <v>207</v>
      </c>
      <c r="B257" s="243">
        <v>45997.0</v>
      </c>
    </row>
    <row r="258">
      <c r="A258" s="129" t="s">
        <v>301</v>
      </c>
      <c r="B258" s="243">
        <v>45997.0</v>
      </c>
    </row>
    <row r="259">
      <c r="A259" s="129" t="s">
        <v>217</v>
      </c>
      <c r="B259" s="243">
        <v>45997.0</v>
      </c>
    </row>
    <row r="260">
      <c r="A260" s="129" t="s">
        <v>215</v>
      </c>
      <c r="B260" s="243">
        <v>45997.0</v>
      </c>
    </row>
    <row r="261">
      <c r="A261" s="129" t="s">
        <v>559</v>
      </c>
      <c r="B261" s="243">
        <v>45997.0</v>
      </c>
    </row>
    <row r="262">
      <c r="A262" s="129" t="s">
        <v>561</v>
      </c>
      <c r="B262" s="243">
        <v>45997.0</v>
      </c>
    </row>
    <row r="263">
      <c r="A263" s="129" t="s">
        <v>218</v>
      </c>
      <c r="B263" s="243">
        <v>45997.0</v>
      </c>
    </row>
    <row r="264">
      <c r="A264" s="129" t="s">
        <v>566</v>
      </c>
      <c r="B264" s="243">
        <v>45997.0</v>
      </c>
    </row>
    <row r="265">
      <c r="A265" s="129" t="s">
        <v>81</v>
      </c>
      <c r="B265" s="243">
        <v>45997.0</v>
      </c>
    </row>
    <row r="266">
      <c r="A266" s="129" t="s">
        <v>571</v>
      </c>
      <c r="B266" s="243">
        <v>45997.0</v>
      </c>
    </row>
    <row r="267">
      <c r="A267" s="129" t="s">
        <v>241</v>
      </c>
      <c r="B267" s="243">
        <v>45997.0</v>
      </c>
    </row>
    <row r="268">
      <c r="A268" s="129" t="s">
        <v>236</v>
      </c>
      <c r="B268" s="243">
        <v>45997.0</v>
      </c>
    </row>
    <row r="269">
      <c r="A269" s="129" t="s">
        <v>275</v>
      </c>
      <c r="B269" s="243">
        <v>45997.0</v>
      </c>
    </row>
    <row r="270">
      <c r="A270" s="129" t="s">
        <v>220</v>
      </c>
      <c r="B270" s="243">
        <v>45997.0</v>
      </c>
    </row>
    <row r="271">
      <c r="A271" s="129" t="s">
        <v>223</v>
      </c>
      <c r="B271" s="243">
        <v>45997.0</v>
      </c>
    </row>
    <row r="272">
      <c r="A272" s="129" t="s">
        <v>261</v>
      </c>
      <c r="B272" s="243">
        <v>45997.0</v>
      </c>
    </row>
    <row r="273">
      <c r="A273" s="129" t="s">
        <v>567</v>
      </c>
      <c r="B273" s="243">
        <v>45997.0</v>
      </c>
    </row>
    <row r="274">
      <c r="A274" s="129" t="s">
        <v>212</v>
      </c>
      <c r="B274" s="243">
        <v>45997.0</v>
      </c>
    </row>
    <row r="275">
      <c r="A275" s="129" t="s">
        <v>297</v>
      </c>
      <c r="B275" s="243">
        <v>45997.0</v>
      </c>
    </row>
    <row r="276">
      <c r="A276" s="129" t="s">
        <v>42</v>
      </c>
      <c r="B276" s="243">
        <v>45997.0</v>
      </c>
    </row>
    <row r="277">
      <c r="A277" s="129" t="s">
        <v>578</v>
      </c>
      <c r="B277" s="243">
        <v>45997.0</v>
      </c>
    </row>
    <row r="278">
      <c r="A278" s="129" t="s">
        <v>36</v>
      </c>
      <c r="B278" s="243">
        <v>45997.0</v>
      </c>
    </row>
    <row r="279">
      <c r="A279" s="129" t="s">
        <v>257</v>
      </c>
      <c r="B279" s="243">
        <v>45997.0</v>
      </c>
    </row>
    <row r="280">
      <c r="A280" s="129" t="s">
        <v>209</v>
      </c>
      <c r="B280" s="243">
        <v>45997.0</v>
      </c>
    </row>
    <row r="281">
      <c r="A281" s="129" t="s">
        <v>456</v>
      </c>
      <c r="B281" s="243">
        <v>45997.0</v>
      </c>
    </row>
    <row r="282">
      <c r="A282" s="129" t="s">
        <v>226</v>
      </c>
      <c r="B282" s="243">
        <v>45997.0</v>
      </c>
    </row>
    <row r="283">
      <c r="A283" s="129" t="s">
        <v>556</v>
      </c>
      <c r="B283" s="243">
        <v>45997.0</v>
      </c>
    </row>
    <row r="284">
      <c r="A284" s="129" t="s">
        <v>135</v>
      </c>
      <c r="B284" s="243">
        <v>45997.0</v>
      </c>
    </row>
    <row r="285">
      <c r="A285" s="129" t="s">
        <v>137</v>
      </c>
      <c r="B285" s="243">
        <v>45997.0</v>
      </c>
    </row>
    <row r="286">
      <c r="A286" s="129" t="s">
        <v>98</v>
      </c>
      <c r="B286" s="243">
        <v>45997.0</v>
      </c>
    </row>
    <row r="287">
      <c r="A287" s="129" t="s">
        <v>108</v>
      </c>
      <c r="B287" s="243">
        <v>45997.0</v>
      </c>
    </row>
    <row r="288">
      <c r="A288" s="129" t="s">
        <v>554</v>
      </c>
      <c r="B288" s="243">
        <v>45997.0</v>
      </c>
    </row>
    <row r="289">
      <c r="A289" s="129" t="s">
        <v>583</v>
      </c>
      <c r="B289" s="243">
        <v>45997.0</v>
      </c>
    </row>
    <row r="290">
      <c r="A290" s="129" t="s">
        <v>356</v>
      </c>
      <c r="B290" s="243">
        <v>45997.0</v>
      </c>
    </row>
    <row r="291">
      <c r="A291" s="129" t="s">
        <v>243</v>
      </c>
      <c r="B291" s="243">
        <v>45997.0</v>
      </c>
    </row>
    <row r="292">
      <c r="A292" s="129" t="s">
        <v>469</v>
      </c>
      <c r="B292" s="243">
        <v>45995.0</v>
      </c>
    </row>
    <row r="293">
      <c r="A293" s="129" t="s">
        <v>587</v>
      </c>
      <c r="B293" s="243">
        <v>45997.0</v>
      </c>
    </row>
    <row r="294">
      <c r="A294" s="129" t="s">
        <v>282</v>
      </c>
      <c r="B294" s="243">
        <v>45997.0</v>
      </c>
    </row>
    <row r="295">
      <c r="A295" s="129" t="s">
        <v>331</v>
      </c>
      <c r="B295" s="243">
        <v>45997.0</v>
      </c>
    </row>
    <row r="296">
      <c r="A296" s="129" t="s">
        <v>204</v>
      </c>
      <c r="B296" s="243">
        <v>45997.0</v>
      </c>
    </row>
    <row r="297">
      <c r="A297" s="129" t="s">
        <v>245</v>
      </c>
      <c r="B297" s="243">
        <v>45997.0</v>
      </c>
    </row>
    <row r="298">
      <c r="A298" s="129" t="s">
        <v>40</v>
      </c>
      <c r="B298" s="243">
        <v>45997.0</v>
      </c>
    </row>
    <row r="299">
      <c r="A299" s="129" t="s">
        <v>291</v>
      </c>
      <c r="B299" s="243">
        <v>45997.0</v>
      </c>
    </row>
    <row r="300">
      <c r="A300" s="129" t="s">
        <v>350</v>
      </c>
      <c r="B300" s="243">
        <v>45997.0</v>
      </c>
    </row>
    <row r="301">
      <c r="A301" s="129" t="s">
        <v>322</v>
      </c>
      <c r="B301" s="243">
        <v>45997.0</v>
      </c>
    </row>
    <row r="302">
      <c r="A302" s="129" t="s">
        <v>325</v>
      </c>
      <c r="B302" s="243">
        <v>45997.0</v>
      </c>
    </row>
    <row r="303">
      <c r="A303" s="129" t="s">
        <v>293</v>
      </c>
      <c r="B303" s="243">
        <v>45997.0</v>
      </c>
    </row>
    <row r="304">
      <c r="A304" s="129" t="s">
        <v>294</v>
      </c>
      <c r="B304" s="243">
        <v>45997.0</v>
      </c>
    </row>
    <row r="305">
      <c r="A305" s="129" t="s">
        <v>326</v>
      </c>
      <c r="B305" s="243">
        <v>45997.0</v>
      </c>
    </row>
    <row r="306">
      <c r="A306" s="129" t="s">
        <v>103</v>
      </c>
      <c r="B306" s="243">
        <v>45999.0</v>
      </c>
    </row>
    <row r="307">
      <c r="A307" s="129" t="s">
        <v>94</v>
      </c>
      <c r="B307" s="243">
        <v>45999.0</v>
      </c>
    </row>
    <row r="308">
      <c r="A308" s="129" t="s">
        <v>578</v>
      </c>
      <c r="B308" s="243">
        <v>45999.0</v>
      </c>
    </row>
    <row r="309">
      <c r="A309" s="129" t="s">
        <v>207</v>
      </c>
      <c r="B309" s="243">
        <v>45999.0</v>
      </c>
    </row>
    <row r="310">
      <c r="A310" s="129" t="s">
        <v>204</v>
      </c>
      <c r="B310" s="243">
        <v>45999.0</v>
      </c>
    </row>
    <row r="311">
      <c r="A311" s="129" t="s">
        <v>605</v>
      </c>
      <c r="B311" s="243">
        <v>45999.0</v>
      </c>
    </row>
    <row r="312">
      <c r="A312" s="129" t="s">
        <v>282</v>
      </c>
      <c r="B312" s="243">
        <v>45999.0</v>
      </c>
    </row>
    <row r="313">
      <c r="A313" s="129" t="s">
        <v>103</v>
      </c>
      <c r="B313" s="243">
        <v>46000.0</v>
      </c>
    </row>
    <row r="314">
      <c r="A314" s="129" t="s">
        <v>413</v>
      </c>
      <c r="B314" s="243">
        <v>46001.0</v>
      </c>
    </row>
    <row r="315">
      <c r="A315" s="129" t="s">
        <v>143</v>
      </c>
      <c r="B315" s="243">
        <v>46001.0</v>
      </c>
    </row>
    <row r="316">
      <c r="A316" s="129" t="s">
        <v>156</v>
      </c>
      <c r="B316" s="243">
        <v>46001.0</v>
      </c>
    </row>
    <row r="317">
      <c r="A317" s="129" t="s">
        <v>129</v>
      </c>
      <c r="B317" s="243">
        <v>46001.0</v>
      </c>
    </row>
    <row r="318">
      <c r="A318" s="129" t="s">
        <v>145</v>
      </c>
      <c r="B318" s="243">
        <v>46001.0</v>
      </c>
    </row>
    <row r="319">
      <c r="A319" s="129" t="s">
        <v>103</v>
      </c>
      <c r="B319" s="243">
        <v>46001.0</v>
      </c>
    </row>
    <row r="320">
      <c r="A320" s="129" t="s">
        <v>602</v>
      </c>
      <c r="B320" s="243">
        <v>46001.0</v>
      </c>
    </row>
    <row r="321">
      <c r="A321" s="129" t="s">
        <v>291</v>
      </c>
      <c r="B321" s="243">
        <v>46001.0</v>
      </c>
    </row>
    <row r="322">
      <c r="A322" s="129" t="s">
        <v>293</v>
      </c>
      <c r="B322" s="243">
        <v>46001.0</v>
      </c>
    </row>
    <row r="323">
      <c r="A323" s="129" t="s">
        <v>190</v>
      </c>
      <c r="B323" s="243">
        <v>46001.0</v>
      </c>
    </row>
    <row r="324">
      <c r="A324" s="129" t="s">
        <v>556</v>
      </c>
      <c r="B324" s="243">
        <v>46001.0</v>
      </c>
    </row>
    <row r="325">
      <c r="A325" s="129" t="s">
        <v>600</v>
      </c>
      <c r="B325" s="243">
        <v>46002.0</v>
      </c>
    </row>
    <row r="326">
      <c r="A326" s="129" t="s">
        <v>605</v>
      </c>
      <c r="B326" s="243">
        <v>46002.0</v>
      </c>
    </row>
    <row r="327">
      <c r="A327" s="129" t="s">
        <v>597</v>
      </c>
      <c r="B327" s="243">
        <v>46002.0</v>
      </c>
    </row>
    <row r="328">
      <c r="A328" s="129" t="s">
        <v>468</v>
      </c>
      <c r="B328" s="243">
        <v>46002.0</v>
      </c>
    </row>
    <row r="329">
      <c r="A329" s="129" t="s">
        <v>87</v>
      </c>
      <c r="B329" s="243">
        <v>46002.0</v>
      </c>
    </row>
    <row r="330">
      <c r="A330" s="129" t="s">
        <v>375</v>
      </c>
      <c r="B330" s="243">
        <v>45996.0</v>
      </c>
    </row>
    <row r="331">
      <c r="A331" s="129" t="s">
        <v>562</v>
      </c>
      <c r="B331" s="243">
        <v>46004.0</v>
      </c>
    </row>
    <row r="332">
      <c r="A332" s="129" t="s">
        <v>192</v>
      </c>
      <c r="B332" s="243">
        <v>46004.0</v>
      </c>
    </row>
    <row r="333">
      <c r="A333" s="129" t="s">
        <v>190</v>
      </c>
      <c r="B333" s="243">
        <v>46004.0</v>
      </c>
    </row>
    <row r="334">
      <c r="A334" s="129" t="s">
        <v>301</v>
      </c>
      <c r="B334" s="243">
        <v>46004.0</v>
      </c>
    </row>
    <row r="335">
      <c r="A335" s="129" t="s">
        <v>217</v>
      </c>
      <c r="B335" s="243">
        <v>46004.0</v>
      </c>
    </row>
    <row r="336">
      <c r="A336" s="129" t="s">
        <v>215</v>
      </c>
      <c r="B336" s="243">
        <v>46004.0</v>
      </c>
    </row>
    <row r="337">
      <c r="A337" s="129" t="s">
        <v>595</v>
      </c>
      <c r="B337" s="243">
        <v>46004.0</v>
      </c>
    </row>
    <row r="338">
      <c r="A338" s="129" t="s">
        <v>407</v>
      </c>
      <c r="B338" s="243">
        <v>46004.0</v>
      </c>
    </row>
    <row r="339">
      <c r="A339" s="129" t="s">
        <v>75</v>
      </c>
      <c r="B339" s="243">
        <v>46004.0</v>
      </c>
    </row>
    <row r="340">
      <c r="A340" s="129" t="s">
        <v>99</v>
      </c>
      <c r="B340" s="243">
        <v>46004.0</v>
      </c>
    </row>
    <row r="341">
      <c r="A341" s="129" t="s">
        <v>556</v>
      </c>
      <c r="B341" s="243">
        <v>46004.0</v>
      </c>
    </row>
    <row r="342">
      <c r="A342" s="129" t="s">
        <v>218</v>
      </c>
      <c r="B342" s="243">
        <v>46004.0</v>
      </c>
    </row>
    <row r="343">
      <c r="A343" s="129" t="s">
        <v>81</v>
      </c>
      <c r="B343" s="243">
        <v>46004.0</v>
      </c>
    </row>
    <row r="344">
      <c r="A344" s="129" t="s">
        <v>275</v>
      </c>
      <c r="B344" s="243">
        <v>46004.0</v>
      </c>
    </row>
    <row r="345">
      <c r="A345" s="129" t="s">
        <v>453</v>
      </c>
      <c r="B345" s="243">
        <v>46004.0</v>
      </c>
    </row>
    <row r="346">
      <c r="A346" s="129" t="s">
        <v>469</v>
      </c>
      <c r="B346" s="243">
        <v>46004.0</v>
      </c>
    </row>
    <row r="347">
      <c r="A347" s="129" t="s">
        <v>226</v>
      </c>
      <c r="B347" s="243">
        <v>46004.0</v>
      </c>
    </row>
    <row r="348">
      <c r="A348" s="129" t="s">
        <v>145</v>
      </c>
      <c r="B348" s="243">
        <v>46004.0</v>
      </c>
    </row>
    <row r="349">
      <c r="A349" s="129" t="s">
        <v>108</v>
      </c>
      <c r="B349" s="243">
        <v>46004.0</v>
      </c>
    </row>
    <row r="350">
      <c r="A350" s="129" t="s">
        <v>559</v>
      </c>
      <c r="B350" s="243">
        <v>46004.0</v>
      </c>
    </row>
    <row r="351">
      <c r="A351" s="129" t="s">
        <v>99</v>
      </c>
      <c r="B351" s="243">
        <v>46001.0</v>
      </c>
    </row>
    <row r="352">
      <c r="A352" s="129" t="s">
        <v>75</v>
      </c>
      <c r="B352" s="243">
        <v>46001.0</v>
      </c>
    </row>
    <row r="353">
      <c r="A353" s="129" t="s">
        <v>241</v>
      </c>
      <c r="B353" s="243">
        <v>46004.0</v>
      </c>
    </row>
    <row r="354">
      <c r="A354" s="129" t="s">
        <v>223</v>
      </c>
      <c r="B354" s="243">
        <v>46004.0</v>
      </c>
    </row>
    <row r="355">
      <c r="A355" s="129" t="s">
        <v>578</v>
      </c>
      <c r="B355" s="243">
        <v>46004.0</v>
      </c>
    </row>
    <row r="356">
      <c r="A356" s="129" t="s">
        <v>566</v>
      </c>
      <c r="B356" s="243">
        <v>46004.0</v>
      </c>
    </row>
    <row r="357">
      <c r="A357" s="129" t="s">
        <v>188</v>
      </c>
      <c r="B357" s="243">
        <v>46004.0</v>
      </c>
    </row>
    <row r="358">
      <c r="A358" s="129" t="s">
        <v>297</v>
      </c>
      <c r="B358" s="243">
        <v>46004.0</v>
      </c>
    </row>
    <row r="359">
      <c r="A359" s="129" t="s">
        <v>236</v>
      </c>
      <c r="B359" s="243">
        <v>46004.0</v>
      </c>
    </row>
    <row r="360">
      <c r="A360" s="129" t="s">
        <v>238</v>
      </c>
      <c r="B360" s="243">
        <v>46004.0</v>
      </c>
    </row>
    <row r="361">
      <c r="A361" s="129" t="s">
        <v>571</v>
      </c>
      <c r="B361" s="243">
        <v>46004.0</v>
      </c>
    </row>
    <row r="362">
      <c r="A362" s="129" t="s">
        <v>153</v>
      </c>
      <c r="B362" s="243">
        <v>46004.0</v>
      </c>
    </row>
    <row r="363">
      <c r="A363" s="129" t="s">
        <v>583</v>
      </c>
      <c r="B363" s="243">
        <v>46004.0</v>
      </c>
    </row>
    <row r="364">
      <c r="A364" s="129" t="s">
        <v>356</v>
      </c>
      <c r="B364" s="243">
        <v>46004.0</v>
      </c>
    </row>
    <row r="365">
      <c r="A365" s="129" t="s">
        <v>129</v>
      </c>
      <c r="B365" s="243">
        <v>46004.0</v>
      </c>
    </row>
    <row r="366">
      <c r="A366" s="129" t="s">
        <v>40</v>
      </c>
      <c r="B366" s="243">
        <v>46004.0</v>
      </c>
    </row>
    <row r="367">
      <c r="A367" s="129" t="s">
        <v>597</v>
      </c>
      <c r="B367" s="243">
        <v>46004.0</v>
      </c>
    </row>
    <row r="368">
      <c r="A368" s="129" t="s">
        <v>153</v>
      </c>
      <c r="B368" s="243">
        <v>45997.0</v>
      </c>
    </row>
    <row r="369">
      <c r="A369" s="129" t="s">
        <v>153</v>
      </c>
      <c r="B369" s="243">
        <v>45990.0</v>
      </c>
    </row>
    <row r="370">
      <c r="A370" s="129" t="s">
        <v>246</v>
      </c>
      <c r="B370" s="243">
        <v>46004.0</v>
      </c>
    </row>
    <row r="371">
      <c r="A371" s="129" t="s">
        <v>350</v>
      </c>
      <c r="B371" s="243">
        <v>46004.0</v>
      </c>
    </row>
    <row r="372">
      <c r="A372" s="129" t="s">
        <v>587</v>
      </c>
      <c r="B372" s="243">
        <v>46004.0</v>
      </c>
    </row>
    <row r="373">
      <c r="A373" s="129" t="s">
        <v>605</v>
      </c>
      <c r="B373" s="243">
        <v>46006.0</v>
      </c>
    </row>
    <row r="374">
      <c r="A374" s="129" t="s">
        <v>94</v>
      </c>
      <c r="B374" s="243">
        <v>46006.0</v>
      </c>
    </row>
    <row r="375">
      <c r="A375" s="129" t="s">
        <v>438</v>
      </c>
      <c r="B375" s="243">
        <v>46006.0</v>
      </c>
    </row>
    <row r="376">
      <c r="A376" s="129" t="s">
        <v>267</v>
      </c>
      <c r="B376" s="243">
        <v>46006.0</v>
      </c>
    </row>
    <row r="377">
      <c r="A377" s="129" t="s">
        <v>554</v>
      </c>
      <c r="B377" s="243">
        <v>46006.0</v>
      </c>
    </row>
    <row r="378">
      <c r="A378" s="129" t="s">
        <v>125</v>
      </c>
      <c r="B378" s="243">
        <v>46006.0</v>
      </c>
      <c r="C378" s="129" t="s">
        <v>658</v>
      </c>
    </row>
    <row r="379">
      <c r="A379" s="129" t="s">
        <v>108</v>
      </c>
      <c r="B379" s="243">
        <v>46006.0</v>
      </c>
      <c r="C379" s="129" t="s">
        <v>658</v>
      </c>
    </row>
    <row r="380">
      <c r="A380" s="129" t="s">
        <v>103</v>
      </c>
      <c r="B380" s="243">
        <v>46006.0</v>
      </c>
      <c r="C380" s="129" t="s">
        <v>658</v>
      </c>
    </row>
    <row r="381">
      <c r="A381" s="129" t="s">
        <v>155</v>
      </c>
      <c r="B381" s="243">
        <v>46008.0</v>
      </c>
      <c r="C381" s="129" t="s">
        <v>658</v>
      </c>
    </row>
    <row r="382">
      <c r="A382" s="129" t="s">
        <v>605</v>
      </c>
      <c r="B382" s="243">
        <v>46009.0</v>
      </c>
      <c r="C382" s="129" t="s">
        <v>658</v>
      </c>
    </row>
    <row r="383">
      <c r="A383" s="129" t="s">
        <v>600</v>
      </c>
      <c r="B383" s="243">
        <v>46009.0</v>
      </c>
      <c r="C383" s="129" t="s">
        <v>658</v>
      </c>
    </row>
    <row r="384">
      <c r="A384" s="129" t="s">
        <v>610</v>
      </c>
      <c r="B384" s="243">
        <v>46009.0</v>
      </c>
      <c r="C384" s="129" t="s">
        <v>658</v>
      </c>
    </row>
    <row r="385">
      <c r="A385" s="129" t="s">
        <v>35</v>
      </c>
      <c r="B385" s="243">
        <v>46027.0</v>
      </c>
      <c r="C385" s="129" t="s">
        <v>658</v>
      </c>
    </row>
    <row r="386">
      <c r="A386" s="129" t="s">
        <v>358</v>
      </c>
      <c r="B386" s="243">
        <v>46027.0</v>
      </c>
      <c r="C386" s="129" t="s">
        <v>658</v>
      </c>
    </row>
    <row r="387">
      <c r="A387" s="129" t="s">
        <v>172</v>
      </c>
      <c r="B387" s="243">
        <v>46027.0</v>
      </c>
      <c r="C387" s="129" t="s">
        <v>658</v>
      </c>
    </row>
    <row r="388">
      <c r="A388" s="129" t="s">
        <v>103</v>
      </c>
      <c r="B388" s="243">
        <v>46027.0</v>
      </c>
      <c r="C388" s="129" t="s">
        <v>658</v>
      </c>
    </row>
    <row r="389">
      <c r="A389" s="129" t="s">
        <v>554</v>
      </c>
      <c r="B389" s="243">
        <v>46027.0</v>
      </c>
      <c r="C389" s="129" t="s">
        <v>658</v>
      </c>
    </row>
    <row r="390">
      <c r="A390" s="129" t="s">
        <v>552</v>
      </c>
      <c r="B390" s="243">
        <v>46027.0</v>
      </c>
      <c r="C390" s="129" t="s">
        <v>658</v>
      </c>
    </row>
    <row r="391">
      <c r="A391" s="129" t="s">
        <v>149</v>
      </c>
      <c r="B391" s="243">
        <v>46029.0</v>
      </c>
      <c r="C391" s="129" t="s">
        <v>658</v>
      </c>
    </row>
    <row r="392">
      <c r="A392" s="129" t="s">
        <v>138</v>
      </c>
      <c r="B392" s="243">
        <v>46029.0</v>
      </c>
      <c r="C392" s="129" t="s">
        <v>658</v>
      </c>
    </row>
    <row r="393">
      <c r="A393" s="129" t="s">
        <v>155</v>
      </c>
      <c r="B393" s="243">
        <v>46029.0</v>
      </c>
      <c r="C393" s="129" t="s">
        <v>658</v>
      </c>
    </row>
    <row r="394">
      <c r="A394" s="129" t="s">
        <v>156</v>
      </c>
      <c r="B394" s="243">
        <v>46029.0</v>
      </c>
      <c r="C394" s="129" t="s">
        <v>658</v>
      </c>
    </row>
    <row r="395">
      <c r="A395" s="129" t="s">
        <v>81</v>
      </c>
      <c r="B395" s="243">
        <v>46029.0</v>
      </c>
      <c r="C395" s="129" t="s">
        <v>658</v>
      </c>
    </row>
    <row r="396">
      <c r="A396" s="129" t="s">
        <v>129</v>
      </c>
      <c r="B396" s="243">
        <v>46029.0</v>
      </c>
      <c r="C396" s="129" t="s">
        <v>658</v>
      </c>
    </row>
    <row r="397">
      <c r="A397" s="129" t="s">
        <v>158</v>
      </c>
      <c r="B397" s="243">
        <v>46029.0</v>
      </c>
      <c r="C397" s="129" t="s">
        <v>658</v>
      </c>
    </row>
    <row r="398">
      <c r="A398" s="129" t="s">
        <v>160</v>
      </c>
      <c r="B398" s="243">
        <v>46029.0</v>
      </c>
      <c r="C398" s="129" t="s">
        <v>658</v>
      </c>
    </row>
    <row r="399">
      <c r="A399" s="129" t="s">
        <v>163</v>
      </c>
      <c r="B399" s="243">
        <v>46029.0</v>
      </c>
      <c r="C399" s="129" t="s">
        <v>658</v>
      </c>
    </row>
    <row r="400">
      <c r="A400" s="129" t="s">
        <v>190</v>
      </c>
      <c r="B400" s="243">
        <v>46032.0</v>
      </c>
      <c r="C400" s="129" t="s">
        <v>658</v>
      </c>
    </row>
    <row r="401">
      <c r="A401" s="129" t="s">
        <v>559</v>
      </c>
      <c r="B401" s="243">
        <v>46032.0</v>
      </c>
      <c r="C401" s="129" t="s">
        <v>658</v>
      </c>
    </row>
    <row r="402">
      <c r="A402" s="129" t="s">
        <v>228</v>
      </c>
      <c r="B402" s="243">
        <v>46032.0</v>
      </c>
      <c r="C402" s="129" t="s">
        <v>658</v>
      </c>
    </row>
    <row r="403">
      <c r="A403" s="129" t="s">
        <v>218</v>
      </c>
      <c r="B403" s="243">
        <v>46032.0</v>
      </c>
      <c r="C403" s="129" t="s">
        <v>658</v>
      </c>
    </row>
    <row r="404">
      <c r="A404" s="129" t="s">
        <v>577</v>
      </c>
      <c r="B404" s="243">
        <v>46032.0</v>
      </c>
      <c r="C404" s="129" t="s">
        <v>658</v>
      </c>
    </row>
    <row r="405">
      <c r="A405" s="129" t="s">
        <v>192</v>
      </c>
      <c r="B405" s="243">
        <v>46032.0</v>
      </c>
      <c r="C405" s="129" t="s">
        <v>658</v>
      </c>
    </row>
    <row r="406">
      <c r="A406" s="129" t="s">
        <v>562</v>
      </c>
      <c r="B406" s="243">
        <v>46032.0</v>
      </c>
      <c r="C406" s="129" t="s">
        <v>658</v>
      </c>
    </row>
    <row r="407">
      <c r="A407" s="129" t="s">
        <v>217</v>
      </c>
      <c r="B407" s="243">
        <v>46032.0</v>
      </c>
      <c r="C407" s="129" t="s">
        <v>658</v>
      </c>
    </row>
    <row r="408">
      <c r="A408" s="129" t="s">
        <v>215</v>
      </c>
      <c r="B408" s="243">
        <v>46032.0</v>
      </c>
      <c r="C408" s="129" t="s">
        <v>658</v>
      </c>
    </row>
    <row r="409">
      <c r="A409" s="129" t="s">
        <v>561</v>
      </c>
      <c r="B409" s="243">
        <v>46032.0</v>
      </c>
      <c r="C409" s="129" t="s">
        <v>658</v>
      </c>
    </row>
    <row r="410">
      <c r="A410" s="129" t="s">
        <v>567</v>
      </c>
      <c r="B410" s="243">
        <v>46032.0</v>
      </c>
      <c r="C410" s="129" t="s">
        <v>658</v>
      </c>
    </row>
    <row r="411">
      <c r="A411" s="129" t="s">
        <v>566</v>
      </c>
      <c r="B411" s="243">
        <v>46032.0</v>
      </c>
      <c r="C411" s="129" t="s">
        <v>658</v>
      </c>
    </row>
    <row r="412">
      <c r="A412" s="129" t="s">
        <v>238</v>
      </c>
      <c r="B412" s="243">
        <v>46032.0</v>
      </c>
      <c r="C412" s="129" t="s">
        <v>658</v>
      </c>
    </row>
    <row r="413">
      <c r="A413" s="129" t="s">
        <v>571</v>
      </c>
      <c r="B413" s="243">
        <v>46032.0</v>
      </c>
      <c r="C413" s="129" t="s">
        <v>658</v>
      </c>
    </row>
    <row r="414">
      <c r="A414" s="129" t="s">
        <v>220</v>
      </c>
      <c r="B414" s="243">
        <v>46032.0</v>
      </c>
      <c r="C414" s="129" t="s">
        <v>658</v>
      </c>
    </row>
    <row r="415">
      <c r="A415" s="129" t="s">
        <v>295</v>
      </c>
      <c r="B415" s="243">
        <v>46032.0</v>
      </c>
      <c r="C415" s="129"/>
    </row>
    <row r="416">
      <c r="A416" s="129" t="s">
        <v>252</v>
      </c>
      <c r="B416" s="243">
        <v>46032.0</v>
      </c>
      <c r="C416" s="129" t="s">
        <v>658</v>
      </c>
    </row>
    <row r="417">
      <c r="A417" s="129" t="s">
        <v>576</v>
      </c>
      <c r="B417" s="243">
        <v>46032.0</v>
      </c>
      <c r="C417" s="129" t="s">
        <v>658</v>
      </c>
    </row>
    <row r="418">
      <c r="A418" s="129" t="s">
        <v>578</v>
      </c>
      <c r="B418" s="243">
        <v>46032.0</v>
      </c>
      <c r="C418" s="129" t="s">
        <v>658</v>
      </c>
    </row>
    <row r="419">
      <c r="A419" s="129" t="s">
        <v>297</v>
      </c>
      <c r="B419" s="243">
        <v>46032.0</v>
      </c>
      <c r="C419" s="129"/>
    </row>
    <row r="420">
      <c r="A420" s="129" t="s">
        <v>350</v>
      </c>
      <c r="B420" s="243">
        <v>46032.0</v>
      </c>
      <c r="C420" s="129" t="s">
        <v>658</v>
      </c>
    </row>
    <row r="421">
      <c r="A421" s="129" t="s">
        <v>331</v>
      </c>
      <c r="B421" s="243">
        <v>46032.0</v>
      </c>
      <c r="C421" s="129" t="s">
        <v>658</v>
      </c>
    </row>
    <row r="422">
      <c r="A422" s="129" t="s">
        <v>589</v>
      </c>
      <c r="B422" s="243">
        <v>46032.0</v>
      </c>
      <c r="C422" s="129" t="s">
        <v>658</v>
      </c>
    </row>
    <row r="423">
      <c r="A423" s="129" t="s">
        <v>583</v>
      </c>
      <c r="B423" s="243">
        <v>46032.0</v>
      </c>
      <c r="C423" s="129" t="s">
        <v>659</v>
      </c>
    </row>
    <row r="424">
      <c r="A424" s="129" t="s">
        <v>326</v>
      </c>
      <c r="B424" s="243">
        <v>46032.0</v>
      </c>
      <c r="C424" s="129" t="s">
        <v>659</v>
      </c>
    </row>
    <row r="425">
      <c r="A425" s="129" t="s">
        <v>103</v>
      </c>
      <c r="B425" s="243">
        <v>46034.0</v>
      </c>
      <c r="C425" s="129" t="s">
        <v>658</v>
      </c>
    </row>
    <row r="426">
      <c r="A426" s="129" t="s">
        <v>554</v>
      </c>
      <c r="B426" s="243">
        <v>46034.0</v>
      </c>
      <c r="C426" s="129" t="s">
        <v>658</v>
      </c>
    </row>
    <row r="427">
      <c r="A427" s="129" t="s">
        <v>129</v>
      </c>
      <c r="B427" s="243">
        <v>46036.0</v>
      </c>
      <c r="C427" s="129"/>
    </row>
    <row r="428">
      <c r="A428" s="129" t="s">
        <v>103</v>
      </c>
      <c r="B428" s="243">
        <v>46036.0</v>
      </c>
      <c r="C428" s="129" t="s">
        <v>659</v>
      </c>
    </row>
    <row r="429">
      <c r="A429" s="129" t="s">
        <v>81</v>
      </c>
      <c r="B429" s="243">
        <v>46036.0</v>
      </c>
      <c r="C429" s="129" t="s">
        <v>658</v>
      </c>
    </row>
    <row r="430">
      <c r="A430" s="129" t="s">
        <v>360</v>
      </c>
      <c r="B430" s="243">
        <v>46036.0</v>
      </c>
      <c r="C430" s="129" t="s">
        <v>658</v>
      </c>
    </row>
    <row r="431">
      <c r="A431" s="129" t="s">
        <v>449</v>
      </c>
      <c r="B431" s="243">
        <v>46037.0</v>
      </c>
      <c r="C431" s="129" t="s">
        <v>658</v>
      </c>
    </row>
    <row r="432">
      <c r="A432" s="129" t="s">
        <v>604</v>
      </c>
      <c r="B432" s="243">
        <v>46037.0</v>
      </c>
      <c r="C432" s="129" t="s">
        <v>658</v>
      </c>
    </row>
    <row r="433">
      <c r="A433" s="129" t="s">
        <v>609</v>
      </c>
      <c r="B433" s="243">
        <v>46037.0</v>
      </c>
      <c r="C433" s="129" t="s">
        <v>658</v>
      </c>
    </row>
    <row r="434">
      <c r="A434" s="129" t="s">
        <v>447</v>
      </c>
      <c r="B434" s="243">
        <v>46037.0</v>
      </c>
      <c r="C434" s="129"/>
    </row>
    <row r="435">
      <c r="A435" s="129" t="s">
        <v>447</v>
      </c>
      <c r="B435" s="243">
        <v>46037.0</v>
      </c>
      <c r="C435" s="129" t="s">
        <v>658</v>
      </c>
    </row>
    <row r="436">
      <c r="A436" s="129" t="s">
        <v>456</v>
      </c>
      <c r="B436" s="243">
        <v>46037.0</v>
      </c>
      <c r="C436" s="129"/>
    </row>
    <row r="437">
      <c r="A437" s="129" t="s">
        <v>326</v>
      </c>
      <c r="B437" s="243">
        <v>46037.0</v>
      </c>
      <c r="C437" s="129" t="s">
        <v>659</v>
      </c>
    </row>
    <row r="438">
      <c r="A438" s="129" t="s">
        <v>371</v>
      </c>
      <c r="B438" s="243">
        <v>46038.0</v>
      </c>
      <c r="C438" s="129" t="s">
        <v>658</v>
      </c>
    </row>
    <row r="439">
      <c r="A439" s="129" t="s">
        <v>577</v>
      </c>
      <c r="B439" s="243">
        <v>46039.0</v>
      </c>
      <c r="C439" s="129" t="s">
        <v>658</v>
      </c>
    </row>
    <row r="440">
      <c r="A440" s="129" t="s">
        <v>288</v>
      </c>
      <c r="B440" s="243">
        <v>46039.0</v>
      </c>
      <c r="C440" s="129" t="s">
        <v>658</v>
      </c>
    </row>
    <row r="441">
      <c r="A441" s="129" t="s">
        <v>562</v>
      </c>
      <c r="B441" s="243">
        <v>46039.0</v>
      </c>
      <c r="C441" s="129" t="s">
        <v>658</v>
      </c>
    </row>
    <row r="442">
      <c r="A442" s="129" t="s">
        <v>236</v>
      </c>
      <c r="B442" s="243">
        <v>46039.0</v>
      </c>
      <c r="C442" s="129" t="s">
        <v>658</v>
      </c>
    </row>
    <row r="443">
      <c r="A443" s="129" t="s">
        <v>34</v>
      </c>
      <c r="B443" s="243">
        <v>46039.0</v>
      </c>
      <c r="C443" s="129" t="s">
        <v>658</v>
      </c>
    </row>
    <row r="444">
      <c r="A444" s="129" t="s">
        <v>217</v>
      </c>
      <c r="B444" s="243">
        <v>46039.0</v>
      </c>
      <c r="C444" s="129" t="s">
        <v>659</v>
      </c>
    </row>
    <row r="445">
      <c r="A445" s="129" t="s">
        <v>218</v>
      </c>
      <c r="B445" s="243">
        <v>46039.0</v>
      </c>
      <c r="C445" s="129" t="s">
        <v>659</v>
      </c>
    </row>
    <row r="446">
      <c r="A446" s="129" t="s">
        <v>438</v>
      </c>
      <c r="B446" s="243">
        <v>46039.0</v>
      </c>
      <c r="C446" s="129" t="s">
        <v>659</v>
      </c>
    </row>
    <row r="447">
      <c r="A447" s="129" t="s">
        <v>129</v>
      </c>
      <c r="B447" s="243">
        <v>46039.0</v>
      </c>
      <c r="C447" s="129" t="s">
        <v>659</v>
      </c>
    </row>
    <row r="448">
      <c r="A448" s="129" t="s">
        <v>158</v>
      </c>
      <c r="B448" s="243">
        <v>46036.0</v>
      </c>
      <c r="C448" s="129"/>
    </row>
    <row r="449">
      <c r="A449" s="129" t="s">
        <v>192</v>
      </c>
      <c r="B449" s="243">
        <v>46039.0</v>
      </c>
      <c r="C449" s="129" t="s">
        <v>659</v>
      </c>
    </row>
    <row r="450">
      <c r="A450" s="129" t="s">
        <v>456</v>
      </c>
      <c r="B450" s="243">
        <v>46039.0</v>
      </c>
      <c r="C450" s="129" t="s">
        <v>659</v>
      </c>
    </row>
    <row r="451">
      <c r="A451" s="129" t="s">
        <v>309</v>
      </c>
      <c r="B451" s="243">
        <v>46039.0</v>
      </c>
      <c r="C451" s="129" t="s">
        <v>660</v>
      </c>
    </row>
    <row r="452">
      <c r="A452" s="129" t="s">
        <v>350</v>
      </c>
      <c r="B452" s="243">
        <v>46039.0</v>
      </c>
      <c r="C452" s="129" t="s">
        <v>658</v>
      </c>
    </row>
    <row r="453">
      <c r="A453" s="129" t="s">
        <v>204</v>
      </c>
      <c r="B453" s="243">
        <v>46039.0</v>
      </c>
      <c r="C453" s="129" t="s">
        <v>658</v>
      </c>
    </row>
    <row r="454">
      <c r="A454" s="129" t="s">
        <v>589</v>
      </c>
      <c r="B454" s="243">
        <v>46039.0</v>
      </c>
      <c r="C454" s="129" t="s">
        <v>658</v>
      </c>
    </row>
    <row r="455">
      <c r="A455" s="129" t="s">
        <v>585</v>
      </c>
      <c r="B455" s="243">
        <v>46039.0</v>
      </c>
      <c r="C455" s="129" t="s">
        <v>658</v>
      </c>
    </row>
    <row r="456">
      <c r="A456" s="129" t="s">
        <v>153</v>
      </c>
      <c r="B456" s="243">
        <v>46039.0</v>
      </c>
      <c r="C456" s="129" t="s">
        <v>658</v>
      </c>
    </row>
    <row r="457">
      <c r="A457" s="129" t="s">
        <v>328</v>
      </c>
      <c r="B457" s="243">
        <v>46039.0</v>
      </c>
      <c r="C457" s="129" t="s">
        <v>658</v>
      </c>
    </row>
    <row r="458">
      <c r="A458" s="129" t="s">
        <v>184</v>
      </c>
      <c r="B458" s="243">
        <v>46041.0</v>
      </c>
      <c r="C458" s="129" t="s">
        <v>658</v>
      </c>
    </row>
    <row r="459">
      <c r="A459" s="129" t="s">
        <v>122</v>
      </c>
      <c r="B459" s="243">
        <v>46041.0</v>
      </c>
      <c r="C459" s="129" t="s">
        <v>658</v>
      </c>
    </row>
    <row r="460">
      <c r="A460" s="129" t="s">
        <v>112</v>
      </c>
      <c r="B460" s="243">
        <v>46041.0</v>
      </c>
      <c r="C460" s="129" t="s">
        <v>658</v>
      </c>
    </row>
    <row r="461">
      <c r="A461" s="129" t="s">
        <v>554</v>
      </c>
      <c r="B461" s="243">
        <v>46041.0</v>
      </c>
      <c r="C461" s="129"/>
    </row>
    <row r="462">
      <c r="A462" s="129" t="s">
        <v>360</v>
      </c>
      <c r="B462" s="243">
        <v>46043.0</v>
      </c>
      <c r="C462" s="129" t="s">
        <v>658</v>
      </c>
    </row>
    <row r="463">
      <c r="A463" s="129" t="s">
        <v>129</v>
      </c>
      <c r="B463" s="243">
        <v>46043.0</v>
      </c>
      <c r="C463" s="129" t="s">
        <v>658</v>
      </c>
    </row>
    <row r="464">
      <c r="A464" s="129" t="s">
        <v>413</v>
      </c>
      <c r="B464" s="243">
        <v>46043.0</v>
      </c>
      <c r="C464" s="129" t="s">
        <v>658</v>
      </c>
    </row>
    <row r="465">
      <c r="A465" s="129" t="s">
        <v>609</v>
      </c>
      <c r="B465" s="243">
        <v>46044.0</v>
      </c>
      <c r="C465" s="129" t="s">
        <v>658</v>
      </c>
    </row>
    <row r="466">
      <c r="A466" s="129" t="s">
        <v>438</v>
      </c>
      <c r="B466" s="243">
        <v>46044.0</v>
      </c>
      <c r="C466" s="129" t="s">
        <v>658</v>
      </c>
    </row>
    <row r="467">
      <c r="A467" s="129" t="s">
        <v>333</v>
      </c>
      <c r="B467" s="243">
        <v>46044.0</v>
      </c>
      <c r="C467" s="129" t="s">
        <v>658</v>
      </c>
    </row>
    <row r="468">
      <c r="A468" s="129" t="s">
        <v>606</v>
      </c>
      <c r="B468" s="243">
        <v>46044.0</v>
      </c>
      <c r="C468" s="129" t="s">
        <v>658</v>
      </c>
    </row>
    <row r="469">
      <c r="A469" s="129" t="s">
        <v>456</v>
      </c>
      <c r="B469" s="243">
        <v>46044.0</v>
      </c>
      <c r="C469" s="129"/>
    </row>
    <row r="470">
      <c r="A470" s="129" t="s">
        <v>596</v>
      </c>
      <c r="B470" s="243">
        <v>46044.0</v>
      </c>
      <c r="C470" s="129" t="s">
        <v>658</v>
      </c>
    </row>
    <row r="471">
      <c r="A471" s="129" t="s">
        <v>215</v>
      </c>
      <c r="B471" s="243">
        <v>46046.0</v>
      </c>
      <c r="C471" s="129" t="s">
        <v>659</v>
      </c>
    </row>
    <row r="472">
      <c r="A472" s="129" t="s">
        <v>217</v>
      </c>
      <c r="B472" s="243">
        <v>46046.0</v>
      </c>
      <c r="C472" s="129" t="s">
        <v>659</v>
      </c>
    </row>
    <row r="473">
      <c r="A473" s="129" t="s">
        <v>228</v>
      </c>
      <c r="B473" s="243">
        <v>46046.0</v>
      </c>
      <c r="C473" s="129" t="s">
        <v>658</v>
      </c>
    </row>
    <row r="474">
      <c r="A474" s="129" t="s">
        <v>288</v>
      </c>
      <c r="B474" s="243">
        <v>46046.0</v>
      </c>
      <c r="C474" s="129" t="s">
        <v>658</v>
      </c>
    </row>
    <row r="475">
      <c r="A475" s="129" t="s">
        <v>562</v>
      </c>
      <c r="B475" s="243">
        <v>46046.0</v>
      </c>
      <c r="C475" s="129" t="s">
        <v>658</v>
      </c>
    </row>
    <row r="476">
      <c r="A476" s="129" t="s">
        <v>236</v>
      </c>
      <c r="B476" s="243">
        <v>46046.0</v>
      </c>
      <c r="C476" s="129" t="s">
        <v>659</v>
      </c>
    </row>
    <row r="477">
      <c r="A477" s="129" t="s">
        <v>42</v>
      </c>
      <c r="B477" s="243">
        <v>46046.0</v>
      </c>
      <c r="C477" s="129" t="s">
        <v>658</v>
      </c>
    </row>
    <row r="478">
      <c r="A478" s="129" t="s">
        <v>303</v>
      </c>
      <c r="B478" s="243">
        <v>46046.0</v>
      </c>
      <c r="C478" s="129" t="s">
        <v>658</v>
      </c>
    </row>
    <row r="479">
      <c r="A479" s="129" t="s">
        <v>204</v>
      </c>
      <c r="B479" s="243">
        <v>46046.0</v>
      </c>
      <c r="C479" s="129" t="s">
        <v>658</v>
      </c>
    </row>
    <row r="480">
      <c r="A480" s="129" t="s">
        <v>40</v>
      </c>
      <c r="B480" s="243">
        <v>46046.0</v>
      </c>
      <c r="C480" s="129" t="s">
        <v>658</v>
      </c>
    </row>
    <row r="481">
      <c r="A481" s="129" t="s">
        <v>90</v>
      </c>
      <c r="B481" s="243">
        <v>46048.0</v>
      </c>
      <c r="C481" s="129"/>
    </row>
    <row r="482">
      <c r="A482" s="129" t="s">
        <v>103</v>
      </c>
      <c r="B482" s="243">
        <v>46048.0</v>
      </c>
      <c r="C482" s="129"/>
    </row>
    <row r="483">
      <c r="A483" s="129" t="s">
        <v>470</v>
      </c>
      <c r="B483" s="243">
        <v>46048.0</v>
      </c>
      <c r="C483" s="129"/>
    </row>
    <row r="484">
      <c r="A484" s="129" t="s">
        <v>81</v>
      </c>
      <c r="B484" s="243">
        <v>46048.0</v>
      </c>
      <c r="C484" s="129"/>
    </row>
    <row r="485">
      <c r="A485" s="129" t="s">
        <v>35</v>
      </c>
      <c r="B485" s="243">
        <v>46048.0</v>
      </c>
      <c r="C485" s="129" t="s">
        <v>658</v>
      </c>
    </row>
    <row r="486">
      <c r="A486" s="129" t="s">
        <v>127</v>
      </c>
      <c r="B486" s="243">
        <v>46048.0</v>
      </c>
      <c r="C486" s="129" t="s">
        <v>658</v>
      </c>
    </row>
    <row r="487">
      <c r="A487" s="129" t="s">
        <v>85</v>
      </c>
      <c r="B487" s="243">
        <v>46048.0</v>
      </c>
      <c r="C487" s="129" t="s">
        <v>658</v>
      </c>
    </row>
    <row r="488">
      <c r="A488" s="129" t="s">
        <v>172</v>
      </c>
      <c r="B488" s="243">
        <v>46048.0</v>
      </c>
      <c r="C488" s="129" t="s">
        <v>658</v>
      </c>
    </row>
    <row r="489">
      <c r="A489" s="129" t="s">
        <v>131</v>
      </c>
      <c r="B489" s="243">
        <v>46050.0</v>
      </c>
      <c r="C489" s="129" t="s">
        <v>658</v>
      </c>
    </row>
    <row r="490">
      <c r="A490" s="129" t="s">
        <v>360</v>
      </c>
      <c r="B490" s="243">
        <v>46050.0</v>
      </c>
      <c r="C490" s="129" t="s">
        <v>658</v>
      </c>
    </row>
    <row r="491">
      <c r="A491" s="129" t="s">
        <v>129</v>
      </c>
      <c r="B491" s="243">
        <v>46050.0</v>
      </c>
      <c r="C491" s="129"/>
    </row>
    <row r="492">
      <c r="A492" s="129" t="s">
        <v>228</v>
      </c>
      <c r="B492" s="243">
        <v>46050.0</v>
      </c>
      <c r="C492" s="129" t="s">
        <v>659</v>
      </c>
    </row>
    <row r="493">
      <c r="A493" s="129" t="s">
        <v>42</v>
      </c>
      <c r="B493" s="243">
        <v>46050.0</v>
      </c>
      <c r="C493" s="129" t="s">
        <v>659</v>
      </c>
    </row>
    <row r="494">
      <c r="A494" s="129" t="s">
        <v>204</v>
      </c>
      <c r="B494" s="243">
        <v>46050.0</v>
      </c>
      <c r="C494" s="129" t="s">
        <v>659</v>
      </c>
    </row>
    <row r="495">
      <c r="A495" s="129" t="s">
        <v>456</v>
      </c>
      <c r="B495" s="243">
        <v>46051.0</v>
      </c>
      <c r="C495" s="129"/>
    </row>
    <row r="496">
      <c r="A496" s="129" t="s">
        <v>606</v>
      </c>
      <c r="B496" s="243">
        <v>46051.0</v>
      </c>
      <c r="C496" s="129" t="s">
        <v>658</v>
      </c>
    </row>
    <row r="497">
      <c r="A497" s="129" t="s">
        <v>333</v>
      </c>
      <c r="B497" s="243">
        <v>46051.0</v>
      </c>
      <c r="C497" s="129"/>
    </row>
    <row r="498">
      <c r="A498" s="129" t="s">
        <v>610</v>
      </c>
      <c r="B498" s="243">
        <v>46053.0</v>
      </c>
      <c r="C498" s="129" t="s">
        <v>658</v>
      </c>
    </row>
    <row r="499">
      <c r="A499" s="129" t="s">
        <v>288</v>
      </c>
      <c r="B499" s="243">
        <v>46053.0</v>
      </c>
      <c r="C499" s="129"/>
    </row>
    <row r="500">
      <c r="A500" s="129" t="s">
        <v>236</v>
      </c>
      <c r="B500" s="243">
        <v>46053.0</v>
      </c>
      <c r="C500" s="129" t="s">
        <v>658</v>
      </c>
    </row>
    <row r="501">
      <c r="A501" s="129" t="s">
        <v>241</v>
      </c>
      <c r="B501" s="243">
        <v>46053.0</v>
      </c>
      <c r="C501" s="129" t="s">
        <v>658</v>
      </c>
    </row>
    <row r="502">
      <c r="A502" s="129" t="s">
        <v>184</v>
      </c>
      <c r="B502" s="243">
        <v>46053.0</v>
      </c>
      <c r="C502" s="129" t="s">
        <v>658</v>
      </c>
    </row>
    <row r="503">
      <c r="A503" s="129" t="s">
        <v>215</v>
      </c>
      <c r="B503" s="243">
        <v>46053.0</v>
      </c>
      <c r="C503" s="129" t="s">
        <v>659</v>
      </c>
    </row>
    <row r="504">
      <c r="A504" s="129" t="s">
        <v>217</v>
      </c>
      <c r="B504" s="243">
        <v>46053.0</v>
      </c>
      <c r="C504" s="129" t="s">
        <v>659</v>
      </c>
    </row>
    <row r="505">
      <c r="A505" s="129" t="s">
        <v>275</v>
      </c>
      <c r="B505" s="243">
        <v>46053.0</v>
      </c>
      <c r="C505" s="129" t="s">
        <v>658</v>
      </c>
    </row>
    <row r="506">
      <c r="A506" s="129" t="s">
        <v>129</v>
      </c>
      <c r="B506" s="243">
        <v>46053.0</v>
      </c>
      <c r="C506" s="129"/>
    </row>
    <row r="507">
      <c r="A507" s="129" t="s">
        <v>207</v>
      </c>
      <c r="B507" s="243">
        <v>46053.0</v>
      </c>
      <c r="C507" s="129" t="s">
        <v>658</v>
      </c>
    </row>
    <row r="508">
      <c r="A508" s="129" t="s">
        <v>265</v>
      </c>
      <c r="B508" s="243">
        <v>46053.0</v>
      </c>
      <c r="C508" s="129" t="s">
        <v>658</v>
      </c>
    </row>
    <row r="509">
      <c r="A509" s="129" t="s">
        <v>583</v>
      </c>
      <c r="B509" s="243">
        <v>46053.0</v>
      </c>
      <c r="C509" s="129" t="s">
        <v>658</v>
      </c>
    </row>
    <row r="510">
      <c r="A510" s="129" t="s">
        <v>40</v>
      </c>
      <c r="B510" s="243">
        <v>46053.0</v>
      </c>
      <c r="C510" s="129" t="s">
        <v>658</v>
      </c>
    </row>
    <row r="511">
      <c r="A511" s="129" t="s">
        <v>350</v>
      </c>
      <c r="B511" s="243">
        <v>46053.0</v>
      </c>
      <c r="C511" s="129" t="s">
        <v>658</v>
      </c>
    </row>
    <row r="512">
      <c r="A512" s="129" t="s">
        <v>352</v>
      </c>
      <c r="B512" s="243">
        <v>46053.0</v>
      </c>
      <c r="C512" s="129" t="s">
        <v>658</v>
      </c>
    </row>
    <row r="513">
      <c r="A513" s="129" t="s">
        <v>322</v>
      </c>
      <c r="B513" s="243">
        <v>46053.0</v>
      </c>
      <c r="C513" s="129" t="s">
        <v>658</v>
      </c>
    </row>
    <row r="514">
      <c r="A514" s="129" t="s">
        <v>325</v>
      </c>
      <c r="B514" s="243">
        <v>46053.0</v>
      </c>
      <c r="C514" s="129" t="s">
        <v>658</v>
      </c>
    </row>
    <row r="515">
      <c r="A515" s="129" t="s">
        <v>153</v>
      </c>
      <c r="B515" s="243">
        <v>46053.0</v>
      </c>
      <c r="C515" s="129" t="s">
        <v>658</v>
      </c>
    </row>
    <row r="516">
      <c r="A516" s="129" t="s">
        <v>362</v>
      </c>
      <c r="B516" s="243">
        <v>46053.0</v>
      </c>
      <c r="C516" s="129" t="s">
        <v>658</v>
      </c>
    </row>
    <row r="517">
      <c r="A517" s="129" t="s">
        <v>108</v>
      </c>
      <c r="B517" s="243">
        <v>46055.0</v>
      </c>
      <c r="C517" s="129"/>
    </row>
    <row r="518">
      <c r="A518" s="129" t="s">
        <v>127</v>
      </c>
      <c r="B518" s="243">
        <v>46055.0</v>
      </c>
      <c r="C518" s="129" t="s">
        <v>658</v>
      </c>
    </row>
    <row r="519">
      <c r="A519" s="129" t="s">
        <v>175</v>
      </c>
      <c r="B519" s="243">
        <v>46057.0</v>
      </c>
      <c r="C519" s="129" t="s">
        <v>658</v>
      </c>
    </row>
    <row r="520">
      <c r="A520" s="129" t="s">
        <v>396</v>
      </c>
      <c r="B520" s="243">
        <v>46057.0</v>
      </c>
      <c r="C520" s="129" t="s">
        <v>658</v>
      </c>
    </row>
    <row r="521">
      <c r="A521" s="129" t="s">
        <v>392</v>
      </c>
      <c r="B521" s="243">
        <v>46057.0</v>
      </c>
      <c r="C521" s="129" t="s">
        <v>658</v>
      </c>
    </row>
    <row r="522">
      <c r="A522" s="129" t="s">
        <v>360</v>
      </c>
      <c r="B522" s="243">
        <v>46057.0</v>
      </c>
      <c r="C522" s="129" t="s">
        <v>658</v>
      </c>
    </row>
    <row r="523">
      <c r="A523" s="129" t="s">
        <v>456</v>
      </c>
      <c r="B523" s="243">
        <v>46058.0</v>
      </c>
      <c r="C523" s="129"/>
    </row>
    <row r="524">
      <c r="A524" s="129" t="s">
        <v>112</v>
      </c>
      <c r="B524" s="243">
        <v>46057.0</v>
      </c>
      <c r="C524" s="129" t="s">
        <v>659</v>
      </c>
    </row>
    <row r="525">
      <c r="A525" s="129" t="s">
        <v>241</v>
      </c>
      <c r="B525" s="243">
        <v>46060.0</v>
      </c>
      <c r="C525" s="129" t="s">
        <v>659</v>
      </c>
    </row>
    <row r="526">
      <c r="A526" s="129" t="s">
        <v>275</v>
      </c>
      <c r="B526" s="243">
        <v>46060.0</v>
      </c>
      <c r="C526" s="129" t="s">
        <v>659</v>
      </c>
    </row>
    <row r="527">
      <c r="A527" s="129" t="s">
        <v>207</v>
      </c>
      <c r="B527" s="243">
        <v>46060.0</v>
      </c>
      <c r="C527" s="129" t="s">
        <v>659</v>
      </c>
    </row>
    <row r="528">
      <c r="A528" s="129" t="s">
        <v>254</v>
      </c>
      <c r="B528" s="243">
        <v>46060.0</v>
      </c>
      <c r="C528" s="129" t="s">
        <v>659</v>
      </c>
    </row>
    <row r="529">
      <c r="A529" s="129" t="s">
        <v>215</v>
      </c>
      <c r="B529" s="243">
        <v>46060.0</v>
      </c>
      <c r="C529" s="129" t="s">
        <v>659</v>
      </c>
    </row>
    <row r="530">
      <c r="A530" s="129" t="s">
        <v>217</v>
      </c>
      <c r="B530" s="243">
        <v>46060.0</v>
      </c>
      <c r="C530" s="129" t="s">
        <v>659</v>
      </c>
    </row>
    <row r="531">
      <c r="A531" s="129" t="s">
        <v>438</v>
      </c>
      <c r="B531" s="243">
        <v>46060.0</v>
      </c>
      <c r="C531" s="129" t="s">
        <v>659</v>
      </c>
    </row>
    <row r="532">
      <c r="A532" s="129" t="s">
        <v>265</v>
      </c>
      <c r="B532" s="243">
        <v>46060.0</v>
      </c>
      <c r="C532" s="129" t="s">
        <v>659</v>
      </c>
    </row>
    <row r="533">
      <c r="A533" s="129" t="s">
        <v>190</v>
      </c>
      <c r="B533" s="243">
        <v>46060.0</v>
      </c>
      <c r="C533" s="129" t="s">
        <v>658</v>
      </c>
    </row>
    <row r="534">
      <c r="A534" s="129" t="s">
        <v>267</v>
      </c>
      <c r="B534" s="243">
        <v>46060.0</v>
      </c>
      <c r="C534" s="129" t="s">
        <v>658</v>
      </c>
    </row>
    <row r="535">
      <c r="A535" s="129" t="s">
        <v>303</v>
      </c>
      <c r="B535" s="243">
        <v>46060.0</v>
      </c>
      <c r="C535" s="129" t="s">
        <v>658</v>
      </c>
    </row>
    <row r="536">
      <c r="A536" s="129" t="s">
        <v>331</v>
      </c>
      <c r="B536" s="243">
        <v>46060.0</v>
      </c>
      <c r="C536" s="129" t="s">
        <v>658</v>
      </c>
    </row>
    <row r="537">
      <c r="A537" s="129" t="s">
        <v>360</v>
      </c>
      <c r="B537" s="243">
        <v>46060.0</v>
      </c>
      <c r="C537" s="129" t="s">
        <v>658</v>
      </c>
    </row>
    <row r="538">
      <c r="A538" s="129" t="s">
        <v>277</v>
      </c>
      <c r="B538" s="243">
        <v>46060.0</v>
      </c>
      <c r="C538" s="129" t="s">
        <v>658</v>
      </c>
    </row>
    <row r="539">
      <c r="A539" s="129" t="s">
        <v>301</v>
      </c>
      <c r="B539" s="243">
        <v>46060.0</v>
      </c>
      <c r="C539" s="129" t="s">
        <v>658</v>
      </c>
    </row>
    <row r="540">
      <c r="A540" s="129" t="s">
        <v>40</v>
      </c>
      <c r="B540" s="243">
        <v>46060.0</v>
      </c>
      <c r="C540" s="129" t="s">
        <v>658</v>
      </c>
    </row>
    <row r="541">
      <c r="A541" s="129" t="s">
        <v>153</v>
      </c>
      <c r="B541" s="243">
        <v>46060.0</v>
      </c>
      <c r="C541" s="129" t="s">
        <v>658</v>
      </c>
    </row>
    <row r="542">
      <c r="A542" s="129" t="s">
        <v>326</v>
      </c>
      <c r="B542" s="243">
        <v>46060.0</v>
      </c>
      <c r="C542" s="129" t="s">
        <v>658</v>
      </c>
    </row>
    <row r="543">
      <c r="A543" s="129" t="s">
        <v>322</v>
      </c>
      <c r="B543" s="243">
        <v>46060.0</v>
      </c>
      <c r="C543" s="129" t="s">
        <v>658</v>
      </c>
    </row>
    <row r="544">
      <c r="A544" s="129" t="s">
        <v>325</v>
      </c>
      <c r="B544" s="243">
        <v>46060.0</v>
      </c>
      <c r="C544" s="129" t="s">
        <v>658</v>
      </c>
    </row>
    <row r="545">
      <c r="A545" s="129" t="s">
        <v>337</v>
      </c>
      <c r="B545" s="243">
        <v>46060.0</v>
      </c>
      <c r="C545" s="129" t="s">
        <v>658</v>
      </c>
    </row>
    <row r="546">
      <c r="A546" s="129" t="s">
        <v>350</v>
      </c>
      <c r="B546" s="243">
        <v>46060.0</v>
      </c>
      <c r="C546" s="129" t="s">
        <v>658</v>
      </c>
    </row>
    <row r="547">
      <c r="A547" s="129" t="s">
        <v>267</v>
      </c>
      <c r="B547" s="243">
        <v>46062.0</v>
      </c>
      <c r="C547" s="129" t="s">
        <v>659</v>
      </c>
    </row>
    <row r="548">
      <c r="A548" s="129" t="s">
        <v>35</v>
      </c>
      <c r="B548" s="243">
        <v>46062.0</v>
      </c>
      <c r="C548" s="129" t="s">
        <v>658</v>
      </c>
    </row>
    <row r="549">
      <c r="A549" s="129" t="s">
        <v>470</v>
      </c>
      <c r="B549" s="243">
        <v>46062.0</v>
      </c>
      <c r="C549" s="129"/>
    </row>
    <row r="550">
      <c r="A550" s="129" t="s">
        <v>94</v>
      </c>
      <c r="B550" s="243">
        <v>46062.0</v>
      </c>
      <c r="C550" s="129" t="s">
        <v>658</v>
      </c>
    </row>
    <row r="551">
      <c r="A551" s="129" t="s">
        <v>42</v>
      </c>
      <c r="B551" s="243">
        <v>46062.0</v>
      </c>
      <c r="C551" s="129" t="s">
        <v>658</v>
      </c>
    </row>
    <row r="552">
      <c r="A552" s="129" t="s">
        <v>164</v>
      </c>
      <c r="B552" s="243">
        <v>46064.0</v>
      </c>
      <c r="C552" s="129" t="s">
        <v>658</v>
      </c>
    </row>
    <row r="553">
      <c r="A553" s="129" t="s">
        <v>163</v>
      </c>
      <c r="B553" s="243">
        <v>46064.0</v>
      </c>
      <c r="C553" s="129"/>
    </row>
    <row r="554">
      <c r="A554" s="129" t="s">
        <v>413</v>
      </c>
      <c r="B554" s="243">
        <v>46064.0</v>
      </c>
      <c r="C554" s="129" t="s">
        <v>658</v>
      </c>
    </row>
    <row r="555">
      <c r="A555" s="129" t="s">
        <v>158</v>
      </c>
      <c r="B555" s="243">
        <v>46064.0</v>
      </c>
      <c r="C555" s="129"/>
    </row>
    <row r="556">
      <c r="A556" s="129" t="s">
        <v>131</v>
      </c>
      <c r="B556" s="243">
        <v>46064.0</v>
      </c>
      <c r="C556" s="129" t="s">
        <v>658</v>
      </c>
    </row>
    <row r="557">
      <c r="A557" s="129" t="s">
        <v>149</v>
      </c>
      <c r="B557" s="243">
        <v>46064.0</v>
      </c>
      <c r="C557" s="129"/>
    </row>
    <row r="558">
      <c r="A558" s="129" t="s">
        <v>127</v>
      </c>
      <c r="B558" s="243">
        <v>46064.0</v>
      </c>
      <c r="C558" s="129" t="s">
        <v>659</v>
      </c>
    </row>
    <row r="559">
      <c r="A559" s="129" t="s">
        <v>37</v>
      </c>
      <c r="B559" s="243">
        <v>46064.0</v>
      </c>
      <c r="C559" s="129" t="s">
        <v>658</v>
      </c>
    </row>
    <row r="560">
      <c r="A560" s="129" t="s">
        <v>447</v>
      </c>
      <c r="B560" s="243">
        <v>46065.0</v>
      </c>
      <c r="C560" s="129"/>
    </row>
    <row r="561">
      <c r="A561" s="129" t="s">
        <v>207</v>
      </c>
      <c r="B561" s="243">
        <v>46067.0</v>
      </c>
      <c r="C561" s="129" t="s">
        <v>658</v>
      </c>
    </row>
    <row r="562">
      <c r="A562" s="129" t="s">
        <v>190</v>
      </c>
      <c r="B562" s="243">
        <v>46067.0</v>
      </c>
      <c r="C562" s="129" t="s">
        <v>659</v>
      </c>
    </row>
    <row r="563">
      <c r="A563" s="129" t="s">
        <v>222</v>
      </c>
      <c r="B563" s="243">
        <v>46067.0</v>
      </c>
      <c r="C563" s="129" t="s">
        <v>658</v>
      </c>
    </row>
    <row r="564">
      <c r="A564" s="129" t="s">
        <v>217</v>
      </c>
      <c r="B564" s="243">
        <v>46067.0</v>
      </c>
      <c r="C564" s="129" t="s">
        <v>659</v>
      </c>
    </row>
    <row r="565">
      <c r="A565" s="129" t="s">
        <v>215</v>
      </c>
      <c r="B565" s="243">
        <v>46067.0</v>
      </c>
      <c r="C565" s="129" t="s">
        <v>659</v>
      </c>
    </row>
    <row r="566">
      <c r="A566" s="129" t="s">
        <v>202</v>
      </c>
      <c r="B566" s="243">
        <v>46067.0</v>
      </c>
      <c r="C566" s="129" t="s">
        <v>658</v>
      </c>
    </row>
    <row r="567">
      <c r="A567" s="129" t="s">
        <v>230</v>
      </c>
      <c r="B567" s="243">
        <v>46067.0</v>
      </c>
      <c r="C567" s="129"/>
    </row>
    <row r="568">
      <c r="A568" s="129" t="s">
        <v>223</v>
      </c>
      <c r="B568" s="243">
        <v>46067.0</v>
      </c>
      <c r="C568" s="129" t="s">
        <v>659</v>
      </c>
    </row>
    <row r="569">
      <c r="A569" s="129" t="s">
        <v>196</v>
      </c>
      <c r="B569" s="243">
        <v>46067.0</v>
      </c>
      <c r="C569" s="129" t="s">
        <v>658</v>
      </c>
    </row>
    <row r="570">
      <c r="A570" s="129" t="s">
        <v>220</v>
      </c>
      <c r="B570" s="243">
        <v>46067.0</v>
      </c>
      <c r="C570" s="129" t="s">
        <v>658</v>
      </c>
    </row>
    <row r="571">
      <c r="A571" s="129" t="s">
        <v>261</v>
      </c>
      <c r="B571" s="243">
        <v>46067.0</v>
      </c>
      <c r="C571" s="129" t="s">
        <v>658</v>
      </c>
    </row>
    <row r="572">
      <c r="A572" s="129" t="s">
        <v>38</v>
      </c>
      <c r="B572" s="243">
        <v>46067.0</v>
      </c>
      <c r="C572" s="129" t="s">
        <v>658</v>
      </c>
    </row>
    <row r="573">
      <c r="A573" s="129" t="s">
        <v>307</v>
      </c>
      <c r="B573" s="243">
        <v>46067.0</v>
      </c>
      <c r="C573" s="129" t="s">
        <v>658</v>
      </c>
    </row>
    <row r="574">
      <c r="A574" s="129" t="s">
        <v>462</v>
      </c>
      <c r="B574" s="243">
        <v>46067.0</v>
      </c>
      <c r="C574" s="129" t="s">
        <v>658</v>
      </c>
    </row>
    <row r="575">
      <c r="A575" s="129" t="s">
        <v>311</v>
      </c>
      <c r="B575" s="243">
        <v>46067.0</v>
      </c>
      <c r="C575" s="129" t="s">
        <v>658</v>
      </c>
    </row>
    <row r="576">
      <c r="A576" s="129" t="s">
        <v>362</v>
      </c>
      <c r="B576" s="243">
        <v>46067.0</v>
      </c>
      <c r="C576" s="129" t="s">
        <v>658</v>
      </c>
    </row>
    <row r="577">
      <c r="A577" s="129" t="s">
        <v>294</v>
      </c>
      <c r="B577" s="243">
        <v>46067.0</v>
      </c>
      <c r="C577" s="129" t="s">
        <v>658</v>
      </c>
    </row>
    <row r="578">
      <c r="A578" s="129" t="s">
        <v>293</v>
      </c>
      <c r="B578" s="243">
        <v>46067.0</v>
      </c>
      <c r="C578" s="129" t="s">
        <v>658</v>
      </c>
    </row>
    <row r="579">
      <c r="A579" s="129" t="s">
        <v>291</v>
      </c>
      <c r="B579" s="243">
        <v>46067.0</v>
      </c>
      <c r="C579" s="129" t="s">
        <v>658</v>
      </c>
    </row>
    <row r="580">
      <c r="A580" s="129" t="s">
        <v>325</v>
      </c>
      <c r="B580" s="243">
        <v>46067.0</v>
      </c>
      <c r="C580" s="129" t="s">
        <v>659</v>
      </c>
    </row>
    <row r="581">
      <c r="A581" s="129" t="s">
        <v>319</v>
      </c>
      <c r="B581" s="243">
        <v>46067.0</v>
      </c>
      <c r="C581" s="129" t="s">
        <v>658</v>
      </c>
    </row>
    <row r="582">
      <c r="A582" s="129" t="s">
        <v>317</v>
      </c>
      <c r="B582" s="243">
        <v>46067.0</v>
      </c>
      <c r="C582" s="129" t="s">
        <v>658</v>
      </c>
    </row>
    <row r="583">
      <c r="A583" s="129" t="s">
        <v>40</v>
      </c>
      <c r="B583" s="243">
        <v>46067.0</v>
      </c>
      <c r="C583" s="129" t="s">
        <v>658</v>
      </c>
    </row>
    <row r="584">
      <c r="A584" s="129" t="s">
        <v>315</v>
      </c>
      <c r="B584" s="243">
        <v>46067.0</v>
      </c>
      <c r="C584" s="129" t="s">
        <v>658</v>
      </c>
    </row>
    <row r="585">
      <c r="A585" s="129" t="s">
        <v>326</v>
      </c>
      <c r="B585" s="243">
        <v>46067.0</v>
      </c>
      <c r="C585" s="129" t="s">
        <v>659</v>
      </c>
    </row>
    <row r="586">
      <c r="A586" s="129" t="s">
        <v>313</v>
      </c>
      <c r="B586" s="243">
        <v>46067.0</v>
      </c>
      <c r="C586" s="129" t="s">
        <v>658</v>
      </c>
    </row>
    <row r="587">
      <c r="A587" s="129" t="s">
        <v>350</v>
      </c>
      <c r="B587" s="243">
        <v>46067.0</v>
      </c>
      <c r="C587" s="129" t="s">
        <v>658</v>
      </c>
    </row>
    <row r="588">
      <c r="A588" s="129" t="s">
        <v>127</v>
      </c>
      <c r="B588" s="243">
        <v>46076.0</v>
      </c>
      <c r="C588" s="129"/>
    </row>
    <row r="589">
      <c r="A589" s="129" t="s">
        <v>47</v>
      </c>
      <c r="B589" s="243">
        <v>46076.0</v>
      </c>
      <c r="C589" s="129" t="s">
        <v>658</v>
      </c>
    </row>
    <row r="590">
      <c r="A590" s="129" t="s">
        <v>46</v>
      </c>
      <c r="B590" s="243">
        <v>46076.0</v>
      </c>
      <c r="C590" s="129" t="s">
        <v>658</v>
      </c>
    </row>
    <row r="591">
      <c r="A591" s="129" t="s">
        <v>45</v>
      </c>
      <c r="B591" s="243">
        <v>46076.0</v>
      </c>
      <c r="C591" s="129" t="s">
        <v>658</v>
      </c>
    </row>
    <row r="592">
      <c r="A592" s="129" t="s">
        <v>413</v>
      </c>
      <c r="B592" s="243">
        <v>46078.0</v>
      </c>
      <c r="C592" s="129" t="s">
        <v>658</v>
      </c>
    </row>
    <row r="593">
      <c r="A593" s="129" t="s">
        <v>164</v>
      </c>
      <c r="B593" s="243">
        <v>46078.0</v>
      </c>
      <c r="C593" s="129" t="s">
        <v>658</v>
      </c>
    </row>
    <row r="594">
      <c r="A594" s="129" t="s">
        <v>160</v>
      </c>
      <c r="B594" s="243">
        <v>46078.0</v>
      </c>
      <c r="C594" s="129" t="s">
        <v>658</v>
      </c>
    </row>
    <row r="595">
      <c r="A595" s="129" t="s">
        <v>138</v>
      </c>
      <c r="B595" s="243">
        <v>46078.0</v>
      </c>
      <c r="C595" s="129" t="s">
        <v>658</v>
      </c>
    </row>
    <row r="596">
      <c r="A596" s="129" t="s">
        <v>175</v>
      </c>
      <c r="B596" s="243">
        <v>46078.0</v>
      </c>
      <c r="C596" s="129" t="s">
        <v>658</v>
      </c>
    </row>
    <row r="597">
      <c r="A597" s="129" t="s">
        <v>230</v>
      </c>
      <c r="B597" s="243">
        <v>46078.0</v>
      </c>
      <c r="C597" s="129" t="s">
        <v>659</v>
      </c>
    </row>
    <row r="598">
      <c r="A598" s="129" t="s">
        <v>127</v>
      </c>
      <c r="B598" s="243">
        <v>46078.0</v>
      </c>
      <c r="C598" s="129"/>
    </row>
    <row r="599">
      <c r="A599" s="129" t="s">
        <v>462</v>
      </c>
      <c r="B599" s="243">
        <v>46079.0</v>
      </c>
      <c r="C599" s="129"/>
    </row>
    <row r="600">
      <c r="A600" s="129" t="s">
        <v>175</v>
      </c>
      <c r="B600" s="243">
        <v>46080.0</v>
      </c>
      <c r="C600" s="129"/>
    </row>
    <row r="601">
      <c r="A601" s="129" t="s">
        <v>209</v>
      </c>
      <c r="B601" s="243">
        <v>46079.0</v>
      </c>
      <c r="C601" s="129"/>
    </row>
    <row r="602">
      <c r="A602" s="129" t="s">
        <v>265</v>
      </c>
      <c r="B602" s="243">
        <v>46081.0</v>
      </c>
      <c r="C602" s="129"/>
    </row>
    <row r="603">
      <c r="A603" s="129" t="s">
        <v>238</v>
      </c>
      <c r="B603" s="243">
        <v>46081.0</v>
      </c>
      <c r="C603" s="129" t="s">
        <v>658</v>
      </c>
    </row>
    <row r="604">
      <c r="A604" s="129" t="s">
        <v>236</v>
      </c>
      <c r="B604" s="243">
        <v>46081.0</v>
      </c>
      <c r="C604" s="129" t="s">
        <v>658</v>
      </c>
    </row>
    <row r="605">
      <c r="A605" s="129" t="s">
        <v>202</v>
      </c>
      <c r="B605" s="243">
        <v>46079.0</v>
      </c>
      <c r="C605" s="129" t="s">
        <v>658</v>
      </c>
    </row>
    <row r="606">
      <c r="A606" s="129" t="s">
        <v>207</v>
      </c>
      <c r="B606" s="243">
        <v>46079.0</v>
      </c>
      <c r="C606" s="129" t="s">
        <v>659</v>
      </c>
    </row>
    <row r="607">
      <c r="A607" s="129" t="s">
        <v>196</v>
      </c>
      <c r="B607" s="243">
        <v>46079.0</v>
      </c>
      <c r="C607" s="129" t="s">
        <v>658</v>
      </c>
    </row>
    <row r="608">
      <c r="A608" s="129" t="s">
        <v>222</v>
      </c>
      <c r="B608" s="243">
        <v>46079.0</v>
      </c>
      <c r="C608" s="129" t="s">
        <v>658</v>
      </c>
    </row>
    <row r="609">
      <c r="A609" s="129" t="s">
        <v>217</v>
      </c>
      <c r="B609" s="243">
        <v>46079.0</v>
      </c>
      <c r="C609" s="129" t="s">
        <v>659</v>
      </c>
    </row>
    <row r="610">
      <c r="A610" s="129" t="s">
        <v>215</v>
      </c>
      <c r="B610" s="243">
        <v>46079.0</v>
      </c>
      <c r="C610" s="129" t="s">
        <v>659</v>
      </c>
    </row>
    <row r="611">
      <c r="A611" s="129" t="s">
        <v>238</v>
      </c>
      <c r="B611" s="243">
        <v>46079.0</v>
      </c>
      <c r="C611" s="129" t="s">
        <v>658</v>
      </c>
    </row>
    <row r="612">
      <c r="A612" s="129" t="s">
        <v>236</v>
      </c>
      <c r="B612" s="243">
        <v>46079.0</v>
      </c>
      <c r="C612" s="129" t="s">
        <v>658</v>
      </c>
    </row>
    <row r="613">
      <c r="A613" s="129" t="s">
        <v>196</v>
      </c>
      <c r="B613" s="243">
        <v>46081.0</v>
      </c>
      <c r="C613" s="129" t="s">
        <v>658</v>
      </c>
    </row>
    <row r="614">
      <c r="A614" s="129" t="s">
        <v>220</v>
      </c>
      <c r="B614" s="243">
        <v>46081.0</v>
      </c>
      <c r="C614" s="129" t="s">
        <v>658</v>
      </c>
    </row>
    <row r="615">
      <c r="A615" s="129" t="s">
        <v>245</v>
      </c>
      <c r="B615" s="243">
        <v>46079.0</v>
      </c>
      <c r="C615" s="129" t="s">
        <v>658</v>
      </c>
    </row>
    <row r="616">
      <c r="A616" s="129" t="s">
        <v>250</v>
      </c>
      <c r="B616" s="243">
        <v>46081.0</v>
      </c>
      <c r="C616" s="129" t="s">
        <v>658</v>
      </c>
    </row>
    <row r="617">
      <c r="A617" s="129" t="s">
        <v>243</v>
      </c>
      <c r="B617" s="243">
        <v>46079.0</v>
      </c>
      <c r="C617" s="129" t="s">
        <v>658</v>
      </c>
    </row>
    <row r="618">
      <c r="A618" s="129" t="s">
        <v>250</v>
      </c>
      <c r="B618" s="243">
        <v>46079.0</v>
      </c>
      <c r="C618" s="129" t="s">
        <v>658</v>
      </c>
    </row>
    <row r="619">
      <c r="A619" s="129" t="s">
        <v>40</v>
      </c>
      <c r="B619" s="243">
        <v>46081.0</v>
      </c>
      <c r="C619" s="129" t="s">
        <v>658</v>
      </c>
    </row>
    <row r="620">
      <c r="A620" s="129" t="s">
        <v>350</v>
      </c>
      <c r="B620" s="243">
        <v>46081.0</v>
      </c>
      <c r="C620" s="129" t="s">
        <v>658</v>
      </c>
    </row>
    <row r="621">
      <c r="A621" s="129" t="s">
        <v>294</v>
      </c>
      <c r="B621" s="243">
        <v>46081.0</v>
      </c>
      <c r="C621" s="129" t="s">
        <v>659</v>
      </c>
    </row>
    <row r="622">
      <c r="A622" s="129" t="s">
        <v>293</v>
      </c>
      <c r="B622" s="243">
        <v>46081.0</v>
      </c>
      <c r="C622" s="129" t="s">
        <v>659</v>
      </c>
    </row>
    <row r="623">
      <c r="A623" s="129" t="s">
        <v>153</v>
      </c>
      <c r="B623" s="243">
        <v>46081.0</v>
      </c>
      <c r="C623" s="129" t="s">
        <v>658</v>
      </c>
    </row>
    <row r="624">
      <c r="A624" s="129" t="s">
        <v>319</v>
      </c>
      <c r="B624" s="243">
        <v>46081.0</v>
      </c>
      <c r="C624" s="129" t="s">
        <v>659</v>
      </c>
    </row>
    <row r="625">
      <c r="A625" s="129" t="s">
        <v>317</v>
      </c>
      <c r="B625" s="243">
        <v>46081.0</v>
      </c>
      <c r="C625" s="129" t="s">
        <v>659</v>
      </c>
    </row>
    <row r="626">
      <c r="A626" s="129" t="s">
        <v>328</v>
      </c>
      <c r="B626" s="243">
        <v>46081.0</v>
      </c>
      <c r="C626" s="129" t="s">
        <v>658</v>
      </c>
    </row>
    <row r="627">
      <c r="A627" s="129" t="s">
        <v>326</v>
      </c>
      <c r="B627" s="243">
        <v>46081.0</v>
      </c>
      <c r="C627" s="129" t="s">
        <v>659</v>
      </c>
    </row>
    <row r="628">
      <c r="A628" s="129" t="s">
        <v>184</v>
      </c>
      <c r="B628" s="243">
        <v>46081.0</v>
      </c>
      <c r="C628" s="129" t="s">
        <v>658</v>
      </c>
    </row>
    <row r="629">
      <c r="A629" s="129" t="s">
        <v>245</v>
      </c>
      <c r="B629" s="243">
        <v>46081.0</v>
      </c>
      <c r="C629" s="129" t="s">
        <v>658</v>
      </c>
    </row>
    <row r="630">
      <c r="A630" s="129" t="s">
        <v>243</v>
      </c>
      <c r="B630" s="243">
        <v>46081.0</v>
      </c>
      <c r="C630" s="129" t="s">
        <v>658</v>
      </c>
    </row>
    <row r="631">
      <c r="A631" s="129" t="s">
        <v>47</v>
      </c>
      <c r="B631" s="243">
        <v>46083.0</v>
      </c>
      <c r="C631" s="129" t="s">
        <v>658</v>
      </c>
    </row>
    <row r="632">
      <c r="A632" s="129" t="s">
        <v>46</v>
      </c>
      <c r="B632" s="243">
        <v>46083.0</v>
      </c>
      <c r="C632" s="129" t="s">
        <v>658</v>
      </c>
    </row>
    <row r="633">
      <c r="A633" s="129" t="s">
        <v>129</v>
      </c>
      <c r="B633" s="243">
        <v>46083.0</v>
      </c>
      <c r="C633" s="129" t="s">
        <v>658</v>
      </c>
    </row>
    <row r="634">
      <c r="A634" s="129" t="s">
        <v>470</v>
      </c>
      <c r="B634" s="243">
        <v>46083.0</v>
      </c>
      <c r="C634" s="129" t="s">
        <v>659</v>
      </c>
    </row>
    <row r="635">
      <c r="A635" s="129" t="s">
        <v>87</v>
      </c>
      <c r="B635" s="243">
        <v>46083.0</v>
      </c>
      <c r="C635" s="129" t="s">
        <v>658</v>
      </c>
    </row>
    <row r="636">
      <c r="A636" s="129" t="s">
        <v>45</v>
      </c>
      <c r="B636" s="243">
        <v>46083.0</v>
      </c>
      <c r="C636" s="129" t="s">
        <v>658</v>
      </c>
    </row>
    <row r="637">
      <c r="A637" s="129" t="s">
        <v>122</v>
      </c>
      <c r="B637" s="243">
        <v>46083.0</v>
      </c>
      <c r="C637" s="129" t="s">
        <v>658</v>
      </c>
    </row>
    <row r="638">
      <c r="A638" s="129" t="s">
        <v>202</v>
      </c>
      <c r="B638" s="243">
        <v>46085.0</v>
      </c>
      <c r="C638" s="129"/>
    </row>
    <row r="639">
      <c r="A639" s="129" t="s">
        <v>196</v>
      </c>
      <c r="B639" s="243">
        <v>46085.0</v>
      </c>
      <c r="C639" s="129"/>
    </row>
    <row r="640">
      <c r="A640" s="129" t="s">
        <v>164</v>
      </c>
      <c r="B640" s="243">
        <v>46085.0</v>
      </c>
      <c r="C640" s="129"/>
    </row>
    <row r="641">
      <c r="A641" s="129" t="s">
        <v>170</v>
      </c>
      <c r="B641" s="243">
        <v>46085.0</v>
      </c>
      <c r="C641" s="129" t="s">
        <v>658</v>
      </c>
    </row>
    <row r="642">
      <c r="A642" s="129" t="s">
        <v>131</v>
      </c>
      <c r="B642" s="243">
        <v>46085.0</v>
      </c>
      <c r="C642" s="129" t="s">
        <v>658</v>
      </c>
    </row>
    <row r="643">
      <c r="A643" s="129" t="s">
        <v>610</v>
      </c>
      <c r="B643" s="243">
        <v>46085.0</v>
      </c>
      <c r="C643" s="129" t="s">
        <v>659</v>
      </c>
    </row>
    <row r="644">
      <c r="A644" s="129" t="s">
        <v>87</v>
      </c>
      <c r="B644" s="243">
        <v>46085.0</v>
      </c>
      <c r="C644" s="129" t="s">
        <v>659</v>
      </c>
    </row>
    <row r="645">
      <c r="A645" s="129" t="s">
        <v>196</v>
      </c>
      <c r="B645" s="243">
        <v>46083.0</v>
      </c>
      <c r="C645" s="129" t="s">
        <v>659</v>
      </c>
    </row>
    <row r="646">
      <c r="A646" s="129" t="s">
        <v>202</v>
      </c>
      <c r="B646" s="243">
        <v>46083.0</v>
      </c>
      <c r="C646" s="129" t="s">
        <v>659</v>
      </c>
    </row>
    <row r="647">
      <c r="A647" s="129" t="s">
        <v>164</v>
      </c>
      <c r="B647" s="243">
        <v>46083.0</v>
      </c>
      <c r="C647" s="129" t="s">
        <v>659</v>
      </c>
    </row>
    <row r="648">
      <c r="A648" s="129" t="s">
        <v>452</v>
      </c>
      <c r="B648" s="243">
        <v>46086.0</v>
      </c>
      <c r="C648" s="129" t="s">
        <v>658</v>
      </c>
    </row>
    <row r="649">
      <c r="A649" s="129" t="s">
        <v>267</v>
      </c>
      <c r="B649" s="243">
        <v>46088.0</v>
      </c>
      <c r="C649" s="129" t="s">
        <v>658</v>
      </c>
    </row>
    <row r="650">
      <c r="A650" s="129" t="s">
        <v>273</v>
      </c>
      <c r="B650" s="243">
        <v>46088.0</v>
      </c>
      <c r="C650" s="129" t="s">
        <v>658</v>
      </c>
    </row>
    <row r="651">
      <c r="A651" s="129" t="s">
        <v>223</v>
      </c>
      <c r="B651" s="243">
        <v>46088.0</v>
      </c>
      <c r="C651" s="129" t="s">
        <v>659</v>
      </c>
    </row>
    <row r="652">
      <c r="A652" s="129" t="s">
        <v>236</v>
      </c>
      <c r="B652" s="243">
        <v>46088.0</v>
      </c>
      <c r="C652" s="129" t="s">
        <v>659</v>
      </c>
    </row>
    <row r="653">
      <c r="A653" s="129" t="s">
        <v>238</v>
      </c>
      <c r="B653" s="243">
        <v>46088.0</v>
      </c>
      <c r="C653" s="129" t="s">
        <v>658</v>
      </c>
    </row>
    <row r="654">
      <c r="A654" s="129" t="s">
        <v>220</v>
      </c>
      <c r="B654" s="243">
        <v>46088.0</v>
      </c>
      <c r="C654" s="129" t="s">
        <v>658</v>
      </c>
    </row>
    <row r="655">
      <c r="A655" s="129" t="s">
        <v>222</v>
      </c>
      <c r="B655" s="243">
        <v>46088.0</v>
      </c>
      <c r="C655" s="129" t="s">
        <v>658</v>
      </c>
    </row>
    <row r="656">
      <c r="A656" s="129" t="s">
        <v>610</v>
      </c>
      <c r="B656" s="243">
        <v>46088.0</v>
      </c>
      <c r="C656" s="129" t="s">
        <v>658</v>
      </c>
    </row>
    <row r="657">
      <c r="A657" s="129" t="s">
        <v>317</v>
      </c>
      <c r="B657" s="243">
        <v>46088.0</v>
      </c>
      <c r="C657" s="129" t="s">
        <v>659</v>
      </c>
    </row>
    <row r="658">
      <c r="A658" s="129" t="s">
        <v>319</v>
      </c>
      <c r="B658" s="243">
        <v>46088.0</v>
      </c>
      <c r="C658" s="129" t="s">
        <v>659</v>
      </c>
    </row>
    <row r="659">
      <c r="A659" s="129" t="s">
        <v>209</v>
      </c>
      <c r="B659" s="243">
        <v>46088.0</v>
      </c>
      <c r="C659" s="129" t="s">
        <v>658</v>
      </c>
    </row>
    <row r="660">
      <c r="A660" s="129" t="s">
        <v>215</v>
      </c>
      <c r="B660" s="243">
        <v>46088.0</v>
      </c>
      <c r="C660" s="129" t="s">
        <v>658</v>
      </c>
    </row>
    <row r="661">
      <c r="A661" s="129" t="s">
        <v>217</v>
      </c>
      <c r="B661" s="243">
        <v>46088.0</v>
      </c>
      <c r="C661" s="129" t="s">
        <v>658</v>
      </c>
    </row>
    <row r="662">
      <c r="A662" s="129" t="s">
        <v>309</v>
      </c>
      <c r="B662" s="243">
        <v>46088.0</v>
      </c>
      <c r="C662" s="129" t="s">
        <v>660</v>
      </c>
    </row>
    <row r="663">
      <c r="A663" s="129" t="s">
        <v>350</v>
      </c>
      <c r="B663" s="243">
        <v>46088.0</v>
      </c>
      <c r="C663" s="129"/>
    </row>
    <row r="664">
      <c r="A664" s="129" t="s">
        <v>326</v>
      </c>
      <c r="B664" s="243">
        <v>46088.0</v>
      </c>
      <c r="C664" s="129" t="s">
        <v>658</v>
      </c>
    </row>
    <row r="665">
      <c r="A665" s="129" t="s">
        <v>325</v>
      </c>
      <c r="B665" s="243">
        <v>46088.0</v>
      </c>
      <c r="C665" s="129" t="s">
        <v>658</v>
      </c>
    </row>
    <row r="666">
      <c r="A666" s="129" t="s">
        <v>322</v>
      </c>
      <c r="B666" s="243">
        <v>46088.0</v>
      </c>
      <c r="C666" s="129" t="s">
        <v>658</v>
      </c>
    </row>
    <row r="667">
      <c r="A667" s="129" t="s">
        <v>303</v>
      </c>
      <c r="B667" s="243">
        <v>46088.0</v>
      </c>
      <c r="C667" s="129" t="s">
        <v>658</v>
      </c>
    </row>
    <row r="668">
      <c r="A668" s="129" t="s">
        <v>153</v>
      </c>
      <c r="B668" s="243">
        <v>46088.0</v>
      </c>
      <c r="C668" s="129" t="s">
        <v>658</v>
      </c>
    </row>
    <row r="669">
      <c r="A669" s="129" t="s">
        <v>99</v>
      </c>
      <c r="B669" s="243">
        <v>46090.0</v>
      </c>
      <c r="C669" s="129" t="s">
        <v>658</v>
      </c>
    </row>
    <row r="670">
      <c r="A670" s="129" t="s">
        <v>470</v>
      </c>
      <c r="B670" s="243">
        <v>46090.0</v>
      </c>
      <c r="C670" s="129" t="s">
        <v>658</v>
      </c>
    </row>
    <row r="671">
      <c r="A671" s="129" t="s">
        <v>47</v>
      </c>
      <c r="B671" s="243">
        <v>46090.0</v>
      </c>
      <c r="C671" s="129" t="s">
        <v>658</v>
      </c>
    </row>
    <row r="672">
      <c r="A672" s="129" t="s">
        <v>46</v>
      </c>
      <c r="B672" s="243">
        <v>46090.0</v>
      </c>
      <c r="C672" s="129" t="s">
        <v>658</v>
      </c>
    </row>
    <row r="673">
      <c r="A673" s="129" t="s">
        <v>35</v>
      </c>
      <c r="B673" s="243">
        <v>46090.0</v>
      </c>
      <c r="C673" s="129" t="s">
        <v>658</v>
      </c>
    </row>
    <row r="674">
      <c r="A674" s="129" t="s">
        <v>172</v>
      </c>
      <c r="B674" s="243">
        <v>46090.0</v>
      </c>
      <c r="C674" s="129" t="s">
        <v>658</v>
      </c>
    </row>
    <row r="675">
      <c r="A675" s="129" t="s">
        <v>129</v>
      </c>
      <c r="B675" s="243">
        <v>46090.0</v>
      </c>
      <c r="C675" s="129" t="s">
        <v>658</v>
      </c>
    </row>
    <row r="676">
      <c r="A676" s="129" t="s">
        <v>127</v>
      </c>
      <c r="B676" s="243">
        <v>46090.0</v>
      </c>
      <c r="C676" s="129" t="s">
        <v>658</v>
      </c>
    </row>
    <row r="677">
      <c r="A677" s="129" t="s">
        <v>45</v>
      </c>
      <c r="B677" s="243">
        <v>46090.0</v>
      </c>
      <c r="C677" s="129" t="s">
        <v>658</v>
      </c>
    </row>
    <row r="678">
      <c r="A678" s="129" t="s">
        <v>358</v>
      </c>
      <c r="B678" s="243">
        <v>46090.0</v>
      </c>
      <c r="C678" s="129" t="s">
        <v>658</v>
      </c>
    </row>
    <row r="679">
      <c r="A679" s="129" t="s">
        <v>108</v>
      </c>
      <c r="B679" s="243">
        <v>46090.0</v>
      </c>
      <c r="C679" s="129" t="s">
        <v>658</v>
      </c>
    </row>
    <row r="680">
      <c r="A680" s="129" t="s">
        <v>390</v>
      </c>
      <c r="B680" s="243">
        <v>46091.0</v>
      </c>
      <c r="C680" s="129" t="s">
        <v>658</v>
      </c>
    </row>
    <row r="681">
      <c r="A681" s="129" t="s">
        <v>413</v>
      </c>
      <c r="B681" s="243">
        <v>46092.0</v>
      </c>
      <c r="C681" s="129" t="s">
        <v>658</v>
      </c>
    </row>
    <row r="682">
      <c r="A682" s="129" t="s">
        <v>127</v>
      </c>
      <c r="B682" s="243">
        <v>46092.0</v>
      </c>
      <c r="C682" s="129" t="s">
        <v>659</v>
      </c>
    </row>
    <row r="683">
      <c r="A683" s="129" t="s">
        <v>610</v>
      </c>
      <c r="B683" s="243">
        <v>46092.0</v>
      </c>
      <c r="C683" s="129" t="s">
        <v>659</v>
      </c>
    </row>
    <row r="684">
      <c r="A684" s="129" t="s">
        <v>267</v>
      </c>
      <c r="B684" s="243">
        <v>46092.0</v>
      </c>
      <c r="C684" s="129" t="s">
        <v>659</v>
      </c>
    </row>
    <row r="685">
      <c r="A685" s="129" t="s">
        <v>273</v>
      </c>
      <c r="B685" s="243">
        <v>46092.0</v>
      </c>
      <c r="C685" s="129" t="s">
        <v>659</v>
      </c>
    </row>
    <row r="686">
      <c r="A686" s="129" t="s">
        <v>131</v>
      </c>
      <c r="B686" s="243">
        <v>46092.0</v>
      </c>
      <c r="C686" s="129" t="s">
        <v>658</v>
      </c>
    </row>
    <row r="687">
      <c r="A687" s="129" t="s">
        <v>170</v>
      </c>
      <c r="B687" s="243">
        <v>46092.0</v>
      </c>
      <c r="C687" s="129" t="s">
        <v>658</v>
      </c>
    </row>
    <row r="688">
      <c r="A688" s="129" t="s">
        <v>156</v>
      </c>
      <c r="B688" s="243">
        <v>46092.0</v>
      </c>
      <c r="C688" s="129" t="s">
        <v>658</v>
      </c>
    </row>
    <row r="689">
      <c r="A689" s="129" t="s">
        <v>335</v>
      </c>
      <c r="B689" s="243">
        <v>46093.0</v>
      </c>
      <c r="C689" s="129" t="s">
        <v>658</v>
      </c>
    </row>
    <row r="690">
      <c r="A690" s="129" t="s">
        <v>456</v>
      </c>
      <c r="B690" s="243">
        <v>46093.0</v>
      </c>
      <c r="C690" s="129" t="s">
        <v>658</v>
      </c>
    </row>
    <row r="691">
      <c r="A691" s="129" t="s">
        <v>462</v>
      </c>
      <c r="B691" s="243">
        <v>46093.0</v>
      </c>
      <c r="C691" s="129" t="s">
        <v>658</v>
      </c>
    </row>
    <row r="692">
      <c r="A692" s="129" t="s">
        <v>375</v>
      </c>
      <c r="B692" s="243">
        <v>46094.0</v>
      </c>
      <c r="C692" s="129" t="s">
        <v>658</v>
      </c>
    </row>
    <row r="693">
      <c r="A693" s="129" t="s">
        <v>236</v>
      </c>
      <c r="B693" s="243">
        <v>46095.0</v>
      </c>
      <c r="C693" s="129" t="s">
        <v>658</v>
      </c>
    </row>
    <row r="694">
      <c r="A694" s="129" t="s">
        <v>273</v>
      </c>
      <c r="B694" s="243">
        <v>46095.0</v>
      </c>
      <c r="C694" s="129" t="s">
        <v>658</v>
      </c>
    </row>
    <row r="695">
      <c r="A695" s="129" t="s">
        <v>220</v>
      </c>
      <c r="B695" s="243">
        <v>46095.0</v>
      </c>
      <c r="C695" s="129" t="s">
        <v>659</v>
      </c>
    </row>
    <row r="696">
      <c r="A696" s="129" t="s">
        <v>222</v>
      </c>
      <c r="B696" s="243">
        <v>46095.0</v>
      </c>
      <c r="C696" s="129" t="s">
        <v>659</v>
      </c>
    </row>
    <row r="697">
      <c r="A697" s="129" t="s">
        <v>261</v>
      </c>
      <c r="B697" s="243">
        <v>46095.0</v>
      </c>
      <c r="C697" s="129" t="s">
        <v>658</v>
      </c>
    </row>
    <row r="698">
      <c r="A698" s="129" t="s">
        <v>259</v>
      </c>
      <c r="B698" s="243">
        <v>46095.0</v>
      </c>
      <c r="C698" s="129" t="s">
        <v>658</v>
      </c>
    </row>
    <row r="699">
      <c r="A699" s="129" t="s">
        <v>470</v>
      </c>
      <c r="B699" s="243">
        <v>46095.0</v>
      </c>
      <c r="C699" s="129" t="s">
        <v>659</v>
      </c>
    </row>
    <row r="700">
      <c r="A700" s="129" t="s">
        <v>122</v>
      </c>
      <c r="B700" s="243">
        <v>46095.0</v>
      </c>
      <c r="C700" s="129" t="s">
        <v>659</v>
      </c>
    </row>
    <row r="701">
      <c r="A701" s="129" t="s">
        <v>456</v>
      </c>
      <c r="B701" s="243">
        <v>46095.0</v>
      </c>
      <c r="C701" s="129" t="s">
        <v>659</v>
      </c>
    </row>
    <row r="702">
      <c r="A702" s="129" t="s">
        <v>462</v>
      </c>
      <c r="B702" s="243">
        <v>46095.0</v>
      </c>
      <c r="C702" s="129" t="s">
        <v>659</v>
      </c>
    </row>
    <row r="703">
      <c r="A703" s="129" t="s">
        <v>228</v>
      </c>
      <c r="B703" s="243">
        <v>46095.0</v>
      </c>
      <c r="C703" s="129" t="s">
        <v>658</v>
      </c>
    </row>
    <row r="704">
      <c r="A704" s="129" t="s">
        <v>218</v>
      </c>
      <c r="B704" s="243">
        <v>46095.0</v>
      </c>
      <c r="C704" s="129" t="s">
        <v>658</v>
      </c>
    </row>
    <row r="705">
      <c r="A705" s="129" t="s">
        <v>215</v>
      </c>
      <c r="B705" s="243">
        <v>46095.0</v>
      </c>
      <c r="C705" s="129" t="s">
        <v>658</v>
      </c>
    </row>
    <row r="706">
      <c r="A706" s="129" t="s">
        <v>217</v>
      </c>
      <c r="B706" s="243">
        <v>46095.0</v>
      </c>
      <c r="C706" s="129" t="s">
        <v>658</v>
      </c>
    </row>
    <row r="707">
      <c r="A707" s="129" t="s">
        <v>209</v>
      </c>
      <c r="B707" s="243">
        <v>46095.0</v>
      </c>
      <c r="C707" s="129" t="s">
        <v>658</v>
      </c>
    </row>
    <row r="708">
      <c r="A708" s="129" t="s">
        <v>248</v>
      </c>
      <c r="B708" s="243">
        <v>46095.0</v>
      </c>
      <c r="C708" s="129" t="s">
        <v>658</v>
      </c>
    </row>
    <row r="709">
      <c r="A709" s="129" t="s">
        <v>243</v>
      </c>
      <c r="B709" s="243">
        <v>46095.0</v>
      </c>
      <c r="C709" s="129" t="s">
        <v>658</v>
      </c>
    </row>
    <row r="710">
      <c r="A710" s="129" t="s">
        <v>245</v>
      </c>
      <c r="B710" s="243">
        <v>46095.0</v>
      </c>
      <c r="C710" s="129" t="s">
        <v>658</v>
      </c>
    </row>
    <row r="711">
      <c r="A711" s="129" t="s">
        <v>309</v>
      </c>
      <c r="B711" s="243">
        <v>46095.0</v>
      </c>
      <c r="C711" s="129" t="s">
        <v>660</v>
      </c>
    </row>
    <row r="712">
      <c r="A712" s="129" t="s">
        <v>315</v>
      </c>
      <c r="B712" s="243">
        <v>46095.0</v>
      </c>
      <c r="C712" s="129" t="s">
        <v>658</v>
      </c>
    </row>
    <row r="713">
      <c r="A713" s="129" t="s">
        <v>291</v>
      </c>
      <c r="B713" s="243">
        <v>46095.0</v>
      </c>
      <c r="C713" s="129" t="s">
        <v>658</v>
      </c>
    </row>
    <row r="714">
      <c r="A714" s="129" t="s">
        <v>352</v>
      </c>
      <c r="B714" s="243">
        <v>46095.0</v>
      </c>
      <c r="C714" s="129" t="s">
        <v>658</v>
      </c>
    </row>
    <row r="715">
      <c r="A715" s="129" t="s">
        <v>285</v>
      </c>
      <c r="B715" s="243">
        <v>46095.0</v>
      </c>
      <c r="C715" s="129" t="s">
        <v>658</v>
      </c>
    </row>
    <row r="716">
      <c r="A716" s="129" t="s">
        <v>301</v>
      </c>
      <c r="B716" s="243">
        <v>46095.0</v>
      </c>
      <c r="C716" s="129" t="s">
        <v>658</v>
      </c>
    </row>
    <row r="717">
      <c r="A717" s="129" t="s">
        <v>297</v>
      </c>
      <c r="B717" s="243">
        <v>46095.0</v>
      </c>
      <c r="C717" s="129" t="s">
        <v>658</v>
      </c>
    </row>
    <row r="718">
      <c r="A718" s="129" t="s">
        <v>322</v>
      </c>
      <c r="B718" s="243">
        <v>46095.0</v>
      </c>
      <c r="C718" s="129" t="s">
        <v>659</v>
      </c>
    </row>
    <row r="719">
      <c r="A719" s="129" t="s">
        <v>325</v>
      </c>
      <c r="B719" s="243">
        <v>46095.0</v>
      </c>
      <c r="C719" s="129" t="s">
        <v>659</v>
      </c>
    </row>
    <row r="720">
      <c r="A720" s="129" t="s">
        <v>328</v>
      </c>
      <c r="B720" s="243">
        <v>46095.0</v>
      </c>
      <c r="C720" s="129" t="s">
        <v>659</v>
      </c>
    </row>
    <row r="721">
      <c r="A721" s="129" t="s">
        <v>375</v>
      </c>
      <c r="B721" s="243">
        <v>46095.0</v>
      </c>
      <c r="C721" s="129" t="s">
        <v>659</v>
      </c>
    </row>
    <row r="722">
      <c r="A722" s="129" t="s">
        <v>335</v>
      </c>
      <c r="B722" s="243">
        <v>46095.0</v>
      </c>
      <c r="C722" s="129" t="s">
        <v>659</v>
      </c>
    </row>
    <row r="723">
      <c r="A723" s="129" t="s">
        <v>303</v>
      </c>
      <c r="B723" s="243">
        <v>46095.0</v>
      </c>
      <c r="C723" s="129" t="s">
        <v>658</v>
      </c>
    </row>
    <row r="724">
      <c r="A724" s="129" t="s">
        <v>293</v>
      </c>
      <c r="B724" s="243">
        <v>46095.0</v>
      </c>
      <c r="C724" s="129" t="s">
        <v>658</v>
      </c>
    </row>
    <row r="725">
      <c r="A725" s="129" t="s">
        <v>294</v>
      </c>
      <c r="B725" s="243">
        <v>46095.0</v>
      </c>
      <c r="C725" s="129" t="s">
        <v>658</v>
      </c>
    </row>
    <row r="726">
      <c r="A726" s="129" t="s">
        <v>153</v>
      </c>
      <c r="B726" s="243">
        <v>46095.0</v>
      </c>
      <c r="C726" s="129" t="s">
        <v>658</v>
      </c>
    </row>
    <row r="727">
      <c r="A727" s="129" t="s">
        <v>341</v>
      </c>
      <c r="B727" s="243">
        <v>46095.0</v>
      </c>
      <c r="C727" s="129" t="s">
        <v>658</v>
      </c>
    </row>
    <row r="728">
      <c r="A728" s="129" t="s">
        <v>108</v>
      </c>
      <c r="B728" s="243">
        <v>46097.0</v>
      </c>
      <c r="C728" s="129" t="s">
        <v>658</v>
      </c>
    </row>
    <row r="729">
      <c r="A729" s="129" t="s">
        <v>172</v>
      </c>
      <c r="B729" s="243">
        <v>46097.0</v>
      </c>
      <c r="C729" s="129" t="s">
        <v>658</v>
      </c>
    </row>
    <row r="730">
      <c r="A730" s="129" t="s">
        <v>125</v>
      </c>
      <c r="B730" s="243">
        <v>46097.0</v>
      </c>
      <c r="C730" s="129" t="s">
        <v>658</v>
      </c>
    </row>
    <row r="731">
      <c r="A731" s="129" t="s">
        <v>127</v>
      </c>
      <c r="B731" s="243">
        <v>46097.0</v>
      </c>
      <c r="C731" s="129" t="s">
        <v>658</v>
      </c>
    </row>
    <row r="732">
      <c r="A732" s="129" t="s">
        <v>122</v>
      </c>
      <c r="B732" s="243">
        <v>46097.0</v>
      </c>
      <c r="C732" s="129" t="s">
        <v>658</v>
      </c>
    </row>
    <row r="733">
      <c r="A733" s="129" t="s">
        <v>47</v>
      </c>
      <c r="B733" s="243">
        <v>46097.0</v>
      </c>
      <c r="C733" s="129" t="s">
        <v>658</v>
      </c>
    </row>
    <row r="734">
      <c r="A734" s="129" t="s">
        <v>46</v>
      </c>
      <c r="B734" s="243">
        <v>46097.0</v>
      </c>
      <c r="C734" s="129" t="s">
        <v>658</v>
      </c>
    </row>
    <row r="735">
      <c r="A735" s="129" t="s">
        <v>45</v>
      </c>
      <c r="B735" s="243">
        <v>46097.0</v>
      </c>
      <c r="C735" s="129"/>
    </row>
    <row r="736">
      <c r="A736" s="129" t="s">
        <v>94</v>
      </c>
      <c r="B736" s="243">
        <v>46097.0</v>
      </c>
      <c r="C736" s="129" t="s">
        <v>658</v>
      </c>
    </row>
    <row r="737">
      <c r="A737" s="129" t="s">
        <v>118</v>
      </c>
      <c r="B737" s="243">
        <v>46097.0</v>
      </c>
      <c r="C737" s="129" t="s">
        <v>658</v>
      </c>
    </row>
    <row r="738">
      <c r="A738" s="129" t="s">
        <v>35</v>
      </c>
      <c r="B738" s="243">
        <v>46097.0</v>
      </c>
      <c r="C738" s="129" t="s">
        <v>658</v>
      </c>
    </row>
    <row r="739">
      <c r="A739" s="129" t="s">
        <v>129</v>
      </c>
      <c r="B739" s="243">
        <v>46097.0</v>
      </c>
      <c r="C739" s="129" t="s">
        <v>658</v>
      </c>
    </row>
    <row r="740">
      <c r="A740" s="129" t="s">
        <v>129</v>
      </c>
      <c r="B740" s="243">
        <v>46097.0</v>
      </c>
      <c r="C740" s="129" t="s">
        <v>658</v>
      </c>
    </row>
    <row r="741">
      <c r="A741" s="129" t="s">
        <v>156</v>
      </c>
      <c r="B741" s="243">
        <v>46099.0</v>
      </c>
      <c r="C741" s="129" t="s">
        <v>658</v>
      </c>
    </row>
    <row r="742">
      <c r="A742" s="129" t="s">
        <v>158</v>
      </c>
      <c r="B742" s="243">
        <v>46099.0</v>
      </c>
      <c r="C742" s="129" t="s">
        <v>658</v>
      </c>
    </row>
    <row r="743">
      <c r="A743" s="129" t="s">
        <v>131</v>
      </c>
      <c r="B743" s="243">
        <v>46099.0</v>
      </c>
      <c r="C743" s="129" t="s">
        <v>658</v>
      </c>
    </row>
    <row r="744">
      <c r="A744" s="129" t="s">
        <v>149</v>
      </c>
      <c r="B744" s="243">
        <v>46097.0</v>
      </c>
      <c r="C744" s="129" t="s">
        <v>659</v>
      </c>
    </row>
    <row r="745">
      <c r="A745" s="129" t="s">
        <v>158</v>
      </c>
      <c r="B745" s="243">
        <v>46097.0</v>
      </c>
      <c r="C745" s="129" t="s">
        <v>659</v>
      </c>
    </row>
    <row r="746">
      <c r="A746" s="129" t="s">
        <v>163</v>
      </c>
      <c r="B746" s="243">
        <v>46097.0</v>
      </c>
      <c r="C746" s="129" t="s">
        <v>659</v>
      </c>
    </row>
    <row r="747">
      <c r="A747" s="129" t="s">
        <v>175</v>
      </c>
      <c r="B747" s="243">
        <v>46099.0</v>
      </c>
      <c r="C747" s="129" t="s">
        <v>658</v>
      </c>
    </row>
    <row r="748">
      <c r="A748" s="129" t="s">
        <v>163</v>
      </c>
      <c r="B748" s="243">
        <v>46099.0</v>
      </c>
      <c r="C748" s="129" t="s">
        <v>658</v>
      </c>
    </row>
    <row r="749">
      <c r="A749" s="129" t="s">
        <v>149</v>
      </c>
      <c r="B749" s="243">
        <v>46099.0</v>
      </c>
      <c r="C749" s="129" t="s">
        <v>658</v>
      </c>
    </row>
    <row r="750">
      <c r="A750" s="129" t="s">
        <v>228</v>
      </c>
      <c r="B750" s="243">
        <v>46099.0</v>
      </c>
      <c r="C750" s="129" t="s">
        <v>659</v>
      </c>
    </row>
    <row r="751">
      <c r="A751" s="129" t="s">
        <v>285</v>
      </c>
      <c r="B751" s="243">
        <v>46099.0</v>
      </c>
      <c r="C751" s="129" t="s">
        <v>659</v>
      </c>
    </row>
    <row r="752">
      <c r="A752" s="129" t="s">
        <v>122</v>
      </c>
      <c r="B752" s="243">
        <v>46099.0</v>
      </c>
      <c r="C752" s="129" t="s">
        <v>659</v>
      </c>
    </row>
    <row r="753">
      <c r="A753" s="129" t="s">
        <v>127</v>
      </c>
      <c r="B753" s="243">
        <v>46099.0</v>
      </c>
      <c r="C753" s="129" t="s">
        <v>659</v>
      </c>
    </row>
    <row r="754">
      <c r="A754" s="129" t="s">
        <v>153</v>
      </c>
      <c r="B754" s="243">
        <v>46099.0</v>
      </c>
      <c r="C754" s="129" t="s">
        <v>659</v>
      </c>
    </row>
    <row r="755">
      <c r="A755" s="129" t="s">
        <v>315</v>
      </c>
      <c r="B755" s="243">
        <v>46099.0</v>
      </c>
      <c r="C755" s="129" t="s">
        <v>659</v>
      </c>
    </row>
    <row r="756">
      <c r="A756" s="129" t="s">
        <v>194</v>
      </c>
      <c r="B756" s="243">
        <v>46102.0</v>
      </c>
      <c r="C756" s="129" t="s">
        <v>658</v>
      </c>
    </row>
    <row r="757">
      <c r="A757" s="129" t="s">
        <v>188</v>
      </c>
      <c r="B757" s="243">
        <v>46102.0</v>
      </c>
      <c r="C757" s="129" t="s">
        <v>658</v>
      </c>
    </row>
    <row r="758">
      <c r="A758" s="129" t="s">
        <v>256</v>
      </c>
      <c r="B758" s="243">
        <v>46102.0</v>
      </c>
      <c r="C758" s="129" t="s">
        <v>658</v>
      </c>
    </row>
    <row r="759">
      <c r="A759" s="129" t="s">
        <v>230</v>
      </c>
      <c r="B759" s="243">
        <v>46102.0</v>
      </c>
      <c r="C759" s="129" t="s">
        <v>658</v>
      </c>
    </row>
    <row r="760">
      <c r="A760" s="129" t="s">
        <v>218</v>
      </c>
      <c r="B760" s="243">
        <v>46102.0</v>
      </c>
      <c r="C760" s="129" t="s">
        <v>658</v>
      </c>
    </row>
    <row r="761">
      <c r="A761" s="129" t="s">
        <v>273</v>
      </c>
      <c r="B761" s="243">
        <v>46102.0</v>
      </c>
      <c r="C761" s="129" t="s">
        <v>658</v>
      </c>
    </row>
    <row r="762">
      <c r="A762" s="129" t="s">
        <v>196</v>
      </c>
      <c r="B762" s="243">
        <v>46102.0</v>
      </c>
      <c r="C762" s="129" t="s">
        <v>658</v>
      </c>
    </row>
    <row r="763">
      <c r="A763" s="129" t="s">
        <v>206</v>
      </c>
      <c r="B763" s="243">
        <v>46102.0</v>
      </c>
      <c r="C763" s="129" t="s">
        <v>658</v>
      </c>
    </row>
    <row r="764">
      <c r="A764" s="129" t="s">
        <v>202</v>
      </c>
      <c r="B764" s="243">
        <v>46102.0</v>
      </c>
      <c r="C764" s="129" t="s">
        <v>658</v>
      </c>
    </row>
    <row r="765">
      <c r="A765" s="129" t="s">
        <v>190</v>
      </c>
      <c r="B765" s="243">
        <v>46102.0</v>
      </c>
      <c r="C765" s="129" t="s">
        <v>658</v>
      </c>
    </row>
    <row r="766">
      <c r="A766" s="129" t="s">
        <v>220</v>
      </c>
      <c r="B766" s="243">
        <v>46102.0</v>
      </c>
      <c r="C766" s="129" t="s">
        <v>658</v>
      </c>
    </row>
    <row r="767">
      <c r="A767" s="129" t="s">
        <v>236</v>
      </c>
      <c r="B767" s="243">
        <v>46102.0</v>
      </c>
      <c r="C767" s="129" t="s">
        <v>658</v>
      </c>
    </row>
    <row r="768">
      <c r="A768" s="129" t="s">
        <v>238</v>
      </c>
      <c r="B768" s="243">
        <v>46102.0</v>
      </c>
      <c r="C768" s="129" t="s">
        <v>658</v>
      </c>
    </row>
    <row r="769">
      <c r="A769" s="129" t="s">
        <v>241</v>
      </c>
      <c r="B769" s="243">
        <v>46102.0</v>
      </c>
      <c r="C769" s="129" t="s">
        <v>658</v>
      </c>
    </row>
    <row r="770">
      <c r="A770" s="129" t="s">
        <v>456</v>
      </c>
      <c r="B770" s="243">
        <v>46100.0</v>
      </c>
      <c r="C770" s="129"/>
    </row>
    <row r="771">
      <c r="A771" s="129" t="s">
        <v>456</v>
      </c>
      <c r="B771" s="243">
        <v>46102.0</v>
      </c>
      <c r="C771" s="129" t="s">
        <v>659</v>
      </c>
    </row>
    <row r="772">
      <c r="A772" s="129" t="s">
        <v>215</v>
      </c>
      <c r="B772" s="243">
        <v>46102.0</v>
      </c>
      <c r="C772" s="129" t="s">
        <v>659</v>
      </c>
    </row>
    <row r="773">
      <c r="A773" s="129" t="s">
        <v>217</v>
      </c>
      <c r="B773" s="243">
        <v>46102.0</v>
      </c>
      <c r="C773" s="129" t="s">
        <v>659</v>
      </c>
    </row>
    <row r="774">
      <c r="A774" s="129" t="s">
        <v>122</v>
      </c>
      <c r="B774" s="243">
        <v>46102.0</v>
      </c>
      <c r="C774" s="129" t="s">
        <v>659</v>
      </c>
    </row>
    <row r="775">
      <c r="A775" s="129" t="s">
        <v>250</v>
      </c>
      <c r="B775" s="243">
        <v>46102.0</v>
      </c>
      <c r="C775" s="129"/>
    </row>
    <row r="776">
      <c r="A776" s="129" t="s">
        <v>443</v>
      </c>
      <c r="B776" s="243">
        <v>46100.0</v>
      </c>
      <c r="C776" s="129" t="s">
        <v>658</v>
      </c>
    </row>
    <row r="777">
      <c r="A777" s="129" t="s">
        <v>434</v>
      </c>
      <c r="B777" s="243">
        <v>46100.0</v>
      </c>
      <c r="C777" s="129" t="s">
        <v>658</v>
      </c>
    </row>
    <row r="778">
      <c r="A778" s="129" t="s">
        <v>453</v>
      </c>
      <c r="B778" s="243">
        <v>46100.0</v>
      </c>
      <c r="C778" s="129"/>
    </row>
    <row r="779">
      <c r="A779" s="129" t="s">
        <v>438</v>
      </c>
      <c r="B779" s="243">
        <v>46100.0</v>
      </c>
      <c r="C779" s="129"/>
    </row>
    <row r="780">
      <c r="A780" s="129" t="s">
        <v>460</v>
      </c>
      <c r="B780" s="243">
        <v>46100.0</v>
      </c>
      <c r="C780" s="129"/>
    </row>
    <row r="781">
      <c r="A781" s="129" t="s">
        <v>462</v>
      </c>
      <c r="B781" s="243">
        <v>46100.0</v>
      </c>
      <c r="C781" s="129"/>
    </row>
    <row r="782">
      <c r="A782" s="129" t="s">
        <v>464</v>
      </c>
      <c r="B782" s="243">
        <v>46100.0</v>
      </c>
      <c r="C782" s="129"/>
    </row>
    <row r="783">
      <c r="A783" s="129" t="s">
        <v>466</v>
      </c>
      <c r="B783" s="243">
        <v>46100.0</v>
      </c>
      <c r="C783" s="129"/>
    </row>
    <row r="784">
      <c r="A784" s="129" t="s">
        <v>445</v>
      </c>
      <c r="B784" s="243">
        <v>46100.0</v>
      </c>
      <c r="C784" s="129"/>
    </row>
    <row r="785">
      <c r="A785" s="129" t="s">
        <v>468</v>
      </c>
      <c r="B785" s="243">
        <v>46100.0</v>
      </c>
      <c r="C785" s="129"/>
    </row>
    <row r="786">
      <c r="A786" s="129" t="s">
        <v>458</v>
      </c>
      <c r="B786" s="243">
        <v>46100.0</v>
      </c>
      <c r="C786" s="129"/>
    </row>
    <row r="787">
      <c r="A787" s="129" t="s">
        <v>469</v>
      </c>
      <c r="B787" s="243">
        <v>46100.0</v>
      </c>
      <c r="C787" s="129"/>
    </row>
    <row r="788">
      <c r="A788" s="129" t="s">
        <v>447</v>
      </c>
      <c r="B788" s="243">
        <v>46100.0</v>
      </c>
      <c r="C788" s="129"/>
    </row>
    <row r="789">
      <c r="A789" s="129" t="s">
        <v>449</v>
      </c>
      <c r="B789" s="243">
        <v>46100.0</v>
      </c>
      <c r="C789" s="129"/>
    </row>
    <row r="790">
      <c r="A790" s="129" t="s">
        <v>271</v>
      </c>
      <c r="B790" s="243">
        <v>46100.0</v>
      </c>
      <c r="C790" s="129" t="s">
        <v>658</v>
      </c>
    </row>
    <row r="791">
      <c r="A791" s="129" t="s">
        <v>439</v>
      </c>
      <c r="B791" s="243">
        <v>46100.0</v>
      </c>
      <c r="C791" s="129"/>
    </row>
    <row r="792">
      <c r="A792" s="129" t="s">
        <v>441</v>
      </c>
      <c r="B792" s="243">
        <v>46100.0</v>
      </c>
      <c r="C792" s="129"/>
    </row>
    <row r="793">
      <c r="A793" s="129" t="s">
        <v>451</v>
      </c>
      <c r="B793" s="243">
        <v>46100.0</v>
      </c>
      <c r="C793" s="129" t="s">
        <v>658</v>
      </c>
    </row>
    <row r="794">
      <c r="A794" s="129" t="s">
        <v>335</v>
      </c>
      <c r="B794" s="243">
        <v>46100.0</v>
      </c>
      <c r="C794" s="129" t="s">
        <v>658</v>
      </c>
    </row>
    <row r="795">
      <c r="A795" s="129" t="s">
        <v>257</v>
      </c>
      <c r="B795" s="243">
        <v>46102.0</v>
      </c>
      <c r="C795" s="129" t="s">
        <v>658</v>
      </c>
    </row>
    <row r="796">
      <c r="A796" s="129" t="s">
        <v>404</v>
      </c>
      <c r="B796" s="243">
        <v>46100.0</v>
      </c>
      <c r="C796" s="129" t="s">
        <v>658</v>
      </c>
    </row>
    <row r="797">
      <c r="A797" s="129" t="s">
        <v>409</v>
      </c>
      <c r="B797" s="243">
        <v>46100.0</v>
      </c>
      <c r="C797" s="129" t="s">
        <v>658</v>
      </c>
    </row>
    <row r="798">
      <c r="A798" s="129" t="s">
        <v>411</v>
      </c>
      <c r="B798" s="243">
        <v>46100.0</v>
      </c>
      <c r="C798" s="129" t="s">
        <v>658</v>
      </c>
    </row>
    <row r="799">
      <c r="A799" s="129" t="s">
        <v>407</v>
      </c>
      <c r="B799" s="243">
        <v>46100.0</v>
      </c>
      <c r="C799" s="129" t="s">
        <v>658</v>
      </c>
    </row>
    <row r="800">
      <c r="A800" s="129" t="s">
        <v>365</v>
      </c>
      <c r="B800" s="243">
        <v>46101.0</v>
      </c>
      <c r="C800" s="129" t="s">
        <v>658</v>
      </c>
    </row>
    <row r="801">
      <c r="A801" s="129" t="s">
        <v>369</v>
      </c>
      <c r="B801" s="243">
        <v>46101.0</v>
      </c>
      <c r="C801" s="129" t="s">
        <v>658</v>
      </c>
    </row>
    <row r="802">
      <c r="A802" s="129" t="s">
        <v>371</v>
      </c>
      <c r="B802" s="243">
        <v>46101.0</v>
      </c>
      <c r="C802" s="129" t="s">
        <v>658</v>
      </c>
    </row>
    <row r="803">
      <c r="A803" s="129" t="s">
        <v>373</v>
      </c>
      <c r="B803" s="243">
        <v>46101.0</v>
      </c>
      <c r="C803" s="129" t="s">
        <v>658</v>
      </c>
    </row>
    <row r="804">
      <c r="A804" s="129" t="s">
        <v>375</v>
      </c>
      <c r="B804" s="243">
        <v>46101.0</v>
      </c>
      <c r="C804" s="129" t="s">
        <v>658</v>
      </c>
    </row>
    <row r="805">
      <c r="A805" s="129" t="s">
        <v>377</v>
      </c>
      <c r="B805" s="243">
        <v>46101.0</v>
      </c>
      <c r="C805" s="129" t="s">
        <v>658</v>
      </c>
    </row>
    <row r="806">
      <c r="A806" s="129" t="s">
        <v>204</v>
      </c>
      <c r="B806" s="243">
        <v>46102.0</v>
      </c>
      <c r="C806" s="129" t="s">
        <v>659</v>
      </c>
    </row>
    <row r="807">
      <c r="A807" s="129" t="s">
        <v>248</v>
      </c>
      <c r="B807" s="243">
        <v>46102.0</v>
      </c>
      <c r="C807" s="129" t="s">
        <v>658</v>
      </c>
    </row>
    <row r="808">
      <c r="A808" s="129" t="s">
        <v>35</v>
      </c>
      <c r="B808" s="243">
        <v>46102.0</v>
      </c>
      <c r="C808" s="129" t="s">
        <v>659</v>
      </c>
    </row>
    <row r="809">
      <c r="A809" s="129" t="s">
        <v>172</v>
      </c>
      <c r="B809" s="243">
        <v>46102.0</v>
      </c>
      <c r="C809" s="129" t="s">
        <v>659</v>
      </c>
    </row>
    <row r="810">
      <c r="A810" s="129" t="s">
        <v>108</v>
      </c>
      <c r="B810" s="243">
        <v>46102.0</v>
      </c>
      <c r="C810" s="129" t="s">
        <v>659</v>
      </c>
    </row>
    <row r="811">
      <c r="A811" s="129" t="s">
        <v>184</v>
      </c>
      <c r="B811" s="243">
        <v>46102.0</v>
      </c>
      <c r="C811" s="129" t="s">
        <v>658</v>
      </c>
    </row>
    <row r="812">
      <c r="A812" s="129" t="s">
        <v>254</v>
      </c>
      <c r="B812" s="243">
        <v>46102.0</v>
      </c>
      <c r="C812" s="129" t="s">
        <v>658</v>
      </c>
    </row>
    <row r="813">
      <c r="A813" s="129" t="s">
        <v>265</v>
      </c>
      <c r="B813" s="243">
        <v>46102.0</v>
      </c>
      <c r="C813" s="129" t="s">
        <v>658</v>
      </c>
    </row>
    <row r="814">
      <c r="A814" s="129" t="s">
        <v>282</v>
      </c>
      <c r="B814" s="243">
        <v>46102.0</v>
      </c>
      <c r="C814" s="129" t="s">
        <v>658</v>
      </c>
    </row>
    <row r="815">
      <c r="A815" s="129" t="s">
        <v>315</v>
      </c>
      <c r="B815" s="243">
        <v>46102.0</v>
      </c>
      <c r="C815" s="129" t="s">
        <v>658</v>
      </c>
    </row>
    <row r="816">
      <c r="A816" s="129" t="s">
        <v>309</v>
      </c>
      <c r="B816" s="243">
        <v>46102.0</v>
      </c>
      <c r="C816" s="129" t="s">
        <v>658</v>
      </c>
    </row>
    <row r="817">
      <c r="A817" s="129" t="s">
        <v>291</v>
      </c>
      <c r="B817" s="243">
        <v>46102.0</v>
      </c>
      <c r="C817" s="129" t="s">
        <v>658</v>
      </c>
    </row>
    <row r="818">
      <c r="A818" s="129" t="s">
        <v>350</v>
      </c>
      <c r="B818" s="243">
        <v>46102.0</v>
      </c>
      <c r="C818" s="129" t="s">
        <v>658</v>
      </c>
    </row>
    <row r="819">
      <c r="A819" s="129" t="s">
        <v>313</v>
      </c>
      <c r="B819" s="243">
        <v>46102.0</v>
      </c>
      <c r="C819" s="129" t="s">
        <v>658</v>
      </c>
    </row>
    <row r="820">
      <c r="A820" s="129" t="s">
        <v>352</v>
      </c>
      <c r="B820" s="243">
        <v>46102.0</v>
      </c>
      <c r="C820" s="129"/>
    </row>
    <row r="821">
      <c r="A821" s="129" t="s">
        <v>246</v>
      </c>
      <c r="B821" s="243">
        <v>46102.0</v>
      </c>
      <c r="C821" s="129" t="s">
        <v>659</v>
      </c>
    </row>
    <row r="822">
      <c r="A822" s="129" t="s">
        <v>153</v>
      </c>
      <c r="B822" s="243">
        <v>46102.0</v>
      </c>
      <c r="C822" s="129" t="s">
        <v>658</v>
      </c>
    </row>
    <row r="823">
      <c r="A823" s="129" t="s">
        <v>303</v>
      </c>
      <c r="B823" s="243">
        <v>46102.0</v>
      </c>
      <c r="C823" s="129" t="s">
        <v>658</v>
      </c>
    </row>
    <row r="824">
      <c r="A824" s="129" t="s">
        <v>306</v>
      </c>
      <c r="B824" s="243">
        <v>46102.0</v>
      </c>
      <c r="C824" s="129" t="s">
        <v>658</v>
      </c>
    </row>
    <row r="825">
      <c r="A825" s="129" t="s">
        <v>285</v>
      </c>
      <c r="B825" s="243">
        <v>46102.0</v>
      </c>
      <c r="C825" s="129" t="s">
        <v>658</v>
      </c>
    </row>
    <row r="826">
      <c r="A826" s="129" t="s">
        <v>307</v>
      </c>
      <c r="B826" s="243">
        <v>46102.0</v>
      </c>
      <c r="C826" s="129" t="s">
        <v>658</v>
      </c>
    </row>
    <row r="827">
      <c r="A827" s="129" t="s">
        <v>293</v>
      </c>
      <c r="B827" s="243">
        <v>46102.0</v>
      </c>
      <c r="C827" s="129" t="s">
        <v>658</v>
      </c>
    </row>
    <row r="828">
      <c r="A828" s="129" t="s">
        <v>294</v>
      </c>
      <c r="B828" s="243">
        <v>46102.0</v>
      </c>
      <c r="C828" s="129" t="s">
        <v>658</v>
      </c>
    </row>
    <row r="829">
      <c r="A829" s="129" t="s">
        <v>320</v>
      </c>
      <c r="B829" s="243">
        <v>46102.0</v>
      </c>
      <c r="C829" s="129" t="s">
        <v>658</v>
      </c>
    </row>
    <row r="830">
      <c r="A830" s="129" t="s">
        <v>325</v>
      </c>
      <c r="B830" s="243">
        <v>46102.0</v>
      </c>
      <c r="C830" s="129" t="s">
        <v>659</v>
      </c>
    </row>
    <row r="831">
      <c r="A831" s="129" t="s">
        <v>322</v>
      </c>
      <c r="B831" s="243">
        <v>46102.0</v>
      </c>
      <c r="C831" s="129" t="s">
        <v>659</v>
      </c>
    </row>
    <row r="832">
      <c r="A832" s="129" t="s">
        <v>326</v>
      </c>
      <c r="B832" s="243">
        <v>46102.0</v>
      </c>
      <c r="C832" s="129" t="s">
        <v>658</v>
      </c>
    </row>
    <row r="833">
      <c r="A833" s="129" t="s">
        <v>330</v>
      </c>
      <c r="B833" s="243">
        <v>46102.0</v>
      </c>
      <c r="C833" s="129" t="s">
        <v>658</v>
      </c>
    </row>
    <row r="834">
      <c r="A834" s="129" t="s">
        <v>333</v>
      </c>
      <c r="B834" s="243">
        <v>46102.0</v>
      </c>
      <c r="C834" s="129" t="s">
        <v>658</v>
      </c>
    </row>
    <row r="835">
      <c r="A835" s="129" t="s">
        <v>170</v>
      </c>
      <c r="B835" s="243">
        <v>46102.0</v>
      </c>
      <c r="C835" s="129" t="s">
        <v>659</v>
      </c>
    </row>
    <row r="836">
      <c r="A836" s="129" t="s">
        <v>261</v>
      </c>
      <c r="B836" s="243">
        <v>46102.0</v>
      </c>
      <c r="C836" s="129"/>
    </row>
    <row r="837">
      <c r="A837" s="129" t="s">
        <v>354</v>
      </c>
      <c r="B837" s="243">
        <v>46102.0</v>
      </c>
      <c r="C837" s="129" t="s">
        <v>658</v>
      </c>
    </row>
    <row r="838">
      <c r="A838" s="129" t="s">
        <v>343</v>
      </c>
      <c r="B838" s="243">
        <v>46102.0</v>
      </c>
      <c r="C838" s="129" t="s">
        <v>658</v>
      </c>
    </row>
    <row r="839">
      <c r="A839" s="129" t="s">
        <v>356</v>
      </c>
      <c r="B839" s="243">
        <v>46102.0</v>
      </c>
      <c r="C839" s="129" t="s">
        <v>658</v>
      </c>
    </row>
    <row r="840">
      <c r="A840" s="129" t="s">
        <v>348</v>
      </c>
      <c r="B840" s="243">
        <v>46102.0</v>
      </c>
      <c r="C840" s="129" t="s">
        <v>659</v>
      </c>
    </row>
    <row r="841">
      <c r="A841" s="129" t="s">
        <v>241</v>
      </c>
      <c r="B841" s="243">
        <v>46109.0</v>
      </c>
      <c r="C841" s="129" t="s">
        <v>659</v>
      </c>
    </row>
    <row r="842">
      <c r="A842" s="129" t="s">
        <v>215</v>
      </c>
      <c r="B842" s="243">
        <v>46109.0</v>
      </c>
      <c r="C842" s="129" t="s">
        <v>659</v>
      </c>
    </row>
    <row r="843">
      <c r="A843" s="129" t="s">
        <v>217</v>
      </c>
      <c r="B843" s="243">
        <v>46109.0</v>
      </c>
      <c r="C843" s="129" t="s">
        <v>659</v>
      </c>
    </row>
    <row r="844">
      <c r="A844" s="129" t="s">
        <v>273</v>
      </c>
      <c r="B844" s="243">
        <v>46109.0</v>
      </c>
      <c r="C844" s="129" t="s">
        <v>659</v>
      </c>
    </row>
    <row r="845">
      <c r="A845" s="129" t="s">
        <v>204</v>
      </c>
      <c r="B845" s="243">
        <v>46109.0</v>
      </c>
      <c r="C845" s="129" t="s">
        <v>659</v>
      </c>
    </row>
    <row r="846">
      <c r="A846" s="129" t="s">
        <v>188</v>
      </c>
      <c r="B846" s="243">
        <v>46109.0</v>
      </c>
      <c r="C846" s="129" t="s">
        <v>659</v>
      </c>
    </row>
    <row r="847">
      <c r="A847" s="129" t="s">
        <v>269</v>
      </c>
      <c r="B847" s="243">
        <v>46109.0</v>
      </c>
      <c r="C847" s="129" t="s">
        <v>659</v>
      </c>
    </row>
    <row r="848">
      <c r="A848" s="129" t="s">
        <v>35</v>
      </c>
      <c r="B848" s="243">
        <v>46109.0</v>
      </c>
      <c r="C848" s="129" t="s">
        <v>659</v>
      </c>
    </row>
    <row r="849">
      <c r="A849" s="129" t="s">
        <v>172</v>
      </c>
      <c r="B849" s="243">
        <v>46109.0</v>
      </c>
      <c r="C849" s="129" t="s">
        <v>659</v>
      </c>
    </row>
    <row r="850">
      <c r="A850" s="129" t="s">
        <v>254</v>
      </c>
      <c r="B850" s="243">
        <v>46109.0</v>
      </c>
      <c r="C850" s="129" t="s">
        <v>659</v>
      </c>
    </row>
    <row r="851">
      <c r="A851" s="129" t="s">
        <v>184</v>
      </c>
      <c r="B851" s="243">
        <v>46109.0</v>
      </c>
      <c r="C851" s="129" t="s">
        <v>658</v>
      </c>
    </row>
    <row r="852">
      <c r="A852" s="129" t="s">
        <v>236</v>
      </c>
      <c r="B852" s="243">
        <v>46109.0</v>
      </c>
      <c r="C852" s="129" t="s">
        <v>659</v>
      </c>
    </row>
    <row r="853">
      <c r="A853" s="129" t="s">
        <v>190</v>
      </c>
      <c r="B853" s="243">
        <v>46109.0</v>
      </c>
      <c r="C853" s="129" t="s">
        <v>658</v>
      </c>
    </row>
    <row r="854">
      <c r="A854" s="129" t="s">
        <v>218</v>
      </c>
      <c r="B854" s="243">
        <v>46109.0</v>
      </c>
      <c r="C854" s="129" t="s">
        <v>658</v>
      </c>
    </row>
    <row r="855">
      <c r="A855" s="129" t="s">
        <v>209</v>
      </c>
      <c r="B855" s="243">
        <v>46109.0</v>
      </c>
      <c r="C855" s="129" t="s">
        <v>658</v>
      </c>
    </row>
    <row r="856">
      <c r="A856" s="129" t="s">
        <v>265</v>
      </c>
      <c r="B856" s="243">
        <v>46109.0</v>
      </c>
      <c r="C856" s="129" t="s">
        <v>658</v>
      </c>
    </row>
    <row r="857">
      <c r="A857" s="129" t="s">
        <v>198</v>
      </c>
      <c r="B857" s="243">
        <v>46109.0</v>
      </c>
      <c r="C857" s="129" t="s">
        <v>658</v>
      </c>
    </row>
    <row r="858">
      <c r="A858" s="129" t="s">
        <v>212</v>
      </c>
      <c r="B858" s="243">
        <v>46109.0</v>
      </c>
      <c r="C858" s="129" t="s">
        <v>660</v>
      </c>
    </row>
    <row r="859">
      <c r="A859" s="129" t="s">
        <v>282</v>
      </c>
      <c r="B859" s="243">
        <v>46109.0</v>
      </c>
      <c r="C859" s="129" t="s">
        <v>658</v>
      </c>
    </row>
    <row r="860">
      <c r="A860" s="129" t="s">
        <v>331</v>
      </c>
      <c r="B860" s="243">
        <v>46109.0</v>
      </c>
      <c r="C860" s="129" t="s">
        <v>658</v>
      </c>
    </row>
    <row r="861">
      <c r="A861" s="129" t="s">
        <v>291</v>
      </c>
      <c r="B861" s="243">
        <v>46109.0</v>
      </c>
      <c r="C861" s="129" t="s">
        <v>658</v>
      </c>
    </row>
    <row r="862">
      <c r="A862" s="129" t="s">
        <v>315</v>
      </c>
      <c r="B862" s="243">
        <v>46109.0</v>
      </c>
      <c r="C862" s="129" t="s">
        <v>659</v>
      </c>
    </row>
    <row r="863">
      <c r="A863" s="129" t="s">
        <v>153</v>
      </c>
      <c r="B863" s="243">
        <v>46109.0</v>
      </c>
      <c r="C863" s="129"/>
    </row>
    <row r="864">
      <c r="A864" s="129" t="s">
        <v>303</v>
      </c>
      <c r="B864" s="243">
        <v>46109.0</v>
      </c>
      <c r="C864" s="129" t="s">
        <v>658</v>
      </c>
    </row>
    <row r="865">
      <c r="A865" s="129" t="s">
        <v>407</v>
      </c>
      <c r="B865" s="243">
        <v>46109.0</v>
      </c>
      <c r="C865" s="129" t="s">
        <v>659</v>
      </c>
    </row>
    <row r="866">
      <c r="A866" s="129" t="s">
        <v>277</v>
      </c>
      <c r="B866" s="243">
        <v>46109.0</v>
      </c>
      <c r="C866" s="129" t="s">
        <v>658</v>
      </c>
    </row>
    <row r="867">
      <c r="A867" s="129" t="s">
        <v>125</v>
      </c>
      <c r="B867" s="243">
        <v>46109.0</v>
      </c>
      <c r="C867" s="129" t="s">
        <v>659</v>
      </c>
    </row>
    <row r="868">
      <c r="A868" s="129" t="s">
        <v>94</v>
      </c>
      <c r="B868" s="243">
        <v>46109.0</v>
      </c>
      <c r="C868" s="129" t="s">
        <v>659</v>
      </c>
    </row>
    <row r="869">
      <c r="A869" s="129" t="s">
        <v>343</v>
      </c>
      <c r="B869" s="243">
        <v>46109.0</v>
      </c>
      <c r="C869" s="129" t="s">
        <v>659</v>
      </c>
    </row>
    <row r="870">
      <c r="A870" s="129" t="s">
        <v>285</v>
      </c>
      <c r="B870" s="243">
        <v>46109.0</v>
      </c>
      <c r="C870" s="129" t="s">
        <v>659</v>
      </c>
    </row>
    <row r="871">
      <c r="A871" s="129" t="s">
        <v>293</v>
      </c>
      <c r="B871" s="243">
        <v>46109.0</v>
      </c>
      <c r="C871" s="129" t="s">
        <v>658</v>
      </c>
    </row>
    <row r="872">
      <c r="A872" s="129" t="s">
        <v>295</v>
      </c>
      <c r="B872" s="243">
        <v>46109.0</v>
      </c>
      <c r="C872" s="129" t="s">
        <v>660</v>
      </c>
    </row>
    <row r="873">
      <c r="A873" s="129" t="s">
        <v>328</v>
      </c>
      <c r="B873" s="243">
        <v>46109.0</v>
      </c>
      <c r="C873" s="129" t="s">
        <v>658</v>
      </c>
    </row>
    <row r="874">
      <c r="A874" s="129" t="s">
        <v>337</v>
      </c>
      <c r="B874" s="243">
        <v>46109.0</v>
      </c>
      <c r="C874" s="129" t="s">
        <v>658</v>
      </c>
    </row>
    <row r="875">
      <c r="A875" s="129" t="s">
        <v>348</v>
      </c>
      <c r="B875" s="243">
        <v>46109.0</v>
      </c>
      <c r="C875" s="129" t="s">
        <v>660</v>
      </c>
    </row>
    <row r="876">
      <c r="A876" s="129" t="s">
        <v>294</v>
      </c>
      <c r="B876" s="243">
        <v>46109.0</v>
      </c>
      <c r="C876" s="129" t="s">
        <v>658</v>
      </c>
    </row>
    <row r="877">
      <c r="A877" s="129" t="s">
        <v>354</v>
      </c>
      <c r="B877" s="243">
        <v>46109.0</v>
      </c>
      <c r="C877" s="129"/>
    </row>
    <row r="878">
      <c r="A878" s="129" t="s">
        <v>129</v>
      </c>
      <c r="B878" s="243">
        <v>46111.0</v>
      </c>
      <c r="C878" s="129" t="s">
        <v>658</v>
      </c>
    </row>
    <row r="879">
      <c r="A879" s="129" t="s">
        <v>202</v>
      </c>
      <c r="B879" s="243">
        <v>46111.0</v>
      </c>
      <c r="C879" s="129" t="s">
        <v>659</v>
      </c>
    </row>
    <row r="880">
      <c r="A880" s="129" t="s">
        <v>196</v>
      </c>
      <c r="B880" s="243">
        <v>46111.0</v>
      </c>
      <c r="C880" s="129" t="s">
        <v>659</v>
      </c>
    </row>
    <row r="881">
      <c r="A881" s="129" t="s">
        <v>153</v>
      </c>
      <c r="B881" s="243">
        <v>46113.0</v>
      </c>
      <c r="C881" s="129" t="s">
        <v>658</v>
      </c>
    </row>
    <row r="882">
      <c r="A882" s="129" t="s">
        <v>155</v>
      </c>
      <c r="B882" s="243">
        <v>46113.0</v>
      </c>
      <c r="C882" s="129" t="s">
        <v>658</v>
      </c>
    </row>
    <row r="883">
      <c r="A883" s="129" t="s">
        <v>131</v>
      </c>
      <c r="B883" s="243">
        <v>46113.0</v>
      </c>
      <c r="C883" s="129" t="s">
        <v>658</v>
      </c>
    </row>
    <row r="884">
      <c r="A884" s="129" t="s">
        <v>138</v>
      </c>
      <c r="B884" s="243">
        <v>46113.0</v>
      </c>
      <c r="C884" s="129" t="s">
        <v>658</v>
      </c>
    </row>
    <row r="885">
      <c r="A885" s="129" t="s">
        <v>160</v>
      </c>
      <c r="B885" s="243">
        <v>46113.0</v>
      </c>
      <c r="C885" s="129" t="s">
        <v>658</v>
      </c>
    </row>
    <row r="886">
      <c r="A886" s="129" t="s">
        <v>147</v>
      </c>
      <c r="B886" s="243">
        <v>46113.0</v>
      </c>
      <c r="C886" s="129" t="s">
        <v>658</v>
      </c>
    </row>
    <row r="887">
      <c r="A887" s="129" t="s">
        <v>293</v>
      </c>
      <c r="B887" s="243">
        <v>46113.0</v>
      </c>
      <c r="C887" s="129" t="s">
        <v>659</v>
      </c>
    </row>
    <row r="888">
      <c r="A888" s="129" t="s">
        <v>294</v>
      </c>
      <c r="B888" s="243">
        <v>46113.0</v>
      </c>
      <c r="C888" s="129" t="s">
        <v>659</v>
      </c>
    </row>
    <row r="889">
      <c r="A889" s="129" t="s">
        <v>291</v>
      </c>
      <c r="B889" s="243">
        <v>46113.0</v>
      </c>
      <c r="C889" s="129" t="s">
        <v>659</v>
      </c>
    </row>
    <row r="890">
      <c r="A890" s="129" t="s">
        <v>234</v>
      </c>
      <c r="B890" s="243">
        <v>46113.0</v>
      </c>
      <c r="C890" s="129" t="s">
        <v>659</v>
      </c>
    </row>
    <row r="891">
      <c r="A891" s="129" t="s">
        <v>228</v>
      </c>
      <c r="B891" s="243">
        <v>46113.0</v>
      </c>
      <c r="C891" s="129" t="s">
        <v>659</v>
      </c>
    </row>
    <row r="892">
      <c r="A892" s="129" t="s">
        <v>190</v>
      </c>
      <c r="B892" s="243">
        <v>46113.0</v>
      </c>
      <c r="C892" s="129" t="s">
        <v>659</v>
      </c>
    </row>
    <row r="893">
      <c r="A893" s="129" t="s">
        <v>464</v>
      </c>
      <c r="B893" s="243">
        <v>46114.0</v>
      </c>
      <c r="C893" s="129" t="s">
        <v>658</v>
      </c>
    </row>
    <row r="894">
      <c r="A894" s="129" t="s">
        <v>462</v>
      </c>
      <c r="B894" s="243">
        <v>46114.0</v>
      </c>
      <c r="C894" s="129" t="s">
        <v>658</v>
      </c>
    </row>
    <row r="895">
      <c r="A895" s="129" t="s">
        <v>456</v>
      </c>
      <c r="B895" s="243">
        <v>46114.0</v>
      </c>
      <c r="C895" s="129" t="s">
        <v>658</v>
      </c>
    </row>
    <row r="896">
      <c r="A896" s="129" t="s">
        <v>458</v>
      </c>
      <c r="B896" s="243">
        <v>46114.0</v>
      </c>
      <c r="C896" s="129"/>
    </row>
    <row r="897">
      <c r="A897" s="129" t="s">
        <v>452</v>
      </c>
      <c r="B897" s="243">
        <v>46100.0</v>
      </c>
      <c r="C897" s="129"/>
    </row>
    <row r="898">
      <c r="A898" s="129" t="s">
        <v>273</v>
      </c>
      <c r="B898" s="243">
        <v>46116.0</v>
      </c>
      <c r="C898" s="129" t="s">
        <v>658</v>
      </c>
    </row>
    <row r="899">
      <c r="A899" s="129" t="s">
        <v>184</v>
      </c>
      <c r="B899" s="243">
        <v>46116.0</v>
      </c>
      <c r="C899" s="129" t="s">
        <v>658</v>
      </c>
    </row>
    <row r="900">
      <c r="A900" s="129" t="s">
        <v>190</v>
      </c>
      <c r="B900" s="243">
        <v>46116.0</v>
      </c>
      <c r="C900" s="129" t="s">
        <v>658</v>
      </c>
    </row>
    <row r="901">
      <c r="A901" s="129" t="s">
        <v>155</v>
      </c>
      <c r="B901" s="243">
        <v>46116.0</v>
      </c>
      <c r="C901" s="129" t="s">
        <v>659</v>
      </c>
    </row>
    <row r="902">
      <c r="A902" s="129" t="s">
        <v>228</v>
      </c>
      <c r="B902" s="243">
        <v>46116.0</v>
      </c>
      <c r="C902" s="129" t="s">
        <v>658</v>
      </c>
    </row>
    <row r="903">
      <c r="A903" s="129" t="s">
        <v>220</v>
      </c>
      <c r="B903" s="243">
        <v>46116.0</v>
      </c>
      <c r="C903" s="129"/>
    </row>
    <row r="904">
      <c r="A904" s="129" t="s">
        <v>222</v>
      </c>
      <c r="B904" s="243">
        <v>46116.0</v>
      </c>
      <c r="C904" s="129" t="s">
        <v>658</v>
      </c>
    </row>
    <row r="905">
      <c r="A905" s="129" t="s">
        <v>209</v>
      </c>
      <c r="B905" s="243">
        <v>46116.0</v>
      </c>
      <c r="C905" s="129" t="s">
        <v>658</v>
      </c>
    </row>
    <row r="906">
      <c r="A906" s="129" t="s">
        <v>212</v>
      </c>
      <c r="B906" s="243">
        <v>46116.0</v>
      </c>
      <c r="C906" s="129" t="s">
        <v>658</v>
      </c>
    </row>
    <row r="907">
      <c r="A907" s="129" t="s">
        <v>261</v>
      </c>
      <c r="B907" s="243">
        <v>46116.0</v>
      </c>
      <c r="C907" s="129"/>
    </row>
    <row r="908">
      <c r="A908" s="129" t="s">
        <v>275</v>
      </c>
      <c r="B908" s="243">
        <v>46116.0</v>
      </c>
      <c r="C908" s="129" t="s">
        <v>658</v>
      </c>
    </row>
    <row r="909">
      <c r="A909" s="129" t="s">
        <v>269</v>
      </c>
      <c r="B909" s="243">
        <v>46116.0</v>
      </c>
      <c r="C909" s="129" t="s">
        <v>658</v>
      </c>
    </row>
    <row r="910">
      <c r="A910" s="129" t="s">
        <v>206</v>
      </c>
      <c r="B910" s="243">
        <v>46116.0</v>
      </c>
      <c r="C910" s="129" t="s">
        <v>659</v>
      </c>
    </row>
    <row r="911">
      <c r="A911" s="129" t="s">
        <v>198</v>
      </c>
      <c r="B911" s="243">
        <v>46116.0</v>
      </c>
      <c r="C911" s="129" t="s">
        <v>659</v>
      </c>
    </row>
    <row r="912">
      <c r="A912" s="129" t="s">
        <v>223</v>
      </c>
      <c r="B912" s="243">
        <v>46116.0</v>
      </c>
      <c r="C912" s="129" t="s">
        <v>659</v>
      </c>
    </row>
    <row r="913">
      <c r="A913" s="129" t="s">
        <v>464</v>
      </c>
      <c r="B913" s="243">
        <v>46116.0</v>
      </c>
      <c r="C913" s="129" t="s">
        <v>659</v>
      </c>
    </row>
    <row r="914">
      <c r="A914" s="129" t="s">
        <v>291</v>
      </c>
      <c r="B914" s="243">
        <v>46116.0</v>
      </c>
      <c r="C914" s="129" t="s">
        <v>658</v>
      </c>
    </row>
    <row r="915">
      <c r="A915" s="129" t="s">
        <v>282</v>
      </c>
      <c r="B915" s="243">
        <v>46116.0</v>
      </c>
      <c r="C915" s="129" t="s">
        <v>659</v>
      </c>
    </row>
    <row r="916">
      <c r="A916" s="129" t="s">
        <v>293</v>
      </c>
      <c r="B916" s="243">
        <v>46116.0</v>
      </c>
      <c r="C916" s="129" t="s">
        <v>658</v>
      </c>
    </row>
    <row r="917">
      <c r="A917" s="129" t="s">
        <v>294</v>
      </c>
      <c r="B917" s="243">
        <v>46116.0</v>
      </c>
      <c r="C917" s="129" t="s">
        <v>658</v>
      </c>
    </row>
    <row r="918">
      <c r="A918" s="129" t="s">
        <v>288</v>
      </c>
      <c r="B918" s="243">
        <v>46116.0</v>
      </c>
      <c r="C918" s="129" t="s">
        <v>658</v>
      </c>
    </row>
    <row r="919">
      <c r="A919" s="129" t="s">
        <v>303</v>
      </c>
      <c r="B919" s="243">
        <v>46116.0</v>
      </c>
      <c r="C919" s="129" t="s">
        <v>658</v>
      </c>
    </row>
    <row r="920">
      <c r="A920" s="129" t="s">
        <v>331</v>
      </c>
      <c r="B920" s="243">
        <v>46116.0</v>
      </c>
      <c r="C920" s="129" t="s">
        <v>658</v>
      </c>
    </row>
    <row r="921">
      <c r="A921" s="129" t="s">
        <v>462</v>
      </c>
      <c r="B921" s="243">
        <v>46116.0</v>
      </c>
      <c r="C921" s="129" t="s">
        <v>659</v>
      </c>
    </row>
    <row r="922">
      <c r="A922" s="129" t="s">
        <v>443</v>
      </c>
      <c r="B922" s="243">
        <v>46116.0</v>
      </c>
      <c r="C922" s="129" t="s">
        <v>659</v>
      </c>
    </row>
    <row r="923">
      <c r="A923" s="129" t="s">
        <v>451</v>
      </c>
      <c r="B923" s="243">
        <v>46116.0</v>
      </c>
      <c r="C923" s="129" t="s">
        <v>659</v>
      </c>
    </row>
    <row r="924">
      <c r="A924" s="129" t="s">
        <v>354</v>
      </c>
      <c r="B924" s="243">
        <v>46116.0</v>
      </c>
      <c r="C924" s="129" t="s">
        <v>659</v>
      </c>
    </row>
    <row r="925">
      <c r="A925" s="129" t="s">
        <v>362</v>
      </c>
      <c r="B925" s="243">
        <v>46116.0</v>
      </c>
      <c r="C925" s="129" t="s">
        <v>658</v>
      </c>
    </row>
    <row r="926">
      <c r="A926" s="129" t="s">
        <v>413</v>
      </c>
      <c r="B926" s="243">
        <v>46114.0</v>
      </c>
      <c r="C926" s="129" t="s">
        <v>658</v>
      </c>
    </row>
    <row r="927">
      <c r="A927" s="129" t="s">
        <v>129</v>
      </c>
      <c r="B927" s="243">
        <v>46118.0</v>
      </c>
      <c r="C927" s="129" t="s">
        <v>658</v>
      </c>
    </row>
    <row r="928">
      <c r="A928" s="129" t="s">
        <v>127</v>
      </c>
      <c r="B928" s="243">
        <v>46118.0</v>
      </c>
      <c r="C928" s="129" t="s">
        <v>658</v>
      </c>
    </row>
    <row r="929">
      <c r="A929" s="129" t="s">
        <v>184</v>
      </c>
      <c r="B929" s="243">
        <v>46118.0</v>
      </c>
      <c r="C929" s="129" t="s">
        <v>659</v>
      </c>
    </row>
    <row r="930">
      <c r="A930" s="129" t="s">
        <v>259</v>
      </c>
      <c r="B930" s="243">
        <v>46118.0</v>
      </c>
      <c r="C930" s="129" t="s">
        <v>659</v>
      </c>
    </row>
    <row r="931">
      <c r="A931" s="129" t="s">
        <v>228</v>
      </c>
      <c r="B931" s="243">
        <v>46120.0</v>
      </c>
      <c r="C931" s="129" t="s">
        <v>659</v>
      </c>
    </row>
    <row r="932">
      <c r="A932" s="129" t="s">
        <v>127</v>
      </c>
      <c r="B932" s="243">
        <v>46120.0</v>
      </c>
      <c r="C932" s="129" t="s">
        <v>659</v>
      </c>
    </row>
    <row r="933">
      <c r="A933" s="129" t="s">
        <v>149</v>
      </c>
      <c r="B933" s="243">
        <v>46120.0</v>
      </c>
      <c r="C933" s="129" t="s">
        <v>658</v>
      </c>
    </row>
    <row r="934">
      <c r="A934" s="129" t="s">
        <v>151</v>
      </c>
      <c r="B934" s="243">
        <v>46120.0</v>
      </c>
      <c r="C934" s="129" t="s">
        <v>658</v>
      </c>
    </row>
    <row r="935">
      <c r="A935" s="129" t="s">
        <v>153</v>
      </c>
      <c r="B935" s="243">
        <v>46120.0</v>
      </c>
      <c r="C935" s="129" t="s">
        <v>658</v>
      </c>
    </row>
    <row r="936">
      <c r="A936" s="129" t="s">
        <v>156</v>
      </c>
      <c r="B936" s="243">
        <v>46120.0</v>
      </c>
      <c r="C936" s="129" t="s">
        <v>658</v>
      </c>
    </row>
    <row r="937">
      <c r="A937" s="129" t="s">
        <v>131</v>
      </c>
      <c r="B937" s="243">
        <v>46120.0</v>
      </c>
      <c r="C937" s="129" t="s">
        <v>658</v>
      </c>
    </row>
    <row r="938">
      <c r="A938" s="129" t="s">
        <v>610</v>
      </c>
      <c r="B938" s="243">
        <v>46120.0</v>
      </c>
      <c r="C938" s="129" t="s">
        <v>658</v>
      </c>
    </row>
    <row r="939">
      <c r="A939" s="129" t="s">
        <v>438</v>
      </c>
      <c r="B939" s="243">
        <v>46114.0</v>
      </c>
      <c r="C939" s="129" t="s">
        <v>658</v>
      </c>
    </row>
    <row r="940">
      <c r="A940" s="129" t="s">
        <v>443</v>
      </c>
      <c r="B940" s="243">
        <v>46121.0</v>
      </c>
      <c r="C940" s="129" t="s">
        <v>658</v>
      </c>
    </row>
    <row r="941">
      <c r="A941" s="129" t="s">
        <v>445</v>
      </c>
      <c r="B941" s="243">
        <v>46121.0</v>
      </c>
      <c r="C941" s="129" t="s">
        <v>658</v>
      </c>
    </row>
    <row r="942">
      <c r="A942" s="129" t="s">
        <v>207</v>
      </c>
      <c r="B942" s="243">
        <v>46123.0</v>
      </c>
      <c r="C942" s="129" t="s">
        <v>658</v>
      </c>
    </row>
    <row r="943">
      <c r="A943" s="129" t="s">
        <v>261</v>
      </c>
      <c r="B943" s="243">
        <v>46123.0</v>
      </c>
      <c r="C943" s="129"/>
    </row>
    <row r="944">
      <c r="A944" s="129" t="s">
        <v>218</v>
      </c>
      <c r="B944" s="243">
        <v>46123.0</v>
      </c>
      <c r="C944" s="129" t="s">
        <v>658</v>
      </c>
    </row>
    <row r="945">
      <c r="A945" s="129" t="s">
        <v>303</v>
      </c>
      <c r="B945" s="243">
        <v>46123.0</v>
      </c>
      <c r="C945" s="129" t="s">
        <v>660</v>
      </c>
    </row>
    <row r="946">
      <c r="A946" s="129" t="s">
        <v>309</v>
      </c>
      <c r="B946" s="243">
        <v>46123.0</v>
      </c>
      <c r="C946" s="129" t="s">
        <v>660</v>
      </c>
    </row>
    <row r="947">
      <c r="A947" s="129" t="s">
        <v>330</v>
      </c>
      <c r="B947" s="243">
        <v>46123.0</v>
      </c>
      <c r="C947" s="129" t="s">
        <v>660</v>
      </c>
    </row>
    <row r="948">
      <c r="A948" s="129" t="s">
        <v>333</v>
      </c>
      <c r="B948" s="243">
        <v>46123.0</v>
      </c>
      <c r="C948" s="129" t="s">
        <v>658</v>
      </c>
    </row>
    <row r="949">
      <c r="A949" s="129" t="s">
        <v>358</v>
      </c>
      <c r="B949" s="243">
        <v>46123.0</v>
      </c>
      <c r="C949" s="129" t="s">
        <v>658</v>
      </c>
    </row>
    <row r="950">
      <c r="A950" s="129" t="s">
        <v>456</v>
      </c>
      <c r="B950" s="243">
        <v>46123.0</v>
      </c>
      <c r="C950" s="129" t="s">
        <v>659</v>
      </c>
    </row>
    <row r="951">
      <c r="A951" s="129" t="s">
        <v>456</v>
      </c>
      <c r="B951" s="243">
        <v>46121.0</v>
      </c>
      <c r="C951" s="129"/>
    </row>
    <row r="952">
      <c r="A952" s="129" t="s">
        <v>443</v>
      </c>
      <c r="B952" s="243">
        <v>46123.0</v>
      </c>
      <c r="C952" s="129" t="s">
        <v>659</v>
      </c>
    </row>
    <row r="953">
      <c r="A953" s="129" t="s">
        <v>269</v>
      </c>
      <c r="B953" s="243">
        <v>46123.0</v>
      </c>
      <c r="C953" s="129" t="s">
        <v>659</v>
      </c>
    </row>
    <row r="954">
      <c r="A954" s="129" t="s">
        <v>273</v>
      </c>
      <c r="B954" s="243">
        <v>46123.0</v>
      </c>
      <c r="C954" s="129" t="s">
        <v>659</v>
      </c>
    </row>
    <row r="955">
      <c r="A955" s="129" t="s">
        <v>223</v>
      </c>
      <c r="B955" s="243">
        <v>46123.0</v>
      </c>
      <c r="C955" s="129" t="s">
        <v>659</v>
      </c>
    </row>
    <row r="956">
      <c r="A956" s="129" t="s">
        <v>94</v>
      </c>
      <c r="B956" s="243">
        <v>46123.0</v>
      </c>
      <c r="C956" s="129" t="s">
        <v>659</v>
      </c>
    </row>
    <row r="957">
      <c r="A957" s="129" t="s">
        <v>125</v>
      </c>
      <c r="B957" s="243">
        <v>46123.0</v>
      </c>
      <c r="C957" s="129" t="s">
        <v>659</v>
      </c>
    </row>
    <row r="958">
      <c r="A958" s="129" t="s">
        <v>445</v>
      </c>
      <c r="B958" s="243">
        <v>46123.0</v>
      </c>
      <c r="C958" s="129" t="s">
        <v>659</v>
      </c>
    </row>
    <row r="959">
      <c r="A959" s="129" t="s">
        <v>331</v>
      </c>
      <c r="B959" s="243">
        <v>46123.0</v>
      </c>
      <c r="C959" s="129" t="s">
        <v>659</v>
      </c>
    </row>
    <row r="960">
      <c r="A960" s="129" t="s">
        <v>293</v>
      </c>
      <c r="B960" s="243">
        <v>46123.0</v>
      </c>
      <c r="C960" s="129" t="s">
        <v>659</v>
      </c>
    </row>
    <row r="961">
      <c r="A961" s="129" t="s">
        <v>294</v>
      </c>
      <c r="B961" s="243">
        <v>46123.0</v>
      </c>
      <c r="C961" s="129" t="s">
        <v>659</v>
      </c>
    </row>
    <row r="962">
      <c r="A962" s="129" t="s">
        <v>291</v>
      </c>
      <c r="B962" s="243">
        <v>46123.0</v>
      </c>
      <c r="C962" s="129" t="s">
        <v>659</v>
      </c>
    </row>
    <row r="963">
      <c r="A963" s="129" t="s">
        <v>328</v>
      </c>
      <c r="B963" s="243">
        <v>46123.0</v>
      </c>
      <c r="C963" s="129" t="s">
        <v>658</v>
      </c>
    </row>
    <row r="964">
      <c r="A964" s="129" t="s">
        <v>85</v>
      </c>
      <c r="B964" s="243">
        <v>46125.0</v>
      </c>
      <c r="C964" s="129" t="s">
        <v>658</v>
      </c>
    </row>
    <row r="965">
      <c r="A965" s="129" t="s">
        <v>149</v>
      </c>
      <c r="B965" s="243">
        <v>46125.0</v>
      </c>
      <c r="C965" s="129" t="s">
        <v>659</v>
      </c>
    </row>
    <row r="966">
      <c r="A966" s="129" t="s">
        <v>129</v>
      </c>
      <c r="B966" s="243">
        <v>46125.0</v>
      </c>
      <c r="C966" s="129" t="s">
        <v>658</v>
      </c>
    </row>
    <row r="967">
      <c r="A967" s="129" t="s">
        <v>122</v>
      </c>
      <c r="B967" s="243">
        <v>46125.0</v>
      </c>
      <c r="C967" s="129" t="s">
        <v>658</v>
      </c>
    </row>
    <row r="968">
      <c r="A968" s="129" t="s">
        <v>103</v>
      </c>
      <c r="B968" s="243">
        <v>46125.0</v>
      </c>
      <c r="C968" s="129" t="s">
        <v>658</v>
      </c>
    </row>
    <row r="969">
      <c r="A969" s="129" t="s">
        <v>151</v>
      </c>
      <c r="B969" s="243">
        <v>46127.0</v>
      </c>
      <c r="C969" s="129" t="s">
        <v>658</v>
      </c>
    </row>
    <row r="970">
      <c r="A970" s="129" t="s">
        <v>153</v>
      </c>
      <c r="B970" s="243">
        <v>46127.0</v>
      </c>
      <c r="C970" s="129" t="s">
        <v>658</v>
      </c>
    </row>
    <row r="971">
      <c r="A971" s="129" t="s">
        <v>156</v>
      </c>
      <c r="B971" s="243">
        <v>46127.0</v>
      </c>
      <c r="C971" s="129" t="s">
        <v>658</v>
      </c>
    </row>
    <row r="972">
      <c r="A972" s="129" t="s">
        <v>108</v>
      </c>
      <c r="B972" s="243">
        <v>46127.0</v>
      </c>
      <c r="C972" s="129" t="s">
        <v>659</v>
      </c>
    </row>
    <row r="973">
      <c r="A973" s="129" t="s">
        <v>407</v>
      </c>
      <c r="B973" s="243">
        <v>46128.0</v>
      </c>
      <c r="C973" s="129" t="s">
        <v>658</v>
      </c>
    </row>
    <row r="974">
      <c r="A974" s="129" t="s">
        <v>473</v>
      </c>
      <c r="B974" s="243">
        <v>46129.0</v>
      </c>
      <c r="C974" s="129" t="s">
        <v>658</v>
      </c>
    </row>
    <row r="975">
      <c r="A975" s="129" t="s">
        <v>506</v>
      </c>
      <c r="B975" s="243">
        <v>46129.0</v>
      </c>
      <c r="C975" s="129" t="s">
        <v>658</v>
      </c>
    </row>
    <row r="976">
      <c r="A976" s="129" t="s">
        <v>271</v>
      </c>
      <c r="B976" s="243">
        <v>46130.0</v>
      </c>
      <c r="C976" s="129" t="s">
        <v>658</v>
      </c>
    </row>
    <row r="977">
      <c r="A977" s="129" t="s">
        <v>234</v>
      </c>
      <c r="B977" s="243">
        <v>46130.0</v>
      </c>
      <c r="C977" s="129" t="s">
        <v>658</v>
      </c>
    </row>
    <row r="978">
      <c r="A978" s="129" t="s">
        <v>198</v>
      </c>
      <c r="B978" s="243">
        <v>46130.0</v>
      </c>
      <c r="C978" s="129" t="s">
        <v>659</v>
      </c>
    </row>
    <row r="979">
      <c r="A979" s="129" t="s">
        <v>206</v>
      </c>
      <c r="B979" s="243">
        <v>46130.0</v>
      </c>
      <c r="C979" s="129" t="s">
        <v>659</v>
      </c>
    </row>
    <row r="980">
      <c r="A980" s="129" t="s">
        <v>207</v>
      </c>
      <c r="B980" s="243">
        <v>46130.0</v>
      </c>
      <c r="C980" s="129" t="s">
        <v>659</v>
      </c>
    </row>
    <row r="981">
      <c r="A981" s="129" t="s">
        <v>218</v>
      </c>
      <c r="B981" s="243">
        <v>46130.0</v>
      </c>
      <c r="C981" s="129" t="s">
        <v>658</v>
      </c>
    </row>
    <row r="982">
      <c r="A982" s="129" t="s">
        <v>223</v>
      </c>
      <c r="B982" s="243">
        <v>46130.0</v>
      </c>
      <c r="C982" s="129" t="s">
        <v>659</v>
      </c>
    </row>
    <row r="983">
      <c r="A983" s="129" t="s">
        <v>184</v>
      </c>
      <c r="B983" s="243">
        <v>46130.0</v>
      </c>
      <c r="C983" s="129" t="s">
        <v>658</v>
      </c>
    </row>
    <row r="984">
      <c r="A984" s="129" t="s">
        <v>401</v>
      </c>
      <c r="B984" s="243">
        <v>46130.0</v>
      </c>
      <c r="C984" s="129" t="s">
        <v>658</v>
      </c>
    </row>
    <row r="985">
      <c r="A985" s="129" t="s">
        <v>402</v>
      </c>
      <c r="B985" s="243">
        <v>46130.0</v>
      </c>
      <c r="C985" s="129" t="s">
        <v>658</v>
      </c>
    </row>
    <row r="986">
      <c r="A986" s="129" t="s">
        <v>407</v>
      </c>
      <c r="B986" s="243">
        <v>46130.0</v>
      </c>
      <c r="C986" s="129" t="s">
        <v>659</v>
      </c>
    </row>
    <row r="987">
      <c r="A987" s="129" t="s">
        <v>273</v>
      </c>
      <c r="B987" s="243">
        <v>46130.0</v>
      </c>
      <c r="C987" s="129" t="s">
        <v>659</v>
      </c>
    </row>
    <row r="988">
      <c r="A988" s="129" t="s">
        <v>311</v>
      </c>
      <c r="B988" s="243">
        <v>46130.0</v>
      </c>
      <c r="C988" s="129" t="s">
        <v>658</v>
      </c>
    </row>
    <row r="989">
      <c r="A989" s="129" t="s">
        <v>303</v>
      </c>
      <c r="B989" s="243">
        <v>46130.0</v>
      </c>
      <c r="C989" s="129" t="s">
        <v>658</v>
      </c>
    </row>
    <row r="990">
      <c r="A990" s="129" t="s">
        <v>291</v>
      </c>
      <c r="B990" s="243">
        <v>46130.0</v>
      </c>
      <c r="C990" s="129" t="s">
        <v>659</v>
      </c>
    </row>
    <row r="991">
      <c r="A991" s="129" t="s">
        <v>293</v>
      </c>
      <c r="B991" s="243">
        <v>46130.0</v>
      </c>
      <c r="C991" s="129" t="s">
        <v>659</v>
      </c>
    </row>
    <row r="992">
      <c r="A992" s="129" t="s">
        <v>294</v>
      </c>
      <c r="B992" s="243">
        <v>46130.0</v>
      </c>
      <c r="C992" s="129" t="s">
        <v>659</v>
      </c>
    </row>
    <row r="993">
      <c r="A993" s="129" t="s">
        <v>85</v>
      </c>
      <c r="B993" s="243">
        <v>46130.0</v>
      </c>
      <c r="C993" s="129" t="s">
        <v>659</v>
      </c>
    </row>
    <row r="994">
      <c r="A994" s="129" t="s">
        <v>156</v>
      </c>
      <c r="B994" s="243">
        <v>46130.0</v>
      </c>
      <c r="C994" s="129" t="s">
        <v>659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2" max="2" width="9.14"/>
    <col customWidth="1" min="3" max="3" width="3.86"/>
    <col customWidth="1" min="5" max="5" width="28.29"/>
    <col customWidth="1" min="6" max="6" width="16.57"/>
    <col customWidth="1" min="7" max="7" width="39.71"/>
    <col customWidth="1" min="8" max="8" width="28.14"/>
    <col customWidth="1" min="9" max="9" width="17.86"/>
  </cols>
  <sheetData>
    <row r="1">
      <c r="A1" s="244"/>
      <c r="B1" s="244"/>
      <c r="C1" s="244"/>
      <c r="D1" s="244"/>
      <c r="E1" s="244"/>
      <c r="F1" s="244"/>
      <c r="G1" s="244"/>
      <c r="H1" s="244"/>
      <c r="I1" s="244"/>
      <c r="J1" s="244"/>
      <c r="K1" s="244"/>
      <c r="L1" s="244"/>
      <c r="M1" s="244"/>
      <c r="N1" s="244"/>
      <c r="O1" s="244"/>
      <c r="P1" s="244"/>
      <c r="Q1" s="244"/>
      <c r="R1" s="244"/>
      <c r="S1" s="244"/>
      <c r="T1" s="244"/>
      <c r="U1" s="244"/>
      <c r="V1" s="244"/>
      <c r="W1" s="244"/>
      <c r="X1" s="244"/>
      <c r="Y1" s="244"/>
      <c r="Z1" s="244"/>
    </row>
    <row r="2">
      <c r="A2" s="244"/>
      <c r="B2" s="244"/>
      <c r="C2" s="244"/>
      <c r="D2" s="244"/>
      <c r="E2" s="244"/>
      <c r="F2" s="244"/>
      <c r="G2" s="244"/>
      <c r="H2" s="244"/>
      <c r="I2" s="244"/>
      <c r="J2" s="244"/>
      <c r="K2" s="244"/>
      <c r="L2" s="244"/>
      <c r="M2" s="244"/>
      <c r="N2" s="244"/>
      <c r="O2" s="244"/>
      <c r="P2" s="244"/>
      <c r="Q2" s="244"/>
      <c r="R2" s="244"/>
      <c r="S2" s="244"/>
      <c r="T2" s="244"/>
      <c r="U2" s="244"/>
      <c r="V2" s="244"/>
      <c r="W2" s="244"/>
      <c r="X2" s="244"/>
      <c r="Y2" s="244"/>
      <c r="Z2" s="244"/>
    </row>
    <row r="3">
      <c r="A3" s="244"/>
      <c r="B3" s="245" t="s">
        <v>906</v>
      </c>
      <c r="C3" s="244"/>
      <c r="D3" s="244"/>
      <c r="E3" s="244"/>
      <c r="F3" s="244"/>
      <c r="G3" s="244"/>
      <c r="H3" s="244"/>
      <c r="I3" s="244"/>
      <c r="J3" s="244"/>
      <c r="K3" s="244"/>
      <c r="L3" s="244"/>
      <c r="M3" s="244"/>
      <c r="N3" s="244"/>
      <c r="O3" s="244"/>
      <c r="P3" s="244"/>
      <c r="Q3" s="244"/>
      <c r="R3" s="244"/>
      <c r="S3" s="244"/>
      <c r="T3" s="244"/>
      <c r="U3" s="244"/>
      <c r="V3" s="244"/>
      <c r="W3" s="244"/>
      <c r="X3" s="244"/>
      <c r="Y3" s="244"/>
      <c r="Z3" s="244"/>
    </row>
    <row r="4">
      <c r="A4" s="244"/>
      <c r="B4" s="246" t="s">
        <v>623</v>
      </c>
      <c r="C4" s="247"/>
      <c r="D4" s="247"/>
      <c r="E4" s="246" t="s">
        <v>55</v>
      </c>
      <c r="F4" s="246" t="s">
        <v>907</v>
      </c>
      <c r="G4" s="246" t="s">
        <v>908</v>
      </c>
      <c r="H4" s="246" t="s">
        <v>49</v>
      </c>
      <c r="I4" s="244"/>
      <c r="J4" s="244"/>
      <c r="K4" s="244"/>
      <c r="L4" s="244"/>
      <c r="M4" s="244"/>
      <c r="N4" s="244"/>
      <c r="O4" s="244"/>
      <c r="P4" s="244"/>
      <c r="Q4" s="244"/>
      <c r="R4" s="244"/>
      <c r="S4" s="244"/>
      <c r="T4" s="244"/>
      <c r="U4" s="244"/>
      <c r="V4" s="244"/>
      <c r="W4" s="244"/>
      <c r="X4" s="244"/>
      <c r="Y4" s="244"/>
      <c r="Z4" s="244"/>
    </row>
    <row r="5">
      <c r="A5" s="244"/>
      <c r="B5" s="248" t="str">
        <f t="array" ref="B5">'Teaching and Learning'!C7:I10</f>
        <v>#REF!</v>
      </c>
      <c r="C5" s="248"/>
      <c r="D5" s="248"/>
      <c r="E5" s="248"/>
      <c r="F5" s="248"/>
      <c r="G5" s="248"/>
      <c r="H5" s="248"/>
      <c r="I5" s="244"/>
      <c r="J5" s="244"/>
      <c r="K5" s="244"/>
      <c r="L5" s="244"/>
      <c r="M5" s="244"/>
      <c r="N5" s="244"/>
      <c r="O5" s="244"/>
      <c r="P5" s="244"/>
      <c r="Q5" s="244"/>
      <c r="R5" s="244"/>
      <c r="S5" s="244"/>
      <c r="T5" s="244"/>
      <c r="U5" s="244"/>
      <c r="V5" s="244"/>
      <c r="W5" s="244"/>
      <c r="X5" s="244"/>
      <c r="Y5" s="244"/>
      <c r="Z5" s="244"/>
    </row>
    <row r="6">
      <c r="A6" s="244"/>
      <c r="B6" s="249"/>
      <c r="C6" s="249"/>
      <c r="D6" s="249"/>
      <c r="E6" s="249"/>
      <c r="F6" s="249"/>
      <c r="G6" s="249"/>
      <c r="H6" s="249"/>
      <c r="I6" s="244"/>
      <c r="J6" s="244"/>
      <c r="K6" s="244"/>
      <c r="L6" s="244"/>
      <c r="M6" s="244"/>
      <c r="N6" s="244"/>
      <c r="O6" s="244"/>
      <c r="P6" s="244"/>
      <c r="Q6" s="244"/>
      <c r="R6" s="244"/>
      <c r="S6" s="244"/>
      <c r="T6" s="244"/>
      <c r="U6" s="244"/>
      <c r="V6" s="244"/>
      <c r="W6" s="244"/>
      <c r="X6" s="244"/>
      <c r="Y6" s="244"/>
      <c r="Z6" s="244"/>
    </row>
    <row r="7">
      <c r="A7" s="244"/>
      <c r="B7" s="249"/>
      <c r="C7" s="249"/>
      <c r="D7" s="249"/>
      <c r="E7" s="249"/>
      <c r="F7" s="249"/>
      <c r="G7" s="249"/>
      <c r="H7" s="249"/>
      <c r="I7" s="244"/>
      <c r="J7" s="244"/>
      <c r="K7" s="244"/>
      <c r="L7" s="244"/>
      <c r="M7" s="244"/>
      <c r="N7" s="244"/>
      <c r="O7" s="244"/>
      <c r="P7" s="244"/>
      <c r="Q7" s="244"/>
      <c r="R7" s="244"/>
      <c r="S7" s="244"/>
      <c r="T7" s="244"/>
      <c r="U7" s="244"/>
      <c r="V7" s="244"/>
      <c r="W7" s="244"/>
      <c r="X7" s="244"/>
      <c r="Y7" s="244"/>
      <c r="Z7" s="244"/>
    </row>
    <row r="8">
      <c r="A8" s="244"/>
      <c r="B8" s="249"/>
      <c r="C8" s="249"/>
      <c r="D8" s="249"/>
      <c r="E8" s="249"/>
      <c r="F8" s="249"/>
      <c r="G8" s="249"/>
      <c r="H8" s="249"/>
      <c r="I8" s="244"/>
      <c r="J8" s="244"/>
      <c r="K8" s="244"/>
      <c r="L8" s="244"/>
      <c r="M8" s="244"/>
      <c r="N8" s="244"/>
      <c r="O8" s="244"/>
      <c r="P8" s="244"/>
      <c r="Q8" s="244"/>
      <c r="R8" s="244"/>
      <c r="S8" s="244"/>
      <c r="T8" s="244"/>
      <c r="U8" s="244"/>
      <c r="V8" s="244"/>
      <c r="W8" s="244"/>
      <c r="X8" s="244"/>
      <c r="Y8" s="244"/>
      <c r="Z8" s="244"/>
    </row>
    <row r="9">
      <c r="A9" s="244"/>
      <c r="B9" s="249" t="str">
        <f t="array" ref="B9">'Teaching and Learning'!C32:I37</f>
        <v>#REF!</v>
      </c>
      <c r="C9" s="249"/>
      <c r="D9" s="249"/>
      <c r="E9" s="249"/>
      <c r="F9" s="249"/>
      <c r="G9" s="249"/>
      <c r="H9" s="249"/>
      <c r="I9" s="244"/>
      <c r="J9" s="244"/>
      <c r="K9" s="244"/>
      <c r="L9" s="244"/>
      <c r="M9" s="244"/>
      <c r="N9" s="244"/>
      <c r="O9" s="244"/>
      <c r="P9" s="244"/>
      <c r="Q9" s="244"/>
      <c r="R9" s="244"/>
      <c r="S9" s="244"/>
      <c r="T9" s="244"/>
      <c r="U9" s="244"/>
      <c r="V9" s="244"/>
      <c r="W9" s="244"/>
      <c r="X9" s="244"/>
      <c r="Y9" s="244"/>
      <c r="Z9" s="244"/>
    </row>
    <row r="10">
      <c r="A10" s="244"/>
      <c r="B10" s="249"/>
      <c r="C10" s="249"/>
      <c r="D10" s="249"/>
      <c r="E10" s="249"/>
      <c r="F10" s="249"/>
      <c r="G10" s="249"/>
      <c r="H10" s="249"/>
      <c r="I10" s="244"/>
      <c r="J10" s="244"/>
      <c r="K10" s="244"/>
      <c r="L10" s="244"/>
      <c r="M10" s="244"/>
      <c r="N10" s="244"/>
      <c r="O10" s="244"/>
      <c r="P10" s="244"/>
      <c r="Q10" s="244"/>
      <c r="R10" s="244"/>
      <c r="S10" s="244"/>
      <c r="T10" s="244"/>
      <c r="U10" s="244"/>
      <c r="V10" s="244"/>
      <c r="W10" s="244"/>
      <c r="X10" s="244"/>
      <c r="Y10" s="244"/>
      <c r="Z10" s="244"/>
    </row>
    <row r="11">
      <c r="A11" s="244"/>
      <c r="B11" s="249"/>
      <c r="C11" s="249"/>
      <c r="D11" s="249"/>
      <c r="E11" s="249"/>
      <c r="F11" s="249"/>
      <c r="G11" s="249"/>
      <c r="H11" s="249"/>
      <c r="I11" s="244"/>
      <c r="J11" s="244"/>
      <c r="K11" s="244"/>
      <c r="L11" s="244"/>
      <c r="M11" s="244"/>
      <c r="N11" s="244"/>
      <c r="O11" s="244"/>
      <c r="P11" s="244"/>
      <c r="Q11" s="244"/>
      <c r="R11" s="244"/>
      <c r="S11" s="244"/>
      <c r="T11" s="244"/>
      <c r="U11" s="244"/>
      <c r="V11" s="244"/>
      <c r="W11" s="244"/>
      <c r="X11" s="244"/>
      <c r="Y11" s="244"/>
      <c r="Z11" s="244"/>
    </row>
    <row r="12">
      <c r="A12" s="244"/>
      <c r="B12" s="249"/>
      <c r="C12" s="249"/>
      <c r="D12" s="249"/>
      <c r="E12" s="249"/>
      <c r="F12" s="249"/>
      <c r="G12" s="249"/>
      <c r="H12" s="249"/>
      <c r="I12" s="244"/>
      <c r="J12" s="244"/>
      <c r="K12" s="244"/>
      <c r="L12" s="244"/>
      <c r="M12" s="244"/>
      <c r="N12" s="244"/>
      <c r="O12" s="244"/>
      <c r="P12" s="244"/>
      <c r="Q12" s="244"/>
      <c r="R12" s="244"/>
      <c r="S12" s="244"/>
      <c r="T12" s="244"/>
      <c r="U12" s="244"/>
      <c r="V12" s="244"/>
      <c r="W12" s="244"/>
      <c r="X12" s="244"/>
      <c r="Y12" s="244"/>
      <c r="Z12" s="244"/>
    </row>
    <row r="13">
      <c r="A13" s="244"/>
      <c r="B13" s="249" t="str">
        <f t="array" ref="B13">'Teaching and Learning'!C54:I57</f>
        <v>#REF!</v>
      </c>
      <c r="C13" s="249"/>
      <c r="D13" s="249"/>
      <c r="E13" s="249"/>
      <c r="F13" s="249"/>
      <c r="G13" s="249"/>
      <c r="H13" s="249"/>
      <c r="I13" s="244"/>
      <c r="J13" s="244"/>
      <c r="K13" s="244"/>
      <c r="L13" s="244"/>
      <c r="M13" s="244"/>
      <c r="N13" s="244"/>
      <c r="O13" s="244"/>
      <c r="P13" s="244"/>
      <c r="Q13" s="244"/>
      <c r="R13" s="244"/>
      <c r="S13" s="244"/>
      <c r="T13" s="244"/>
      <c r="U13" s="244"/>
      <c r="V13" s="244"/>
      <c r="W13" s="244"/>
      <c r="X13" s="244"/>
      <c r="Y13" s="244"/>
      <c r="Z13" s="244"/>
    </row>
    <row r="14">
      <c r="A14" s="244"/>
      <c r="B14" s="249"/>
      <c r="C14" s="249"/>
      <c r="D14" s="249"/>
      <c r="E14" s="249"/>
      <c r="F14" s="249"/>
      <c r="G14" s="249"/>
      <c r="H14" s="249"/>
      <c r="I14" s="244"/>
      <c r="J14" s="244"/>
      <c r="K14" s="244"/>
      <c r="L14" s="244"/>
      <c r="M14" s="244"/>
      <c r="N14" s="244"/>
      <c r="O14" s="244"/>
      <c r="P14" s="244"/>
      <c r="Q14" s="244"/>
      <c r="R14" s="244"/>
      <c r="S14" s="244"/>
      <c r="T14" s="244"/>
      <c r="U14" s="244"/>
      <c r="V14" s="244"/>
      <c r="W14" s="244"/>
      <c r="X14" s="244"/>
      <c r="Y14" s="244"/>
      <c r="Z14" s="244"/>
    </row>
    <row r="15">
      <c r="A15" s="244"/>
      <c r="B15" s="249"/>
      <c r="C15" s="249"/>
      <c r="D15" s="249"/>
      <c r="E15" s="249"/>
      <c r="F15" s="249"/>
      <c r="G15" s="249"/>
      <c r="H15" s="249"/>
      <c r="I15" s="244"/>
      <c r="J15" s="244"/>
      <c r="K15" s="244"/>
      <c r="L15" s="244"/>
      <c r="M15" s="244"/>
      <c r="N15" s="244"/>
      <c r="O15" s="244"/>
      <c r="P15" s="244"/>
      <c r="Q15" s="244"/>
      <c r="R15" s="244"/>
      <c r="S15" s="244"/>
      <c r="T15" s="244"/>
      <c r="U15" s="244"/>
      <c r="V15" s="244"/>
      <c r="W15" s="244"/>
      <c r="X15" s="244"/>
      <c r="Y15" s="244"/>
      <c r="Z15" s="244"/>
    </row>
    <row r="16">
      <c r="A16" s="244"/>
      <c r="B16" s="249"/>
      <c r="C16" s="249"/>
      <c r="D16" s="249"/>
      <c r="E16" s="249"/>
      <c r="F16" s="249"/>
      <c r="G16" s="249"/>
      <c r="H16" s="249"/>
      <c r="I16" s="244"/>
      <c r="J16" s="244"/>
      <c r="K16" s="244"/>
      <c r="L16" s="244"/>
      <c r="M16" s="244"/>
      <c r="N16" s="244"/>
      <c r="O16" s="244"/>
      <c r="P16" s="244"/>
      <c r="Q16" s="244"/>
      <c r="R16" s="244"/>
      <c r="S16" s="244"/>
      <c r="T16" s="244"/>
      <c r="U16" s="244"/>
      <c r="V16" s="244"/>
      <c r="W16" s="244"/>
      <c r="X16" s="244"/>
      <c r="Y16" s="244"/>
      <c r="Z16" s="244"/>
    </row>
    <row r="17">
      <c r="A17" s="244"/>
      <c r="B17" s="249"/>
      <c r="C17" s="249"/>
      <c r="D17" s="249"/>
      <c r="E17" s="249"/>
      <c r="F17" s="249"/>
      <c r="G17" s="249"/>
      <c r="H17" s="249"/>
      <c r="I17" s="244"/>
      <c r="J17" s="244"/>
      <c r="K17" s="244"/>
      <c r="L17" s="244"/>
      <c r="M17" s="244"/>
      <c r="N17" s="244"/>
      <c r="O17" s="244"/>
      <c r="P17" s="244"/>
      <c r="Q17" s="244"/>
      <c r="R17" s="244"/>
      <c r="S17" s="244"/>
      <c r="T17" s="244"/>
      <c r="U17" s="244"/>
      <c r="V17" s="244"/>
      <c r="W17" s="244"/>
      <c r="X17" s="244"/>
      <c r="Y17" s="244"/>
      <c r="Z17" s="244"/>
    </row>
    <row r="18">
      <c r="A18" s="244"/>
      <c r="B18" s="249"/>
      <c r="C18" s="249"/>
      <c r="D18" s="249"/>
      <c r="E18" s="249"/>
      <c r="F18" s="249"/>
      <c r="G18" s="249"/>
      <c r="H18" s="249"/>
      <c r="I18" s="244"/>
      <c r="J18" s="244"/>
      <c r="K18" s="244"/>
      <c r="L18" s="244"/>
      <c r="M18" s="244"/>
      <c r="N18" s="244"/>
      <c r="O18" s="244"/>
      <c r="P18" s="244"/>
      <c r="Q18" s="244"/>
      <c r="R18" s="244"/>
      <c r="S18" s="244"/>
      <c r="T18" s="244"/>
      <c r="U18" s="244"/>
      <c r="V18" s="244"/>
      <c r="W18" s="244"/>
      <c r="X18" s="244"/>
      <c r="Y18" s="244"/>
      <c r="Z18" s="244"/>
    </row>
    <row r="19">
      <c r="A19" s="244"/>
      <c r="B19" s="249" t="str">
        <f t="array" ref="B19">'Teaching and Learning'!C73:I73</f>
        <v>#REF!</v>
      </c>
      <c r="C19" s="249"/>
      <c r="D19" s="249"/>
      <c r="E19" s="249"/>
      <c r="F19" s="249"/>
      <c r="G19" s="249"/>
      <c r="H19" s="249"/>
      <c r="I19" s="244"/>
      <c r="J19" s="244"/>
      <c r="K19" s="244"/>
      <c r="L19" s="244"/>
      <c r="M19" s="244"/>
      <c r="N19" s="244"/>
      <c r="O19" s="244"/>
      <c r="P19" s="244"/>
      <c r="Q19" s="244"/>
      <c r="R19" s="244"/>
      <c r="S19" s="244"/>
      <c r="T19" s="244"/>
      <c r="U19" s="244"/>
      <c r="V19" s="244"/>
      <c r="W19" s="244"/>
      <c r="X19" s="244"/>
      <c r="Y19" s="244"/>
      <c r="Z19" s="244"/>
    </row>
    <row r="20">
      <c r="A20" s="244"/>
      <c r="B20" s="249"/>
      <c r="C20" s="249"/>
      <c r="D20" s="249"/>
      <c r="E20" s="249"/>
      <c r="F20" s="249"/>
      <c r="G20" s="249"/>
      <c r="H20" s="249"/>
      <c r="I20" s="244"/>
      <c r="J20" s="244"/>
      <c r="K20" s="244"/>
      <c r="L20" s="244"/>
      <c r="M20" s="244"/>
      <c r="N20" s="244"/>
      <c r="O20" s="244"/>
      <c r="P20" s="244"/>
      <c r="Q20" s="244"/>
      <c r="R20" s="244"/>
      <c r="S20" s="244"/>
      <c r="T20" s="244"/>
      <c r="U20" s="244"/>
      <c r="V20" s="244"/>
      <c r="W20" s="244"/>
      <c r="X20" s="244"/>
      <c r="Y20" s="244"/>
      <c r="Z20" s="244"/>
    </row>
    <row r="21">
      <c r="A21" s="244"/>
      <c r="B21" s="249"/>
      <c r="C21" s="249"/>
      <c r="D21" s="249"/>
      <c r="E21" s="249"/>
      <c r="F21" s="249"/>
      <c r="G21" s="249"/>
      <c r="H21" s="249"/>
      <c r="I21" s="244"/>
      <c r="J21" s="244"/>
      <c r="K21" s="244"/>
      <c r="L21" s="244"/>
      <c r="M21" s="244"/>
      <c r="N21" s="244"/>
      <c r="O21" s="244"/>
      <c r="P21" s="244"/>
      <c r="Q21" s="244"/>
      <c r="R21" s="244"/>
      <c r="S21" s="244"/>
      <c r="T21" s="244"/>
      <c r="U21" s="244"/>
      <c r="V21" s="244"/>
      <c r="W21" s="244"/>
      <c r="X21" s="244"/>
      <c r="Y21" s="244"/>
      <c r="Z21" s="244"/>
    </row>
    <row r="22">
      <c r="A22" s="244"/>
      <c r="B22" s="249" t="str">
        <f t="array" ref="B22">'Teaching and Learning'!C161:I165</f>
        <v>#REF!</v>
      </c>
      <c r="C22" s="249"/>
      <c r="D22" s="249"/>
      <c r="E22" s="249"/>
      <c r="F22" s="249"/>
      <c r="G22" s="249"/>
      <c r="H22" s="249"/>
      <c r="I22" s="244"/>
      <c r="J22" s="244"/>
      <c r="K22" s="244"/>
      <c r="L22" s="244"/>
      <c r="M22" s="244"/>
      <c r="N22" s="244"/>
      <c r="O22" s="244"/>
      <c r="P22" s="244"/>
      <c r="Q22" s="244"/>
      <c r="R22" s="244"/>
      <c r="S22" s="244"/>
      <c r="T22" s="244"/>
      <c r="U22" s="244"/>
      <c r="V22" s="244"/>
      <c r="W22" s="244"/>
      <c r="X22" s="244"/>
      <c r="Y22" s="244"/>
      <c r="Z22" s="244"/>
    </row>
    <row r="23">
      <c r="A23" s="244"/>
      <c r="B23" s="249"/>
      <c r="C23" s="249"/>
      <c r="D23" s="249"/>
      <c r="E23" s="249"/>
      <c r="F23" s="249"/>
      <c r="G23" s="249"/>
      <c r="H23" s="249"/>
      <c r="I23" s="244"/>
      <c r="J23" s="244"/>
      <c r="K23" s="244"/>
      <c r="L23" s="244"/>
      <c r="M23" s="244"/>
      <c r="N23" s="244"/>
      <c r="O23" s="244"/>
      <c r="P23" s="244"/>
      <c r="Q23" s="244"/>
      <c r="R23" s="244"/>
      <c r="S23" s="244"/>
      <c r="T23" s="244"/>
      <c r="U23" s="244"/>
      <c r="V23" s="244"/>
      <c r="W23" s="244"/>
      <c r="X23" s="244"/>
      <c r="Y23" s="244"/>
      <c r="Z23" s="244"/>
    </row>
    <row r="24">
      <c r="A24" s="244"/>
      <c r="B24" s="249"/>
      <c r="C24" s="249"/>
      <c r="D24" s="249"/>
      <c r="E24" s="249"/>
      <c r="F24" s="249"/>
      <c r="G24" s="249"/>
      <c r="H24" s="249"/>
      <c r="I24" s="244"/>
      <c r="J24" s="244"/>
      <c r="K24" s="244"/>
      <c r="L24" s="244"/>
      <c r="M24" s="244"/>
      <c r="N24" s="244"/>
      <c r="O24" s="244"/>
      <c r="P24" s="244"/>
      <c r="Q24" s="244"/>
      <c r="R24" s="244"/>
      <c r="S24" s="244"/>
      <c r="T24" s="244"/>
      <c r="U24" s="244"/>
      <c r="V24" s="244"/>
      <c r="W24" s="244"/>
      <c r="X24" s="244"/>
      <c r="Y24" s="244"/>
      <c r="Z24" s="244"/>
    </row>
    <row r="25">
      <c r="A25" s="244"/>
      <c r="B25" s="249"/>
      <c r="C25" s="249"/>
      <c r="D25" s="249"/>
      <c r="E25" s="249"/>
      <c r="F25" s="249"/>
      <c r="G25" s="249"/>
      <c r="H25" s="249"/>
      <c r="I25" s="244"/>
      <c r="J25" s="244"/>
      <c r="K25" s="244"/>
      <c r="L25" s="244"/>
      <c r="M25" s="244"/>
      <c r="N25" s="244"/>
      <c r="O25" s="244"/>
      <c r="P25" s="244"/>
      <c r="Q25" s="244"/>
      <c r="R25" s="244"/>
      <c r="S25" s="244"/>
      <c r="T25" s="244"/>
      <c r="U25" s="244"/>
      <c r="V25" s="244"/>
      <c r="W25" s="244"/>
      <c r="X25" s="244"/>
      <c r="Y25" s="244"/>
      <c r="Z25" s="244"/>
    </row>
    <row r="26">
      <c r="A26" s="244"/>
      <c r="B26" s="249"/>
      <c r="C26" s="249"/>
      <c r="D26" s="249"/>
      <c r="E26" s="249"/>
      <c r="F26" s="249"/>
      <c r="G26" s="249"/>
      <c r="H26" s="249"/>
      <c r="I26" s="244"/>
      <c r="J26" s="244"/>
      <c r="K26" s="244"/>
      <c r="L26" s="244"/>
      <c r="M26" s="244"/>
      <c r="N26" s="244"/>
      <c r="O26" s="244"/>
      <c r="P26" s="244"/>
      <c r="Q26" s="244"/>
      <c r="R26" s="244"/>
      <c r="S26" s="244"/>
      <c r="T26" s="244"/>
      <c r="U26" s="244"/>
      <c r="V26" s="244"/>
      <c r="W26" s="244"/>
      <c r="X26" s="244"/>
      <c r="Y26" s="244"/>
      <c r="Z26" s="244"/>
    </row>
    <row r="27">
      <c r="A27" s="244"/>
      <c r="B27" s="249"/>
      <c r="C27" s="249"/>
      <c r="D27" s="249"/>
      <c r="E27" s="249"/>
      <c r="F27" s="249"/>
      <c r="G27" s="249"/>
      <c r="H27" s="249"/>
      <c r="I27" s="244"/>
      <c r="J27" s="244"/>
      <c r="K27" s="244"/>
      <c r="L27" s="244"/>
      <c r="M27" s="244"/>
      <c r="N27" s="244"/>
      <c r="O27" s="244"/>
      <c r="P27" s="244"/>
      <c r="Q27" s="244"/>
      <c r="R27" s="244"/>
      <c r="S27" s="244"/>
      <c r="T27" s="244"/>
      <c r="U27" s="244"/>
      <c r="V27" s="244"/>
      <c r="W27" s="244"/>
      <c r="X27" s="244"/>
      <c r="Y27" s="244"/>
      <c r="Z27" s="244"/>
    </row>
    <row r="28">
      <c r="A28" s="244"/>
      <c r="B28" s="249" t="str">
        <f t="array" ref="B28">'Teaching and Learning'!C138:I142</f>
        <v>#REF!</v>
      </c>
      <c r="C28" s="249"/>
      <c r="D28" s="249"/>
      <c r="E28" s="249"/>
      <c r="F28" s="249"/>
      <c r="G28" s="249"/>
      <c r="H28" s="249"/>
      <c r="I28" s="244"/>
      <c r="J28" s="244"/>
      <c r="K28" s="244"/>
      <c r="L28" s="244"/>
      <c r="M28" s="244"/>
      <c r="N28" s="244"/>
      <c r="O28" s="244"/>
      <c r="P28" s="244"/>
      <c r="Q28" s="244"/>
      <c r="R28" s="244"/>
      <c r="S28" s="244"/>
      <c r="T28" s="244"/>
      <c r="U28" s="244"/>
      <c r="V28" s="244"/>
      <c r="W28" s="244"/>
      <c r="X28" s="244"/>
      <c r="Y28" s="244"/>
      <c r="Z28" s="244"/>
    </row>
    <row r="29">
      <c r="A29" s="244"/>
      <c r="B29" s="249"/>
      <c r="C29" s="249"/>
      <c r="D29" s="249"/>
      <c r="E29" s="249"/>
      <c r="F29" s="249"/>
      <c r="G29" s="249"/>
      <c r="H29" s="249"/>
      <c r="I29" s="244"/>
      <c r="J29" s="244"/>
      <c r="K29" s="244"/>
      <c r="L29" s="244"/>
      <c r="M29" s="244"/>
      <c r="N29" s="244"/>
      <c r="O29" s="244"/>
      <c r="P29" s="244"/>
      <c r="Q29" s="244"/>
      <c r="R29" s="244"/>
      <c r="S29" s="244"/>
      <c r="T29" s="244"/>
      <c r="U29" s="244"/>
      <c r="V29" s="244"/>
      <c r="W29" s="244"/>
      <c r="X29" s="244"/>
      <c r="Y29" s="244"/>
      <c r="Z29" s="244"/>
    </row>
    <row r="30">
      <c r="A30" s="244"/>
      <c r="B30" s="250"/>
      <c r="C30" s="250"/>
      <c r="D30" s="250"/>
      <c r="E30" s="250"/>
      <c r="F30" s="250"/>
      <c r="G30" s="250"/>
      <c r="H30" s="250"/>
      <c r="I30" s="244"/>
      <c r="J30" s="244"/>
      <c r="K30" s="244"/>
      <c r="L30" s="244"/>
      <c r="M30" s="244"/>
      <c r="N30" s="244"/>
      <c r="O30" s="244"/>
      <c r="P30" s="244"/>
      <c r="Q30" s="244"/>
      <c r="R30" s="244"/>
      <c r="S30" s="244"/>
      <c r="T30" s="244"/>
      <c r="U30" s="244"/>
      <c r="V30" s="244"/>
      <c r="W30" s="244"/>
      <c r="X30" s="244"/>
      <c r="Y30" s="244"/>
      <c r="Z30" s="244"/>
    </row>
    <row r="31">
      <c r="A31" s="244"/>
      <c r="B31" s="245" t="s">
        <v>909</v>
      </c>
      <c r="C31" s="244"/>
      <c r="D31" s="244"/>
      <c r="E31" s="244"/>
      <c r="F31" s="244"/>
      <c r="G31" s="244"/>
      <c r="H31" s="244"/>
      <c r="I31" s="244"/>
      <c r="J31" s="244"/>
      <c r="K31" s="244"/>
      <c r="L31" s="244"/>
      <c r="M31" s="244"/>
      <c r="N31" s="244"/>
      <c r="O31" s="244"/>
      <c r="P31" s="244"/>
      <c r="Q31" s="244"/>
      <c r="R31" s="244"/>
      <c r="S31" s="244"/>
      <c r="T31" s="244"/>
      <c r="U31" s="244"/>
      <c r="V31" s="244"/>
      <c r="W31" s="244"/>
      <c r="X31" s="244"/>
      <c r="Y31" s="244"/>
      <c r="Z31" s="244"/>
    </row>
    <row r="32">
      <c r="A32" s="244"/>
      <c r="B32" s="246" t="s">
        <v>623</v>
      </c>
      <c r="C32" s="247"/>
      <c r="D32" s="247"/>
      <c r="E32" s="246" t="s">
        <v>55</v>
      </c>
      <c r="F32" s="246" t="s">
        <v>907</v>
      </c>
      <c r="G32" s="246" t="s">
        <v>908</v>
      </c>
      <c r="H32" s="246" t="s">
        <v>49</v>
      </c>
      <c r="I32" s="244"/>
      <c r="J32" s="244"/>
      <c r="K32" s="244"/>
      <c r="L32" s="244"/>
      <c r="M32" s="244"/>
      <c r="N32" s="244"/>
      <c r="O32" s="244"/>
      <c r="P32" s="244"/>
      <c r="Q32" s="244"/>
      <c r="R32" s="244"/>
      <c r="S32" s="244"/>
      <c r="T32" s="244"/>
      <c r="U32" s="244"/>
      <c r="V32" s="244"/>
      <c r="W32" s="244"/>
      <c r="X32" s="244"/>
      <c r="Y32" s="244"/>
      <c r="Z32" s="244"/>
    </row>
    <row r="33">
      <c r="A33" s="244"/>
      <c r="B33" s="248" t="str">
        <f t="array" ref="B33">'Teaching and Learning'!C11:I13</f>
        <v>#REF!</v>
      </c>
      <c r="C33" s="248"/>
      <c r="D33" s="248"/>
      <c r="E33" s="248"/>
      <c r="F33" s="248"/>
      <c r="G33" s="248"/>
      <c r="H33" s="248"/>
      <c r="I33" s="244"/>
      <c r="J33" s="244"/>
      <c r="K33" s="244"/>
      <c r="L33" s="244"/>
      <c r="M33" s="244"/>
      <c r="N33" s="244"/>
      <c r="O33" s="244"/>
      <c r="P33" s="244"/>
      <c r="Q33" s="244"/>
      <c r="R33" s="244"/>
      <c r="S33" s="244"/>
      <c r="T33" s="244"/>
      <c r="U33" s="244"/>
      <c r="V33" s="244"/>
      <c r="W33" s="244"/>
      <c r="X33" s="244"/>
      <c r="Y33" s="244"/>
      <c r="Z33" s="244"/>
    </row>
    <row r="34">
      <c r="A34" s="244"/>
      <c r="B34" s="249"/>
      <c r="C34" s="249"/>
      <c r="D34" s="249"/>
      <c r="E34" s="249"/>
      <c r="F34" s="249"/>
      <c r="G34" s="249"/>
      <c r="H34" s="249"/>
      <c r="I34" s="244"/>
      <c r="J34" s="244"/>
      <c r="K34" s="244"/>
      <c r="L34" s="244"/>
      <c r="M34" s="244"/>
      <c r="N34" s="244"/>
      <c r="O34" s="244"/>
      <c r="P34" s="244"/>
      <c r="Q34" s="244"/>
      <c r="R34" s="244"/>
      <c r="S34" s="244"/>
      <c r="T34" s="244"/>
      <c r="U34" s="244"/>
      <c r="V34" s="244"/>
      <c r="W34" s="244"/>
      <c r="X34" s="244"/>
      <c r="Y34" s="244"/>
      <c r="Z34" s="244"/>
    </row>
    <row r="35">
      <c r="A35" s="244"/>
      <c r="B35" s="249"/>
      <c r="C35" s="249"/>
      <c r="D35" s="249"/>
      <c r="E35" s="249"/>
      <c r="F35" s="249"/>
      <c r="G35" s="249"/>
      <c r="H35" s="249"/>
      <c r="I35" s="244"/>
      <c r="J35" s="244"/>
      <c r="K35" s="244"/>
      <c r="L35" s="244"/>
      <c r="M35" s="244"/>
      <c r="N35" s="244"/>
      <c r="O35" s="244"/>
      <c r="P35" s="244"/>
      <c r="Q35" s="244"/>
      <c r="R35" s="244"/>
      <c r="S35" s="244"/>
      <c r="T35" s="244"/>
      <c r="U35" s="244"/>
      <c r="V35" s="244"/>
      <c r="W35" s="244"/>
      <c r="X35" s="244"/>
      <c r="Y35" s="244"/>
      <c r="Z35" s="244"/>
    </row>
    <row r="36">
      <c r="A36" s="244"/>
      <c r="B36" s="249"/>
      <c r="C36" s="249"/>
      <c r="D36" s="249"/>
      <c r="E36" s="249"/>
      <c r="F36" s="249"/>
      <c r="G36" s="249"/>
      <c r="H36" s="249"/>
      <c r="I36" s="244"/>
      <c r="J36" s="244"/>
      <c r="K36" s="244"/>
      <c r="L36" s="244"/>
      <c r="M36" s="244"/>
      <c r="N36" s="244"/>
      <c r="O36" s="244"/>
      <c r="P36" s="244"/>
      <c r="Q36" s="244"/>
      <c r="R36" s="244"/>
      <c r="S36" s="244"/>
      <c r="T36" s="244"/>
      <c r="U36" s="244"/>
      <c r="V36" s="244"/>
      <c r="W36" s="244"/>
      <c r="X36" s="244"/>
      <c r="Y36" s="244"/>
      <c r="Z36" s="244"/>
    </row>
    <row r="37">
      <c r="A37" s="244"/>
      <c r="B37" s="249" t="str">
        <f t="array" ref="B37">'Teaching and Learning'!C19:I22</f>
        <v>#REF!</v>
      </c>
      <c r="C37" s="249"/>
      <c r="D37" s="249"/>
      <c r="E37" s="249"/>
      <c r="F37" s="249"/>
      <c r="G37" s="249"/>
      <c r="H37" s="249"/>
      <c r="I37" s="244"/>
      <c r="J37" s="244"/>
      <c r="K37" s="244"/>
      <c r="L37" s="244"/>
      <c r="M37" s="244"/>
      <c r="N37" s="244"/>
      <c r="O37" s="244"/>
      <c r="P37" s="244"/>
      <c r="Q37" s="244"/>
      <c r="R37" s="244"/>
      <c r="S37" s="244"/>
      <c r="T37" s="244"/>
      <c r="U37" s="244"/>
      <c r="V37" s="244"/>
      <c r="W37" s="244"/>
      <c r="X37" s="244"/>
      <c r="Y37" s="244"/>
      <c r="Z37" s="244"/>
    </row>
    <row r="38">
      <c r="A38" s="244"/>
      <c r="B38" s="249"/>
      <c r="C38" s="249"/>
      <c r="D38" s="249"/>
      <c r="E38" s="249"/>
      <c r="F38" s="249"/>
      <c r="G38" s="249"/>
      <c r="H38" s="249"/>
      <c r="I38" s="244"/>
      <c r="J38" s="244"/>
      <c r="K38" s="244"/>
      <c r="L38" s="244"/>
      <c r="M38" s="244"/>
      <c r="N38" s="244"/>
      <c r="O38" s="244"/>
      <c r="P38" s="244"/>
      <c r="Q38" s="244"/>
      <c r="R38" s="244"/>
      <c r="S38" s="244"/>
      <c r="T38" s="244"/>
      <c r="U38" s="244"/>
      <c r="V38" s="244"/>
      <c r="W38" s="244"/>
      <c r="X38" s="244"/>
      <c r="Y38" s="244"/>
      <c r="Z38" s="244"/>
    </row>
    <row r="39">
      <c r="A39" s="244"/>
      <c r="B39" s="249"/>
      <c r="C39" s="249"/>
      <c r="D39" s="249"/>
      <c r="E39" s="249"/>
      <c r="F39" s="249"/>
      <c r="G39" s="249"/>
      <c r="H39" s="249"/>
      <c r="I39" s="244"/>
      <c r="J39" s="244"/>
      <c r="K39" s="244"/>
      <c r="L39" s="244"/>
      <c r="M39" s="244"/>
      <c r="N39" s="244"/>
      <c r="O39" s="244"/>
      <c r="P39" s="244"/>
      <c r="Q39" s="244"/>
      <c r="R39" s="244"/>
      <c r="S39" s="244"/>
      <c r="T39" s="244"/>
      <c r="U39" s="244"/>
      <c r="V39" s="244"/>
      <c r="W39" s="244"/>
      <c r="X39" s="244"/>
      <c r="Y39" s="244"/>
      <c r="Z39" s="244"/>
    </row>
    <row r="40">
      <c r="A40" s="244"/>
      <c r="B40" s="249"/>
      <c r="C40" s="249"/>
      <c r="D40" s="249"/>
      <c r="E40" s="249"/>
      <c r="F40" s="249"/>
      <c r="G40" s="249"/>
      <c r="H40" s="249"/>
      <c r="I40" s="244"/>
      <c r="J40" s="244"/>
      <c r="K40" s="244"/>
      <c r="L40" s="244"/>
      <c r="M40" s="244"/>
      <c r="N40" s="244"/>
      <c r="O40" s="244"/>
      <c r="P40" s="244"/>
      <c r="Q40" s="244"/>
      <c r="R40" s="244"/>
      <c r="S40" s="244"/>
      <c r="T40" s="244"/>
      <c r="U40" s="244"/>
      <c r="V40" s="244"/>
      <c r="W40" s="244"/>
      <c r="X40" s="244"/>
      <c r="Y40" s="244"/>
      <c r="Z40" s="244"/>
    </row>
    <row r="41">
      <c r="A41" s="244"/>
      <c r="B41" s="249"/>
      <c r="C41" s="249"/>
      <c r="D41" s="249"/>
      <c r="E41" s="249"/>
      <c r="F41" s="249"/>
      <c r="G41" s="249"/>
      <c r="H41" s="249"/>
      <c r="I41" s="244"/>
      <c r="J41" s="244"/>
      <c r="K41" s="244"/>
      <c r="L41" s="244"/>
      <c r="M41" s="244"/>
      <c r="N41" s="244"/>
      <c r="O41" s="244"/>
      <c r="P41" s="244"/>
      <c r="Q41" s="244"/>
      <c r="R41" s="244"/>
      <c r="S41" s="244"/>
      <c r="T41" s="244"/>
      <c r="U41" s="244"/>
      <c r="V41" s="244"/>
      <c r="W41" s="244"/>
      <c r="X41" s="244"/>
      <c r="Y41" s="244"/>
      <c r="Z41" s="244"/>
    </row>
    <row r="42">
      <c r="A42" s="244"/>
      <c r="B42" s="249" t="str">
        <f t="array" ref="B42">'Teaching and Learning'!C38:I41</f>
        <v>#REF!</v>
      </c>
      <c r="C42" s="249"/>
      <c r="D42" s="249"/>
      <c r="E42" s="249"/>
      <c r="F42" s="249"/>
      <c r="G42" s="249"/>
      <c r="H42" s="249"/>
      <c r="I42" s="244"/>
      <c r="J42" s="244"/>
      <c r="K42" s="244"/>
      <c r="L42" s="244"/>
      <c r="M42" s="244"/>
      <c r="N42" s="244"/>
      <c r="O42" s="244"/>
      <c r="P42" s="244"/>
      <c r="Q42" s="244"/>
      <c r="R42" s="244"/>
      <c r="S42" s="244"/>
      <c r="T42" s="244"/>
      <c r="U42" s="244"/>
      <c r="V42" s="244"/>
      <c r="W42" s="244"/>
      <c r="X42" s="244"/>
      <c r="Y42" s="244"/>
      <c r="Z42" s="244"/>
    </row>
    <row r="43">
      <c r="A43" s="244"/>
      <c r="B43" s="249"/>
      <c r="C43" s="249"/>
      <c r="D43" s="249"/>
      <c r="E43" s="249"/>
      <c r="F43" s="249"/>
      <c r="G43" s="249"/>
      <c r="H43" s="249"/>
      <c r="I43" s="244"/>
      <c r="J43" s="244"/>
      <c r="K43" s="244"/>
      <c r="L43" s="244"/>
      <c r="M43" s="244"/>
      <c r="N43" s="244"/>
      <c r="O43" s="244"/>
      <c r="P43" s="244"/>
      <c r="Q43" s="244"/>
      <c r="R43" s="244"/>
      <c r="S43" s="244"/>
      <c r="T43" s="244"/>
      <c r="U43" s="244"/>
      <c r="V43" s="244"/>
      <c r="W43" s="244"/>
      <c r="X43" s="244"/>
      <c r="Y43" s="244"/>
      <c r="Z43" s="244"/>
    </row>
    <row r="44">
      <c r="A44" s="244"/>
      <c r="B44" s="249"/>
      <c r="C44" s="249"/>
      <c r="D44" s="249"/>
      <c r="E44" s="249"/>
      <c r="F44" s="249"/>
      <c r="G44" s="249"/>
      <c r="H44" s="249"/>
      <c r="I44" s="244"/>
      <c r="J44" s="244"/>
      <c r="K44" s="244"/>
      <c r="L44" s="244"/>
      <c r="M44" s="244"/>
      <c r="N44" s="244"/>
      <c r="O44" s="244"/>
      <c r="P44" s="244"/>
      <c r="Q44" s="244"/>
      <c r="R44" s="244"/>
      <c r="S44" s="244"/>
      <c r="T44" s="244"/>
      <c r="U44" s="244"/>
      <c r="V44" s="244"/>
      <c r="W44" s="244"/>
      <c r="X44" s="244"/>
      <c r="Y44" s="244"/>
      <c r="Z44" s="244"/>
    </row>
    <row r="45">
      <c r="A45" s="244"/>
      <c r="B45" s="249"/>
      <c r="C45" s="249"/>
      <c r="D45" s="249"/>
      <c r="E45" s="249"/>
      <c r="F45" s="249"/>
      <c r="G45" s="249"/>
      <c r="H45" s="249"/>
      <c r="I45" s="244"/>
      <c r="J45" s="244"/>
      <c r="K45" s="244"/>
      <c r="L45" s="244"/>
      <c r="M45" s="244"/>
      <c r="N45" s="244"/>
      <c r="O45" s="244"/>
      <c r="P45" s="244"/>
      <c r="Q45" s="244"/>
      <c r="R45" s="244"/>
      <c r="S45" s="244"/>
      <c r="T45" s="244"/>
      <c r="U45" s="244"/>
      <c r="V45" s="244"/>
      <c r="W45" s="244"/>
      <c r="X45" s="244"/>
      <c r="Y45" s="244"/>
      <c r="Z45" s="244"/>
    </row>
    <row r="46">
      <c r="A46" s="244"/>
      <c r="B46" s="249" t="str">
        <f t="array" ref="B46">'Teaching and Learning'!C58:I62</f>
        <v>#REF!</v>
      </c>
      <c r="C46" s="249"/>
      <c r="D46" s="249"/>
      <c r="E46" s="249"/>
      <c r="F46" s="249"/>
      <c r="G46" s="249"/>
      <c r="H46" s="249"/>
      <c r="I46" s="244"/>
      <c r="J46" s="244"/>
      <c r="K46" s="244"/>
      <c r="L46" s="244"/>
      <c r="M46" s="244"/>
      <c r="N46" s="244"/>
      <c r="O46" s="244"/>
      <c r="P46" s="244"/>
      <c r="Q46" s="244"/>
      <c r="R46" s="244"/>
      <c r="S46" s="244"/>
      <c r="T46" s="244"/>
      <c r="U46" s="244"/>
      <c r="V46" s="244"/>
      <c r="W46" s="244"/>
      <c r="X46" s="244"/>
      <c r="Y46" s="244"/>
      <c r="Z46" s="244"/>
    </row>
    <row r="47">
      <c r="A47" s="244"/>
      <c r="B47" s="249"/>
      <c r="C47" s="249"/>
      <c r="D47" s="249"/>
      <c r="E47" s="249"/>
      <c r="F47" s="249"/>
      <c r="G47" s="249"/>
      <c r="H47" s="249"/>
      <c r="I47" s="244"/>
      <c r="J47" s="244"/>
      <c r="K47" s="244"/>
      <c r="L47" s="244"/>
      <c r="M47" s="244"/>
      <c r="N47" s="244"/>
      <c r="O47" s="244"/>
      <c r="P47" s="244"/>
      <c r="Q47" s="244"/>
      <c r="R47" s="244"/>
      <c r="S47" s="244"/>
      <c r="T47" s="244"/>
      <c r="U47" s="244"/>
      <c r="V47" s="244"/>
      <c r="W47" s="244"/>
      <c r="X47" s="244"/>
      <c r="Y47" s="244"/>
      <c r="Z47" s="244"/>
    </row>
    <row r="48">
      <c r="A48" s="244"/>
      <c r="B48" s="249"/>
      <c r="C48" s="249"/>
      <c r="D48" s="249"/>
      <c r="E48" s="249"/>
      <c r="F48" s="249"/>
      <c r="G48" s="249"/>
      <c r="H48" s="249"/>
      <c r="I48" s="244"/>
      <c r="J48" s="244"/>
      <c r="K48" s="244"/>
      <c r="L48" s="244"/>
      <c r="M48" s="244"/>
      <c r="N48" s="244"/>
      <c r="O48" s="244"/>
      <c r="P48" s="244"/>
      <c r="Q48" s="244"/>
      <c r="R48" s="244"/>
      <c r="S48" s="244"/>
      <c r="T48" s="244"/>
      <c r="U48" s="244"/>
      <c r="V48" s="244"/>
      <c r="W48" s="244"/>
      <c r="X48" s="244"/>
      <c r="Y48" s="244"/>
      <c r="Z48" s="244"/>
    </row>
    <row r="49">
      <c r="A49" s="244"/>
      <c r="B49" s="249"/>
      <c r="C49" s="249"/>
      <c r="D49" s="249"/>
      <c r="E49" s="249"/>
      <c r="F49" s="249"/>
      <c r="G49" s="249"/>
      <c r="H49" s="249"/>
      <c r="I49" s="244"/>
      <c r="J49" s="244"/>
      <c r="K49" s="244"/>
      <c r="L49" s="244"/>
      <c r="M49" s="244"/>
      <c r="N49" s="244"/>
      <c r="O49" s="244"/>
      <c r="P49" s="244"/>
      <c r="Q49" s="244"/>
      <c r="R49" s="244"/>
      <c r="S49" s="244"/>
      <c r="T49" s="244"/>
      <c r="U49" s="244"/>
      <c r="V49" s="244"/>
      <c r="W49" s="244"/>
      <c r="X49" s="244"/>
      <c r="Y49" s="244"/>
      <c r="Z49" s="244"/>
    </row>
    <row r="50">
      <c r="A50" s="244"/>
      <c r="B50" s="249"/>
      <c r="C50" s="249"/>
      <c r="D50" s="249"/>
      <c r="E50" s="249"/>
      <c r="F50" s="249"/>
      <c r="G50" s="249"/>
      <c r="H50" s="249"/>
      <c r="I50" s="244"/>
      <c r="J50" s="244"/>
      <c r="K50" s="244"/>
      <c r="L50" s="244"/>
      <c r="M50" s="244"/>
      <c r="N50" s="244"/>
      <c r="O50" s="244"/>
      <c r="P50" s="244"/>
      <c r="Q50" s="244"/>
      <c r="R50" s="244"/>
      <c r="S50" s="244"/>
      <c r="T50" s="244"/>
      <c r="U50" s="244"/>
      <c r="V50" s="244"/>
      <c r="W50" s="244"/>
      <c r="X50" s="244"/>
      <c r="Y50" s="244"/>
      <c r="Z50" s="244"/>
    </row>
    <row r="51">
      <c r="A51" s="244"/>
      <c r="B51" s="249"/>
      <c r="C51" s="249"/>
      <c r="D51" s="249"/>
      <c r="E51" s="249"/>
      <c r="F51" s="249"/>
      <c r="G51" s="249"/>
      <c r="H51" s="249"/>
      <c r="I51" s="244"/>
      <c r="J51" s="244"/>
      <c r="K51" s="244"/>
      <c r="L51" s="244"/>
      <c r="M51" s="244"/>
      <c r="N51" s="244"/>
      <c r="O51" s="244"/>
      <c r="P51" s="244"/>
      <c r="Q51" s="244"/>
      <c r="R51" s="244"/>
      <c r="S51" s="244"/>
      <c r="T51" s="244"/>
      <c r="U51" s="244"/>
      <c r="V51" s="244"/>
      <c r="W51" s="244"/>
      <c r="X51" s="244"/>
      <c r="Y51" s="244"/>
      <c r="Z51" s="244"/>
    </row>
    <row r="52">
      <c r="A52" s="244"/>
      <c r="B52" s="249"/>
      <c r="C52" s="249"/>
      <c r="D52" s="249"/>
      <c r="E52" s="249"/>
      <c r="F52" s="249"/>
      <c r="G52" s="249"/>
      <c r="H52" s="249"/>
      <c r="I52" s="244"/>
      <c r="J52" s="244"/>
      <c r="K52" s="244"/>
      <c r="L52" s="244"/>
      <c r="M52" s="244"/>
      <c r="N52" s="244"/>
      <c r="O52" s="244"/>
      <c r="P52" s="244"/>
      <c r="Q52" s="244"/>
      <c r="R52" s="244"/>
      <c r="S52" s="244"/>
      <c r="T52" s="244"/>
      <c r="U52" s="244"/>
      <c r="V52" s="244"/>
      <c r="W52" s="244"/>
      <c r="X52" s="244"/>
      <c r="Y52" s="244"/>
      <c r="Z52" s="244"/>
    </row>
    <row r="53">
      <c r="A53" s="244"/>
      <c r="B53" s="249" t="str">
        <f t="array" ref="B53">'Teaching and Learning'!C168:I168</f>
        <v>#REF!</v>
      </c>
      <c r="C53" s="249"/>
      <c r="D53" s="249"/>
      <c r="E53" s="249"/>
      <c r="F53" s="249"/>
      <c r="G53" s="249"/>
      <c r="H53" s="249"/>
      <c r="I53" s="244"/>
      <c r="J53" s="244"/>
      <c r="K53" s="244"/>
      <c r="L53" s="244"/>
      <c r="M53" s="244"/>
      <c r="N53" s="244"/>
      <c r="O53" s="244"/>
      <c r="P53" s="244"/>
      <c r="Q53" s="244"/>
      <c r="R53" s="244"/>
      <c r="S53" s="244"/>
      <c r="T53" s="244"/>
      <c r="U53" s="244"/>
      <c r="V53" s="244"/>
      <c r="W53" s="244"/>
      <c r="X53" s="244"/>
      <c r="Y53" s="244"/>
      <c r="Z53" s="244"/>
    </row>
    <row r="54">
      <c r="A54" s="244"/>
      <c r="B54" s="249"/>
      <c r="C54" s="249"/>
      <c r="D54" s="249"/>
      <c r="E54" s="249"/>
      <c r="F54" s="249"/>
      <c r="G54" s="249"/>
      <c r="H54" s="249"/>
      <c r="I54" s="244"/>
      <c r="J54" s="244"/>
      <c r="K54" s="244"/>
      <c r="L54" s="244"/>
      <c r="M54" s="244"/>
      <c r="N54" s="244"/>
      <c r="O54" s="244"/>
      <c r="P54" s="244"/>
      <c r="Q54" s="244"/>
      <c r="R54" s="244"/>
      <c r="S54" s="244"/>
      <c r="T54" s="244"/>
      <c r="U54" s="244"/>
      <c r="V54" s="244"/>
      <c r="W54" s="244"/>
      <c r="X54" s="244"/>
      <c r="Y54" s="244"/>
      <c r="Z54" s="244"/>
    </row>
    <row r="55">
      <c r="A55" s="244"/>
      <c r="B55" s="249"/>
      <c r="C55" s="249"/>
      <c r="D55" s="249"/>
      <c r="E55" s="249"/>
      <c r="F55" s="249"/>
      <c r="G55" s="249"/>
      <c r="H55" s="249"/>
      <c r="I55" s="244"/>
      <c r="J55" s="244"/>
      <c r="K55" s="244"/>
      <c r="L55" s="244"/>
      <c r="M55" s="244"/>
      <c r="N55" s="244"/>
      <c r="O55" s="244"/>
      <c r="P55" s="244"/>
      <c r="Q55" s="244"/>
      <c r="R55" s="244"/>
      <c r="S55" s="244"/>
      <c r="T55" s="244"/>
      <c r="U55" s="244"/>
      <c r="V55" s="244"/>
      <c r="W55" s="244"/>
      <c r="X55" s="244"/>
      <c r="Y55" s="244"/>
      <c r="Z55" s="244"/>
    </row>
    <row r="56">
      <c r="A56" s="244"/>
      <c r="B56" s="249"/>
      <c r="C56" s="249"/>
      <c r="D56" s="249"/>
      <c r="E56" s="249"/>
      <c r="F56" s="249"/>
      <c r="G56" s="249"/>
      <c r="H56" s="249"/>
      <c r="I56" s="244"/>
      <c r="J56" s="244"/>
      <c r="K56" s="244"/>
      <c r="L56" s="244"/>
      <c r="M56" s="244"/>
      <c r="N56" s="244"/>
      <c r="O56" s="244"/>
      <c r="P56" s="244"/>
      <c r="Q56" s="244"/>
      <c r="R56" s="244"/>
      <c r="S56" s="244"/>
      <c r="T56" s="244"/>
      <c r="U56" s="244"/>
      <c r="V56" s="244"/>
      <c r="W56" s="244"/>
      <c r="X56" s="244"/>
      <c r="Y56" s="244"/>
      <c r="Z56" s="244"/>
    </row>
    <row r="57">
      <c r="A57" s="244"/>
      <c r="B57" s="249"/>
      <c r="C57" s="249"/>
      <c r="D57" s="249"/>
      <c r="E57" s="249"/>
      <c r="F57" s="249"/>
      <c r="G57" s="249"/>
      <c r="H57" s="249"/>
      <c r="I57" s="244"/>
      <c r="J57" s="244"/>
      <c r="K57" s="244"/>
      <c r="L57" s="244"/>
      <c r="M57" s="244"/>
      <c r="N57" s="244"/>
      <c r="O57" s="244"/>
      <c r="P57" s="244"/>
      <c r="Q57" s="244"/>
      <c r="R57" s="244"/>
      <c r="S57" s="244"/>
      <c r="T57" s="244"/>
      <c r="U57" s="244"/>
      <c r="V57" s="244"/>
      <c r="W57" s="244"/>
      <c r="X57" s="244"/>
      <c r="Y57" s="244"/>
      <c r="Z57" s="244"/>
    </row>
    <row r="58">
      <c r="A58" s="244"/>
      <c r="B58" s="249"/>
      <c r="C58" s="249"/>
      <c r="D58" s="249"/>
      <c r="E58" s="249"/>
      <c r="F58" s="249"/>
      <c r="G58" s="249"/>
      <c r="H58" s="249"/>
      <c r="I58" s="244"/>
      <c r="J58" s="244"/>
      <c r="K58" s="244"/>
      <c r="L58" s="244"/>
      <c r="M58" s="244"/>
      <c r="N58" s="244"/>
      <c r="O58" s="244"/>
      <c r="P58" s="244"/>
      <c r="Q58" s="244"/>
      <c r="R58" s="244"/>
      <c r="S58" s="244"/>
      <c r="T58" s="244"/>
      <c r="U58" s="244"/>
      <c r="V58" s="244"/>
      <c r="W58" s="244"/>
      <c r="X58" s="244"/>
      <c r="Y58" s="244"/>
      <c r="Z58" s="244"/>
    </row>
    <row r="59">
      <c r="A59" s="244"/>
      <c r="B59" s="249" t="str">
        <f t="array" ref="B59">'Teaching and Learning'!C148:I150</f>
        <v>#REF!</v>
      </c>
      <c r="C59" s="249"/>
      <c r="D59" s="249"/>
      <c r="E59" s="249"/>
      <c r="F59" s="249"/>
      <c r="G59" s="249"/>
      <c r="H59" s="249"/>
      <c r="I59" s="244"/>
      <c r="J59" s="244"/>
      <c r="K59" s="244"/>
      <c r="L59" s="244"/>
      <c r="M59" s="244"/>
      <c r="N59" s="244"/>
      <c r="O59" s="244"/>
      <c r="P59" s="244"/>
      <c r="Q59" s="244"/>
      <c r="R59" s="244"/>
      <c r="S59" s="244"/>
      <c r="T59" s="244"/>
      <c r="U59" s="244"/>
      <c r="V59" s="244"/>
      <c r="W59" s="244"/>
      <c r="X59" s="244"/>
      <c r="Y59" s="244"/>
      <c r="Z59" s="244"/>
    </row>
    <row r="60">
      <c r="A60" s="244"/>
      <c r="B60" s="249"/>
      <c r="C60" s="249"/>
      <c r="D60" s="249"/>
      <c r="E60" s="249"/>
      <c r="F60" s="249"/>
      <c r="G60" s="249"/>
      <c r="H60" s="249"/>
      <c r="I60" s="244"/>
      <c r="J60" s="244"/>
      <c r="K60" s="244"/>
      <c r="L60" s="244"/>
      <c r="M60" s="244"/>
      <c r="N60" s="244"/>
      <c r="O60" s="244"/>
      <c r="P60" s="244"/>
      <c r="Q60" s="244"/>
      <c r="R60" s="244"/>
      <c r="S60" s="244"/>
      <c r="T60" s="244"/>
      <c r="U60" s="244"/>
      <c r="V60" s="244"/>
      <c r="W60" s="244"/>
      <c r="X60" s="244"/>
      <c r="Y60" s="244"/>
      <c r="Z60" s="244"/>
    </row>
    <row r="61">
      <c r="A61" s="244"/>
      <c r="B61" s="249"/>
      <c r="C61" s="249"/>
      <c r="D61" s="249"/>
      <c r="E61" s="249"/>
      <c r="F61" s="249"/>
      <c r="G61" s="249"/>
      <c r="H61" s="249"/>
      <c r="I61" s="244"/>
      <c r="J61" s="244"/>
      <c r="K61" s="244"/>
      <c r="L61" s="244"/>
      <c r="M61" s="244"/>
      <c r="N61" s="244"/>
      <c r="O61" s="244"/>
      <c r="P61" s="244"/>
      <c r="Q61" s="244"/>
      <c r="R61" s="244"/>
      <c r="S61" s="244"/>
      <c r="T61" s="244"/>
      <c r="U61" s="244"/>
      <c r="V61" s="244"/>
      <c r="W61" s="244"/>
      <c r="X61" s="244"/>
      <c r="Y61" s="244"/>
      <c r="Z61" s="244"/>
    </row>
    <row r="62">
      <c r="A62" s="244"/>
      <c r="B62" s="250"/>
      <c r="C62" s="250"/>
      <c r="D62" s="250"/>
      <c r="E62" s="250"/>
      <c r="F62" s="250"/>
      <c r="G62" s="250"/>
      <c r="H62" s="250"/>
      <c r="I62" s="244"/>
      <c r="J62" s="244"/>
      <c r="K62" s="244"/>
      <c r="L62" s="244"/>
      <c r="M62" s="244"/>
      <c r="N62" s="244"/>
      <c r="O62" s="244"/>
      <c r="P62" s="244"/>
      <c r="Q62" s="244"/>
      <c r="R62" s="244"/>
      <c r="S62" s="244"/>
      <c r="T62" s="244"/>
      <c r="U62" s="244"/>
      <c r="V62" s="244"/>
      <c r="W62" s="244"/>
      <c r="X62" s="244"/>
      <c r="Y62" s="244"/>
      <c r="Z62" s="244"/>
    </row>
    <row r="63">
      <c r="A63" s="244"/>
      <c r="B63" s="245" t="s">
        <v>910</v>
      </c>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row>
    <row r="64">
      <c r="A64" s="244"/>
      <c r="B64" s="246" t="s">
        <v>623</v>
      </c>
      <c r="C64" s="247"/>
      <c r="D64" s="247"/>
      <c r="E64" s="246" t="s">
        <v>55</v>
      </c>
      <c r="F64" s="246" t="s">
        <v>907</v>
      </c>
      <c r="G64" s="246" t="s">
        <v>908</v>
      </c>
      <c r="H64" s="246" t="s">
        <v>49</v>
      </c>
      <c r="I64" s="244"/>
      <c r="J64" s="244"/>
      <c r="K64" s="244"/>
      <c r="L64" s="244"/>
      <c r="M64" s="244"/>
      <c r="N64" s="244"/>
      <c r="O64" s="244"/>
      <c r="P64" s="244"/>
      <c r="Q64" s="244"/>
      <c r="R64" s="244"/>
      <c r="S64" s="244"/>
      <c r="T64" s="244"/>
      <c r="U64" s="244"/>
      <c r="V64" s="244"/>
      <c r="W64" s="244"/>
      <c r="X64" s="244"/>
      <c r="Y64" s="244"/>
      <c r="Z64" s="244"/>
    </row>
    <row r="65">
      <c r="A65" s="244"/>
      <c r="B65" s="248" t="str">
        <f t="array" ref="B65">'Teaching and Learning'!C14:I14</f>
        <v>#REF!</v>
      </c>
      <c r="C65" s="248"/>
      <c r="D65" s="248"/>
      <c r="E65" s="248"/>
      <c r="F65" s="248"/>
      <c r="G65" s="248"/>
      <c r="H65" s="248"/>
      <c r="I65" s="244"/>
      <c r="J65" s="244"/>
      <c r="K65" s="244"/>
      <c r="L65" s="244"/>
      <c r="M65" s="244"/>
      <c r="N65" s="244"/>
      <c r="O65" s="244"/>
      <c r="P65" s="244"/>
      <c r="Q65" s="244"/>
      <c r="R65" s="244"/>
      <c r="S65" s="244"/>
      <c r="T65" s="244"/>
      <c r="U65" s="244"/>
      <c r="V65" s="244"/>
      <c r="W65" s="244"/>
      <c r="X65" s="244"/>
      <c r="Y65" s="244"/>
      <c r="Z65" s="244"/>
    </row>
    <row r="66">
      <c r="A66" s="244"/>
      <c r="B66" s="249"/>
      <c r="C66" s="249"/>
      <c r="D66" s="249"/>
      <c r="E66" s="249"/>
      <c r="F66" s="249"/>
      <c r="G66" s="249"/>
      <c r="H66" s="249"/>
      <c r="I66" s="244"/>
      <c r="J66" s="244"/>
      <c r="K66" s="244"/>
      <c r="L66" s="244"/>
      <c r="M66" s="244"/>
      <c r="N66" s="244"/>
      <c r="O66" s="244"/>
      <c r="P66" s="244"/>
      <c r="Q66" s="244"/>
      <c r="R66" s="244"/>
      <c r="S66" s="244"/>
      <c r="T66" s="244"/>
      <c r="U66" s="244"/>
      <c r="V66" s="244"/>
      <c r="W66" s="244"/>
      <c r="X66" s="244"/>
      <c r="Y66" s="244"/>
      <c r="Z66" s="244"/>
    </row>
    <row r="67">
      <c r="A67" s="244"/>
      <c r="B67" s="249"/>
      <c r="C67" s="249"/>
      <c r="D67" s="249"/>
      <c r="E67" s="249"/>
      <c r="F67" s="249"/>
      <c r="G67" s="249"/>
      <c r="H67" s="249"/>
      <c r="I67" s="244"/>
      <c r="J67" s="244"/>
      <c r="K67" s="244"/>
      <c r="L67" s="244"/>
      <c r="M67" s="244"/>
      <c r="N67" s="244"/>
      <c r="O67" s="244"/>
      <c r="P67" s="244"/>
      <c r="Q67" s="244"/>
      <c r="R67" s="244"/>
      <c r="S67" s="244"/>
      <c r="T67" s="244"/>
      <c r="U67" s="244"/>
      <c r="V67" s="244"/>
      <c r="W67" s="244"/>
      <c r="X67" s="244"/>
      <c r="Y67" s="244"/>
      <c r="Z67" s="244"/>
    </row>
    <row r="68">
      <c r="A68" s="244"/>
      <c r="B68" s="249" t="str">
        <f t="array" ref="B68">'Teaching and Learning'!C42:I45</f>
        <v>#REF!</v>
      </c>
      <c r="C68" s="249"/>
      <c r="D68" s="249"/>
      <c r="E68" s="249"/>
      <c r="F68" s="249"/>
      <c r="G68" s="249"/>
      <c r="H68" s="249"/>
      <c r="I68" s="244"/>
      <c r="J68" s="244"/>
      <c r="K68" s="244"/>
      <c r="L68" s="244"/>
      <c r="M68" s="244"/>
      <c r="N68" s="244"/>
      <c r="O68" s="244"/>
      <c r="P68" s="244"/>
      <c r="Q68" s="244"/>
      <c r="R68" s="244"/>
      <c r="S68" s="244"/>
      <c r="T68" s="244"/>
      <c r="U68" s="244"/>
      <c r="V68" s="244"/>
      <c r="W68" s="244"/>
      <c r="X68" s="244"/>
      <c r="Y68" s="244"/>
      <c r="Z68" s="244"/>
    </row>
    <row r="69">
      <c r="A69" s="244"/>
      <c r="B69" s="249"/>
      <c r="C69" s="249"/>
      <c r="D69" s="249"/>
      <c r="E69" s="249"/>
      <c r="F69" s="249"/>
      <c r="G69" s="249"/>
      <c r="H69" s="249"/>
      <c r="I69" s="244"/>
      <c r="J69" s="244"/>
      <c r="K69" s="244"/>
      <c r="L69" s="244"/>
      <c r="M69" s="244"/>
      <c r="N69" s="244"/>
      <c r="O69" s="244"/>
      <c r="P69" s="244"/>
      <c r="Q69" s="244"/>
      <c r="R69" s="244"/>
      <c r="S69" s="244"/>
      <c r="T69" s="244"/>
      <c r="U69" s="244"/>
      <c r="V69" s="244"/>
      <c r="W69" s="244"/>
      <c r="X69" s="244"/>
      <c r="Y69" s="244"/>
      <c r="Z69" s="244"/>
    </row>
    <row r="70">
      <c r="A70" s="244"/>
      <c r="B70" s="249"/>
      <c r="C70" s="249"/>
      <c r="D70" s="249"/>
      <c r="E70" s="249"/>
      <c r="F70" s="249"/>
      <c r="G70" s="249"/>
      <c r="H70" s="249"/>
      <c r="I70" s="244"/>
      <c r="J70" s="244"/>
      <c r="K70" s="244"/>
      <c r="L70" s="244"/>
      <c r="M70" s="244"/>
      <c r="N70" s="244"/>
      <c r="O70" s="244"/>
      <c r="P70" s="244"/>
      <c r="Q70" s="244"/>
      <c r="R70" s="244"/>
      <c r="S70" s="244"/>
      <c r="T70" s="244"/>
      <c r="U70" s="244"/>
      <c r="V70" s="244"/>
      <c r="W70" s="244"/>
      <c r="X70" s="244"/>
      <c r="Y70" s="244"/>
      <c r="Z70" s="244"/>
    </row>
    <row r="71">
      <c r="A71" s="244"/>
      <c r="B71" s="249" t="str">
        <f t="array" ref="B71">'Teaching and Learning'!C63:I68</f>
        <v>#REF!</v>
      </c>
      <c r="C71" s="249"/>
      <c r="D71" s="249"/>
      <c r="E71" s="249"/>
      <c r="F71" s="249"/>
      <c r="G71" s="249"/>
      <c r="H71" s="249"/>
      <c r="I71" s="244"/>
      <c r="J71" s="244"/>
      <c r="K71" s="244"/>
      <c r="L71" s="244"/>
      <c r="M71" s="244"/>
      <c r="N71" s="244"/>
      <c r="O71" s="244"/>
      <c r="P71" s="244"/>
      <c r="Q71" s="244"/>
      <c r="R71" s="244"/>
      <c r="S71" s="244"/>
      <c r="T71" s="244"/>
      <c r="U71" s="244"/>
      <c r="V71" s="244"/>
      <c r="W71" s="244"/>
      <c r="X71" s="244"/>
      <c r="Y71" s="244"/>
      <c r="Z71" s="244"/>
    </row>
    <row r="72">
      <c r="A72" s="244"/>
      <c r="B72" s="249"/>
      <c r="C72" s="249"/>
      <c r="D72" s="249"/>
      <c r="E72" s="249"/>
      <c r="F72" s="249"/>
      <c r="G72" s="249"/>
      <c r="H72" s="249"/>
      <c r="I72" s="244"/>
      <c r="J72" s="244"/>
      <c r="K72" s="244"/>
      <c r="L72" s="244"/>
      <c r="M72" s="244"/>
      <c r="N72" s="244"/>
      <c r="O72" s="244"/>
      <c r="P72" s="244"/>
      <c r="Q72" s="244"/>
      <c r="R72" s="244"/>
      <c r="S72" s="244"/>
      <c r="T72" s="244"/>
      <c r="U72" s="244"/>
      <c r="V72" s="244"/>
      <c r="W72" s="244"/>
      <c r="X72" s="244"/>
      <c r="Y72" s="244"/>
      <c r="Z72" s="244"/>
    </row>
    <row r="73">
      <c r="A73" s="244"/>
      <c r="B73" s="249"/>
      <c r="C73" s="249"/>
      <c r="D73" s="249"/>
      <c r="E73" s="249"/>
      <c r="F73" s="249"/>
      <c r="G73" s="249"/>
      <c r="H73" s="249"/>
      <c r="I73" s="244"/>
      <c r="J73" s="244"/>
      <c r="K73" s="244"/>
      <c r="L73" s="244"/>
      <c r="M73" s="244"/>
      <c r="N73" s="244"/>
      <c r="O73" s="244"/>
      <c r="P73" s="244"/>
      <c r="Q73" s="244"/>
      <c r="R73" s="244"/>
      <c r="S73" s="244"/>
      <c r="T73" s="244"/>
      <c r="U73" s="244"/>
      <c r="V73" s="244"/>
      <c r="W73" s="244"/>
      <c r="X73" s="244"/>
      <c r="Y73" s="244"/>
      <c r="Z73" s="244"/>
    </row>
    <row r="74">
      <c r="A74" s="244"/>
      <c r="B74" s="249"/>
      <c r="C74" s="249"/>
      <c r="D74" s="249"/>
      <c r="E74" s="249"/>
      <c r="F74" s="249"/>
      <c r="G74" s="249"/>
      <c r="H74" s="249"/>
      <c r="I74" s="244"/>
      <c r="J74" s="244"/>
      <c r="K74" s="244"/>
      <c r="L74" s="244"/>
      <c r="M74" s="244"/>
      <c r="N74" s="244"/>
      <c r="O74" s="244"/>
      <c r="P74" s="244"/>
      <c r="Q74" s="244"/>
      <c r="R74" s="244"/>
      <c r="S74" s="244"/>
      <c r="T74" s="244"/>
      <c r="U74" s="244"/>
      <c r="V74" s="244"/>
      <c r="W74" s="244"/>
      <c r="X74" s="244"/>
      <c r="Y74" s="244"/>
      <c r="Z74" s="244"/>
    </row>
    <row r="75">
      <c r="A75" s="244"/>
      <c r="B75" s="249"/>
      <c r="C75" s="249"/>
      <c r="D75" s="249"/>
      <c r="E75" s="249"/>
      <c r="F75" s="249"/>
      <c r="G75" s="249"/>
      <c r="H75" s="249"/>
      <c r="I75" s="244"/>
      <c r="J75" s="244"/>
      <c r="K75" s="244"/>
      <c r="L75" s="244"/>
      <c r="M75" s="244"/>
      <c r="N75" s="244"/>
      <c r="O75" s="244"/>
      <c r="P75" s="244"/>
      <c r="Q75" s="244"/>
      <c r="R75" s="244"/>
      <c r="S75" s="244"/>
      <c r="T75" s="244"/>
      <c r="U75" s="244"/>
      <c r="V75" s="244"/>
      <c r="W75" s="244"/>
      <c r="X75" s="244"/>
      <c r="Y75" s="244"/>
      <c r="Z75" s="244"/>
    </row>
    <row r="76">
      <c r="A76" s="244"/>
      <c r="B76" s="249"/>
      <c r="C76" s="249"/>
      <c r="D76" s="249"/>
      <c r="E76" s="249"/>
      <c r="F76" s="249"/>
      <c r="G76" s="249"/>
      <c r="H76" s="249"/>
      <c r="I76" s="244"/>
      <c r="J76" s="244"/>
      <c r="K76" s="244"/>
      <c r="L76" s="244"/>
      <c r="M76" s="244"/>
      <c r="N76" s="244"/>
      <c r="O76" s="244"/>
      <c r="P76" s="244"/>
      <c r="Q76" s="244"/>
      <c r="R76" s="244"/>
      <c r="S76" s="244"/>
      <c r="T76" s="244"/>
      <c r="U76" s="244"/>
      <c r="V76" s="244"/>
      <c r="W76" s="244"/>
      <c r="X76" s="244"/>
      <c r="Y76" s="244"/>
      <c r="Z76" s="244"/>
    </row>
    <row r="77">
      <c r="A77" s="244"/>
      <c r="B77" s="249" t="str">
        <f t="array" ref="B77">'Teaching and Learning'!C74:I78</f>
        <v>#REF!</v>
      </c>
      <c r="C77" s="249"/>
      <c r="D77" s="249"/>
      <c r="E77" s="249"/>
      <c r="F77" s="249"/>
      <c r="G77" s="249"/>
      <c r="H77" s="249"/>
      <c r="I77" s="244"/>
      <c r="J77" s="244"/>
      <c r="K77" s="244"/>
      <c r="L77" s="244"/>
      <c r="M77" s="244"/>
      <c r="N77" s="244"/>
      <c r="O77" s="244"/>
      <c r="P77" s="244"/>
      <c r="Q77" s="244"/>
      <c r="R77" s="244"/>
      <c r="S77" s="244"/>
      <c r="T77" s="244"/>
      <c r="U77" s="244"/>
      <c r="V77" s="244"/>
      <c r="W77" s="244"/>
      <c r="X77" s="244"/>
      <c r="Y77" s="244"/>
      <c r="Z77" s="244"/>
    </row>
    <row r="78">
      <c r="A78" s="244"/>
      <c r="B78" s="249"/>
      <c r="C78" s="249"/>
      <c r="D78" s="249"/>
      <c r="E78" s="249"/>
      <c r="F78" s="249"/>
      <c r="G78" s="249"/>
      <c r="H78" s="249"/>
      <c r="I78" s="244"/>
      <c r="J78" s="244"/>
      <c r="K78" s="244"/>
      <c r="L78" s="244"/>
      <c r="M78" s="244"/>
      <c r="N78" s="244"/>
      <c r="O78" s="244"/>
      <c r="P78" s="244"/>
      <c r="Q78" s="244"/>
      <c r="R78" s="244"/>
      <c r="S78" s="244"/>
      <c r="T78" s="244"/>
      <c r="U78" s="244"/>
      <c r="V78" s="244"/>
      <c r="W78" s="244"/>
      <c r="X78" s="244"/>
      <c r="Y78" s="244"/>
      <c r="Z78" s="244"/>
    </row>
    <row r="79">
      <c r="A79" s="244"/>
      <c r="B79" s="249" t="str">
        <f t="array" ref="B79">'Teaching and Learning'!C83:I85</f>
        <v>#REF!</v>
      </c>
      <c r="C79" s="249"/>
      <c r="D79" s="249"/>
      <c r="E79" s="249"/>
      <c r="F79" s="249"/>
      <c r="G79" s="249"/>
      <c r="H79" s="249"/>
      <c r="I79" s="244"/>
      <c r="J79" s="244"/>
      <c r="K79" s="244"/>
      <c r="L79" s="244"/>
      <c r="M79" s="244"/>
      <c r="N79" s="244"/>
      <c r="O79" s="244"/>
      <c r="P79" s="244"/>
      <c r="Q79" s="244"/>
      <c r="R79" s="244"/>
      <c r="S79" s="244"/>
      <c r="T79" s="244"/>
      <c r="U79" s="244"/>
      <c r="V79" s="244"/>
      <c r="W79" s="244"/>
      <c r="X79" s="244"/>
      <c r="Y79" s="244"/>
      <c r="Z79" s="244"/>
    </row>
    <row r="80">
      <c r="A80" s="244"/>
      <c r="B80" s="249"/>
      <c r="C80" s="249"/>
      <c r="D80" s="249"/>
      <c r="E80" s="249"/>
      <c r="F80" s="249"/>
      <c r="G80" s="249"/>
      <c r="H80" s="249"/>
      <c r="I80" s="244"/>
      <c r="J80" s="244"/>
      <c r="K80" s="244"/>
      <c r="L80" s="244"/>
      <c r="M80" s="244"/>
      <c r="N80" s="244"/>
      <c r="O80" s="244"/>
      <c r="P80" s="244"/>
      <c r="Q80" s="244"/>
      <c r="R80" s="244"/>
      <c r="S80" s="244"/>
      <c r="T80" s="244"/>
      <c r="U80" s="244"/>
      <c r="V80" s="244"/>
      <c r="W80" s="244"/>
      <c r="X80" s="244"/>
      <c r="Y80" s="244"/>
      <c r="Z80" s="244"/>
    </row>
    <row r="81">
      <c r="A81" s="244"/>
      <c r="B81" s="249"/>
      <c r="C81" s="249"/>
      <c r="D81" s="249"/>
      <c r="E81" s="249"/>
      <c r="F81" s="249"/>
      <c r="G81" s="249"/>
      <c r="H81" s="249"/>
      <c r="I81" s="244"/>
      <c r="J81" s="244"/>
      <c r="K81" s="244"/>
      <c r="L81" s="244"/>
      <c r="M81" s="244"/>
      <c r="N81" s="244"/>
      <c r="O81" s="244"/>
      <c r="P81" s="244"/>
      <c r="Q81" s="244"/>
      <c r="R81" s="244"/>
      <c r="S81" s="244"/>
      <c r="T81" s="244"/>
      <c r="U81" s="244"/>
      <c r="V81" s="244"/>
      <c r="W81" s="244"/>
      <c r="X81" s="244"/>
      <c r="Y81" s="244"/>
      <c r="Z81" s="244"/>
    </row>
    <row r="82">
      <c r="A82" s="244"/>
      <c r="B82" s="249" t="str">
        <f t="array" ref="B82">'Teaching and Learning'!C151:I153</f>
        <v>#REF!</v>
      </c>
      <c r="C82" s="249"/>
      <c r="D82" s="249"/>
      <c r="E82" s="249"/>
      <c r="F82" s="249"/>
      <c r="G82" s="249"/>
      <c r="H82" s="249"/>
      <c r="I82" s="244"/>
      <c r="J82" s="244"/>
      <c r="K82" s="244"/>
      <c r="L82" s="244"/>
      <c r="M82" s="244"/>
      <c r="N82" s="244"/>
      <c r="O82" s="244"/>
      <c r="P82" s="244"/>
      <c r="Q82" s="244"/>
      <c r="R82" s="244"/>
      <c r="S82" s="244"/>
      <c r="T82" s="244"/>
      <c r="U82" s="244"/>
      <c r="V82" s="244"/>
      <c r="W82" s="244"/>
      <c r="X82" s="244"/>
      <c r="Y82" s="244"/>
      <c r="Z82" s="244"/>
    </row>
    <row r="83">
      <c r="A83" s="244"/>
      <c r="B83" s="249"/>
      <c r="C83" s="249"/>
      <c r="D83" s="249"/>
      <c r="E83" s="249"/>
      <c r="F83" s="249"/>
      <c r="G83" s="249"/>
      <c r="H83" s="249"/>
      <c r="I83" s="244"/>
      <c r="J83" s="244"/>
      <c r="K83" s="244"/>
      <c r="L83" s="244"/>
      <c r="M83" s="244"/>
      <c r="N83" s="244"/>
      <c r="O83" s="244"/>
      <c r="P83" s="244"/>
      <c r="Q83" s="244"/>
      <c r="R83" s="244"/>
      <c r="S83" s="244"/>
      <c r="T83" s="244"/>
      <c r="U83" s="244"/>
      <c r="V83" s="244"/>
      <c r="W83" s="244"/>
      <c r="X83" s="244"/>
      <c r="Y83" s="244"/>
      <c r="Z83" s="244"/>
    </row>
    <row r="84">
      <c r="A84" s="244"/>
      <c r="B84" s="249" t="str">
        <f t="array" ref="B84">'Teaching and Learning'!C143:I147</f>
        <v>#REF!</v>
      </c>
      <c r="C84" s="249"/>
      <c r="D84" s="249"/>
      <c r="E84" s="249"/>
      <c r="F84" s="249"/>
      <c r="G84" s="249"/>
      <c r="H84" s="249"/>
      <c r="I84" s="244"/>
      <c r="J84" s="244"/>
      <c r="K84" s="244"/>
      <c r="L84" s="244"/>
      <c r="M84" s="244"/>
      <c r="N84" s="244"/>
      <c r="O84" s="244"/>
      <c r="P84" s="244"/>
      <c r="Q84" s="244"/>
      <c r="R84" s="244"/>
      <c r="S84" s="244"/>
      <c r="T84" s="244"/>
      <c r="U84" s="244"/>
      <c r="V84" s="244"/>
      <c r="W84" s="244"/>
      <c r="X84" s="244"/>
      <c r="Y84" s="244"/>
      <c r="Z84" s="244"/>
    </row>
    <row r="85">
      <c r="A85" s="244"/>
      <c r="B85" s="249"/>
      <c r="C85" s="249"/>
      <c r="D85" s="249"/>
      <c r="E85" s="249"/>
      <c r="F85" s="249"/>
      <c r="G85" s="249"/>
      <c r="H85" s="249"/>
      <c r="I85" s="244"/>
      <c r="J85" s="244"/>
      <c r="K85" s="244"/>
      <c r="L85" s="244"/>
      <c r="M85" s="244"/>
      <c r="N85" s="244"/>
      <c r="O85" s="244"/>
      <c r="P85" s="244"/>
      <c r="Q85" s="244"/>
      <c r="R85" s="244"/>
      <c r="S85" s="244"/>
      <c r="T85" s="244"/>
      <c r="U85" s="244"/>
      <c r="V85" s="244"/>
      <c r="W85" s="244"/>
      <c r="X85" s="244"/>
      <c r="Y85" s="244"/>
      <c r="Z85" s="244"/>
    </row>
    <row r="86">
      <c r="A86" s="244"/>
      <c r="B86" s="249"/>
      <c r="C86" s="249"/>
      <c r="D86" s="249"/>
      <c r="E86" s="249"/>
      <c r="F86" s="249"/>
      <c r="G86" s="249"/>
      <c r="H86" s="249"/>
      <c r="I86" s="244"/>
      <c r="J86" s="244"/>
      <c r="K86" s="244"/>
      <c r="L86" s="244"/>
      <c r="M86" s="244"/>
      <c r="N86" s="244"/>
      <c r="O86" s="244"/>
      <c r="P86" s="244"/>
      <c r="Q86" s="244"/>
      <c r="R86" s="244"/>
      <c r="S86" s="244"/>
      <c r="T86" s="244"/>
      <c r="U86" s="244"/>
      <c r="V86" s="244"/>
      <c r="W86" s="244"/>
      <c r="X86" s="244"/>
      <c r="Y86" s="244"/>
      <c r="Z86" s="244"/>
    </row>
    <row r="87">
      <c r="A87" s="244"/>
      <c r="B87" s="250"/>
      <c r="C87" s="250"/>
      <c r="D87" s="250"/>
      <c r="E87" s="250"/>
      <c r="F87" s="250"/>
      <c r="G87" s="250"/>
      <c r="H87" s="250"/>
      <c r="I87" s="244"/>
      <c r="J87" s="244"/>
      <c r="K87" s="244"/>
      <c r="L87" s="244"/>
      <c r="M87" s="244"/>
      <c r="N87" s="244"/>
      <c r="O87" s="244"/>
      <c r="P87" s="244"/>
      <c r="Q87" s="244"/>
      <c r="R87" s="244"/>
      <c r="S87" s="244"/>
      <c r="T87" s="244"/>
      <c r="U87" s="244"/>
      <c r="V87" s="244"/>
      <c r="W87" s="244"/>
      <c r="X87" s="244"/>
      <c r="Y87" s="244"/>
      <c r="Z87" s="244"/>
    </row>
    <row r="88">
      <c r="A88" s="244"/>
      <c r="B88" s="245" t="s">
        <v>911</v>
      </c>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row>
    <row r="89">
      <c r="A89" s="244"/>
      <c r="B89" s="246" t="s">
        <v>623</v>
      </c>
      <c r="C89" s="247"/>
      <c r="D89" s="247"/>
      <c r="E89" s="246" t="s">
        <v>55</v>
      </c>
      <c r="F89" s="246" t="s">
        <v>907</v>
      </c>
      <c r="G89" s="246" t="s">
        <v>908</v>
      </c>
      <c r="H89" s="246" t="s">
        <v>49</v>
      </c>
      <c r="I89" s="244"/>
      <c r="J89" s="244"/>
      <c r="K89" s="244"/>
      <c r="L89" s="244"/>
      <c r="M89" s="244"/>
      <c r="N89" s="244"/>
      <c r="O89" s="244"/>
      <c r="P89" s="244"/>
      <c r="Q89" s="244"/>
      <c r="R89" s="244"/>
      <c r="S89" s="244"/>
      <c r="T89" s="244"/>
      <c r="U89" s="244"/>
      <c r="V89" s="244"/>
      <c r="W89" s="244"/>
      <c r="X89" s="244"/>
      <c r="Y89" s="244"/>
      <c r="Z89" s="244"/>
    </row>
    <row r="90">
      <c r="A90" s="244"/>
      <c r="B90" s="248" t="str">
        <f t="array" ref="B90">'Teaching and Learning'!C15:I18</f>
        <v>#REF!</v>
      </c>
      <c r="C90" s="248"/>
      <c r="D90" s="248"/>
      <c r="E90" s="248"/>
      <c r="F90" s="248"/>
      <c r="G90" s="248"/>
      <c r="H90" s="248"/>
      <c r="I90" s="244"/>
      <c r="J90" s="244"/>
      <c r="K90" s="244"/>
      <c r="L90" s="244"/>
      <c r="M90" s="244"/>
      <c r="N90" s="244"/>
      <c r="O90" s="244"/>
      <c r="P90" s="244"/>
      <c r="Q90" s="244"/>
      <c r="R90" s="244"/>
      <c r="S90" s="244"/>
      <c r="T90" s="244"/>
      <c r="U90" s="244"/>
      <c r="V90" s="244"/>
      <c r="W90" s="244"/>
      <c r="X90" s="244"/>
      <c r="Y90" s="244"/>
      <c r="Z90" s="244"/>
    </row>
    <row r="91">
      <c r="A91" s="244"/>
      <c r="B91" s="249"/>
      <c r="C91" s="249"/>
      <c r="D91" s="249"/>
      <c r="E91" s="249"/>
      <c r="F91" s="249"/>
      <c r="G91" s="249"/>
      <c r="H91" s="249"/>
      <c r="I91" s="244"/>
      <c r="J91" s="244"/>
      <c r="K91" s="244"/>
      <c r="L91" s="244"/>
      <c r="M91" s="244"/>
      <c r="N91" s="244"/>
      <c r="O91" s="244"/>
      <c r="P91" s="244"/>
      <c r="Q91" s="244"/>
      <c r="R91" s="244"/>
      <c r="S91" s="244"/>
      <c r="T91" s="244"/>
      <c r="U91" s="244"/>
      <c r="V91" s="244"/>
      <c r="W91" s="244"/>
      <c r="X91" s="244"/>
      <c r="Y91" s="244"/>
      <c r="Z91" s="244"/>
    </row>
    <row r="92">
      <c r="A92" s="244"/>
      <c r="B92" s="249"/>
      <c r="C92" s="249"/>
      <c r="D92" s="249"/>
      <c r="E92" s="249"/>
      <c r="F92" s="249"/>
      <c r="G92" s="249"/>
      <c r="H92" s="249"/>
      <c r="I92" s="244"/>
      <c r="J92" s="244"/>
      <c r="K92" s="244"/>
      <c r="L92" s="244"/>
      <c r="M92" s="244"/>
      <c r="N92" s="244"/>
      <c r="O92" s="244"/>
      <c r="P92" s="244"/>
      <c r="Q92" s="244"/>
      <c r="R92" s="244"/>
      <c r="S92" s="244"/>
      <c r="T92" s="244"/>
      <c r="U92" s="244"/>
      <c r="V92" s="244"/>
      <c r="W92" s="244"/>
      <c r="X92" s="244"/>
      <c r="Y92" s="244"/>
      <c r="Z92" s="244"/>
    </row>
    <row r="93">
      <c r="A93" s="244"/>
      <c r="B93" s="249"/>
      <c r="C93" s="249"/>
      <c r="D93" s="249"/>
      <c r="E93" s="249"/>
      <c r="F93" s="249"/>
      <c r="G93" s="249"/>
      <c r="H93" s="249"/>
      <c r="I93" s="244"/>
      <c r="J93" s="244"/>
      <c r="K93" s="244"/>
      <c r="L93" s="244"/>
      <c r="M93" s="244"/>
      <c r="N93" s="244"/>
      <c r="O93" s="244"/>
      <c r="P93" s="244"/>
      <c r="Q93" s="244"/>
      <c r="R93" s="244"/>
      <c r="S93" s="244"/>
      <c r="T93" s="244"/>
      <c r="U93" s="244"/>
      <c r="V93" s="244"/>
      <c r="W93" s="244"/>
      <c r="X93" s="244"/>
      <c r="Y93" s="244"/>
      <c r="Z93" s="244"/>
    </row>
    <row r="94">
      <c r="A94" s="244"/>
      <c r="B94" s="249" t="str">
        <f t="array" ref="B94">'Teaching and Learning'!C23:I26</f>
        <v>#REF!</v>
      </c>
      <c r="C94" s="249"/>
      <c r="D94" s="249"/>
      <c r="E94" s="249"/>
      <c r="F94" s="249"/>
      <c r="G94" s="249"/>
      <c r="H94" s="249"/>
      <c r="I94" s="244"/>
      <c r="J94" s="244"/>
      <c r="K94" s="244"/>
      <c r="L94" s="244"/>
      <c r="M94" s="244"/>
      <c r="N94" s="244"/>
      <c r="O94" s="244"/>
      <c r="P94" s="244"/>
      <c r="Q94" s="244"/>
      <c r="R94" s="244"/>
      <c r="S94" s="244"/>
      <c r="T94" s="244"/>
      <c r="U94" s="244"/>
      <c r="V94" s="244"/>
      <c r="W94" s="244"/>
      <c r="X94" s="244"/>
      <c r="Y94" s="244"/>
      <c r="Z94" s="244"/>
    </row>
    <row r="95">
      <c r="A95" s="244"/>
      <c r="B95" s="249"/>
      <c r="C95" s="249"/>
      <c r="D95" s="249"/>
      <c r="E95" s="249"/>
      <c r="F95" s="249"/>
      <c r="G95" s="249"/>
      <c r="H95" s="249"/>
      <c r="I95" s="244"/>
      <c r="J95" s="244"/>
      <c r="K95" s="244"/>
      <c r="L95" s="244"/>
      <c r="M95" s="244"/>
      <c r="N95" s="244"/>
      <c r="O95" s="244"/>
      <c r="P95" s="244"/>
      <c r="Q95" s="244"/>
      <c r="R95" s="244"/>
      <c r="S95" s="244"/>
      <c r="T95" s="244"/>
      <c r="U95" s="244"/>
      <c r="V95" s="244"/>
      <c r="W95" s="244"/>
      <c r="X95" s="244"/>
      <c r="Y95" s="244"/>
      <c r="Z95" s="244"/>
    </row>
    <row r="96">
      <c r="A96" s="244"/>
      <c r="B96" s="249"/>
      <c r="C96" s="249"/>
      <c r="D96" s="249"/>
      <c r="E96" s="249"/>
      <c r="F96" s="249"/>
      <c r="G96" s="249"/>
      <c r="H96" s="249"/>
      <c r="I96" s="244"/>
      <c r="J96" s="244"/>
      <c r="K96" s="244"/>
      <c r="L96" s="244"/>
      <c r="M96" s="244"/>
      <c r="N96" s="244"/>
      <c r="O96" s="244"/>
      <c r="P96" s="244"/>
      <c r="Q96" s="244"/>
      <c r="R96" s="244"/>
      <c r="S96" s="244"/>
      <c r="T96" s="244"/>
      <c r="U96" s="244"/>
      <c r="V96" s="244"/>
      <c r="W96" s="244"/>
      <c r="X96" s="244"/>
      <c r="Y96" s="244"/>
      <c r="Z96" s="244"/>
    </row>
    <row r="97">
      <c r="A97" s="244"/>
      <c r="B97" s="249"/>
      <c r="C97" s="249"/>
      <c r="D97" s="249"/>
      <c r="E97" s="249"/>
      <c r="F97" s="249"/>
      <c r="G97" s="249"/>
      <c r="H97" s="249"/>
      <c r="I97" s="244"/>
      <c r="J97" s="244"/>
      <c r="K97" s="244"/>
      <c r="L97" s="244"/>
      <c r="M97" s="244"/>
      <c r="N97" s="244"/>
      <c r="O97" s="244"/>
      <c r="P97" s="244"/>
      <c r="Q97" s="244"/>
      <c r="R97" s="244"/>
      <c r="S97" s="244"/>
      <c r="T97" s="244"/>
      <c r="U97" s="244"/>
      <c r="V97" s="244"/>
      <c r="W97" s="244"/>
      <c r="X97" s="244"/>
      <c r="Y97" s="244"/>
      <c r="Z97" s="244"/>
    </row>
    <row r="98">
      <c r="A98" s="244"/>
      <c r="B98" s="249"/>
      <c r="C98" s="249"/>
      <c r="D98" s="249"/>
      <c r="E98" s="249"/>
      <c r="F98" s="249"/>
      <c r="G98" s="249"/>
      <c r="H98" s="249"/>
      <c r="I98" s="244"/>
      <c r="J98" s="244"/>
      <c r="K98" s="244"/>
      <c r="L98" s="244"/>
      <c r="M98" s="244"/>
      <c r="N98" s="244"/>
      <c r="O98" s="244"/>
      <c r="P98" s="244"/>
      <c r="Q98" s="244"/>
      <c r="R98" s="244"/>
      <c r="S98" s="244"/>
      <c r="T98" s="244"/>
      <c r="U98" s="244"/>
      <c r="V98" s="244"/>
      <c r="W98" s="244"/>
      <c r="X98" s="244"/>
      <c r="Y98" s="244"/>
      <c r="Z98" s="244"/>
    </row>
    <row r="99">
      <c r="A99" s="244"/>
      <c r="B99" s="249" t="str">
        <f t="array" ref="B99">'Teaching and Learning'!C46:I49</f>
        <v>#REF!</v>
      </c>
      <c r="C99" s="249"/>
      <c r="D99" s="249"/>
      <c r="E99" s="249"/>
      <c r="F99" s="249"/>
      <c r="G99" s="249"/>
      <c r="H99" s="249"/>
      <c r="I99" s="244"/>
      <c r="J99" s="244"/>
      <c r="K99" s="244"/>
      <c r="L99" s="244"/>
      <c r="M99" s="244"/>
      <c r="N99" s="244"/>
      <c r="O99" s="244"/>
      <c r="P99" s="244"/>
      <c r="Q99" s="244"/>
      <c r="R99" s="244"/>
      <c r="S99" s="244"/>
      <c r="T99" s="244"/>
      <c r="U99" s="244"/>
      <c r="V99" s="244"/>
      <c r="W99" s="244"/>
      <c r="X99" s="244"/>
      <c r="Y99" s="244"/>
      <c r="Z99" s="244"/>
    </row>
    <row r="100">
      <c r="A100" s="244"/>
      <c r="B100" s="249"/>
      <c r="C100" s="249"/>
      <c r="D100" s="249"/>
      <c r="E100" s="249"/>
      <c r="F100" s="249"/>
      <c r="G100" s="249"/>
      <c r="H100" s="249"/>
      <c r="I100" s="244"/>
      <c r="J100" s="244"/>
      <c r="K100" s="244"/>
      <c r="L100" s="244"/>
      <c r="M100" s="244"/>
      <c r="N100" s="244"/>
      <c r="O100" s="244"/>
      <c r="P100" s="244"/>
      <c r="Q100" s="244"/>
      <c r="R100" s="244"/>
      <c r="S100" s="244"/>
      <c r="T100" s="244"/>
      <c r="U100" s="244"/>
      <c r="V100" s="244"/>
      <c r="W100" s="244"/>
      <c r="X100" s="244"/>
      <c r="Y100" s="244"/>
      <c r="Z100" s="244"/>
    </row>
    <row r="101">
      <c r="A101" s="244"/>
      <c r="B101" s="249"/>
      <c r="C101" s="249"/>
      <c r="D101" s="249"/>
      <c r="E101" s="249"/>
      <c r="F101" s="249"/>
      <c r="G101" s="249"/>
      <c r="H101" s="249"/>
      <c r="I101" s="244"/>
      <c r="J101" s="244"/>
      <c r="K101" s="244"/>
      <c r="L101" s="244"/>
      <c r="M101" s="244"/>
      <c r="N101" s="244"/>
      <c r="O101" s="244"/>
      <c r="P101" s="244"/>
      <c r="Q101" s="244"/>
      <c r="R101" s="244"/>
      <c r="S101" s="244"/>
      <c r="T101" s="244"/>
      <c r="U101" s="244"/>
      <c r="V101" s="244"/>
      <c r="W101" s="244"/>
      <c r="X101" s="244"/>
      <c r="Y101" s="244"/>
      <c r="Z101" s="244"/>
    </row>
    <row r="102">
      <c r="A102" s="244"/>
      <c r="B102" s="249" t="str">
        <f t="array" ref="B102">'Teaching and Learning'!C69:I72</f>
        <v>#REF!</v>
      </c>
      <c r="C102" s="249"/>
      <c r="D102" s="249"/>
      <c r="E102" s="249"/>
      <c r="F102" s="249"/>
      <c r="G102" s="249"/>
      <c r="H102" s="249"/>
      <c r="I102" s="244"/>
      <c r="J102" s="244"/>
      <c r="K102" s="244"/>
      <c r="L102" s="244"/>
      <c r="M102" s="244"/>
      <c r="N102" s="244"/>
      <c r="O102" s="244"/>
      <c r="P102" s="244"/>
      <c r="Q102" s="244"/>
      <c r="R102" s="244"/>
      <c r="S102" s="244"/>
      <c r="T102" s="244"/>
      <c r="U102" s="244"/>
      <c r="V102" s="244"/>
      <c r="W102" s="244"/>
      <c r="X102" s="244"/>
      <c r="Y102" s="244"/>
      <c r="Z102" s="244"/>
    </row>
    <row r="103">
      <c r="A103" s="244"/>
      <c r="B103" s="249"/>
      <c r="C103" s="249"/>
      <c r="D103" s="249"/>
      <c r="E103" s="249"/>
      <c r="F103" s="249"/>
      <c r="G103" s="249"/>
      <c r="H103" s="249"/>
      <c r="I103" s="244"/>
      <c r="J103" s="244"/>
      <c r="K103" s="244"/>
      <c r="L103" s="244"/>
      <c r="M103" s="244"/>
      <c r="N103" s="244"/>
      <c r="O103" s="244"/>
      <c r="P103" s="244"/>
      <c r="Q103" s="244"/>
      <c r="R103" s="244"/>
      <c r="S103" s="244"/>
      <c r="T103" s="244"/>
      <c r="U103" s="244"/>
      <c r="V103" s="244"/>
      <c r="W103" s="244"/>
      <c r="X103" s="244"/>
      <c r="Y103" s="244"/>
      <c r="Z103" s="244"/>
    </row>
    <row r="104">
      <c r="A104" s="244"/>
      <c r="B104" s="249"/>
      <c r="C104" s="249"/>
      <c r="D104" s="249"/>
      <c r="E104" s="249"/>
      <c r="F104" s="249"/>
      <c r="G104" s="249"/>
      <c r="H104" s="249"/>
      <c r="I104" s="244"/>
      <c r="J104" s="244"/>
      <c r="K104" s="244"/>
      <c r="L104" s="244"/>
      <c r="M104" s="244"/>
      <c r="N104" s="244"/>
      <c r="O104" s="244"/>
      <c r="P104" s="244"/>
      <c r="Q104" s="244"/>
      <c r="R104" s="244"/>
      <c r="S104" s="244"/>
      <c r="T104" s="244"/>
      <c r="U104" s="244"/>
      <c r="V104" s="244"/>
      <c r="W104" s="244"/>
      <c r="X104" s="244"/>
      <c r="Y104" s="244"/>
      <c r="Z104" s="244"/>
    </row>
    <row r="105">
      <c r="A105" s="244"/>
      <c r="B105" s="249"/>
      <c r="C105" s="249"/>
      <c r="D105" s="249"/>
      <c r="E105" s="249"/>
      <c r="F105" s="249"/>
      <c r="G105" s="249"/>
      <c r="H105" s="249"/>
      <c r="I105" s="244"/>
      <c r="J105" s="244"/>
      <c r="K105" s="244"/>
      <c r="L105" s="244"/>
      <c r="M105" s="244"/>
      <c r="N105" s="244"/>
      <c r="O105" s="244"/>
      <c r="P105" s="244"/>
      <c r="Q105" s="244"/>
      <c r="R105" s="244"/>
      <c r="S105" s="244"/>
      <c r="T105" s="244"/>
      <c r="U105" s="244"/>
      <c r="V105" s="244"/>
      <c r="W105" s="244"/>
      <c r="X105" s="244"/>
      <c r="Y105" s="244"/>
      <c r="Z105" s="244"/>
    </row>
    <row r="106">
      <c r="A106" s="244"/>
      <c r="B106" s="249"/>
      <c r="C106" s="249"/>
      <c r="D106" s="249"/>
      <c r="E106" s="249"/>
      <c r="F106" s="249"/>
      <c r="G106" s="249"/>
      <c r="H106" s="249"/>
      <c r="I106" s="244"/>
      <c r="J106" s="244"/>
      <c r="K106" s="244"/>
      <c r="L106" s="244"/>
      <c r="M106" s="244"/>
      <c r="N106" s="244"/>
      <c r="O106" s="244"/>
      <c r="P106" s="244"/>
      <c r="Q106" s="244"/>
      <c r="R106" s="244"/>
      <c r="S106" s="244"/>
      <c r="T106" s="244"/>
      <c r="U106" s="244"/>
      <c r="V106" s="244"/>
      <c r="W106" s="244"/>
      <c r="X106" s="244"/>
      <c r="Y106" s="244"/>
      <c r="Z106" s="244"/>
    </row>
    <row r="107">
      <c r="A107" s="244"/>
      <c r="B107" s="249" t="str">
        <f t="array" ref="B107">'Teaching and Learning'!C79:I82</f>
        <v>#REF!</v>
      </c>
      <c r="C107" s="249"/>
      <c r="D107" s="249"/>
      <c r="E107" s="249"/>
      <c r="F107" s="249"/>
      <c r="G107" s="249"/>
      <c r="H107" s="249"/>
      <c r="I107" s="244"/>
      <c r="J107" s="244"/>
      <c r="K107" s="244"/>
      <c r="L107" s="244"/>
      <c r="M107" s="244"/>
      <c r="N107" s="244"/>
      <c r="O107" s="244"/>
      <c r="P107" s="244"/>
      <c r="Q107" s="244"/>
      <c r="R107" s="244"/>
      <c r="S107" s="244"/>
      <c r="T107" s="244"/>
      <c r="U107" s="244"/>
      <c r="V107" s="244"/>
      <c r="W107" s="244"/>
      <c r="X107" s="244"/>
      <c r="Y107" s="244"/>
      <c r="Z107" s="244"/>
    </row>
    <row r="108">
      <c r="A108" s="244"/>
      <c r="B108" s="249"/>
      <c r="C108" s="249"/>
      <c r="D108" s="249"/>
      <c r="E108" s="249"/>
      <c r="F108" s="249"/>
      <c r="G108" s="249"/>
      <c r="H108" s="249"/>
      <c r="I108" s="244"/>
      <c r="J108" s="244"/>
      <c r="K108" s="244"/>
      <c r="L108" s="244"/>
      <c r="M108" s="244"/>
      <c r="N108" s="244"/>
      <c r="O108" s="244"/>
      <c r="P108" s="244"/>
      <c r="Q108" s="244"/>
      <c r="R108" s="244"/>
      <c r="S108" s="244"/>
      <c r="T108" s="244"/>
      <c r="U108" s="244"/>
      <c r="V108" s="244"/>
      <c r="W108" s="244"/>
      <c r="X108" s="244"/>
      <c r="Y108" s="244"/>
      <c r="Z108" s="244"/>
    </row>
    <row r="109">
      <c r="A109" s="244"/>
      <c r="B109" s="249"/>
      <c r="C109" s="249"/>
      <c r="D109" s="249"/>
      <c r="E109" s="249"/>
      <c r="F109" s="249"/>
      <c r="G109" s="249"/>
      <c r="H109" s="249"/>
      <c r="I109" s="244"/>
      <c r="J109" s="244"/>
      <c r="K109" s="244"/>
      <c r="L109" s="244"/>
      <c r="M109" s="244"/>
      <c r="N109" s="244"/>
      <c r="O109" s="244"/>
      <c r="P109" s="244"/>
      <c r="Q109" s="244"/>
      <c r="R109" s="244"/>
      <c r="S109" s="244"/>
      <c r="T109" s="244"/>
      <c r="U109" s="244"/>
      <c r="V109" s="244"/>
      <c r="W109" s="244"/>
      <c r="X109" s="244"/>
      <c r="Y109" s="244"/>
      <c r="Z109" s="244"/>
    </row>
    <row r="110">
      <c r="A110" s="244"/>
      <c r="B110" s="249"/>
      <c r="C110" s="249"/>
      <c r="D110" s="249"/>
      <c r="E110" s="249"/>
      <c r="F110" s="249"/>
      <c r="G110" s="249"/>
      <c r="H110" s="249"/>
      <c r="I110" s="244"/>
      <c r="J110" s="244"/>
      <c r="K110" s="244"/>
      <c r="L110" s="244"/>
      <c r="M110" s="244"/>
      <c r="N110" s="244"/>
      <c r="O110" s="244"/>
      <c r="P110" s="244"/>
      <c r="Q110" s="244"/>
      <c r="R110" s="244"/>
      <c r="S110" s="244"/>
      <c r="T110" s="244"/>
      <c r="U110" s="244"/>
      <c r="V110" s="244"/>
      <c r="W110" s="244"/>
      <c r="X110" s="244"/>
      <c r="Y110" s="244"/>
      <c r="Z110" s="244"/>
    </row>
    <row r="111">
      <c r="A111" s="244"/>
      <c r="B111" s="249" t="str">
        <f t="array" ref="B111">'Teaching and Learning'!C86:I89</f>
        <v>#REF!</v>
      </c>
      <c r="C111" s="249"/>
      <c r="D111" s="249"/>
      <c r="E111" s="249"/>
      <c r="F111" s="249"/>
      <c r="G111" s="249"/>
      <c r="H111" s="249"/>
      <c r="I111" s="244"/>
      <c r="J111" s="244"/>
      <c r="K111" s="244"/>
      <c r="L111" s="244"/>
      <c r="M111" s="244"/>
      <c r="N111" s="244"/>
      <c r="O111" s="244"/>
      <c r="P111" s="244"/>
      <c r="Q111" s="244"/>
      <c r="R111" s="244"/>
      <c r="S111" s="244"/>
      <c r="T111" s="244"/>
      <c r="U111" s="244"/>
      <c r="V111" s="244"/>
      <c r="W111" s="244"/>
      <c r="X111" s="244"/>
      <c r="Y111" s="244"/>
      <c r="Z111" s="244"/>
    </row>
    <row r="112">
      <c r="A112" s="244"/>
      <c r="B112" s="249"/>
      <c r="C112" s="249"/>
      <c r="D112" s="249"/>
      <c r="E112" s="249"/>
      <c r="F112" s="249"/>
      <c r="G112" s="249"/>
      <c r="H112" s="249"/>
      <c r="I112" s="244"/>
      <c r="J112" s="244"/>
      <c r="K112" s="244"/>
      <c r="L112" s="244"/>
      <c r="M112" s="244"/>
      <c r="N112" s="244"/>
      <c r="O112" s="244"/>
      <c r="P112" s="244"/>
      <c r="Q112" s="244"/>
      <c r="R112" s="244"/>
      <c r="S112" s="244"/>
      <c r="T112" s="244"/>
      <c r="U112" s="244"/>
      <c r="V112" s="244"/>
      <c r="W112" s="244"/>
      <c r="X112" s="244"/>
      <c r="Y112" s="244"/>
      <c r="Z112" s="244"/>
    </row>
    <row r="113">
      <c r="A113" s="244"/>
      <c r="B113" s="249"/>
      <c r="C113" s="249"/>
      <c r="D113" s="249"/>
      <c r="E113" s="249"/>
      <c r="F113" s="249"/>
      <c r="G113" s="249"/>
      <c r="H113" s="249"/>
      <c r="I113" s="244"/>
      <c r="J113" s="244"/>
      <c r="K113" s="244"/>
      <c r="L113" s="244"/>
      <c r="M113" s="244"/>
      <c r="N113" s="244"/>
      <c r="O113" s="244"/>
      <c r="P113" s="244"/>
      <c r="Q113" s="244"/>
      <c r="R113" s="244"/>
      <c r="S113" s="244"/>
      <c r="T113" s="244"/>
      <c r="U113" s="244"/>
      <c r="V113" s="244"/>
      <c r="W113" s="244"/>
      <c r="X113" s="244"/>
      <c r="Y113" s="244"/>
      <c r="Z113" s="244"/>
    </row>
    <row r="114">
      <c r="A114" s="244"/>
      <c r="B114" s="249"/>
      <c r="C114" s="249"/>
      <c r="D114" s="249"/>
      <c r="E114" s="249"/>
      <c r="F114" s="249"/>
      <c r="G114" s="249"/>
      <c r="H114" s="249"/>
      <c r="I114" s="244"/>
      <c r="J114" s="244"/>
      <c r="K114" s="244"/>
      <c r="L114" s="244"/>
      <c r="M114" s="244"/>
      <c r="N114" s="244"/>
      <c r="O114" s="244"/>
      <c r="P114" s="244"/>
      <c r="Q114" s="244"/>
      <c r="R114" s="244"/>
      <c r="S114" s="244"/>
      <c r="T114" s="244"/>
      <c r="U114" s="244"/>
      <c r="V114" s="244"/>
      <c r="W114" s="244"/>
      <c r="X114" s="244"/>
      <c r="Y114" s="244"/>
      <c r="Z114" s="244"/>
    </row>
    <row r="115">
      <c r="A115" s="244"/>
      <c r="B115" s="249" t="str">
        <f t="array" ref="B115">'Teaching and Learning'!C169:I173</f>
        <v>#REF!</v>
      </c>
      <c r="C115" s="249"/>
      <c r="D115" s="249"/>
      <c r="E115" s="249"/>
      <c r="F115" s="249"/>
      <c r="G115" s="249"/>
      <c r="H115" s="249"/>
      <c r="I115" s="244"/>
      <c r="J115" s="244"/>
      <c r="K115" s="244"/>
      <c r="L115" s="244"/>
      <c r="M115" s="244"/>
      <c r="N115" s="244"/>
      <c r="O115" s="244"/>
      <c r="P115" s="244"/>
      <c r="Q115" s="244"/>
      <c r="R115" s="244"/>
      <c r="S115" s="244"/>
      <c r="T115" s="244"/>
      <c r="U115" s="244"/>
      <c r="V115" s="244"/>
      <c r="W115" s="244"/>
      <c r="X115" s="244"/>
      <c r="Y115" s="244"/>
      <c r="Z115" s="244"/>
    </row>
    <row r="116">
      <c r="A116" s="244"/>
      <c r="B116" s="249"/>
      <c r="C116" s="249"/>
      <c r="D116" s="249"/>
      <c r="E116" s="249"/>
      <c r="F116" s="249"/>
      <c r="G116" s="249"/>
      <c r="H116" s="249"/>
      <c r="I116" s="244"/>
      <c r="J116" s="244"/>
      <c r="K116" s="244"/>
      <c r="L116" s="244"/>
      <c r="M116" s="244"/>
      <c r="N116" s="244"/>
      <c r="O116" s="244"/>
      <c r="P116" s="244"/>
      <c r="Q116" s="244"/>
      <c r="R116" s="244"/>
      <c r="S116" s="244"/>
      <c r="T116" s="244"/>
      <c r="U116" s="244"/>
      <c r="V116" s="244"/>
      <c r="W116" s="244"/>
      <c r="X116" s="244"/>
      <c r="Y116" s="244"/>
      <c r="Z116" s="244"/>
    </row>
    <row r="117">
      <c r="A117" s="244"/>
      <c r="B117" s="249"/>
      <c r="C117" s="249"/>
      <c r="D117" s="249"/>
      <c r="E117" s="249"/>
      <c r="F117" s="249"/>
      <c r="G117" s="249"/>
      <c r="H117" s="249"/>
      <c r="I117" s="244"/>
      <c r="J117" s="244"/>
      <c r="K117" s="244"/>
      <c r="L117" s="244"/>
      <c r="M117" s="244"/>
      <c r="N117" s="244"/>
      <c r="O117" s="244"/>
      <c r="P117" s="244"/>
      <c r="Q117" s="244"/>
      <c r="R117" s="244"/>
      <c r="S117" s="244"/>
      <c r="T117" s="244"/>
      <c r="U117" s="244"/>
      <c r="V117" s="244"/>
      <c r="W117" s="244"/>
      <c r="X117" s="244"/>
      <c r="Y117" s="244"/>
      <c r="Z117" s="244"/>
    </row>
    <row r="118">
      <c r="A118" s="244"/>
      <c r="B118" s="249"/>
      <c r="C118" s="249"/>
      <c r="D118" s="249"/>
      <c r="E118" s="249"/>
      <c r="F118" s="249"/>
      <c r="G118" s="249"/>
      <c r="H118" s="249"/>
      <c r="I118" s="244"/>
      <c r="J118" s="244"/>
      <c r="K118" s="244"/>
      <c r="L118" s="244"/>
      <c r="M118" s="244"/>
      <c r="N118" s="244"/>
      <c r="O118" s="244"/>
      <c r="P118" s="244"/>
      <c r="Q118" s="244"/>
      <c r="R118" s="244"/>
      <c r="S118" s="244"/>
      <c r="T118" s="244"/>
      <c r="U118" s="244"/>
      <c r="V118" s="244"/>
      <c r="W118" s="244"/>
      <c r="X118" s="244"/>
      <c r="Y118" s="244"/>
      <c r="Z118" s="244"/>
    </row>
    <row r="119">
      <c r="A119" s="244"/>
      <c r="B119" s="249"/>
      <c r="C119" s="249"/>
      <c r="D119" s="249"/>
      <c r="E119" s="249"/>
      <c r="F119" s="249"/>
      <c r="G119" s="249"/>
      <c r="H119" s="249"/>
      <c r="I119" s="244"/>
      <c r="J119" s="244"/>
      <c r="K119" s="244"/>
      <c r="L119" s="244"/>
      <c r="M119" s="244"/>
      <c r="N119" s="244"/>
      <c r="O119" s="244"/>
      <c r="P119" s="244"/>
      <c r="Q119" s="244"/>
      <c r="R119" s="244"/>
      <c r="S119" s="244"/>
      <c r="T119" s="244"/>
      <c r="U119" s="244"/>
      <c r="V119" s="244"/>
      <c r="W119" s="244"/>
      <c r="X119" s="244"/>
      <c r="Y119" s="244"/>
      <c r="Z119" s="244"/>
    </row>
    <row r="120">
      <c r="A120" s="244"/>
      <c r="B120" s="249"/>
      <c r="C120" s="249"/>
      <c r="D120" s="249"/>
      <c r="E120" s="249"/>
      <c r="F120" s="249"/>
      <c r="G120" s="249"/>
      <c r="H120" s="249"/>
      <c r="I120" s="244"/>
      <c r="J120" s="244"/>
      <c r="K120" s="244"/>
      <c r="L120" s="244"/>
      <c r="M120" s="244"/>
      <c r="N120" s="244"/>
      <c r="O120" s="244"/>
      <c r="P120" s="244"/>
      <c r="Q120" s="244"/>
      <c r="R120" s="244"/>
      <c r="S120" s="244"/>
      <c r="T120" s="244"/>
      <c r="U120" s="244"/>
      <c r="V120" s="244"/>
      <c r="W120" s="244"/>
      <c r="X120" s="244"/>
      <c r="Y120" s="244"/>
      <c r="Z120" s="244"/>
    </row>
    <row r="121">
      <c r="A121" s="244"/>
      <c r="B121" s="249" t="str">
        <f t="array" ref="B121">'Teaching and Learning'!C158:I160</f>
        <v>#REF!</v>
      </c>
      <c r="C121" s="249"/>
      <c r="D121" s="249"/>
      <c r="E121" s="249"/>
      <c r="F121" s="249"/>
      <c r="G121" s="249"/>
      <c r="H121" s="249"/>
      <c r="I121" s="244"/>
      <c r="J121" s="244"/>
      <c r="K121" s="244"/>
      <c r="L121" s="244"/>
      <c r="M121" s="244"/>
      <c r="N121" s="244"/>
      <c r="O121" s="244"/>
      <c r="P121" s="244"/>
      <c r="Q121" s="244"/>
      <c r="R121" s="244"/>
      <c r="S121" s="244"/>
      <c r="T121" s="244"/>
      <c r="U121" s="244"/>
      <c r="V121" s="244"/>
      <c r="W121" s="244"/>
      <c r="X121" s="244"/>
      <c r="Y121" s="244"/>
      <c r="Z121" s="244"/>
    </row>
    <row r="122">
      <c r="A122" s="244"/>
      <c r="B122" s="249"/>
      <c r="C122" s="249"/>
      <c r="D122" s="249"/>
      <c r="E122" s="249"/>
      <c r="F122" s="249"/>
      <c r="G122" s="249"/>
      <c r="H122" s="249"/>
      <c r="I122" s="244"/>
      <c r="J122" s="244"/>
      <c r="K122" s="244"/>
      <c r="L122" s="244"/>
      <c r="M122" s="244"/>
      <c r="N122" s="244"/>
      <c r="O122" s="244"/>
      <c r="P122" s="244"/>
      <c r="Q122" s="244"/>
      <c r="R122" s="244"/>
      <c r="S122" s="244"/>
      <c r="T122" s="244"/>
      <c r="U122" s="244"/>
      <c r="V122" s="244"/>
      <c r="W122" s="244"/>
      <c r="X122" s="244"/>
      <c r="Y122" s="244"/>
      <c r="Z122" s="244"/>
    </row>
    <row r="123">
      <c r="A123" s="244"/>
      <c r="B123" s="249"/>
      <c r="C123" s="249"/>
      <c r="D123" s="249"/>
      <c r="E123" s="249"/>
      <c r="F123" s="249"/>
      <c r="G123" s="249"/>
      <c r="H123" s="249"/>
      <c r="I123" s="244"/>
      <c r="J123" s="244"/>
      <c r="K123" s="244"/>
      <c r="L123" s="244"/>
      <c r="M123" s="244"/>
      <c r="N123" s="244"/>
      <c r="O123" s="244"/>
      <c r="P123" s="244"/>
      <c r="Q123" s="244"/>
      <c r="R123" s="244"/>
      <c r="S123" s="244"/>
      <c r="T123" s="244"/>
      <c r="U123" s="244"/>
      <c r="V123" s="244"/>
      <c r="W123" s="244"/>
      <c r="X123" s="244"/>
      <c r="Y123" s="244"/>
      <c r="Z123" s="244"/>
    </row>
    <row r="124">
      <c r="A124" s="244"/>
      <c r="B124" s="249"/>
      <c r="C124" s="249"/>
      <c r="D124" s="249"/>
      <c r="E124" s="249"/>
      <c r="F124" s="249"/>
      <c r="G124" s="249"/>
      <c r="H124" s="249"/>
      <c r="I124" s="244"/>
      <c r="J124" s="244"/>
      <c r="K124" s="244"/>
      <c r="L124" s="244"/>
      <c r="M124" s="244"/>
      <c r="N124" s="244"/>
      <c r="O124" s="244"/>
      <c r="P124" s="244"/>
      <c r="Q124" s="244"/>
      <c r="R124" s="244"/>
      <c r="S124" s="244"/>
      <c r="T124" s="244"/>
      <c r="U124" s="244"/>
      <c r="V124" s="244"/>
      <c r="W124" s="244"/>
      <c r="X124" s="244"/>
      <c r="Y124" s="244"/>
      <c r="Z124" s="244"/>
    </row>
    <row r="125">
      <c r="A125" s="244"/>
      <c r="B125" s="250"/>
      <c r="C125" s="250"/>
      <c r="D125" s="250"/>
      <c r="E125" s="250"/>
      <c r="F125" s="250"/>
      <c r="G125" s="250"/>
      <c r="H125" s="250"/>
      <c r="I125" s="244"/>
      <c r="J125" s="244"/>
      <c r="K125" s="244"/>
      <c r="L125" s="244"/>
      <c r="M125" s="244"/>
      <c r="N125" s="244"/>
      <c r="O125" s="244"/>
      <c r="P125" s="244"/>
      <c r="Q125" s="244"/>
      <c r="R125" s="244"/>
      <c r="S125" s="244"/>
      <c r="T125" s="244"/>
      <c r="U125" s="244"/>
      <c r="V125" s="244"/>
      <c r="W125" s="244"/>
      <c r="X125" s="244"/>
      <c r="Y125" s="244"/>
      <c r="Z125" s="244"/>
    </row>
    <row r="126">
      <c r="A126" s="244"/>
      <c r="B126" s="245" t="s">
        <v>912</v>
      </c>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row>
    <row r="127">
      <c r="A127" s="244"/>
      <c r="B127" s="246" t="s">
        <v>623</v>
      </c>
      <c r="C127" s="247"/>
      <c r="D127" s="247"/>
      <c r="E127" s="246" t="s">
        <v>55</v>
      </c>
      <c r="F127" s="246" t="s">
        <v>907</v>
      </c>
      <c r="G127" s="246" t="s">
        <v>908</v>
      </c>
      <c r="H127" s="246" t="s">
        <v>49</v>
      </c>
      <c r="I127" s="244"/>
      <c r="J127" s="244"/>
      <c r="K127" s="244"/>
      <c r="L127" s="244"/>
      <c r="M127" s="244"/>
      <c r="N127" s="244"/>
      <c r="O127" s="244"/>
      <c r="P127" s="244"/>
      <c r="Q127" s="244"/>
      <c r="R127" s="244"/>
      <c r="S127" s="244"/>
      <c r="T127" s="244"/>
      <c r="U127" s="244"/>
      <c r="V127" s="244"/>
      <c r="W127" s="244"/>
      <c r="X127" s="244"/>
      <c r="Y127" s="244"/>
      <c r="Z127" s="244"/>
    </row>
    <row r="128">
      <c r="A128" s="244"/>
      <c r="B128" s="248" t="str">
        <f t="array" ref="B128">'Teaching and Learning'!C27:I31</f>
        <v>#REF!</v>
      </c>
      <c r="C128" s="248"/>
      <c r="D128" s="248"/>
      <c r="E128" s="248"/>
      <c r="F128" s="248"/>
      <c r="G128" s="248"/>
      <c r="H128" s="248"/>
      <c r="I128" s="244"/>
      <c r="J128" s="244"/>
      <c r="K128" s="244"/>
      <c r="L128" s="244"/>
      <c r="M128" s="244"/>
      <c r="N128" s="244"/>
      <c r="O128" s="244"/>
      <c r="P128" s="244"/>
      <c r="Q128" s="244"/>
      <c r="R128" s="244"/>
      <c r="S128" s="244"/>
      <c r="T128" s="244"/>
      <c r="U128" s="244"/>
      <c r="V128" s="244"/>
      <c r="W128" s="244"/>
      <c r="X128" s="244"/>
      <c r="Y128" s="244"/>
      <c r="Z128" s="244"/>
    </row>
    <row r="129">
      <c r="A129" s="244"/>
      <c r="B129" s="249"/>
      <c r="C129" s="249"/>
      <c r="D129" s="249"/>
      <c r="E129" s="249"/>
      <c r="F129" s="249"/>
      <c r="G129" s="249"/>
      <c r="H129" s="249"/>
      <c r="I129" s="244"/>
      <c r="J129" s="244"/>
      <c r="K129" s="244"/>
      <c r="L129" s="244"/>
      <c r="M129" s="244"/>
      <c r="N129" s="244"/>
      <c r="O129" s="244"/>
      <c r="P129" s="244"/>
      <c r="Q129" s="244"/>
      <c r="R129" s="244"/>
      <c r="S129" s="244"/>
      <c r="T129" s="244"/>
      <c r="U129" s="244"/>
      <c r="V129" s="244"/>
      <c r="W129" s="244"/>
      <c r="X129" s="244"/>
      <c r="Y129" s="244"/>
      <c r="Z129" s="244"/>
    </row>
    <row r="130">
      <c r="A130" s="244"/>
      <c r="B130" s="249"/>
      <c r="C130" s="249"/>
      <c r="D130" s="249"/>
      <c r="E130" s="249"/>
      <c r="F130" s="249"/>
      <c r="G130" s="249"/>
      <c r="H130" s="249"/>
      <c r="I130" s="244"/>
      <c r="J130" s="244"/>
      <c r="K130" s="244"/>
      <c r="L130" s="244"/>
      <c r="M130" s="244"/>
      <c r="N130" s="244"/>
      <c r="O130" s="244"/>
      <c r="P130" s="244"/>
      <c r="Q130" s="244"/>
      <c r="R130" s="244"/>
      <c r="S130" s="244"/>
      <c r="T130" s="244"/>
      <c r="U130" s="244"/>
      <c r="V130" s="244"/>
      <c r="W130" s="244"/>
      <c r="X130" s="244"/>
      <c r="Y130" s="244"/>
      <c r="Z130" s="244"/>
    </row>
    <row r="131">
      <c r="A131" s="244"/>
      <c r="B131" s="249"/>
      <c r="C131" s="249"/>
      <c r="D131" s="249"/>
      <c r="E131" s="249"/>
      <c r="F131" s="249"/>
      <c r="G131" s="249"/>
      <c r="H131" s="249"/>
      <c r="I131" s="244"/>
      <c r="J131" s="244"/>
      <c r="K131" s="244"/>
      <c r="L131" s="244"/>
      <c r="M131" s="244"/>
      <c r="N131" s="244"/>
      <c r="O131" s="244"/>
      <c r="P131" s="244"/>
      <c r="Q131" s="244"/>
      <c r="R131" s="244"/>
      <c r="S131" s="244"/>
      <c r="T131" s="244"/>
      <c r="U131" s="244"/>
      <c r="V131" s="244"/>
      <c r="W131" s="244"/>
      <c r="X131" s="244"/>
      <c r="Y131" s="244"/>
      <c r="Z131" s="244"/>
    </row>
    <row r="132">
      <c r="A132" s="244"/>
      <c r="B132" s="249"/>
      <c r="C132" s="249"/>
      <c r="D132" s="249"/>
      <c r="E132" s="249"/>
      <c r="F132" s="249"/>
      <c r="G132" s="249"/>
      <c r="H132" s="249"/>
      <c r="I132" s="244"/>
      <c r="J132" s="244"/>
      <c r="K132" s="244"/>
      <c r="L132" s="244"/>
      <c r="M132" s="244"/>
      <c r="N132" s="244"/>
      <c r="O132" s="244"/>
      <c r="P132" s="244"/>
      <c r="Q132" s="244"/>
      <c r="R132" s="244"/>
      <c r="S132" s="244"/>
      <c r="T132" s="244"/>
      <c r="U132" s="244"/>
      <c r="V132" s="244"/>
      <c r="W132" s="244"/>
      <c r="X132" s="244"/>
      <c r="Y132" s="244"/>
      <c r="Z132" s="244"/>
    </row>
    <row r="133">
      <c r="A133" s="244"/>
      <c r="B133" s="249" t="str">
        <f t="array" ref="B133">'Teaching and Learning'!C50:I53</f>
        <v>#REF!</v>
      </c>
      <c r="C133" s="249"/>
      <c r="D133" s="249"/>
      <c r="E133" s="249"/>
      <c r="F133" s="249"/>
      <c r="G133" s="249"/>
      <c r="H133" s="249"/>
      <c r="I133" s="244"/>
      <c r="J133" s="244"/>
      <c r="K133" s="244"/>
      <c r="L133" s="244"/>
      <c r="M133" s="244"/>
      <c r="N133" s="244"/>
      <c r="O133" s="244"/>
      <c r="P133" s="244"/>
      <c r="Q133" s="244"/>
      <c r="R133" s="244"/>
      <c r="S133" s="244"/>
      <c r="T133" s="244"/>
      <c r="U133" s="244"/>
      <c r="V133" s="244"/>
      <c r="W133" s="244"/>
      <c r="X133" s="244"/>
      <c r="Y133" s="244"/>
      <c r="Z133" s="244"/>
    </row>
    <row r="134">
      <c r="A134" s="244"/>
      <c r="B134" s="249"/>
      <c r="C134" s="249"/>
      <c r="D134" s="249"/>
      <c r="E134" s="249"/>
      <c r="F134" s="249"/>
      <c r="G134" s="249"/>
      <c r="H134" s="249"/>
      <c r="I134" s="244"/>
      <c r="J134" s="244"/>
      <c r="K134" s="244"/>
      <c r="L134" s="244"/>
      <c r="M134" s="244"/>
      <c r="N134" s="244"/>
      <c r="O134" s="244"/>
      <c r="P134" s="244"/>
      <c r="Q134" s="244"/>
      <c r="R134" s="244"/>
      <c r="S134" s="244"/>
      <c r="T134" s="244"/>
      <c r="U134" s="244"/>
      <c r="V134" s="244"/>
      <c r="W134" s="244"/>
      <c r="X134" s="244"/>
      <c r="Y134" s="244"/>
      <c r="Z134" s="244"/>
    </row>
    <row r="135">
      <c r="A135" s="244"/>
      <c r="B135" s="249"/>
      <c r="C135" s="249"/>
      <c r="D135" s="249"/>
      <c r="E135" s="249"/>
      <c r="F135" s="249"/>
      <c r="G135" s="249"/>
      <c r="H135" s="249"/>
      <c r="I135" s="244"/>
      <c r="J135" s="244"/>
      <c r="K135" s="244"/>
      <c r="L135" s="244"/>
      <c r="M135" s="244"/>
      <c r="N135" s="244"/>
      <c r="O135" s="244"/>
      <c r="P135" s="244"/>
      <c r="Q135" s="244"/>
      <c r="R135" s="244"/>
      <c r="S135" s="244"/>
      <c r="T135" s="244"/>
      <c r="U135" s="244"/>
      <c r="V135" s="244"/>
      <c r="W135" s="244"/>
      <c r="X135" s="244"/>
      <c r="Y135" s="244"/>
      <c r="Z135" s="244"/>
    </row>
    <row r="136">
      <c r="A136" s="244"/>
      <c r="B136" s="249" t="str">
        <f t="array" ref="B136">'Teaching and Learning'!C174:I177</f>
        <v>#REF!</v>
      </c>
      <c r="C136" s="249"/>
      <c r="D136" s="249"/>
      <c r="E136" s="249"/>
      <c r="F136" s="249"/>
      <c r="G136" s="249"/>
      <c r="H136" s="249"/>
      <c r="I136" s="244"/>
      <c r="J136" s="244"/>
      <c r="K136" s="244"/>
      <c r="L136" s="244"/>
      <c r="M136" s="244"/>
      <c r="N136" s="244"/>
      <c r="O136" s="244"/>
      <c r="P136" s="244"/>
      <c r="Q136" s="244"/>
      <c r="R136" s="244"/>
      <c r="S136" s="244"/>
      <c r="T136" s="244"/>
      <c r="U136" s="244"/>
      <c r="V136" s="244"/>
      <c r="W136" s="244"/>
      <c r="X136" s="244"/>
      <c r="Y136" s="244"/>
      <c r="Z136" s="244"/>
    </row>
    <row r="137">
      <c r="A137" s="244"/>
      <c r="B137" s="249"/>
      <c r="C137" s="249"/>
      <c r="D137" s="249"/>
      <c r="E137" s="249"/>
      <c r="F137" s="249"/>
      <c r="G137" s="249"/>
      <c r="H137" s="249"/>
      <c r="I137" s="244"/>
      <c r="J137" s="244"/>
      <c r="K137" s="244"/>
      <c r="L137" s="244"/>
      <c r="M137" s="244"/>
      <c r="N137" s="244"/>
      <c r="O137" s="244"/>
      <c r="P137" s="244"/>
      <c r="Q137" s="244"/>
      <c r="R137" s="244"/>
      <c r="S137" s="244"/>
      <c r="T137" s="244"/>
      <c r="U137" s="244"/>
      <c r="V137" s="244"/>
      <c r="W137" s="244"/>
      <c r="X137" s="244"/>
      <c r="Y137" s="244"/>
      <c r="Z137" s="244"/>
    </row>
    <row r="138">
      <c r="A138" s="244"/>
      <c r="B138" s="249"/>
      <c r="C138" s="249"/>
      <c r="D138" s="249"/>
      <c r="E138" s="249"/>
      <c r="F138" s="249"/>
      <c r="G138" s="249"/>
      <c r="H138" s="249"/>
      <c r="I138" s="244"/>
      <c r="J138" s="244"/>
      <c r="K138" s="244"/>
      <c r="L138" s="244"/>
      <c r="M138" s="244"/>
      <c r="N138" s="244"/>
      <c r="O138" s="244"/>
      <c r="P138" s="244"/>
      <c r="Q138" s="244"/>
      <c r="R138" s="244"/>
      <c r="S138" s="244"/>
      <c r="T138" s="244"/>
      <c r="U138" s="244"/>
      <c r="V138" s="244"/>
      <c r="W138" s="244"/>
      <c r="X138" s="244"/>
      <c r="Y138" s="244"/>
      <c r="Z138" s="244"/>
    </row>
    <row r="139">
      <c r="A139" s="244"/>
      <c r="B139" s="249"/>
      <c r="C139" s="249"/>
      <c r="D139" s="249"/>
      <c r="E139" s="249"/>
      <c r="F139" s="249"/>
      <c r="G139" s="249"/>
      <c r="H139" s="249"/>
      <c r="I139" s="244"/>
      <c r="J139" s="244"/>
      <c r="K139" s="244"/>
      <c r="L139" s="244"/>
      <c r="M139" s="244"/>
      <c r="N139" s="244"/>
      <c r="O139" s="244"/>
      <c r="P139" s="244"/>
      <c r="Q139" s="244"/>
      <c r="R139" s="244"/>
      <c r="S139" s="244"/>
      <c r="T139" s="244"/>
      <c r="U139" s="244"/>
      <c r="V139" s="244"/>
      <c r="W139" s="244"/>
      <c r="X139" s="244"/>
      <c r="Y139" s="244"/>
      <c r="Z139" s="244"/>
    </row>
    <row r="140">
      <c r="A140" s="244"/>
      <c r="B140" s="249"/>
      <c r="C140" s="249"/>
      <c r="D140" s="249"/>
      <c r="E140" s="249"/>
      <c r="F140" s="249"/>
      <c r="G140" s="249"/>
      <c r="H140" s="249"/>
      <c r="I140" s="244"/>
      <c r="J140" s="244"/>
      <c r="K140" s="244"/>
      <c r="L140" s="244"/>
      <c r="M140" s="244"/>
      <c r="N140" s="244"/>
      <c r="O140" s="244"/>
      <c r="P140" s="244"/>
      <c r="Q140" s="244"/>
      <c r="R140" s="244"/>
      <c r="S140" s="244"/>
      <c r="T140" s="244"/>
      <c r="U140" s="244"/>
      <c r="V140" s="244"/>
      <c r="W140" s="244"/>
      <c r="X140" s="244"/>
      <c r="Y140" s="244"/>
      <c r="Z140" s="244"/>
    </row>
    <row r="141">
      <c r="A141" s="244"/>
      <c r="B141" s="249"/>
      <c r="C141" s="249"/>
      <c r="D141" s="249"/>
      <c r="E141" s="249"/>
      <c r="F141" s="249"/>
      <c r="G141" s="249"/>
      <c r="H141" s="249"/>
      <c r="I141" s="244"/>
      <c r="J141" s="244"/>
      <c r="K141" s="244"/>
      <c r="L141" s="244"/>
      <c r="M141" s="244"/>
      <c r="N141" s="244"/>
      <c r="O141" s="244"/>
      <c r="P141" s="244"/>
      <c r="Q141" s="244"/>
      <c r="R141" s="244"/>
      <c r="S141" s="244"/>
      <c r="T141" s="244"/>
      <c r="U141" s="244"/>
      <c r="V141" s="244"/>
      <c r="W141" s="244"/>
      <c r="X141" s="244"/>
      <c r="Y141" s="244"/>
      <c r="Z141" s="244"/>
    </row>
    <row r="142">
      <c r="A142" s="244"/>
      <c r="B142" s="249" t="str">
        <f t="array" ref="B142">'Teaching and Learning'!C154:I157</f>
        <v>#REF!</v>
      </c>
      <c r="C142" s="249"/>
      <c r="D142" s="249"/>
      <c r="E142" s="249"/>
      <c r="F142" s="249"/>
      <c r="G142" s="249"/>
      <c r="H142" s="249"/>
      <c r="I142" s="244"/>
      <c r="J142" s="244"/>
      <c r="K142" s="244"/>
      <c r="L142" s="244"/>
      <c r="M142" s="244"/>
      <c r="N142" s="244"/>
      <c r="O142" s="244"/>
      <c r="P142" s="244"/>
      <c r="Q142" s="244"/>
      <c r="R142" s="244"/>
      <c r="S142" s="244"/>
      <c r="T142" s="244"/>
      <c r="U142" s="244"/>
      <c r="V142" s="244"/>
      <c r="W142" s="244"/>
      <c r="X142" s="244"/>
      <c r="Y142" s="244"/>
      <c r="Z142" s="244"/>
    </row>
    <row r="143">
      <c r="A143" s="244"/>
      <c r="B143" s="249"/>
      <c r="C143" s="249"/>
      <c r="D143" s="249"/>
      <c r="E143" s="249"/>
      <c r="F143" s="249"/>
      <c r="G143" s="249"/>
      <c r="H143" s="249"/>
      <c r="I143" s="244"/>
      <c r="J143" s="244"/>
      <c r="K143" s="244"/>
      <c r="L143" s="244"/>
      <c r="M143" s="244"/>
      <c r="N143" s="244"/>
      <c r="O143" s="244"/>
      <c r="P143" s="244"/>
      <c r="Q143" s="244"/>
      <c r="R143" s="244"/>
      <c r="S143" s="244"/>
      <c r="T143" s="244"/>
      <c r="U143" s="244"/>
      <c r="V143" s="244"/>
      <c r="W143" s="244"/>
      <c r="X143" s="244"/>
      <c r="Y143" s="244"/>
      <c r="Z143" s="244"/>
    </row>
    <row r="144">
      <c r="A144" s="244"/>
      <c r="B144" s="249"/>
      <c r="C144" s="249"/>
      <c r="D144" s="249"/>
      <c r="E144" s="249"/>
      <c r="F144" s="249"/>
      <c r="G144" s="249"/>
      <c r="H144" s="249"/>
      <c r="I144" s="244"/>
      <c r="J144" s="244"/>
      <c r="K144" s="244"/>
      <c r="L144" s="244"/>
      <c r="M144" s="244"/>
      <c r="N144" s="244"/>
      <c r="O144" s="244"/>
      <c r="P144" s="244"/>
      <c r="Q144" s="244"/>
      <c r="R144" s="244"/>
      <c r="S144" s="244"/>
      <c r="T144" s="244"/>
      <c r="U144" s="244"/>
      <c r="V144" s="244"/>
      <c r="W144" s="244"/>
      <c r="X144" s="244"/>
      <c r="Y144" s="244"/>
      <c r="Z144" s="244"/>
    </row>
    <row r="145">
      <c r="A145" s="244"/>
      <c r="B145" s="249"/>
      <c r="C145" s="249"/>
      <c r="D145" s="249"/>
      <c r="E145" s="249"/>
      <c r="F145" s="249"/>
      <c r="G145" s="249"/>
      <c r="H145" s="249"/>
      <c r="I145" s="244"/>
      <c r="J145" s="244"/>
      <c r="K145" s="244"/>
      <c r="L145" s="244"/>
      <c r="M145" s="244"/>
      <c r="N145" s="244"/>
      <c r="O145" s="244"/>
      <c r="P145" s="244"/>
      <c r="Q145" s="244"/>
      <c r="R145" s="244"/>
      <c r="S145" s="244"/>
      <c r="T145" s="244"/>
      <c r="U145" s="244"/>
      <c r="V145" s="244"/>
      <c r="W145" s="244"/>
      <c r="X145" s="244"/>
      <c r="Y145" s="244"/>
      <c r="Z145" s="244"/>
    </row>
    <row r="146">
      <c r="A146" s="244"/>
      <c r="B146" s="250"/>
      <c r="C146" s="250"/>
      <c r="D146" s="250"/>
      <c r="E146" s="250"/>
      <c r="F146" s="250"/>
      <c r="G146" s="250"/>
      <c r="H146" s="250"/>
      <c r="I146" s="244"/>
      <c r="J146" s="244"/>
      <c r="K146" s="244"/>
      <c r="L146" s="244"/>
      <c r="M146" s="244"/>
      <c r="N146" s="244"/>
      <c r="O146" s="244"/>
      <c r="P146" s="244"/>
      <c r="Q146" s="244"/>
      <c r="R146" s="244"/>
      <c r="S146" s="244"/>
      <c r="T146" s="244"/>
      <c r="U146" s="244"/>
      <c r="V146" s="244"/>
      <c r="W146" s="244"/>
      <c r="X146" s="244"/>
      <c r="Y146" s="244"/>
      <c r="Z146" s="244"/>
    </row>
    <row r="147">
      <c r="A147" s="244"/>
      <c r="B147" s="244"/>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row>
    <row r="148">
      <c r="A148" s="244"/>
      <c r="B148" s="244"/>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row>
    <row r="149">
      <c r="A149" s="244"/>
      <c r="B149" s="244"/>
      <c r="C149" s="244"/>
      <c r="D149" s="244"/>
      <c r="E149" s="244"/>
      <c r="F149" s="244"/>
      <c r="G149" s="244"/>
      <c r="H149" s="244"/>
      <c r="I149" s="244"/>
      <c r="J149" s="244"/>
      <c r="K149" s="244"/>
      <c r="L149" s="244"/>
      <c r="M149" s="244"/>
      <c r="N149" s="244"/>
      <c r="O149" s="244"/>
      <c r="P149" s="244"/>
      <c r="Q149" s="244"/>
      <c r="R149" s="244"/>
      <c r="S149" s="244"/>
      <c r="T149" s="244"/>
      <c r="U149" s="244"/>
      <c r="V149" s="244"/>
      <c r="W149" s="244"/>
      <c r="X149" s="244"/>
      <c r="Y149" s="244"/>
      <c r="Z149" s="244"/>
    </row>
    <row r="150">
      <c r="A150" s="244"/>
      <c r="B150" s="244"/>
      <c r="C150" s="244"/>
      <c r="D150" s="244"/>
      <c r="E150" s="244"/>
      <c r="F150" s="244"/>
      <c r="G150" s="244"/>
      <c r="H150" s="244"/>
      <c r="I150" s="244"/>
      <c r="J150" s="244"/>
      <c r="K150" s="244"/>
      <c r="L150" s="244"/>
      <c r="M150" s="244"/>
      <c r="N150" s="244"/>
      <c r="O150" s="244"/>
      <c r="P150" s="244"/>
      <c r="Q150" s="244"/>
      <c r="R150" s="244"/>
      <c r="S150" s="244"/>
      <c r="T150" s="244"/>
      <c r="U150" s="244"/>
      <c r="V150" s="244"/>
      <c r="W150" s="244"/>
      <c r="X150" s="244"/>
      <c r="Y150" s="244"/>
      <c r="Z150" s="244"/>
    </row>
    <row r="151">
      <c r="A151" s="244"/>
      <c r="B151" s="244"/>
      <c r="C151" s="244"/>
      <c r="D151" s="244"/>
      <c r="E151" s="244"/>
      <c r="F151" s="244"/>
      <c r="G151" s="244"/>
      <c r="H151" s="244"/>
      <c r="I151" s="244"/>
      <c r="J151" s="244"/>
      <c r="K151" s="244"/>
      <c r="L151" s="244"/>
      <c r="M151" s="244"/>
      <c r="N151" s="244"/>
      <c r="O151" s="244"/>
      <c r="P151" s="244"/>
      <c r="Q151" s="244"/>
      <c r="R151" s="244"/>
      <c r="S151" s="244"/>
      <c r="T151" s="244"/>
      <c r="U151" s="244"/>
      <c r="V151" s="244"/>
      <c r="W151" s="244"/>
      <c r="X151" s="244"/>
      <c r="Y151" s="244"/>
      <c r="Z151" s="244"/>
    </row>
    <row r="152">
      <c r="A152" s="244"/>
      <c r="B152" s="244"/>
      <c r="C152" s="244"/>
      <c r="D152" s="244"/>
      <c r="E152" s="244"/>
      <c r="F152" s="244"/>
      <c r="G152" s="244"/>
      <c r="H152" s="244"/>
      <c r="I152" s="244"/>
      <c r="J152" s="244"/>
      <c r="K152" s="244"/>
      <c r="L152" s="244"/>
      <c r="M152" s="244"/>
      <c r="N152" s="244"/>
      <c r="O152" s="244"/>
      <c r="P152" s="244"/>
      <c r="Q152" s="244"/>
      <c r="R152" s="244"/>
      <c r="S152" s="244"/>
      <c r="T152" s="244"/>
      <c r="U152" s="244"/>
      <c r="V152" s="244"/>
      <c r="W152" s="244"/>
      <c r="X152" s="244"/>
      <c r="Y152" s="244"/>
      <c r="Z152" s="244"/>
    </row>
    <row r="153">
      <c r="A153" s="244"/>
      <c r="B153" s="244"/>
      <c r="C153" s="244"/>
      <c r="D153" s="244"/>
      <c r="E153" s="244"/>
      <c r="F153" s="244"/>
      <c r="G153" s="244"/>
      <c r="H153" s="244"/>
      <c r="I153" s="244"/>
      <c r="J153" s="244"/>
      <c r="K153" s="244"/>
      <c r="L153" s="244"/>
      <c r="M153" s="244"/>
      <c r="N153" s="244"/>
      <c r="O153" s="244"/>
      <c r="P153" s="244"/>
      <c r="Q153" s="244"/>
      <c r="R153" s="244"/>
      <c r="S153" s="244"/>
      <c r="T153" s="244"/>
      <c r="U153" s="244"/>
      <c r="V153" s="244"/>
      <c r="W153" s="244"/>
      <c r="X153" s="244"/>
      <c r="Y153" s="244"/>
      <c r="Z153" s="244"/>
    </row>
    <row r="154">
      <c r="A154" s="244"/>
      <c r="B154" s="244"/>
      <c r="C154" s="244"/>
      <c r="D154" s="244"/>
      <c r="E154" s="244"/>
      <c r="F154" s="244"/>
      <c r="G154" s="244"/>
      <c r="H154" s="244"/>
      <c r="I154" s="244"/>
      <c r="J154" s="244"/>
      <c r="K154" s="244"/>
      <c r="L154" s="244"/>
      <c r="M154" s="244"/>
      <c r="N154" s="244"/>
      <c r="O154" s="244"/>
      <c r="P154" s="244"/>
      <c r="Q154" s="244"/>
      <c r="R154" s="244"/>
      <c r="S154" s="244"/>
      <c r="T154" s="244"/>
      <c r="U154" s="244"/>
      <c r="V154" s="244"/>
      <c r="W154" s="244"/>
      <c r="X154" s="244"/>
      <c r="Y154" s="244"/>
      <c r="Z154" s="244"/>
    </row>
    <row r="155">
      <c r="A155" s="244"/>
      <c r="B155" s="244"/>
      <c r="C155" s="244"/>
      <c r="D155" s="244"/>
      <c r="E155" s="244"/>
      <c r="F155" s="244"/>
      <c r="G155" s="244"/>
      <c r="H155" s="244"/>
      <c r="I155" s="244"/>
      <c r="J155" s="244"/>
      <c r="K155" s="244"/>
      <c r="L155" s="244"/>
      <c r="M155" s="244"/>
      <c r="N155" s="244"/>
      <c r="O155" s="244"/>
      <c r="P155" s="244"/>
      <c r="Q155" s="244"/>
      <c r="R155" s="244"/>
      <c r="S155" s="244"/>
      <c r="T155" s="244"/>
      <c r="U155" s="244"/>
      <c r="V155" s="244"/>
      <c r="W155" s="244"/>
      <c r="X155" s="244"/>
      <c r="Y155" s="244"/>
      <c r="Z155" s="244"/>
    </row>
    <row r="156">
      <c r="A156" s="244"/>
      <c r="B156" s="244"/>
      <c r="C156" s="244"/>
      <c r="D156" s="244"/>
      <c r="E156" s="244"/>
      <c r="F156" s="244"/>
      <c r="G156" s="244"/>
      <c r="H156" s="244"/>
      <c r="I156" s="244"/>
      <c r="J156" s="244"/>
      <c r="K156" s="244"/>
      <c r="L156" s="244"/>
      <c r="M156" s="244"/>
      <c r="N156" s="244"/>
      <c r="O156" s="244"/>
      <c r="P156" s="244"/>
      <c r="Q156" s="244"/>
      <c r="R156" s="244"/>
      <c r="S156" s="244"/>
      <c r="T156" s="244"/>
      <c r="U156" s="244"/>
      <c r="V156" s="244"/>
      <c r="W156" s="244"/>
      <c r="X156" s="244"/>
      <c r="Y156" s="244"/>
      <c r="Z156" s="244"/>
    </row>
    <row r="157">
      <c r="A157" s="244"/>
      <c r="B157" s="244"/>
      <c r="C157" s="244"/>
      <c r="D157" s="244"/>
      <c r="E157" s="244"/>
      <c r="F157" s="244"/>
      <c r="G157" s="244"/>
      <c r="H157" s="244"/>
      <c r="I157" s="244"/>
      <c r="J157" s="244"/>
      <c r="K157" s="244"/>
      <c r="L157" s="244"/>
      <c r="M157" s="244"/>
      <c r="N157" s="244"/>
      <c r="O157" s="244"/>
      <c r="P157" s="244"/>
      <c r="Q157" s="244"/>
      <c r="R157" s="244"/>
      <c r="S157" s="244"/>
      <c r="T157" s="244"/>
      <c r="U157" s="244"/>
      <c r="V157" s="244"/>
      <c r="W157" s="244"/>
      <c r="X157" s="244"/>
      <c r="Y157" s="244"/>
      <c r="Z157" s="244"/>
    </row>
    <row r="158">
      <c r="A158" s="244"/>
      <c r="B158" s="244"/>
      <c r="C158" s="244"/>
      <c r="D158" s="244"/>
      <c r="E158" s="244"/>
      <c r="F158" s="244"/>
      <c r="G158" s="244"/>
      <c r="H158" s="244"/>
      <c r="I158" s="244"/>
      <c r="J158" s="244"/>
      <c r="K158" s="244"/>
      <c r="L158" s="244"/>
      <c r="M158" s="244"/>
      <c r="N158" s="244"/>
      <c r="O158" s="244"/>
      <c r="P158" s="244"/>
      <c r="Q158" s="244"/>
      <c r="R158" s="244"/>
      <c r="S158" s="244"/>
      <c r="T158" s="244"/>
      <c r="U158" s="244"/>
      <c r="V158" s="244"/>
      <c r="W158" s="244"/>
      <c r="X158" s="244"/>
      <c r="Y158" s="244"/>
      <c r="Z158" s="244"/>
    </row>
    <row r="159">
      <c r="A159" s="244"/>
      <c r="B159" s="244"/>
      <c r="C159" s="244"/>
      <c r="D159" s="244"/>
      <c r="E159" s="244"/>
      <c r="F159" s="244"/>
      <c r="G159" s="244"/>
      <c r="H159" s="244"/>
      <c r="I159" s="244"/>
      <c r="J159" s="244"/>
      <c r="K159" s="244"/>
      <c r="L159" s="244"/>
      <c r="M159" s="244"/>
      <c r="N159" s="244"/>
      <c r="O159" s="244"/>
      <c r="P159" s="244"/>
      <c r="Q159" s="244"/>
      <c r="R159" s="244"/>
      <c r="S159" s="244"/>
      <c r="T159" s="244"/>
      <c r="U159" s="244"/>
      <c r="V159" s="244"/>
      <c r="W159" s="244"/>
      <c r="X159" s="244"/>
      <c r="Y159" s="244"/>
      <c r="Z159" s="244"/>
    </row>
    <row r="160">
      <c r="A160" s="244"/>
      <c r="B160" s="244"/>
      <c r="C160" s="244"/>
      <c r="D160" s="244"/>
      <c r="E160" s="244"/>
      <c r="F160" s="244"/>
      <c r="G160" s="244"/>
      <c r="H160" s="244"/>
      <c r="I160" s="244"/>
      <c r="J160" s="244"/>
      <c r="K160" s="244"/>
      <c r="L160" s="244"/>
      <c r="M160" s="244"/>
      <c r="N160" s="244"/>
      <c r="O160" s="244"/>
      <c r="P160" s="244"/>
      <c r="Q160" s="244"/>
      <c r="R160" s="244"/>
      <c r="S160" s="244"/>
      <c r="T160" s="244"/>
      <c r="U160" s="244"/>
      <c r="V160" s="244"/>
      <c r="W160" s="244"/>
      <c r="X160" s="244"/>
      <c r="Y160" s="244"/>
      <c r="Z160" s="244"/>
    </row>
    <row r="161">
      <c r="A161" s="244"/>
      <c r="B161" s="244"/>
      <c r="C161" s="244"/>
      <c r="D161" s="244"/>
      <c r="E161" s="244"/>
      <c r="F161" s="244"/>
      <c r="G161" s="244"/>
      <c r="H161" s="244"/>
      <c r="I161" s="244"/>
      <c r="J161" s="244"/>
      <c r="K161" s="244"/>
      <c r="L161" s="244"/>
      <c r="M161" s="244"/>
      <c r="N161" s="244"/>
      <c r="O161" s="244"/>
      <c r="P161" s="244"/>
      <c r="Q161" s="244"/>
      <c r="R161" s="244"/>
      <c r="S161" s="244"/>
      <c r="T161" s="244"/>
      <c r="U161" s="244"/>
      <c r="V161" s="244"/>
      <c r="W161" s="244"/>
      <c r="X161" s="244"/>
      <c r="Y161" s="244"/>
      <c r="Z161" s="244"/>
    </row>
    <row r="162">
      <c r="A162" s="244"/>
      <c r="B162" s="244"/>
      <c r="C162" s="244"/>
      <c r="D162" s="244"/>
      <c r="E162" s="244"/>
      <c r="F162" s="244"/>
      <c r="G162" s="244"/>
      <c r="H162" s="244"/>
      <c r="I162" s="244"/>
      <c r="J162" s="244"/>
      <c r="K162" s="244"/>
      <c r="L162" s="244"/>
      <c r="M162" s="244"/>
      <c r="N162" s="244"/>
      <c r="O162" s="244"/>
      <c r="P162" s="244"/>
      <c r="Q162" s="244"/>
      <c r="R162" s="244"/>
      <c r="S162" s="244"/>
      <c r="T162" s="244"/>
      <c r="U162" s="244"/>
      <c r="V162" s="244"/>
      <c r="W162" s="244"/>
      <c r="X162" s="244"/>
      <c r="Y162" s="244"/>
      <c r="Z162" s="244"/>
    </row>
    <row r="163">
      <c r="A163" s="244"/>
      <c r="B163" s="244"/>
      <c r="C163" s="244"/>
      <c r="D163" s="244"/>
      <c r="E163" s="244"/>
      <c r="F163" s="244"/>
      <c r="G163" s="244"/>
      <c r="H163" s="244"/>
      <c r="I163" s="244"/>
      <c r="J163" s="244"/>
      <c r="K163" s="244"/>
      <c r="L163" s="244"/>
      <c r="M163" s="244"/>
      <c r="N163" s="244"/>
      <c r="O163" s="244"/>
      <c r="P163" s="244"/>
      <c r="Q163" s="244"/>
      <c r="R163" s="244"/>
      <c r="S163" s="244"/>
      <c r="T163" s="244"/>
      <c r="U163" s="244"/>
      <c r="V163" s="244"/>
      <c r="W163" s="244"/>
      <c r="X163" s="244"/>
      <c r="Y163" s="244"/>
      <c r="Z163" s="244"/>
    </row>
    <row r="164">
      <c r="A164" s="244"/>
      <c r="B164" s="244"/>
      <c r="C164" s="244"/>
      <c r="D164" s="244"/>
      <c r="E164" s="244"/>
      <c r="F164" s="244"/>
      <c r="G164" s="244"/>
      <c r="H164" s="244"/>
      <c r="I164" s="244"/>
      <c r="J164" s="244"/>
      <c r="K164" s="244"/>
      <c r="L164" s="244"/>
      <c r="M164" s="244"/>
      <c r="N164" s="244"/>
      <c r="O164" s="244"/>
      <c r="P164" s="244"/>
      <c r="Q164" s="244"/>
      <c r="R164" s="244"/>
      <c r="S164" s="244"/>
      <c r="T164" s="244"/>
      <c r="U164" s="244"/>
      <c r="V164" s="244"/>
      <c r="W164" s="244"/>
      <c r="X164" s="244"/>
      <c r="Y164" s="244"/>
      <c r="Z164" s="244"/>
    </row>
    <row r="165">
      <c r="A165" s="244"/>
      <c r="B165" s="244"/>
      <c r="C165" s="244"/>
      <c r="D165" s="244"/>
      <c r="E165" s="244"/>
      <c r="F165" s="244"/>
      <c r="G165" s="244"/>
      <c r="H165" s="244"/>
      <c r="I165" s="244"/>
      <c r="J165" s="244"/>
      <c r="K165" s="244"/>
      <c r="L165" s="244"/>
      <c r="M165" s="244"/>
      <c r="N165" s="244"/>
      <c r="O165" s="244"/>
      <c r="P165" s="244"/>
      <c r="Q165" s="244"/>
      <c r="R165" s="244"/>
      <c r="S165" s="244"/>
      <c r="T165" s="244"/>
      <c r="U165" s="244"/>
      <c r="V165" s="244"/>
      <c r="W165" s="244"/>
      <c r="X165" s="244"/>
      <c r="Y165" s="244"/>
      <c r="Z165" s="244"/>
    </row>
    <row r="166">
      <c r="A166" s="244"/>
      <c r="B166" s="244"/>
      <c r="C166" s="244"/>
      <c r="D166" s="244"/>
      <c r="E166" s="244"/>
      <c r="F166" s="244"/>
      <c r="G166" s="244"/>
      <c r="H166" s="244"/>
      <c r="I166" s="244"/>
      <c r="J166" s="244"/>
      <c r="K166" s="244"/>
      <c r="L166" s="244"/>
      <c r="M166" s="244"/>
      <c r="N166" s="244"/>
      <c r="O166" s="244"/>
      <c r="P166" s="244"/>
      <c r="Q166" s="244"/>
      <c r="R166" s="244"/>
      <c r="S166" s="244"/>
      <c r="T166" s="244"/>
      <c r="U166" s="244"/>
      <c r="V166" s="244"/>
      <c r="W166" s="244"/>
      <c r="X166" s="244"/>
      <c r="Y166" s="244"/>
      <c r="Z166" s="244"/>
    </row>
    <row r="167">
      <c r="A167" s="244"/>
      <c r="B167" s="244"/>
      <c r="C167" s="244"/>
      <c r="D167" s="244"/>
      <c r="E167" s="244"/>
      <c r="F167" s="244"/>
      <c r="G167" s="244"/>
      <c r="H167" s="244"/>
      <c r="I167" s="244"/>
      <c r="J167" s="244"/>
      <c r="K167" s="244"/>
      <c r="L167" s="244"/>
      <c r="M167" s="244"/>
      <c r="N167" s="244"/>
      <c r="O167" s="244"/>
      <c r="P167" s="244"/>
      <c r="Q167" s="244"/>
      <c r="R167" s="244"/>
      <c r="S167" s="244"/>
      <c r="T167" s="244"/>
      <c r="U167" s="244"/>
      <c r="V167" s="244"/>
      <c r="W167" s="244"/>
      <c r="X167" s="244"/>
      <c r="Y167" s="244"/>
      <c r="Z167" s="244"/>
    </row>
    <row r="168">
      <c r="A168" s="244"/>
      <c r="B168" s="244"/>
      <c r="C168" s="244"/>
      <c r="D168" s="244"/>
      <c r="E168" s="244"/>
      <c r="F168" s="244"/>
      <c r="G168" s="244"/>
      <c r="H168" s="244"/>
      <c r="I168" s="244"/>
      <c r="J168" s="244"/>
      <c r="K168" s="244"/>
      <c r="L168" s="244"/>
      <c r="M168" s="244"/>
      <c r="N168" s="244"/>
      <c r="O168" s="244"/>
      <c r="P168" s="244"/>
      <c r="Q168" s="244"/>
      <c r="R168" s="244"/>
      <c r="S168" s="244"/>
      <c r="T168" s="244"/>
      <c r="U168" s="244"/>
      <c r="V168" s="244"/>
      <c r="W168" s="244"/>
      <c r="X168" s="244"/>
      <c r="Y168" s="244"/>
      <c r="Z168" s="244"/>
    </row>
    <row r="169">
      <c r="A169" s="244"/>
      <c r="B169" s="244"/>
      <c r="C169" s="244"/>
      <c r="D169" s="244"/>
      <c r="E169" s="244"/>
      <c r="F169" s="244"/>
      <c r="G169" s="244"/>
      <c r="H169" s="244"/>
      <c r="I169" s="244"/>
      <c r="J169" s="244"/>
      <c r="K169" s="244"/>
      <c r="L169" s="244"/>
      <c r="M169" s="244"/>
      <c r="N169" s="244"/>
      <c r="O169" s="244"/>
      <c r="P169" s="244"/>
      <c r="Q169" s="244"/>
      <c r="R169" s="244"/>
      <c r="S169" s="244"/>
      <c r="T169" s="244"/>
      <c r="U169" s="244"/>
      <c r="V169" s="244"/>
      <c r="W169" s="244"/>
      <c r="X169" s="244"/>
      <c r="Y169" s="244"/>
      <c r="Z169" s="244"/>
    </row>
    <row r="170">
      <c r="A170" s="244"/>
      <c r="B170" s="244"/>
      <c r="C170" s="244"/>
      <c r="D170" s="244"/>
      <c r="E170" s="244"/>
      <c r="F170" s="244"/>
      <c r="G170" s="244"/>
      <c r="H170" s="244"/>
      <c r="I170" s="244"/>
      <c r="J170" s="244"/>
      <c r="K170" s="244"/>
      <c r="L170" s="244"/>
      <c r="M170" s="244"/>
      <c r="N170" s="244"/>
      <c r="O170" s="244"/>
      <c r="P170" s="244"/>
      <c r="Q170" s="244"/>
      <c r="R170" s="244"/>
      <c r="S170" s="244"/>
      <c r="T170" s="244"/>
      <c r="U170" s="244"/>
      <c r="V170" s="244"/>
      <c r="W170" s="244"/>
      <c r="X170" s="244"/>
      <c r="Y170" s="244"/>
      <c r="Z170" s="244"/>
    </row>
    <row r="171">
      <c r="A171" s="244"/>
      <c r="B171" s="244"/>
      <c r="C171" s="244"/>
      <c r="D171" s="244"/>
      <c r="E171" s="244"/>
      <c r="F171" s="244"/>
      <c r="G171" s="244"/>
      <c r="H171" s="244"/>
      <c r="I171" s="244"/>
      <c r="J171" s="244"/>
      <c r="K171" s="244"/>
      <c r="L171" s="244"/>
      <c r="M171" s="244"/>
      <c r="N171" s="244"/>
      <c r="O171" s="244"/>
      <c r="P171" s="244"/>
      <c r="Q171" s="244"/>
      <c r="R171" s="244"/>
      <c r="S171" s="244"/>
      <c r="T171" s="244"/>
      <c r="U171" s="244"/>
      <c r="V171" s="244"/>
      <c r="W171" s="244"/>
      <c r="X171" s="244"/>
      <c r="Y171" s="244"/>
      <c r="Z171" s="244"/>
    </row>
    <row r="172">
      <c r="A172" s="244"/>
      <c r="B172" s="244"/>
      <c r="C172" s="244"/>
      <c r="D172" s="244"/>
      <c r="E172" s="244"/>
      <c r="F172" s="244"/>
      <c r="G172" s="244"/>
      <c r="H172" s="244"/>
      <c r="I172" s="244"/>
      <c r="J172" s="244"/>
      <c r="K172" s="244"/>
      <c r="L172" s="244"/>
      <c r="M172" s="244"/>
      <c r="N172" s="244"/>
      <c r="O172" s="244"/>
      <c r="P172" s="244"/>
      <c r="Q172" s="244"/>
      <c r="R172" s="244"/>
      <c r="S172" s="244"/>
      <c r="T172" s="244"/>
      <c r="U172" s="244"/>
      <c r="V172" s="244"/>
      <c r="W172" s="244"/>
      <c r="X172" s="244"/>
      <c r="Y172" s="244"/>
      <c r="Z172" s="244"/>
    </row>
    <row r="173">
      <c r="A173" s="244"/>
      <c r="B173" s="244"/>
      <c r="C173" s="244"/>
      <c r="D173" s="244"/>
      <c r="E173" s="244"/>
      <c r="F173" s="244"/>
      <c r="G173" s="244"/>
      <c r="H173" s="244"/>
      <c r="I173" s="244"/>
      <c r="J173" s="244"/>
      <c r="K173" s="244"/>
      <c r="L173" s="244"/>
      <c r="M173" s="244"/>
      <c r="N173" s="244"/>
      <c r="O173" s="244"/>
      <c r="P173" s="244"/>
      <c r="Q173" s="244"/>
      <c r="R173" s="244"/>
      <c r="S173" s="244"/>
      <c r="T173" s="244"/>
      <c r="U173" s="244"/>
      <c r="V173" s="244"/>
      <c r="W173" s="244"/>
      <c r="X173" s="244"/>
      <c r="Y173" s="244"/>
      <c r="Z173" s="244"/>
    </row>
    <row r="174">
      <c r="A174" s="244"/>
      <c r="B174" s="244"/>
      <c r="C174" s="244"/>
      <c r="D174" s="244"/>
      <c r="E174" s="244"/>
      <c r="F174" s="244"/>
      <c r="G174" s="244"/>
      <c r="H174" s="244"/>
      <c r="I174" s="244"/>
      <c r="J174" s="244"/>
      <c r="K174" s="244"/>
      <c r="L174" s="244"/>
      <c r="M174" s="244"/>
      <c r="N174" s="244"/>
      <c r="O174" s="244"/>
      <c r="P174" s="244"/>
      <c r="Q174" s="244"/>
      <c r="R174" s="244"/>
      <c r="S174" s="244"/>
      <c r="T174" s="244"/>
      <c r="U174" s="244"/>
      <c r="V174" s="244"/>
      <c r="W174" s="244"/>
      <c r="X174" s="244"/>
      <c r="Y174" s="244"/>
      <c r="Z174" s="244"/>
    </row>
    <row r="175">
      <c r="A175" s="244"/>
      <c r="B175" s="244"/>
      <c r="C175" s="244"/>
      <c r="D175" s="244"/>
      <c r="E175" s="244"/>
      <c r="F175" s="244"/>
      <c r="G175" s="244"/>
      <c r="H175" s="244"/>
      <c r="I175" s="244"/>
      <c r="J175" s="244"/>
      <c r="K175" s="244"/>
      <c r="L175" s="244"/>
      <c r="M175" s="244"/>
      <c r="N175" s="244"/>
      <c r="O175" s="244"/>
      <c r="P175" s="244"/>
      <c r="Q175" s="244"/>
      <c r="R175" s="244"/>
      <c r="S175" s="244"/>
      <c r="T175" s="244"/>
      <c r="U175" s="244"/>
      <c r="V175" s="244"/>
      <c r="W175" s="244"/>
      <c r="X175" s="244"/>
      <c r="Y175" s="244"/>
      <c r="Z175" s="244"/>
    </row>
    <row r="176">
      <c r="A176" s="244"/>
      <c r="B176" s="244"/>
      <c r="C176" s="244"/>
      <c r="D176" s="244"/>
      <c r="E176" s="244"/>
      <c r="F176" s="244"/>
      <c r="G176" s="244"/>
      <c r="H176" s="244"/>
      <c r="I176" s="244"/>
      <c r="J176" s="244"/>
      <c r="K176" s="244"/>
      <c r="L176" s="244"/>
      <c r="M176" s="244"/>
      <c r="N176" s="244"/>
      <c r="O176" s="244"/>
      <c r="P176" s="244"/>
      <c r="Q176" s="244"/>
      <c r="R176" s="244"/>
      <c r="S176" s="244"/>
      <c r="T176" s="244"/>
      <c r="U176" s="244"/>
      <c r="V176" s="244"/>
      <c r="W176" s="244"/>
      <c r="X176" s="244"/>
      <c r="Y176" s="244"/>
      <c r="Z176" s="244"/>
    </row>
    <row r="177">
      <c r="A177" s="244"/>
      <c r="B177" s="244"/>
      <c r="C177" s="244"/>
      <c r="D177" s="244"/>
      <c r="E177" s="244"/>
      <c r="F177" s="244"/>
      <c r="G177" s="244"/>
      <c r="H177" s="244"/>
      <c r="I177" s="244"/>
      <c r="J177" s="244"/>
      <c r="K177" s="244"/>
      <c r="L177" s="244"/>
      <c r="M177" s="244"/>
      <c r="N177" s="244"/>
      <c r="O177" s="244"/>
      <c r="P177" s="244"/>
      <c r="Q177" s="244"/>
      <c r="R177" s="244"/>
      <c r="S177" s="244"/>
      <c r="T177" s="244"/>
      <c r="U177" s="244"/>
      <c r="V177" s="244"/>
      <c r="W177" s="244"/>
      <c r="X177" s="244"/>
      <c r="Y177" s="244"/>
      <c r="Z177" s="244"/>
    </row>
    <row r="178">
      <c r="A178" s="244"/>
      <c r="B178" s="244"/>
      <c r="C178" s="244"/>
      <c r="D178" s="244"/>
      <c r="E178" s="244"/>
      <c r="F178" s="244"/>
      <c r="G178" s="244"/>
      <c r="H178" s="244"/>
      <c r="I178" s="244"/>
      <c r="J178" s="244"/>
      <c r="K178" s="244"/>
      <c r="L178" s="244"/>
      <c r="M178" s="244"/>
      <c r="N178" s="244"/>
      <c r="O178" s="244"/>
      <c r="P178" s="244"/>
      <c r="Q178" s="244"/>
      <c r="R178" s="244"/>
      <c r="S178" s="244"/>
      <c r="T178" s="244"/>
      <c r="U178" s="244"/>
      <c r="V178" s="244"/>
      <c r="W178" s="244"/>
      <c r="X178" s="244"/>
      <c r="Y178" s="244"/>
      <c r="Z178" s="244"/>
    </row>
    <row r="179">
      <c r="A179" s="244"/>
      <c r="B179" s="244"/>
      <c r="C179" s="244"/>
      <c r="D179" s="244"/>
      <c r="E179" s="244"/>
      <c r="F179" s="244"/>
      <c r="G179" s="244"/>
      <c r="H179" s="244"/>
      <c r="I179" s="244"/>
      <c r="J179" s="244"/>
      <c r="K179" s="244"/>
      <c r="L179" s="244"/>
      <c r="M179" s="244"/>
      <c r="N179" s="244"/>
      <c r="O179" s="244"/>
      <c r="P179" s="244"/>
      <c r="Q179" s="244"/>
      <c r="R179" s="244"/>
      <c r="S179" s="244"/>
      <c r="T179" s="244"/>
      <c r="U179" s="244"/>
      <c r="V179" s="244"/>
      <c r="W179" s="244"/>
      <c r="X179" s="244"/>
      <c r="Y179" s="244"/>
      <c r="Z179" s="244"/>
    </row>
    <row r="180">
      <c r="A180" s="244"/>
      <c r="B180" s="244"/>
      <c r="C180" s="244"/>
      <c r="D180" s="244"/>
      <c r="E180" s="244"/>
      <c r="F180" s="244"/>
      <c r="G180" s="244"/>
      <c r="H180" s="244"/>
      <c r="I180" s="244"/>
      <c r="J180" s="244"/>
      <c r="K180" s="244"/>
      <c r="L180" s="244"/>
      <c r="M180" s="244"/>
      <c r="N180" s="244"/>
      <c r="O180" s="244"/>
      <c r="P180" s="244"/>
      <c r="Q180" s="244"/>
      <c r="R180" s="244"/>
      <c r="S180" s="244"/>
      <c r="T180" s="244"/>
      <c r="U180" s="244"/>
      <c r="V180" s="244"/>
      <c r="W180" s="244"/>
      <c r="X180" s="244"/>
      <c r="Y180" s="244"/>
      <c r="Z180" s="244"/>
    </row>
    <row r="181">
      <c r="A181" s="244"/>
      <c r="B181" s="244"/>
      <c r="C181" s="244"/>
      <c r="D181" s="244"/>
      <c r="E181" s="244"/>
      <c r="F181" s="244"/>
      <c r="G181" s="244"/>
      <c r="H181" s="244"/>
      <c r="I181" s="244"/>
      <c r="J181" s="244"/>
      <c r="K181" s="244"/>
      <c r="L181" s="244"/>
      <c r="M181" s="244"/>
      <c r="N181" s="244"/>
      <c r="O181" s="244"/>
      <c r="P181" s="244"/>
      <c r="Q181" s="244"/>
      <c r="R181" s="244"/>
      <c r="S181" s="244"/>
      <c r="T181" s="244"/>
      <c r="U181" s="244"/>
      <c r="V181" s="244"/>
      <c r="W181" s="244"/>
      <c r="X181" s="244"/>
      <c r="Y181" s="244"/>
      <c r="Z181" s="244"/>
    </row>
    <row r="182">
      <c r="A182" s="244"/>
      <c r="B182" s="244"/>
      <c r="C182" s="244"/>
      <c r="D182" s="244"/>
      <c r="E182" s="244"/>
      <c r="F182" s="244"/>
      <c r="G182" s="244"/>
      <c r="H182" s="244"/>
      <c r="I182" s="244"/>
      <c r="J182" s="244"/>
      <c r="K182" s="244"/>
      <c r="L182" s="244"/>
      <c r="M182" s="244"/>
      <c r="N182" s="244"/>
      <c r="O182" s="244"/>
      <c r="P182" s="244"/>
      <c r="Q182" s="244"/>
      <c r="R182" s="244"/>
      <c r="S182" s="244"/>
      <c r="T182" s="244"/>
      <c r="U182" s="244"/>
      <c r="V182" s="244"/>
      <c r="W182" s="244"/>
      <c r="X182" s="244"/>
      <c r="Y182" s="244"/>
      <c r="Z182" s="244"/>
    </row>
    <row r="183">
      <c r="A183" s="244"/>
      <c r="B183" s="244"/>
      <c r="C183" s="244"/>
      <c r="D183" s="244"/>
      <c r="E183" s="244"/>
      <c r="F183" s="244"/>
      <c r="G183" s="244"/>
      <c r="H183" s="244"/>
      <c r="I183" s="244"/>
      <c r="J183" s="244"/>
      <c r="K183" s="244"/>
      <c r="L183" s="244"/>
      <c r="M183" s="244"/>
      <c r="N183" s="244"/>
      <c r="O183" s="244"/>
      <c r="P183" s="244"/>
      <c r="Q183" s="244"/>
      <c r="R183" s="244"/>
      <c r="S183" s="244"/>
      <c r="T183" s="244"/>
      <c r="U183" s="244"/>
      <c r="V183" s="244"/>
      <c r="W183" s="244"/>
      <c r="X183" s="244"/>
      <c r="Y183" s="244"/>
      <c r="Z183" s="244"/>
    </row>
    <row r="184">
      <c r="A184" s="244"/>
      <c r="B184" s="244"/>
      <c r="C184" s="244"/>
      <c r="D184" s="244"/>
      <c r="E184" s="244"/>
      <c r="F184" s="244"/>
      <c r="G184" s="244"/>
      <c r="H184" s="244"/>
      <c r="I184" s="244"/>
      <c r="J184" s="244"/>
      <c r="K184" s="244"/>
      <c r="L184" s="244"/>
      <c r="M184" s="244"/>
      <c r="N184" s="244"/>
      <c r="O184" s="244"/>
      <c r="P184" s="244"/>
      <c r="Q184" s="244"/>
      <c r="R184" s="244"/>
      <c r="S184" s="244"/>
      <c r="T184" s="244"/>
      <c r="U184" s="244"/>
      <c r="V184" s="244"/>
      <c r="W184" s="244"/>
      <c r="X184" s="244"/>
      <c r="Y184" s="244"/>
      <c r="Z184" s="244"/>
    </row>
    <row r="185">
      <c r="A185" s="244"/>
      <c r="B185" s="244"/>
      <c r="C185" s="244"/>
      <c r="D185" s="244"/>
      <c r="E185" s="244"/>
      <c r="F185" s="244"/>
      <c r="G185" s="244"/>
      <c r="H185" s="244"/>
      <c r="I185" s="244"/>
      <c r="J185" s="244"/>
      <c r="K185" s="244"/>
      <c r="L185" s="244"/>
      <c r="M185" s="244"/>
      <c r="N185" s="244"/>
      <c r="O185" s="244"/>
      <c r="P185" s="244"/>
      <c r="Q185" s="244"/>
      <c r="R185" s="244"/>
      <c r="S185" s="244"/>
      <c r="T185" s="244"/>
      <c r="U185" s="244"/>
      <c r="V185" s="244"/>
      <c r="W185" s="244"/>
      <c r="X185" s="244"/>
      <c r="Y185" s="244"/>
      <c r="Z185" s="244"/>
    </row>
    <row r="186">
      <c r="A186" s="244"/>
      <c r="B186" s="244"/>
      <c r="C186" s="244"/>
      <c r="D186" s="244"/>
      <c r="E186" s="244"/>
      <c r="F186" s="244"/>
      <c r="G186" s="244"/>
      <c r="H186" s="244"/>
      <c r="I186" s="244"/>
      <c r="J186" s="244"/>
      <c r="K186" s="244"/>
      <c r="L186" s="244"/>
      <c r="M186" s="244"/>
      <c r="N186" s="244"/>
      <c r="O186" s="244"/>
      <c r="P186" s="244"/>
      <c r="Q186" s="244"/>
      <c r="R186" s="244"/>
      <c r="S186" s="244"/>
      <c r="T186" s="244"/>
      <c r="U186" s="244"/>
      <c r="V186" s="244"/>
      <c r="W186" s="244"/>
      <c r="X186" s="244"/>
      <c r="Y186" s="244"/>
      <c r="Z186" s="244"/>
    </row>
    <row r="187">
      <c r="A187" s="244"/>
      <c r="B187" s="244"/>
      <c r="C187" s="244"/>
      <c r="D187" s="244"/>
      <c r="E187" s="244"/>
      <c r="F187" s="244"/>
      <c r="G187" s="244"/>
      <c r="H187" s="244"/>
      <c r="I187" s="244"/>
      <c r="J187" s="244"/>
      <c r="K187" s="244"/>
      <c r="L187" s="244"/>
      <c r="M187" s="244"/>
      <c r="N187" s="244"/>
      <c r="O187" s="244"/>
      <c r="P187" s="244"/>
      <c r="Q187" s="244"/>
      <c r="R187" s="244"/>
      <c r="S187" s="244"/>
      <c r="T187" s="244"/>
      <c r="U187" s="244"/>
      <c r="V187" s="244"/>
      <c r="W187" s="244"/>
      <c r="X187" s="244"/>
      <c r="Y187" s="244"/>
      <c r="Z187" s="244"/>
    </row>
    <row r="188">
      <c r="A188" s="244"/>
      <c r="B188" s="244"/>
      <c r="C188" s="244"/>
      <c r="D188" s="244"/>
      <c r="E188" s="244"/>
      <c r="F188" s="244"/>
      <c r="G188" s="244"/>
      <c r="H188" s="244"/>
      <c r="I188" s="244"/>
      <c r="J188" s="244"/>
      <c r="K188" s="244"/>
      <c r="L188" s="244"/>
      <c r="M188" s="244"/>
      <c r="N188" s="244"/>
      <c r="O188" s="244"/>
      <c r="P188" s="244"/>
      <c r="Q188" s="244"/>
      <c r="R188" s="244"/>
      <c r="S188" s="244"/>
      <c r="T188" s="244"/>
      <c r="U188" s="244"/>
      <c r="V188" s="244"/>
      <c r="W188" s="244"/>
      <c r="X188" s="244"/>
      <c r="Y188" s="244"/>
      <c r="Z188" s="244"/>
    </row>
    <row r="189">
      <c r="A189" s="244"/>
      <c r="B189" s="244"/>
      <c r="C189" s="244"/>
      <c r="D189" s="244"/>
      <c r="E189" s="244"/>
      <c r="F189" s="244"/>
      <c r="G189" s="244"/>
      <c r="H189" s="244"/>
      <c r="I189" s="244"/>
      <c r="J189" s="244"/>
      <c r="K189" s="244"/>
      <c r="L189" s="244"/>
      <c r="M189" s="244"/>
      <c r="N189" s="244"/>
      <c r="O189" s="244"/>
      <c r="P189" s="244"/>
      <c r="Q189" s="244"/>
      <c r="R189" s="244"/>
      <c r="S189" s="244"/>
      <c r="T189" s="244"/>
      <c r="U189" s="244"/>
      <c r="V189" s="244"/>
      <c r="W189" s="244"/>
      <c r="X189" s="244"/>
      <c r="Y189" s="244"/>
      <c r="Z189" s="244"/>
    </row>
    <row r="190">
      <c r="A190" s="244"/>
      <c r="B190" s="244"/>
      <c r="C190" s="244"/>
      <c r="D190" s="244"/>
      <c r="E190" s="244"/>
      <c r="F190" s="244"/>
      <c r="G190" s="244"/>
      <c r="H190" s="244"/>
      <c r="I190" s="244"/>
      <c r="J190" s="244"/>
      <c r="K190" s="244"/>
      <c r="L190" s="244"/>
      <c r="M190" s="244"/>
      <c r="N190" s="244"/>
      <c r="O190" s="244"/>
      <c r="P190" s="244"/>
      <c r="Q190" s="244"/>
      <c r="R190" s="244"/>
      <c r="S190" s="244"/>
      <c r="T190" s="244"/>
      <c r="U190" s="244"/>
      <c r="V190" s="244"/>
      <c r="W190" s="244"/>
      <c r="X190" s="244"/>
      <c r="Y190" s="244"/>
      <c r="Z190" s="244"/>
    </row>
    <row r="191">
      <c r="A191" s="244"/>
      <c r="B191" s="244"/>
      <c r="C191" s="244"/>
      <c r="D191" s="244"/>
      <c r="E191" s="244"/>
      <c r="F191" s="244"/>
      <c r="G191" s="244"/>
      <c r="H191" s="244"/>
      <c r="I191" s="244"/>
      <c r="J191" s="244"/>
      <c r="K191" s="244"/>
      <c r="L191" s="244"/>
      <c r="M191" s="244"/>
      <c r="N191" s="244"/>
      <c r="O191" s="244"/>
      <c r="P191" s="244"/>
      <c r="Q191" s="244"/>
      <c r="R191" s="244"/>
      <c r="S191" s="244"/>
      <c r="T191" s="244"/>
      <c r="U191" s="244"/>
      <c r="V191" s="244"/>
      <c r="W191" s="244"/>
      <c r="X191" s="244"/>
      <c r="Y191" s="244"/>
      <c r="Z191" s="244"/>
    </row>
    <row r="192">
      <c r="A192" s="244"/>
      <c r="B192" s="244"/>
      <c r="C192" s="244"/>
      <c r="D192" s="244"/>
      <c r="E192" s="244"/>
      <c r="F192" s="244"/>
      <c r="G192" s="244"/>
      <c r="H192" s="244"/>
      <c r="I192" s="244"/>
      <c r="J192" s="244"/>
      <c r="K192" s="244"/>
      <c r="L192" s="244"/>
      <c r="M192" s="244"/>
      <c r="N192" s="244"/>
      <c r="O192" s="244"/>
      <c r="P192" s="244"/>
      <c r="Q192" s="244"/>
      <c r="R192" s="244"/>
      <c r="S192" s="244"/>
      <c r="T192" s="244"/>
      <c r="U192" s="244"/>
      <c r="V192" s="244"/>
      <c r="W192" s="244"/>
      <c r="X192" s="244"/>
      <c r="Y192" s="244"/>
      <c r="Z192" s="244"/>
    </row>
    <row r="193">
      <c r="A193" s="244"/>
      <c r="B193" s="244"/>
      <c r="C193" s="244"/>
      <c r="D193" s="244"/>
      <c r="E193" s="244"/>
      <c r="F193" s="244"/>
      <c r="G193" s="244"/>
      <c r="H193" s="244"/>
      <c r="I193" s="244"/>
      <c r="J193" s="244"/>
      <c r="K193" s="244"/>
      <c r="L193" s="244"/>
      <c r="M193" s="244"/>
      <c r="N193" s="244"/>
      <c r="O193" s="244"/>
      <c r="P193" s="244"/>
      <c r="Q193" s="244"/>
      <c r="R193" s="244"/>
      <c r="S193" s="244"/>
      <c r="T193" s="244"/>
      <c r="U193" s="244"/>
      <c r="V193" s="244"/>
      <c r="W193" s="244"/>
      <c r="X193" s="244"/>
      <c r="Y193" s="244"/>
      <c r="Z193" s="244"/>
    </row>
    <row r="194">
      <c r="A194" s="244"/>
      <c r="B194" s="244"/>
      <c r="C194" s="244"/>
      <c r="D194" s="244"/>
      <c r="E194" s="244"/>
      <c r="F194" s="244"/>
      <c r="G194" s="244"/>
      <c r="H194" s="244"/>
      <c r="I194" s="244"/>
      <c r="J194" s="244"/>
      <c r="K194" s="244"/>
      <c r="L194" s="244"/>
      <c r="M194" s="244"/>
      <c r="N194" s="244"/>
      <c r="O194" s="244"/>
      <c r="P194" s="244"/>
      <c r="Q194" s="244"/>
      <c r="R194" s="244"/>
      <c r="S194" s="244"/>
      <c r="T194" s="244"/>
      <c r="U194" s="244"/>
      <c r="V194" s="244"/>
      <c r="W194" s="244"/>
      <c r="X194" s="244"/>
      <c r="Y194" s="244"/>
      <c r="Z194" s="244"/>
    </row>
    <row r="195">
      <c r="A195" s="244"/>
      <c r="B195" s="244"/>
      <c r="C195" s="244"/>
      <c r="D195" s="244"/>
      <c r="E195" s="244"/>
      <c r="F195" s="244"/>
      <c r="G195" s="244"/>
      <c r="H195" s="244"/>
      <c r="I195" s="244"/>
      <c r="J195" s="244"/>
      <c r="K195" s="244"/>
      <c r="L195" s="244"/>
      <c r="M195" s="244"/>
      <c r="N195" s="244"/>
      <c r="O195" s="244"/>
      <c r="P195" s="244"/>
      <c r="Q195" s="244"/>
      <c r="R195" s="244"/>
      <c r="S195" s="244"/>
      <c r="T195" s="244"/>
      <c r="U195" s="244"/>
      <c r="V195" s="244"/>
      <c r="W195" s="244"/>
      <c r="X195" s="244"/>
      <c r="Y195" s="244"/>
      <c r="Z195" s="244"/>
    </row>
    <row r="196">
      <c r="A196" s="244"/>
      <c r="B196" s="244"/>
      <c r="C196" s="244"/>
      <c r="D196" s="244"/>
      <c r="E196" s="244"/>
      <c r="F196" s="244"/>
      <c r="G196" s="244"/>
      <c r="H196" s="244"/>
      <c r="I196" s="244"/>
      <c r="J196" s="244"/>
      <c r="K196" s="244"/>
      <c r="L196" s="244"/>
      <c r="M196" s="244"/>
      <c r="N196" s="244"/>
      <c r="O196" s="244"/>
      <c r="P196" s="244"/>
      <c r="Q196" s="244"/>
      <c r="R196" s="244"/>
      <c r="S196" s="244"/>
      <c r="T196" s="244"/>
      <c r="U196" s="244"/>
      <c r="V196" s="244"/>
      <c r="W196" s="244"/>
      <c r="X196" s="244"/>
      <c r="Y196" s="244"/>
      <c r="Z196" s="244"/>
    </row>
    <row r="197">
      <c r="A197" s="244"/>
      <c r="B197" s="244"/>
      <c r="C197" s="244"/>
      <c r="D197" s="244"/>
      <c r="E197" s="244"/>
      <c r="F197" s="244"/>
      <c r="G197" s="244"/>
      <c r="H197" s="244"/>
      <c r="I197" s="244"/>
      <c r="J197" s="244"/>
      <c r="K197" s="244"/>
      <c r="L197" s="244"/>
      <c r="M197" s="244"/>
      <c r="N197" s="244"/>
      <c r="O197" s="244"/>
      <c r="P197" s="244"/>
      <c r="Q197" s="244"/>
      <c r="R197" s="244"/>
      <c r="S197" s="244"/>
      <c r="T197" s="244"/>
      <c r="U197" s="244"/>
      <c r="V197" s="244"/>
      <c r="W197" s="244"/>
      <c r="X197" s="244"/>
      <c r="Y197" s="244"/>
      <c r="Z197" s="244"/>
    </row>
    <row r="198">
      <c r="A198" s="244"/>
      <c r="B198" s="244"/>
      <c r="C198" s="244"/>
      <c r="D198" s="244"/>
      <c r="E198" s="244"/>
      <c r="F198" s="244"/>
      <c r="G198" s="244"/>
      <c r="H198" s="244"/>
      <c r="I198" s="244"/>
      <c r="J198" s="244"/>
      <c r="K198" s="244"/>
      <c r="L198" s="244"/>
      <c r="M198" s="244"/>
      <c r="N198" s="244"/>
      <c r="O198" s="244"/>
      <c r="P198" s="244"/>
      <c r="Q198" s="244"/>
      <c r="R198" s="244"/>
      <c r="S198" s="244"/>
      <c r="T198" s="244"/>
      <c r="U198" s="244"/>
      <c r="V198" s="244"/>
      <c r="W198" s="244"/>
      <c r="X198" s="244"/>
      <c r="Y198" s="244"/>
      <c r="Z198" s="244"/>
    </row>
    <row r="199">
      <c r="A199" s="244"/>
      <c r="B199" s="244"/>
      <c r="C199" s="244"/>
      <c r="D199" s="244"/>
      <c r="E199" s="244"/>
      <c r="F199" s="244"/>
      <c r="G199" s="244"/>
      <c r="H199" s="244"/>
      <c r="I199" s="244"/>
      <c r="J199" s="244"/>
      <c r="K199" s="244"/>
      <c r="L199" s="244"/>
      <c r="M199" s="244"/>
      <c r="N199" s="244"/>
      <c r="O199" s="244"/>
      <c r="P199" s="244"/>
      <c r="Q199" s="244"/>
      <c r="R199" s="244"/>
      <c r="S199" s="244"/>
      <c r="T199" s="244"/>
      <c r="U199" s="244"/>
      <c r="V199" s="244"/>
      <c r="W199" s="244"/>
      <c r="X199" s="244"/>
      <c r="Y199" s="244"/>
      <c r="Z199" s="244"/>
    </row>
    <row r="200">
      <c r="A200" s="244"/>
      <c r="B200" s="244"/>
      <c r="C200" s="244"/>
      <c r="D200" s="244"/>
      <c r="E200" s="244"/>
      <c r="F200" s="244"/>
      <c r="G200" s="244"/>
      <c r="H200" s="244"/>
      <c r="I200" s="244"/>
      <c r="J200" s="244"/>
      <c r="K200" s="244"/>
      <c r="L200" s="244"/>
      <c r="M200" s="244"/>
      <c r="N200" s="244"/>
      <c r="O200" s="244"/>
      <c r="P200" s="244"/>
      <c r="Q200" s="244"/>
      <c r="R200" s="244"/>
      <c r="S200" s="244"/>
      <c r="T200" s="244"/>
      <c r="U200" s="244"/>
      <c r="V200" s="244"/>
      <c r="W200" s="244"/>
      <c r="X200" s="244"/>
      <c r="Y200" s="244"/>
      <c r="Z200" s="244"/>
    </row>
    <row r="201">
      <c r="A201" s="244"/>
      <c r="B201" s="244"/>
      <c r="C201" s="244"/>
      <c r="D201" s="244"/>
      <c r="E201" s="244"/>
      <c r="F201" s="244"/>
      <c r="G201" s="244"/>
      <c r="H201" s="244"/>
      <c r="I201" s="244"/>
      <c r="J201" s="244"/>
      <c r="K201" s="244"/>
      <c r="L201" s="244"/>
      <c r="M201" s="244"/>
      <c r="N201" s="244"/>
      <c r="O201" s="244"/>
      <c r="P201" s="244"/>
      <c r="Q201" s="244"/>
      <c r="R201" s="244"/>
      <c r="S201" s="244"/>
      <c r="T201" s="244"/>
      <c r="U201" s="244"/>
      <c r="V201" s="244"/>
      <c r="W201" s="244"/>
      <c r="X201" s="244"/>
      <c r="Y201" s="244"/>
      <c r="Z201" s="244"/>
    </row>
    <row r="202">
      <c r="A202" s="244"/>
      <c r="B202" s="244"/>
      <c r="C202" s="244"/>
      <c r="D202" s="244"/>
      <c r="E202" s="244"/>
      <c r="F202" s="244"/>
      <c r="G202" s="244"/>
      <c r="H202" s="244"/>
      <c r="I202" s="244"/>
      <c r="J202" s="244"/>
      <c r="K202" s="244"/>
      <c r="L202" s="244"/>
      <c r="M202" s="244"/>
      <c r="N202" s="244"/>
      <c r="O202" s="244"/>
      <c r="P202" s="244"/>
      <c r="Q202" s="244"/>
      <c r="R202" s="244"/>
      <c r="S202" s="244"/>
      <c r="T202" s="244"/>
      <c r="U202" s="244"/>
      <c r="V202" s="244"/>
      <c r="W202" s="244"/>
      <c r="X202" s="244"/>
      <c r="Y202" s="244"/>
      <c r="Z202" s="244"/>
    </row>
    <row r="203">
      <c r="A203" s="244"/>
      <c r="B203" s="244"/>
      <c r="C203" s="244"/>
      <c r="D203" s="244"/>
      <c r="E203" s="244"/>
      <c r="F203" s="244"/>
      <c r="G203" s="244"/>
      <c r="H203" s="244"/>
      <c r="I203" s="244"/>
      <c r="J203" s="244"/>
      <c r="K203" s="244"/>
      <c r="L203" s="244"/>
      <c r="M203" s="244"/>
      <c r="N203" s="244"/>
      <c r="O203" s="244"/>
      <c r="P203" s="244"/>
      <c r="Q203" s="244"/>
      <c r="R203" s="244"/>
      <c r="S203" s="244"/>
      <c r="T203" s="244"/>
      <c r="U203" s="244"/>
      <c r="V203" s="244"/>
      <c r="W203" s="244"/>
      <c r="X203" s="244"/>
      <c r="Y203" s="244"/>
      <c r="Z203" s="244"/>
    </row>
    <row r="204">
      <c r="A204" s="244"/>
      <c r="B204" s="244"/>
      <c r="C204" s="244"/>
      <c r="D204" s="244"/>
      <c r="E204" s="244"/>
      <c r="F204" s="244"/>
      <c r="G204" s="244"/>
      <c r="H204" s="244"/>
      <c r="I204" s="244"/>
      <c r="J204" s="244"/>
      <c r="K204" s="244"/>
      <c r="L204" s="244"/>
      <c r="M204" s="244"/>
      <c r="N204" s="244"/>
      <c r="O204" s="244"/>
      <c r="P204" s="244"/>
      <c r="Q204" s="244"/>
      <c r="R204" s="244"/>
      <c r="S204" s="244"/>
      <c r="T204" s="244"/>
      <c r="U204" s="244"/>
      <c r="V204" s="244"/>
      <c r="W204" s="244"/>
      <c r="X204" s="244"/>
      <c r="Y204" s="244"/>
      <c r="Z204" s="244"/>
    </row>
    <row r="205">
      <c r="A205" s="244"/>
      <c r="B205" s="244"/>
      <c r="C205" s="244"/>
      <c r="D205" s="244"/>
      <c r="E205" s="244"/>
      <c r="F205" s="244"/>
      <c r="G205" s="244"/>
      <c r="H205" s="244"/>
      <c r="I205" s="244"/>
      <c r="J205" s="244"/>
      <c r="K205" s="244"/>
      <c r="L205" s="244"/>
      <c r="M205" s="244"/>
      <c r="N205" s="244"/>
      <c r="O205" s="244"/>
      <c r="P205" s="244"/>
      <c r="Q205" s="244"/>
      <c r="R205" s="244"/>
      <c r="S205" s="244"/>
      <c r="T205" s="244"/>
      <c r="U205" s="244"/>
      <c r="V205" s="244"/>
      <c r="W205" s="244"/>
      <c r="X205" s="244"/>
      <c r="Y205" s="244"/>
      <c r="Z205" s="244"/>
    </row>
    <row r="206">
      <c r="A206" s="244"/>
      <c r="B206" s="244"/>
      <c r="C206" s="244"/>
      <c r="D206" s="244"/>
      <c r="E206" s="244"/>
      <c r="F206" s="244"/>
      <c r="G206" s="244"/>
      <c r="H206" s="244"/>
      <c r="I206" s="244"/>
      <c r="J206" s="244"/>
      <c r="K206" s="244"/>
      <c r="L206" s="244"/>
      <c r="M206" s="244"/>
      <c r="N206" s="244"/>
      <c r="O206" s="244"/>
      <c r="P206" s="244"/>
      <c r="Q206" s="244"/>
      <c r="R206" s="244"/>
      <c r="S206" s="244"/>
      <c r="T206" s="244"/>
      <c r="U206" s="244"/>
      <c r="V206" s="244"/>
      <c r="W206" s="244"/>
      <c r="X206" s="244"/>
      <c r="Y206" s="244"/>
      <c r="Z206" s="244"/>
    </row>
    <row r="207">
      <c r="A207" s="244"/>
      <c r="B207" s="244"/>
      <c r="C207" s="244"/>
      <c r="D207" s="244"/>
      <c r="E207" s="244"/>
      <c r="F207" s="244"/>
      <c r="G207" s="244"/>
      <c r="H207" s="244"/>
      <c r="I207" s="244"/>
      <c r="J207" s="244"/>
      <c r="K207" s="244"/>
      <c r="L207" s="244"/>
      <c r="M207" s="244"/>
      <c r="N207" s="244"/>
      <c r="O207" s="244"/>
      <c r="P207" s="244"/>
      <c r="Q207" s="244"/>
      <c r="R207" s="244"/>
      <c r="S207" s="244"/>
      <c r="T207" s="244"/>
      <c r="U207" s="244"/>
      <c r="V207" s="244"/>
      <c r="W207" s="244"/>
      <c r="X207" s="244"/>
      <c r="Y207" s="244"/>
      <c r="Z207" s="244"/>
    </row>
    <row r="208">
      <c r="A208" s="244"/>
      <c r="B208" s="244"/>
      <c r="C208" s="244"/>
      <c r="D208" s="244"/>
      <c r="E208" s="244"/>
      <c r="F208" s="244"/>
      <c r="G208" s="244"/>
      <c r="H208" s="244"/>
      <c r="I208" s="244"/>
      <c r="J208" s="244"/>
      <c r="K208" s="244"/>
      <c r="L208" s="244"/>
      <c r="M208" s="244"/>
      <c r="N208" s="244"/>
      <c r="O208" s="244"/>
      <c r="P208" s="244"/>
      <c r="Q208" s="244"/>
      <c r="R208" s="244"/>
      <c r="S208" s="244"/>
      <c r="T208" s="244"/>
      <c r="U208" s="244"/>
      <c r="V208" s="244"/>
      <c r="W208" s="244"/>
      <c r="X208" s="244"/>
      <c r="Y208" s="244"/>
      <c r="Z208" s="244"/>
    </row>
    <row r="209">
      <c r="A209" s="244"/>
      <c r="B209" s="244"/>
      <c r="C209" s="244"/>
      <c r="D209" s="244"/>
      <c r="E209" s="244"/>
      <c r="F209" s="244"/>
      <c r="G209" s="244"/>
      <c r="H209" s="244"/>
      <c r="I209" s="244"/>
      <c r="J209" s="244"/>
      <c r="K209" s="244"/>
      <c r="L209" s="244"/>
      <c r="M209" s="244"/>
      <c r="N209" s="244"/>
      <c r="O209" s="244"/>
      <c r="P209" s="244"/>
      <c r="Q209" s="244"/>
      <c r="R209" s="244"/>
      <c r="S209" s="244"/>
      <c r="T209" s="244"/>
      <c r="U209" s="244"/>
      <c r="V209" s="244"/>
      <c r="W209" s="244"/>
      <c r="X209" s="244"/>
      <c r="Y209" s="244"/>
      <c r="Z209" s="244"/>
    </row>
    <row r="210">
      <c r="A210" s="244"/>
      <c r="B210" s="244"/>
      <c r="C210" s="244"/>
      <c r="D210" s="244"/>
      <c r="E210" s="244"/>
      <c r="F210" s="244"/>
      <c r="G210" s="244"/>
      <c r="H210" s="244"/>
      <c r="I210" s="244"/>
      <c r="J210" s="244"/>
      <c r="K210" s="244"/>
      <c r="L210" s="244"/>
      <c r="M210" s="244"/>
      <c r="N210" s="244"/>
      <c r="O210" s="244"/>
      <c r="P210" s="244"/>
      <c r="Q210" s="244"/>
      <c r="R210" s="244"/>
      <c r="S210" s="244"/>
      <c r="T210" s="244"/>
      <c r="U210" s="244"/>
      <c r="V210" s="244"/>
      <c r="W210" s="244"/>
      <c r="X210" s="244"/>
      <c r="Y210" s="244"/>
      <c r="Z210" s="244"/>
    </row>
    <row r="211">
      <c r="A211" s="244"/>
      <c r="B211" s="244"/>
      <c r="C211" s="244"/>
      <c r="D211" s="244"/>
      <c r="E211" s="244"/>
      <c r="F211" s="244"/>
      <c r="G211" s="244"/>
      <c r="H211" s="244"/>
      <c r="I211" s="244"/>
      <c r="J211" s="244"/>
      <c r="K211" s="244"/>
      <c r="L211" s="244"/>
      <c r="M211" s="244"/>
      <c r="N211" s="244"/>
      <c r="O211" s="244"/>
      <c r="P211" s="244"/>
      <c r="Q211" s="244"/>
      <c r="R211" s="244"/>
      <c r="S211" s="244"/>
      <c r="T211" s="244"/>
      <c r="U211" s="244"/>
      <c r="V211" s="244"/>
      <c r="W211" s="244"/>
      <c r="X211" s="244"/>
      <c r="Y211" s="244"/>
      <c r="Z211" s="244"/>
    </row>
    <row r="212">
      <c r="A212" s="244"/>
      <c r="B212" s="244"/>
      <c r="C212" s="244"/>
      <c r="D212" s="244"/>
      <c r="E212" s="244"/>
      <c r="F212" s="244"/>
      <c r="G212" s="244"/>
      <c r="H212" s="244"/>
      <c r="I212" s="244"/>
      <c r="J212" s="244"/>
      <c r="K212" s="244"/>
      <c r="L212" s="244"/>
      <c r="M212" s="244"/>
      <c r="N212" s="244"/>
      <c r="O212" s="244"/>
      <c r="P212" s="244"/>
      <c r="Q212" s="244"/>
      <c r="R212" s="244"/>
      <c r="S212" s="244"/>
      <c r="T212" s="244"/>
      <c r="U212" s="244"/>
      <c r="V212" s="244"/>
      <c r="W212" s="244"/>
      <c r="X212" s="244"/>
      <c r="Y212" s="244"/>
      <c r="Z212" s="244"/>
    </row>
    <row r="213">
      <c r="A213" s="244"/>
      <c r="B213" s="244"/>
      <c r="C213" s="244"/>
      <c r="D213" s="244"/>
      <c r="E213" s="244"/>
      <c r="F213" s="244"/>
      <c r="G213" s="244"/>
      <c r="H213" s="244"/>
      <c r="I213" s="244"/>
      <c r="J213" s="244"/>
      <c r="K213" s="244"/>
      <c r="L213" s="244"/>
      <c r="M213" s="244"/>
      <c r="N213" s="244"/>
      <c r="O213" s="244"/>
      <c r="P213" s="244"/>
      <c r="Q213" s="244"/>
      <c r="R213" s="244"/>
      <c r="S213" s="244"/>
      <c r="T213" s="244"/>
      <c r="U213" s="244"/>
      <c r="V213" s="244"/>
      <c r="W213" s="244"/>
      <c r="X213" s="244"/>
      <c r="Y213" s="244"/>
      <c r="Z213" s="244"/>
    </row>
    <row r="214">
      <c r="A214" s="244"/>
      <c r="B214" s="244"/>
      <c r="C214" s="244"/>
      <c r="D214" s="244"/>
      <c r="E214" s="244"/>
      <c r="F214" s="244"/>
      <c r="G214" s="244"/>
      <c r="H214" s="244"/>
      <c r="I214" s="244"/>
      <c r="J214" s="244"/>
      <c r="K214" s="244"/>
      <c r="L214" s="244"/>
      <c r="M214" s="244"/>
      <c r="N214" s="244"/>
      <c r="O214" s="244"/>
      <c r="P214" s="244"/>
      <c r="Q214" s="244"/>
      <c r="R214" s="244"/>
      <c r="S214" s="244"/>
      <c r="T214" s="244"/>
      <c r="U214" s="244"/>
      <c r="V214" s="244"/>
      <c r="W214" s="244"/>
      <c r="X214" s="244"/>
      <c r="Y214" s="244"/>
      <c r="Z214" s="244"/>
    </row>
    <row r="215">
      <c r="A215" s="244"/>
      <c r="B215" s="244"/>
      <c r="C215" s="244"/>
      <c r="D215" s="244"/>
      <c r="E215" s="244"/>
      <c r="F215" s="244"/>
      <c r="G215" s="244"/>
      <c r="H215" s="244"/>
      <c r="I215" s="244"/>
      <c r="J215" s="244"/>
      <c r="K215" s="244"/>
      <c r="L215" s="244"/>
      <c r="M215" s="244"/>
      <c r="N215" s="244"/>
      <c r="O215" s="244"/>
      <c r="P215" s="244"/>
      <c r="Q215" s="244"/>
      <c r="R215" s="244"/>
      <c r="S215" s="244"/>
      <c r="T215" s="244"/>
      <c r="U215" s="244"/>
      <c r="V215" s="244"/>
      <c r="W215" s="244"/>
      <c r="X215" s="244"/>
      <c r="Y215" s="244"/>
      <c r="Z215" s="244"/>
    </row>
    <row r="216">
      <c r="A216" s="244"/>
      <c r="B216" s="244"/>
      <c r="C216" s="244"/>
      <c r="D216" s="244"/>
      <c r="E216" s="244"/>
      <c r="F216" s="244"/>
      <c r="G216" s="244"/>
      <c r="H216" s="244"/>
      <c r="I216" s="244"/>
      <c r="J216" s="244"/>
      <c r="K216" s="244"/>
      <c r="L216" s="244"/>
      <c r="M216" s="244"/>
      <c r="N216" s="244"/>
      <c r="O216" s="244"/>
      <c r="P216" s="244"/>
      <c r="Q216" s="244"/>
      <c r="R216" s="244"/>
      <c r="S216" s="244"/>
      <c r="T216" s="244"/>
      <c r="U216" s="244"/>
      <c r="V216" s="244"/>
      <c r="W216" s="244"/>
      <c r="X216" s="244"/>
      <c r="Y216" s="244"/>
      <c r="Z216" s="244"/>
    </row>
    <row r="217">
      <c r="A217" s="244"/>
      <c r="B217" s="244"/>
      <c r="C217" s="244"/>
      <c r="D217" s="244"/>
      <c r="E217" s="244"/>
      <c r="F217" s="244"/>
      <c r="G217" s="244"/>
      <c r="H217" s="244"/>
      <c r="I217" s="244"/>
      <c r="J217" s="244"/>
      <c r="K217" s="244"/>
      <c r="L217" s="244"/>
      <c r="M217" s="244"/>
      <c r="N217" s="244"/>
      <c r="O217" s="244"/>
      <c r="P217" s="244"/>
      <c r="Q217" s="244"/>
      <c r="R217" s="244"/>
      <c r="S217" s="244"/>
      <c r="T217" s="244"/>
      <c r="U217" s="244"/>
      <c r="V217" s="244"/>
      <c r="W217" s="244"/>
      <c r="X217" s="244"/>
      <c r="Y217" s="244"/>
      <c r="Z217" s="244"/>
    </row>
    <row r="218">
      <c r="A218" s="244"/>
      <c r="B218" s="244"/>
      <c r="C218" s="244"/>
      <c r="D218" s="244"/>
      <c r="E218" s="244"/>
      <c r="F218" s="244"/>
      <c r="G218" s="244"/>
      <c r="H218" s="244"/>
      <c r="I218" s="244"/>
      <c r="J218" s="244"/>
      <c r="K218" s="244"/>
      <c r="L218" s="244"/>
      <c r="M218" s="244"/>
      <c r="N218" s="244"/>
      <c r="O218" s="244"/>
      <c r="P218" s="244"/>
      <c r="Q218" s="244"/>
      <c r="R218" s="244"/>
      <c r="S218" s="244"/>
      <c r="T218" s="244"/>
      <c r="U218" s="244"/>
      <c r="V218" s="244"/>
      <c r="W218" s="244"/>
      <c r="X218" s="244"/>
      <c r="Y218" s="244"/>
      <c r="Z218" s="244"/>
    </row>
    <row r="219">
      <c r="A219" s="244"/>
      <c r="B219" s="244"/>
      <c r="C219" s="244"/>
      <c r="D219" s="244"/>
      <c r="E219" s="244"/>
      <c r="F219" s="244"/>
      <c r="G219" s="244"/>
      <c r="H219" s="244"/>
      <c r="I219" s="244"/>
      <c r="J219" s="244"/>
      <c r="K219" s="244"/>
      <c r="L219" s="244"/>
      <c r="M219" s="244"/>
      <c r="N219" s="244"/>
      <c r="O219" s="244"/>
      <c r="P219" s="244"/>
      <c r="Q219" s="244"/>
      <c r="R219" s="244"/>
      <c r="S219" s="244"/>
      <c r="T219" s="244"/>
      <c r="U219" s="244"/>
      <c r="V219" s="244"/>
      <c r="W219" s="244"/>
      <c r="X219" s="244"/>
      <c r="Y219" s="244"/>
      <c r="Z219" s="244"/>
    </row>
    <row r="220">
      <c r="A220" s="244"/>
      <c r="B220" s="244"/>
      <c r="C220" s="244"/>
      <c r="D220" s="244"/>
      <c r="E220" s="244"/>
      <c r="F220" s="244"/>
      <c r="G220" s="244"/>
      <c r="H220" s="244"/>
      <c r="I220" s="244"/>
      <c r="J220" s="244"/>
      <c r="K220" s="244"/>
      <c r="L220" s="244"/>
      <c r="M220" s="244"/>
      <c r="N220" s="244"/>
      <c r="O220" s="244"/>
      <c r="P220" s="244"/>
      <c r="Q220" s="244"/>
      <c r="R220" s="244"/>
      <c r="S220" s="244"/>
      <c r="T220" s="244"/>
      <c r="U220" s="244"/>
      <c r="V220" s="244"/>
      <c r="W220" s="244"/>
      <c r="X220" s="244"/>
      <c r="Y220" s="244"/>
      <c r="Z220" s="244"/>
    </row>
    <row r="221">
      <c r="A221" s="244"/>
      <c r="B221" s="244"/>
      <c r="C221" s="244"/>
      <c r="D221" s="244"/>
      <c r="E221" s="244"/>
      <c r="F221" s="244"/>
      <c r="G221" s="244"/>
      <c r="H221" s="244"/>
      <c r="I221" s="244"/>
      <c r="J221" s="244"/>
      <c r="K221" s="244"/>
      <c r="L221" s="244"/>
      <c r="M221" s="244"/>
      <c r="N221" s="244"/>
      <c r="O221" s="244"/>
      <c r="P221" s="244"/>
      <c r="Q221" s="244"/>
      <c r="R221" s="244"/>
      <c r="S221" s="244"/>
      <c r="T221" s="244"/>
      <c r="U221" s="244"/>
      <c r="V221" s="244"/>
      <c r="W221" s="244"/>
      <c r="X221" s="244"/>
      <c r="Y221" s="244"/>
      <c r="Z221" s="244"/>
    </row>
    <row r="222">
      <c r="A222" s="244"/>
      <c r="B222" s="244"/>
      <c r="C222" s="244"/>
      <c r="D222" s="244"/>
      <c r="E222" s="244"/>
      <c r="F222" s="244"/>
      <c r="G222" s="244"/>
      <c r="H222" s="244"/>
      <c r="I222" s="244"/>
      <c r="J222" s="244"/>
      <c r="K222" s="244"/>
      <c r="L222" s="244"/>
      <c r="M222" s="244"/>
      <c r="N222" s="244"/>
      <c r="O222" s="244"/>
      <c r="P222" s="244"/>
      <c r="Q222" s="244"/>
      <c r="R222" s="244"/>
      <c r="S222" s="244"/>
      <c r="T222" s="244"/>
      <c r="U222" s="244"/>
      <c r="V222" s="244"/>
      <c r="W222" s="244"/>
      <c r="X222" s="244"/>
      <c r="Y222" s="244"/>
      <c r="Z222" s="244"/>
    </row>
    <row r="223">
      <c r="A223" s="244"/>
      <c r="B223" s="244"/>
      <c r="C223" s="244"/>
      <c r="D223" s="244"/>
      <c r="E223" s="244"/>
      <c r="F223" s="244"/>
      <c r="G223" s="244"/>
      <c r="H223" s="244"/>
      <c r="I223" s="244"/>
      <c r="J223" s="244"/>
      <c r="K223" s="244"/>
      <c r="L223" s="244"/>
      <c r="M223" s="244"/>
      <c r="N223" s="244"/>
      <c r="O223" s="244"/>
      <c r="P223" s="244"/>
      <c r="Q223" s="244"/>
      <c r="R223" s="244"/>
      <c r="S223" s="244"/>
      <c r="T223" s="244"/>
      <c r="U223" s="244"/>
      <c r="V223" s="244"/>
      <c r="W223" s="244"/>
      <c r="X223" s="244"/>
      <c r="Y223" s="244"/>
      <c r="Z223" s="244"/>
    </row>
    <row r="224">
      <c r="A224" s="244"/>
      <c r="B224" s="244"/>
      <c r="C224" s="244"/>
      <c r="D224" s="244"/>
      <c r="E224" s="244"/>
      <c r="F224" s="244"/>
      <c r="G224" s="244"/>
      <c r="H224" s="244"/>
      <c r="I224" s="244"/>
      <c r="J224" s="244"/>
      <c r="K224" s="244"/>
      <c r="L224" s="244"/>
      <c r="M224" s="244"/>
      <c r="N224" s="244"/>
      <c r="O224" s="244"/>
      <c r="P224" s="244"/>
      <c r="Q224" s="244"/>
      <c r="R224" s="244"/>
      <c r="S224" s="244"/>
      <c r="T224" s="244"/>
      <c r="U224" s="244"/>
      <c r="V224" s="244"/>
      <c r="W224" s="244"/>
      <c r="X224" s="244"/>
      <c r="Y224" s="244"/>
      <c r="Z224" s="244"/>
    </row>
    <row r="225">
      <c r="A225" s="244"/>
      <c r="B225" s="244"/>
      <c r="C225" s="244"/>
      <c r="D225" s="244"/>
      <c r="E225" s="244"/>
      <c r="F225" s="244"/>
      <c r="G225" s="244"/>
      <c r="H225" s="244"/>
      <c r="I225" s="244"/>
      <c r="J225" s="244"/>
      <c r="K225" s="244"/>
      <c r="L225" s="244"/>
      <c r="M225" s="244"/>
      <c r="N225" s="244"/>
      <c r="O225" s="244"/>
      <c r="P225" s="244"/>
      <c r="Q225" s="244"/>
      <c r="R225" s="244"/>
      <c r="S225" s="244"/>
      <c r="T225" s="244"/>
      <c r="U225" s="244"/>
      <c r="V225" s="244"/>
      <c r="W225" s="244"/>
      <c r="X225" s="244"/>
      <c r="Y225" s="244"/>
      <c r="Z225" s="244"/>
    </row>
    <row r="226">
      <c r="A226" s="244"/>
      <c r="B226" s="244"/>
      <c r="C226" s="244"/>
      <c r="D226" s="244"/>
      <c r="E226" s="244"/>
      <c r="F226" s="244"/>
      <c r="G226" s="244"/>
      <c r="H226" s="244"/>
      <c r="I226" s="244"/>
      <c r="J226" s="244"/>
      <c r="K226" s="244"/>
      <c r="L226" s="244"/>
      <c r="M226" s="244"/>
      <c r="N226" s="244"/>
      <c r="O226" s="244"/>
      <c r="P226" s="244"/>
      <c r="Q226" s="244"/>
      <c r="R226" s="244"/>
      <c r="S226" s="244"/>
      <c r="T226" s="244"/>
      <c r="U226" s="244"/>
      <c r="V226" s="244"/>
      <c r="W226" s="244"/>
      <c r="X226" s="244"/>
      <c r="Y226" s="244"/>
      <c r="Z226" s="244"/>
    </row>
    <row r="227">
      <c r="A227" s="244"/>
      <c r="B227" s="244"/>
      <c r="C227" s="244"/>
      <c r="D227" s="244"/>
      <c r="E227" s="244"/>
      <c r="F227" s="244"/>
      <c r="G227" s="244"/>
      <c r="H227" s="244"/>
      <c r="I227" s="244"/>
      <c r="J227" s="244"/>
      <c r="K227" s="244"/>
      <c r="L227" s="244"/>
      <c r="M227" s="244"/>
      <c r="N227" s="244"/>
      <c r="O227" s="244"/>
      <c r="P227" s="244"/>
      <c r="Q227" s="244"/>
      <c r="R227" s="244"/>
      <c r="S227" s="244"/>
      <c r="T227" s="244"/>
      <c r="U227" s="244"/>
      <c r="V227" s="244"/>
      <c r="W227" s="244"/>
      <c r="X227" s="244"/>
      <c r="Y227" s="244"/>
      <c r="Z227" s="244"/>
    </row>
    <row r="228">
      <c r="A228" s="244"/>
      <c r="B228" s="244"/>
      <c r="C228" s="244"/>
      <c r="D228" s="244"/>
      <c r="E228" s="244"/>
      <c r="F228" s="244"/>
      <c r="G228" s="244"/>
      <c r="H228" s="244"/>
      <c r="I228" s="244"/>
      <c r="J228" s="244"/>
      <c r="K228" s="244"/>
      <c r="L228" s="244"/>
      <c r="M228" s="244"/>
      <c r="N228" s="244"/>
      <c r="O228" s="244"/>
      <c r="P228" s="244"/>
      <c r="Q228" s="244"/>
      <c r="R228" s="244"/>
      <c r="S228" s="244"/>
      <c r="T228" s="244"/>
      <c r="U228" s="244"/>
      <c r="V228" s="244"/>
      <c r="W228" s="244"/>
      <c r="X228" s="244"/>
      <c r="Y228" s="244"/>
      <c r="Z228" s="244"/>
    </row>
    <row r="229">
      <c r="A229" s="244"/>
      <c r="B229" s="244"/>
      <c r="C229" s="244"/>
      <c r="D229" s="244"/>
      <c r="E229" s="244"/>
      <c r="F229" s="244"/>
      <c r="G229" s="244"/>
      <c r="H229" s="244"/>
      <c r="I229" s="244"/>
      <c r="J229" s="244"/>
      <c r="K229" s="244"/>
      <c r="L229" s="244"/>
      <c r="M229" s="244"/>
      <c r="N229" s="244"/>
      <c r="O229" s="244"/>
      <c r="P229" s="244"/>
      <c r="Q229" s="244"/>
      <c r="R229" s="244"/>
      <c r="S229" s="244"/>
      <c r="T229" s="244"/>
      <c r="U229" s="244"/>
      <c r="V229" s="244"/>
      <c r="W229" s="244"/>
      <c r="X229" s="244"/>
      <c r="Y229" s="244"/>
      <c r="Z229" s="244"/>
    </row>
    <row r="230">
      <c r="A230" s="244"/>
      <c r="B230" s="244"/>
      <c r="C230" s="244"/>
      <c r="D230" s="244"/>
      <c r="E230" s="244"/>
      <c r="F230" s="244"/>
      <c r="G230" s="244"/>
      <c r="H230" s="244"/>
      <c r="I230" s="244"/>
      <c r="J230" s="244"/>
      <c r="K230" s="244"/>
      <c r="L230" s="244"/>
      <c r="M230" s="244"/>
      <c r="N230" s="244"/>
      <c r="O230" s="244"/>
      <c r="P230" s="244"/>
      <c r="Q230" s="244"/>
      <c r="R230" s="244"/>
      <c r="S230" s="244"/>
      <c r="T230" s="244"/>
      <c r="U230" s="244"/>
      <c r="V230" s="244"/>
      <c r="W230" s="244"/>
      <c r="X230" s="244"/>
      <c r="Y230" s="244"/>
      <c r="Z230" s="244"/>
    </row>
    <row r="231">
      <c r="A231" s="244"/>
      <c r="B231" s="244"/>
      <c r="C231" s="244"/>
      <c r="D231" s="244"/>
      <c r="E231" s="244"/>
      <c r="F231" s="244"/>
      <c r="G231" s="244"/>
      <c r="H231" s="244"/>
      <c r="I231" s="244"/>
      <c r="J231" s="244"/>
      <c r="K231" s="244"/>
      <c r="L231" s="244"/>
      <c r="M231" s="244"/>
      <c r="N231" s="244"/>
      <c r="O231" s="244"/>
      <c r="P231" s="244"/>
      <c r="Q231" s="244"/>
      <c r="R231" s="244"/>
      <c r="S231" s="244"/>
      <c r="T231" s="244"/>
      <c r="U231" s="244"/>
      <c r="V231" s="244"/>
      <c r="W231" s="244"/>
      <c r="X231" s="244"/>
      <c r="Y231" s="244"/>
      <c r="Z231" s="244"/>
    </row>
    <row r="232">
      <c r="A232" s="244"/>
      <c r="B232" s="244"/>
      <c r="C232" s="244"/>
      <c r="D232" s="244"/>
      <c r="E232" s="244"/>
      <c r="F232" s="244"/>
      <c r="G232" s="244"/>
      <c r="H232" s="244"/>
      <c r="I232" s="244"/>
      <c r="J232" s="244"/>
      <c r="K232" s="244"/>
      <c r="L232" s="244"/>
      <c r="M232" s="244"/>
      <c r="N232" s="244"/>
      <c r="O232" s="244"/>
      <c r="P232" s="244"/>
      <c r="Q232" s="244"/>
      <c r="R232" s="244"/>
      <c r="S232" s="244"/>
      <c r="T232" s="244"/>
      <c r="U232" s="244"/>
      <c r="V232" s="244"/>
      <c r="W232" s="244"/>
      <c r="X232" s="244"/>
      <c r="Y232" s="244"/>
      <c r="Z232" s="244"/>
    </row>
    <row r="233">
      <c r="A233" s="244"/>
      <c r="B233" s="244"/>
      <c r="C233" s="244"/>
      <c r="D233" s="244"/>
      <c r="E233" s="244"/>
      <c r="F233" s="244"/>
      <c r="G233" s="244"/>
      <c r="H233" s="244"/>
      <c r="I233" s="244"/>
      <c r="J233" s="244"/>
      <c r="K233" s="244"/>
      <c r="L233" s="244"/>
      <c r="M233" s="244"/>
      <c r="N233" s="244"/>
      <c r="O233" s="244"/>
      <c r="P233" s="244"/>
      <c r="Q233" s="244"/>
      <c r="R233" s="244"/>
      <c r="S233" s="244"/>
      <c r="T233" s="244"/>
      <c r="U233" s="244"/>
      <c r="V233" s="244"/>
      <c r="W233" s="244"/>
      <c r="X233" s="244"/>
      <c r="Y233" s="244"/>
      <c r="Z233" s="244"/>
    </row>
    <row r="234">
      <c r="A234" s="244"/>
      <c r="B234" s="244"/>
      <c r="C234" s="244"/>
      <c r="D234" s="244"/>
      <c r="E234" s="244"/>
      <c r="F234" s="244"/>
      <c r="G234" s="244"/>
      <c r="H234" s="244"/>
      <c r="I234" s="244"/>
      <c r="J234" s="244"/>
      <c r="K234" s="244"/>
      <c r="L234" s="244"/>
      <c r="M234" s="244"/>
      <c r="N234" s="244"/>
      <c r="O234" s="244"/>
      <c r="P234" s="244"/>
      <c r="Q234" s="244"/>
      <c r="R234" s="244"/>
      <c r="S234" s="244"/>
      <c r="T234" s="244"/>
      <c r="U234" s="244"/>
      <c r="V234" s="244"/>
      <c r="W234" s="244"/>
      <c r="X234" s="244"/>
      <c r="Y234" s="244"/>
      <c r="Z234" s="244"/>
    </row>
    <row r="235">
      <c r="A235" s="244"/>
      <c r="B235" s="244"/>
      <c r="C235" s="244"/>
      <c r="D235" s="244"/>
      <c r="E235" s="244"/>
      <c r="F235" s="244"/>
      <c r="G235" s="244"/>
      <c r="H235" s="244"/>
      <c r="I235" s="244"/>
      <c r="J235" s="244"/>
      <c r="K235" s="244"/>
      <c r="L235" s="244"/>
      <c r="M235" s="244"/>
      <c r="N235" s="244"/>
      <c r="O235" s="244"/>
      <c r="P235" s="244"/>
      <c r="Q235" s="244"/>
      <c r="R235" s="244"/>
      <c r="S235" s="244"/>
      <c r="T235" s="244"/>
      <c r="U235" s="244"/>
      <c r="V235" s="244"/>
      <c r="W235" s="244"/>
      <c r="X235" s="244"/>
      <c r="Y235" s="244"/>
      <c r="Z235" s="244"/>
    </row>
    <row r="236">
      <c r="A236" s="244"/>
      <c r="B236" s="244"/>
      <c r="C236" s="244"/>
      <c r="D236" s="244"/>
      <c r="E236" s="244"/>
      <c r="F236" s="244"/>
      <c r="G236" s="244"/>
      <c r="H236" s="244"/>
      <c r="I236" s="244"/>
      <c r="J236" s="244"/>
      <c r="K236" s="244"/>
      <c r="L236" s="244"/>
      <c r="M236" s="244"/>
      <c r="N236" s="244"/>
      <c r="O236" s="244"/>
      <c r="P236" s="244"/>
      <c r="Q236" s="244"/>
      <c r="R236" s="244"/>
      <c r="S236" s="244"/>
      <c r="T236" s="244"/>
      <c r="U236" s="244"/>
      <c r="V236" s="244"/>
      <c r="W236" s="244"/>
      <c r="X236" s="244"/>
      <c r="Y236" s="244"/>
      <c r="Z236" s="244"/>
    </row>
    <row r="237">
      <c r="A237" s="244"/>
      <c r="B237" s="244"/>
      <c r="C237" s="244"/>
      <c r="D237" s="244"/>
      <c r="E237" s="244"/>
      <c r="F237" s="244"/>
      <c r="G237" s="244"/>
      <c r="H237" s="244"/>
      <c r="I237" s="244"/>
      <c r="J237" s="244"/>
      <c r="K237" s="244"/>
      <c r="L237" s="244"/>
      <c r="M237" s="244"/>
      <c r="N237" s="244"/>
      <c r="O237" s="244"/>
      <c r="P237" s="244"/>
      <c r="Q237" s="244"/>
      <c r="R237" s="244"/>
      <c r="S237" s="244"/>
      <c r="T237" s="244"/>
      <c r="U237" s="244"/>
      <c r="V237" s="244"/>
      <c r="W237" s="244"/>
      <c r="X237" s="244"/>
      <c r="Y237" s="244"/>
      <c r="Z237" s="244"/>
    </row>
    <row r="238">
      <c r="A238" s="244"/>
      <c r="B238" s="244"/>
      <c r="C238" s="244"/>
      <c r="D238" s="244"/>
      <c r="E238" s="244"/>
      <c r="F238" s="244"/>
      <c r="G238" s="244"/>
      <c r="H238" s="244"/>
      <c r="I238" s="244"/>
      <c r="J238" s="244"/>
      <c r="K238" s="244"/>
      <c r="L238" s="244"/>
      <c r="M238" s="244"/>
      <c r="N238" s="244"/>
      <c r="O238" s="244"/>
      <c r="P238" s="244"/>
      <c r="Q238" s="244"/>
      <c r="R238" s="244"/>
      <c r="S238" s="244"/>
      <c r="T238" s="244"/>
      <c r="U238" s="244"/>
      <c r="V238" s="244"/>
      <c r="W238" s="244"/>
      <c r="X238" s="244"/>
      <c r="Y238" s="244"/>
      <c r="Z238" s="244"/>
    </row>
    <row r="239">
      <c r="A239" s="244"/>
      <c r="B239" s="244"/>
      <c r="C239" s="244"/>
      <c r="D239" s="244"/>
      <c r="E239" s="244"/>
      <c r="F239" s="244"/>
      <c r="G239" s="244"/>
      <c r="H239" s="244"/>
      <c r="I239" s="244"/>
      <c r="J239" s="244"/>
      <c r="K239" s="244"/>
      <c r="L239" s="244"/>
      <c r="M239" s="244"/>
      <c r="N239" s="244"/>
      <c r="O239" s="244"/>
      <c r="P239" s="244"/>
      <c r="Q239" s="244"/>
      <c r="R239" s="244"/>
      <c r="S239" s="244"/>
      <c r="T239" s="244"/>
      <c r="U239" s="244"/>
      <c r="V239" s="244"/>
      <c r="W239" s="244"/>
      <c r="X239" s="244"/>
      <c r="Y239" s="244"/>
      <c r="Z239" s="244"/>
    </row>
    <row r="240">
      <c r="A240" s="244"/>
      <c r="B240" s="244"/>
      <c r="C240" s="244"/>
      <c r="D240" s="244"/>
      <c r="E240" s="244"/>
      <c r="F240" s="244"/>
      <c r="G240" s="244"/>
      <c r="H240" s="244"/>
      <c r="I240" s="244"/>
      <c r="J240" s="244"/>
      <c r="K240" s="244"/>
      <c r="L240" s="244"/>
      <c r="M240" s="244"/>
      <c r="N240" s="244"/>
      <c r="O240" s="244"/>
      <c r="P240" s="244"/>
      <c r="Q240" s="244"/>
      <c r="R240" s="244"/>
      <c r="S240" s="244"/>
      <c r="T240" s="244"/>
      <c r="U240" s="244"/>
      <c r="V240" s="244"/>
      <c r="W240" s="244"/>
      <c r="X240" s="244"/>
      <c r="Y240" s="244"/>
      <c r="Z240" s="244"/>
    </row>
    <row r="241">
      <c r="A241" s="244"/>
      <c r="B241" s="244"/>
      <c r="C241" s="244"/>
      <c r="D241" s="244"/>
      <c r="E241" s="244"/>
      <c r="F241" s="244"/>
      <c r="G241" s="244"/>
      <c r="H241" s="244"/>
      <c r="I241" s="244"/>
      <c r="J241" s="244"/>
      <c r="K241" s="244"/>
      <c r="L241" s="244"/>
      <c r="M241" s="244"/>
      <c r="N241" s="244"/>
      <c r="O241" s="244"/>
      <c r="P241" s="244"/>
      <c r="Q241" s="244"/>
      <c r="R241" s="244"/>
      <c r="S241" s="244"/>
      <c r="T241" s="244"/>
      <c r="U241" s="244"/>
      <c r="V241" s="244"/>
      <c r="W241" s="244"/>
      <c r="X241" s="244"/>
      <c r="Y241" s="244"/>
      <c r="Z241" s="244"/>
    </row>
    <row r="242">
      <c r="A242" s="244"/>
      <c r="B242" s="244"/>
      <c r="C242" s="244"/>
      <c r="D242" s="244"/>
      <c r="E242" s="244"/>
      <c r="F242" s="244"/>
      <c r="G242" s="244"/>
      <c r="H242" s="244"/>
      <c r="I242" s="244"/>
      <c r="J242" s="244"/>
      <c r="K242" s="244"/>
      <c r="L242" s="244"/>
      <c r="M242" s="244"/>
      <c r="N242" s="244"/>
      <c r="O242" s="244"/>
      <c r="P242" s="244"/>
      <c r="Q242" s="244"/>
      <c r="R242" s="244"/>
      <c r="S242" s="244"/>
      <c r="T242" s="244"/>
      <c r="U242" s="244"/>
      <c r="V242" s="244"/>
      <c r="W242" s="244"/>
      <c r="X242" s="244"/>
      <c r="Y242" s="244"/>
      <c r="Z242" s="244"/>
    </row>
    <row r="243">
      <c r="A243" s="244"/>
      <c r="B243" s="244"/>
      <c r="C243" s="244"/>
      <c r="D243" s="244"/>
      <c r="E243" s="244"/>
      <c r="F243" s="244"/>
      <c r="G243" s="244"/>
      <c r="H243" s="244"/>
      <c r="I243" s="244"/>
      <c r="J243" s="244"/>
      <c r="K243" s="244"/>
      <c r="L243" s="244"/>
      <c r="M243" s="244"/>
      <c r="N243" s="244"/>
      <c r="O243" s="244"/>
      <c r="P243" s="244"/>
      <c r="Q243" s="244"/>
      <c r="R243" s="244"/>
      <c r="S243" s="244"/>
      <c r="T243" s="244"/>
      <c r="U243" s="244"/>
      <c r="V243" s="244"/>
      <c r="W243" s="244"/>
      <c r="X243" s="244"/>
      <c r="Y243" s="244"/>
      <c r="Z243" s="244"/>
    </row>
    <row r="244">
      <c r="A244" s="244"/>
      <c r="B244" s="244"/>
      <c r="C244" s="244"/>
      <c r="D244" s="244"/>
      <c r="E244" s="244"/>
      <c r="F244" s="244"/>
      <c r="G244" s="244"/>
      <c r="H244" s="244"/>
      <c r="I244" s="244"/>
      <c r="J244" s="244"/>
      <c r="K244" s="244"/>
      <c r="L244" s="244"/>
      <c r="M244" s="244"/>
      <c r="N244" s="244"/>
      <c r="O244" s="244"/>
      <c r="P244" s="244"/>
      <c r="Q244" s="244"/>
      <c r="R244" s="244"/>
      <c r="S244" s="244"/>
      <c r="T244" s="244"/>
      <c r="U244" s="244"/>
      <c r="V244" s="244"/>
      <c r="W244" s="244"/>
      <c r="X244" s="244"/>
      <c r="Y244" s="244"/>
      <c r="Z244" s="244"/>
    </row>
    <row r="245">
      <c r="A245" s="244"/>
      <c r="B245" s="244"/>
      <c r="C245" s="244"/>
      <c r="D245" s="244"/>
      <c r="E245" s="244"/>
      <c r="F245" s="244"/>
      <c r="G245" s="244"/>
      <c r="H245" s="244"/>
      <c r="I245" s="244"/>
      <c r="J245" s="244"/>
      <c r="K245" s="244"/>
      <c r="L245" s="244"/>
      <c r="M245" s="244"/>
      <c r="N245" s="244"/>
      <c r="O245" s="244"/>
      <c r="P245" s="244"/>
      <c r="Q245" s="244"/>
      <c r="R245" s="244"/>
      <c r="S245" s="244"/>
      <c r="T245" s="244"/>
      <c r="U245" s="244"/>
      <c r="V245" s="244"/>
      <c r="W245" s="244"/>
      <c r="X245" s="244"/>
      <c r="Y245" s="244"/>
      <c r="Z245" s="244"/>
    </row>
    <row r="246">
      <c r="A246" s="244"/>
      <c r="B246" s="244"/>
      <c r="C246" s="244"/>
      <c r="D246" s="244"/>
      <c r="E246" s="244"/>
      <c r="F246" s="244"/>
      <c r="G246" s="244"/>
      <c r="H246" s="244"/>
      <c r="I246" s="244"/>
      <c r="J246" s="244"/>
      <c r="K246" s="244"/>
      <c r="L246" s="244"/>
      <c r="M246" s="244"/>
      <c r="N246" s="244"/>
      <c r="O246" s="244"/>
      <c r="P246" s="244"/>
      <c r="Q246" s="244"/>
      <c r="R246" s="244"/>
      <c r="S246" s="244"/>
      <c r="T246" s="244"/>
      <c r="U246" s="244"/>
      <c r="V246" s="244"/>
      <c r="W246" s="244"/>
      <c r="X246" s="244"/>
      <c r="Y246" s="244"/>
      <c r="Z246" s="244"/>
    </row>
    <row r="247">
      <c r="A247" s="244"/>
      <c r="B247" s="244"/>
      <c r="C247" s="244"/>
      <c r="D247" s="244"/>
      <c r="E247" s="244"/>
      <c r="F247" s="244"/>
      <c r="G247" s="244"/>
      <c r="H247" s="244"/>
      <c r="I247" s="244"/>
      <c r="J247" s="244"/>
      <c r="K247" s="244"/>
      <c r="L247" s="244"/>
      <c r="M247" s="244"/>
      <c r="N247" s="244"/>
      <c r="O247" s="244"/>
      <c r="P247" s="244"/>
      <c r="Q247" s="244"/>
      <c r="R247" s="244"/>
      <c r="S247" s="244"/>
      <c r="T247" s="244"/>
      <c r="U247" s="244"/>
      <c r="V247" s="244"/>
      <c r="W247" s="244"/>
      <c r="X247" s="244"/>
      <c r="Y247" s="244"/>
      <c r="Z247" s="244"/>
    </row>
    <row r="248">
      <c r="A248" s="244"/>
      <c r="B248" s="244"/>
      <c r="C248" s="244"/>
      <c r="D248" s="244"/>
      <c r="E248" s="244"/>
      <c r="F248" s="244"/>
      <c r="G248" s="244"/>
      <c r="H248" s="244"/>
      <c r="I248" s="244"/>
      <c r="J248" s="244"/>
      <c r="K248" s="244"/>
      <c r="L248" s="244"/>
      <c r="M248" s="244"/>
      <c r="N248" s="244"/>
      <c r="O248" s="244"/>
      <c r="P248" s="244"/>
      <c r="Q248" s="244"/>
      <c r="R248" s="244"/>
      <c r="S248" s="244"/>
      <c r="T248" s="244"/>
      <c r="U248" s="244"/>
      <c r="V248" s="244"/>
      <c r="W248" s="244"/>
      <c r="X248" s="244"/>
      <c r="Y248" s="244"/>
      <c r="Z248" s="244"/>
    </row>
    <row r="249">
      <c r="A249" s="244"/>
      <c r="B249" s="244"/>
      <c r="C249" s="244"/>
      <c r="D249" s="244"/>
      <c r="E249" s="244"/>
      <c r="F249" s="244"/>
      <c r="G249" s="244"/>
      <c r="H249" s="244"/>
      <c r="I249" s="244"/>
      <c r="J249" s="244"/>
      <c r="K249" s="244"/>
      <c r="L249" s="244"/>
      <c r="M249" s="244"/>
      <c r="N249" s="244"/>
      <c r="O249" s="244"/>
      <c r="P249" s="244"/>
      <c r="Q249" s="244"/>
      <c r="R249" s="244"/>
      <c r="S249" s="244"/>
      <c r="T249" s="244"/>
      <c r="U249" s="244"/>
      <c r="V249" s="244"/>
      <c r="W249" s="244"/>
      <c r="X249" s="244"/>
      <c r="Y249" s="244"/>
      <c r="Z249" s="244"/>
    </row>
    <row r="250">
      <c r="A250" s="244"/>
      <c r="B250" s="244"/>
      <c r="C250" s="244"/>
      <c r="D250" s="244"/>
      <c r="E250" s="244"/>
      <c r="F250" s="244"/>
      <c r="G250" s="244"/>
      <c r="H250" s="244"/>
      <c r="I250" s="244"/>
      <c r="J250" s="244"/>
      <c r="K250" s="244"/>
      <c r="L250" s="244"/>
      <c r="M250" s="244"/>
      <c r="N250" s="244"/>
      <c r="O250" s="244"/>
      <c r="P250" s="244"/>
      <c r="Q250" s="244"/>
      <c r="R250" s="244"/>
      <c r="S250" s="244"/>
      <c r="T250" s="244"/>
      <c r="U250" s="244"/>
      <c r="V250" s="244"/>
      <c r="W250" s="244"/>
      <c r="X250" s="244"/>
      <c r="Y250" s="244"/>
      <c r="Z250" s="244"/>
    </row>
    <row r="251">
      <c r="A251" s="244"/>
      <c r="B251" s="244"/>
      <c r="C251" s="244"/>
      <c r="D251" s="244"/>
      <c r="E251" s="244"/>
      <c r="F251" s="244"/>
      <c r="G251" s="244"/>
      <c r="H251" s="244"/>
      <c r="I251" s="244"/>
      <c r="J251" s="244"/>
      <c r="K251" s="244"/>
      <c r="L251" s="244"/>
      <c r="M251" s="244"/>
      <c r="N251" s="244"/>
      <c r="O251" s="244"/>
      <c r="P251" s="244"/>
      <c r="Q251" s="244"/>
      <c r="R251" s="244"/>
      <c r="S251" s="244"/>
      <c r="T251" s="244"/>
      <c r="U251" s="244"/>
      <c r="V251" s="244"/>
      <c r="W251" s="244"/>
      <c r="X251" s="244"/>
      <c r="Y251" s="244"/>
      <c r="Z251" s="244"/>
    </row>
    <row r="252">
      <c r="A252" s="244"/>
      <c r="B252" s="244"/>
      <c r="C252" s="244"/>
      <c r="D252" s="244"/>
      <c r="E252" s="244"/>
      <c r="F252" s="244"/>
      <c r="G252" s="244"/>
      <c r="H252" s="244"/>
      <c r="I252" s="244"/>
      <c r="J252" s="244"/>
      <c r="K252" s="244"/>
      <c r="L252" s="244"/>
      <c r="M252" s="244"/>
      <c r="N252" s="244"/>
      <c r="O252" s="244"/>
      <c r="P252" s="244"/>
      <c r="Q252" s="244"/>
      <c r="R252" s="244"/>
      <c r="S252" s="244"/>
      <c r="T252" s="244"/>
      <c r="U252" s="244"/>
      <c r="V252" s="244"/>
      <c r="W252" s="244"/>
      <c r="X252" s="244"/>
      <c r="Y252" s="244"/>
      <c r="Z252" s="244"/>
    </row>
    <row r="253">
      <c r="A253" s="244"/>
      <c r="B253" s="244"/>
      <c r="C253" s="244"/>
      <c r="D253" s="244"/>
      <c r="E253" s="244"/>
      <c r="F253" s="244"/>
      <c r="G253" s="244"/>
      <c r="H253" s="244"/>
      <c r="I253" s="244"/>
      <c r="J253" s="244"/>
      <c r="K253" s="244"/>
      <c r="L253" s="244"/>
      <c r="M253" s="244"/>
      <c r="N253" s="244"/>
      <c r="O253" s="244"/>
      <c r="P253" s="244"/>
      <c r="Q253" s="244"/>
      <c r="R253" s="244"/>
      <c r="S253" s="244"/>
      <c r="T253" s="244"/>
      <c r="U253" s="244"/>
      <c r="V253" s="244"/>
      <c r="W253" s="244"/>
      <c r="X253" s="244"/>
      <c r="Y253" s="244"/>
      <c r="Z253" s="244"/>
    </row>
    <row r="254">
      <c r="A254" s="244"/>
      <c r="B254" s="244"/>
      <c r="C254" s="244"/>
      <c r="D254" s="244"/>
      <c r="E254" s="244"/>
      <c r="F254" s="244"/>
      <c r="G254" s="244"/>
      <c r="H254" s="244"/>
      <c r="I254" s="244"/>
      <c r="J254" s="244"/>
      <c r="K254" s="244"/>
      <c r="L254" s="244"/>
      <c r="M254" s="244"/>
      <c r="N254" s="244"/>
      <c r="O254" s="244"/>
      <c r="P254" s="244"/>
      <c r="Q254" s="244"/>
      <c r="R254" s="244"/>
      <c r="S254" s="244"/>
      <c r="T254" s="244"/>
      <c r="U254" s="244"/>
      <c r="V254" s="244"/>
      <c r="W254" s="244"/>
      <c r="X254" s="244"/>
      <c r="Y254" s="244"/>
      <c r="Z254" s="244"/>
    </row>
    <row r="255">
      <c r="A255" s="244"/>
      <c r="B255" s="244"/>
      <c r="C255" s="244"/>
      <c r="D255" s="244"/>
      <c r="E255" s="244"/>
      <c r="F255" s="244"/>
      <c r="G255" s="244"/>
      <c r="H255" s="244"/>
      <c r="I255" s="244"/>
      <c r="J255" s="244"/>
      <c r="K255" s="244"/>
      <c r="L255" s="244"/>
      <c r="M255" s="244"/>
      <c r="N255" s="244"/>
      <c r="O255" s="244"/>
      <c r="P255" s="244"/>
      <c r="Q255" s="244"/>
      <c r="R255" s="244"/>
      <c r="S255" s="244"/>
      <c r="T255" s="244"/>
      <c r="U255" s="244"/>
      <c r="V255" s="244"/>
      <c r="W255" s="244"/>
      <c r="X255" s="244"/>
      <c r="Y255" s="244"/>
      <c r="Z255" s="244"/>
    </row>
    <row r="256">
      <c r="A256" s="244"/>
      <c r="B256" s="244"/>
      <c r="C256" s="244"/>
      <c r="D256" s="244"/>
      <c r="E256" s="244"/>
      <c r="F256" s="244"/>
      <c r="G256" s="244"/>
      <c r="H256" s="244"/>
      <c r="I256" s="244"/>
      <c r="J256" s="244"/>
      <c r="K256" s="244"/>
      <c r="L256" s="244"/>
      <c r="M256" s="244"/>
      <c r="N256" s="244"/>
      <c r="O256" s="244"/>
      <c r="P256" s="244"/>
      <c r="Q256" s="244"/>
      <c r="R256" s="244"/>
      <c r="S256" s="244"/>
      <c r="T256" s="244"/>
      <c r="U256" s="244"/>
      <c r="V256" s="244"/>
      <c r="W256" s="244"/>
      <c r="X256" s="244"/>
      <c r="Y256" s="244"/>
      <c r="Z256" s="244"/>
    </row>
    <row r="257">
      <c r="A257" s="244"/>
      <c r="B257" s="244"/>
      <c r="C257" s="244"/>
      <c r="D257" s="244"/>
      <c r="E257" s="244"/>
      <c r="F257" s="244"/>
      <c r="G257" s="244"/>
      <c r="H257" s="244"/>
      <c r="I257" s="244"/>
      <c r="J257" s="244"/>
      <c r="K257" s="244"/>
      <c r="L257" s="244"/>
      <c r="M257" s="244"/>
      <c r="N257" s="244"/>
      <c r="O257" s="244"/>
      <c r="P257" s="244"/>
      <c r="Q257" s="244"/>
      <c r="R257" s="244"/>
      <c r="S257" s="244"/>
      <c r="T257" s="244"/>
      <c r="U257" s="244"/>
      <c r="V257" s="244"/>
      <c r="W257" s="244"/>
      <c r="X257" s="244"/>
      <c r="Y257" s="244"/>
      <c r="Z257" s="244"/>
    </row>
    <row r="258">
      <c r="A258" s="244"/>
      <c r="B258" s="244"/>
      <c r="C258" s="244"/>
      <c r="D258" s="244"/>
      <c r="E258" s="244"/>
      <c r="F258" s="244"/>
      <c r="G258" s="244"/>
      <c r="H258" s="244"/>
      <c r="I258" s="244"/>
      <c r="J258" s="244"/>
      <c r="K258" s="244"/>
      <c r="L258" s="244"/>
      <c r="M258" s="244"/>
      <c r="N258" s="244"/>
      <c r="O258" s="244"/>
      <c r="P258" s="244"/>
      <c r="Q258" s="244"/>
      <c r="R258" s="244"/>
      <c r="S258" s="244"/>
      <c r="T258" s="244"/>
      <c r="U258" s="244"/>
      <c r="V258" s="244"/>
      <c r="W258" s="244"/>
      <c r="X258" s="244"/>
      <c r="Y258" s="244"/>
      <c r="Z258" s="244"/>
    </row>
    <row r="259">
      <c r="A259" s="244"/>
      <c r="B259" s="244"/>
      <c r="C259" s="244"/>
      <c r="D259" s="244"/>
      <c r="E259" s="244"/>
      <c r="F259" s="244"/>
      <c r="G259" s="244"/>
      <c r="H259" s="244"/>
      <c r="I259" s="244"/>
      <c r="J259" s="244"/>
      <c r="K259" s="244"/>
      <c r="L259" s="244"/>
      <c r="M259" s="244"/>
      <c r="N259" s="244"/>
      <c r="O259" s="244"/>
      <c r="P259" s="244"/>
      <c r="Q259" s="244"/>
      <c r="R259" s="244"/>
      <c r="S259" s="244"/>
      <c r="T259" s="244"/>
      <c r="U259" s="244"/>
      <c r="V259" s="244"/>
      <c r="W259" s="244"/>
      <c r="X259" s="244"/>
      <c r="Y259" s="244"/>
      <c r="Z259" s="244"/>
    </row>
    <row r="260">
      <c r="A260" s="244"/>
      <c r="B260" s="244"/>
      <c r="C260" s="244"/>
      <c r="D260" s="244"/>
      <c r="E260" s="244"/>
      <c r="F260" s="244"/>
      <c r="G260" s="244"/>
      <c r="H260" s="244"/>
      <c r="I260" s="244"/>
      <c r="J260" s="244"/>
      <c r="K260" s="244"/>
      <c r="L260" s="244"/>
      <c r="M260" s="244"/>
      <c r="N260" s="244"/>
      <c r="O260" s="244"/>
      <c r="P260" s="244"/>
      <c r="Q260" s="244"/>
      <c r="R260" s="244"/>
      <c r="S260" s="244"/>
      <c r="T260" s="244"/>
      <c r="U260" s="244"/>
      <c r="V260" s="244"/>
      <c r="W260" s="244"/>
      <c r="X260" s="244"/>
      <c r="Y260" s="244"/>
      <c r="Z260" s="244"/>
    </row>
    <row r="261">
      <c r="A261" s="244"/>
      <c r="B261" s="244"/>
      <c r="C261" s="244"/>
      <c r="D261" s="244"/>
      <c r="E261" s="244"/>
      <c r="F261" s="244"/>
      <c r="G261" s="244"/>
      <c r="H261" s="244"/>
      <c r="I261" s="244"/>
      <c r="J261" s="244"/>
      <c r="K261" s="244"/>
      <c r="L261" s="244"/>
      <c r="M261" s="244"/>
      <c r="N261" s="244"/>
      <c r="O261" s="244"/>
      <c r="P261" s="244"/>
      <c r="Q261" s="244"/>
      <c r="R261" s="244"/>
      <c r="S261" s="244"/>
      <c r="T261" s="244"/>
      <c r="U261" s="244"/>
      <c r="V261" s="244"/>
      <c r="W261" s="244"/>
      <c r="X261" s="244"/>
      <c r="Y261" s="244"/>
      <c r="Z261" s="244"/>
    </row>
    <row r="262">
      <c r="A262" s="244"/>
      <c r="B262" s="244"/>
      <c r="C262" s="244"/>
      <c r="D262" s="244"/>
      <c r="E262" s="244"/>
      <c r="F262" s="244"/>
      <c r="G262" s="244"/>
      <c r="H262" s="244"/>
      <c r="I262" s="244"/>
      <c r="J262" s="244"/>
      <c r="K262" s="244"/>
      <c r="L262" s="244"/>
      <c r="M262" s="244"/>
      <c r="N262" s="244"/>
      <c r="O262" s="244"/>
      <c r="P262" s="244"/>
      <c r="Q262" s="244"/>
      <c r="R262" s="244"/>
      <c r="S262" s="244"/>
      <c r="T262" s="244"/>
      <c r="U262" s="244"/>
      <c r="V262" s="244"/>
      <c r="W262" s="244"/>
      <c r="X262" s="244"/>
      <c r="Y262" s="244"/>
      <c r="Z262" s="244"/>
    </row>
    <row r="263">
      <c r="A263" s="244"/>
      <c r="B263" s="244"/>
      <c r="C263" s="244"/>
      <c r="D263" s="244"/>
      <c r="E263" s="244"/>
      <c r="F263" s="244"/>
      <c r="G263" s="244"/>
      <c r="H263" s="244"/>
      <c r="I263" s="244"/>
      <c r="J263" s="244"/>
      <c r="K263" s="244"/>
      <c r="L263" s="244"/>
      <c r="M263" s="244"/>
      <c r="N263" s="244"/>
      <c r="O263" s="244"/>
      <c r="P263" s="244"/>
      <c r="Q263" s="244"/>
      <c r="R263" s="244"/>
      <c r="S263" s="244"/>
      <c r="T263" s="244"/>
      <c r="U263" s="244"/>
      <c r="V263" s="244"/>
      <c r="W263" s="244"/>
      <c r="X263" s="244"/>
      <c r="Y263" s="244"/>
      <c r="Z263" s="244"/>
    </row>
    <row r="264">
      <c r="A264" s="244"/>
      <c r="B264" s="244"/>
      <c r="C264" s="244"/>
      <c r="D264" s="244"/>
      <c r="E264" s="244"/>
      <c r="F264" s="244"/>
      <c r="G264" s="244"/>
      <c r="H264" s="244"/>
      <c r="I264" s="244"/>
      <c r="J264" s="244"/>
      <c r="K264" s="244"/>
      <c r="L264" s="244"/>
      <c r="M264" s="244"/>
      <c r="N264" s="244"/>
      <c r="O264" s="244"/>
      <c r="P264" s="244"/>
      <c r="Q264" s="244"/>
      <c r="R264" s="244"/>
      <c r="S264" s="244"/>
      <c r="T264" s="244"/>
      <c r="U264" s="244"/>
      <c r="V264" s="244"/>
      <c r="W264" s="244"/>
      <c r="X264" s="244"/>
      <c r="Y264" s="244"/>
      <c r="Z264" s="244"/>
    </row>
    <row r="265">
      <c r="A265" s="244"/>
      <c r="B265" s="244"/>
      <c r="C265" s="244"/>
      <c r="D265" s="244"/>
      <c r="E265" s="244"/>
      <c r="F265" s="244"/>
      <c r="G265" s="244"/>
      <c r="H265" s="244"/>
      <c r="I265" s="244"/>
      <c r="J265" s="244"/>
      <c r="K265" s="244"/>
      <c r="L265" s="244"/>
      <c r="M265" s="244"/>
      <c r="N265" s="244"/>
      <c r="O265" s="244"/>
      <c r="P265" s="244"/>
      <c r="Q265" s="244"/>
      <c r="R265" s="244"/>
      <c r="S265" s="244"/>
      <c r="T265" s="244"/>
      <c r="U265" s="244"/>
      <c r="V265" s="244"/>
      <c r="W265" s="244"/>
      <c r="X265" s="244"/>
      <c r="Y265" s="244"/>
      <c r="Z265" s="244"/>
    </row>
    <row r="266">
      <c r="A266" s="244"/>
      <c r="B266" s="244"/>
      <c r="C266" s="244"/>
      <c r="D266" s="244"/>
      <c r="E266" s="244"/>
      <c r="F266" s="244"/>
      <c r="G266" s="244"/>
      <c r="H266" s="244"/>
      <c r="I266" s="244"/>
      <c r="J266" s="244"/>
      <c r="K266" s="244"/>
      <c r="L266" s="244"/>
      <c r="M266" s="244"/>
      <c r="N266" s="244"/>
      <c r="O266" s="244"/>
      <c r="P266" s="244"/>
      <c r="Q266" s="244"/>
      <c r="R266" s="244"/>
      <c r="S266" s="244"/>
      <c r="T266" s="244"/>
      <c r="U266" s="244"/>
      <c r="V266" s="244"/>
      <c r="W266" s="244"/>
      <c r="X266" s="244"/>
      <c r="Y266" s="244"/>
      <c r="Z266" s="244"/>
    </row>
    <row r="267">
      <c r="A267" s="244"/>
      <c r="B267" s="244"/>
      <c r="C267" s="244"/>
      <c r="D267" s="244"/>
      <c r="E267" s="244"/>
      <c r="F267" s="244"/>
      <c r="G267" s="244"/>
      <c r="H267" s="244"/>
      <c r="I267" s="244"/>
      <c r="J267" s="244"/>
      <c r="K267" s="244"/>
      <c r="L267" s="244"/>
      <c r="M267" s="244"/>
      <c r="N267" s="244"/>
      <c r="O267" s="244"/>
      <c r="P267" s="244"/>
      <c r="Q267" s="244"/>
      <c r="R267" s="244"/>
      <c r="S267" s="244"/>
      <c r="T267" s="244"/>
      <c r="U267" s="244"/>
      <c r="V267" s="244"/>
      <c r="W267" s="244"/>
      <c r="X267" s="244"/>
      <c r="Y267" s="244"/>
      <c r="Z267" s="244"/>
    </row>
    <row r="268">
      <c r="A268" s="244"/>
      <c r="B268" s="244"/>
      <c r="C268" s="244"/>
      <c r="D268" s="244"/>
      <c r="E268" s="244"/>
      <c r="F268" s="244"/>
      <c r="G268" s="244"/>
      <c r="H268" s="244"/>
      <c r="I268" s="244"/>
      <c r="J268" s="244"/>
      <c r="K268" s="244"/>
      <c r="L268" s="244"/>
      <c r="M268" s="244"/>
      <c r="N268" s="244"/>
      <c r="O268" s="244"/>
      <c r="P268" s="244"/>
      <c r="Q268" s="244"/>
      <c r="R268" s="244"/>
      <c r="S268" s="244"/>
      <c r="T268" s="244"/>
      <c r="U268" s="244"/>
      <c r="V268" s="244"/>
      <c r="W268" s="244"/>
      <c r="X268" s="244"/>
      <c r="Y268" s="244"/>
      <c r="Z268" s="244"/>
    </row>
    <row r="269">
      <c r="A269" s="244"/>
      <c r="B269" s="244"/>
      <c r="C269" s="244"/>
      <c r="D269" s="244"/>
      <c r="E269" s="244"/>
      <c r="F269" s="244"/>
      <c r="G269" s="244"/>
      <c r="H269" s="244"/>
      <c r="I269" s="244"/>
      <c r="J269" s="244"/>
      <c r="K269" s="244"/>
      <c r="L269" s="244"/>
      <c r="M269" s="244"/>
      <c r="N269" s="244"/>
      <c r="O269" s="244"/>
      <c r="P269" s="244"/>
      <c r="Q269" s="244"/>
      <c r="R269" s="244"/>
      <c r="S269" s="244"/>
      <c r="T269" s="244"/>
      <c r="U269" s="244"/>
      <c r="V269" s="244"/>
      <c r="W269" s="244"/>
      <c r="X269" s="244"/>
      <c r="Y269" s="244"/>
      <c r="Z269" s="244"/>
    </row>
    <row r="270">
      <c r="A270" s="244"/>
      <c r="B270" s="244"/>
      <c r="C270" s="244"/>
      <c r="D270" s="244"/>
      <c r="E270" s="244"/>
      <c r="F270" s="244"/>
      <c r="G270" s="244"/>
      <c r="H270" s="244"/>
      <c r="I270" s="244"/>
      <c r="J270" s="244"/>
      <c r="K270" s="244"/>
      <c r="L270" s="244"/>
      <c r="M270" s="244"/>
      <c r="N270" s="244"/>
      <c r="O270" s="244"/>
      <c r="P270" s="244"/>
      <c r="Q270" s="244"/>
      <c r="R270" s="244"/>
      <c r="S270" s="244"/>
      <c r="T270" s="244"/>
      <c r="U270" s="244"/>
      <c r="V270" s="244"/>
      <c r="W270" s="244"/>
      <c r="X270" s="244"/>
      <c r="Y270" s="244"/>
      <c r="Z270" s="244"/>
    </row>
    <row r="271">
      <c r="A271" s="244"/>
      <c r="B271" s="244"/>
      <c r="C271" s="244"/>
      <c r="D271" s="244"/>
      <c r="E271" s="244"/>
      <c r="F271" s="244"/>
      <c r="G271" s="244"/>
      <c r="H271" s="244"/>
      <c r="I271" s="244"/>
      <c r="J271" s="244"/>
      <c r="K271" s="244"/>
      <c r="L271" s="244"/>
      <c r="M271" s="244"/>
      <c r="N271" s="244"/>
      <c r="O271" s="244"/>
      <c r="P271" s="244"/>
      <c r="Q271" s="244"/>
      <c r="R271" s="244"/>
      <c r="S271" s="244"/>
      <c r="T271" s="244"/>
      <c r="U271" s="244"/>
      <c r="V271" s="244"/>
      <c r="W271" s="244"/>
      <c r="X271" s="244"/>
      <c r="Y271" s="244"/>
      <c r="Z271" s="244"/>
    </row>
    <row r="272">
      <c r="A272" s="244"/>
      <c r="B272" s="244"/>
      <c r="C272" s="244"/>
      <c r="D272" s="244"/>
      <c r="E272" s="244"/>
      <c r="F272" s="244"/>
      <c r="G272" s="244"/>
      <c r="H272" s="244"/>
      <c r="I272" s="244"/>
      <c r="J272" s="244"/>
      <c r="K272" s="244"/>
      <c r="L272" s="244"/>
      <c r="M272" s="244"/>
      <c r="N272" s="244"/>
      <c r="O272" s="244"/>
      <c r="P272" s="244"/>
      <c r="Q272" s="244"/>
      <c r="R272" s="244"/>
      <c r="S272" s="244"/>
      <c r="T272" s="244"/>
      <c r="U272" s="244"/>
      <c r="V272" s="244"/>
      <c r="W272" s="244"/>
      <c r="X272" s="244"/>
      <c r="Y272" s="244"/>
      <c r="Z272" s="244"/>
    </row>
    <row r="273">
      <c r="A273" s="244"/>
      <c r="B273" s="244"/>
      <c r="C273" s="244"/>
      <c r="D273" s="244"/>
      <c r="E273" s="244"/>
      <c r="F273" s="244"/>
      <c r="G273" s="244"/>
      <c r="H273" s="244"/>
      <c r="I273" s="244"/>
      <c r="J273" s="244"/>
      <c r="K273" s="244"/>
      <c r="L273" s="244"/>
      <c r="M273" s="244"/>
      <c r="N273" s="244"/>
      <c r="O273" s="244"/>
      <c r="P273" s="244"/>
      <c r="Q273" s="244"/>
      <c r="R273" s="244"/>
      <c r="S273" s="244"/>
      <c r="T273" s="244"/>
      <c r="U273" s="244"/>
      <c r="V273" s="244"/>
      <c r="W273" s="244"/>
      <c r="X273" s="244"/>
      <c r="Y273" s="244"/>
      <c r="Z273" s="244"/>
    </row>
    <row r="274">
      <c r="A274" s="244"/>
      <c r="B274" s="244"/>
      <c r="C274" s="244"/>
      <c r="D274" s="244"/>
      <c r="E274" s="244"/>
      <c r="F274" s="244"/>
      <c r="G274" s="244"/>
      <c r="H274" s="244"/>
      <c r="I274" s="244"/>
      <c r="J274" s="244"/>
      <c r="K274" s="244"/>
      <c r="L274" s="244"/>
      <c r="M274" s="244"/>
      <c r="N274" s="244"/>
      <c r="O274" s="244"/>
      <c r="P274" s="244"/>
      <c r="Q274" s="244"/>
      <c r="R274" s="244"/>
      <c r="S274" s="244"/>
      <c r="T274" s="244"/>
      <c r="U274" s="244"/>
      <c r="V274" s="244"/>
      <c r="W274" s="244"/>
      <c r="X274" s="244"/>
      <c r="Y274" s="244"/>
      <c r="Z274" s="244"/>
    </row>
    <row r="275">
      <c r="A275" s="244"/>
      <c r="B275" s="244"/>
      <c r="C275" s="244"/>
      <c r="D275" s="244"/>
      <c r="E275" s="244"/>
      <c r="F275" s="244"/>
      <c r="G275" s="244"/>
      <c r="H275" s="244"/>
      <c r="I275" s="244"/>
      <c r="J275" s="244"/>
      <c r="K275" s="244"/>
      <c r="L275" s="244"/>
      <c r="M275" s="244"/>
      <c r="N275" s="244"/>
      <c r="O275" s="244"/>
      <c r="P275" s="244"/>
      <c r="Q275" s="244"/>
      <c r="R275" s="244"/>
      <c r="S275" s="244"/>
      <c r="T275" s="244"/>
      <c r="U275" s="244"/>
      <c r="V275" s="244"/>
      <c r="W275" s="244"/>
      <c r="X275" s="244"/>
      <c r="Y275" s="244"/>
      <c r="Z275" s="244"/>
    </row>
    <row r="276">
      <c r="A276" s="244"/>
      <c r="B276" s="244"/>
      <c r="C276" s="244"/>
      <c r="D276" s="244"/>
      <c r="E276" s="244"/>
      <c r="F276" s="244"/>
      <c r="G276" s="244"/>
      <c r="H276" s="244"/>
      <c r="I276" s="244"/>
      <c r="J276" s="244"/>
      <c r="K276" s="244"/>
      <c r="L276" s="244"/>
      <c r="M276" s="244"/>
      <c r="N276" s="244"/>
      <c r="O276" s="244"/>
      <c r="P276" s="244"/>
      <c r="Q276" s="244"/>
      <c r="R276" s="244"/>
      <c r="S276" s="244"/>
      <c r="T276" s="244"/>
      <c r="U276" s="244"/>
      <c r="V276" s="244"/>
      <c r="W276" s="244"/>
      <c r="X276" s="244"/>
      <c r="Y276" s="244"/>
      <c r="Z276" s="244"/>
    </row>
    <row r="277">
      <c r="A277" s="244"/>
      <c r="B277" s="244"/>
      <c r="C277" s="244"/>
      <c r="D277" s="244"/>
      <c r="E277" s="244"/>
      <c r="F277" s="244"/>
      <c r="G277" s="244"/>
      <c r="H277" s="244"/>
      <c r="I277" s="244"/>
      <c r="J277" s="244"/>
      <c r="K277" s="244"/>
      <c r="L277" s="244"/>
      <c r="M277" s="244"/>
      <c r="N277" s="244"/>
      <c r="O277" s="244"/>
      <c r="P277" s="244"/>
      <c r="Q277" s="244"/>
      <c r="R277" s="244"/>
      <c r="S277" s="244"/>
      <c r="T277" s="244"/>
      <c r="U277" s="244"/>
      <c r="V277" s="244"/>
      <c r="W277" s="244"/>
      <c r="X277" s="244"/>
      <c r="Y277" s="244"/>
      <c r="Z277" s="244"/>
    </row>
    <row r="278">
      <c r="A278" s="244"/>
      <c r="B278" s="244"/>
      <c r="C278" s="244"/>
      <c r="D278" s="244"/>
      <c r="E278" s="244"/>
      <c r="F278" s="244"/>
      <c r="G278" s="244"/>
      <c r="H278" s="244"/>
      <c r="I278" s="244"/>
      <c r="J278" s="244"/>
      <c r="K278" s="244"/>
      <c r="L278" s="244"/>
      <c r="M278" s="244"/>
      <c r="N278" s="244"/>
      <c r="O278" s="244"/>
      <c r="P278" s="244"/>
      <c r="Q278" s="244"/>
      <c r="R278" s="244"/>
      <c r="S278" s="244"/>
      <c r="T278" s="244"/>
      <c r="U278" s="244"/>
      <c r="V278" s="244"/>
      <c r="W278" s="244"/>
      <c r="X278" s="244"/>
      <c r="Y278" s="244"/>
      <c r="Z278" s="244"/>
    </row>
    <row r="279">
      <c r="A279" s="244"/>
      <c r="B279" s="244"/>
      <c r="C279" s="244"/>
      <c r="D279" s="244"/>
      <c r="E279" s="244"/>
      <c r="F279" s="244"/>
      <c r="G279" s="244"/>
      <c r="H279" s="244"/>
      <c r="I279" s="244"/>
      <c r="J279" s="244"/>
      <c r="K279" s="244"/>
      <c r="L279" s="244"/>
      <c r="M279" s="244"/>
      <c r="N279" s="244"/>
      <c r="O279" s="244"/>
      <c r="P279" s="244"/>
      <c r="Q279" s="244"/>
      <c r="R279" s="244"/>
      <c r="S279" s="244"/>
      <c r="T279" s="244"/>
      <c r="U279" s="244"/>
      <c r="V279" s="244"/>
      <c r="W279" s="244"/>
      <c r="X279" s="244"/>
      <c r="Y279" s="244"/>
      <c r="Z279" s="244"/>
    </row>
    <row r="280">
      <c r="A280" s="244"/>
      <c r="B280" s="244"/>
      <c r="C280" s="244"/>
      <c r="D280" s="244"/>
      <c r="E280" s="244"/>
      <c r="F280" s="244"/>
      <c r="G280" s="244"/>
      <c r="H280" s="244"/>
      <c r="I280" s="244"/>
      <c r="J280" s="244"/>
      <c r="K280" s="244"/>
      <c r="L280" s="244"/>
      <c r="M280" s="244"/>
      <c r="N280" s="244"/>
      <c r="O280" s="244"/>
      <c r="P280" s="244"/>
      <c r="Q280" s="244"/>
      <c r="R280" s="244"/>
      <c r="S280" s="244"/>
      <c r="T280" s="244"/>
      <c r="U280" s="244"/>
      <c r="V280" s="244"/>
      <c r="W280" s="244"/>
      <c r="X280" s="244"/>
      <c r="Y280" s="244"/>
      <c r="Z280" s="244"/>
    </row>
    <row r="281">
      <c r="A281" s="244"/>
      <c r="B281" s="244"/>
      <c r="C281" s="244"/>
      <c r="D281" s="244"/>
      <c r="E281" s="244"/>
      <c r="F281" s="244"/>
      <c r="G281" s="244"/>
      <c r="H281" s="244"/>
      <c r="I281" s="244"/>
      <c r="J281" s="244"/>
      <c r="K281" s="244"/>
      <c r="L281" s="244"/>
      <c r="M281" s="244"/>
      <c r="N281" s="244"/>
      <c r="O281" s="244"/>
      <c r="P281" s="244"/>
      <c r="Q281" s="244"/>
      <c r="R281" s="244"/>
      <c r="S281" s="244"/>
      <c r="T281" s="244"/>
      <c r="U281" s="244"/>
      <c r="V281" s="244"/>
      <c r="W281" s="244"/>
      <c r="X281" s="244"/>
      <c r="Y281" s="244"/>
      <c r="Z281" s="244"/>
    </row>
    <row r="282">
      <c r="A282" s="244"/>
      <c r="B282" s="244"/>
      <c r="C282" s="244"/>
      <c r="D282" s="244"/>
      <c r="E282" s="244"/>
      <c r="F282" s="244"/>
      <c r="G282" s="244"/>
      <c r="H282" s="244"/>
      <c r="I282" s="244"/>
      <c r="J282" s="244"/>
      <c r="K282" s="244"/>
      <c r="L282" s="244"/>
      <c r="M282" s="244"/>
      <c r="N282" s="244"/>
      <c r="O282" s="244"/>
      <c r="P282" s="244"/>
      <c r="Q282" s="244"/>
      <c r="R282" s="244"/>
      <c r="S282" s="244"/>
      <c r="T282" s="244"/>
      <c r="U282" s="244"/>
      <c r="V282" s="244"/>
      <c r="W282" s="244"/>
      <c r="X282" s="244"/>
      <c r="Y282" s="244"/>
      <c r="Z282" s="244"/>
    </row>
    <row r="283">
      <c r="A283" s="244"/>
      <c r="B283" s="244"/>
      <c r="C283" s="244"/>
      <c r="D283" s="244"/>
      <c r="E283" s="244"/>
      <c r="F283" s="244"/>
      <c r="G283" s="244"/>
      <c r="H283" s="244"/>
      <c r="I283" s="244"/>
      <c r="J283" s="244"/>
      <c r="K283" s="244"/>
      <c r="L283" s="244"/>
      <c r="M283" s="244"/>
      <c r="N283" s="244"/>
      <c r="O283" s="244"/>
      <c r="P283" s="244"/>
      <c r="Q283" s="244"/>
      <c r="R283" s="244"/>
      <c r="S283" s="244"/>
      <c r="T283" s="244"/>
      <c r="U283" s="244"/>
      <c r="V283" s="244"/>
      <c r="W283" s="244"/>
      <c r="X283" s="244"/>
      <c r="Y283" s="244"/>
      <c r="Z283" s="244"/>
    </row>
    <row r="284">
      <c r="A284" s="244"/>
      <c r="B284" s="244"/>
      <c r="C284" s="244"/>
      <c r="D284" s="244"/>
      <c r="E284" s="244"/>
      <c r="F284" s="244"/>
      <c r="G284" s="244"/>
      <c r="H284" s="244"/>
      <c r="I284" s="244"/>
      <c r="J284" s="244"/>
      <c r="K284" s="244"/>
      <c r="L284" s="244"/>
      <c r="M284" s="244"/>
      <c r="N284" s="244"/>
      <c r="O284" s="244"/>
      <c r="P284" s="244"/>
      <c r="Q284" s="244"/>
      <c r="R284" s="244"/>
      <c r="S284" s="244"/>
      <c r="T284" s="244"/>
      <c r="U284" s="244"/>
      <c r="V284" s="244"/>
      <c r="W284" s="244"/>
      <c r="X284" s="244"/>
      <c r="Y284" s="244"/>
      <c r="Z284" s="244"/>
    </row>
    <row r="285">
      <c r="A285" s="244"/>
      <c r="B285" s="244"/>
      <c r="C285" s="244"/>
      <c r="D285" s="244"/>
      <c r="E285" s="244"/>
      <c r="F285" s="244"/>
      <c r="G285" s="244"/>
      <c r="H285" s="244"/>
      <c r="I285" s="244"/>
      <c r="J285" s="244"/>
      <c r="K285" s="244"/>
      <c r="L285" s="244"/>
      <c r="M285" s="244"/>
      <c r="N285" s="244"/>
      <c r="O285" s="244"/>
      <c r="P285" s="244"/>
      <c r="Q285" s="244"/>
      <c r="R285" s="244"/>
      <c r="S285" s="244"/>
      <c r="T285" s="244"/>
      <c r="U285" s="244"/>
      <c r="V285" s="244"/>
      <c r="W285" s="244"/>
      <c r="X285" s="244"/>
      <c r="Y285" s="244"/>
      <c r="Z285" s="244"/>
    </row>
    <row r="286">
      <c r="A286" s="244"/>
      <c r="B286" s="244"/>
      <c r="C286" s="244"/>
      <c r="D286" s="244"/>
      <c r="E286" s="244"/>
      <c r="F286" s="244"/>
      <c r="G286" s="244"/>
      <c r="H286" s="244"/>
      <c r="I286" s="244"/>
      <c r="J286" s="244"/>
      <c r="K286" s="244"/>
      <c r="L286" s="244"/>
      <c r="M286" s="244"/>
      <c r="N286" s="244"/>
      <c r="O286" s="244"/>
      <c r="P286" s="244"/>
      <c r="Q286" s="244"/>
      <c r="R286" s="244"/>
      <c r="S286" s="244"/>
      <c r="T286" s="244"/>
      <c r="U286" s="244"/>
      <c r="V286" s="244"/>
      <c r="W286" s="244"/>
      <c r="X286" s="244"/>
      <c r="Y286" s="244"/>
      <c r="Z286" s="244"/>
    </row>
    <row r="287">
      <c r="A287" s="244"/>
      <c r="B287" s="244"/>
      <c r="C287" s="244"/>
      <c r="D287" s="244"/>
      <c r="E287" s="244"/>
      <c r="F287" s="244"/>
      <c r="G287" s="244"/>
      <c r="H287" s="244"/>
      <c r="I287" s="244"/>
      <c r="J287" s="244"/>
      <c r="K287" s="244"/>
      <c r="L287" s="244"/>
      <c r="M287" s="244"/>
      <c r="N287" s="244"/>
      <c r="O287" s="244"/>
      <c r="P287" s="244"/>
      <c r="Q287" s="244"/>
      <c r="R287" s="244"/>
      <c r="S287" s="244"/>
      <c r="T287" s="244"/>
      <c r="U287" s="244"/>
      <c r="V287" s="244"/>
      <c r="W287" s="244"/>
      <c r="X287" s="244"/>
      <c r="Y287" s="244"/>
      <c r="Z287" s="244"/>
    </row>
    <row r="288">
      <c r="A288" s="244"/>
      <c r="B288" s="244"/>
      <c r="C288" s="244"/>
      <c r="D288" s="244"/>
      <c r="E288" s="244"/>
      <c r="F288" s="244"/>
      <c r="G288" s="244"/>
      <c r="H288" s="244"/>
      <c r="I288" s="244"/>
      <c r="J288" s="244"/>
      <c r="K288" s="244"/>
      <c r="L288" s="244"/>
      <c r="M288" s="244"/>
      <c r="N288" s="244"/>
      <c r="O288" s="244"/>
      <c r="P288" s="244"/>
      <c r="Q288" s="244"/>
      <c r="R288" s="244"/>
      <c r="S288" s="244"/>
      <c r="T288" s="244"/>
      <c r="U288" s="244"/>
      <c r="V288" s="244"/>
      <c r="W288" s="244"/>
      <c r="X288" s="244"/>
      <c r="Y288" s="244"/>
      <c r="Z288" s="244"/>
    </row>
    <row r="289">
      <c r="A289" s="244"/>
      <c r="B289" s="244"/>
      <c r="C289" s="244"/>
      <c r="D289" s="244"/>
      <c r="E289" s="244"/>
      <c r="F289" s="244"/>
      <c r="G289" s="244"/>
      <c r="H289" s="244"/>
      <c r="I289" s="244"/>
      <c r="J289" s="244"/>
      <c r="K289" s="244"/>
      <c r="L289" s="244"/>
      <c r="M289" s="244"/>
      <c r="N289" s="244"/>
      <c r="O289" s="244"/>
      <c r="P289" s="244"/>
      <c r="Q289" s="244"/>
      <c r="R289" s="244"/>
      <c r="S289" s="244"/>
      <c r="T289" s="244"/>
      <c r="U289" s="244"/>
      <c r="V289" s="244"/>
      <c r="W289" s="244"/>
      <c r="X289" s="244"/>
      <c r="Y289" s="244"/>
      <c r="Z289" s="244"/>
    </row>
    <row r="290">
      <c r="A290" s="244"/>
      <c r="B290" s="244"/>
      <c r="C290" s="244"/>
      <c r="D290" s="244"/>
      <c r="E290" s="244"/>
      <c r="F290" s="244"/>
      <c r="G290" s="244"/>
      <c r="H290" s="244"/>
      <c r="I290" s="244"/>
      <c r="J290" s="244"/>
      <c r="K290" s="244"/>
      <c r="L290" s="244"/>
      <c r="M290" s="244"/>
      <c r="N290" s="244"/>
      <c r="O290" s="244"/>
      <c r="P290" s="244"/>
      <c r="Q290" s="244"/>
      <c r="R290" s="244"/>
      <c r="S290" s="244"/>
      <c r="T290" s="244"/>
      <c r="U290" s="244"/>
      <c r="V290" s="244"/>
      <c r="W290" s="244"/>
      <c r="X290" s="244"/>
      <c r="Y290" s="244"/>
      <c r="Z290" s="244"/>
    </row>
    <row r="291">
      <c r="A291" s="244"/>
      <c r="B291" s="244"/>
      <c r="C291" s="244"/>
      <c r="D291" s="244"/>
      <c r="E291" s="244"/>
      <c r="F291" s="244"/>
      <c r="G291" s="244"/>
      <c r="H291" s="244"/>
      <c r="I291" s="244"/>
      <c r="J291" s="244"/>
      <c r="K291" s="244"/>
      <c r="L291" s="244"/>
      <c r="M291" s="244"/>
      <c r="N291" s="244"/>
      <c r="O291" s="244"/>
      <c r="P291" s="244"/>
      <c r="Q291" s="244"/>
      <c r="R291" s="244"/>
      <c r="S291" s="244"/>
      <c r="T291" s="244"/>
      <c r="U291" s="244"/>
      <c r="V291" s="244"/>
      <c r="W291" s="244"/>
      <c r="X291" s="244"/>
      <c r="Y291" s="244"/>
      <c r="Z291" s="244"/>
    </row>
    <row r="292">
      <c r="A292" s="244"/>
      <c r="B292" s="244"/>
      <c r="C292" s="244"/>
      <c r="D292" s="244"/>
      <c r="E292" s="244"/>
      <c r="F292" s="244"/>
      <c r="G292" s="244"/>
      <c r="H292" s="244"/>
      <c r="I292" s="244"/>
      <c r="J292" s="244"/>
      <c r="K292" s="244"/>
      <c r="L292" s="244"/>
      <c r="M292" s="244"/>
      <c r="N292" s="244"/>
      <c r="O292" s="244"/>
      <c r="P292" s="244"/>
      <c r="Q292" s="244"/>
      <c r="R292" s="244"/>
      <c r="S292" s="244"/>
      <c r="T292" s="244"/>
      <c r="U292" s="244"/>
      <c r="V292" s="244"/>
      <c r="W292" s="244"/>
      <c r="X292" s="244"/>
      <c r="Y292" s="244"/>
      <c r="Z292" s="244"/>
    </row>
    <row r="293">
      <c r="A293" s="244"/>
      <c r="B293" s="244"/>
      <c r="C293" s="244"/>
      <c r="D293" s="244"/>
      <c r="E293" s="244"/>
      <c r="F293" s="244"/>
      <c r="G293" s="244"/>
      <c r="H293" s="244"/>
      <c r="I293" s="244"/>
      <c r="J293" s="244"/>
      <c r="K293" s="244"/>
      <c r="L293" s="244"/>
      <c r="M293" s="244"/>
      <c r="N293" s="244"/>
      <c r="O293" s="244"/>
      <c r="P293" s="244"/>
      <c r="Q293" s="244"/>
      <c r="R293" s="244"/>
      <c r="S293" s="244"/>
      <c r="T293" s="244"/>
      <c r="U293" s="244"/>
      <c r="V293" s="244"/>
      <c r="W293" s="244"/>
      <c r="X293" s="244"/>
      <c r="Y293" s="244"/>
      <c r="Z293" s="244"/>
    </row>
    <row r="294">
      <c r="A294" s="244"/>
      <c r="B294" s="244"/>
      <c r="C294" s="244"/>
      <c r="D294" s="244"/>
      <c r="E294" s="244"/>
      <c r="F294" s="244"/>
      <c r="G294" s="244"/>
      <c r="H294" s="244"/>
      <c r="I294" s="244"/>
      <c r="J294" s="244"/>
      <c r="K294" s="244"/>
      <c r="L294" s="244"/>
      <c r="M294" s="244"/>
      <c r="N294" s="244"/>
      <c r="O294" s="244"/>
      <c r="P294" s="244"/>
      <c r="Q294" s="244"/>
      <c r="R294" s="244"/>
      <c r="S294" s="244"/>
      <c r="T294" s="244"/>
      <c r="U294" s="244"/>
      <c r="V294" s="244"/>
      <c r="W294" s="244"/>
      <c r="X294" s="244"/>
      <c r="Y294" s="244"/>
      <c r="Z294" s="244"/>
    </row>
    <row r="295">
      <c r="A295" s="244"/>
      <c r="B295" s="244"/>
      <c r="C295" s="244"/>
      <c r="D295" s="244"/>
      <c r="E295" s="244"/>
      <c r="F295" s="244"/>
      <c r="G295" s="244"/>
      <c r="H295" s="244"/>
      <c r="I295" s="244"/>
      <c r="J295" s="244"/>
      <c r="K295" s="244"/>
      <c r="L295" s="244"/>
      <c r="M295" s="244"/>
      <c r="N295" s="244"/>
      <c r="O295" s="244"/>
      <c r="P295" s="244"/>
      <c r="Q295" s="244"/>
      <c r="R295" s="244"/>
      <c r="S295" s="244"/>
      <c r="T295" s="244"/>
      <c r="U295" s="244"/>
      <c r="V295" s="244"/>
      <c r="W295" s="244"/>
      <c r="X295" s="244"/>
      <c r="Y295" s="244"/>
      <c r="Z295" s="244"/>
    </row>
    <row r="296">
      <c r="A296" s="244"/>
      <c r="B296" s="244"/>
      <c r="C296" s="244"/>
      <c r="D296" s="244"/>
      <c r="E296" s="244"/>
      <c r="F296" s="244"/>
      <c r="G296" s="244"/>
      <c r="H296" s="244"/>
      <c r="I296" s="244"/>
      <c r="J296" s="244"/>
      <c r="K296" s="244"/>
      <c r="L296" s="244"/>
      <c r="M296" s="244"/>
      <c r="N296" s="244"/>
      <c r="O296" s="244"/>
      <c r="P296" s="244"/>
      <c r="Q296" s="244"/>
      <c r="R296" s="244"/>
      <c r="S296" s="244"/>
      <c r="T296" s="244"/>
      <c r="U296" s="244"/>
      <c r="V296" s="244"/>
      <c r="W296" s="244"/>
      <c r="X296" s="244"/>
      <c r="Y296" s="244"/>
      <c r="Z296" s="244"/>
    </row>
    <row r="297">
      <c r="A297" s="244"/>
      <c r="B297" s="244"/>
      <c r="C297" s="244"/>
      <c r="D297" s="244"/>
      <c r="E297" s="244"/>
      <c r="F297" s="244"/>
      <c r="G297" s="244"/>
      <c r="H297" s="244"/>
      <c r="I297" s="244"/>
      <c r="J297" s="244"/>
      <c r="K297" s="244"/>
      <c r="L297" s="244"/>
      <c r="M297" s="244"/>
      <c r="N297" s="244"/>
      <c r="O297" s="244"/>
      <c r="P297" s="244"/>
      <c r="Q297" s="244"/>
      <c r="R297" s="244"/>
      <c r="S297" s="244"/>
      <c r="T297" s="244"/>
      <c r="U297" s="244"/>
      <c r="V297" s="244"/>
      <c r="W297" s="244"/>
      <c r="X297" s="244"/>
      <c r="Y297" s="244"/>
      <c r="Z297" s="244"/>
    </row>
    <row r="298">
      <c r="A298" s="244"/>
      <c r="B298" s="244"/>
      <c r="C298" s="244"/>
      <c r="D298" s="244"/>
      <c r="E298" s="244"/>
      <c r="F298" s="244"/>
      <c r="G298" s="244"/>
      <c r="H298" s="244"/>
      <c r="I298" s="244"/>
      <c r="J298" s="244"/>
      <c r="K298" s="244"/>
      <c r="L298" s="244"/>
      <c r="M298" s="244"/>
      <c r="N298" s="244"/>
      <c r="O298" s="244"/>
      <c r="P298" s="244"/>
      <c r="Q298" s="244"/>
      <c r="R298" s="244"/>
      <c r="S298" s="244"/>
      <c r="T298" s="244"/>
      <c r="U298" s="244"/>
      <c r="V298" s="244"/>
      <c r="W298" s="244"/>
      <c r="X298" s="244"/>
      <c r="Y298" s="244"/>
      <c r="Z298" s="244"/>
    </row>
    <row r="299">
      <c r="A299" s="244"/>
      <c r="B299" s="244"/>
      <c r="C299" s="244"/>
      <c r="D299" s="244"/>
      <c r="E299" s="244"/>
      <c r="F299" s="244"/>
      <c r="G299" s="244"/>
      <c r="H299" s="244"/>
      <c r="I299" s="244"/>
      <c r="J299" s="244"/>
      <c r="K299" s="244"/>
      <c r="L299" s="244"/>
      <c r="M299" s="244"/>
      <c r="N299" s="244"/>
      <c r="O299" s="244"/>
      <c r="P299" s="244"/>
      <c r="Q299" s="244"/>
      <c r="R299" s="244"/>
      <c r="S299" s="244"/>
      <c r="T299" s="244"/>
      <c r="U299" s="244"/>
      <c r="V299" s="244"/>
      <c r="W299" s="244"/>
      <c r="X299" s="244"/>
      <c r="Y299" s="244"/>
      <c r="Z299" s="244"/>
    </row>
    <row r="300">
      <c r="A300" s="244"/>
      <c r="B300" s="244"/>
      <c r="C300" s="244"/>
      <c r="D300" s="244"/>
      <c r="E300" s="244"/>
      <c r="F300" s="244"/>
      <c r="G300" s="244"/>
      <c r="H300" s="244"/>
      <c r="I300" s="244"/>
      <c r="J300" s="244"/>
      <c r="K300" s="244"/>
      <c r="L300" s="244"/>
      <c r="M300" s="244"/>
      <c r="N300" s="244"/>
      <c r="O300" s="244"/>
      <c r="P300" s="244"/>
      <c r="Q300" s="244"/>
      <c r="R300" s="244"/>
      <c r="S300" s="244"/>
      <c r="T300" s="244"/>
      <c r="U300" s="244"/>
      <c r="V300" s="244"/>
      <c r="W300" s="244"/>
      <c r="X300" s="244"/>
      <c r="Y300" s="244"/>
      <c r="Z300" s="244"/>
    </row>
    <row r="301">
      <c r="A301" s="244"/>
      <c r="B301" s="244"/>
      <c r="C301" s="244"/>
      <c r="D301" s="244"/>
      <c r="E301" s="244"/>
      <c r="F301" s="244"/>
      <c r="G301" s="244"/>
      <c r="H301" s="244"/>
      <c r="I301" s="244"/>
      <c r="J301" s="244"/>
      <c r="K301" s="244"/>
      <c r="L301" s="244"/>
      <c r="M301" s="244"/>
      <c r="N301" s="244"/>
      <c r="O301" s="244"/>
      <c r="P301" s="244"/>
      <c r="Q301" s="244"/>
      <c r="R301" s="244"/>
      <c r="S301" s="244"/>
      <c r="T301" s="244"/>
      <c r="U301" s="244"/>
      <c r="V301" s="244"/>
      <c r="W301" s="244"/>
      <c r="X301" s="244"/>
      <c r="Y301" s="244"/>
      <c r="Z301" s="244"/>
    </row>
    <row r="302">
      <c r="A302" s="244"/>
      <c r="B302" s="244"/>
      <c r="C302" s="244"/>
      <c r="D302" s="244"/>
      <c r="E302" s="244"/>
      <c r="F302" s="244"/>
      <c r="G302" s="244"/>
      <c r="H302" s="244"/>
      <c r="I302" s="244"/>
      <c r="J302" s="244"/>
      <c r="K302" s="244"/>
      <c r="L302" s="244"/>
      <c r="M302" s="244"/>
      <c r="N302" s="244"/>
      <c r="O302" s="244"/>
      <c r="P302" s="244"/>
      <c r="Q302" s="244"/>
      <c r="R302" s="244"/>
      <c r="S302" s="244"/>
      <c r="T302" s="244"/>
      <c r="U302" s="244"/>
      <c r="V302" s="244"/>
      <c r="W302" s="244"/>
      <c r="X302" s="244"/>
      <c r="Y302" s="244"/>
      <c r="Z302" s="244"/>
    </row>
    <row r="303">
      <c r="A303" s="244"/>
      <c r="B303" s="244"/>
      <c r="C303" s="244"/>
      <c r="D303" s="244"/>
      <c r="E303" s="244"/>
      <c r="F303" s="244"/>
      <c r="G303" s="244"/>
      <c r="H303" s="244"/>
      <c r="I303" s="244"/>
      <c r="J303" s="244"/>
      <c r="K303" s="244"/>
      <c r="L303" s="244"/>
      <c r="M303" s="244"/>
      <c r="N303" s="244"/>
      <c r="O303" s="244"/>
      <c r="P303" s="244"/>
      <c r="Q303" s="244"/>
      <c r="R303" s="244"/>
      <c r="S303" s="244"/>
      <c r="T303" s="244"/>
      <c r="U303" s="244"/>
      <c r="V303" s="244"/>
      <c r="W303" s="244"/>
      <c r="X303" s="244"/>
      <c r="Y303" s="244"/>
      <c r="Z303" s="244"/>
    </row>
    <row r="304">
      <c r="A304" s="244"/>
      <c r="B304" s="244"/>
      <c r="C304" s="244"/>
      <c r="D304" s="244"/>
      <c r="E304" s="244"/>
      <c r="F304" s="244"/>
      <c r="G304" s="244"/>
      <c r="H304" s="244"/>
      <c r="I304" s="244"/>
      <c r="J304" s="244"/>
      <c r="K304" s="244"/>
      <c r="L304" s="244"/>
      <c r="M304" s="244"/>
      <c r="N304" s="244"/>
      <c r="O304" s="244"/>
      <c r="P304" s="244"/>
      <c r="Q304" s="244"/>
      <c r="R304" s="244"/>
      <c r="S304" s="244"/>
      <c r="T304" s="244"/>
      <c r="U304" s="244"/>
      <c r="V304" s="244"/>
      <c r="W304" s="244"/>
      <c r="X304" s="244"/>
      <c r="Y304" s="244"/>
      <c r="Z304" s="244"/>
    </row>
    <row r="305">
      <c r="A305" s="244"/>
      <c r="B305" s="244"/>
      <c r="C305" s="244"/>
      <c r="D305" s="244"/>
      <c r="E305" s="244"/>
      <c r="F305" s="244"/>
      <c r="G305" s="244"/>
      <c r="H305" s="244"/>
      <c r="I305" s="244"/>
      <c r="J305" s="244"/>
      <c r="K305" s="244"/>
      <c r="L305" s="244"/>
      <c r="M305" s="244"/>
      <c r="N305" s="244"/>
      <c r="O305" s="244"/>
      <c r="P305" s="244"/>
      <c r="Q305" s="244"/>
      <c r="R305" s="244"/>
      <c r="S305" s="244"/>
      <c r="T305" s="244"/>
      <c r="U305" s="244"/>
      <c r="V305" s="244"/>
      <c r="W305" s="244"/>
      <c r="X305" s="244"/>
      <c r="Y305" s="244"/>
      <c r="Z305" s="244"/>
    </row>
    <row r="306">
      <c r="A306" s="244"/>
      <c r="B306" s="244"/>
      <c r="C306" s="244"/>
      <c r="D306" s="244"/>
      <c r="E306" s="244"/>
      <c r="F306" s="244"/>
      <c r="G306" s="244"/>
      <c r="H306" s="244"/>
      <c r="I306" s="244"/>
      <c r="J306" s="244"/>
      <c r="K306" s="244"/>
      <c r="L306" s="244"/>
      <c r="M306" s="244"/>
      <c r="N306" s="244"/>
      <c r="O306" s="244"/>
      <c r="P306" s="244"/>
      <c r="Q306" s="244"/>
      <c r="R306" s="244"/>
      <c r="S306" s="244"/>
      <c r="T306" s="244"/>
      <c r="U306" s="244"/>
      <c r="V306" s="244"/>
      <c r="W306" s="244"/>
      <c r="X306" s="244"/>
      <c r="Y306" s="244"/>
      <c r="Z306" s="244"/>
    </row>
    <row r="307">
      <c r="A307" s="244"/>
      <c r="B307" s="244"/>
      <c r="C307" s="244"/>
      <c r="D307" s="244"/>
      <c r="E307" s="244"/>
      <c r="F307" s="244"/>
      <c r="G307" s="244"/>
      <c r="H307" s="244"/>
      <c r="I307" s="244"/>
      <c r="J307" s="244"/>
      <c r="K307" s="244"/>
      <c r="L307" s="244"/>
      <c r="M307" s="244"/>
      <c r="N307" s="244"/>
      <c r="O307" s="244"/>
      <c r="P307" s="244"/>
      <c r="Q307" s="244"/>
      <c r="R307" s="244"/>
      <c r="S307" s="244"/>
      <c r="T307" s="244"/>
      <c r="U307" s="244"/>
      <c r="V307" s="244"/>
      <c r="W307" s="244"/>
      <c r="X307" s="244"/>
      <c r="Y307" s="244"/>
      <c r="Z307" s="244"/>
    </row>
    <row r="308">
      <c r="A308" s="244"/>
      <c r="B308" s="244"/>
      <c r="C308" s="244"/>
      <c r="D308" s="244"/>
      <c r="E308" s="244"/>
      <c r="F308" s="244"/>
      <c r="G308" s="244"/>
      <c r="H308" s="244"/>
      <c r="I308" s="244"/>
      <c r="J308" s="244"/>
      <c r="K308" s="244"/>
      <c r="L308" s="244"/>
      <c r="M308" s="244"/>
      <c r="N308" s="244"/>
      <c r="O308" s="244"/>
      <c r="P308" s="244"/>
      <c r="Q308" s="244"/>
      <c r="R308" s="244"/>
      <c r="S308" s="244"/>
      <c r="T308" s="244"/>
      <c r="U308" s="244"/>
      <c r="V308" s="244"/>
      <c r="W308" s="244"/>
      <c r="X308" s="244"/>
      <c r="Y308" s="244"/>
      <c r="Z308" s="244"/>
    </row>
    <row r="309">
      <c r="A309" s="244"/>
      <c r="B309" s="244"/>
      <c r="C309" s="244"/>
      <c r="D309" s="244"/>
      <c r="E309" s="244"/>
      <c r="F309" s="244"/>
      <c r="G309" s="244"/>
      <c r="H309" s="244"/>
      <c r="I309" s="244"/>
      <c r="J309" s="244"/>
      <c r="K309" s="244"/>
      <c r="L309" s="244"/>
      <c r="M309" s="244"/>
      <c r="N309" s="244"/>
      <c r="O309" s="244"/>
      <c r="P309" s="244"/>
      <c r="Q309" s="244"/>
      <c r="R309" s="244"/>
      <c r="S309" s="244"/>
      <c r="T309" s="244"/>
      <c r="U309" s="244"/>
      <c r="V309" s="244"/>
      <c r="W309" s="244"/>
      <c r="X309" s="244"/>
      <c r="Y309" s="244"/>
      <c r="Z309" s="244"/>
    </row>
    <row r="310">
      <c r="A310" s="244"/>
      <c r="B310" s="244"/>
      <c r="C310" s="244"/>
      <c r="D310" s="244"/>
      <c r="E310" s="244"/>
      <c r="F310" s="244"/>
      <c r="G310" s="244"/>
      <c r="H310" s="244"/>
      <c r="I310" s="244"/>
      <c r="J310" s="244"/>
      <c r="K310" s="244"/>
      <c r="L310" s="244"/>
      <c r="M310" s="244"/>
      <c r="N310" s="244"/>
      <c r="O310" s="244"/>
      <c r="P310" s="244"/>
      <c r="Q310" s="244"/>
      <c r="R310" s="244"/>
      <c r="S310" s="244"/>
      <c r="T310" s="244"/>
      <c r="U310" s="244"/>
      <c r="V310" s="244"/>
      <c r="W310" s="244"/>
      <c r="X310" s="244"/>
      <c r="Y310" s="244"/>
      <c r="Z310" s="244"/>
    </row>
    <row r="311">
      <c r="A311" s="244"/>
      <c r="B311" s="244"/>
      <c r="C311" s="244"/>
      <c r="D311" s="244"/>
      <c r="E311" s="244"/>
      <c r="F311" s="244"/>
      <c r="G311" s="244"/>
      <c r="H311" s="244"/>
      <c r="I311" s="244"/>
      <c r="J311" s="244"/>
      <c r="K311" s="244"/>
      <c r="L311" s="244"/>
      <c r="M311" s="244"/>
      <c r="N311" s="244"/>
      <c r="O311" s="244"/>
      <c r="P311" s="244"/>
      <c r="Q311" s="244"/>
      <c r="R311" s="244"/>
      <c r="S311" s="244"/>
      <c r="T311" s="244"/>
      <c r="U311" s="244"/>
      <c r="V311" s="244"/>
      <c r="W311" s="244"/>
      <c r="X311" s="244"/>
      <c r="Y311" s="244"/>
      <c r="Z311" s="244"/>
    </row>
    <row r="312">
      <c r="A312" s="244"/>
      <c r="B312" s="244"/>
      <c r="C312" s="244"/>
      <c r="D312" s="244"/>
      <c r="E312" s="244"/>
      <c r="F312" s="244"/>
      <c r="G312" s="244"/>
      <c r="H312" s="244"/>
      <c r="I312" s="244"/>
      <c r="J312" s="244"/>
      <c r="K312" s="244"/>
      <c r="L312" s="244"/>
      <c r="M312" s="244"/>
      <c r="N312" s="244"/>
      <c r="O312" s="244"/>
      <c r="P312" s="244"/>
      <c r="Q312" s="244"/>
      <c r="R312" s="244"/>
      <c r="S312" s="244"/>
      <c r="T312" s="244"/>
      <c r="U312" s="244"/>
      <c r="V312" s="244"/>
      <c r="W312" s="244"/>
      <c r="X312" s="244"/>
      <c r="Y312" s="244"/>
      <c r="Z312" s="244"/>
    </row>
    <row r="313">
      <c r="A313" s="244"/>
      <c r="B313" s="244"/>
      <c r="C313" s="244"/>
      <c r="D313" s="244"/>
      <c r="E313" s="244"/>
      <c r="F313" s="244"/>
      <c r="G313" s="244"/>
      <c r="H313" s="244"/>
      <c r="I313" s="244"/>
      <c r="J313" s="244"/>
      <c r="K313" s="244"/>
      <c r="L313" s="244"/>
      <c r="M313" s="244"/>
      <c r="N313" s="244"/>
      <c r="O313" s="244"/>
      <c r="P313" s="244"/>
      <c r="Q313" s="244"/>
      <c r="R313" s="244"/>
      <c r="S313" s="244"/>
      <c r="T313" s="244"/>
      <c r="U313" s="244"/>
      <c r="V313" s="244"/>
      <c r="W313" s="244"/>
      <c r="X313" s="244"/>
      <c r="Y313" s="244"/>
      <c r="Z313" s="244"/>
    </row>
    <row r="314">
      <c r="A314" s="244"/>
      <c r="B314" s="244"/>
      <c r="C314" s="244"/>
      <c r="D314" s="244"/>
      <c r="E314" s="244"/>
      <c r="F314" s="244"/>
      <c r="G314" s="244"/>
      <c r="H314" s="244"/>
      <c r="I314" s="244"/>
      <c r="J314" s="244"/>
      <c r="K314" s="244"/>
      <c r="L314" s="244"/>
      <c r="M314" s="244"/>
      <c r="N314" s="244"/>
      <c r="O314" s="244"/>
      <c r="P314" s="244"/>
      <c r="Q314" s="244"/>
      <c r="R314" s="244"/>
      <c r="S314" s="244"/>
      <c r="T314" s="244"/>
      <c r="U314" s="244"/>
      <c r="V314" s="244"/>
      <c r="W314" s="244"/>
      <c r="X314" s="244"/>
      <c r="Y314" s="244"/>
      <c r="Z314" s="244"/>
    </row>
    <row r="315">
      <c r="A315" s="244"/>
      <c r="B315" s="244"/>
      <c r="C315" s="244"/>
      <c r="D315" s="244"/>
      <c r="E315" s="244"/>
      <c r="F315" s="244"/>
      <c r="G315" s="244"/>
      <c r="H315" s="244"/>
      <c r="I315" s="244"/>
      <c r="J315" s="244"/>
      <c r="K315" s="244"/>
      <c r="L315" s="244"/>
      <c r="M315" s="244"/>
      <c r="N315" s="244"/>
      <c r="O315" s="244"/>
      <c r="P315" s="244"/>
      <c r="Q315" s="244"/>
      <c r="R315" s="244"/>
      <c r="S315" s="244"/>
      <c r="T315" s="244"/>
      <c r="U315" s="244"/>
      <c r="V315" s="244"/>
      <c r="W315" s="244"/>
      <c r="X315" s="244"/>
      <c r="Y315" s="244"/>
      <c r="Z315" s="244"/>
    </row>
    <row r="316">
      <c r="A316" s="244"/>
      <c r="B316" s="244"/>
      <c r="C316" s="244"/>
      <c r="D316" s="244"/>
      <c r="E316" s="244"/>
      <c r="F316" s="244"/>
      <c r="G316" s="244"/>
      <c r="H316" s="244"/>
      <c r="I316" s="244"/>
      <c r="J316" s="244"/>
      <c r="K316" s="244"/>
      <c r="L316" s="244"/>
      <c r="M316" s="244"/>
      <c r="N316" s="244"/>
      <c r="O316" s="244"/>
      <c r="P316" s="244"/>
      <c r="Q316" s="244"/>
      <c r="R316" s="244"/>
      <c r="S316" s="244"/>
      <c r="T316" s="244"/>
      <c r="U316" s="244"/>
      <c r="V316" s="244"/>
      <c r="W316" s="244"/>
      <c r="X316" s="244"/>
      <c r="Y316" s="244"/>
      <c r="Z316" s="244"/>
    </row>
    <row r="317">
      <c r="A317" s="244"/>
      <c r="B317" s="244"/>
      <c r="C317" s="244"/>
      <c r="D317" s="244"/>
      <c r="E317" s="244"/>
      <c r="F317" s="244"/>
      <c r="G317" s="244"/>
      <c r="H317" s="244"/>
      <c r="I317" s="244"/>
      <c r="J317" s="244"/>
      <c r="K317" s="244"/>
      <c r="L317" s="244"/>
      <c r="M317" s="244"/>
      <c r="N317" s="244"/>
      <c r="O317" s="244"/>
      <c r="P317" s="244"/>
      <c r="Q317" s="244"/>
      <c r="R317" s="244"/>
      <c r="S317" s="244"/>
      <c r="T317" s="244"/>
      <c r="U317" s="244"/>
      <c r="V317" s="244"/>
      <c r="W317" s="244"/>
      <c r="X317" s="244"/>
      <c r="Y317" s="244"/>
      <c r="Z317" s="244"/>
    </row>
    <row r="318">
      <c r="A318" s="244"/>
      <c r="B318" s="244"/>
      <c r="C318" s="244"/>
      <c r="D318" s="244"/>
      <c r="E318" s="244"/>
      <c r="F318" s="244"/>
      <c r="G318" s="244"/>
      <c r="H318" s="244"/>
      <c r="I318" s="244"/>
      <c r="J318" s="244"/>
      <c r="K318" s="244"/>
      <c r="L318" s="244"/>
      <c r="M318" s="244"/>
      <c r="N318" s="244"/>
      <c r="O318" s="244"/>
      <c r="P318" s="244"/>
      <c r="Q318" s="244"/>
      <c r="R318" s="244"/>
      <c r="S318" s="244"/>
      <c r="T318" s="244"/>
      <c r="U318" s="244"/>
      <c r="V318" s="244"/>
      <c r="W318" s="244"/>
      <c r="X318" s="244"/>
      <c r="Y318" s="244"/>
      <c r="Z318" s="244"/>
    </row>
    <row r="319">
      <c r="A319" s="244"/>
      <c r="B319" s="244"/>
      <c r="C319" s="244"/>
      <c r="D319" s="244"/>
      <c r="E319" s="244"/>
      <c r="F319" s="244"/>
      <c r="G319" s="244"/>
      <c r="H319" s="244"/>
      <c r="I319" s="244"/>
      <c r="J319" s="244"/>
      <c r="K319" s="244"/>
      <c r="L319" s="244"/>
      <c r="M319" s="244"/>
      <c r="N319" s="244"/>
      <c r="O319" s="244"/>
      <c r="P319" s="244"/>
      <c r="Q319" s="244"/>
      <c r="R319" s="244"/>
      <c r="S319" s="244"/>
      <c r="T319" s="244"/>
      <c r="U319" s="244"/>
      <c r="V319" s="244"/>
      <c r="W319" s="244"/>
      <c r="X319" s="244"/>
      <c r="Y319" s="244"/>
      <c r="Z319" s="244"/>
    </row>
    <row r="320">
      <c r="A320" s="244"/>
      <c r="B320" s="244"/>
      <c r="C320" s="244"/>
      <c r="D320" s="244"/>
      <c r="E320" s="244"/>
      <c r="F320" s="244"/>
      <c r="G320" s="244"/>
      <c r="H320" s="244"/>
      <c r="I320" s="244"/>
      <c r="J320" s="244"/>
      <c r="K320" s="244"/>
      <c r="L320" s="244"/>
      <c r="M320" s="244"/>
      <c r="N320" s="244"/>
      <c r="O320" s="244"/>
      <c r="P320" s="244"/>
      <c r="Q320" s="244"/>
      <c r="R320" s="244"/>
      <c r="S320" s="244"/>
      <c r="T320" s="244"/>
      <c r="U320" s="244"/>
      <c r="V320" s="244"/>
      <c r="W320" s="244"/>
      <c r="X320" s="244"/>
      <c r="Y320" s="244"/>
      <c r="Z320" s="244"/>
    </row>
    <row r="321">
      <c r="A321" s="244"/>
      <c r="B321" s="244"/>
      <c r="C321" s="244"/>
      <c r="D321" s="244"/>
      <c r="E321" s="244"/>
      <c r="F321" s="244"/>
      <c r="G321" s="244"/>
      <c r="H321" s="244"/>
      <c r="I321" s="244"/>
      <c r="J321" s="244"/>
      <c r="K321" s="244"/>
      <c r="L321" s="244"/>
      <c r="M321" s="244"/>
      <c r="N321" s="244"/>
      <c r="O321" s="244"/>
      <c r="P321" s="244"/>
      <c r="Q321" s="244"/>
      <c r="R321" s="244"/>
      <c r="S321" s="244"/>
      <c r="T321" s="244"/>
      <c r="U321" s="244"/>
      <c r="V321" s="244"/>
      <c r="W321" s="244"/>
      <c r="X321" s="244"/>
      <c r="Y321" s="244"/>
      <c r="Z321" s="244"/>
    </row>
    <row r="322">
      <c r="A322" s="244"/>
      <c r="B322" s="244"/>
      <c r="C322" s="244"/>
      <c r="D322" s="244"/>
      <c r="E322" s="244"/>
      <c r="F322" s="244"/>
      <c r="G322" s="244"/>
      <c r="H322" s="244"/>
      <c r="I322" s="244"/>
      <c r="J322" s="244"/>
      <c r="K322" s="244"/>
      <c r="L322" s="244"/>
      <c r="M322" s="244"/>
      <c r="N322" s="244"/>
      <c r="O322" s="244"/>
      <c r="P322" s="244"/>
      <c r="Q322" s="244"/>
      <c r="R322" s="244"/>
      <c r="S322" s="244"/>
      <c r="T322" s="244"/>
      <c r="U322" s="244"/>
      <c r="V322" s="244"/>
      <c r="W322" s="244"/>
      <c r="X322" s="244"/>
      <c r="Y322" s="244"/>
      <c r="Z322" s="244"/>
    </row>
    <row r="323">
      <c r="A323" s="244"/>
      <c r="B323" s="244"/>
      <c r="C323" s="244"/>
      <c r="D323" s="244"/>
      <c r="E323" s="244"/>
      <c r="F323" s="244"/>
      <c r="G323" s="244"/>
      <c r="H323" s="244"/>
      <c r="I323" s="244"/>
      <c r="J323" s="244"/>
      <c r="K323" s="244"/>
      <c r="L323" s="244"/>
      <c r="M323" s="244"/>
      <c r="N323" s="244"/>
      <c r="O323" s="244"/>
      <c r="P323" s="244"/>
      <c r="Q323" s="244"/>
      <c r="R323" s="244"/>
      <c r="S323" s="244"/>
      <c r="T323" s="244"/>
      <c r="U323" s="244"/>
      <c r="V323" s="244"/>
      <c r="W323" s="244"/>
      <c r="X323" s="244"/>
      <c r="Y323" s="244"/>
      <c r="Z323" s="244"/>
    </row>
    <row r="324">
      <c r="A324" s="244"/>
      <c r="B324" s="244"/>
      <c r="C324" s="244"/>
      <c r="D324" s="244"/>
      <c r="E324" s="244"/>
      <c r="F324" s="244"/>
      <c r="G324" s="244"/>
      <c r="H324" s="244"/>
      <c r="I324" s="244"/>
      <c r="J324" s="244"/>
      <c r="K324" s="244"/>
      <c r="L324" s="244"/>
      <c r="M324" s="244"/>
      <c r="N324" s="244"/>
      <c r="O324" s="244"/>
      <c r="P324" s="244"/>
      <c r="Q324" s="244"/>
      <c r="R324" s="244"/>
      <c r="S324" s="244"/>
      <c r="T324" s="244"/>
      <c r="U324" s="244"/>
      <c r="V324" s="244"/>
      <c r="W324" s="244"/>
      <c r="X324" s="244"/>
      <c r="Y324" s="244"/>
      <c r="Z324" s="244"/>
    </row>
    <row r="325">
      <c r="A325" s="244"/>
      <c r="B325" s="244"/>
      <c r="C325" s="244"/>
      <c r="D325" s="244"/>
      <c r="E325" s="244"/>
      <c r="F325" s="244"/>
      <c r="G325" s="244"/>
      <c r="H325" s="244"/>
      <c r="I325" s="244"/>
      <c r="J325" s="244"/>
      <c r="K325" s="244"/>
      <c r="L325" s="244"/>
      <c r="M325" s="244"/>
      <c r="N325" s="244"/>
      <c r="O325" s="244"/>
      <c r="P325" s="244"/>
      <c r="Q325" s="244"/>
      <c r="R325" s="244"/>
      <c r="S325" s="244"/>
      <c r="T325" s="244"/>
      <c r="U325" s="244"/>
      <c r="V325" s="244"/>
      <c r="W325" s="244"/>
      <c r="X325" s="244"/>
      <c r="Y325" s="244"/>
      <c r="Z325" s="244"/>
    </row>
    <row r="326">
      <c r="A326" s="244"/>
      <c r="B326" s="244"/>
      <c r="C326" s="244"/>
      <c r="D326" s="244"/>
      <c r="E326" s="244"/>
      <c r="F326" s="244"/>
      <c r="G326" s="244"/>
      <c r="H326" s="244"/>
      <c r="I326" s="244"/>
      <c r="J326" s="244"/>
      <c r="K326" s="244"/>
      <c r="L326" s="244"/>
      <c r="M326" s="244"/>
      <c r="N326" s="244"/>
      <c r="O326" s="244"/>
      <c r="P326" s="244"/>
      <c r="Q326" s="244"/>
      <c r="R326" s="244"/>
      <c r="S326" s="244"/>
      <c r="T326" s="244"/>
      <c r="U326" s="244"/>
      <c r="V326" s="244"/>
      <c r="W326" s="244"/>
      <c r="X326" s="244"/>
      <c r="Y326" s="244"/>
      <c r="Z326" s="244"/>
    </row>
    <row r="327">
      <c r="A327" s="244"/>
      <c r="B327" s="244"/>
      <c r="C327" s="244"/>
      <c r="D327" s="244"/>
      <c r="E327" s="244"/>
      <c r="F327" s="244"/>
      <c r="G327" s="244"/>
      <c r="H327" s="244"/>
      <c r="I327" s="244"/>
      <c r="J327" s="244"/>
      <c r="K327" s="244"/>
      <c r="L327" s="244"/>
      <c r="M327" s="244"/>
      <c r="N327" s="244"/>
      <c r="O327" s="244"/>
      <c r="P327" s="244"/>
      <c r="Q327" s="244"/>
      <c r="R327" s="244"/>
      <c r="S327" s="244"/>
      <c r="T327" s="244"/>
      <c r="U327" s="244"/>
      <c r="V327" s="244"/>
      <c r="W327" s="244"/>
      <c r="X327" s="244"/>
      <c r="Y327" s="244"/>
      <c r="Z327" s="244"/>
    </row>
    <row r="328">
      <c r="A328" s="244"/>
      <c r="B328" s="244"/>
      <c r="C328" s="244"/>
      <c r="D328" s="244"/>
      <c r="E328" s="244"/>
      <c r="F328" s="244"/>
      <c r="G328" s="244"/>
      <c r="H328" s="244"/>
      <c r="I328" s="244"/>
      <c r="J328" s="244"/>
      <c r="K328" s="244"/>
      <c r="L328" s="244"/>
      <c r="M328" s="244"/>
      <c r="N328" s="244"/>
      <c r="O328" s="244"/>
      <c r="P328" s="244"/>
      <c r="Q328" s="244"/>
      <c r="R328" s="244"/>
      <c r="S328" s="244"/>
      <c r="T328" s="244"/>
      <c r="U328" s="244"/>
      <c r="V328" s="244"/>
      <c r="W328" s="244"/>
      <c r="X328" s="244"/>
      <c r="Y328" s="244"/>
      <c r="Z328" s="244"/>
    </row>
    <row r="329">
      <c r="A329" s="244"/>
      <c r="B329" s="244"/>
      <c r="C329" s="244"/>
      <c r="D329" s="244"/>
      <c r="E329" s="244"/>
      <c r="F329" s="244"/>
      <c r="G329" s="244"/>
      <c r="H329" s="244"/>
      <c r="I329" s="244"/>
      <c r="J329" s="244"/>
      <c r="K329" s="244"/>
      <c r="L329" s="244"/>
      <c r="M329" s="244"/>
      <c r="N329" s="244"/>
      <c r="O329" s="244"/>
      <c r="P329" s="244"/>
      <c r="Q329" s="244"/>
      <c r="R329" s="244"/>
      <c r="S329" s="244"/>
      <c r="T329" s="244"/>
      <c r="U329" s="244"/>
      <c r="V329" s="244"/>
      <c r="W329" s="244"/>
      <c r="X329" s="244"/>
      <c r="Y329" s="244"/>
      <c r="Z329" s="244"/>
    </row>
    <row r="330">
      <c r="A330" s="244"/>
      <c r="B330" s="244"/>
      <c r="C330" s="244"/>
      <c r="D330" s="244"/>
      <c r="E330" s="244"/>
      <c r="F330" s="244"/>
      <c r="G330" s="244"/>
      <c r="H330" s="244"/>
      <c r="I330" s="244"/>
      <c r="J330" s="244"/>
      <c r="K330" s="244"/>
      <c r="L330" s="244"/>
      <c r="M330" s="244"/>
      <c r="N330" s="244"/>
      <c r="O330" s="244"/>
      <c r="P330" s="244"/>
      <c r="Q330" s="244"/>
      <c r="R330" s="244"/>
      <c r="S330" s="244"/>
      <c r="T330" s="244"/>
      <c r="U330" s="244"/>
      <c r="V330" s="244"/>
      <c r="W330" s="244"/>
      <c r="X330" s="244"/>
      <c r="Y330" s="244"/>
      <c r="Z330" s="244"/>
    </row>
    <row r="331">
      <c r="A331" s="244"/>
      <c r="B331" s="244"/>
      <c r="C331" s="244"/>
      <c r="D331" s="244"/>
      <c r="E331" s="244"/>
      <c r="F331" s="244"/>
      <c r="G331" s="244"/>
      <c r="H331" s="244"/>
      <c r="I331" s="244"/>
      <c r="J331" s="244"/>
      <c r="K331" s="244"/>
      <c r="L331" s="244"/>
      <c r="M331" s="244"/>
      <c r="N331" s="244"/>
      <c r="O331" s="244"/>
      <c r="P331" s="244"/>
      <c r="Q331" s="244"/>
      <c r="R331" s="244"/>
      <c r="S331" s="244"/>
      <c r="T331" s="244"/>
      <c r="U331" s="244"/>
      <c r="V331" s="244"/>
      <c r="W331" s="244"/>
      <c r="X331" s="244"/>
      <c r="Y331" s="244"/>
      <c r="Z331" s="244"/>
    </row>
    <row r="332">
      <c r="A332" s="244"/>
      <c r="B332" s="244"/>
      <c r="C332" s="244"/>
      <c r="D332" s="244"/>
      <c r="E332" s="244"/>
      <c r="F332" s="244"/>
      <c r="G332" s="244"/>
      <c r="H332" s="244"/>
      <c r="I332" s="244"/>
      <c r="J332" s="244"/>
      <c r="K332" s="244"/>
      <c r="L332" s="244"/>
      <c r="M332" s="244"/>
      <c r="N332" s="244"/>
      <c r="O332" s="244"/>
      <c r="P332" s="244"/>
      <c r="Q332" s="244"/>
      <c r="R332" s="244"/>
      <c r="S332" s="244"/>
      <c r="T332" s="244"/>
      <c r="U332" s="244"/>
      <c r="V332" s="244"/>
      <c r="W332" s="244"/>
      <c r="X332" s="244"/>
      <c r="Y332" s="244"/>
      <c r="Z332" s="244"/>
    </row>
    <row r="333">
      <c r="A333" s="244"/>
      <c r="B333" s="244"/>
      <c r="C333" s="244"/>
      <c r="D333" s="244"/>
      <c r="E333" s="244"/>
      <c r="F333" s="244"/>
      <c r="G333" s="244"/>
      <c r="H333" s="244"/>
      <c r="I333" s="244"/>
      <c r="J333" s="244"/>
      <c r="K333" s="244"/>
      <c r="L333" s="244"/>
      <c r="M333" s="244"/>
      <c r="N333" s="244"/>
      <c r="O333" s="244"/>
      <c r="P333" s="244"/>
      <c r="Q333" s="244"/>
      <c r="R333" s="244"/>
      <c r="S333" s="244"/>
      <c r="T333" s="244"/>
      <c r="U333" s="244"/>
      <c r="V333" s="244"/>
      <c r="W333" s="244"/>
      <c r="X333" s="244"/>
      <c r="Y333" s="244"/>
      <c r="Z333" s="244"/>
    </row>
    <row r="334">
      <c r="A334" s="244"/>
      <c r="B334" s="244"/>
      <c r="C334" s="244"/>
      <c r="D334" s="244"/>
      <c r="E334" s="244"/>
      <c r="F334" s="244"/>
      <c r="G334" s="244"/>
      <c r="H334" s="244"/>
      <c r="I334" s="244"/>
      <c r="J334" s="244"/>
      <c r="K334" s="244"/>
      <c r="L334" s="244"/>
      <c r="M334" s="244"/>
      <c r="N334" s="244"/>
      <c r="O334" s="244"/>
      <c r="P334" s="244"/>
      <c r="Q334" s="244"/>
      <c r="R334" s="244"/>
      <c r="S334" s="244"/>
      <c r="T334" s="244"/>
      <c r="U334" s="244"/>
      <c r="V334" s="244"/>
      <c r="W334" s="244"/>
      <c r="X334" s="244"/>
      <c r="Y334" s="244"/>
      <c r="Z334" s="244"/>
    </row>
    <row r="335">
      <c r="A335" s="244"/>
      <c r="B335" s="244"/>
      <c r="C335" s="244"/>
      <c r="D335" s="244"/>
      <c r="E335" s="244"/>
      <c r="F335" s="244"/>
      <c r="G335" s="244"/>
      <c r="H335" s="244"/>
      <c r="I335" s="244"/>
      <c r="J335" s="244"/>
      <c r="K335" s="244"/>
      <c r="L335" s="244"/>
      <c r="M335" s="244"/>
      <c r="N335" s="244"/>
      <c r="O335" s="244"/>
      <c r="P335" s="244"/>
      <c r="Q335" s="244"/>
      <c r="R335" s="244"/>
      <c r="S335" s="244"/>
      <c r="T335" s="244"/>
      <c r="U335" s="244"/>
      <c r="V335" s="244"/>
      <c r="W335" s="244"/>
      <c r="X335" s="244"/>
      <c r="Y335" s="244"/>
      <c r="Z335" s="244"/>
    </row>
    <row r="336">
      <c r="A336" s="244"/>
      <c r="B336" s="244"/>
      <c r="C336" s="244"/>
      <c r="D336" s="244"/>
      <c r="E336" s="244"/>
      <c r="F336" s="244"/>
      <c r="G336" s="244"/>
      <c r="H336" s="244"/>
      <c r="I336" s="244"/>
      <c r="J336" s="244"/>
      <c r="K336" s="244"/>
      <c r="L336" s="244"/>
      <c r="M336" s="244"/>
      <c r="N336" s="244"/>
      <c r="O336" s="244"/>
      <c r="P336" s="244"/>
      <c r="Q336" s="244"/>
      <c r="R336" s="244"/>
      <c r="S336" s="244"/>
      <c r="T336" s="244"/>
      <c r="U336" s="244"/>
      <c r="V336" s="244"/>
      <c r="W336" s="244"/>
      <c r="X336" s="244"/>
      <c r="Y336" s="244"/>
      <c r="Z336" s="244"/>
    </row>
    <row r="337">
      <c r="A337" s="244"/>
      <c r="B337" s="244"/>
      <c r="C337" s="244"/>
      <c r="D337" s="244"/>
      <c r="E337" s="244"/>
      <c r="F337" s="244"/>
      <c r="G337" s="244"/>
      <c r="H337" s="244"/>
      <c r="I337" s="244"/>
      <c r="J337" s="244"/>
      <c r="K337" s="244"/>
      <c r="L337" s="244"/>
      <c r="M337" s="244"/>
      <c r="N337" s="244"/>
      <c r="O337" s="244"/>
      <c r="P337" s="244"/>
      <c r="Q337" s="244"/>
      <c r="R337" s="244"/>
      <c r="S337" s="244"/>
      <c r="T337" s="244"/>
      <c r="U337" s="244"/>
      <c r="V337" s="244"/>
      <c r="W337" s="244"/>
      <c r="X337" s="244"/>
      <c r="Y337" s="244"/>
      <c r="Z337" s="244"/>
    </row>
    <row r="338">
      <c r="A338" s="244"/>
      <c r="B338" s="244"/>
      <c r="C338" s="244"/>
      <c r="D338" s="244"/>
      <c r="E338" s="244"/>
      <c r="F338" s="244"/>
      <c r="G338" s="244"/>
      <c r="H338" s="244"/>
      <c r="I338" s="244"/>
      <c r="J338" s="244"/>
      <c r="K338" s="244"/>
      <c r="L338" s="244"/>
      <c r="M338" s="244"/>
      <c r="N338" s="244"/>
      <c r="O338" s="244"/>
      <c r="P338" s="244"/>
      <c r="Q338" s="244"/>
      <c r="R338" s="244"/>
      <c r="S338" s="244"/>
      <c r="T338" s="244"/>
      <c r="U338" s="244"/>
      <c r="V338" s="244"/>
      <c r="W338" s="244"/>
      <c r="X338" s="244"/>
      <c r="Y338" s="244"/>
      <c r="Z338" s="244"/>
    </row>
    <row r="339">
      <c r="A339" s="244"/>
      <c r="B339" s="244"/>
      <c r="C339" s="244"/>
      <c r="D339" s="244"/>
      <c r="E339" s="244"/>
      <c r="F339" s="244"/>
      <c r="G339" s="244"/>
      <c r="H339" s="244"/>
      <c r="I339" s="244"/>
      <c r="J339" s="244"/>
      <c r="K339" s="244"/>
      <c r="L339" s="244"/>
      <c r="M339" s="244"/>
      <c r="N339" s="244"/>
      <c r="O339" s="244"/>
      <c r="P339" s="244"/>
      <c r="Q339" s="244"/>
      <c r="R339" s="244"/>
      <c r="S339" s="244"/>
      <c r="T339" s="244"/>
      <c r="U339" s="244"/>
      <c r="V339" s="244"/>
      <c r="W339" s="244"/>
      <c r="X339" s="244"/>
      <c r="Y339" s="244"/>
      <c r="Z339" s="244"/>
    </row>
    <row r="340">
      <c r="A340" s="244"/>
      <c r="B340" s="244"/>
      <c r="C340" s="244"/>
      <c r="D340" s="244"/>
      <c r="E340" s="244"/>
      <c r="F340" s="244"/>
      <c r="G340" s="244"/>
      <c r="H340" s="244"/>
      <c r="I340" s="244"/>
      <c r="J340" s="244"/>
      <c r="K340" s="244"/>
      <c r="L340" s="244"/>
      <c r="M340" s="244"/>
      <c r="N340" s="244"/>
      <c r="O340" s="244"/>
      <c r="P340" s="244"/>
      <c r="Q340" s="244"/>
      <c r="R340" s="244"/>
      <c r="S340" s="244"/>
      <c r="T340" s="244"/>
      <c r="U340" s="244"/>
      <c r="V340" s="244"/>
      <c r="W340" s="244"/>
      <c r="X340" s="244"/>
      <c r="Y340" s="244"/>
      <c r="Z340" s="244"/>
    </row>
    <row r="341">
      <c r="A341" s="244"/>
      <c r="B341" s="244"/>
      <c r="C341" s="244"/>
      <c r="D341" s="244"/>
      <c r="E341" s="244"/>
      <c r="F341" s="244"/>
      <c r="G341" s="244"/>
      <c r="H341" s="244"/>
      <c r="I341" s="244"/>
      <c r="J341" s="244"/>
      <c r="K341" s="244"/>
      <c r="L341" s="244"/>
      <c r="M341" s="244"/>
      <c r="N341" s="244"/>
      <c r="O341" s="244"/>
      <c r="P341" s="244"/>
      <c r="Q341" s="244"/>
      <c r="R341" s="244"/>
      <c r="S341" s="244"/>
      <c r="T341" s="244"/>
      <c r="U341" s="244"/>
      <c r="V341" s="244"/>
      <c r="W341" s="244"/>
      <c r="X341" s="244"/>
      <c r="Y341" s="244"/>
      <c r="Z341" s="244"/>
    </row>
    <row r="342">
      <c r="A342" s="244"/>
      <c r="B342" s="244"/>
      <c r="C342" s="244"/>
      <c r="D342" s="244"/>
      <c r="E342" s="244"/>
      <c r="F342" s="244"/>
      <c r="G342" s="244"/>
      <c r="H342" s="244"/>
      <c r="I342" s="244"/>
      <c r="J342" s="244"/>
      <c r="K342" s="244"/>
      <c r="L342" s="244"/>
      <c r="M342" s="244"/>
      <c r="N342" s="244"/>
      <c r="O342" s="244"/>
      <c r="P342" s="244"/>
      <c r="Q342" s="244"/>
      <c r="R342" s="244"/>
      <c r="S342" s="244"/>
      <c r="T342" s="244"/>
      <c r="U342" s="244"/>
      <c r="V342" s="244"/>
      <c r="W342" s="244"/>
      <c r="X342" s="244"/>
      <c r="Y342" s="244"/>
      <c r="Z342" s="244"/>
    </row>
    <row r="343">
      <c r="A343" s="244"/>
      <c r="B343" s="244"/>
      <c r="C343" s="244"/>
      <c r="D343" s="244"/>
      <c r="E343" s="244"/>
      <c r="F343" s="244"/>
      <c r="G343" s="244"/>
      <c r="H343" s="244"/>
      <c r="I343" s="244"/>
      <c r="J343" s="244"/>
      <c r="K343" s="244"/>
      <c r="L343" s="244"/>
      <c r="M343" s="244"/>
      <c r="N343" s="244"/>
      <c r="O343" s="244"/>
      <c r="P343" s="244"/>
      <c r="Q343" s="244"/>
      <c r="R343" s="244"/>
      <c r="S343" s="244"/>
      <c r="T343" s="244"/>
      <c r="U343" s="244"/>
      <c r="V343" s="244"/>
      <c r="W343" s="244"/>
      <c r="X343" s="244"/>
      <c r="Y343" s="244"/>
      <c r="Z343" s="244"/>
    </row>
    <row r="344">
      <c r="A344" s="244"/>
      <c r="B344" s="244"/>
      <c r="C344" s="244"/>
      <c r="D344" s="244"/>
      <c r="E344" s="244"/>
      <c r="F344" s="244"/>
      <c r="G344" s="244"/>
      <c r="H344" s="244"/>
      <c r="I344" s="244"/>
      <c r="J344" s="244"/>
      <c r="K344" s="244"/>
      <c r="L344" s="244"/>
      <c r="M344" s="244"/>
      <c r="N344" s="244"/>
      <c r="O344" s="244"/>
      <c r="P344" s="244"/>
      <c r="Q344" s="244"/>
      <c r="R344" s="244"/>
      <c r="S344" s="244"/>
      <c r="T344" s="244"/>
      <c r="U344" s="244"/>
      <c r="V344" s="244"/>
      <c r="W344" s="244"/>
      <c r="X344" s="244"/>
      <c r="Y344" s="244"/>
      <c r="Z344" s="244"/>
    </row>
    <row r="345">
      <c r="A345" s="244"/>
      <c r="B345" s="244"/>
      <c r="C345" s="244"/>
      <c r="D345" s="244"/>
      <c r="E345" s="244"/>
      <c r="F345" s="244"/>
      <c r="G345" s="244"/>
      <c r="H345" s="244"/>
      <c r="I345" s="244"/>
      <c r="J345" s="244"/>
      <c r="K345" s="244"/>
      <c r="L345" s="244"/>
      <c r="M345" s="244"/>
      <c r="N345" s="244"/>
      <c r="O345" s="244"/>
      <c r="P345" s="244"/>
      <c r="Q345" s="244"/>
      <c r="R345" s="244"/>
      <c r="S345" s="244"/>
      <c r="T345" s="244"/>
      <c r="U345" s="244"/>
      <c r="V345" s="244"/>
      <c r="W345" s="244"/>
      <c r="X345" s="244"/>
      <c r="Y345" s="244"/>
      <c r="Z345" s="244"/>
    </row>
    <row r="346">
      <c r="A346" s="244"/>
      <c r="B346" s="244"/>
      <c r="C346" s="244"/>
      <c r="D346" s="244"/>
      <c r="E346" s="244"/>
      <c r="F346" s="244"/>
      <c r="G346" s="244"/>
      <c r="H346" s="244"/>
      <c r="I346" s="244"/>
      <c r="J346" s="244"/>
      <c r="K346" s="244"/>
      <c r="L346" s="244"/>
      <c r="M346" s="244"/>
      <c r="N346" s="244"/>
      <c r="O346" s="244"/>
      <c r="P346" s="244"/>
      <c r="Q346" s="244"/>
      <c r="R346" s="244"/>
      <c r="S346" s="244"/>
      <c r="T346" s="244"/>
      <c r="U346" s="244"/>
      <c r="V346" s="244"/>
      <c r="W346" s="244"/>
      <c r="X346" s="244"/>
      <c r="Y346" s="244"/>
      <c r="Z346" s="244"/>
    </row>
    <row r="347">
      <c r="A347" s="244"/>
      <c r="B347" s="244"/>
      <c r="C347" s="244"/>
      <c r="D347" s="244"/>
      <c r="E347" s="244"/>
      <c r="F347" s="244"/>
      <c r="G347" s="244"/>
      <c r="H347" s="244"/>
      <c r="I347" s="244"/>
      <c r="J347" s="244"/>
      <c r="K347" s="244"/>
      <c r="L347" s="244"/>
      <c r="M347" s="244"/>
      <c r="N347" s="244"/>
      <c r="O347" s="244"/>
      <c r="P347" s="244"/>
      <c r="Q347" s="244"/>
      <c r="R347" s="244"/>
      <c r="S347" s="244"/>
      <c r="T347" s="244"/>
      <c r="U347" s="244"/>
      <c r="V347" s="244"/>
      <c r="W347" s="244"/>
      <c r="X347" s="244"/>
      <c r="Y347" s="244"/>
      <c r="Z347" s="244"/>
    </row>
    <row r="348">
      <c r="A348" s="244"/>
      <c r="B348" s="244"/>
      <c r="C348" s="244"/>
      <c r="D348" s="244"/>
      <c r="E348" s="244"/>
      <c r="F348" s="244"/>
      <c r="G348" s="244"/>
      <c r="H348" s="244"/>
      <c r="I348" s="244"/>
      <c r="J348" s="244"/>
      <c r="K348" s="244"/>
      <c r="L348" s="244"/>
      <c r="M348" s="244"/>
      <c r="N348" s="244"/>
      <c r="O348" s="244"/>
      <c r="P348" s="244"/>
      <c r="Q348" s="244"/>
      <c r="R348" s="244"/>
      <c r="S348" s="244"/>
      <c r="T348" s="244"/>
      <c r="U348" s="244"/>
      <c r="V348" s="244"/>
      <c r="W348" s="244"/>
      <c r="X348" s="244"/>
      <c r="Y348" s="244"/>
      <c r="Z348" s="244"/>
    </row>
    <row r="349">
      <c r="A349" s="244"/>
      <c r="B349" s="244"/>
      <c r="C349" s="244"/>
      <c r="D349" s="244"/>
      <c r="E349" s="244"/>
      <c r="F349" s="244"/>
      <c r="G349" s="244"/>
      <c r="H349" s="244"/>
      <c r="I349" s="244"/>
      <c r="J349" s="244"/>
      <c r="K349" s="244"/>
      <c r="L349" s="244"/>
      <c r="M349" s="244"/>
      <c r="N349" s="244"/>
      <c r="O349" s="244"/>
      <c r="P349" s="244"/>
      <c r="Q349" s="244"/>
      <c r="R349" s="244"/>
      <c r="S349" s="244"/>
      <c r="T349" s="244"/>
      <c r="U349" s="244"/>
      <c r="V349" s="244"/>
      <c r="W349" s="244"/>
      <c r="X349" s="244"/>
      <c r="Y349" s="244"/>
      <c r="Z349" s="244"/>
    </row>
    <row r="350">
      <c r="A350" s="244"/>
      <c r="B350" s="244"/>
      <c r="C350" s="244"/>
      <c r="D350" s="244"/>
      <c r="E350" s="244"/>
      <c r="F350" s="244"/>
      <c r="G350" s="244"/>
      <c r="H350" s="244"/>
      <c r="I350" s="244"/>
      <c r="J350" s="244"/>
      <c r="K350" s="244"/>
      <c r="L350" s="244"/>
      <c r="M350" s="244"/>
      <c r="N350" s="244"/>
      <c r="O350" s="244"/>
      <c r="P350" s="244"/>
      <c r="Q350" s="244"/>
      <c r="R350" s="244"/>
      <c r="S350" s="244"/>
      <c r="T350" s="244"/>
      <c r="U350" s="244"/>
      <c r="V350" s="244"/>
      <c r="W350" s="244"/>
      <c r="X350" s="244"/>
      <c r="Y350" s="244"/>
      <c r="Z350" s="244"/>
    </row>
    <row r="351">
      <c r="A351" s="244"/>
      <c r="B351" s="244"/>
      <c r="C351" s="244"/>
      <c r="D351" s="244"/>
      <c r="E351" s="244"/>
      <c r="F351" s="244"/>
      <c r="G351" s="244"/>
      <c r="H351" s="244"/>
      <c r="I351" s="244"/>
      <c r="J351" s="244"/>
      <c r="K351" s="244"/>
      <c r="L351" s="244"/>
      <c r="M351" s="244"/>
      <c r="N351" s="244"/>
      <c r="O351" s="244"/>
      <c r="P351" s="244"/>
      <c r="Q351" s="244"/>
      <c r="R351" s="244"/>
      <c r="S351" s="244"/>
      <c r="T351" s="244"/>
      <c r="U351" s="244"/>
      <c r="V351" s="244"/>
      <c r="W351" s="244"/>
      <c r="X351" s="244"/>
      <c r="Y351" s="244"/>
      <c r="Z351" s="244"/>
    </row>
    <row r="352">
      <c r="A352" s="244"/>
      <c r="B352" s="244"/>
      <c r="C352" s="244"/>
      <c r="D352" s="244"/>
      <c r="E352" s="244"/>
      <c r="F352" s="244"/>
      <c r="G352" s="244"/>
      <c r="H352" s="244"/>
      <c r="I352" s="244"/>
      <c r="J352" s="244"/>
      <c r="K352" s="244"/>
      <c r="L352" s="244"/>
      <c r="M352" s="244"/>
      <c r="N352" s="244"/>
      <c r="O352" s="244"/>
      <c r="P352" s="244"/>
      <c r="Q352" s="244"/>
      <c r="R352" s="244"/>
      <c r="S352" s="244"/>
      <c r="T352" s="244"/>
      <c r="U352" s="244"/>
      <c r="V352" s="244"/>
      <c r="W352" s="244"/>
      <c r="X352" s="244"/>
      <c r="Y352" s="244"/>
      <c r="Z352" s="244"/>
    </row>
    <row r="353">
      <c r="A353" s="244"/>
      <c r="B353" s="244"/>
      <c r="C353" s="244"/>
      <c r="D353" s="244"/>
      <c r="E353" s="244"/>
      <c r="F353" s="244"/>
      <c r="G353" s="244"/>
      <c r="H353" s="244"/>
      <c r="I353" s="244"/>
      <c r="J353" s="244"/>
      <c r="K353" s="244"/>
      <c r="L353" s="244"/>
      <c r="M353" s="244"/>
      <c r="N353" s="244"/>
      <c r="O353" s="244"/>
      <c r="P353" s="244"/>
      <c r="Q353" s="244"/>
      <c r="R353" s="244"/>
      <c r="S353" s="244"/>
      <c r="T353" s="244"/>
      <c r="U353" s="244"/>
      <c r="V353" s="244"/>
      <c r="W353" s="244"/>
      <c r="X353" s="244"/>
      <c r="Y353" s="244"/>
      <c r="Z353" s="244"/>
    </row>
    <row r="354">
      <c r="A354" s="244"/>
      <c r="B354" s="244"/>
      <c r="C354" s="244"/>
      <c r="D354" s="244"/>
      <c r="E354" s="244"/>
      <c r="F354" s="244"/>
      <c r="G354" s="244"/>
      <c r="H354" s="244"/>
      <c r="I354" s="244"/>
      <c r="J354" s="244"/>
      <c r="K354" s="244"/>
      <c r="L354" s="244"/>
      <c r="M354" s="244"/>
      <c r="N354" s="244"/>
      <c r="O354" s="244"/>
      <c r="P354" s="244"/>
      <c r="Q354" s="244"/>
      <c r="R354" s="244"/>
      <c r="S354" s="244"/>
      <c r="T354" s="244"/>
      <c r="U354" s="244"/>
      <c r="V354" s="244"/>
      <c r="W354" s="244"/>
      <c r="X354" s="244"/>
      <c r="Y354" s="244"/>
      <c r="Z354" s="244"/>
    </row>
    <row r="355">
      <c r="A355" s="244"/>
      <c r="B355" s="244"/>
      <c r="C355" s="244"/>
      <c r="D355" s="244"/>
      <c r="E355" s="244"/>
      <c r="F355" s="244"/>
      <c r="G355" s="244"/>
      <c r="H355" s="244"/>
      <c r="I355" s="244"/>
      <c r="J355" s="244"/>
      <c r="K355" s="244"/>
      <c r="L355" s="244"/>
      <c r="M355" s="244"/>
      <c r="N355" s="244"/>
      <c r="O355" s="244"/>
      <c r="P355" s="244"/>
      <c r="Q355" s="244"/>
      <c r="R355" s="244"/>
      <c r="S355" s="244"/>
      <c r="T355" s="244"/>
      <c r="U355" s="244"/>
      <c r="V355" s="244"/>
      <c r="W355" s="244"/>
      <c r="X355" s="244"/>
      <c r="Y355" s="244"/>
      <c r="Z355" s="244"/>
    </row>
    <row r="356">
      <c r="A356" s="244"/>
      <c r="B356" s="244"/>
      <c r="C356" s="244"/>
      <c r="D356" s="244"/>
      <c r="E356" s="244"/>
      <c r="F356" s="244"/>
      <c r="G356" s="244"/>
      <c r="H356" s="244"/>
      <c r="I356" s="244"/>
      <c r="J356" s="244"/>
      <c r="K356" s="244"/>
      <c r="L356" s="244"/>
      <c r="M356" s="244"/>
      <c r="N356" s="244"/>
      <c r="O356" s="244"/>
      <c r="P356" s="244"/>
      <c r="Q356" s="244"/>
      <c r="R356" s="244"/>
      <c r="S356" s="244"/>
      <c r="T356" s="244"/>
      <c r="U356" s="244"/>
      <c r="V356" s="244"/>
      <c r="W356" s="244"/>
      <c r="X356" s="244"/>
      <c r="Y356" s="244"/>
      <c r="Z356" s="244"/>
    </row>
    <row r="357">
      <c r="A357" s="244"/>
      <c r="B357" s="244"/>
      <c r="C357" s="244"/>
      <c r="D357" s="244"/>
      <c r="E357" s="244"/>
      <c r="F357" s="244"/>
      <c r="G357" s="244"/>
      <c r="H357" s="244"/>
      <c r="I357" s="244"/>
      <c r="J357" s="244"/>
      <c r="K357" s="244"/>
      <c r="L357" s="244"/>
      <c r="M357" s="244"/>
      <c r="N357" s="244"/>
      <c r="O357" s="244"/>
      <c r="P357" s="244"/>
      <c r="Q357" s="244"/>
      <c r="R357" s="244"/>
      <c r="S357" s="244"/>
      <c r="T357" s="244"/>
      <c r="U357" s="244"/>
      <c r="V357" s="244"/>
      <c r="W357" s="244"/>
      <c r="X357" s="244"/>
      <c r="Y357" s="244"/>
      <c r="Z357" s="244"/>
    </row>
    <row r="358">
      <c r="A358" s="244"/>
      <c r="B358" s="244"/>
      <c r="C358" s="244"/>
      <c r="D358" s="244"/>
      <c r="E358" s="244"/>
      <c r="F358" s="244"/>
      <c r="G358" s="244"/>
      <c r="H358" s="244"/>
      <c r="I358" s="244"/>
      <c r="J358" s="244"/>
      <c r="K358" s="244"/>
      <c r="L358" s="244"/>
      <c r="M358" s="244"/>
      <c r="N358" s="244"/>
      <c r="O358" s="244"/>
      <c r="P358" s="244"/>
      <c r="Q358" s="244"/>
      <c r="R358" s="244"/>
      <c r="S358" s="244"/>
      <c r="T358" s="244"/>
      <c r="U358" s="244"/>
      <c r="V358" s="244"/>
      <c r="W358" s="244"/>
      <c r="X358" s="244"/>
      <c r="Y358" s="244"/>
      <c r="Z358" s="244"/>
    </row>
    <row r="359">
      <c r="A359" s="244"/>
      <c r="B359" s="244"/>
      <c r="C359" s="244"/>
      <c r="D359" s="244"/>
      <c r="E359" s="244"/>
      <c r="F359" s="244"/>
      <c r="G359" s="244"/>
      <c r="H359" s="244"/>
      <c r="I359" s="244"/>
      <c r="J359" s="244"/>
      <c r="K359" s="244"/>
      <c r="L359" s="244"/>
      <c r="M359" s="244"/>
      <c r="N359" s="244"/>
      <c r="O359" s="244"/>
      <c r="P359" s="244"/>
      <c r="Q359" s="244"/>
      <c r="R359" s="244"/>
      <c r="S359" s="244"/>
      <c r="T359" s="244"/>
      <c r="U359" s="244"/>
      <c r="V359" s="244"/>
      <c r="W359" s="244"/>
      <c r="X359" s="244"/>
      <c r="Y359" s="244"/>
      <c r="Z359" s="244"/>
    </row>
    <row r="360">
      <c r="A360" s="244"/>
      <c r="B360" s="244"/>
      <c r="C360" s="244"/>
      <c r="D360" s="244"/>
      <c r="E360" s="244"/>
      <c r="F360" s="244"/>
      <c r="G360" s="244"/>
      <c r="H360" s="244"/>
      <c r="I360" s="244"/>
      <c r="J360" s="244"/>
      <c r="K360" s="244"/>
      <c r="L360" s="244"/>
      <c r="M360" s="244"/>
      <c r="N360" s="244"/>
      <c r="O360" s="244"/>
      <c r="P360" s="244"/>
      <c r="Q360" s="244"/>
      <c r="R360" s="244"/>
      <c r="S360" s="244"/>
      <c r="T360" s="244"/>
      <c r="U360" s="244"/>
      <c r="V360" s="244"/>
      <c r="W360" s="244"/>
      <c r="X360" s="244"/>
      <c r="Y360" s="244"/>
      <c r="Z360" s="244"/>
    </row>
    <row r="361">
      <c r="A361" s="244"/>
      <c r="B361" s="244"/>
      <c r="C361" s="244"/>
      <c r="D361" s="244"/>
      <c r="E361" s="244"/>
      <c r="F361" s="244"/>
      <c r="G361" s="244"/>
      <c r="H361" s="244"/>
      <c r="I361" s="244"/>
      <c r="J361" s="244"/>
      <c r="K361" s="244"/>
      <c r="L361" s="244"/>
      <c r="M361" s="244"/>
      <c r="N361" s="244"/>
      <c r="O361" s="244"/>
      <c r="P361" s="244"/>
      <c r="Q361" s="244"/>
      <c r="R361" s="244"/>
      <c r="S361" s="244"/>
      <c r="T361" s="244"/>
      <c r="U361" s="244"/>
      <c r="V361" s="244"/>
      <c r="W361" s="244"/>
      <c r="X361" s="244"/>
      <c r="Y361" s="244"/>
      <c r="Z361" s="244"/>
    </row>
    <row r="362">
      <c r="A362" s="244"/>
      <c r="B362" s="244"/>
      <c r="C362" s="244"/>
      <c r="D362" s="244"/>
      <c r="E362" s="244"/>
      <c r="F362" s="244"/>
      <c r="G362" s="244"/>
      <c r="H362" s="244"/>
      <c r="I362" s="244"/>
      <c r="J362" s="244"/>
      <c r="K362" s="244"/>
      <c r="L362" s="244"/>
      <c r="M362" s="244"/>
      <c r="N362" s="244"/>
      <c r="O362" s="244"/>
      <c r="P362" s="244"/>
      <c r="Q362" s="244"/>
      <c r="R362" s="244"/>
      <c r="S362" s="244"/>
      <c r="T362" s="244"/>
      <c r="U362" s="244"/>
      <c r="V362" s="244"/>
      <c r="W362" s="244"/>
      <c r="X362" s="244"/>
      <c r="Y362" s="244"/>
      <c r="Z362" s="244"/>
    </row>
    <row r="363">
      <c r="A363" s="244"/>
      <c r="B363" s="244"/>
      <c r="C363" s="244"/>
      <c r="D363" s="244"/>
      <c r="E363" s="244"/>
      <c r="F363" s="244"/>
      <c r="G363" s="244"/>
      <c r="H363" s="244"/>
      <c r="I363" s="244"/>
      <c r="J363" s="244"/>
      <c r="K363" s="244"/>
      <c r="L363" s="244"/>
      <c r="M363" s="244"/>
      <c r="N363" s="244"/>
      <c r="O363" s="244"/>
      <c r="P363" s="244"/>
      <c r="Q363" s="244"/>
      <c r="R363" s="244"/>
      <c r="S363" s="244"/>
      <c r="T363" s="244"/>
      <c r="U363" s="244"/>
      <c r="V363" s="244"/>
      <c r="W363" s="244"/>
      <c r="X363" s="244"/>
      <c r="Y363" s="244"/>
      <c r="Z363" s="244"/>
    </row>
    <row r="364">
      <c r="A364" s="244"/>
      <c r="B364" s="244"/>
      <c r="C364" s="244"/>
      <c r="D364" s="244"/>
      <c r="E364" s="244"/>
      <c r="F364" s="244"/>
      <c r="G364" s="244"/>
      <c r="H364" s="244"/>
      <c r="I364" s="244"/>
      <c r="J364" s="244"/>
      <c r="K364" s="244"/>
      <c r="L364" s="244"/>
      <c r="M364" s="244"/>
      <c r="N364" s="244"/>
      <c r="O364" s="244"/>
      <c r="P364" s="244"/>
      <c r="Q364" s="244"/>
      <c r="R364" s="244"/>
      <c r="S364" s="244"/>
      <c r="T364" s="244"/>
      <c r="U364" s="244"/>
      <c r="V364" s="244"/>
      <c r="W364" s="244"/>
      <c r="X364" s="244"/>
      <c r="Y364" s="244"/>
      <c r="Z364" s="244"/>
    </row>
    <row r="365">
      <c r="A365" s="244"/>
      <c r="B365" s="244"/>
      <c r="C365" s="244"/>
      <c r="D365" s="244"/>
      <c r="E365" s="244"/>
      <c r="F365" s="244"/>
      <c r="G365" s="244"/>
      <c r="H365" s="244"/>
      <c r="I365" s="244"/>
      <c r="J365" s="244"/>
      <c r="K365" s="244"/>
      <c r="L365" s="244"/>
      <c r="M365" s="244"/>
      <c r="N365" s="244"/>
      <c r="O365" s="244"/>
      <c r="P365" s="244"/>
      <c r="Q365" s="244"/>
      <c r="R365" s="244"/>
      <c r="S365" s="244"/>
      <c r="T365" s="244"/>
      <c r="U365" s="244"/>
      <c r="V365" s="244"/>
      <c r="W365" s="244"/>
      <c r="X365" s="244"/>
      <c r="Y365" s="244"/>
      <c r="Z365" s="244"/>
    </row>
    <row r="366">
      <c r="A366" s="244"/>
      <c r="B366" s="244"/>
      <c r="C366" s="244"/>
      <c r="D366" s="244"/>
      <c r="E366" s="244"/>
      <c r="F366" s="244"/>
      <c r="G366" s="244"/>
      <c r="H366" s="244"/>
      <c r="I366" s="244"/>
      <c r="J366" s="244"/>
      <c r="K366" s="244"/>
      <c r="L366" s="244"/>
      <c r="M366" s="244"/>
      <c r="N366" s="244"/>
      <c r="O366" s="244"/>
      <c r="P366" s="244"/>
      <c r="Q366" s="244"/>
      <c r="R366" s="244"/>
      <c r="S366" s="244"/>
      <c r="T366" s="244"/>
      <c r="U366" s="244"/>
      <c r="V366" s="244"/>
      <c r="W366" s="244"/>
      <c r="X366" s="244"/>
      <c r="Y366" s="244"/>
      <c r="Z366" s="244"/>
    </row>
    <row r="367">
      <c r="A367" s="244"/>
      <c r="B367" s="244"/>
      <c r="C367" s="244"/>
      <c r="D367" s="244"/>
      <c r="E367" s="244"/>
      <c r="F367" s="244"/>
      <c r="G367" s="244"/>
      <c r="H367" s="244"/>
      <c r="I367" s="244"/>
      <c r="J367" s="244"/>
      <c r="K367" s="244"/>
      <c r="L367" s="244"/>
      <c r="M367" s="244"/>
      <c r="N367" s="244"/>
      <c r="O367" s="244"/>
      <c r="P367" s="244"/>
      <c r="Q367" s="244"/>
      <c r="R367" s="244"/>
      <c r="S367" s="244"/>
      <c r="T367" s="244"/>
      <c r="U367" s="244"/>
      <c r="V367" s="244"/>
      <c r="W367" s="244"/>
      <c r="X367" s="244"/>
      <c r="Y367" s="244"/>
      <c r="Z367" s="244"/>
    </row>
    <row r="368">
      <c r="A368" s="244"/>
      <c r="B368" s="244"/>
      <c r="C368" s="244"/>
      <c r="D368" s="244"/>
      <c r="E368" s="244"/>
      <c r="F368" s="244"/>
      <c r="G368" s="244"/>
      <c r="H368" s="244"/>
      <c r="I368" s="244"/>
      <c r="J368" s="244"/>
      <c r="K368" s="244"/>
      <c r="L368" s="244"/>
      <c r="M368" s="244"/>
      <c r="N368" s="244"/>
      <c r="O368" s="244"/>
      <c r="P368" s="244"/>
      <c r="Q368" s="244"/>
      <c r="R368" s="244"/>
      <c r="S368" s="244"/>
      <c r="T368" s="244"/>
      <c r="U368" s="244"/>
      <c r="V368" s="244"/>
      <c r="W368" s="244"/>
      <c r="X368" s="244"/>
      <c r="Y368" s="244"/>
      <c r="Z368" s="244"/>
    </row>
    <row r="369">
      <c r="A369" s="244"/>
      <c r="B369" s="244"/>
      <c r="C369" s="244"/>
      <c r="D369" s="244"/>
      <c r="E369" s="244"/>
      <c r="F369" s="244"/>
      <c r="G369" s="244"/>
      <c r="H369" s="244"/>
      <c r="I369" s="244"/>
      <c r="J369" s="244"/>
      <c r="K369" s="244"/>
      <c r="L369" s="244"/>
      <c r="M369" s="244"/>
      <c r="N369" s="244"/>
      <c r="O369" s="244"/>
      <c r="P369" s="244"/>
      <c r="Q369" s="244"/>
      <c r="R369" s="244"/>
      <c r="S369" s="244"/>
      <c r="T369" s="244"/>
      <c r="U369" s="244"/>
      <c r="V369" s="244"/>
      <c r="W369" s="244"/>
      <c r="X369" s="244"/>
      <c r="Y369" s="244"/>
      <c r="Z369" s="244"/>
    </row>
    <row r="370">
      <c r="A370" s="244"/>
      <c r="B370" s="244"/>
      <c r="C370" s="244"/>
      <c r="D370" s="244"/>
      <c r="E370" s="244"/>
      <c r="F370" s="244"/>
      <c r="G370" s="244"/>
      <c r="H370" s="244"/>
      <c r="I370" s="244"/>
      <c r="J370" s="244"/>
      <c r="K370" s="244"/>
      <c r="L370" s="244"/>
      <c r="M370" s="244"/>
      <c r="N370" s="244"/>
      <c r="O370" s="244"/>
      <c r="P370" s="244"/>
      <c r="Q370" s="244"/>
      <c r="R370" s="244"/>
      <c r="S370" s="244"/>
      <c r="T370" s="244"/>
      <c r="U370" s="244"/>
      <c r="V370" s="244"/>
      <c r="W370" s="244"/>
      <c r="X370" s="244"/>
      <c r="Y370" s="244"/>
      <c r="Z370" s="244"/>
    </row>
    <row r="371">
      <c r="A371" s="244"/>
      <c r="B371" s="244"/>
      <c r="C371" s="244"/>
      <c r="D371" s="244"/>
      <c r="E371" s="244"/>
      <c r="F371" s="244"/>
      <c r="G371" s="244"/>
      <c r="H371" s="244"/>
      <c r="I371" s="244"/>
      <c r="J371" s="244"/>
      <c r="K371" s="244"/>
      <c r="L371" s="244"/>
      <c r="M371" s="244"/>
      <c r="N371" s="244"/>
      <c r="O371" s="244"/>
      <c r="P371" s="244"/>
      <c r="Q371" s="244"/>
      <c r="R371" s="244"/>
      <c r="S371" s="244"/>
      <c r="T371" s="244"/>
      <c r="U371" s="244"/>
      <c r="V371" s="244"/>
      <c r="W371" s="244"/>
      <c r="X371" s="244"/>
      <c r="Y371" s="244"/>
      <c r="Z371" s="244"/>
    </row>
    <row r="372">
      <c r="A372" s="244"/>
      <c r="B372" s="244"/>
      <c r="C372" s="244"/>
      <c r="D372" s="244"/>
      <c r="E372" s="244"/>
      <c r="F372" s="244"/>
      <c r="G372" s="244"/>
      <c r="H372" s="244"/>
      <c r="I372" s="244"/>
      <c r="J372" s="244"/>
      <c r="K372" s="244"/>
      <c r="L372" s="244"/>
      <c r="M372" s="244"/>
      <c r="N372" s="244"/>
      <c r="O372" s="244"/>
      <c r="P372" s="244"/>
      <c r="Q372" s="244"/>
      <c r="R372" s="244"/>
      <c r="S372" s="244"/>
      <c r="T372" s="244"/>
      <c r="U372" s="244"/>
      <c r="V372" s="244"/>
      <c r="W372" s="244"/>
      <c r="X372" s="244"/>
      <c r="Y372" s="244"/>
      <c r="Z372" s="244"/>
    </row>
    <row r="373">
      <c r="A373" s="244"/>
      <c r="B373" s="244"/>
      <c r="C373" s="244"/>
      <c r="D373" s="244"/>
      <c r="E373" s="244"/>
      <c r="F373" s="244"/>
      <c r="G373" s="244"/>
      <c r="H373" s="244"/>
      <c r="I373" s="244"/>
      <c r="J373" s="244"/>
      <c r="K373" s="244"/>
      <c r="L373" s="244"/>
      <c r="M373" s="244"/>
      <c r="N373" s="244"/>
      <c r="O373" s="244"/>
      <c r="P373" s="244"/>
      <c r="Q373" s="244"/>
      <c r="R373" s="244"/>
      <c r="S373" s="244"/>
      <c r="T373" s="244"/>
      <c r="U373" s="244"/>
      <c r="V373" s="244"/>
      <c r="W373" s="244"/>
      <c r="X373" s="244"/>
      <c r="Y373" s="244"/>
      <c r="Z373" s="244"/>
    </row>
    <row r="374">
      <c r="A374" s="244"/>
      <c r="B374" s="244"/>
      <c r="C374" s="244"/>
      <c r="D374" s="244"/>
      <c r="E374" s="244"/>
      <c r="F374" s="244"/>
      <c r="G374" s="244"/>
      <c r="H374" s="244"/>
      <c r="I374" s="244"/>
      <c r="J374" s="244"/>
      <c r="K374" s="244"/>
      <c r="L374" s="244"/>
      <c r="M374" s="244"/>
      <c r="N374" s="244"/>
      <c r="O374" s="244"/>
      <c r="P374" s="244"/>
      <c r="Q374" s="244"/>
      <c r="R374" s="244"/>
      <c r="S374" s="244"/>
      <c r="T374" s="244"/>
      <c r="U374" s="244"/>
      <c r="V374" s="244"/>
      <c r="W374" s="244"/>
      <c r="X374" s="244"/>
      <c r="Y374" s="244"/>
      <c r="Z374" s="244"/>
    </row>
    <row r="375">
      <c r="A375" s="244"/>
      <c r="B375" s="244"/>
      <c r="C375" s="244"/>
      <c r="D375" s="244"/>
      <c r="E375" s="244"/>
      <c r="F375" s="244"/>
      <c r="G375" s="244"/>
      <c r="H375" s="244"/>
      <c r="I375" s="244"/>
      <c r="J375" s="244"/>
      <c r="K375" s="244"/>
      <c r="L375" s="244"/>
      <c r="M375" s="244"/>
      <c r="N375" s="244"/>
      <c r="O375" s="244"/>
      <c r="P375" s="244"/>
      <c r="Q375" s="244"/>
      <c r="R375" s="244"/>
      <c r="S375" s="244"/>
      <c r="T375" s="244"/>
      <c r="U375" s="244"/>
      <c r="V375" s="244"/>
      <c r="W375" s="244"/>
      <c r="X375" s="244"/>
      <c r="Y375" s="244"/>
      <c r="Z375" s="244"/>
    </row>
    <row r="376">
      <c r="A376" s="244"/>
      <c r="B376" s="244"/>
      <c r="C376" s="244"/>
      <c r="D376" s="244"/>
      <c r="E376" s="244"/>
      <c r="F376" s="244"/>
      <c r="G376" s="244"/>
      <c r="H376" s="244"/>
      <c r="I376" s="244"/>
      <c r="J376" s="244"/>
      <c r="K376" s="244"/>
      <c r="L376" s="244"/>
      <c r="M376" s="244"/>
      <c r="N376" s="244"/>
      <c r="O376" s="244"/>
      <c r="P376" s="244"/>
      <c r="Q376" s="244"/>
      <c r="R376" s="244"/>
      <c r="S376" s="244"/>
      <c r="T376" s="244"/>
      <c r="U376" s="244"/>
      <c r="V376" s="244"/>
      <c r="W376" s="244"/>
      <c r="X376" s="244"/>
      <c r="Y376" s="244"/>
      <c r="Z376" s="244"/>
    </row>
    <row r="377">
      <c r="A377" s="244"/>
      <c r="B377" s="244"/>
      <c r="C377" s="244"/>
      <c r="D377" s="244"/>
      <c r="E377" s="244"/>
      <c r="F377" s="244"/>
      <c r="G377" s="244"/>
      <c r="H377" s="244"/>
      <c r="I377" s="244"/>
      <c r="J377" s="244"/>
      <c r="K377" s="244"/>
      <c r="L377" s="244"/>
      <c r="M377" s="244"/>
      <c r="N377" s="244"/>
      <c r="O377" s="244"/>
      <c r="P377" s="244"/>
      <c r="Q377" s="244"/>
      <c r="R377" s="244"/>
      <c r="S377" s="244"/>
      <c r="T377" s="244"/>
      <c r="U377" s="244"/>
      <c r="V377" s="244"/>
      <c r="W377" s="244"/>
      <c r="X377" s="244"/>
      <c r="Y377" s="244"/>
      <c r="Z377" s="244"/>
    </row>
    <row r="378">
      <c r="A378" s="244"/>
      <c r="B378" s="244"/>
      <c r="C378" s="244"/>
      <c r="D378" s="244"/>
      <c r="E378" s="244"/>
      <c r="F378" s="244"/>
      <c r="G378" s="244"/>
      <c r="H378" s="244"/>
      <c r="I378" s="244"/>
      <c r="J378" s="244"/>
      <c r="K378" s="244"/>
      <c r="L378" s="244"/>
      <c r="M378" s="244"/>
      <c r="N378" s="244"/>
      <c r="O378" s="244"/>
      <c r="P378" s="244"/>
      <c r="Q378" s="244"/>
      <c r="R378" s="244"/>
      <c r="S378" s="244"/>
      <c r="T378" s="244"/>
      <c r="U378" s="244"/>
      <c r="V378" s="244"/>
      <c r="W378" s="244"/>
      <c r="X378" s="244"/>
      <c r="Y378" s="244"/>
      <c r="Z378" s="244"/>
    </row>
    <row r="379">
      <c r="A379" s="244"/>
      <c r="B379" s="244"/>
      <c r="C379" s="244"/>
      <c r="D379" s="244"/>
      <c r="E379" s="244"/>
      <c r="F379" s="244"/>
      <c r="G379" s="244"/>
      <c r="H379" s="244"/>
      <c r="I379" s="244"/>
      <c r="J379" s="244"/>
      <c r="K379" s="244"/>
      <c r="L379" s="244"/>
      <c r="M379" s="244"/>
      <c r="N379" s="244"/>
      <c r="O379" s="244"/>
      <c r="P379" s="244"/>
      <c r="Q379" s="244"/>
      <c r="R379" s="244"/>
      <c r="S379" s="244"/>
      <c r="T379" s="244"/>
      <c r="U379" s="244"/>
      <c r="V379" s="244"/>
      <c r="W379" s="244"/>
      <c r="X379" s="244"/>
      <c r="Y379" s="244"/>
      <c r="Z379" s="244"/>
    </row>
    <row r="380">
      <c r="A380" s="244"/>
      <c r="B380" s="244"/>
      <c r="C380" s="244"/>
      <c r="D380" s="244"/>
      <c r="E380" s="244"/>
      <c r="F380" s="244"/>
      <c r="G380" s="244"/>
      <c r="H380" s="244"/>
      <c r="I380" s="244"/>
      <c r="J380" s="244"/>
      <c r="K380" s="244"/>
      <c r="L380" s="244"/>
      <c r="M380" s="244"/>
      <c r="N380" s="244"/>
      <c r="O380" s="244"/>
      <c r="P380" s="244"/>
      <c r="Q380" s="244"/>
      <c r="R380" s="244"/>
      <c r="S380" s="244"/>
      <c r="T380" s="244"/>
      <c r="U380" s="244"/>
      <c r="V380" s="244"/>
      <c r="W380" s="244"/>
      <c r="X380" s="244"/>
      <c r="Y380" s="244"/>
      <c r="Z380" s="244"/>
    </row>
    <row r="381">
      <c r="A381" s="244"/>
      <c r="B381" s="244"/>
      <c r="C381" s="244"/>
      <c r="D381" s="244"/>
      <c r="E381" s="244"/>
      <c r="F381" s="244"/>
      <c r="G381" s="244"/>
      <c r="H381" s="244"/>
      <c r="I381" s="244"/>
      <c r="J381" s="244"/>
      <c r="K381" s="244"/>
      <c r="L381" s="244"/>
      <c r="M381" s="244"/>
      <c r="N381" s="244"/>
      <c r="O381" s="244"/>
      <c r="P381" s="244"/>
      <c r="Q381" s="244"/>
      <c r="R381" s="244"/>
      <c r="S381" s="244"/>
      <c r="T381" s="244"/>
      <c r="U381" s="244"/>
      <c r="V381" s="244"/>
      <c r="W381" s="244"/>
      <c r="X381" s="244"/>
      <c r="Y381" s="244"/>
      <c r="Z381" s="244"/>
    </row>
    <row r="382">
      <c r="A382" s="244"/>
      <c r="B382" s="244"/>
      <c r="C382" s="244"/>
      <c r="D382" s="244"/>
      <c r="E382" s="244"/>
      <c r="F382" s="244"/>
      <c r="G382" s="244"/>
      <c r="H382" s="244"/>
      <c r="I382" s="244"/>
      <c r="J382" s="244"/>
      <c r="K382" s="244"/>
      <c r="L382" s="244"/>
      <c r="M382" s="244"/>
      <c r="N382" s="244"/>
      <c r="O382" s="244"/>
      <c r="P382" s="244"/>
      <c r="Q382" s="244"/>
      <c r="R382" s="244"/>
      <c r="S382" s="244"/>
      <c r="T382" s="244"/>
      <c r="U382" s="244"/>
      <c r="V382" s="244"/>
      <c r="W382" s="244"/>
      <c r="X382" s="244"/>
      <c r="Y382" s="244"/>
      <c r="Z382" s="244"/>
    </row>
    <row r="383">
      <c r="A383" s="244"/>
      <c r="B383" s="244"/>
      <c r="C383" s="244"/>
      <c r="D383" s="244"/>
      <c r="E383" s="244"/>
      <c r="F383" s="244"/>
      <c r="G383" s="244"/>
      <c r="H383" s="244"/>
      <c r="I383" s="244"/>
      <c r="J383" s="244"/>
      <c r="K383" s="244"/>
      <c r="L383" s="244"/>
      <c r="M383" s="244"/>
      <c r="N383" s="244"/>
      <c r="O383" s="244"/>
      <c r="P383" s="244"/>
      <c r="Q383" s="244"/>
      <c r="R383" s="244"/>
      <c r="S383" s="244"/>
      <c r="T383" s="244"/>
      <c r="U383" s="244"/>
      <c r="V383" s="244"/>
      <c r="W383" s="244"/>
      <c r="X383" s="244"/>
      <c r="Y383" s="244"/>
      <c r="Z383" s="244"/>
    </row>
    <row r="384">
      <c r="A384" s="244"/>
      <c r="B384" s="244"/>
      <c r="C384" s="244"/>
      <c r="D384" s="244"/>
      <c r="E384" s="244"/>
      <c r="F384" s="244"/>
      <c r="G384" s="244"/>
      <c r="H384" s="244"/>
      <c r="I384" s="244"/>
      <c r="J384" s="244"/>
      <c r="K384" s="244"/>
      <c r="L384" s="244"/>
      <c r="M384" s="244"/>
      <c r="N384" s="244"/>
      <c r="O384" s="244"/>
      <c r="P384" s="244"/>
      <c r="Q384" s="244"/>
      <c r="R384" s="244"/>
      <c r="S384" s="244"/>
      <c r="T384" s="244"/>
      <c r="U384" s="244"/>
      <c r="V384" s="244"/>
      <c r="W384" s="244"/>
      <c r="X384" s="244"/>
      <c r="Y384" s="244"/>
      <c r="Z384" s="244"/>
    </row>
    <row r="385">
      <c r="A385" s="244"/>
      <c r="B385" s="244"/>
      <c r="C385" s="244"/>
      <c r="D385" s="244"/>
      <c r="E385" s="244"/>
      <c r="F385" s="244"/>
      <c r="G385" s="244"/>
      <c r="H385" s="244"/>
      <c r="I385" s="244"/>
      <c r="J385" s="244"/>
      <c r="K385" s="244"/>
      <c r="L385" s="244"/>
      <c r="M385" s="244"/>
      <c r="N385" s="244"/>
      <c r="O385" s="244"/>
      <c r="P385" s="244"/>
      <c r="Q385" s="244"/>
      <c r="R385" s="244"/>
      <c r="S385" s="244"/>
      <c r="T385" s="244"/>
      <c r="U385" s="244"/>
      <c r="V385" s="244"/>
      <c r="W385" s="244"/>
      <c r="X385" s="244"/>
      <c r="Y385" s="244"/>
      <c r="Z385" s="244"/>
    </row>
    <row r="386">
      <c r="A386" s="244"/>
      <c r="B386" s="244"/>
      <c r="C386" s="244"/>
      <c r="D386" s="244"/>
      <c r="E386" s="244"/>
      <c r="F386" s="244"/>
      <c r="G386" s="244"/>
      <c r="H386" s="244"/>
      <c r="I386" s="244"/>
      <c r="J386" s="244"/>
      <c r="K386" s="244"/>
      <c r="L386" s="244"/>
      <c r="M386" s="244"/>
      <c r="N386" s="244"/>
      <c r="O386" s="244"/>
      <c r="P386" s="244"/>
      <c r="Q386" s="244"/>
      <c r="R386" s="244"/>
      <c r="S386" s="244"/>
      <c r="T386" s="244"/>
      <c r="U386" s="244"/>
      <c r="V386" s="244"/>
      <c r="W386" s="244"/>
      <c r="X386" s="244"/>
      <c r="Y386" s="244"/>
      <c r="Z386" s="244"/>
    </row>
    <row r="387">
      <c r="A387" s="244"/>
      <c r="B387" s="244"/>
      <c r="C387" s="244"/>
      <c r="D387" s="244"/>
      <c r="E387" s="244"/>
      <c r="F387" s="244"/>
      <c r="G387" s="244"/>
      <c r="H387" s="244"/>
      <c r="I387" s="244"/>
      <c r="J387" s="244"/>
      <c r="K387" s="244"/>
      <c r="L387" s="244"/>
      <c r="M387" s="244"/>
      <c r="N387" s="244"/>
      <c r="O387" s="244"/>
      <c r="P387" s="244"/>
      <c r="Q387" s="244"/>
      <c r="R387" s="244"/>
      <c r="S387" s="244"/>
      <c r="T387" s="244"/>
      <c r="U387" s="244"/>
      <c r="V387" s="244"/>
      <c r="W387" s="244"/>
      <c r="X387" s="244"/>
      <c r="Y387" s="244"/>
      <c r="Z387" s="244"/>
    </row>
    <row r="388">
      <c r="A388" s="244"/>
      <c r="B388" s="244"/>
      <c r="C388" s="244"/>
      <c r="D388" s="244"/>
      <c r="E388" s="244"/>
      <c r="F388" s="244"/>
      <c r="G388" s="244"/>
      <c r="H388" s="244"/>
      <c r="I388" s="244"/>
      <c r="J388" s="244"/>
      <c r="K388" s="244"/>
      <c r="L388" s="244"/>
      <c r="M388" s="244"/>
      <c r="N388" s="244"/>
      <c r="O388" s="244"/>
      <c r="P388" s="244"/>
      <c r="Q388" s="244"/>
      <c r="R388" s="244"/>
      <c r="S388" s="244"/>
      <c r="T388" s="244"/>
      <c r="U388" s="244"/>
      <c r="V388" s="244"/>
      <c r="W388" s="244"/>
      <c r="X388" s="244"/>
      <c r="Y388" s="244"/>
      <c r="Z388" s="244"/>
    </row>
    <row r="389">
      <c r="A389" s="244"/>
      <c r="B389" s="244"/>
      <c r="C389" s="244"/>
      <c r="D389" s="244"/>
      <c r="E389" s="244"/>
      <c r="F389" s="244"/>
      <c r="G389" s="244"/>
      <c r="H389" s="244"/>
      <c r="I389" s="244"/>
      <c r="J389" s="244"/>
      <c r="K389" s="244"/>
      <c r="L389" s="244"/>
      <c r="M389" s="244"/>
      <c r="N389" s="244"/>
      <c r="O389" s="244"/>
      <c r="P389" s="244"/>
      <c r="Q389" s="244"/>
      <c r="R389" s="244"/>
      <c r="S389" s="244"/>
      <c r="T389" s="244"/>
      <c r="U389" s="244"/>
      <c r="V389" s="244"/>
      <c r="W389" s="244"/>
      <c r="X389" s="244"/>
      <c r="Y389" s="244"/>
      <c r="Z389" s="244"/>
    </row>
    <row r="390">
      <c r="A390" s="244"/>
      <c r="B390" s="244"/>
      <c r="C390" s="244"/>
      <c r="D390" s="244"/>
      <c r="E390" s="244"/>
      <c r="F390" s="244"/>
      <c r="G390" s="244"/>
      <c r="H390" s="244"/>
      <c r="I390" s="244"/>
      <c r="J390" s="244"/>
      <c r="K390" s="244"/>
      <c r="L390" s="244"/>
      <c r="M390" s="244"/>
      <c r="N390" s="244"/>
      <c r="O390" s="244"/>
      <c r="P390" s="244"/>
      <c r="Q390" s="244"/>
      <c r="R390" s="244"/>
      <c r="S390" s="244"/>
      <c r="T390" s="244"/>
      <c r="U390" s="244"/>
      <c r="V390" s="244"/>
      <c r="W390" s="244"/>
      <c r="X390" s="244"/>
      <c r="Y390" s="244"/>
      <c r="Z390" s="244"/>
    </row>
    <row r="391">
      <c r="A391" s="244"/>
      <c r="B391" s="244"/>
      <c r="C391" s="244"/>
      <c r="D391" s="244"/>
      <c r="E391" s="244"/>
      <c r="F391" s="244"/>
      <c r="G391" s="244"/>
      <c r="H391" s="244"/>
      <c r="I391" s="244"/>
      <c r="J391" s="244"/>
      <c r="K391" s="244"/>
      <c r="L391" s="244"/>
      <c r="M391" s="244"/>
      <c r="N391" s="244"/>
      <c r="O391" s="244"/>
      <c r="P391" s="244"/>
      <c r="Q391" s="244"/>
      <c r="R391" s="244"/>
      <c r="S391" s="244"/>
      <c r="T391" s="244"/>
      <c r="U391" s="244"/>
      <c r="V391" s="244"/>
      <c r="W391" s="244"/>
      <c r="X391" s="244"/>
      <c r="Y391" s="244"/>
      <c r="Z391" s="244"/>
    </row>
    <row r="392">
      <c r="A392" s="244"/>
      <c r="B392" s="244"/>
      <c r="C392" s="244"/>
      <c r="D392" s="244"/>
      <c r="E392" s="244"/>
      <c r="F392" s="244"/>
      <c r="G392" s="244"/>
      <c r="H392" s="244"/>
      <c r="I392" s="244"/>
      <c r="J392" s="244"/>
      <c r="K392" s="244"/>
      <c r="L392" s="244"/>
      <c r="M392" s="244"/>
      <c r="N392" s="244"/>
      <c r="O392" s="244"/>
      <c r="P392" s="244"/>
      <c r="Q392" s="244"/>
      <c r="R392" s="244"/>
      <c r="S392" s="244"/>
      <c r="T392" s="244"/>
      <c r="U392" s="244"/>
      <c r="V392" s="244"/>
      <c r="W392" s="244"/>
      <c r="X392" s="244"/>
      <c r="Y392" s="244"/>
      <c r="Z392" s="244"/>
    </row>
    <row r="393">
      <c r="A393" s="244"/>
      <c r="B393" s="244"/>
      <c r="C393" s="244"/>
      <c r="D393" s="244"/>
      <c r="E393" s="244"/>
      <c r="F393" s="244"/>
      <c r="G393" s="244"/>
      <c r="H393" s="244"/>
      <c r="I393" s="244"/>
      <c r="J393" s="244"/>
      <c r="K393" s="244"/>
      <c r="L393" s="244"/>
      <c r="M393" s="244"/>
      <c r="N393" s="244"/>
      <c r="O393" s="244"/>
      <c r="P393" s="244"/>
      <c r="Q393" s="244"/>
      <c r="R393" s="244"/>
      <c r="S393" s="244"/>
      <c r="T393" s="244"/>
      <c r="U393" s="244"/>
      <c r="V393" s="244"/>
      <c r="W393" s="244"/>
      <c r="X393" s="244"/>
      <c r="Y393" s="244"/>
      <c r="Z393" s="244"/>
    </row>
    <row r="394">
      <c r="A394" s="244"/>
      <c r="B394" s="244"/>
      <c r="C394" s="244"/>
      <c r="D394" s="244"/>
      <c r="E394" s="244"/>
      <c r="F394" s="244"/>
      <c r="G394" s="244"/>
      <c r="H394" s="244"/>
      <c r="I394" s="244"/>
      <c r="J394" s="244"/>
      <c r="K394" s="244"/>
      <c r="L394" s="244"/>
      <c r="M394" s="244"/>
      <c r="N394" s="244"/>
      <c r="O394" s="244"/>
      <c r="P394" s="244"/>
      <c r="Q394" s="244"/>
      <c r="R394" s="244"/>
      <c r="S394" s="244"/>
      <c r="T394" s="244"/>
      <c r="U394" s="244"/>
      <c r="V394" s="244"/>
      <c r="W394" s="244"/>
      <c r="X394" s="244"/>
      <c r="Y394" s="244"/>
      <c r="Z394" s="244"/>
    </row>
    <row r="395">
      <c r="A395" s="244"/>
      <c r="B395" s="244"/>
      <c r="C395" s="244"/>
      <c r="D395" s="244"/>
      <c r="E395" s="244"/>
      <c r="F395" s="244"/>
      <c r="G395" s="244"/>
      <c r="H395" s="244"/>
      <c r="I395" s="244"/>
      <c r="J395" s="244"/>
      <c r="K395" s="244"/>
      <c r="L395" s="244"/>
      <c r="M395" s="244"/>
      <c r="N395" s="244"/>
      <c r="O395" s="244"/>
      <c r="P395" s="244"/>
      <c r="Q395" s="244"/>
      <c r="R395" s="244"/>
      <c r="S395" s="244"/>
      <c r="T395" s="244"/>
      <c r="U395" s="244"/>
      <c r="V395" s="244"/>
      <c r="W395" s="244"/>
      <c r="X395" s="244"/>
      <c r="Y395" s="244"/>
      <c r="Z395" s="244"/>
    </row>
    <row r="396">
      <c r="A396" s="244"/>
      <c r="B396" s="244"/>
      <c r="C396" s="244"/>
      <c r="D396" s="244"/>
      <c r="E396" s="244"/>
      <c r="F396" s="244"/>
      <c r="G396" s="244"/>
      <c r="H396" s="244"/>
      <c r="I396" s="244"/>
      <c r="J396" s="244"/>
      <c r="K396" s="244"/>
      <c r="L396" s="244"/>
      <c r="M396" s="244"/>
      <c r="N396" s="244"/>
      <c r="O396" s="244"/>
      <c r="P396" s="244"/>
      <c r="Q396" s="244"/>
      <c r="R396" s="244"/>
      <c r="S396" s="244"/>
      <c r="T396" s="244"/>
      <c r="U396" s="244"/>
      <c r="V396" s="244"/>
      <c r="W396" s="244"/>
      <c r="X396" s="244"/>
      <c r="Y396" s="244"/>
      <c r="Z396" s="244"/>
    </row>
    <row r="397">
      <c r="A397" s="244"/>
      <c r="B397" s="244"/>
      <c r="C397" s="244"/>
      <c r="D397" s="244"/>
      <c r="E397" s="244"/>
      <c r="F397" s="244"/>
      <c r="G397" s="244"/>
      <c r="H397" s="244"/>
      <c r="I397" s="244"/>
      <c r="J397" s="244"/>
      <c r="K397" s="244"/>
      <c r="L397" s="244"/>
      <c r="M397" s="244"/>
      <c r="N397" s="244"/>
      <c r="O397" s="244"/>
      <c r="P397" s="244"/>
      <c r="Q397" s="244"/>
      <c r="R397" s="244"/>
      <c r="S397" s="244"/>
      <c r="T397" s="244"/>
      <c r="U397" s="244"/>
      <c r="V397" s="244"/>
      <c r="W397" s="244"/>
      <c r="X397" s="244"/>
      <c r="Y397" s="244"/>
      <c r="Z397" s="244"/>
    </row>
    <row r="398">
      <c r="A398" s="244"/>
      <c r="B398" s="244"/>
      <c r="C398" s="244"/>
      <c r="D398" s="244"/>
      <c r="E398" s="244"/>
      <c r="F398" s="244"/>
      <c r="G398" s="244"/>
      <c r="H398" s="244"/>
      <c r="I398" s="244"/>
      <c r="J398" s="244"/>
      <c r="K398" s="244"/>
      <c r="L398" s="244"/>
      <c r="M398" s="244"/>
      <c r="N398" s="244"/>
      <c r="O398" s="244"/>
      <c r="P398" s="244"/>
      <c r="Q398" s="244"/>
      <c r="R398" s="244"/>
      <c r="S398" s="244"/>
      <c r="T398" s="244"/>
      <c r="U398" s="244"/>
      <c r="V398" s="244"/>
      <c r="W398" s="244"/>
      <c r="X398" s="244"/>
      <c r="Y398" s="244"/>
      <c r="Z398" s="244"/>
    </row>
    <row r="399">
      <c r="A399" s="244"/>
      <c r="B399" s="244"/>
      <c r="C399" s="244"/>
      <c r="D399" s="244"/>
      <c r="E399" s="244"/>
      <c r="F399" s="244"/>
      <c r="G399" s="244"/>
      <c r="H399" s="244"/>
      <c r="I399" s="244"/>
      <c r="J399" s="244"/>
      <c r="K399" s="244"/>
      <c r="L399" s="244"/>
      <c r="M399" s="244"/>
      <c r="N399" s="244"/>
      <c r="O399" s="244"/>
      <c r="P399" s="244"/>
      <c r="Q399" s="244"/>
      <c r="R399" s="244"/>
      <c r="S399" s="244"/>
      <c r="T399" s="244"/>
      <c r="U399" s="244"/>
      <c r="V399" s="244"/>
      <c r="W399" s="244"/>
      <c r="X399" s="244"/>
      <c r="Y399" s="244"/>
      <c r="Z399" s="244"/>
    </row>
    <row r="400">
      <c r="A400" s="244"/>
      <c r="B400" s="244"/>
      <c r="C400" s="244"/>
      <c r="D400" s="244"/>
      <c r="E400" s="244"/>
      <c r="F400" s="244"/>
      <c r="G400" s="244"/>
      <c r="H400" s="244"/>
      <c r="I400" s="244"/>
      <c r="J400" s="244"/>
      <c r="K400" s="244"/>
      <c r="L400" s="244"/>
      <c r="M400" s="244"/>
      <c r="N400" s="244"/>
      <c r="O400" s="244"/>
      <c r="P400" s="244"/>
      <c r="Q400" s="244"/>
      <c r="R400" s="244"/>
      <c r="S400" s="244"/>
      <c r="T400" s="244"/>
      <c r="U400" s="244"/>
      <c r="V400" s="244"/>
      <c r="W400" s="244"/>
      <c r="X400" s="244"/>
      <c r="Y400" s="244"/>
      <c r="Z400" s="244"/>
    </row>
    <row r="401">
      <c r="A401" s="244"/>
      <c r="B401" s="244"/>
      <c r="C401" s="244"/>
      <c r="D401" s="244"/>
      <c r="E401" s="244"/>
      <c r="F401" s="244"/>
      <c r="G401" s="244"/>
      <c r="H401" s="244"/>
      <c r="I401" s="244"/>
      <c r="J401" s="244"/>
      <c r="K401" s="244"/>
      <c r="L401" s="244"/>
      <c r="M401" s="244"/>
      <c r="N401" s="244"/>
      <c r="O401" s="244"/>
      <c r="P401" s="244"/>
      <c r="Q401" s="244"/>
      <c r="R401" s="244"/>
      <c r="S401" s="244"/>
      <c r="T401" s="244"/>
      <c r="U401" s="244"/>
      <c r="V401" s="244"/>
      <c r="W401" s="244"/>
      <c r="X401" s="244"/>
      <c r="Y401" s="244"/>
      <c r="Z401" s="244"/>
    </row>
    <row r="402">
      <c r="A402" s="244"/>
      <c r="B402" s="244"/>
      <c r="C402" s="244"/>
      <c r="D402" s="244"/>
      <c r="E402" s="244"/>
      <c r="F402" s="244"/>
      <c r="G402" s="244"/>
      <c r="H402" s="244"/>
      <c r="I402" s="244"/>
      <c r="J402" s="244"/>
      <c r="K402" s="244"/>
      <c r="L402" s="244"/>
      <c r="M402" s="244"/>
      <c r="N402" s="244"/>
      <c r="O402" s="244"/>
      <c r="P402" s="244"/>
      <c r="Q402" s="244"/>
      <c r="R402" s="244"/>
      <c r="S402" s="244"/>
      <c r="T402" s="244"/>
      <c r="U402" s="244"/>
      <c r="V402" s="244"/>
      <c r="W402" s="244"/>
      <c r="X402" s="244"/>
      <c r="Y402" s="244"/>
      <c r="Z402" s="244"/>
    </row>
    <row r="403">
      <c r="A403" s="244"/>
      <c r="B403" s="244"/>
      <c r="C403" s="244"/>
      <c r="D403" s="244"/>
      <c r="E403" s="244"/>
      <c r="F403" s="244"/>
      <c r="G403" s="244"/>
      <c r="H403" s="244"/>
      <c r="I403" s="244"/>
      <c r="J403" s="244"/>
      <c r="K403" s="244"/>
      <c r="L403" s="244"/>
      <c r="M403" s="244"/>
      <c r="N403" s="244"/>
      <c r="O403" s="244"/>
      <c r="P403" s="244"/>
      <c r="Q403" s="244"/>
      <c r="R403" s="244"/>
      <c r="S403" s="244"/>
      <c r="T403" s="244"/>
      <c r="U403" s="244"/>
      <c r="V403" s="244"/>
      <c r="W403" s="244"/>
      <c r="X403" s="244"/>
      <c r="Y403" s="244"/>
      <c r="Z403" s="244"/>
    </row>
    <row r="404">
      <c r="A404" s="244"/>
      <c r="B404" s="244"/>
      <c r="C404" s="244"/>
      <c r="D404" s="244"/>
      <c r="E404" s="244"/>
      <c r="F404" s="244"/>
      <c r="G404" s="244"/>
      <c r="H404" s="244"/>
      <c r="I404" s="244"/>
      <c r="J404" s="244"/>
      <c r="K404" s="244"/>
      <c r="L404" s="244"/>
      <c r="M404" s="244"/>
      <c r="N404" s="244"/>
      <c r="O404" s="244"/>
      <c r="P404" s="244"/>
      <c r="Q404" s="244"/>
      <c r="R404" s="244"/>
      <c r="S404" s="244"/>
      <c r="T404" s="244"/>
      <c r="U404" s="244"/>
      <c r="V404" s="244"/>
      <c r="W404" s="244"/>
      <c r="X404" s="244"/>
      <c r="Y404" s="244"/>
      <c r="Z404" s="244"/>
    </row>
    <row r="405">
      <c r="A405" s="244"/>
      <c r="B405" s="244"/>
      <c r="C405" s="244"/>
      <c r="D405" s="244"/>
      <c r="E405" s="244"/>
      <c r="F405" s="244"/>
      <c r="G405" s="244"/>
      <c r="H405" s="244"/>
      <c r="I405" s="244"/>
      <c r="J405" s="244"/>
      <c r="K405" s="244"/>
      <c r="L405" s="244"/>
      <c r="M405" s="244"/>
      <c r="N405" s="244"/>
      <c r="O405" s="244"/>
      <c r="P405" s="244"/>
      <c r="Q405" s="244"/>
      <c r="R405" s="244"/>
      <c r="S405" s="244"/>
      <c r="T405" s="244"/>
      <c r="U405" s="244"/>
      <c r="V405" s="244"/>
      <c r="W405" s="244"/>
      <c r="X405" s="244"/>
      <c r="Y405" s="244"/>
      <c r="Z405" s="244"/>
    </row>
    <row r="406">
      <c r="A406" s="244"/>
      <c r="B406" s="244"/>
      <c r="C406" s="244"/>
      <c r="D406" s="244"/>
      <c r="E406" s="244"/>
      <c r="F406" s="244"/>
      <c r="G406" s="244"/>
      <c r="H406" s="244"/>
      <c r="I406" s="244"/>
      <c r="J406" s="244"/>
      <c r="K406" s="244"/>
      <c r="L406" s="244"/>
      <c r="M406" s="244"/>
      <c r="N406" s="244"/>
      <c r="O406" s="244"/>
      <c r="P406" s="244"/>
      <c r="Q406" s="244"/>
      <c r="R406" s="244"/>
      <c r="S406" s="244"/>
      <c r="T406" s="244"/>
      <c r="U406" s="244"/>
      <c r="V406" s="244"/>
      <c r="W406" s="244"/>
      <c r="X406" s="244"/>
      <c r="Y406" s="244"/>
      <c r="Z406" s="244"/>
    </row>
    <row r="407">
      <c r="A407" s="244"/>
      <c r="B407" s="244"/>
      <c r="C407" s="244"/>
      <c r="D407" s="244"/>
      <c r="E407" s="244"/>
      <c r="F407" s="244"/>
      <c r="G407" s="244"/>
      <c r="H407" s="244"/>
      <c r="I407" s="244"/>
      <c r="J407" s="244"/>
      <c r="K407" s="244"/>
      <c r="L407" s="244"/>
      <c r="M407" s="244"/>
      <c r="N407" s="244"/>
      <c r="O407" s="244"/>
      <c r="P407" s="244"/>
      <c r="Q407" s="244"/>
      <c r="R407" s="244"/>
      <c r="S407" s="244"/>
      <c r="T407" s="244"/>
      <c r="U407" s="244"/>
      <c r="V407" s="244"/>
      <c r="W407" s="244"/>
      <c r="X407" s="244"/>
      <c r="Y407" s="244"/>
      <c r="Z407" s="244"/>
    </row>
    <row r="408">
      <c r="A408" s="244"/>
      <c r="B408" s="244"/>
      <c r="C408" s="244"/>
      <c r="D408" s="244"/>
      <c r="E408" s="244"/>
      <c r="F408" s="244"/>
      <c r="G408" s="244"/>
      <c r="H408" s="244"/>
      <c r="I408" s="244"/>
      <c r="J408" s="244"/>
      <c r="K408" s="244"/>
      <c r="L408" s="244"/>
      <c r="M408" s="244"/>
      <c r="N408" s="244"/>
      <c r="O408" s="244"/>
      <c r="P408" s="244"/>
      <c r="Q408" s="244"/>
      <c r="R408" s="244"/>
      <c r="S408" s="244"/>
      <c r="T408" s="244"/>
      <c r="U408" s="244"/>
      <c r="V408" s="244"/>
      <c r="W408" s="244"/>
      <c r="X408" s="244"/>
      <c r="Y408" s="244"/>
      <c r="Z408" s="244"/>
    </row>
    <row r="409">
      <c r="A409" s="244"/>
      <c r="B409" s="244"/>
      <c r="C409" s="244"/>
      <c r="D409" s="244"/>
      <c r="E409" s="244"/>
      <c r="F409" s="244"/>
      <c r="G409" s="244"/>
      <c r="H409" s="244"/>
      <c r="I409" s="244"/>
      <c r="J409" s="244"/>
      <c r="K409" s="244"/>
      <c r="L409" s="244"/>
      <c r="M409" s="244"/>
      <c r="N409" s="244"/>
      <c r="O409" s="244"/>
      <c r="P409" s="244"/>
      <c r="Q409" s="244"/>
      <c r="R409" s="244"/>
      <c r="S409" s="244"/>
      <c r="T409" s="244"/>
      <c r="U409" s="244"/>
      <c r="V409" s="244"/>
      <c r="W409" s="244"/>
      <c r="X409" s="244"/>
      <c r="Y409" s="244"/>
      <c r="Z409" s="244"/>
    </row>
    <row r="410">
      <c r="A410" s="244"/>
      <c r="B410" s="244"/>
      <c r="C410" s="244"/>
      <c r="D410" s="244"/>
      <c r="E410" s="244"/>
      <c r="F410" s="244"/>
      <c r="G410" s="244"/>
      <c r="H410" s="244"/>
      <c r="I410" s="244"/>
      <c r="J410" s="244"/>
      <c r="K410" s="244"/>
      <c r="L410" s="244"/>
      <c r="M410" s="244"/>
      <c r="N410" s="244"/>
      <c r="O410" s="244"/>
      <c r="P410" s="244"/>
      <c r="Q410" s="244"/>
      <c r="R410" s="244"/>
      <c r="S410" s="244"/>
      <c r="T410" s="244"/>
      <c r="U410" s="244"/>
      <c r="V410" s="244"/>
      <c r="W410" s="244"/>
      <c r="X410" s="244"/>
      <c r="Y410" s="244"/>
      <c r="Z410" s="244"/>
    </row>
    <row r="411">
      <c r="A411" s="244"/>
      <c r="B411" s="244"/>
      <c r="C411" s="244"/>
      <c r="D411" s="244"/>
      <c r="E411" s="244"/>
      <c r="F411" s="244"/>
      <c r="G411" s="244"/>
      <c r="H411" s="244"/>
      <c r="I411" s="244"/>
      <c r="J411" s="244"/>
      <c r="K411" s="244"/>
      <c r="L411" s="244"/>
      <c r="M411" s="244"/>
      <c r="N411" s="244"/>
      <c r="O411" s="244"/>
      <c r="P411" s="244"/>
      <c r="Q411" s="244"/>
      <c r="R411" s="244"/>
      <c r="S411" s="244"/>
      <c r="T411" s="244"/>
      <c r="U411" s="244"/>
      <c r="V411" s="244"/>
      <c r="W411" s="244"/>
      <c r="X411" s="244"/>
      <c r="Y411" s="244"/>
      <c r="Z411" s="244"/>
    </row>
    <row r="412">
      <c r="A412" s="244"/>
      <c r="B412" s="244"/>
      <c r="C412" s="244"/>
      <c r="D412" s="244"/>
      <c r="E412" s="244"/>
      <c r="F412" s="244"/>
      <c r="G412" s="244"/>
      <c r="H412" s="244"/>
      <c r="I412" s="244"/>
      <c r="J412" s="244"/>
      <c r="K412" s="244"/>
      <c r="L412" s="244"/>
      <c r="M412" s="244"/>
      <c r="N412" s="244"/>
      <c r="O412" s="244"/>
      <c r="P412" s="244"/>
      <c r="Q412" s="244"/>
      <c r="R412" s="244"/>
      <c r="S412" s="244"/>
      <c r="T412" s="244"/>
      <c r="U412" s="244"/>
      <c r="V412" s="244"/>
      <c r="W412" s="244"/>
      <c r="X412" s="244"/>
      <c r="Y412" s="244"/>
      <c r="Z412" s="244"/>
    </row>
    <row r="413">
      <c r="A413" s="244"/>
      <c r="B413" s="244"/>
      <c r="C413" s="244"/>
      <c r="D413" s="244"/>
      <c r="E413" s="244"/>
      <c r="F413" s="244"/>
      <c r="G413" s="244"/>
      <c r="H413" s="244"/>
      <c r="I413" s="244"/>
      <c r="J413" s="244"/>
      <c r="K413" s="244"/>
      <c r="L413" s="244"/>
      <c r="M413" s="244"/>
      <c r="N413" s="244"/>
      <c r="O413" s="244"/>
      <c r="P413" s="244"/>
      <c r="Q413" s="244"/>
      <c r="R413" s="244"/>
      <c r="S413" s="244"/>
      <c r="T413" s="244"/>
      <c r="U413" s="244"/>
      <c r="V413" s="244"/>
      <c r="W413" s="244"/>
      <c r="X413" s="244"/>
      <c r="Y413" s="244"/>
      <c r="Z413" s="244"/>
    </row>
    <row r="414">
      <c r="A414" s="244"/>
      <c r="B414" s="244"/>
      <c r="C414" s="244"/>
      <c r="D414" s="244"/>
      <c r="E414" s="244"/>
      <c r="F414" s="244"/>
      <c r="G414" s="244"/>
      <c r="H414" s="244"/>
      <c r="I414" s="244"/>
      <c r="J414" s="244"/>
      <c r="K414" s="244"/>
      <c r="L414" s="244"/>
      <c r="M414" s="244"/>
      <c r="N414" s="244"/>
      <c r="O414" s="244"/>
      <c r="P414" s="244"/>
      <c r="Q414" s="244"/>
      <c r="R414" s="244"/>
      <c r="S414" s="244"/>
      <c r="T414" s="244"/>
      <c r="U414" s="244"/>
      <c r="V414" s="244"/>
      <c r="W414" s="244"/>
      <c r="X414" s="244"/>
      <c r="Y414" s="244"/>
      <c r="Z414" s="244"/>
    </row>
    <row r="415">
      <c r="A415" s="244"/>
      <c r="B415" s="244"/>
      <c r="C415" s="244"/>
      <c r="D415" s="244"/>
      <c r="E415" s="244"/>
      <c r="F415" s="244"/>
      <c r="G415" s="244"/>
      <c r="H415" s="244"/>
      <c r="I415" s="244"/>
      <c r="J415" s="244"/>
      <c r="K415" s="244"/>
      <c r="L415" s="244"/>
      <c r="M415" s="244"/>
      <c r="N415" s="244"/>
      <c r="O415" s="244"/>
      <c r="P415" s="244"/>
      <c r="Q415" s="244"/>
      <c r="R415" s="244"/>
      <c r="S415" s="244"/>
      <c r="T415" s="244"/>
      <c r="U415" s="244"/>
      <c r="V415" s="244"/>
      <c r="W415" s="244"/>
      <c r="X415" s="244"/>
      <c r="Y415" s="244"/>
      <c r="Z415" s="244"/>
    </row>
    <row r="416">
      <c r="A416" s="244"/>
      <c r="B416" s="244"/>
      <c r="C416" s="244"/>
      <c r="D416" s="244"/>
      <c r="E416" s="244"/>
      <c r="F416" s="244"/>
      <c r="G416" s="244"/>
      <c r="H416" s="244"/>
      <c r="I416" s="244"/>
      <c r="J416" s="244"/>
      <c r="K416" s="244"/>
      <c r="L416" s="244"/>
      <c r="M416" s="244"/>
      <c r="N416" s="244"/>
      <c r="O416" s="244"/>
      <c r="P416" s="244"/>
      <c r="Q416" s="244"/>
      <c r="R416" s="244"/>
      <c r="S416" s="244"/>
      <c r="T416" s="244"/>
      <c r="U416" s="244"/>
      <c r="V416" s="244"/>
      <c r="W416" s="244"/>
      <c r="X416" s="244"/>
      <c r="Y416" s="244"/>
      <c r="Z416" s="244"/>
    </row>
    <row r="417">
      <c r="A417" s="244"/>
      <c r="B417" s="244"/>
      <c r="C417" s="244"/>
      <c r="D417" s="244"/>
      <c r="E417" s="244"/>
      <c r="F417" s="244"/>
      <c r="G417" s="244"/>
      <c r="H417" s="244"/>
      <c r="I417" s="244"/>
      <c r="J417" s="244"/>
      <c r="K417" s="244"/>
      <c r="L417" s="244"/>
      <c r="M417" s="244"/>
      <c r="N417" s="244"/>
      <c r="O417" s="244"/>
      <c r="P417" s="244"/>
      <c r="Q417" s="244"/>
      <c r="R417" s="244"/>
      <c r="S417" s="244"/>
      <c r="T417" s="244"/>
      <c r="U417" s="244"/>
      <c r="V417" s="244"/>
      <c r="W417" s="244"/>
      <c r="X417" s="244"/>
      <c r="Y417" s="244"/>
      <c r="Z417" s="244"/>
    </row>
    <row r="418">
      <c r="A418" s="244"/>
      <c r="B418" s="244"/>
      <c r="C418" s="244"/>
      <c r="D418" s="244"/>
      <c r="E418" s="244"/>
      <c r="F418" s="244"/>
      <c r="G418" s="244"/>
      <c r="H418" s="244"/>
      <c r="I418" s="244"/>
      <c r="J418" s="244"/>
      <c r="K418" s="244"/>
      <c r="L418" s="244"/>
      <c r="M418" s="244"/>
      <c r="N418" s="244"/>
      <c r="O418" s="244"/>
      <c r="P418" s="244"/>
      <c r="Q418" s="244"/>
      <c r="R418" s="244"/>
      <c r="S418" s="244"/>
      <c r="T418" s="244"/>
      <c r="U418" s="244"/>
      <c r="V418" s="244"/>
      <c r="W418" s="244"/>
      <c r="X418" s="244"/>
      <c r="Y418" s="244"/>
      <c r="Z418" s="244"/>
    </row>
    <row r="419">
      <c r="A419" s="244"/>
      <c r="B419" s="244"/>
      <c r="C419" s="244"/>
      <c r="D419" s="244"/>
      <c r="E419" s="244"/>
      <c r="F419" s="244"/>
      <c r="G419" s="244"/>
      <c r="H419" s="244"/>
      <c r="I419" s="244"/>
      <c r="J419" s="244"/>
      <c r="K419" s="244"/>
      <c r="L419" s="244"/>
      <c r="M419" s="244"/>
      <c r="N419" s="244"/>
      <c r="O419" s="244"/>
      <c r="P419" s="244"/>
      <c r="Q419" s="244"/>
      <c r="R419" s="244"/>
      <c r="S419" s="244"/>
      <c r="T419" s="244"/>
      <c r="U419" s="244"/>
      <c r="V419" s="244"/>
      <c r="W419" s="244"/>
      <c r="X419" s="244"/>
      <c r="Y419" s="244"/>
      <c r="Z419" s="244"/>
    </row>
    <row r="420">
      <c r="A420" s="244"/>
      <c r="B420" s="244"/>
      <c r="C420" s="244"/>
      <c r="D420" s="244"/>
      <c r="E420" s="244"/>
      <c r="F420" s="244"/>
      <c r="G420" s="244"/>
      <c r="H420" s="244"/>
      <c r="I420" s="244"/>
      <c r="J420" s="244"/>
      <c r="K420" s="244"/>
      <c r="L420" s="244"/>
      <c r="M420" s="244"/>
      <c r="N420" s="244"/>
      <c r="O420" s="244"/>
      <c r="P420" s="244"/>
      <c r="Q420" s="244"/>
      <c r="R420" s="244"/>
      <c r="S420" s="244"/>
      <c r="T420" s="244"/>
      <c r="U420" s="244"/>
      <c r="V420" s="244"/>
      <c r="W420" s="244"/>
      <c r="X420" s="244"/>
      <c r="Y420" s="244"/>
      <c r="Z420" s="244"/>
    </row>
    <row r="421">
      <c r="A421" s="244"/>
      <c r="B421" s="244"/>
      <c r="C421" s="244"/>
      <c r="D421" s="244"/>
      <c r="E421" s="244"/>
      <c r="F421" s="244"/>
      <c r="G421" s="244"/>
      <c r="H421" s="244"/>
      <c r="I421" s="244"/>
      <c r="J421" s="244"/>
      <c r="K421" s="244"/>
      <c r="L421" s="244"/>
      <c r="M421" s="244"/>
      <c r="N421" s="244"/>
      <c r="O421" s="244"/>
      <c r="P421" s="244"/>
      <c r="Q421" s="244"/>
      <c r="R421" s="244"/>
      <c r="S421" s="244"/>
      <c r="T421" s="244"/>
      <c r="U421" s="244"/>
      <c r="V421" s="244"/>
      <c r="W421" s="244"/>
      <c r="X421" s="244"/>
      <c r="Y421" s="244"/>
      <c r="Z421" s="244"/>
    </row>
    <row r="422">
      <c r="A422" s="244"/>
      <c r="B422" s="244"/>
      <c r="C422" s="244"/>
      <c r="D422" s="244"/>
      <c r="E422" s="244"/>
      <c r="F422" s="244"/>
      <c r="G422" s="244"/>
      <c r="H422" s="244"/>
      <c r="I422" s="244"/>
      <c r="J422" s="244"/>
      <c r="K422" s="244"/>
      <c r="L422" s="244"/>
      <c r="M422" s="244"/>
      <c r="N422" s="244"/>
      <c r="O422" s="244"/>
      <c r="P422" s="244"/>
      <c r="Q422" s="244"/>
      <c r="R422" s="244"/>
      <c r="S422" s="244"/>
      <c r="T422" s="244"/>
      <c r="U422" s="244"/>
      <c r="V422" s="244"/>
      <c r="W422" s="244"/>
      <c r="X422" s="244"/>
      <c r="Y422" s="244"/>
      <c r="Z422" s="244"/>
    </row>
    <row r="423">
      <c r="A423" s="244"/>
      <c r="B423" s="244"/>
      <c r="C423" s="244"/>
      <c r="D423" s="244"/>
      <c r="E423" s="244"/>
      <c r="F423" s="244"/>
      <c r="G423" s="244"/>
      <c r="H423" s="244"/>
      <c r="I423" s="244"/>
      <c r="J423" s="244"/>
      <c r="K423" s="244"/>
      <c r="L423" s="244"/>
      <c r="M423" s="244"/>
      <c r="N423" s="244"/>
      <c r="O423" s="244"/>
      <c r="P423" s="244"/>
      <c r="Q423" s="244"/>
      <c r="R423" s="244"/>
      <c r="S423" s="244"/>
      <c r="T423" s="244"/>
      <c r="U423" s="244"/>
      <c r="V423" s="244"/>
      <c r="W423" s="244"/>
      <c r="X423" s="244"/>
      <c r="Y423" s="244"/>
      <c r="Z423" s="244"/>
    </row>
    <row r="424">
      <c r="A424" s="244"/>
      <c r="B424" s="244"/>
      <c r="C424" s="244"/>
      <c r="D424" s="244"/>
      <c r="E424" s="244"/>
      <c r="F424" s="244"/>
      <c r="G424" s="244"/>
      <c r="H424" s="244"/>
      <c r="I424" s="244"/>
      <c r="J424" s="244"/>
      <c r="K424" s="244"/>
      <c r="L424" s="244"/>
      <c r="M424" s="244"/>
      <c r="N424" s="244"/>
      <c r="O424" s="244"/>
      <c r="P424" s="244"/>
      <c r="Q424" s="244"/>
      <c r="R424" s="244"/>
      <c r="S424" s="244"/>
      <c r="T424" s="244"/>
      <c r="U424" s="244"/>
      <c r="V424" s="244"/>
      <c r="W424" s="244"/>
      <c r="X424" s="244"/>
      <c r="Y424" s="244"/>
      <c r="Z424" s="244"/>
    </row>
    <row r="425">
      <c r="A425" s="244"/>
      <c r="B425" s="244"/>
      <c r="C425" s="244"/>
      <c r="D425" s="244"/>
      <c r="E425" s="244"/>
      <c r="F425" s="244"/>
      <c r="G425" s="244"/>
      <c r="H425" s="244"/>
      <c r="I425" s="244"/>
      <c r="J425" s="244"/>
      <c r="K425" s="244"/>
      <c r="L425" s="244"/>
      <c r="M425" s="244"/>
      <c r="N425" s="244"/>
      <c r="O425" s="244"/>
      <c r="P425" s="244"/>
      <c r="Q425" s="244"/>
      <c r="R425" s="244"/>
      <c r="S425" s="244"/>
      <c r="T425" s="244"/>
      <c r="U425" s="244"/>
      <c r="V425" s="244"/>
      <c r="W425" s="244"/>
      <c r="X425" s="244"/>
      <c r="Y425" s="244"/>
      <c r="Z425" s="244"/>
    </row>
    <row r="426">
      <c r="A426" s="244"/>
      <c r="B426" s="244"/>
      <c r="C426" s="244"/>
      <c r="D426" s="244"/>
      <c r="E426" s="244"/>
      <c r="F426" s="244"/>
      <c r="G426" s="244"/>
      <c r="H426" s="244"/>
      <c r="I426" s="244"/>
      <c r="J426" s="244"/>
      <c r="K426" s="244"/>
      <c r="L426" s="244"/>
      <c r="M426" s="244"/>
      <c r="N426" s="244"/>
      <c r="O426" s="244"/>
      <c r="P426" s="244"/>
      <c r="Q426" s="244"/>
      <c r="R426" s="244"/>
      <c r="S426" s="244"/>
      <c r="T426" s="244"/>
      <c r="U426" s="244"/>
      <c r="V426" s="244"/>
      <c r="W426" s="244"/>
      <c r="X426" s="244"/>
      <c r="Y426" s="244"/>
      <c r="Z426" s="244"/>
    </row>
    <row r="427">
      <c r="A427" s="244"/>
      <c r="B427" s="244"/>
      <c r="C427" s="244"/>
      <c r="D427" s="244"/>
      <c r="E427" s="244"/>
      <c r="F427" s="244"/>
      <c r="G427" s="244"/>
      <c r="H427" s="244"/>
      <c r="I427" s="244"/>
      <c r="J427" s="244"/>
      <c r="K427" s="244"/>
      <c r="L427" s="244"/>
      <c r="M427" s="244"/>
      <c r="N427" s="244"/>
      <c r="O427" s="244"/>
      <c r="P427" s="244"/>
      <c r="Q427" s="244"/>
      <c r="R427" s="244"/>
      <c r="S427" s="244"/>
      <c r="T427" s="244"/>
      <c r="U427" s="244"/>
      <c r="V427" s="244"/>
      <c r="W427" s="244"/>
      <c r="X427" s="244"/>
      <c r="Y427" s="244"/>
      <c r="Z427" s="244"/>
    </row>
    <row r="428">
      <c r="A428" s="244"/>
      <c r="B428" s="244"/>
      <c r="C428" s="244"/>
      <c r="D428" s="244"/>
      <c r="E428" s="244"/>
      <c r="F428" s="244"/>
      <c r="G428" s="244"/>
      <c r="H428" s="244"/>
      <c r="I428" s="244"/>
      <c r="J428" s="244"/>
      <c r="K428" s="244"/>
      <c r="L428" s="244"/>
      <c r="M428" s="244"/>
      <c r="N428" s="244"/>
      <c r="O428" s="244"/>
      <c r="P428" s="244"/>
      <c r="Q428" s="244"/>
      <c r="R428" s="244"/>
      <c r="S428" s="244"/>
      <c r="T428" s="244"/>
      <c r="U428" s="244"/>
      <c r="V428" s="244"/>
      <c r="W428" s="244"/>
      <c r="X428" s="244"/>
      <c r="Y428" s="244"/>
      <c r="Z428" s="244"/>
    </row>
    <row r="429">
      <c r="A429" s="244"/>
      <c r="B429" s="244"/>
      <c r="C429" s="244"/>
      <c r="D429" s="244"/>
      <c r="E429" s="244"/>
      <c r="F429" s="244"/>
      <c r="G429" s="244"/>
      <c r="H429" s="244"/>
      <c r="I429" s="244"/>
      <c r="J429" s="244"/>
      <c r="K429" s="244"/>
      <c r="L429" s="244"/>
      <c r="M429" s="244"/>
      <c r="N429" s="244"/>
      <c r="O429" s="244"/>
      <c r="P429" s="244"/>
      <c r="Q429" s="244"/>
      <c r="R429" s="244"/>
      <c r="S429" s="244"/>
      <c r="T429" s="244"/>
      <c r="U429" s="244"/>
      <c r="V429" s="244"/>
      <c r="W429" s="244"/>
      <c r="X429" s="244"/>
      <c r="Y429" s="244"/>
      <c r="Z429" s="244"/>
    </row>
    <row r="430">
      <c r="A430" s="244"/>
      <c r="B430" s="244"/>
      <c r="C430" s="244"/>
      <c r="D430" s="244"/>
      <c r="E430" s="244"/>
      <c r="F430" s="244"/>
      <c r="G430" s="244"/>
      <c r="H430" s="244"/>
      <c r="I430" s="244"/>
      <c r="J430" s="244"/>
      <c r="K430" s="244"/>
      <c r="L430" s="244"/>
      <c r="M430" s="244"/>
      <c r="N430" s="244"/>
      <c r="O430" s="244"/>
      <c r="P430" s="244"/>
      <c r="Q430" s="244"/>
      <c r="R430" s="244"/>
      <c r="S430" s="244"/>
      <c r="T430" s="244"/>
      <c r="U430" s="244"/>
      <c r="V430" s="244"/>
      <c r="W430" s="244"/>
      <c r="X430" s="244"/>
      <c r="Y430" s="244"/>
      <c r="Z430" s="244"/>
    </row>
    <row r="431">
      <c r="A431" s="244"/>
      <c r="B431" s="244"/>
      <c r="C431" s="244"/>
      <c r="D431" s="244"/>
      <c r="E431" s="244"/>
      <c r="F431" s="244"/>
      <c r="G431" s="244"/>
      <c r="H431" s="244"/>
      <c r="I431" s="244"/>
      <c r="J431" s="244"/>
      <c r="K431" s="244"/>
      <c r="L431" s="244"/>
      <c r="M431" s="244"/>
      <c r="N431" s="244"/>
      <c r="O431" s="244"/>
      <c r="P431" s="244"/>
      <c r="Q431" s="244"/>
      <c r="R431" s="244"/>
      <c r="S431" s="244"/>
      <c r="T431" s="244"/>
      <c r="U431" s="244"/>
      <c r="V431" s="244"/>
      <c r="W431" s="244"/>
      <c r="X431" s="244"/>
      <c r="Y431" s="244"/>
      <c r="Z431" s="244"/>
    </row>
    <row r="432">
      <c r="A432" s="244"/>
      <c r="B432" s="244"/>
      <c r="C432" s="244"/>
      <c r="D432" s="244"/>
      <c r="E432" s="244"/>
      <c r="F432" s="244"/>
      <c r="G432" s="244"/>
      <c r="H432" s="244"/>
      <c r="I432" s="244"/>
      <c r="J432" s="244"/>
      <c r="K432" s="244"/>
      <c r="L432" s="244"/>
      <c r="M432" s="244"/>
      <c r="N432" s="244"/>
      <c r="O432" s="244"/>
      <c r="P432" s="244"/>
      <c r="Q432" s="244"/>
      <c r="R432" s="244"/>
      <c r="S432" s="244"/>
      <c r="T432" s="244"/>
      <c r="U432" s="244"/>
      <c r="V432" s="244"/>
      <c r="W432" s="244"/>
      <c r="X432" s="244"/>
      <c r="Y432" s="244"/>
      <c r="Z432" s="244"/>
    </row>
    <row r="433">
      <c r="A433" s="244"/>
      <c r="B433" s="244"/>
      <c r="C433" s="244"/>
      <c r="D433" s="244"/>
      <c r="E433" s="244"/>
      <c r="F433" s="244"/>
      <c r="G433" s="244"/>
      <c r="H433" s="244"/>
      <c r="I433" s="244"/>
      <c r="J433" s="244"/>
      <c r="K433" s="244"/>
      <c r="L433" s="244"/>
      <c r="M433" s="244"/>
      <c r="N433" s="244"/>
      <c r="O433" s="244"/>
      <c r="P433" s="244"/>
      <c r="Q433" s="244"/>
      <c r="R433" s="244"/>
      <c r="S433" s="244"/>
      <c r="T433" s="244"/>
      <c r="U433" s="244"/>
      <c r="V433" s="244"/>
      <c r="W433" s="244"/>
      <c r="X433" s="244"/>
      <c r="Y433" s="244"/>
      <c r="Z433" s="244"/>
    </row>
    <row r="434">
      <c r="A434" s="244"/>
      <c r="B434" s="244"/>
      <c r="C434" s="244"/>
      <c r="D434" s="244"/>
      <c r="E434" s="244"/>
      <c r="F434" s="244"/>
      <c r="G434" s="244"/>
      <c r="H434" s="244"/>
      <c r="I434" s="244"/>
      <c r="J434" s="244"/>
      <c r="K434" s="244"/>
      <c r="L434" s="244"/>
      <c r="M434" s="244"/>
      <c r="N434" s="244"/>
      <c r="O434" s="244"/>
      <c r="P434" s="244"/>
      <c r="Q434" s="244"/>
      <c r="R434" s="244"/>
      <c r="S434" s="244"/>
      <c r="T434" s="244"/>
      <c r="U434" s="244"/>
      <c r="V434" s="244"/>
      <c r="W434" s="244"/>
      <c r="X434" s="244"/>
      <c r="Y434" s="244"/>
      <c r="Z434" s="244"/>
    </row>
    <row r="435">
      <c r="A435" s="244"/>
      <c r="B435" s="244"/>
      <c r="C435" s="244"/>
      <c r="D435" s="244"/>
      <c r="E435" s="244"/>
      <c r="F435" s="244"/>
      <c r="G435" s="244"/>
      <c r="H435" s="244"/>
      <c r="I435" s="244"/>
      <c r="J435" s="244"/>
      <c r="K435" s="244"/>
      <c r="L435" s="244"/>
      <c r="M435" s="244"/>
      <c r="N435" s="244"/>
      <c r="O435" s="244"/>
      <c r="P435" s="244"/>
      <c r="Q435" s="244"/>
      <c r="R435" s="244"/>
      <c r="S435" s="244"/>
      <c r="T435" s="244"/>
      <c r="U435" s="244"/>
      <c r="V435" s="244"/>
      <c r="W435" s="244"/>
      <c r="X435" s="244"/>
      <c r="Y435" s="244"/>
      <c r="Z435" s="244"/>
    </row>
    <row r="436">
      <c r="A436" s="244"/>
      <c r="B436" s="244"/>
      <c r="C436" s="244"/>
      <c r="D436" s="244"/>
      <c r="E436" s="244"/>
      <c r="F436" s="244"/>
      <c r="G436" s="244"/>
      <c r="H436" s="244"/>
      <c r="I436" s="244"/>
      <c r="J436" s="244"/>
      <c r="K436" s="244"/>
      <c r="L436" s="244"/>
      <c r="M436" s="244"/>
      <c r="N436" s="244"/>
      <c r="O436" s="244"/>
      <c r="P436" s="244"/>
      <c r="Q436" s="244"/>
      <c r="R436" s="244"/>
      <c r="S436" s="244"/>
      <c r="T436" s="244"/>
      <c r="U436" s="244"/>
      <c r="V436" s="244"/>
      <c r="W436" s="244"/>
      <c r="X436" s="244"/>
      <c r="Y436" s="244"/>
      <c r="Z436" s="244"/>
    </row>
    <row r="437">
      <c r="A437" s="244"/>
      <c r="B437" s="244"/>
      <c r="C437" s="244"/>
      <c r="D437" s="244"/>
      <c r="E437" s="244"/>
      <c r="F437" s="244"/>
      <c r="G437" s="244"/>
      <c r="H437" s="244"/>
      <c r="I437" s="244"/>
      <c r="J437" s="244"/>
      <c r="K437" s="244"/>
      <c r="L437" s="244"/>
      <c r="M437" s="244"/>
      <c r="N437" s="244"/>
      <c r="O437" s="244"/>
      <c r="P437" s="244"/>
      <c r="Q437" s="244"/>
      <c r="R437" s="244"/>
      <c r="S437" s="244"/>
      <c r="T437" s="244"/>
      <c r="U437" s="244"/>
      <c r="V437" s="244"/>
      <c r="W437" s="244"/>
      <c r="X437" s="244"/>
      <c r="Y437" s="244"/>
      <c r="Z437" s="244"/>
    </row>
    <row r="438">
      <c r="A438" s="244"/>
      <c r="B438" s="244"/>
      <c r="C438" s="244"/>
      <c r="D438" s="244"/>
      <c r="E438" s="244"/>
      <c r="F438" s="244"/>
      <c r="G438" s="244"/>
      <c r="H438" s="244"/>
      <c r="I438" s="244"/>
      <c r="J438" s="244"/>
      <c r="K438" s="244"/>
      <c r="L438" s="244"/>
      <c r="M438" s="244"/>
      <c r="N438" s="244"/>
      <c r="O438" s="244"/>
      <c r="P438" s="244"/>
      <c r="Q438" s="244"/>
      <c r="R438" s="244"/>
      <c r="S438" s="244"/>
      <c r="T438" s="244"/>
      <c r="U438" s="244"/>
      <c r="V438" s="244"/>
      <c r="W438" s="244"/>
      <c r="X438" s="244"/>
      <c r="Y438" s="244"/>
      <c r="Z438" s="244"/>
    </row>
    <row r="439">
      <c r="A439" s="244"/>
      <c r="B439" s="244"/>
      <c r="C439" s="244"/>
      <c r="D439" s="244"/>
      <c r="E439" s="244"/>
      <c r="F439" s="244"/>
      <c r="G439" s="244"/>
      <c r="H439" s="244"/>
      <c r="I439" s="244"/>
      <c r="J439" s="244"/>
      <c r="K439" s="244"/>
      <c r="L439" s="244"/>
      <c r="M439" s="244"/>
      <c r="N439" s="244"/>
      <c r="O439" s="244"/>
      <c r="P439" s="244"/>
      <c r="Q439" s="244"/>
      <c r="R439" s="244"/>
      <c r="S439" s="244"/>
      <c r="T439" s="244"/>
      <c r="U439" s="244"/>
      <c r="V439" s="244"/>
      <c r="W439" s="244"/>
      <c r="X439" s="244"/>
      <c r="Y439" s="244"/>
      <c r="Z439" s="244"/>
    </row>
    <row r="440">
      <c r="A440" s="244"/>
      <c r="B440" s="244"/>
      <c r="C440" s="244"/>
      <c r="D440" s="244"/>
      <c r="E440" s="244"/>
      <c r="F440" s="244"/>
      <c r="G440" s="244"/>
      <c r="H440" s="244"/>
      <c r="I440" s="244"/>
      <c r="J440" s="244"/>
      <c r="K440" s="244"/>
      <c r="L440" s="244"/>
      <c r="M440" s="244"/>
      <c r="N440" s="244"/>
      <c r="O440" s="244"/>
      <c r="P440" s="244"/>
      <c r="Q440" s="244"/>
      <c r="R440" s="244"/>
      <c r="S440" s="244"/>
      <c r="T440" s="244"/>
      <c r="U440" s="244"/>
      <c r="V440" s="244"/>
      <c r="W440" s="244"/>
      <c r="X440" s="244"/>
      <c r="Y440" s="244"/>
      <c r="Z440" s="244"/>
    </row>
    <row r="441">
      <c r="A441" s="244"/>
      <c r="B441" s="244"/>
      <c r="C441" s="244"/>
      <c r="D441" s="244"/>
      <c r="E441" s="244"/>
      <c r="F441" s="244"/>
      <c r="G441" s="244"/>
      <c r="H441" s="244"/>
      <c r="I441" s="244"/>
      <c r="J441" s="244"/>
      <c r="K441" s="244"/>
      <c r="L441" s="244"/>
      <c r="M441" s="244"/>
      <c r="N441" s="244"/>
      <c r="O441" s="244"/>
      <c r="P441" s="244"/>
      <c r="Q441" s="244"/>
      <c r="R441" s="244"/>
      <c r="S441" s="244"/>
      <c r="T441" s="244"/>
      <c r="U441" s="244"/>
      <c r="V441" s="244"/>
      <c r="W441" s="244"/>
      <c r="X441" s="244"/>
      <c r="Y441" s="244"/>
      <c r="Z441" s="244"/>
    </row>
    <row r="442">
      <c r="A442" s="244"/>
      <c r="B442" s="244"/>
      <c r="C442" s="244"/>
      <c r="D442" s="244"/>
      <c r="E442" s="244"/>
      <c r="F442" s="244"/>
      <c r="G442" s="244"/>
      <c r="H442" s="244"/>
      <c r="I442" s="244"/>
      <c r="J442" s="244"/>
      <c r="K442" s="244"/>
      <c r="L442" s="244"/>
      <c r="M442" s="244"/>
      <c r="N442" s="244"/>
      <c r="O442" s="244"/>
      <c r="P442" s="244"/>
      <c r="Q442" s="244"/>
      <c r="R442" s="244"/>
      <c r="S442" s="244"/>
      <c r="T442" s="244"/>
      <c r="U442" s="244"/>
      <c r="V442" s="244"/>
      <c r="W442" s="244"/>
      <c r="X442" s="244"/>
      <c r="Y442" s="244"/>
      <c r="Z442" s="244"/>
    </row>
    <row r="443">
      <c r="A443" s="244"/>
      <c r="B443" s="244"/>
      <c r="C443" s="244"/>
      <c r="D443" s="244"/>
      <c r="E443" s="244"/>
      <c r="F443" s="244"/>
      <c r="G443" s="244"/>
      <c r="H443" s="244"/>
      <c r="I443" s="244"/>
      <c r="J443" s="244"/>
      <c r="K443" s="244"/>
      <c r="L443" s="244"/>
      <c r="M443" s="244"/>
      <c r="N443" s="244"/>
      <c r="O443" s="244"/>
      <c r="P443" s="244"/>
      <c r="Q443" s="244"/>
      <c r="R443" s="244"/>
      <c r="S443" s="244"/>
      <c r="T443" s="244"/>
      <c r="U443" s="244"/>
      <c r="V443" s="244"/>
      <c r="W443" s="244"/>
      <c r="X443" s="244"/>
      <c r="Y443" s="244"/>
      <c r="Z443" s="244"/>
    </row>
    <row r="444">
      <c r="A444" s="244"/>
      <c r="B444" s="244"/>
      <c r="C444" s="244"/>
      <c r="D444" s="244"/>
      <c r="E444" s="244"/>
      <c r="F444" s="244"/>
      <c r="G444" s="244"/>
      <c r="H444" s="244"/>
      <c r="I444" s="244"/>
      <c r="J444" s="244"/>
      <c r="K444" s="244"/>
      <c r="L444" s="244"/>
      <c r="M444" s="244"/>
      <c r="N444" s="244"/>
      <c r="O444" s="244"/>
      <c r="P444" s="244"/>
      <c r="Q444" s="244"/>
      <c r="R444" s="244"/>
      <c r="S444" s="244"/>
      <c r="T444" s="244"/>
      <c r="U444" s="244"/>
      <c r="V444" s="244"/>
      <c r="W444" s="244"/>
      <c r="X444" s="244"/>
      <c r="Y444" s="244"/>
      <c r="Z444" s="244"/>
    </row>
    <row r="445">
      <c r="A445" s="244"/>
      <c r="B445" s="244"/>
      <c r="C445" s="244"/>
      <c r="D445" s="244"/>
      <c r="E445" s="244"/>
      <c r="F445" s="244"/>
      <c r="G445" s="244"/>
      <c r="H445" s="244"/>
      <c r="I445" s="244"/>
      <c r="J445" s="244"/>
      <c r="K445" s="244"/>
      <c r="L445" s="244"/>
      <c r="M445" s="244"/>
      <c r="N445" s="244"/>
      <c r="O445" s="244"/>
      <c r="P445" s="244"/>
      <c r="Q445" s="244"/>
      <c r="R445" s="244"/>
      <c r="S445" s="244"/>
      <c r="T445" s="244"/>
      <c r="U445" s="244"/>
      <c r="V445" s="244"/>
      <c r="W445" s="244"/>
      <c r="X445" s="244"/>
      <c r="Y445" s="244"/>
      <c r="Z445" s="244"/>
    </row>
    <row r="446">
      <c r="A446" s="244"/>
      <c r="B446" s="244"/>
      <c r="C446" s="244"/>
      <c r="D446" s="244"/>
      <c r="E446" s="244"/>
      <c r="F446" s="244"/>
      <c r="G446" s="244"/>
      <c r="H446" s="244"/>
      <c r="I446" s="244"/>
      <c r="J446" s="244"/>
      <c r="K446" s="244"/>
      <c r="L446" s="244"/>
      <c r="M446" s="244"/>
      <c r="N446" s="244"/>
      <c r="O446" s="244"/>
      <c r="P446" s="244"/>
      <c r="Q446" s="244"/>
      <c r="R446" s="244"/>
      <c r="S446" s="244"/>
      <c r="T446" s="244"/>
      <c r="U446" s="244"/>
      <c r="V446" s="244"/>
      <c r="W446" s="244"/>
      <c r="X446" s="244"/>
      <c r="Y446" s="244"/>
      <c r="Z446" s="244"/>
    </row>
    <row r="447">
      <c r="A447" s="244"/>
      <c r="B447" s="244"/>
      <c r="C447" s="244"/>
      <c r="D447" s="244"/>
      <c r="E447" s="244"/>
      <c r="F447" s="244"/>
      <c r="G447" s="244"/>
      <c r="H447" s="244"/>
      <c r="I447" s="244"/>
      <c r="J447" s="244"/>
      <c r="K447" s="244"/>
      <c r="L447" s="244"/>
      <c r="M447" s="244"/>
      <c r="N447" s="244"/>
      <c r="O447" s="244"/>
      <c r="P447" s="244"/>
      <c r="Q447" s="244"/>
      <c r="R447" s="244"/>
      <c r="S447" s="244"/>
      <c r="T447" s="244"/>
      <c r="U447" s="244"/>
      <c r="V447" s="244"/>
      <c r="W447" s="244"/>
      <c r="X447" s="244"/>
      <c r="Y447" s="244"/>
      <c r="Z447" s="244"/>
    </row>
    <row r="448">
      <c r="A448" s="244"/>
      <c r="B448" s="244"/>
      <c r="C448" s="244"/>
      <c r="D448" s="244"/>
      <c r="E448" s="244"/>
      <c r="F448" s="244"/>
      <c r="G448" s="244"/>
      <c r="H448" s="244"/>
      <c r="I448" s="244"/>
      <c r="J448" s="244"/>
      <c r="K448" s="244"/>
      <c r="L448" s="244"/>
      <c r="M448" s="244"/>
      <c r="N448" s="244"/>
      <c r="O448" s="244"/>
      <c r="P448" s="244"/>
      <c r="Q448" s="244"/>
      <c r="R448" s="244"/>
      <c r="S448" s="244"/>
      <c r="T448" s="244"/>
      <c r="U448" s="244"/>
      <c r="V448" s="244"/>
      <c r="W448" s="244"/>
      <c r="X448" s="244"/>
      <c r="Y448" s="244"/>
      <c r="Z448" s="244"/>
    </row>
    <row r="449">
      <c r="A449" s="244"/>
      <c r="B449" s="244"/>
      <c r="C449" s="244"/>
      <c r="D449" s="244"/>
      <c r="E449" s="244"/>
      <c r="F449" s="244"/>
      <c r="G449" s="244"/>
      <c r="H449" s="244"/>
      <c r="I449" s="244"/>
      <c r="J449" s="244"/>
      <c r="K449" s="244"/>
      <c r="L449" s="244"/>
      <c r="M449" s="244"/>
      <c r="N449" s="244"/>
      <c r="O449" s="244"/>
      <c r="P449" s="244"/>
      <c r="Q449" s="244"/>
      <c r="R449" s="244"/>
      <c r="S449" s="244"/>
      <c r="T449" s="244"/>
      <c r="U449" s="244"/>
      <c r="V449" s="244"/>
      <c r="W449" s="244"/>
      <c r="X449" s="244"/>
      <c r="Y449" s="244"/>
      <c r="Z449" s="244"/>
    </row>
    <row r="450">
      <c r="A450" s="244"/>
      <c r="B450" s="244"/>
      <c r="C450" s="244"/>
      <c r="D450" s="244"/>
      <c r="E450" s="244"/>
      <c r="F450" s="244"/>
      <c r="G450" s="244"/>
      <c r="H450" s="244"/>
      <c r="I450" s="244"/>
      <c r="J450" s="244"/>
      <c r="K450" s="244"/>
      <c r="L450" s="244"/>
      <c r="M450" s="244"/>
      <c r="N450" s="244"/>
      <c r="O450" s="244"/>
      <c r="P450" s="244"/>
      <c r="Q450" s="244"/>
      <c r="R450" s="244"/>
      <c r="S450" s="244"/>
      <c r="T450" s="244"/>
      <c r="U450" s="244"/>
      <c r="V450" s="244"/>
      <c r="W450" s="244"/>
      <c r="X450" s="244"/>
      <c r="Y450" s="244"/>
      <c r="Z450" s="244"/>
    </row>
    <row r="451">
      <c r="A451" s="244"/>
      <c r="B451" s="244"/>
      <c r="C451" s="244"/>
      <c r="D451" s="244"/>
      <c r="E451" s="244"/>
      <c r="F451" s="244"/>
      <c r="G451" s="244"/>
      <c r="H451" s="244"/>
      <c r="I451" s="244"/>
      <c r="J451" s="244"/>
      <c r="K451" s="244"/>
      <c r="L451" s="244"/>
      <c r="M451" s="244"/>
      <c r="N451" s="244"/>
      <c r="O451" s="244"/>
      <c r="P451" s="244"/>
      <c r="Q451" s="244"/>
      <c r="R451" s="244"/>
      <c r="S451" s="244"/>
      <c r="T451" s="244"/>
      <c r="U451" s="244"/>
      <c r="V451" s="244"/>
      <c r="W451" s="244"/>
      <c r="X451" s="244"/>
      <c r="Y451" s="244"/>
      <c r="Z451" s="244"/>
    </row>
    <row r="452">
      <c r="A452" s="244"/>
      <c r="B452" s="244"/>
      <c r="C452" s="244"/>
      <c r="D452" s="244"/>
      <c r="E452" s="244"/>
      <c r="F452" s="244"/>
      <c r="G452" s="244"/>
      <c r="H452" s="244"/>
      <c r="I452" s="244"/>
      <c r="J452" s="244"/>
      <c r="K452" s="244"/>
      <c r="L452" s="244"/>
      <c r="M452" s="244"/>
      <c r="N452" s="244"/>
      <c r="O452" s="244"/>
      <c r="P452" s="244"/>
      <c r="Q452" s="244"/>
      <c r="R452" s="244"/>
      <c r="S452" s="244"/>
      <c r="T452" s="244"/>
      <c r="U452" s="244"/>
      <c r="V452" s="244"/>
      <c r="W452" s="244"/>
      <c r="X452" s="244"/>
      <c r="Y452" s="244"/>
      <c r="Z452" s="244"/>
    </row>
    <row r="453">
      <c r="A453" s="244"/>
      <c r="B453" s="244"/>
      <c r="C453" s="244"/>
      <c r="D453" s="244"/>
      <c r="E453" s="244"/>
      <c r="F453" s="244"/>
      <c r="G453" s="244"/>
      <c r="H453" s="244"/>
      <c r="I453" s="244"/>
      <c r="J453" s="244"/>
      <c r="K453" s="244"/>
      <c r="L453" s="244"/>
      <c r="M453" s="244"/>
      <c r="N453" s="244"/>
      <c r="O453" s="244"/>
      <c r="P453" s="244"/>
      <c r="Q453" s="244"/>
      <c r="R453" s="244"/>
      <c r="S453" s="244"/>
      <c r="T453" s="244"/>
      <c r="U453" s="244"/>
      <c r="V453" s="244"/>
      <c r="W453" s="244"/>
      <c r="X453" s="244"/>
      <c r="Y453" s="244"/>
      <c r="Z453" s="244"/>
    </row>
    <row r="454">
      <c r="A454" s="244"/>
      <c r="B454" s="244"/>
      <c r="C454" s="244"/>
      <c r="D454" s="244"/>
      <c r="E454" s="244"/>
      <c r="F454" s="244"/>
      <c r="G454" s="244"/>
      <c r="H454" s="244"/>
      <c r="I454" s="244"/>
      <c r="J454" s="244"/>
      <c r="K454" s="244"/>
      <c r="L454" s="244"/>
      <c r="M454" s="244"/>
      <c r="N454" s="244"/>
      <c r="O454" s="244"/>
      <c r="P454" s="244"/>
      <c r="Q454" s="244"/>
      <c r="R454" s="244"/>
      <c r="S454" s="244"/>
      <c r="T454" s="244"/>
      <c r="U454" s="244"/>
      <c r="V454" s="244"/>
      <c r="W454" s="244"/>
      <c r="X454" s="244"/>
      <c r="Y454" s="244"/>
      <c r="Z454" s="244"/>
    </row>
    <row r="455">
      <c r="A455" s="244"/>
      <c r="B455" s="244"/>
      <c r="C455" s="244"/>
      <c r="D455" s="244"/>
      <c r="E455" s="244"/>
      <c r="F455" s="244"/>
      <c r="G455" s="244"/>
      <c r="H455" s="244"/>
      <c r="I455" s="244"/>
      <c r="J455" s="244"/>
      <c r="K455" s="244"/>
      <c r="L455" s="244"/>
      <c r="M455" s="244"/>
      <c r="N455" s="244"/>
      <c r="O455" s="244"/>
      <c r="P455" s="244"/>
      <c r="Q455" s="244"/>
      <c r="R455" s="244"/>
      <c r="S455" s="244"/>
      <c r="T455" s="244"/>
      <c r="U455" s="244"/>
      <c r="V455" s="244"/>
      <c r="W455" s="244"/>
      <c r="X455" s="244"/>
      <c r="Y455" s="244"/>
      <c r="Z455" s="244"/>
    </row>
    <row r="456">
      <c r="A456" s="244"/>
      <c r="B456" s="244"/>
      <c r="C456" s="244"/>
      <c r="D456" s="244"/>
      <c r="E456" s="244"/>
      <c r="F456" s="244"/>
      <c r="G456" s="244"/>
      <c r="H456" s="244"/>
      <c r="I456" s="244"/>
      <c r="J456" s="244"/>
      <c r="K456" s="244"/>
      <c r="L456" s="244"/>
      <c r="M456" s="244"/>
      <c r="N456" s="244"/>
      <c r="O456" s="244"/>
      <c r="P456" s="244"/>
      <c r="Q456" s="244"/>
      <c r="R456" s="244"/>
      <c r="S456" s="244"/>
      <c r="T456" s="244"/>
      <c r="U456" s="244"/>
      <c r="V456" s="244"/>
      <c r="W456" s="244"/>
      <c r="X456" s="244"/>
      <c r="Y456" s="244"/>
      <c r="Z456" s="244"/>
    </row>
    <row r="457">
      <c r="A457" s="244"/>
      <c r="B457" s="244"/>
      <c r="C457" s="244"/>
      <c r="D457" s="244"/>
      <c r="E457" s="244"/>
      <c r="F457" s="244"/>
      <c r="G457" s="244"/>
      <c r="H457" s="244"/>
      <c r="I457" s="244"/>
      <c r="J457" s="244"/>
      <c r="K457" s="244"/>
      <c r="L457" s="244"/>
      <c r="M457" s="244"/>
      <c r="N457" s="244"/>
      <c r="O457" s="244"/>
      <c r="P457" s="244"/>
      <c r="Q457" s="244"/>
      <c r="R457" s="244"/>
      <c r="S457" s="244"/>
      <c r="T457" s="244"/>
      <c r="U457" s="244"/>
      <c r="V457" s="244"/>
      <c r="W457" s="244"/>
      <c r="X457" s="244"/>
      <c r="Y457" s="244"/>
      <c r="Z457" s="244"/>
    </row>
    <row r="458">
      <c r="A458" s="244"/>
      <c r="B458" s="244"/>
      <c r="C458" s="244"/>
      <c r="D458" s="244"/>
      <c r="E458" s="244"/>
      <c r="F458" s="244"/>
      <c r="G458" s="244"/>
      <c r="H458" s="244"/>
      <c r="I458" s="244"/>
      <c r="J458" s="244"/>
      <c r="K458" s="244"/>
      <c r="L458" s="244"/>
      <c r="M458" s="244"/>
      <c r="N458" s="244"/>
      <c r="O458" s="244"/>
      <c r="P458" s="244"/>
      <c r="Q458" s="244"/>
      <c r="R458" s="244"/>
      <c r="S458" s="244"/>
      <c r="T458" s="244"/>
      <c r="U458" s="244"/>
      <c r="V458" s="244"/>
      <c r="W458" s="244"/>
      <c r="X458" s="244"/>
      <c r="Y458" s="244"/>
      <c r="Z458" s="244"/>
    </row>
    <row r="459">
      <c r="A459" s="244"/>
      <c r="B459" s="244"/>
      <c r="C459" s="244"/>
      <c r="D459" s="244"/>
      <c r="E459" s="244"/>
      <c r="F459" s="244"/>
      <c r="G459" s="244"/>
      <c r="H459" s="244"/>
      <c r="I459" s="244"/>
      <c r="J459" s="244"/>
      <c r="K459" s="244"/>
      <c r="L459" s="244"/>
      <c r="M459" s="244"/>
      <c r="N459" s="244"/>
      <c r="O459" s="244"/>
      <c r="P459" s="244"/>
      <c r="Q459" s="244"/>
      <c r="R459" s="244"/>
      <c r="S459" s="244"/>
      <c r="T459" s="244"/>
      <c r="U459" s="244"/>
      <c r="V459" s="244"/>
      <c r="W459" s="244"/>
      <c r="X459" s="244"/>
      <c r="Y459" s="244"/>
      <c r="Z459" s="244"/>
    </row>
    <row r="460">
      <c r="A460" s="244"/>
      <c r="B460" s="244"/>
      <c r="C460" s="244"/>
      <c r="D460" s="244"/>
      <c r="E460" s="244"/>
      <c r="F460" s="244"/>
      <c r="G460" s="244"/>
      <c r="H460" s="244"/>
      <c r="I460" s="244"/>
      <c r="J460" s="244"/>
      <c r="K460" s="244"/>
      <c r="L460" s="244"/>
      <c r="M460" s="244"/>
      <c r="N460" s="244"/>
      <c r="O460" s="244"/>
      <c r="P460" s="244"/>
      <c r="Q460" s="244"/>
      <c r="R460" s="244"/>
      <c r="S460" s="244"/>
      <c r="T460" s="244"/>
      <c r="U460" s="244"/>
      <c r="V460" s="244"/>
      <c r="W460" s="244"/>
      <c r="X460" s="244"/>
      <c r="Y460" s="244"/>
      <c r="Z460" s="244"/>
    </row>
    <row r="461">
      <c r="A461" s="244"/>
      <c r="B461" s="244"/>
      <c r="C461" s="244"/>
      <c r="D461" s="244"/>
      <c r="E461" s="244"/>
      <c r="F461" s="244"/>
      <c r="G461" s="244"/>
      <c r="H461" s="244"/>
      <c r="I461" s="244"/>
      <c r="J461" s="244"/>
      <c r="K461" s="244"/>
      <c r="L461" s="244"/>
      <c r="M461" s="244"/>
      <c r="N461" s="244"/>
      <c r="O461" s="244"/>
      <c r="P461" s="244"/>
      <c r="Q461" s="244"/>
      <c r="R461" s="244"/>
      <c r="S461" s="244"/>
      <c r="T461" s="244"/>
      <c r="U461" s="244"/>
      <c r="V461" s="244"/>
      <c r="W461" s="244"/>
      <c r="X461" s="244"/>
      <c r="Y461" s="244"/>
      <c r="Z461" s="244"/>
    </row>
    <row r="462">
      <c r="A462" s="244"/>
      <c r="B462" s="244"/>
      <c r="C462" s="244"/>
      <c r="D462" s="244"/>
      <c r="E462" s="244"/>
      <c r="F462" s="244"/>
      <c r="G462" s="244"/>
      <c r="H462" s="244"/>
      <c r="I462" s="244"/>
      <c r="J462" s="244"/>
      <c r="K462" s="244"/>
      <c r="L462" s="244"/>
      <c r="M462" s="244"/>
      <c r="N462" s="244"/>
      <c r="O462" s="244"/>
      <c r="P462" s="244"/>
      <c r="Q462" s="244"/>
      <c r="R462" s="244"/>
      <c r="S462" s="244"/>
      <c r="T462" s="244"/>
      <c r="U462" s="244"/>
      <c r="V462" s="244"/>
      <c r="W462" s="244"/>
      <c r="X462" s="244"/>
      <c r="Y462" s="244"/>
      <c r="Z462" s="244"/>
    </row>
    <row r="463">
      <c r="A463" s="244"/>
      <c r="B463" s="244"/>
      <c r="C463" s="244"/>
      <c r="D463" s="244"/>
      <c r="E463" s="244"/>
      <c r="F463" s="244"/>
      <c r="G463" s="244"/>
      <c r="H463" s="244"/>
      <c r="I463" s="244"/>
      <c r="J463" s="244"/>
      <c r="K463" s="244"/>
      <c r="L463" s="244"/>
      <c r="M463" s="244"/>
      <c r="N463" s="244"/>
      <c r="O463" s="244"/>
      <c r="P463" s="244"/>
      <c r="Q463" s="244"/>
      <c r="R463" s="244"/>
      <c r="S463" s="244"/>
      <c r="T463" s="244"/>
      <c r="U463" s="244"/>
      <c r="V463" s="244"/>
      <c r="W463" s="244"/>
      <c r="X463" s="244"/>
      <c r="Y463" s="244"/>
      <c r="Z463" s="244"/>
    </row>
    <row r="464">
      <c r="A464" s="244"/>
      <c r="B464" s="244"/>
      <c r="C464" s="244"/>
      <c r="D464" s="244"/>
      <c r="E464" s="244"/>
      <c r="F464" s="244"/>
      <c r="G464" s="244"/>
      <c r="H464" s="244"/>
      <c r="I464" s="244"/>
      <c r="J464" s="244"/>
      <c r="K464" s="244"/>
      <c r="L464" s="244"/>
      <c r="M464" s="244"/>
      <c r="N464" s="244"/>
      <c r="O464" s="244"/>
      <c r="P464" s="244"/>
      <c r="Q464" s="244"/>
      <c r="R464" s="244"/>
      <c r="S464" s="244"/>
      <c r="T464" s="244"/>
      <c r="U464" s="244"/>
      <c r="V464" s="244"/>
      <c r="W464" s="244"/>
      <c r="X464" s="244"/>
      <c r="Y464" s="244"/>
      <c r="Z464" s="244"/>
    </row>
    <row r="465">
      <c r="A465" s="244"/>
      <c r="B465" s="244"/>
      <c r="C465" s="244"/>
      <c r="D465" s="244"/>
      <c r="E465" s="244"/>
      <c r="F465" s="244"/>
      <c r="G465" s="244"/>
      <c r="H465" s="244"/>
      <c r="I465" s="244"/>
      <c r="J465" s="244"/>
      <c r="K465" s="244"/>
      <c r="L465" s="244"/>
      <c r="M465" s="244"/>
      <c r="N465" s="244"/>
      <c r="O465" s="244"/>
      <c r="P465" s="244"/>
      <c r="Q465" s="244"/>
      <c r="R465" s="244"/>
      <c r="S465" s="244"/>
      <c r="T465" s="244"/>
      <c r="U465" s="244"/>
      <c r="V465" s="244"/>
      <c r="W465" s="244"/>
      <c r="X465" s="244"/>
      <c r="Y465" s="244"/>
      <c r="Z465" s="244"/>
    </row>
    <row r="466">
      <c r="A466" s="244"/>
      <c r="B466" s="244"/>
      <c r="C466" s="244"/>
      <c r="D466" s="244"/>
      <c r="E466" s="244"/>
      <c r="F466" s="244"/>
      <c r="G466" s="244"/>
      <c r="H466" s="244"/>
      <c r="I466" s="244"/>
      <c r="J466" s="244"/>
      <c r="K466" s="244"/>
      <c r="L466" s="244"/>
      <c r="M466" s="244"/>
      <c r="N466" s="244"/>
      <c r="O466" s="244"/>
      <c r="P466" s="244"/>
      <c r="Q466" s="244"/>
      <c r="R466" s="244"/>
      <c r="S466" s="244"/>
      <c r="T466" s="244"/>
      <c r="U466" s="244"/>
      <c r="V466" s="244"/>
      <c r="W466" s="244"/>
      <c r="X466" s="244"/>
      <c r="Y466" s="244"/>
      <c r="Z466" s="244"/>
    </row>
    <row r="467">
      <c r="A467" s="244"/>
      <c r="B467" s="244"/>
      <c r="C467" s="244"/>
      <c r="D467" s="244"/>
      <c r="E467" s="244"/>
      <c r="F467" s="244"/>
      <c r="G467" s="244"/>
      <c r="H467" s="244"/>
      <c r="I467" s="244"/>
      <c r="J467" s="244"/>
      <c r="K467" s="244"/>
      <c r="L467" s="244"/>
      <c r="M467" s="244"/>
      <c r="N467" s="244"/>
      <c r="O467" s="244"/>
      <c r="P467" s="244"/>
      <c r="Q467" s="244"/>
      <c r="R467" s="244"/>
      <c r="S467" s="244"/>
      <c r="T467" s="244"/>
      <c r="U467" s="244"/>
      <c r="V467" s="244"/>
      <c r="W467" s="244"/>
      <c r="X467" s="244"/>
      <c r="Y467" s="244"/>
      <c r="Z467" s="244"/>
    </row>
    <row r="468">
      <c r="A468" s="244"/>
      <c r="B468" s="244"/>
      <c r="C468" s="244"/>
      <c r="D468" s="244"/>
      <c r="E468" s="244"/>
      <c r="F468" s="244"/>
      <c r="G468" s="244"/>
      <c r="H468" s="244"/>
      <c r="I468" s="244"/>
      <c r="J468" s="244"/>
      <c r="K468" s="244"/>
      <c r="L468" s="244"/>
      <c r="M468" s="244"/>
      <c r="N468" s="244"/>
      <c r="O468" s="244"/>
      <c r="P468" s="244"/>
      <c r="Q468" s="244"/>
      <c r="R468" s="244"/>
      <c r="S468" s="244"/>
      <c r="T468" s="244"/>
      <c r="U468" s="244"/>
      <c r="V468" s="244"/>
      <c r="W468" s="244"/>
      <c r="X468" s="244"/>
      <c r="Y468" s="244"/>
      <c r="Z468" s="244"/>
    </row>
    <row r="469">
      <c r="A469" s="244"/>
      <c r="B469" s="244"/>
      <c r="C469" s="244"/>
      <c r="D469" s="244"/>
      <c r="E469" s="244"/>
      <c r="F469" s="244"/>
      <c r="G469" s="244"/>
      <c r="H469" s="244"/>
      <c r="I469" s="244"/>
      <c r="J469" s="244"/>
      <c r="K469" s="244"/>
      <c r="L469" s="244"/>
      <c r="M469" s="244"/>
      <c r="N469" s="244"/>
      <c r="O469" s="244"/>
      <c r="P469" s="244"/>
      <c r="Q469" s="244"/>
      <c r="R469" s="244"/>
      <c r="S469" s="244"/>
      <c r="T469" s="244"/>
      <c r="U469" s="244"/>
      <c r="V469" s="244"/>
      <c r="W469" s="244"/>
      <c r="X469" s="244"/>
      <c r="Y469" s="244"/>
      <c r="Z469" s="244"/>
    </row>
    <row r="470">
      <c r="A470" s="244"/>
      <c r="B470" s="244"/>
      <c r="C470" s="244"/>
      <c r="D470" s="244"/>
      <c r="E470" s="244"/>
      <c r="F470" s="244"/>
      <c r="G470" s="244"/>
      <c r="H470" s="244"/>
      <c r="I470" s="244"/>
      <c r="J470" s="244"/>
      <c r="K470" s="244"/>
      <c r="L470" s="244"/>
      <c r="M470" s="244"/>
      <c r="N470" s="244"/>
      <c r="O470" s="244"/>
      <c r="P470" s="244"/>
      <c r="Q470" s="244"/>
      <c r="R470" s="244"/>
      <c r="S470" s="244"/>
      <c r="T470" s="244"/>
      <c r="U470" s="244"/>
      <c r="V470" s="244"/>
      <c r="W470" s="244"/>
      <c r="X470" s="244"/>
      <c r="Y470" s="244"/>
      <c r="Z470" s="244"/>
    </row>
    <row r="471">
      <c r="A471" s="244"/>
      <c r="B471" s="244"/>
      <c r="C471" s="244"/>
      <c r="D471" s="244"/>
      <c r="E471" s="244"/>
      <c r="F471" s="244"/>
      <c r="G471" s="244"/>
      <c r="H471" s="244"/>
      <c r="I471" s="244"/>
      <c r="J471" s="244"/>
      <c r="K471" s="244"/>
      <c r="L471" s="244"/>
      <c r="M471" s="244"/>
      <c r="N471" s="244"/>
      <c r="O471" s="244"/>
      <c r="P471" s="244"/>
      <c r="Q471" s="244"/>
      <c r="R471" s="244"/>
      <c r="S471" s="244"/>
      <c r="T471" s="244"/>
      <c r="U471" s="244"/>
      <c r="V471" s="244"/>
      <c r="W471" s="244"/>
      <c r="X471" s="244"/>
      <c r="Y471" s="244"/>
      <c r="Z471" s="244"/>
    </row>
    <row r="472">
      <c r="A472" s="244"/>
      <c r="B472" s="244"/>
      <c r="C472" s="244"/>
      <c r="D472" s="244"/>
      <c r="E472" s="244"/>
      <c r="F472" s="244"/>
      <c r="G472" s="244"/>
      <c r="H472" s="244"/>
      <c r="I472" s="244"/>
      <c r="J472" s="244"/>
      <c r="K472" s="244"/>
      <c r="L472" s="244"/>
      <c r="M472" s="244"/>
      <c r="N472" s="244"/>
      <c r="O472" s="244"/>
      <c r="P472" s="244"/>
      <c r="Q472" s="244"/>
      <c r="R472" s="244"/>
      <c r="S472" s="244"/>
      <c r="T472" s="244"/>
      <c r="U472" s="244"/>
      <c r="V472" s="244"/>
      <c r="W472" s="244"/>
      <c r="X472" s="244"/>
      <c r="Y472" s="244"/>
      <c r="Z472" s="244"/>
    </row>
    <row r="473">
      <c r="A473" s="244"/>
      <c r="B473" s="244"/>
      <c r="C473" s="244"/>
      <c r="D473" s="244"/>
      <c r="E473" s="244"/>
      <c r="F473" s="244"/>
      <c r="G473" s="244"/>
      <c r="H473" s="244"/>
      <c r="I473" s="244"/>
      <c r="J473" s="244"/>
      <c r="K473" s="244"/>
      <c r="L473" s="244"/>
      <c r="M473" s="244"/>
      <c r="N473" s="244"/>
      <c r="O473" s="244"/>
      <c r="P473" s="244"/>
      <c r="Q473" s="244"/>
      <c r="R473" s="244"/>
      <c r="S473" s="244"/>
      <c r="T473" s="244"/>
      <c r="U473" s="244"/>
      <c r="V473" s="244"/>
      <c r="W473" s="244"/>
      <c r="X473" s="244"/>
      <c r="Y473" s="244"/>
      <c r="Z473" s="244"/>
    </row>
    <row r="474">
      <c r="A474" s="244"/>
      <c r="B474" s="244"/>
      <c r="C474" s="244"/>
      <c r="D474" s="244"/>
      <c r="E474" s="244"/>
      <c r="F474" s="244"/>
      <c r="G474" s="244"/>
      <c r="H474" s="244"/>
      <c r="I474" s="244"/>
      <c r="J474" s="244"/>
      <c r="K474" s="244"/>
      <c r="L474" s="244"/>
      <c r="M474" s="244"/>
      <c r="N474" s="244"/>
      <c r="O474" s="244"/>
      <c r="P474" s="244"/>
      <c r="Q474" s="244"/>
      <c r="R474" s="244"/>
      <c r="S474" s="244"/>
      <c r="T474" s="244"/>
      <c r="U474" s="244"/>
      <c r="V474" s="244"/>
      <c r="W474" s="244"/>
      <c r="X474" s="244"/>
      <c r="Y474" s="244"/>
      <c r="Z474" s="244"/>
    </row>
    <row r="475">
      <c r="A475" s="244"/>
      <c r="B475" s="244"/>
      <c r="C475" s="244"/>
      <c r="D475" s="244"/>
      <c r="E475" s="244"/>
      <c r="F475" s="244"/>
      <c r="G475" s="244"/>
      <c r="H475" s="244"/>
      <c r="I475" s="244"/>
      <c r="J475" s="244"/>
      <c r="K475" s="244"/>
      <c r="L475" s="244"/>
      <c r="M475" s="244"/>
      <c r="N475" s="244"/>
      <c r="O475" s="244"/>
      <c r="P475" s="244"/>
      <c r="Q475" s="244"/>
      <c r="R475" s="244"/>
      <c r="S475" s="244"/>
      <c r="T475" s="244"/>
      <c r="U475" s="244"/>
      <c r="V475" s="244"/>
      <c r="W475" s="244"/>
      <c r="X475" s="244"/>
      <c r="Y475" s="244"/>
      <c r="Z475" s="244"/>
    </row>
    <row r="476">
      <c r="A476" s="244"/>
      <c r="B476" s="244"/>
      <c r="C476" s="244"/>
      <c r="D476" s="244"/>
      <c r="E476" s="244"/>
      <c r="F476" s="244"/>
      <c r="G476" s="244"/>
      <c r="H476" s="244"/>
      <c r="I476" s="244"/>
      <c r="J476" s="244"/>
      <c r="K476" s="244"/>
      <c r="L476" s="244"/>
      <c r="M476" s="244"/>
      <c r="N476" s="244"/>
      <c r="O476" s="244"/>
      <c r="P476" s="244"/>
      <c r="Q476" s="244"/>
      <c r="R476" s="244"/>
      <c r="S476" s="244"/>
      <c r="T476" s="244"/>
      <c r="U476" s="244"/>
      <c r="V476" s="244"/>
      <c r="W476" s="244"/>
      <c r="X476" s="244"/>
      <c r="Y476" s="244"/>
      <c r="Z476" s="244"/>
    </row>
    <row r="477">
      <c r="A477" s="244"/>
      <c r="B477" s="244"/>
      <c r="C477" s="244"/>
      <c r="D477" s="244"/>
      <c r="E477" s="244"/>
      <c r="F477" s="244"/>
      <c r="G477" s="244"/>
      <c r="H477" s="244"/>
      <c r="I477" s="244"/>
      <c r="J477" s="244"/>
      <c r="K477" s="244"/>
      <c r="L477" s="244"/>
      <c r="M477" s="244"/>
      <c r="N477" s="244"/>
      <c r="O477" s="244"/>
      <c r="P477" s="244"/>
      <c r="Q477" s="244"/>
      <c r="R477" s="244"/>
      <c r="S477" s="244"/>
      <c r="T477" s="244"/>
      <c r="U477" s="244"/>
      <c r="V477" s="244"/>
      <c r="W477" s="244"/>
      <c r="X477" s="244"/>
      <c r="Y477" s="244"/>
      <c r="Z477" s="244"/>
    </row>
    <row r="478">
      <c r="A478" s="244"/>
      <c r="B478" s="244"/>
      <c r="C478" s="244"/>
      <c r="D478" s="244"/>
      <c r="E478" s="244"/>
      <c r="F478" s="244"/>
      <c r="G478" s="244"/>
      <c r="H478" s="244"/>
      <c r="I478" s="244"/>
      <c r="J478" s="244"/>
      <c r="K478" s="244"/>
      <c r="L478" s="244"/>
      <c r="M478" s="244"/>
      <c r="N478" s="244"/>
      <c r="O478" s="244"/>
      <c r="P478" s="244"/>
      <c r="Q478" s="244"/>
      <c r="R478" s="244"/>
      <c r="S478" s="244"/>
      <c r="T478" s="244"/>
      <c r="U478" s="244"/>
      <c r="V478" s="244"/>
      <c r="W478" s="244"/>
      <c r="X478" s="244"/>
      <c r="Y478" s="244"/>
      <c r="Z478" s="244"/>
    </row>
    <row r="479">
      <c r="A479" s="244"/>
      <c r="B479" s="244"/>
      <c r="C479" s="244"/>
      <c r="D479" s="244"/>
      <c r="E479" s="244"/>
      <c r="F479" s="244"/>
      <c r="G479" s="244"/>
      <c r="H479" s="244"/>
      <c r="I479" s="244"/>
      <c r="J479" s="244"/>
      <c r="K479" s="244"/>
      <c r="L479" s="244"/>
      <c r="M479" s="244"/>
      <c r="N479" s="244"/>
      <c r="O479" s="244"/>
      <c r="P479" s="244"/>
      <c r="Q479" s="244"/>
      <c r="R479" s="244"/>
      <c r="S479" s="244"/>
      <c r="T479" s="244"/>
      <c r="U479" s="244"/>
      <c r="V479" s="244"/>
      <c r="W479" s="244"/>
      <c r="X479" s="244"/>
      <c r="Y479" s="244"/>
      <c r="Z479" s="244"/>
    </row>
    <row r="480">
      <c r="A480" s="244"/>
      <c r="B480" s="244"/>
      <c r="C480" s="244"/>
      <c r="D480" s="244"/>
      <c r="E480" s="244"/>
      <c r="F480" s="244"/>
      <c r="G480" s="244"/>
      <c r="H480" s="244"/>
      <c r="I480" s="244"/>
      <c r="J480" s="244"/>
      <c r="K480" s="244"/>
      <c r="L480" s="244"/>
      <c r="M480" s="244"/>
      <c r="N480" s="244"/>
      <c r="O480" s="244"/>
      <c r="P480" s="244"/>
      <c r="Q480" s="244"/>
      <c r="R480" s="244"/>
      <c r="S480" s="244"/>
      <c r="T480" s="244"/>
      <c r="U480" s="244"/>
      <c r="V480" s="244"/>
      <c r="W480" s="244"/>
      <c r="X480" s="244"/>
      <c r="Y480" s="244"/>
      <c r="Z480" s="244"/>
    </row>
    <row r="481">
      <c r="A481" s="244"/>
      <c r="B481" s="244"/>
      <c r="C481" s="244"/>
      <c r="D481" s="244"/>
      <c r="E481" s="244"/>
      <c r="F481" s="244"/>
      <c r="G481" s="244"/>
      <c r="H481" s="244"/>
      <c r="I481" s="244"/>
      <c r="J481" s="244"/>
      <c r="K481" s="244"/>
      <c r="L481" s="244"/>
      <c r="M481" s="244"/>
      <c r="N481" s="244"/>
      <c r="O481" s="244"/>
      <c r="P481" s="244"/>
      <c r="Q481" s="244"/>
      <c r="R481" s="244"/>
      <c r="S481" s="244"/>
      <c r="T481" s="244"/>
      <c r="U481" s="244"/>
      <c r="V481" s="244"/>
      <c r="W481" s="244"/>
      <c r="X481" s="244"/>
      <c r="Y481" s="244"/>
      <c r="Z481" s="244"/>
    </row>
    <row r="482">
      <c r="A482" s="244"/>
      <c r="B482" s="244"/>
      <c r="C482" s="244"/>
      <c r="D482" s="244"/>
      <c r="E482" s="244"/>
      <c r="F482" s="244"/>
      <c r="G482" s="244"/>
      <c r="H482" s="244"/>
      <c r="I482" s="244"/>
      <c r="J482" s="244"/>
      <c r="K482" s="244"/>
      <c r="L482" s="244"/>
      <c r="M482" s="244"/>
      <c r="N482" s="244"/>
      <c r="O482" s="244"/>
      <c r="P482" s="244"/>
      <c r="Q482" s="244"/>
      <c r="R482" s="244"/>
      <c r="S482" s="244"/>
      <c r="T482" s="244"/>
      <c r="U482" s="244"/>
      <c r="V482" s="244"/>
      <c r="W482" s="244"/>
      <c r="X482" s="244"/>
      <c r="Y482" s="244"/>
      <c r="Z482" s="244"/>
    </row>
    <row r="483">
      <c r="A483" s="244"/>
      <c r="B483" s="244"/>
      <c r="C483" s="244"/>
      <c r="D483" s="244"/>
      <c r="E483" s="244"/>
      <c r="F483" s="244"/>
      <c r="G483" s="244"/>
      <c r="H483" s="244"/>
      <c r="I483" s="244"/>
      <c r="J483" s="244"/>
      <c r="K483" s="244"/>
      <c r="L483" s="244"/>
      <c r="M483" s="244"/>
      <c r="N483" s="244"/>
      <c r="O483" s="244"/>
      <c r="P483" s="244"/>
      <c r="Q483" s="244"/>
      <c r="R483" s="244"/>
      <c r="S483" s="244"/>
      <c r="T483" s="244"/>
      <c r="U483" s="244"/>
      <c r="V483" s="244"/>
      <c r="W483" s="244"/>
      <c r="X483" s="244"/>
      <c r="Y483" s="244"/>
      <c r="Z483" s="244"/>
    </row>
    <row r="484">
      <c r="A484" s="244"/>
      <c r="B484" s="244"/>
      <c r="C484" s="244"/>
      <c r="D484" s="244"/>
      <c r="E484" s="244"/>
      <c r="F484" s="244"/>
      <c r="G484" s="244"/>
      <c r="H484" s="244"/>
      <c r="I484" s="244"/>
      <c r="J484" s="244"/>
      <c r="K484" s="244"/>
      <c r="L484" s="244"/>
      <c r="M484" s="244"/>
      <c r="N484" s="244"/>
      <c r="O484" s="244"/>
      <c r="P484" s="244"/>
      <c r="Q484" s="244"/>
      <c r="R484" s="244"/>
      <c r="S484" s="244"/>
      <c r="T484" s="244"/>
      <c r="U484" s="244"/>
      <c r="V484" s="244"/>
      <c r="W484" s="244"/>
      <c r="X484" s="244"/>
      <c r="Y484" s="244"/>
      <c r="Z484" s="244"/>
    </row>
    <row r="485">
      <c r="A485" s="244"/>
      <c r="B485" s="244"/>
      <c r="C485" s="244"/>
      <c r="D485" s="244"/>
      <c r="E485" s="244"/>
      <c r="F485" s="244"/>
      <c r="G485" s="244"/>
      <c r="H485" s="244"/>
      <c r="I485" s="244"/>
      <c r="J485" s="244"/>
      <c r="K485" s="244"/>
      <c r="L485" s="244"/>
      <c r="M485" s="244"/>
      <c r="N485" s="244"/>
      <c r="O485" s="244"/>
      <c r="P485" s="244"/>
      <c r="Q485" s="244"/>
      <c r="R485" s="244"/>
      <c r="S485" s="244"/>
      <c r="T485" s="244"/>
      <c r="U485" s="244"/>
      <c r="V485" s="244"/>
      <c r="W485" s="244"/>
      <c r="X485" s="244"/>
      <c r="Y485" s="244"/>
      <c r="Z485" s="244"/>
    </row>
    <row r="486">
      <c r="A486" s="244"/>
      <c r="B486" s="244"/>
      <c r="C486" s="244"/>
      <c r="D486" s="244"/>
      <c r="E486" s="244"/>
      <c r="F486" s="244"/>
      <c r="G486" s="244"/>
      <c r="H486" s="244"/>
      <c r="I486" s="244"/>
      <c r="J486" s="244"/>
      <c r="K486" s="244"/>
      <c r="L486" s="244"/>
      <c r="M486" s="244"/>
      <c r="N486" s="244"/>
      <c r="O486" s="244"/>
      <c r="P486" s="244"/>
      <c r="Q486" s="244"/>
      <c r="R486" s="244"/>
      <c r="S486" s="244"/>
      <c r="T486" s="244"/>
      <c r="U486" s="244"/>
      <c r="V486" s="244"/>
      <c r="W486" s="244"/>
      <c r="X486" s="244"/>
      <c r="Y486" s="244"/>
      <c r="Z486" s="244"/>
    </row>
    <row r="487">
      <c r="A487" s="244"/>
      <c r="B487" s="244"/>
      <c r="C487" s="244"/>
      <c r="D487" s="244"/>
      <c r="E487" s="244"/>
      <c r="F487" s="244"/>
      <c r="G487" s="244"/>
      <c r="H487" s="244"/>
      <c r="I487" s="244"/>
      <c r="J487" s="244"/>
      <c r="K487" s="244"/>
      <c r="L487" s="244"/>
      <c r="M487" s="244"/>
      <c r="N487" s="244"/>
      <c r="O487" s="244"/>
      <c r="P487" s="244"/>
      <c r="Q487" s="244"/>
      <c r="R487" s="244"/>
      <c r="S487" s="244"/>
      <c r="T487" s="244"/>
      <c r="U487" s="244"/>
      <c r="V487" s="244"/>
      <c r="W487" s="244"/>
      <c r="X487" s="244"/>
      <c r="Y487" s="244"/>
      <c r="Z487" s="244"/>
    </row>
    <row r="488">
      <c r="A488" s="244"/>
      <c r="B488" s="244"/>
      <c r="C488" s="244"/>
      <c r="D488" s="244"/>
      <c r="E488" s="244"/>
      <c r="F488" s="244"/>
      <c r="G488" s="244"/>
      <c r="H488" s="244"/>
      <c r="I488" s="244"/>
      <c r="J488" s="244"/>
      <c r="K488" s="244"/>
      <c r="L488" s="244"/>
      <c r="M488" s="244"/>
      <c r="N488" s="244"/>
      <c r="O488" s="244"/>
      <c r="P488" s="244"/>
      <c r="Q488" s="244"/>
      <c r="R488" s="244"/>
      <c r="S488" s="244"/>
      <c r="T488" s="244"/>
      <c r="U488" s="244"/>
      <c r="V488" s="244"/>
      <c r="W488" s="244"/>
      <c r="X488" s="244"/>
      <c r="Y488" s="244"/>
      <c r="Z488" s="244"/>
    </row>
    <row r="489">
      <c r="A489" s="244"/>
      <c r="B489" s="244"/>
      <c r="C489" s="244"/>
      <c r="D489" s="244"/>
      <c r="E489" s="244"/>
      <c r="F489" s="244"/>
      <c r="G489" s="244"/>
      <c r="H489" s="244"/>
      <c r="I489" s="244"/>
      <c r="J489" s="244"/>
      <c r="K489" s="244"/>
      <c r="L489" s="244"/>
      <c r="M489" s="244"/>
      <c r="N489" s="244"/>
      <c r="O489" s="244"/>
      <c r="P489" s="244"/>
      <c r="Q489" s="244"/>
      <c r="R489" s="244"/>
      <c r="S489" s="244"/>
      <c r="T489" s="244"/>
      <c r="U489" s="244"/>
      <c r="V489" s="244"/>
      <c r="W489" s="244"/>
      <c r="X489" s="244"/>
      <c r="Y489" s="244"/>
      <c r="Z489" s="244"/>
    </row>
    <row r="490">
      <c r="A490" s="244"/>
      <c r="B490" s="244"/>
      <c r="C490" s="244"/>
      <c r="D490" s="244"/>
      <c r="E490" s="244"/>
      <c r="F490" s="244"/>
      <c r="G490" s="244"/>
      <c r="H490" s="244"/>
      <c r="I490" s="244"/>
      <c r="J490" s="244"/>
      <c r="K490" s="244"/>
      <c r="L490" s="244"/>
      <c r="M490" s="244"/>
      <c r="N490" s="244"/>
      <c r="O490" s="244"/>
      <c r="P490" s="244"/>
      <c r="Q490" s="244"/>
      <c r="R490" s="244"/>
      <c r="S490" s="244"/>
      <c r="T490" s="244"/>
      <c r="U490" s="244"/>
      <c r="V490" s="244"/>
      <c r="W490" s="244"/>
      <c r="X490" s="244"/>
      <c r="Y490" s="244"/>
      <c r="Z490" s="244"/>
    </row>
    <row r="491">
      <c r="A491" s="244"/>
      <c r="B491" s="244"/>
      <c r="C491" s="244"/>
      <c r="D491" s="244"/>
      <c r="E491" s="244"/>
      <c r="F491" s="244"/>
      <c r="G491" s="244"/>
      <c r="H491" s="244"/>
      <c r="I491" s="244"/>
      <c r="J491" s="244"/>
      <c r="K491" s="244"/>
      <c r="L491" s="244"/>
      <c r="M491" s="244"/>
      <c r="N491" s="244"/>
      <c r="O491" s="244"/>
      <c r="P491" s="244"/>
      <c r="Q491" s="244"/>
      <c r="R491" s="244"/>
      <c r="S491" s="244"/>
      <c r="T491" s="244"/>
      <c r="U491" s="244"/>
      <c r="V491" s="244"/>
      <c r="W491" s="244"/>
      <c r="X491" s="244"/>
      <c r="Y491" s="244"/>
      <c r="Z491" s="244"/>
    </row>
    <row r="492">
      <c r="A492" s="244"/>
      <c r="B492" s="244"/>
      <c r="C492" s="244"/>
      <c r="D492" s="244"/>
      <c r="E492" s="244"/>
      <c r="F492" s="244"/>
      <c r="G492" s="244"/>
      <c r="H492" s="244"/>
      <c r="I492" s="244"/>
      <c r="J492" s="244"/>
      <c r="K492" s="244"/>
      <c r="L492" s="244"/>
      <c r="M492" s="244"/>
      <c r="N492" s="244"/>
      <c r="O492" s="244"/>
      <c r="P492" s="244"/>
      <c r="Q492" s="244"/>
      <c r="R492" s="244"/>
      <c r="S492" s="244"/>
      <c r="T492" s="244"/>
      <c r="U492" s="244"/>
      <c r="V492" s="244"/>
      <c r="W492" s="244"/>
      <c r="X492" s="244"/>
      <c r="Y492" s="244"/>
      <c r="Z492" s="244"/>
    </row>
    <row r="493">
      <c r="A493" s="244"/>
      <c r="B493" s="244"/>
      <c r="C493" s="244"/>
      <c r="D493" s="244"/>
      <c r="E493" s="244"/>
      <c r="F493" s="244"/>
      <c r="G493" s="244"/>
      <c r="H493" s="244"/>
      <c r="I493" s="244"/>
      <c r="J493" s="244"/>
      <c r="K493" s="244"/>
      <c r="L493" s="244"/>
      <c r="M493" s="244"/>
      <c r="N493" s="244"/>
      <c r="O493" s="244"/>
      <c r="P493" s="244"/>
      <c r="Q493" s="244"/>
      <c r="R493" s="244"/>
      <c r="S493" s="244"/>
      <c r="T493" s="244"/>
      <c r="U493" s="244"/>
      <c r="V493" s="244"/>
      <c r="W493" s="244"/>
      <c r="X493" s="244"/>
      <c r="Y493" s="244"/>
      <c r="Z493" s="244"/>
    </row>
    <row r="494">
      <c r="A494" s="244"/>
      <c r="B494" s="244"/>
      <c r="C494" s="244"/>
      <c r="D494" s="244"/>
      <c r="E494" s="244"/>
      <c r="F494" s="244"/>
      <c r="G494" s="244"/>
      <c r="H494" s="244"/>
      <c r="I494" s="244"/>
      <c r="J494" s="244"/>
      <c r="K494" s="244"/>
      <c r="L494" s="244"/>
      <c r="M494" s="244"/>
      <c r="N494" s="244"/>
      <c r="O494" s="244"/>
      <c r="P494" s="244"/>
      <c r="Q494" s="244"/>
      <c r="R494" s="244"/>
      <c r="S494" s="244"/>
      <c r="T494" s="244"/>
      <c r="U494" s="244"/>
      <c r="V494" s="244"/>
      <c r="W494" s="244"/>
      <c r="X494" s="244"/>
      <c r="Y494" s="244"/>
      <c r="Z494" s="244"/>
    </row>
    <row r="495">
      <c r="A495" s="244"/>
      <c r="B495" s="244"/>
      <c r="C495" s="244"/>
      <c r="D495" s="244"/>
      <c r="E495" s="244"/>
      <c r="F495" s="244"/>
      <c r="G495" s="244"/>
      <c r="H495" s="244"/>
      <c r="I495" s="244"/>
      <c r="J495" s="244"/>
      <c r="K495" s="244"/>
      <c r="L495" s="244"/>
      <c r="M495" s="244"/>
      <c r="N495" s="244"/>
      <c r="O495" s="244"/>
      <c r="P495" s="244"/>
      <c r="Q495" s="244"/>
      <c r="R495" s="244"/>
      <c r="S495" s="244"/>
      <c r="T495" s="244"/>
      <c r="U495" s="244"/>
      <c r="V495" s="244"/>
      <c r="W495" s="244"/>
      <c r="X495" s="244"/>
      <c r="Y495" s="244"/>
      <c r="Z495" s="244"/>
    </row>
    <row r="496">
      <c r="A496" s="244"/>
      <c r="B496" s="244"/>
      <c r="C496" s="244"/>
      <c r="D496" s="244"/>
      <c r="E496" s="244"/>
      <c r="F496" s="244"/>
      <c r="G496" s="244"/>
      <c r="H496" s="244"/>
      <c r="I496" s="244"/>
      <c r="J496" s="244"/>
      <c r="K496" s="244"/>
      <c r="L496" s="244"/>
      <c r="M496" s="244"/>
      <c r="N496" s="244"/>
      <c r="O496" s="244"/>
      <c r="P496" s="244"/>
      <c r="Q496" s="244"/>
      <c r="R496" s="244"/>
      <c r="S496" s="244"/>
      <c r="T496" s="244"/>
      <c r="U496" s="244"/>
      <c r="V496" s="244"/>
      <c r="W496" s="244"/>
      <c r="X496" s="244"/>
      <c r="Y496" s="244"/>
      <c r="Z496" s="244"/>
    </row>
    <row r="497">
      <c r="A497" s="244"/>
      <c r="B497" s="244"/>
      <c r="C497" s="244"/>
      <c r="D497" s="244"/>
      <c r="E497" s="244"/>
      <c r="F497" s="244"/>
      <c r="G497" s="244"/>
      <c r="H497" s="244"/>
      <c r="I497" s="244"/>
      <c r="J497" s="244"/>
      <c r="K497" s="244"/>
      <c r="L497" s="244"/>
      <c r="M497" s="244"/>
      <c r="N497" s="244"/>
      <c r="O497" s="244"/>
      <c r="P497" s="244"/>
      <c r="Q497" s="244"/>
      <c r="R497" s="244"/>
      <c r="S497" s="244"/>
      <c r="T497" s="244"/>
      <c r="U497" s="244"/>
      <c r="V497" s="244"/>
      <c r="W497" s="244"/>
      <c r="X497" s="244"/>
      <c r="Y497" s="244"/>
      <c r="Z497" s="244"/>
    </row>
    <row r="498">
      <c r="A498" s="244"/>
      <c r="B498" s="244"/>
      <c r="C498" s="244"/>
      <c r="D498" s="244"/>
      <c r="E498" s="244"/>
      <c r="F498" s="244"/>
      <c r="G498" s="244"/>
      <c r="H498" s="244"/>
      <c r="I498" s="244"/>
      <c r="J498" s="244"/>
      <c r="K498" s="244"/>
      <c r="L498" s="244"/>
      <c r="M498" s="244"/>
      <c r="N498" s="244"/>
      <c r="O498" s="244"/>
      <c r="P498" s="244"/>
      <c r="Q498" s="244"/>
      <c r="R498" s="244"/>
      <c r="S498" s="244"/>
      <c r="T498" s="244"/>
      <c r="U498" s="244"/>
      <c r="V498" s="244"/>
      <c r="W498" s="244"/>
      <c r="X498" s="244"/>
      <c r="Y498" s="244"/>
      <c r="Z498" s="244"/>
    </row>
    <row r="499">
      <c r="A499" s="244"/>
      <c r="B499" s="244"/>
      <c r="C499" s="244"/>
      <c r="D499" s="244"/>
      <c r="E499" s="244"/>
      <c r="F499" s="244"/>
      <c r="G499" s="244"/>
      <c r="H499" s="244"/>
      <c r="I499" s="244"/>
      <c r="J499" s="244"/>
      <c r="K499" s="244"/>
      <c r="L499" s="244"/>
      <c r="M499" s="244"/>
      <c r="N499" s="244"/>
      <c r="O499" s="244"/>
      <c r="P499" s="244"/>
      <c r="Q499" s="244"/>
      <c r="R499" s="244"/>
      <c r="S499" s="244"/>
      <c r="T499" s="244"/>
      <c r="U499" s="244"/>
      <c r="V499" s="244"/>
      <c r="W499" s="244"/>
      <c r="X499" s="244"/>
      <c r="Y499" s="244"/>
      <c r="Z499" s="244"/>
    </row>
    <row r="500">
      <c r="A500" s="244"/>
      <c r="B500" s="244"/>
      <c r="C500" s="244"/>
      <c r="D500" s="244"/>
      <c r="E500" s="244"/>
      <c r="F500" s="244"/>
      <c r="G500" s="244"/>
      <c r="H500" s="244"/>
      <c r="I500" s="244"/>
      <c r="J500" s="244"/>
      <c r="K500" s="244"/>
      <c r="L500" s="244"/>
      <c r="M500" s="244"/>
      <c r="N500" s="244"/>
      <c r="O500" s="244"/>
      <c r="P500" s="244"/>
      <c r="Q500" s="244"/>
      <c r="R500" s="244"/>
      <c r="S500" s="244"/>
      <c r="T500" s="244"/>
      <c r="U500" s="244"/>
      <c r="V500" s="244"/>
      <c r="W500" s="244"/>
      <c r="X500" s="244"/>
      <c r="Y500" s="244"/>
      <c r="Z500" s="244"/>
    </row>
    <row r="501">
      <c r="A501" s="244"/>
      <c r="B501" s="244"/>
      <c r="C501" s="244"/>
      <c r="D501" s="244"/>
      <c r="E501" s="244"/>
      <c r="F501" s="244"/>
      <c r="G501" s="244"/>
      <c r="H501" s="244"/>
      <c r="I501" s="244"/>
      <c r="J501" s="244"/>
      <c r="K501" s="244"/>
      <c r="L501" s="244"/>
      <c r="M501" s="244"/>
      <c r="N501" s="244"/>
      <c r="O501" s="244"/>
      <c r="P501" s="244"/>
      <c r="Q501" s="244"/>
      <c r="R501" s="244"/>
      <c r="S501" s="244"/>
      <c r="T501" s="244"/>
      <c r="U501" s="244"/>
      <c r="V501" s="244"/>
      <c r="W501" s="244"/>
      <c r="X501" s="244"/>
      <c r="Y501" s="244"/>
      <c r="Z501" s="244"/>
    </row>
    <row r="502">
      <c r="A502" s="244"/>
      <c r="B502" s="244"/>
      <c r="C502" s="244"/>
      <c r="D502" s="244"/>
      <c r="E502" s="244"/>
      <c r="F502" s="244"/>
      <c r="G502" s="244"/>
      <c r="H502" s="244"/>
      <c r="I502" s="244"/>
      <c r="J502" s="244"/>
      <c r="K502" s="244"/>
      <c r="L502" s="244"/>
      <c r="M502" s="244"/>
      <c r="N502" s="244"/>
      <c r="O502" s="244"/>
      <c r="P502" s="244"/>
      <c r="Q502" s="244"/>
      <c r="R502" s="244"/>
      <c r="S502" s="244"/>
      <c r="T502" s="244"/>
      <c r="U502" s="244"/>
      <c r="V502" s="244"/>
      <c r="W502" s="244"/>
      <c r="X502" s="244"/>
      <c r="Y502" s="244"/>
      <c r="Z502" s="244"/>
    </row>
    <row r="503">
      <c r="A503" s="244"/>
      <c r="B503" s="244"/>
      <c r="C503" s="244"/>
      <c r="D503" s="244"/>
      <c r="E503" s="244"/>
      <c r="F503" s="244"/>
      <c r="G503" s="244"/>
      <c r="H503" s="244"/>
      <c r="I503" s="244"/>
      <c r="J503" s="244"/>
      <c r="K503" s="244"/>
      <c r="L503" s="244"/>
      <c r="M503" s="244"/>
      <c r="N503" s="244"/>
      <c r="O503" s="244"/>
      <c r="P503" s="244"/>
      <c r="Q503" s="244"/>
      <c r="R503" s="244"/>
      <c r="S503" s="244"/>
      <c r="T503" s="244"/>
      <c r="U503" s="244"/>
      <c r="V503" s="244"/>
      <c r="W503" s="244"/>
      <c r="X503" s="244"/>
      <c r="Y503" s="244"/>
      <c r="Z503" s="244"/>
    </row>
    <row r="504">
      <c r="A504" s="244"/>
      <c r="B504" s="244"/>
      <c r="C504" s="244"/>
      <c r="D504" s="244"/>
      <c r="E504" s="244"/>
      <c r="F504" s="244"/>
      <c r="G504" s="244"/>
      <c r="H504" s="244"/>
      <c r="I504" s="244"/>
      <c r="J504" s="244"/>
      <c r="K504" s="244"/>
      <c r="L504" s="244"/>
      <c r="M504" s="244"/>
      <c r="N504" s="244"/>
      <c r="O504" s="244"/>
      <c r="P504" s="244"/>
      <c r="Q504" s="244"/>
      <c r="R504" s="244"/>
      <c r="S504" s="244"/>
      <c r="T504" s="244"/>
      <c r="U504" s="244"/>
      <c r="V504" s="244"/>
      <c r="W504" s="244"/>
      <c r="X504" s="244"/>
      <c r="Y504" s="244"/>
      <c r="Z504" s="244"/>
    </row>
    <row r="505">
      <c r="A505" s="244"/>
      <c r="B505" s="244"/>
      <c r="C505" s="244"/>
      <c r="D505" s="244"/>
      <c r="E505" s="244"/>
      <c r="F505" s="244"/>
      <c r="G505" s="244"/>
      <c r="H505" s="244"/>
      <c r="I505" s="244"/>
      <c r="J505" s="244"/>
      <c r="K505" s="244"/>
      <c r="L505" s="244"/>
      <c r="M505" s="244"/>
      <c r="N505" s="244"/>
      <c r="O505" s="244"/>
      <c r="P505" s="244"/>
      <c r="Q505" s="244"/>
      <c r="R505" s="244"/>
      <c r="S505" s="244"/>
      <c r="T505" s="244"/>
      <c r="U505" s="244"/>
      <c r="V505" s="244"/>
      <c r="W505" s="244"/>
      <c r="X505" s="244"/>
      <c r="Y505" s="244"/>
      <c r="Z505" s="244"/>
    </row>
    <row r="506">
      <c r="A506" s="244"/>
      <c r="B506" s="244"/>
      <c r="C506" s="244"/>
      <c r="D506" s="244"/>
      <c r="E506" s="244"/>
      <c r="F506" s="244"/>
      <c r="G506" s="244"/>
      <c r="H506" s="244"/>
      <c r="I506" s="244"/>
      <c r="J506" s="244"/>
      <c r="K506" s="244"/>
      <c r="L506" s="244"/>
      <c r="M506" s="244"/>
      <c r="N506" s="244"/>
      <c r="O506" s="244"/>
      <c r="P506" s="244"/>
      <c r="Q506" s="244"/>
      <c r="R506" s="244"/>
      <c r="S506" s="244"/>
      <c r="T506" s="244"/>
      <c r="U506" s="244"/>
      <c r="V506" s="244"/>
      <c r="W506" s="244"/>
      <c r="X506" s="244"/>
      <c r="Y506" s="244"/>
      <c r="Z506" s="244"/>
    </row>
    <row r="507">
      <c r="A507" s="244"/>
      <c r="B507" s="244"/>
      <c r="C507" s="244"/>
      <c r="D507" s="244"/>
      <c r="E507" s="244"/>
      <c r="F507" s="244"/>
      <c r="G507" s="244"/>
      <c r="H507" s="244"/>
      <c r="I507" s="244"/>
      <c r="J507" s="244"/>
      <c r="K507" s="244"/>
      <c r="L507" s="244"/>
      <c r="M507" s="244"/>
      <c r="N507" s="244"/>
      <c r="O507" s="244"/>
      <c r="P507" s="244"/>
      <c r="Q507" s="244"/>
      <c r="R507" s="244"/>
      <c r="S507" s="244"/>
      <c r="T507" s="244"/>
      <c r="U507" s="244"/>
      <c r="V507" s="244"/>
      <c r="W507" s="244"/>
      <c r="X507" s="244"/>
      <c r="Y507" s="244"/>
      <c r="Z507" s="244"/>
    </row>
    <row r="508">
      <c r="A508" s="244"/>
      <c r="B508" s="244"/>
      <c r="C508" s="244"/>
      <c r="D508" s="244"/>
      <c r="E508" s="244"/>
      <c r="F508" s="244"/>
      <c r="G508" s="244"/>
      <c r="H508" s="244"/>
      <c r="I508" s="244"/>
      <c r="J508" s="244"/>
      <c r="K508" s="244"/>
      <c r="L508" s="244"/>
      <c r="M508" s="244"/>
      <c r="N508" s="244"/>
      <c r="O508" s="244"/>
      <c r="P508" s="244"/>
      <c r="Q508" s="244"/>
      <c r="R508" s="244"/>
      <c r="S508" s="244"/>
      <c r="T508" s="244"/>
      <c r="U508" s="244"/>
      <c r="V508" s="244"/>
      <c r="W508" s="244"/>
      <c r="X508" s="244"/>
      <c r="Y508" s="244"/>
      <c r="Z508" s="244"/>
    </row>
    <row r="509">
      <c r="A509" s="244"/>
      <c r="B509" s="244"/>
      <c r="C509" s="244"/>
      <c r="D509" s="244"/>
      <c r="E509" s="244"/>
      <c r="F509" s="244"/>
      <c r="G509" s="244"/>
      <c r="H509" s="244"/>
      <c r="I509" s="244"/>
      <c r="J509" s="244"/>
      <c r="K509" s="244"/>
      <c r="L509" s="244"/>
      <c r="M509" s="244"/>
      <c r="N509" s="244"/>
      <c r="O509" s="244"/>
      <c r="P509" s="244"/>
      <c r="Q509" s="244"/>
      <c r="R509" s="244"/>
      <c r="S509" s="244"/>
      <c r="T509" s="244"/>
      <c r="U509" s="244"/>
      <c r="V509" s="244"/>
      <c r="W509" s="244"/>
      <c r="X509" s="244"/>
      <c r="Y509" s="244"/>
      <c r="Z509" s="244"/>
    </row>
    <row r="510">
      <c r="A510" s="244"/>
      <c r="B510" s="244"/>
      <c r="C510" s="244"/>
      <c r="D510" s="244"/>
      <c r="E510" s="244"/>
      <c r="F510" s="244"/>
      <c r="G510" s="244"/>
      <c r="H510" s="244"/>
      <c r="I510" s="244"/>
      <c r="J510" s="244"/>
      <c r="K510" s="244"/>
      <c r="L510" s="244"/>
      <c r="M510" s="244"/>
      <c r="N510" s="244"/>
      <c r="O510" s="244"/>
      <c r="P510" s="244"/>
      <c r="Q510" s="244"/>
      <c r="R510" s="244"/>
      <c r="S510" s="244"/>
      <c r="T510" s="244"/>
      <c r="U510" s="244"/>
      <c r="V510" s="244"/>
      <c r="W510" s="244"/>
      <c r="X510" s="244"/>
      <c r="Y510" s="244"/>
      <c r="Z510" s="244"/>
    </row>
    <row r="511">
      <c r="A511" s="244"/>
      <c r="B511" s="244"/>
      <c r="C511" s="244"/>
      <c r="D511" s="244"/>
      <c r="E511" s="244"/>
      <c r="F511" s="244"/>
      <c r="G511" s="244"/>
      <c r="H511" s="244"/>
      <c r="I511" s="244"/>
      <c r="J511" s="244"/>
      <c r="K511" s="244"/>
      <c r="L511" s="244"/>
      <c r="M511" s="244"/>
      <c r="N511" s="244"/>
      <c r="O511" s="244"/>
      <c r="P511" s="244"/>
      <c r="Q511" s="244"/>
      <c r="R511" s="244"/>
      <c r="S511" s="244"/>
      <c r="T511" s="244"/>
      <c r="U511" s="244"/>
      <c r="V511" s="244"/>
      <c r="W511" s="244"/>
      <c r="X511" s="244"/>
      <c r="Y511" s="244"/>
      <c r="Z511" s="244"/>
    </row>
    <row r="512">
      <c r="A512" s="244"/>
      <c r="B512" s="244"/>
      <c r="C512" s="244"/>
      <c r="D512" s="244"/>
      <c r="E512" s="244"/>
      <c r="F512" s="244"/>
      <c r="G512" s="244"/>
      <c r="H512" s="244"/>
      <c r="I512" s="244"/>
      <c r="J512" s="244"/>
      <c r="K512" s="244"/>
      <c r="L512" s="244"/>
      <c r="M512" s="244"/>
      <c r="N512" s="244"/>
      <c r="O512" s="244"/>
      <c r="P512" s="244"/>
      <c r="Q512" s="244"/>
      <c r="R512" s="244"/>
      <c r="S512" s="244"/>
      <c r="T512" s="244"/>
      <c r="U512" s="244"/>
      <c r="V512" s="244"/>
      <c r="W512" s="244"/>
      <c r="X512" s="244"/>
      <c r="Y512" s="244"/>
      <c r="Z512" s="244"/>
    </row>
    <row r="513">
      <c r="A513" s="244"/>
      <c r="B513" s="244"/>
      <c r="C513" s="244"/>
      <c r="D513" s="244"/>
      <c r="E513" s="244"/>
      <c r="F513" s="244"/>
      <c r="G513" s="244"/>
      <c r="H513" s="244"/>
      <c r="I513" s="244"/>
      <c r="J513" s="244"/>
      <c r="K513" s="244"/>
      <c r="L513" s="244"/>
      <c r="M513" s="244"/>
      <c r="N513" s="244"/>
      <c r="O513" s="244"/>
      <c r="P513" s="244"/>
      <c r="Q513" s="244"/>
      <c r="R513" s="244"/>
      <c r="S513" s="244"/>
      <c r="T513" s="244"/>
      <c r="U513" s="244"/>
      <c r="V513" s="244"/>
      <c r="W513" s="244"/>
      <c r="X513" s="244"/>
      <c r="Y513" s="244"/>
      <c r="Z513" s="244"/>
    </row>
    <row r="514">
      <c r="A514" s="244"/>
      <c r="B514" s="244"/>
      <c r="C514" s="244"/>
      <c r="D514" s="244"/>
      <c r="E514" s="244"/>
      <c r="F514" s="244"/>
      <c r="G514" s="244"/>
      <c r="H514" s="244"/>
      <c r="I514" s="244"/>
      <c r="J514" s="244"/>
      <c r="K514" s="244"/>
      <c r="L514" s="244"/>
      <c r="M514" s="244"/>
      <c r="N514" s="244"/>
      <c r="O514" s="244"/>
      <c r="P514" s="244"/>
      <c r="Q514" s="244"/>
      <c r="R514" s="244"/>
      <c r="S514" s="244"/>
      <c r="T514" s="244"/>
      <c r="U514" s="244"/>
      <c r="V514" s="244"/>
      <c r="W514" s="244"/>
      <c r="X514" s="244"/>
      <c r="Y514" s="244"/>
      <c r="Z514" s="244"/>
    </row>
    <row r="515">
      <c r="A515" s="244"/>
      <c r="B515" s="244"/>
      <c r="C515" s="244"/>
      <c r="D515" s="244"/>
      <c r="E515" s="244"/>
      <c r="F515" s="244"/>
      <c r="G515" s="244"/>
      <c r="H515" s="244"/>
      <c r="I515" s="244"/>
      <c r="J515" s="244"/>
      <c r="K515" s="244"/>
      <c r="L515" s="244"/>
      <c r="M515" s="244"/>
      <c r="N515" s="244"/>
      <c r="O515" s="244"/>
      <c r="P515" s="244"/>
      <c r="Q515" s="244"/>
      <c r="R515" s="244"/>
      <c r="S515" s="244"/>
      <c r="T515" s="244"/>
      <c r="U515" s="244"/>
      <c r="V515" s="244"/>
      <c r="W515" s="244"/>
      <c r="X515" s="244"/>
      <c r="Y515" s="244"/>
      <c r="Z515" s="244"/>
    </row>
    <row r="516">
      <c r="A516" s="244"/>
      <c r="B516" s="244"/>
      <c r="C516" s="244"/>
      <c r="D516" s="244"/>
      <c r="E516" s="244"/>
      <c r="F516" s="244"/>
      <c r="G516" s="244"/>
      <c r="H516" s="244"/>
      <c r="I516" s="244"/>
      <c r="J516" s="244"/>
      <c r="K516" s="244"/>
      <c r="L516" s="244"/>
      <c r="M516" s="244"/>
      <c r="N516" s="244"/>
      <c r="O516" s="244"/>
      <c r="P516" s="244"/>
      <c r="Q516" s="244"/>
      <c r="R516" s="244"/>
      <c r="S516" s="244"/>
      <c r="T516" s="244"/>
      <c r="U516" s="244"/>
      <c r="V516" s="244"/>
      <c r="W516" s="244"/>
      <c r="X516" s="244"/>
      <c r="Y516" s="244"/>
      <c r="Z516" s="244"/>
    </row>
    <row r="517">
      <c r="A517" s="244"/>
      <c r="B517" s="244"/>
      <c r="C517" s="244"/>
      <c r="D517" s="244"/>
      <c r="E517" s="244"/>
      <c r="F517" s="244"/>
      <c r="G517" s="244"/>
      <c r="H517" s="244"/>
      <c r="I517" s="244"/>
      <c r="J517" s="244"/>
      <c r="K517" s="244"/>
      <c r="L517" s="244"/>
      <c r="M517" s="244"/>
      <c r="N517" s="244"/>
      <c r="O517" s="244"/>
      <c r="P517" s="244"/>
      <c r="Q517" s="244"/>
      <c r="R517" s="244"/>
      <c r="S517" s="244"/>
      <c r="T517" s="244"/>
      <c r="U517" s="244"/>
      <c r="V517" s="244"/>
      <c r="W517" s="244"/>
      <c r="X517" s="244"/>
      <c r="Y517" s="244"/>
      <c r="Z517" s="244"/>
    </row>
    <row r="518">
      <c r="A518" s="244"/>
      <c r="B518" s="244"/>
      <c r="C518" s="244"/>
      <c r="D518" s="244"/>
      <c r="E518" s="244"/>
      <c r="F518" s="244"/>
      <c r="G518" s="244"/>
      <c r="H518" s="244"/>
      <c r="I518" s="244"/>
      <c r="J518" s="244"/>
      <c r="K518" s="244"/>
      <c r="L518" s="244"/>
      <c r="M518" s="244"/>
      <c r="N518" s="244"/>
      <c r="O518" s="244"/>
      <c r="P518" s="244"/>
      <c r="Q518" s="244"/>
      <c r="R518" s="244"/>
      <c r="S518" s="244"/>
      <c r="T518" s="244"/>
      <c r="U518" s="244"/>
      <c r="V518" s="244"/>
      <c r="W518" s="244"/>
      <c r="X518" s="244"/>
      <c r="Y518" s="244"/>
      <c r="Z518" s="244"/>
    </row>
    <row r="519">
      <c r="A519" s="244"/>
      <c r="B519" s="244"/>
      <c r="C519" s="244"/>
      <c r="D519" s="244"/>
      <c r="E519" s="244"/>
      <c r="F519" s="244"/>
      <c r="G519" s="244"/>
      <c r="H519" s="244"/>
      <c r="I519" s="244"/>
      <c r="J519" s="244"/>
      <c r="K519" s="244"/>
      <c r="L519" s="244"/>
      <c r="M519" s="244"/>
      <c r="N519" s="244"/>
      <c r="O519" s="244"/>
      <c r="P519" s="244"/>
      <c r="Q519" s="244"/>
      <c r="R519" s="244"/>
      <c r="S519" s="244"/>
      <c r="T519" s="244"/>
      <c r="U519" s="244"/>
      <c r="V519" s="244"/>
      <c r="W519" s="244"/>
      <c r="X519" s="244"/>
      <c r="Y519" s="244"/>
      <c r="Z519" s="244"/>
    </row>
    <row r="520">
      <c r="A520" s="244"/>
      <c r="B520" s="244"/>
      <c r="C520" s="244"/>
      <c r="D520" s="244"/>
      <c r="E520" s="244"/>
      <c r="F520" s="244"/>
      <c r="G520" s="244"/>
      <c r="H520" s="244"/>
      <c r="I520" s="244"/>
      <c r="J520" s="244"/>
      <c r="K520" s="244"/>
      <c r="L520" s="244"/>
      <c r="M520" s="244"/>
      <c r="N520" s="244"/>
      <c r="O520" s="244"/>
      <c r="P520" s="244"/>
      <c r="Q520" s="244"/>
      <c r="R520" s="244"/>
      <c r="S520" s="244"/>
      <c r="T520" s="244"/>
      <c r="U520" s="244"/>
      <c r="V520" s="244"/>
      <c r="W520" s="244"/>
      <c r="X520" s="244"/>
      <c r="Y520" s="244"/>
      <c r="Z520" s="244"/>
    </row>
    <row r="521">
      <c r="A521" s="244"/>
      <c r="B521" s="244"/>
      <c r="C521" s="244"/>
      <c r="D521" s="244"/>
      <c r="E521" s="244"/>
      <c r="F521" s="244"/>
      <c r="G521" s="244"/>
      <c r="H521" s="244"/>
      <c r="I521" s="244"/>
      <c r="J521" s="244"/>
      <c r="K521" s="244"/>
      <c r="L521" s="244"/>
      <c r="M521" s="244"/>
      <c r="N521" s="244"/>
      <c r="O521" s="244"/>
      <c r="P521" s="244"/>
      <c r="Q521" s="244"/>
      <c r="R521" s="244"/>
      <c r="S521" s="244"/>
      <c r="T521" s="244"/>
      <c r="U521" s="244"/>
      <c r="V521" s="244"/>
      <c r="W521" s="244"/>
      <c r="X521" s="244"/>
      <c r="Y521" s="244"/>
      <c r="Z521" s="244"/>
    </row>
    <row r="522">
      <c r="A522" s="244"/>
      <c r="B522" s="244"/>
      <c r="C522" s="244"/>
      <c r="D522" s="244"/>
      <c r="E522" s="244"/>
      <c r="F522" s="244"/>
      <c r="G522" s="244"/>
      <c r="H522" s="244"/>
      <c r="I522" s="244"/>
      <c r="J522" s="244"/>
      <c r="K522" s="244"/>
      <c r="L522" s="244"/>
      <c r="M522" s="244"/>
      <c r="N522" s="244"/>
      <c r="O522" s="244"/>
      <c r="P522" s="244"/>
      <c r="Q522" s="244"/>
      <c r="R522" s="244"/>
      <c r="S522" s="244"/>
      <c r="T522" s="244"/>
      <c r="U522" s="244"/>
      <c r="V522" s="244"/>
      <c r="W522" s="244"/>
      <c r="X522" s="244"/>
      <c r="Y522" s="244"/>
      <c r="Z522" s="244"/>
    </row>
    <row r="523">
      <c r="A523" s="244"/>
      <c r="B523" s="244"/>
      <c r="C523" s="244"/>
      <c r="D523" s="244"/>
      <c r="E523" s="244"/>
      <c r="F523" s="244"/>
      <c r="G523" s="244"/>
      <c r="H523" s="244"/>
      <c r="I523" s="244"/>
      <c r="J523" s="244"/>
      <c r="K523" s="244"/>
      <c r="L523" s="244"/>
      <c r="M523" s="244"/>
      <c r="N523" s="244"/>
      <c r="O523" s="244"/>
      <c r="P523" s="244"/>
      <c r="Q523" s="244"/>
      <c r="R523" s="244"/>
      <c r="S523" s="244"/>
      <c r="T523" s="244"/>
      <c r="U523" s="244"/>
      <c r="V523" s="244"/>
      <c r="W523" s="244"/>
      <c r="X523" s="244"/>
      <c r="Y523" s="244"/>
      <c r="Z523" s="244"/>
    </row>
    <row r="524">
      <c r="A524" s="244"/>
      <c r="B524" s="244"/>
      <c r="C524" s="244"/>
      <c r="D524" s="244"/>
      <c r="E524" s="244"/>
      <c r="F524" s="244"/>
      <c r="G524" s="244"/>
      <c r="H524" s="244"/>
      <c r="I524" s="244"/>
      <c r="J524" s="244"/>
      <c r="K524" s="244"/>
      <c r="L524" s="244"/>
      <c r="M524" s="244"/>
      <c r="N524" s="244"/>
      <c r="O524" s="244"/>
      <c r="P524" s="244"/>
      <c r="Q524" s="244"/>
      <c r="R524" s="244"/>
      <c r="S524" s="244"/>
      <c r="T524" s="244"/>
      <c r="U524" s="244"/>
      <c r="V524" s="244"/>
      <c r="W524" s="244"/>
      <c r="X524" s="244"/>
      <c r="Y524" s="244"/>
      <c r="Z524" s="244"/>
    </row>
    <row r="525">
      <c r="A525" s="244"/>
      <c r="B525" s="244"/>
      <c r="C525" s="244"/>
      <c r="D525" s="244"/>
      <c r="E525" s="244"/>
      <c r="F525" s="244"/>
      <c r="G525" s="244"/>
      <c r="H525" s="244"/>
      <c r="I525" s="244"/>
      <c r="J525" s="244"/>
      <c r="K525" s="244"/>
      <c r="L525" s="244"/>
      <c r="M525" s="244"/>
      <c r="N525" s="244"/>
      <c r="O525" s="244"/>
      <c r="P525" s="244"/>
      <c r="Q525" s="244"/>
      <c r="R525" s="244"/>
      <c r="S525" s="244"/>
      <c r="T525" s="244"/>
      <c r="U525" s="244"/>
      <c r="V525" s="244"/>
      <c r="W525" s="244"/>
      <c r="X525" s="244"/>
      <c r="Y525" s="244"/>
      <c r="Z525" s="244"/>
    </row>
    <row r="526">
      <c r="A526" s="244"/>
      <c r="B526" s="244"/>
      <c r="C526" s="244"/>
      <c r="D526" s="244"/>
      <c r="E526" s="244"/>
      <c r="F526" s="244"/>
      <c r="G526" s="244"/>
      <c r="H526" s="244"/>
      <c r="I526" s="244"/>
      <c r="J526" s="244"/>
      <c r="K526" s="244"/>
      <c r="L526" s="244"/>
      <c r="M526" s="244"/>
      <c r="N526" s="244"/>
      <c r="O526" s="244"/>
      <c r="P526" s="244"/>
      <c r="Q526" s="244"/>
      <c r="R526" s="244"/>
      <c r="S526" s="244"/>
      <c r="T526" s="244"/>
      <c r="U526" s="244"/>
      <c r="V526" s="244"/>
      <c r="W526" s="244"/>
      <c r="X526" s="244"/>
      <c r="Y526" s="244"/>
      <c r="Z526" s="244"/>
    </row>
    <row r="527">
      <c r="A527" s="244"/>
      <c r="B527" s="244"/>
      <c r="C527" s="244"/>
      <c r="D527" s="244"/>
      <c r="E527" s="244"/>
      <c r="F527" s="244"/>
      <c r="G527" s="244"/>
      <c r="H527" s="244"/>
      <c r="I527" s="244"/>
      <c r="J527" s="244"/>
      <c r="K527" s="244"/>
      <c r="L527" s="244"/>
      <c r="M527" s="244"/>
      <c r="N527" s="244"/>
      <c r="O527" s="244"/>
      <c r="P527" s="244"/>
      <c r="Q527" s="244"/>
      <c r="R527" s="244"/>
      <c r="S527" s="244"/>
      <c r="T527" s="244"/>
      <c r="U527" s="244"/>
      <c r="V527" s="244"/>
      <c r="W527" s="244"/>
      <c r="X527" s="244"/>
      <c r="Y527" s="244"/>
      <c r="Z527" s="244"/>
    </row>
    <row r="528">
      <c r="A528" s="244"/>
      <c r="B528" s="244"/>
      <c r="C528" s="244"/>
      <c r="D528" s="244"/>
      <c r="E528" s="244"/>
      <c r="F528" s="244"/>
      <c r="G528" s="244"/>
      <c r="H528" s="244"/>
      <c r="I528" s="244"/>
      <c r="J528" s="244"/>
      <c r="K528" s="244"/>
      <c r="L528" s="244"/>
      <c r="M528" s="244"/>
      <c r="N528" s="244"/>
      <c r="O528" s="244"/>
      <c r="P528" s="244"/>
      <c r="Q528" s="244"/>
      <c r="R528" s="244"/>
      <c r="S528" s="244"/>
      <c r="T528" s="244"/>
      <c r="U528" s="244"/>
      <c r="V528" s="244"/>
      <c r="W528" s="244"/>
      <c r="X528" s="244"/>
      <c r="Y528" s="244"/>
      <c r="Z528" s="244"/>
    </row>
    <row r="529">
      <c r="A529" s="244"/>
      <c r="B529" s="244"/>
      <c r="C529" s="244"/>
      <c r="D529" s="244"/>
      <c r="E529" s="244"/>
      <c r="F529" s="244"/>
      <c r="G529" s="244"/>
      <c r="H529" s="244"/>
      <c r="I529" s="244"/>
      <c r="J529" s="244"/>
      <c r="K529" s="244"/>
      <c r="L529" s="244"/>
      <c r="M529" s="244"/>
      <c r="N529" s="244"/>
      <c r="O529" s="244"/>
      <c r="P529" s="244"/>
      <c r="Q529" s="244"/>
      <c r="R529" s="244"/>
      <c r="S529" s="244"/>
      <c r="T529" s="244"/>
      <c r="U529" s="244"/>
      <c r="V529" s="244"/>
      <c r="W529" s="244"/>
      <c r="X529" s="244"/>
      <c r="Y529" s="244"/>
      <c r="Z529" s="244"/>
    </row>
    <row r="530">
      <c r="A530" s="244"/>
      <c r="B530" s="244"/>
      <c r="C530" s="244"/>
      <c r="D530" s="244"/>
      <c r="E530" s="244"/>
      <c r="F530" s="244"/>
      <c r="G530" s="244"/>
      <c r="H530" s="244"/>
      <c r="I530" s="244"/>
      <c r="J530" s="244"/>
      <c r="K530" s="244"/>
      <c r="L530" s="244"/>
      <c r="M530" s="244"/>
      <c r="N530" s="244"/>
      <c r="O530" s="244"/>
      <c r="P530" s="244"/>
      <c r="Q530" s="244"/>
      <c r="R530" s="244"/>
      <c r="S530" s="244"/>
      <c r="T530" s="244"/>
      <c r="U530" s="244"/>
      <c r="V530" s="244"/>
      <c r="W530" s="244"/>
      <c r="X530" s="244"/>
      <c r="Y530" s="244"/>
      <c r="Z530" s="244"/>
    </row>
    <row r="531">
      <c r="A531" s="244"/>
      <c r="B531" s="244"/>
      <c r="C531" s="244"/>
      <c r="D531" s="244"/>
      <c r="E531" s="244"/>
      <c r="F531" s="244"/>
      <c r="G531" s="244"/>
      <c r="H531" s="244"/>
      <c r="I531" s="244"/>
      <c r="J531" s="244"/>
      <c r="K531" s="244"/>
      <c r="L531" s="244"/>
      <c r="M531" s="244"/>
      <c r="N531" s="244"/>
      <c r="O531" s="244"/>
      <c r="P531" s="244"/>
      <c r="Q531" s="244"/>
      <c r="R531" s="244"/>
      <c r="S531" s="244"/>
      <c r="T531" s="244"/>
      <c r="U531" s="244"/>
      <c r="V531" s="244"/>
      <c r="W531" s="244"/>
      <c r="X531" s="244"/>
      <c r="Y531" s="244"/>
      <c r="Z531" s="244"/>
    </row>
    <row r="532">
      <c r="A532" s="244"/>
      <c r="B532" s="244"/>
      <c r="C532" s="244"/>
      <c r="D532" s="244"/>
      <c r="E532" s="244"/>
      <c r="F532" s="244"/>
      <c r="G532" s="244"/>
      <c r="H532" s="244"/>
      <c r="I532" s="244"/>
      <c r="J532" s="244"/>
      <c r="K532" s="244"/>
      <c r="L532" s="244"/>
      <c r="M532" s="244"/>
      <c r="N532" s="244"/>
      <c r="O532" s="244"/>
      <c r="P532" s="244"/>
      <c r="Q532" s="244"/>
      <c r="R532" s="244"/>
      <c r="S532" s="244"/>
      <c r="T532" s="244"/>
      <c r="U532" s="244"/>
      <c r="V532" s="244"/>
      <c r="W532" s="244"/>
      <c r="X532" s="244"/>
      <c r="Y532" s="244"/>
      <c r="Z532" s="244"/>
    </row>
    <row r="533">
      <c r="A533" s="244"/>
      <c r="B533" s="244"/>
      <c r="C533" s="244"/>
      <c r="D533" s="244"/>
      <c r="E533" s="244"/>
      <c r="F533" s="244"/>
      <c r="G533" s="244"/>
      <c r="H533" s="244"/>
      <c r="I533" s="244"/>
      <c r="J533" s="244"/>
      <c r="K533" s="244"/>
      <c r="L533" s="244"/>
      <c r="M533" s="244"/>
      <c r="N533" s="244"/>
      <c r="O533" s="244"/>
      <c r="P533" s="244"/>
      <c r="Q533" s="244"/>
      <c r="R533" s="244"/>
      <c r="S533" s="244"/>
      <c r="T533" s="244"/>
      <c r="U533" s="244"/>
      <c r="V533" s="244"/>
      <c r="W533" s="244"/>
      <c r="X533" s="244"/>
      <c r="Y533" s="244"/>
      <c r="Z533" s="244"/>
    </row>
    <row r="534">
      <c r="A534" s="244"/>
      <c r="B534" s="244"/>
      <c r="C534" s="244"/>
      <c r="D534" s="244"/>
      <c r="E534" s="244"/>
      <c r="F534" s="244"/>
      <c r="G534" s="244"/>
      <c r="H534" s="244"/>
      <c r="I534" s="244"/>
      <c r="J534" s="244"/>
      <c r="K534" s="244"/>
      <c r="L534" s="244"/>
      <c r="M534" s="244"/>
      <c r="N534" s="244"/>
      <c r="O534" s="244"/>
      <c r="P534" s="244"/>
      <c r="Q534" s="244"/>
      <c r="R534" s="244"/>
      <c r="S534" s="244"/>
      <c r="T534" s="244"/>
      <c r="U534" s="244"/>
      <c r="V534" s="244"/>
      <c r="W534" s="244"/>
      <c r="X534" s="244"/>
      <c r="Y534" s="244"/>
      <c r="Z534" s="244"/>
    </row>
    <row r="535">
      <c r="A535" s="244"/>
      <c r="B535" s="244"/>
      <c r="C535" s="244"/>
      <c r="D535" s="244"/>
      <c r="E535" s="244"/>
      <c r="F535" s="244"/>
      <c r="G535" s="244"/>
      <c r="H535" s="244"/>
      <c r="I535" s="244"/>
      <c r="J535" s="244"/>
      <c r="K535" s="244"/>
      <c r="L535" s="244"/>
      <c r="M535" s="244"/>
      <c r="N535" s="244"/>
      <c r="O535" s="244"/>
      <c r="P535" s="244"/>
      <c r="Q535" s="244"/>
      <c r="R535" s="244"/>
      <c r="S535" s="244"/>
      <c r="T535" s="244"/>
      <c r="U535" s="244"/>
      <c r="V535" s="244"/>
      <c r="W535" s="244"/>
      <c r="X535" s="244"/>
      <c r="Y535" s="244"/>
      <c r="Z535" s="244"/>
    </row>
    <row r="536">
      <c r="A536" s="244"/>
      <c r="B536" s="244"/>
      <c r="C536" s="244"/>
      <c r="D536" s="244"/>
      <c r="E536" s="244"/>
      <c r="F536" s="244"/>
      <c r="G536" s="244"/>
      <c r="H536" s="244"/>
      <c r="I536" s="244"/>
      <c r="J536" s="244"/>
      <c r="K536" s="244"/>
      <c r="L536" s="244"/>
      <c r="M536" s="244"/>
      <c r="N536" s="244"/>
      <c r="O536" s="244"/>
      <c r="P536" s="244"/>
      <c r="Q536" s="244"/>
      <c r="R536" s="244"/>
      <c r="S536" s="244"/>
      <c r="T536" s="244"/>
      <c r="U536" s="244"/>
      <c r="V536" s="244"/>
      <c r="W536" s="244"/>
      <c r="X536" s="244"/>
      <c r="Y536" s="244"/>
      <c r="Z536" s="244"/>
    </row>
    <row r="537">
      <c r="A537" s="244"/>
      <c r="B537" s="244"/>
      <c r="C537" s="244"/>
      <c r="D537" s="244"/>
      <c r="E537" s="244"/>
      <c r="F537" s="244"/>
      <c r="G537" s="244"/>
      <c r="H537" s="244"/>
      <c r="I537" s="244"/>
      <c r="J537" s="244"/>
      <c r="K537" s="244"/>
      <c r="L537" s="244"/>
      <c r="M537" s="244"/>
      <c r="N537" s="244"/>
      <c r="O537" s="244"/>
      <c r="P537" s="244"/>
      <c r="Q537" s="244"/>
      <c r="R537" s="244"/>
      <c r="S537" s="244"/>
      <c r="T537" s="244"/>
      <c r="U537" s="244"/>
      <c r="V537" s="244"/>
      <c r="W537" s="244"/>
      <c r="X537" s="244"/>
      <c r="Y537" s="244"/>
      <c r="Z537" s="244"/>
    </row>
    <row r="538">
      <c r="A538" s="244"/>
      <c r="B538" s="244"/>
      <c r="C538" s="244"/>
      <c r="D538" s="244"/>
      <c r="E538" s="244"/>
      <c r="F538" s="244"/>
      <c r="G538" s="244"/>
      <c r="H538" s="244"/>
      <c r="I538" s="244"/>
      <c r="J538" s="244"/>
      <c r="K538" s="244"/>
      <c r="L538" s="244"/>
      <c r="M538" s="244"/>
      <c r="N538" s="244"/>
      <c r="O538" s="244"/>
      <c r="P538" s="244"/>
      <c r="Q538" s="244"/>
      <c r="R538" s="244"/>
      <c r="S538" s="244"/>
      <c r="T538" s="244"/>
      <c r="U538" s="244"/>
      <c r="V538" s="244"/>
      <c r="W538" s="244"/>
      <c r="X538" s="244"/>
      <c r="Y538" s="244"/>
      <c r="Z538" s="244"/>
    </row>
    <row r="539">
      <c r="A539" s="244"/>
      <c r="B539" s="244"/>
      <c r="C539" s="244"/>
      <c r="D539" s="244"/>
      <c r="E539" s="244"/>
      <c r="F539" s="244"/>
      <c r="G539" s="244"/>
      <c r="H539" s="244"/>
      <c r="I539" s="244"/>
      <c r="J539" s="244"/>
      <c r="K539" s="244"/>
      <c r="L539" s="244"/>
      <c r="M539" s="244"/>
      <c r="N539" s="244"/>
      <c r="O539" s="244"/>
      <c r="P539" s="244"/>
      <c r="Q539" s="244"/>
      <c r="R539" s="244"/>
      <c r="S539" s="244"/>
      <c r="T539" s="244"/>
      <c r="U539" s="244"/>
      <c r="V539" s="244"/>
      <c r="W539" s="244"/>
      <c r="X539" s="244"/>
      <c r="Y539" s="244"/>
      <c r="Z539" s="244"/>
    </row>
    <row r="540">
      <c r="A540" s="244"/>
      <c r="B540" s="244"/>
      <c r="C540" s="244"/>
      <c r="D540" s="244"/>
      <c r="E540" s="244"/>
      <c r="F540" s="244"/>
      <c r="G540" s="244"/>
      <c r="H540" s="244"/>
      <c r="I540" s="244"/>
      <c r="J540" s="244"/>
      <c r="K540" s="244"/>
      <c r="L540" s="244"/>
      <c r="M540" s="244"/>
      <c r="N540" s="244"/>
      <c r="O540" s="244"/>
      <c r="P540" s="244"/>
      <c r="Q540" s="244"/>
      <c r="R540" s="244"/>
      <c r="S540" s="244"/>
      <c r="T540" s="244"/>
      <c r="U540" s="244"/>
      <c r="V540" s="244"/>
      <c r="W540" s="244"/>
      <c r="X540" s="244"/>
      <c r="Y540" s="244"/>
      <c r="Z540" s="244"/>
    </row>
    <row r="541">
      <c r="A541" s="244"/>
      <c r="B541" s="244"/>
      <c r="C541" s="244"/>
      <c r="D541" s="244"/>
      <c r="E541" s="244"/>
      <c r="F541" s="244"/>
      <c r="G541" s="244"/>
      <c r="H541" s="244"/>
      <c r="I541" s="244"/>
      <c r="J541" s="244"/>
      <c r="K541" s="244"/>
      <c r="L541" s="244"/>
      <c r="M541" s="244"/>
      <c r="N541" s="244"/>
      <c r="O541" s="244"/>
      <c r="P541" s="244"/>
      <c r="Q541" s="244"/>
      <c r="R541" s="244"/>
      <c r="S541" s="244"/>
      <c r="T541" s="244"/>
      <c r="U541" s="244"/>
      <c r="V541" s="244"/>
      <c r="W541" s="244"/>
      <c r="X541" s="244"/>
      <c r="Y541" s="244"/>
      <c r="Z541" s="244"/>
    </row>
    <row r="542">
      <c r="A542" s="244"/>
      <c r="B542" s="244"/>
      <c r="C542" s="244"/>
      <c r="D542" s="244"/>
      <c r="E542" s="244"/>
      <c r="F542" s="244"/>
      <c r="G542" s="244"/>
      <c r="H542" s="244"/>
      <c r="I542" s="244"/>
      <c r="J542" s="244"/>
      <c r="K542" s="244"/>
      <c r="L542" s="244"/>
      <c r="M542" s="244"/>
      <c r="N542" s="244"/>
      <c r="O542" s="244"/>
      <c r="P542" s="244"/>
      <c r="Q542" s="244"/>
      <c r="R542" s="244"/>
      <c r="S542" s="244"/>
      <c r="T542" s="244"/>
      <c r="U542" s="244"/>
      <c r="V542" s="244"/>
      <c r="W542" s="244"/>
      <c r="X542" s="244"/>
      <c r="Y542" s="244"/>
      <c r="Z542" s="244"/>
    </row>
    <row r="543">
      <c r="A543" s="244"/>
      <c r="B543" s="244"/>
      <c r="C543" s="244"/>
      <c r="D543" s="244"/>
      <c r="E543" s="244"/>
      <c r="F543" s="244"/>
      <c r="G543" s="244"/>
      <c r="H543" s="244"/>
      <c r="I543" s="244"/>
      <c r="J543" s="244"/>
      <c r="K543" s="244"/>
      <c r="L543" s="244"/>
      <c r="M543" s="244"/>
      <c r="N543" s="244"/>
      <c r="O543" s="244"/>
      <c r="P543" s="244"/>
      <c r="Q543" s="244"/>
      <c r="R543" s="244"/>
      <c r="S543" s="244"/>
      <c r="T543" s="244"/>
      <c r="U543" s="244"/>
      <c r="V543" s="244"/>
      <c r="W543" s="244"/>
      <c r="X543" s="244"/>
      <c r="Y543" s="244"/>
      <c r="Z543" s="244"/>
    </row>
    <row r="544">
      <c r="A544" s="244"/>
      <c r="B544" s="244"/>
      <c r="C544" s="244"/>
      <c r="D544" s="244"/>
      <c r="E544" s="244"/>
      <c r="F544" s="244"/>
      <c r="G544" s="244"/>
      <c r="H544" s="244"/>
      <c r="I544" s="244"/>
      <c r="J544" s="244"/>
      <c r="K544" s="244"/>
      <c r="L544" s="244"/>
      <c r="M544" s="244"/>
      <c r="N544" s="244"/>
      <c r="O544" s="244"/>
      <c r="P544" s="244"/>
      <c r="Q544" s="244"/>
      <c r="R544" s="244"/>
      <c r="S544" s="244"/>
      <c r="T544" s="244"/>
      <c r="U544" s="244"/>
      <c r="V544" s="244"/>
      <c r="W544" s="244"/>
      <c r="X544" s="244"/>
      <c r="Y544" s="244"/>
      <c r="Z544" s="244"/>
    </row>
    <row r="545">
      <c r="A545" s="244"/>
      <c r="B545" s="244"/>
      <c r="C545" s="244"/>
      <c r="D545" s="244"/>
      <c r="E545" s="244"/>
      <c r="F545" s="244"/>
      <c r="G545" s="244"/>
      <c r="H545" s="244"/>
      <c r="I545" s="244"/>
      <c r="J545" s="244"/>
      <c r="K545" s="244"/>
      <c r="L545" s="244"/>
      <c r="M545" s="244"/>
      <c r="N545" s="244"/>
      <c r="O545" s="244"/>
      <c r="P545" s="244"/>
      <c r="Q545" s="244"/>
      <c r="R545" s="244"/>
      <c r="S545" s="244"/>
      <c r="T545" s="244"/>
      <c r="U545" s="244"/>
      <c r="V545" s="244"/>
      <c r="W545" s="244"/>
      <c r="X545" s="244"/>
      <c r="Y545" s="244"/>
      <c r="Z545" s="244"/>
    </row>
    <row r="546">
      <c r="A546" s="244"/>
      <c r="B546" s="244"/>
      <c r="C546" s="244"/>
      <c r="D546" s="244"/>
      <c r="E546" s="244"/>
      <c r="F546" s="244"/>
      <c r="G546" s="244"/>
      <c r="H546" s="244"/>
      <c r="I546" s="244"/>
      <c r="J546" s="244"/>
      <c r="K546" s="244"/>
      <c r="L546" s="244"/>
      <c r="M546" s="244"/>
      <c r="N546" s="244"/>
      <c r="O546" s="244"/>
      <c r="P546" s="244"/>
      <c r="Q546" s="244"/>
      <c r="R546" s="244"/>
      <c r="S546" s="244"/>
      <c r="T546" s="244"/>
      <c r="U546" s="244"/>
      <c r="V546" s="244"/>
      <c r="W546" s="244"/>
      <c r="X546" s="244"/>
      <c r="Y546" s="244"/>
      <c r="Z546" s="244"/>
    </row>
    <row r="547">
      <c r="A547" s="244"/>
      <c r="B547" s="244"/>
      <c r="C547" s="244"/>
      <c r="D547" s="244"/>
      <c r="E547" s="244"/>
      <c r="F547" s="244"/>
      <c r="G547" s="244"/>
      <c r="H547" s="244"/>
      <c r="I547" s="244"/>
      <c r="J547" s="244"/>
      <c r="K547" s="244"/>
      <c r="L547" s="244"/>
      <c r="M547" s="244"/>
      <c r="N547" s="244"/>
      <c r="O547" s="244"/>
      <c r="P547" s="244"/>
      <c r="Q547" s="244"/>
      <c r="R547" s="244"/>
      <c r="S547" s="244"/>
      <c r="T547" s="244"/>
      <c r="U547" s="244"/>
      <c r="V547" s="244"/>
      <c r="W547" s="244"/>
      <c r="X547" s="244"/>
      <c r="Y547" s="244"/>
      <c r="Z547" s="244"/>
    </row>
    <row r="548">
      <c r="A548" s="244"/>
      <c r="B548" s="244"/>
      <c r="C548" s="244"/>
      <c r="D548" s="244"/>
      <c r="E548" s="244"/>
      <c r="F548" s="244"/>
      <c r="G548" s="244"/>
      <c r="H548" s="244"/>
      <c r="I548" s="244"/>
      <c r="J548" s="244"/>
      <c r="K548" s="244"/>
      <c r="L548" s="244"/>
      <c r="M548" s="244"/>
      <c r="N548" s="244"/>
      <c r="O548" s="244"/>
      <c r="P548" s="244"/>
      <c r="Q548" s="244"/>
      <c r="R548" s="244"/>
      <c r="S548" s="244"/>
      <c r="T548" s="244"/>
      <c r="U548" s="244"/>
      <c r="V548" s="244"/>
      <c r="W548" s="244"/>
      <c r="X548" s="244"/>
      <c r="Y548" s="244"/>
      <c r="Z548" s="244"/>
    </row>
    <row r="549">
      <c r="A549" s="244"/>
      <c r="B549" s="244"/>
      <c r="C549" s="244"/>
      <c r="D549" s="244"/>
      <c r="E549" s="244"/>
      <c r="F549" s="244"/>
      <c r="G549" s="244"/>
      <c r="H549" s="244"/>
      <c r="I549" s="244"/>
      <c r="J549" s="244"/>
      <c r="K549" s="244"/>
      <c r="L549" s="244"/>
      <c r="M549" s="244"/>
      <c r="N549" s="244"/>
      <c r="O549" s="244"/>
      <c r="P549" s="244"/>
      <c r="Q549" s="244"/>
      <c r="R549" s="244"/>
      <c r="S549" s="244"/>
      <c r="T549" s="244"/>
      <c r="U549" s="244"/>
      <c r="V549" s="244"/>
      <c r="W549" s="244"/>
      <c r="X549" s="244"/>
      <c r="Y549" s="244"/>
      <c r="Z549" s="244"/>
    </row>
    <row r="550">
      <c r="A550" s="244"/>
      <c r="B550" s="244"/>
      <c r="C550" s="244"/>
      <c r="D550" s="244"/>
      <c r="E550" s="244"/>
      <c r="F550" s="244"/>
      <c r="G550" s="244"/>
      <c r="H550" s="244"/>
      <c r="I550" s="244"/>
      <c r="J550" s="244"/>
      <c r="K550" s="244"/>
      <c r="L550" s="244"/>
      <c r="M550" s="244"/>
      <c r="N550" s="244"/>
      <c r="O550" s="244"/>
      <c r="P550" s="244"/>
      <c r="Q550" s="244"/>
      <c r="R550" s="244"/>
      <c r="S550" s="244"/>
      <c r="T550" s="244"/>
      <c r="U550" s="244"/>
      <c r="V550" s="244"/>
      <c r="W550" s="244"/>
      <c r="X550" s="244"/>
      <c r="Y550" s="244"/>
      <c r="Z550" s="244"/>
    </row>
    <row r="551">
      <c r="A551" s="244"/>
      <c r="B551" s="244"/>
      <c r="C551" s="244"/>
      <c r="D551" s="244"/>
      <c r="E551" s="244"/>
      <c r="F551" s="244"/>
      <c r="G551" s="244"/>
      <c r="H551" s="244"/>
      <c r="I551" s="244"/>
      <c r="J551" s="244"/>
      <c r="K551" s="244"/>
      <c r="L551" s="244"/>
      <c r="M551" s="244"/>
      <c r="N551" s="244"/>
      <c r="O551" s="244"/>
      <c r="P551" s="244"/>
      <c r="Q551" s="244"/>
      <c r="R551" s="244"/>
      <c r="S551" s="244"/>
      <c r="T551" s="244"/>
      <c r="U551" s="244"/>
      <c r="V551" s="244"/>
      <c r="W551" s="244"/>
      <c r="X551" s="244"/>
      <c r="Y551" s="244"/>
      <c r="Z551" s="244"/>
    </row>
    <row r="552">
      <c r="A552" s="244"/>
      <c r="B552" s="244"/>
      <c r="C552" s="244"/>
      <c r="D552" s="244"/>
      <c r="E552" s="244"/>
      <c r="F552" s="244"/>
      <c r="G552" s="244"/>
      <c r="H552" s="244"/>
      <c r="I552" s="244"/>
      <c r="J552" s="244"/>
      <c r="K552" s="244"/>
      <c r="L552" s="244"/>
      <c r="M552" s="244"/>
      <c r="N552" s="244"/>
      <c r="O552" s="244"/>
      <c r="P552" s="244"/>
      <c r="Q552" s="244"/>
      <c r="R552" s="244"/>
      <c r="S552" s="244"/>
      <c r="T552" s="244"/>
      <c r="U552" s="244"/>
      <c r="V552" s="244"/>
      <c r="W552" s="244"/>
      <c r="X552" s="244"/>
      <c r="Y552" s="244"/>
      <c r="Z552" s="244"/>
    </row>
    <row r="553">
      <c r="A553" s="244"/>
      <c r="B553" s="244"/>
      <c r="C553" s="244"/>
      <c r="D553" s="244"/>
      <c r="E553" s="244"/>
      <c r="F553" s="244"/>
      <c r="G553" s="244"/>
      <c r="H553" s="244"/>
      <c r="I553" s="244"/>
      <c r="J553" s="244"/>
      <c r="K553" s="244"/>
      <c r="L553" s="244"/>
      <c r="M553" s="244"/>
      <c r="N553" s="244"/>
      <c r="O553" s="244"/>
      <c r="P553" s="244"/>
      <c r="Q553" s="244"/>
      <c r="R553" s="244"/>
      <c r="S553" s="244"/>
      <c r="T553" s="244"/>
      <c r="U553" s="244"/>
      <c r="V553" s="244"/>
      <c r="W553" s="244"/>
      <c r="X553" s="244"/>
      <c r="Y553" s="244"/>
      <c r="Z553" s="244"/>
    </row>
    <row r="554">
      <c r="A554" s="244"/>
      <c r="B554" s="244"/>
      <c r="C554" s="244"/>
      <c r="D554" s="244"/>
      <c r="E554" s="244"/>
      <c r="F554" s="244"/>
      <c r="G554" s="244"/>
      <c r="H554" s="244"/>
      <c r="I554" s="244"/>
      <c r="J554" s="244"/>
      <c r="K554" s="244"/>
      <c r="L554" s="244"/>
      <c r="M554" s="244"/>
      <c r="N554" s="244"/>
      <c r="O554" s="244"/>
      <c r="P554" s="244"/>
      <c r="Q554" s="244"/>
      <c r="R554" s="244"/>
      <c r="S554" s="244"/>
      <c r="T554" s="244"/>
      <c r="U554" s="244"/>
      <c r="V554" s="244"/>
      <c r="W554" s="244"/>
      <c r="X554" s="244"/>
      <c r="Y554" s="244"/>
      <c r="Z554" s="244"/>
    </row>
    <row r="555">
      <c r="A555" s="244"/>
      <c r="B555" s="244"/>
      <c r="C555" s="244"/>
      <c r="D555" s="244"/>
      <c r="E555" s="244"/>
      <c r="F555" s="244"/>
      <c r="G555" s="244"/>
      <c r="H555" s="244"/>
      <c r="I555" s="244"/>
      <c r="J555" s="244"/>
      <c r="K555" s="244"/>
      <c r="L555" s="244"/>
      <c r="M555" s="244"/>
      <c r="N555" s="244"/>
      <c r="O555" s="244"/>
      <c r="P555" s="244"/>
      <c r="Q555" s="244"/>
      <c r="R555" s="244"/>
      <c r="S555" s="244"/>
      <c r="T555" s="244"/>
      <c r="U555" s="244"/>
      <c r="V555" s="244"/>
      <c r="W555" s="244"/>
      <c r="X555" s="244"/>
      <c r="Y555" s="244"/>
      <c r="Z555" s="244"/>
    </row>
    <row r="556">
      <c r="A556" s="244"/>
      <c r="B556" s="244"/>
      <c r="C556" s="244"/>
      <c r="D556" s="244"/>
      <c r="E556" s="244"/>
      <c r="F556" s="244"/>
      <c r="G556" s="244"/>
      <c r="H556" s="244"/>
      <c r="I556" s="244"/>
      <c r="J556" s="244"/>
      <c r="K556" s="244"/>
      <c r="L556" s="244"/>
      <c r="M556" s="244"/>
      <c r="N556" s="244"/>
      <c r="O556" s="244"/>
      <c r="P556" s="244"/>
      <c r="Q556" s="244"/>
      <c r="R556" s="244"/>
      <c r="S556" s="244"/>
      <c r="T556" s="244"/>
      <c r="U556" s="244"/>
      <c r="V556" s="244"/>
      <c r="W556" s="244"/>
      <c r="X556" s="244"/>
      <c r="Y556" s="244"/>
      <c r="Z556" s="244"/>
    </row>
    <row r="557">
      <c r="A557" s="244"/>
      <c r="B557" s="244"/>
      <c r="C557" s="244"/>
      <c r="D557" s="244"/>
      <c r="E557" s="244"/>
      <c r="F557" s="244"/>
      <c r="G557" s="244"/>
      <c r="H557" s="244"/>
      <c r="I557" s="244"/>
      <c r="J557" s="244"/>
      <c r="K557" s="244"/>
      <c r="L557" s="244"/>
      <c r="M557" s="244"/>
      <c r="N557" s="244"/>
      <c r="O557" s="244"/>
      <c r="P557" s="244"/>
      <c r="Q557" s="244"/>
      <c r="R557" s="244"/>
      <c r="S557" s="244"/>
      <c r="T557" s="244"/>
      <c r="U557" s="244"/>
      <c r="V557" s="244"/>
      <c r="W557" s="244"/>
      <c r="X557" s="244"/>
      <c r="Y557" s="244"/>
      <c r="Z557" s="244"/>
    </row>
    <row r="558">
      <c r="A558" s="244"/>
      <c r="B558" s="244"/>
      <c r="C558" s="244"/>
      <c r="D558" s="244"/>
      <c r="E558" s="244"/>
      <c r="F558" s="244"/>
      <c r="G558" s="244"/>
      <c r="H558" s="244"/>
      <c r="I558" s="244"/>
      <c r="J558" s="244"/>
      <c r="K558" s="244"/>
      <c r="L558" s="244"/>
      <c r="M558" s="244"/>
      <c r="N558" s="244"/>
      <c r="O558" s="244"/>
      <c r="P558" s="244"/>
      <c r="Q558" s="244"/>
      <c r="R558" s="244"/>
      <c r="S558" s="244"/>
      <c r="T558" s="244"/>
      <c r="U558" s="244"/>
      <c r="V558" s="244"/>
      <c r="W558" s="244"/>
      <c r="X558" s="244"/>
      <c r="Y558" s="244"/>
      <c r="Z558" s="244"/>
    </row>
    <row r="559">
      <c r="A559" s="244"/>
      <c r="B559" s="244"/>
      <c r="C559" s="244"/>
      <c r="D559" s="244"/>
      <c r="E559" s="244"/>
      <c r="F559" s="244"/>
      <c r="G559" s="244"/>
      <c r="H559" s="244"/>
      <c r="I559" s="244"/>
      <c r="J559" s="244"/>
      <c r="K559" s="244"/>
      <c r="L559" s="244"/>
      <c r="M559" s="244"/>
      <c r="N559" s="244"/>
      <c r="O559" s="244"/>
      <c r="P559" s="244"/>
      <c r="Q559" s="244"/>
      <c r="R559" s="244"/>
      <c r="S559" s="244"/>
      <c r="T559" s="244"/>
      <c r="U559" s="244"/>
      <c r="V559" s="244"/>
      <c r="W559" s="244"/>
      <c r="X559" s="244"/>
      <c r="Y559" s="244"/>
      <c r="Z559" s="244"/>
    </row>
    <row r="560">
      <c r="A560" s="244"/>
      <c r="B560" s="244"/>
      <c r="C560" s="244"/>
      <c r="D560" s="244"/>
      <c r="E560" s="244"/>
      <c r="F560" s="244"/>
      <c r="G560" s="244"/>
      <c r="H560" s="244"/>
      <c r="I560" s="244"/>
      <c r="J560" s="244"/>
      <c r="K560" s="244"/>
      <c r="L560" s="244"/>
      <c r="M560" s="244"/>
      <c r="N560" s="244"/>
      <c r="O560" s="244"/>
      <c r="P560" s="244"/>
      <c r="Q560" s="244"/>
      <c r="R560" s="244"/>
      <c r="S560" s="244"/>
      <c r="T560" s="244"/>
      <c r="U560" s="244"/>
      <c r="V560" s="244"/>
      <c r="W560" s="244"/>
      <c r="X560" s="244"/>
      <c r="Y560" s="244"/>
      <c r="Z560" s="244"/>
    </row>
    <row r="561">
      <c r="A561" s="244"/>
      <c r="B561" s="244"/>
      <c r="C561" s="244"/>
      <c r="D561" s="244"/>
      <c r="E561" s="244"/>
      <c r="F561" s="244"/>
      <c r="G561" s="244"/>
      <c r="H561" s="244"/>
      <c r="I561" s="244"/>
      <c r="J561" s="244"/>
      <c r="K561" s="244"/>
      <c r="L561" s="244"/>
      <c r="M561" s="244"/>
      <c r="N561" s="244"/>
      <c r="O561" s="244"/>
      <c r="P561" s="244"/>
      <c r="Q561" s="244"/>
      <c r="R561" s="244"/>
      <c r="S561" s="244"/>
      <c r="T561" s="244"/>
      <c r="U561" s="244"/>
      <c r="V561" s="244"/>
      <c r="W561" s="244"/>
      <c r="X561" s="244"/>
      <c r="Y561" s="244"/>
      <c r="Z561" s="244"/>
    </row>
    <row r="562">
      <c r="A562" s="244"/>
      <c r="B562" s="244"/>
      <c r="C562" s="244"/>
      <c r="D562" s="244"/>
      <c r="E562" s="244"/>
      <c r="F562" s="244"/>
      <c r="G562" s="244"/>
      <c r="H562" s="244"/>
      <c r="I562" s="244"/>
      <c r="J562" s="244"/>
      <c r="K562" s="244"/>
      <c r="L562" s="244"/>
      <c r="M562" s="244"/>
      <c r="N562" s="244"/>
      <c r="O562" s="244"/>
      <c r="P562" s="244"/>
      <c r="Q562" s="244"/>
      <c r="R562" s="244"/>
      <c r="S562" s="244"/>
      <c r="T562" s="244"/>
      <c r="U562" s="244"/>
      <c r="V562" s="244"/>
      <c r="W562" s="244"/>
      <c r="X562" s="244"/>
      <c r="Y562" s="244"/>
      <c r="Z562" s="244"/>
    </row>
    <row r="563">
      <c r="A563" s="244"/>
      <c r="B563" s="244"/>
      <c r="C563" s="244"/>
      <c r="D563" s="244"/>
      <c r="E563" s="244"/>
      <c r="F563" s="244"/>
      <c r="G563" s="244"/>
      <c r="H563" s="244"/>
      <c r="I563" s="244"/>
      <c r="J563" s="244"/>
      <c r="K563" s="244"/>
      <c r="L563" s="244"/>
      <c r="M563" s="244"/>
      <c r="N563" s="244"/>
      <c r="O563" s="244"/>
      <c r="P563" s="244"/>
      <c r="Q563" s="244"/>
      <c r="R563" s="244"/>
      <c r="S563" s="244"/>
      <c r="T563" s="244"/>
      <c r="U563" s="244"/>
      <c r="V563" s="244"/>
      <c r="W563" s="244"/>
      <c r="X563" s="244"/>
      <c r="Y563" s="244"/>
      <c r="Z563" s="244"/>
    </row>
    <row r="564">
      <c r="A564" s="244"/>
      <c r="B564" s="244"/>
      <c r="C564" s="244"/>
      <c r="D564" s="244"/>
      <c r="E564" s="244"/>
      <c r="F564" s="244"/>
      <c r="G564" s="244"/>
      <c r="H564" s="244"/>
      <c r="I564" s="244"/>
      <c r="J564" s="244"/>
      <c r="K564" s="244"/>
      <c r="L564" s="244"/>
      <c r="M564" s="244"/>
      <c r="N564" s="244"/>
      <c r="O564" s="244"/>
      <c r="P564" s="244"/>
      <c r="Q564" s="244"/>
      <c r="R564" s="244"/>
      <c r="S564" s="244"/>
      <c r="T564" s="244"/>
      <c r="U564" s="244"/>
      <c r="V564" s="244"/>
      <c r="W564" s="244"/>
      <c r="X564" s="244"/>
      <c r="Y564" s="244"/>
      <c r="Z564" s="244"/>
    </row>
    <row r="565">
      <c r="A565" s="244"/>
      <c r="B565" s="244"/>
      <c r="C565" s="244"/>
      <c r="D565" s="244"/>
      <c r="E565" s="244"/>
      <c r="F565" s="244"/>
      <c r="G565" s="244"/>
      <c r="H565" s="244"/>
      <c r="I565" s="244"/>
      <c r="J565" s="244"/>
      <c r="K565" s="244"/>
      <c r="L565" s="244"/>
      <c r="M565" s="244"/>
      <c r="N565" s="244"/>
      <c r="O565" s="244"/>
      <c r="P565" s="244"/>
      <c r="Q565" s="244"/>
      <c r="R565" s="244"/>
      <c r="S565" s="244"/>
      <c r="T565" s="244"/>
      <c r="U565" s="244"/>
      <c r="V565" s="244"/>
      <c r="W565" s="244"/>
      <c r="X565" s="244"/>
      <c r="Y565" s="244"/>
      <c r="Z565" s="244"/>
    </row>
    <row r="566">
      <c r="A566" s="244"/>
      <c r="B566" s="244"/>
      <c r="C566" s="244"/>
      <c r="D566" s="244"/>
      <c r="E566" s="244"/>
      <c r="F566" s="244"/>
      <c r="G566" s="244"/>
      <c r="H566" s="244"/>
      <c r="I566" s="244"/>
      <c r="J566" s="244"/>
      <c r="K566" s="244"/>
      <c r="L566" s="244"/>
      <c r="M566" s="244"/>
      <c r="N566" s="244"/>
      <c r="O566" s="244"/>
      <c r="P566" s="244"/>
      <c r="Q566" s="244"/>
      <c r="R566" s="244"/>
      <c r="S566" s="244"/>
      <c r="T566" s="244"/>
      <c r="U566" s="244"/>
      <c r="V566" s="244"/>
      <c r="W566" s="244"/>
      <c r="X566" s="244"/>
      <c r="Y566" s="244"/>
      <c r="Z566" s="244"/>
    </row>
    <row r="567">
      <c r="A567" s="244"/>
      <c r="B567" s="244"/>
      <c r="C567" s="244"/>
      <c r="D567" s="244"/>
      <c r="E567" s="244"/>
      <c r="F567" s="244"/>
      <c r="G567" s="244"/>
      <c r="H567" s="244"/>
      <c r="I567" s="244"/>
      <c r="J567" s="244"/>
      <c r="K567" s="244"/>
      <c r="L567" s="244"/>
      <c r="M567" s="244"/>
      <c r="N567" s="244"/>
      <c r="O567" s="244"/>
      <c r="P567" s="244"/>
      <c r="Q567" s="244"/>
      <c r="R567" s="244"/>
      <c r="S567" s="244"/>
      <c r="T567" s="244"/>
      <c r="U567" s="244"/>
      <c r="V567" s="244"/>
      <c r="W567" s="244"/>
      <c r="X567" s="244"/>
      <c r="Y567" s="244"/>
      <c r="Z567" s="244"/>
    </row>
    <row r="568">
      <c r="A568" s="244"/>
      <c r="B568" s="244"/>
      <c r="C568" s="244"/>
      <c r="D568" s="244"/>
      <c r="E568" s="244"/>
      <c r="F568" s="244"/>
      <c r="G568" s="244"/>
      <c r="H568" s="244"/>
      <c r="I568" s="244"/>
      <c r="J568" s="244"/>
      <c r="K568" s="244"/>
      <c r="L568" s="244"/>
      <c r="M568" s="244"/>
      <c r="N568" s="244"/>
      <c r="O568" s="244"/>
      <c r="P568" s="244"/>
      <c r="Q568" s="244"/>
      <c r="R568" s="244"/>
      <c r="S568" s="244"/>
      <c r="T568" s="244"/>
      <c r="U568" s="244"/>
      <c r="V568" s="244"/>
      <c r="W568" s="244"/>
      <c r="X568" s="244"/>
      <c r="Y568" s="244"/>
      <c r="Z568" s="244"/>
    </row>
    <row r="569">
      <c r="A569" s="244"/>
      <c r="B569" s="244"/>
      <c r="C569" s="244"/>
      <c r="D569" s="244"/>
      <c r="E569" s="244"/>
      <c r="F569" s="244"/>
      <c r="G569" s="244"/>
      <c r="H569" s="244"/>
      <c r="I569" s="244"/>
      <c r="J569" s="244"/>
      <c r="K569" s="244"/>
      <c r="L569" s="244"/>
      <c r="M569" s="244"/>
      <c r="N569" s="244"/>
      <c r="O569" s="244"/>
      <c r="P569" s="244"/>
      <c r="Q569" s="244"/>
      <c r="R569" s="244"/>
      <c r="S569" s="244"/>
      <c r="T569" s="244"/>
      <c r="U569" s="244"/>
      <c r="V569" s="244"/>
      <c r="W569" s="244"/>
      <c r="X569" s="244"/>
      <c r="Y569" s="244"/>
      <c r="Z569" s="244"/>
    </row>
    <row r="570">
      <c r="A570" s="244"/>
      <c r="B570" s="244"/>
      <c r="C570" s="244"/>
      <c r="D570" s="244"/>
      <c r="E570" s="244"/>
      <c r="F570" s="244"/>
      <c r="G570" s="244"/>
      <c r="H570" s="244"/>
      <c r="I570" s="244"/>
      <c r="J570" s="244"/>
      <c r="K570" s="244"/>
      <c r="L570" s="244"/>
      <c r="M570" s="244"/>
      <c r="N570" s="244"/>
      <c r="O570" s="244"/>
      <c r="P570" s="244"/>
      <c r="Q570" s="244"/>
      <c r="R570" s="244"/>
      <c r="S570" s="244"/>
      <c r="T570" s="244"/>
      <c r="U570" s="244"/>
      <c r="V570" s="244"/>
      <c r="W570" s="244"/>
      <c r="X570" s="244"/>
      <c r="Y570" s="244"/>
      <c r="Z570" s="244"/>
    </row>
    <row r="571">
      <c r="A571" s="244"/>
      <c r="B571" s="244"/>
      <c r="C571" s="244"/>
      <c r="D571" s="244"/>
      <c r="E571" s="244"/>
      <c r="F571" s="244"/>
      <c r="G571" s="244"/>
      <c r="H571" s="244"/>
      <c r="I571" s="244"/>
      <c r="J571" s="244"/>
      <c r="K571" s="244"/>
      <c r="L571" s="244"/>
      <c r="M571" s="244"/>
      <c r="N571" s="244"/>
      <c r="O571" s="244"/>
      <c r="P571" s="244"/>
      <c r="Q571" s="244"/>
      <c r="R571" s="244"/>
      <c r="S571" s="244"/>
      <c r="T571" s="244"/>
      <c r="U571" s="244"/>
      <c r="V571" s="244"/>
      <c r="W571" s="244"/>
      <c r="X571" s="244"/>
      <c r="Y571" s="244"/>
      <c r="Z571" s="244"/>
    </row>
    <row r="572">
      <c r="A572" s="244"/>
      <c r="B572" s="244"/>
      <c r="C572" s="244"/>
      <c r="D572" s="244"/>
      <c r="E572" s="244"/>
      <c r="F572" s="244"/>
      <c r="G572" s="244"/>
      <c r="H572" s="244"/>
      <c r="I572" s="244"/>
      <c r="J572" s="244"/>
      <c r="K572" s="244"/>
      <c r="L572" s="244"/>
      <c r="M572" s="244"/>
      <c r="N572" s="244"/>
      <c r="O572" s="244"/>
      <c r="P572" s="244"/>
      <c r="Q572" s="244"/>
      <c r="R572" s="244"/>
      <c r="S572" s="244"/>
      <c r="T572" s="244"/>
      <c r="U572" s="244"/>
      <c r="V572" s="244"/>
      <c r="W572" s="244"/>
      <c r="X572" s="244"/>
      <c r="Y572" s="244"/>
      <c r="Z572" s="244"/>
    </row>
    <row r="573">
      <c r="A573" s="244"/>
      <c r="B573" s="244"/>
      <c r="C573" s="244"/>
      <c r="D573" s="244"/>
      <c r="E573" s="244"/>
      <c r="F573" s="244"/>
      <c r="G573" s="244"/>
      <c r="H573" s="244"/>
      <c r="I573" s="244"/>
      <c r="J573" s="244"/>
      <c r="K573" s="244"/>
      <c r="L573" s="244"/>
      <c r="M573" s="244"/>
      <c r="N573" s="244"/>
      <c r="O573" s="244"/>
      <c r="P573" s="244"/>
      <c r="Q573" s="244"/>
      <c r="R573" s="244"/>
      <c r="S573" s="244"/>
      <c r="T573" s="244"/>
      <c r="U573" s="244"/>
      <c r="V573" s="244"/>
      <c r="W573" s="244"/>
      <c r="X573" s="244"/>
      <c r="Y573" s="244"/>
      <c r="Z573" s="244"/>
    </row>
    <row r="574">
      <c r="A574" s="244"/>
      <c r="B574" s="244"/>
      <c r="C574" s="244"/>
      <c r="D574" s="244"/>
      <c r="E574" s="244"/>
      <c r="F574" s="244"/>
      <c r="G574" s="244"/>
      <c r="H574" s="244"/>
      <c r="I574" s="244"/>
      <c r="J574" s="244"/>
      <c r="K574" s="244"/>
      <c r="L574" s="244"/>
      <c r="M574" s="244"/>
      <c r="N574" s="244"/>
      <c r="O574" s="244"/>
      <c r="P574" s="244"/>
      <c r="Q574" s="244"/>
      <c r="R574" s="244"/>
      <c r="S574" s="244"/>
      <c r="T574" s="244"/>
      <c r="U574" s="244"/>
      <c r="V574" s="244"/>
      <c r="W574" s="244"/>
      <c r="X574" s="244"/>
      <c r="Y574" s="244"/>
      <c r="Z574" s="244"/>
    </row>
    <row r="575">
      <c r="A575" s="244"/>
      <c r="B575" s="244"/>
      <c r="C575" s="244"/>
      <c r="D575" s="244"/>
      <c r="E575" s="244"/>
      <c r="F575" s="244"/>
      <c r="G575" s="244"/>
      <c r="H575" s="244"/>
      <c r="I575" s="244"/>
      <c r="J575" s="244"/>
      <c r="K575" s="244"/>
      <c r="L575" s="244"/>
      <c r="M575" s="244"/>
      <c r="N575" s="244"/>
      <c r="O575" s="244"/>
      <c r="P575" s="244"/>
      <c r="Q575" s="244"/>
      <c r="R575" s="244"/>
      <c r="S575" s="244"/>
      <c r="T575" s="244"/>
      <c r="U575" s="244"/>
      <c r="V575" s="244"/>
      <c r="W575" s="244"/>
      <c r="X575" s="244"/>
      <c r="Y575" s="244"/>
      <c r="Z575" s="244"/>
    </row>
    <row r="576">
      <c r="A576" s="244"/>
      <c r="B576" s="244"/>
      <c r="C576" s="244"/>
      <c r="D576" s="244"/>
      <c r="E576" s="244"/>
      <c r="F576" s="244"/>
      <c r="G576" s="244"/>
      <c r="H576" s="244"/>
      <c r="I576" s="244"/>
      <c r="J576" s="244"/>
      <c r="K576" s="244"/>
      <c r="L576" s="244"/>
      <c r="M576" s="244"/>
      <c r="N576" s="244"/>
      <c r="O576" s="244"/>
      <c r="P576" s="244"/>
      <c r="Q576" s="244"/>
      <c r="R576" s="244"/>
      <c r="S576" s="244"/>
      <c r="T576" s="244"/>
      <c r="U576" s="244"/>
      <c r="V576" s="244"/>
      <c r="W576" s="244"/>
      <c r="X576" s="244"/>
      <c r="Y576" s="244"/>
      <c r="Z576" s="244"/>
    </row>
    <row r="577">
      <c r="A577" s="244"/>
      <c r="B577" s="244"/>
      <c r="C577" s="244"/>
      <c r="D577" s="244"/>
      <c r="E577" s="244"/>
      <c r="F577" s="244"/>
      <c r="G577" s="244"/>
      <c r="H577" s="244"/>
      <c r="I577" s="244"/>
      <c r="J577" s="244"/>
      <c r="K577" s="244"/>
      <c r="L577" s="244"/>
      <c r="M577" s="244"/>
      <c r="N577" s="244"/>
      <c r="O577" s="244"/>
      <c r="P577" s="244"/>
      <c r="Q577" s="244"/>
      <c r="R577" s="244"/>
      <c r="S577" s="244"/>
      <c r="T577" s="244"/>
      <c r="U577" s="244"/>
      <c r="V577" s="244"/>
      <c r="W577" s="244"/>
      <c r="X577" s="244"/>
      <c r="Y577" s="244"/>
      <c r="Z577" s="244"/>
    </row>
    <row r="578">
      <c r="A578" s="244"/>
      <c r="B578" s="244"/>
      <c r="C578" s="244"/>
      <c r="D578" s="244"/>
      <c r="E578" s="244"/>
      <c r="F578" s="244"/>
      <c r="G578" s="244"/>
      <c r="H578" s="244"/>
      <c r="I578" s="244"/>
      <c r="J578" s="244"/>
      <c r="K578" s="244"/>
      <c r="L578" s="244"/>
      <c r="M578" s="244"/>
      <c r="N578" s="244"/>
      <c r="O578" s="244"/>
      <c r="P578" s="244"/>
      <c r="Q578" s="244"/>
      <c r="R578" s="244"/>
      <c r="S578" s="244"/>
      <c r="T578" s="244"/>
      <c r="U578" s="244"/>
      <c r="V578" s="244"/>
      <c r="W578" s="244"/>
      <c r="X578" s="244"/>
      <c r="Y578" s="244"/>
      <c r="Z578" s="244"/>
    </row>
    <row r="579">
      <c r="A579" s="244"/>
      <c r="B579" s="244"/>
      <c r="C579" s="244"/>
      <c r="D579" s="244"/>
      <c r="E579" s="244"/>
      <c r="F579" s="244"/>
      <c r="G579" s="244"/>
      <c r="H579" s="244"/>
      <c r="I579" s="244"/>
      <c r="J579" s="244"/>
      <c r="K579" s="244"/>
      <c r="L579" s="244"/>
      <c r="M579" s="244"/>
      <c r="N579" s="244"/>
      <c r="O579" s="244"/>
      <c r="P579" s="244"/>
      <c r="Q579" s="244"/>
      <c r="R579" s="244"/>
      <c r="S579" s="244"/>
      <c r="T579" s="244"/>
      <c r="U579" s="244"/>
      <c r="V579" s="244"/>
      <c r="W579" s="244"/>
      <c r="X579" s="244"/>
      <c r="Y579" s="244"/>
      <c r="Z579" s="244"/>
    </row>
    <row r="580">
      <c r="A580" s="244"/>
      <c r="B580" s="244"/>
      <c r="C580" s="244"/>
      <c r="D580" s="244"/>
      <c r="E580" s="244"/>
      <c r="F580" s="244"/>
      <c r="G580" s="244"/>
      <c r="H580" s="244"/>
      <c r="I580" s="244"/>
      <c r="J580" s="244"/>
      <c r="K580" s="244"/>
      <c r="L580" s="244"/>
      <c r="M580" s="244"/>
      <c r="N580" s="244"/>
      <c r="O580" s="244"/>
      <c r="P580" s="244"/>
      <c r="Q580" s="244"/>
      <c r="R580" s="244"/>
      <c r="S580" s="244"/>
      <c r="T580" s="244"/>
      <c r="U580" s="244"/>
      <c r="V580" s="244"/>
      <c r="W580" s="244"/>
      <c r="X580" s="244"/>
      <c r="Y580" s="244"/>
      <c r="Z580" s="244"/>
    </row>
    <row r="581">
      <c r="A581" s="244"/>
      <c r="B581" s="244"/>
      <c r="C581" s="244"/>
      <c r="D581" s="244"/>
      <c r="E581" s="244"/>
      <c r="F581" s="244"/>
      <c r="G581" s="244"/>
      <c r="H581" s="244"/>
      <c r="I581" s="244"/>
      <c r="J581" s="244"/>
      <c r="K581" s="244"/>
      <c r="L581" s="244"/>
      <c r="M581" s="244"/>
      <c r="N581" s="244"/>
      <c r="O581" s="244"/>
      <c r="P581" s="244"/>
      <c r="Q581" s="244"/>
      <c r="R581" s="244"/>
      <c r="S581" s="244"/>
      <c r="T581" s="244"/>
      <c r="U581" s="244"/>
      <c r="V581" s="244"/>
      <c r="W581" s="244"/>
      <c r="X581" s="244"/>
      <c r="Y581" s="244"/>
      <c r="Z581" s="244"/>
    </row>
    <row r="582">
      <c r="A582" s="244"/>
      <c r="B582" s="244"/>
      <c r="C582" s="244"/>
      <c r="D582" s="244"/>
      <c r="E582" s="244"/>
      <c r="F582" s="244"/>
      <c r="G582" s="244"/>
      <c r="H582" s="244"/>
      <c r="I582" s="244"/>
      <c r="J582" s="244"/>
      <c r="K582" s="244"/>
      <c r="L582" s="244"/>
      <c r="M582" s="244"/>
      <c r="N582" s="244"/>
      <c r="O582" s="244"/>
      <c r="P582" s="244"/>
      <c r="Q582" s="244"/>
      <c r="R582" s="244"/>
      <c r="S582" s="244"/>
      <c r="T582" s="244"/>
      <c r="U582" s="244"/>
      <c r="V582" s="244"/>
      <c r="W582" s="244"/>
      <c r="X582" s="244"/>
      <c r="Y582" s="244"/>
      <c r="Z582" s="244"/>
    </row>
    <row r="583">
      <c r="A583" s="244"/>
      <c r="B583" s="244"/>
      <c r="C583" s="244"/>
      <c r="D583" s="244"/>
      <c r="E583" s="244"/>
      <c r="F583" s="244"/>
      <c r="G583" s="244"/>
      <c r="H583" s="244"/>
      <c r="I583" s="244"/>
      <c r="J583" s="244"/>
      <c r="K583" s="244"/>
      <c r="L583" s="244"/>
      <c r="M583" s="244"/>
      <c r="N583" s="244"/>
      <c r="O583" s="244"/>
      <c r="P583" s="244"/>
      <c r="Q583" s="244"/>
      <c r="R583" s="244"/>
      <c r="S583" s="244"/>
      <c r="T583" s="244"/>
      <c r="U583" s="244"/>
      <c r="V583" s="244"/>
      <c r="W583" s="244"/>
      <c r="X583" s="244"/>
      <c r="Y583" s="244"/>
      <c r="Z583" s="244"/>
    </row>
    <row r="584">
      <c r="A584" s="244"/>
      <c r="B584" s="244"/>
      <c r="C584" s="244"/>
      <c r="D584" s="244"/>
      <c r="E584" s="244"/>
      <c r="F584" s="244"/>
      <c r="G584" s="244"/>
      <c r="H584" s="244"/>
      <c r="I584" s="244"/>
      <c r="J584" s="244"/>
      <c r="K584" s="244"/>
      <c r="L584" s="244"/>
      <c r="M584" s="244"/>
      <c r="N584" s="244"/>
      <c r="O584" s="244"/>
      <c r="P584" s="244"/>
      <c r="Q584" s="244"/>
      <c r="R584" s="244"/>
      <c r="S584" s="244"/>
      <c r="T584" s="244"/>
      <c r="U584" s="244"/>
      <c r="V584" s="244"/>
      <c r="W584" s="244"/>
      <c r="X584" s="244"/>
      <c r="Y584" s="244"/>
      <c r="Z584" s="244"/>
    </row>
    <row r="585">
      <c r="A585" s="244"/>
      <c r="B585" s="244"/>
      <c r="C585" s="244"/>
      <c r="D585" s="244"/>
      <c r="E585" s="244"/>
      <c r="F585" s="244"/>
      <c r="G585" s="244"/>
      <c r="H585" s="244"/>
      <c r="I585" s="244"/>
      <c r="J585" s="244"/>
      <c r="K585" s="244"/>
      <c r="L585" s="244"/>
      <c r="M585" s="244"/>
      <c r="N585" s="244"/>
      <c r="O585" s="244"/>
      <c r="P585" s="244"/>
      <c r="Q585" s="244"/>
      <c r="R585" s="244"/>
      <c r="S585" s="244"/>
      <c r="T585" s="244"/>
      <c r="U585" s="244"/>
      <c r="V585" s="244"/>
      <c r="W585" s="244"/>
      <c r="X585" s="244"/>
      <c r="Y585" s="244"/>
      <c r="Z585" s="244"/>
    </row>
    <row r="586">
      <c r="A586" s="244"/>
      <c r="B586" s="244"/>
      <c r="C586" s="244"/>
      <c r="D586" s="244"/>
      <c r="E586" s="244"/>
      <c r="F586" s="244"/>
      <c r="G586" s="244"/>
      <c r="H586" s="244"/>
      <c r="I586" s="244"/>
      <c r="J586" s="244"/>
      <c r="K586" s="244"/>
      <c r="L586" s="244"/>
      <c r="M586" s="244"/>
      <c r="N586" s="244"/>
      <c r="O586" s="244"/>
      <c r="P586" s="244"/>
      <c r="Q586" s="244"/>
      <c r="R586" s="244"/>
      <c r="S586" s="244"/>
      <c r="T586" s="244"/>
      <c r="U586" s="244"/>
      <c r="V586" s="244"/>
      <c r="W586" s="244"/>
      <c r="X586" s="244"/>
      <c r="Y586" s="244"/>
      <c r="Z586" s="244"/>
    </row>
    <row r="587">
      <c r="A587" s="244"/>
      <c r="B587" s="244"/>
      <c r="C587" s="244"/>
      <c r="D587" s="244"/>
      <c r="E587" s="244"/>
      <c r="F587" s="244"/>
      <c r="G587" s="244"/>
      <c r="H587" s="244"/>
      <c r="I587" s="244"/>
      <c r="J587" s="244"/>
      <c r="K587" s="244"/>
      <c r="L587" s="244"/>
      <c r="M587" s="244"/>
      <c r="N587" s="244"/>
      <c r="O587" s="244"/>
      <c r="P587" s="244"/>
      <c r="Q587" s="244"/>
      <c r="R587" s="244"/>
      <c r="S587" s="244"/>
      <c r="T587" s="244"/>
      <c r="U587" s="244"/>
      <c r="V587" s="244"/>
      <c r="W587" s="244"/>
      <c r="X587" s="244"/>
      <c r="Y587" s="244"/>
      <c r="Z587" s="244"/>
    </row>
    <row r="588">
      <c r="A588" s="244"/>
      <c r="B588" s="244"/>
      <c r="C588" s="244"/>
      <c r="D588" s="244"/>
      <c r="E588" s="244"/>
      <c r="F588" s="244"/>
      <c r="G588" s="244"/>
      <c r="H588" s="244"/>
      <c r="I588" s="244"/>
      <c r="J588" s="244"/>
      <c r="K588" s="244"/>
      <c r="L588" s="244"/>
      <c r="M588" s="244"/>
      <c r="N588" s="244"/>
      <c r="O588" s="244"/>
      <c r="P588" s="244"/>
      <c r="Q588" s="244"/>
      <c r="R588" s="244"/>
      <c r="S588" s="244"/>
      <c r="T588" s="244"/>
      <c r="U588" s="244"/>
      <c r="V588" s="244"/>
      <c r="W588" s="244"/>
      <c r="X588" s="244"/>
      <c r="Y588" s="244"/>
      <c r="Z588" s="244"/>
    </row>
    <row r="589">
      <c r="A589" s="244"/>
      <c r="B589" s="244"/>
      <c r="C589" s="244"/>
      <c r="D589" s="244"/>
      <c r="E589" s="244"/>
      <c r="F589" s="244"/>
      <c r="G589" s="244"/>
      <c r="H589" s="244"/>
      <c r="I589" s="244"/>
      <c r="J589" s="244"/>
      <c r="K589" s="244"/>
      <c r="L589" s="244"/>
      <c r="M589" s="244"/>
      <c r="N589" s="244"/>
      <c r="O589" s="244"/>
      <c r="P589" s="244"/>
      <c r="Q589" s="244"/>
      <c r="R589" s="244"/>
      <c r="S589" s="244"/>
      <c r="T589" s="244"/>
      <c r="U589" s="244"/>
      <c r="V589" s="244"/>
      <c r="W589" s="244"/>
      <c r="X589" s="244"/>
      <c r="Y589" s="244"/>
      <c r="Z589" s="244"/>
    </row>
    <row r="590">
      <c r="A590" s="244"/>
      <c r="B590" s="244"/>
      <c r="C590" s="244"/>
      <c r="D590" s="244"/>
      <c r="E590" s="244"/>
      <c r="F590" s="244"/>
      <c r="G590" s="244"/>
      <c r="H590" s="244"/>
      <c r="I590" s="244"/>
      <c r="J590" s="244"/>
      <c r="K590" s="244"/>
      <c r="L590" s="244"/>
      <c r="M590" s="244"/>
      <c r="N590" s="244"/>
      <c r="O590" s="244"/>
      <c r="P590" s="244"/>
      <c r="Q590" s="244"/>
      <c r="R590" s="244"/>
      <c r="S590" s="244"/>
      <c r="T590" s="244"/>
      <c r="U590" s="244"/>
      <c r="V590" s="244"/>
      <c r="W590" s="244"/>
      <c r="X590" s="244"/>
      <c r="Y590" s="244"/>
      <c r="Z590" s="244"/>
    </row>
    <row r="591">
      <c r="A591" s="244"/>
      <c r="B591" s="244"/>
      <c r="C591" s="244"/>
      <c r="D591" s="244"/>
      <c r="E591" s="244"/>
      <c r="F591" s="244"/>
      <c r="G591" s="244"/>
      <c r="H591" s="244"/>
      <c r="I591" s="244"/>
      <c r="J591" s="244"/>
      <c r="K591" s="244"/>
      <c r="L591" s="244"/>
      <c r="M591" s="244"/>
      <c r="N591" s="244"/>
      <c r="O591" s="244"/>
      <c r="P591" s="244"/>
      <c r="Q591" s="244"/>
      <c r="R591" s="244"/>
      <c r="S591" s="244"/>
      <c r="T591" s="244"/>
      <c r="U591" s="244"/>
      <c r="V591" s="244"/>
      <c r="W591" s="244"/>
      <c r="X591" s="244"/>
      <c r="Y591" s="244"/>
      <c r="Z591" s="244"/>
    </row>
    <row r="592">
      <c r="A592" s="244"/>
      <c r="B592" s="244"/>
      <c r="C592" s="244"/>
      <c r="D592" s="244"/>
      <c r="E592" s="244"/>
      <c r="F592" s="244"/>
      <c r="G592" s="244"/>
      <c r="H592" s="244"/>
      <c r="I592" s="244"/>
      <c r="J592" s="244"/>
      <c r="K592" s="244"/>
      <c r="L592" s="244"/>
      <c r="M592" s="244"/>
      <c r="N592" s="244"/>
      <c r="O592" s="244"/>
      <c r="P592" s="244"/>
      <c r="Q592" s="244"/>
      <c r="R592" s="244"/>
      <c r="S592" s="244"/>
      <c r="T592" s="244"/>
      <c r="U592" s="244"/>
      <c r="V592" s="244"/>
      <c r="W592" s="244"/>
      <c r="X592" s="244"/>
      <c r="Y592" s="244"/>
      <c r="Z592" s="244"/>
    </row>
    <row r="593">
      <c r="A593" s="244"/>
      <c r="B593" s="244"/>
      <c r="C593" s="244"/>
      <c r="D593" s="244"/>
      <c r="E593" s="244"/>
      <c r="F593" s="244"/>
      <c r="G593" s="244"/>
      <c r="H593" s="244"/>
      <c r="I593" s="244"/>
      <c r="J593" s="244"/>
      <c r="K593" s="244"/>
      <c r="L593" s="244"/>
      <c r="M593" s="244"/>
      <c r="N593" s="244"/>
      <c r="O593" s="244"/>
      <c r="P593" s="244"/>
      <c r="Q593" s="244"/>
      <c r="R593" s="244"/>
      <c r="S593" s="244"/>
      <c r="T593" s="244"/>
      <c r="U593" s="244"/>
      <c r="V593" s="244"/>
      <c r="W593" s="244"/>
      <c r="X593" s="244"/>
      <c r="Y593" s="244"/>
      <c r="Z593" s="244"/>
    </row>
    <row r="594">
      <c r="A594" s="244"/>
      <c r="B594" s="244"/>
      <c r="C594" s="244"/>
      <c r="D594" s="244"/>
      <c r="E594" s="244"/>
      <c r="F594" s="244"/>
      <c r="G594" s="244"/>
      <c r="H594" s="244"/>
      <c r="I594" s="244"/>
      <c r="J594" s="244"/>
      <c r="K594" s="244"/>
      <c r="L594" s="244"/>
      <c r="M594" s="244"/>
      <c r="N594" s="244"/>
      <c r="O594" s="244"/>
      <c r="P594" s="244"/>
      <c r="Q594" s="244"/>
      <c r="R594" s="244"/>
      <c r="S594" s="244"/>
      <c r="T594" s="244"/>
      <c r="U594" s="244"/>
      <c r="V594" s="244"/>
      <c r="W594" s="244"/>
      <c r="X594" s="244"/>
      <c r="Y594" s="244"/>
      <c r="Z594" s="244"/>
    </row>
    <row r="595">
      <c r="A595" s="244"/>
      <c r="B595" s="244"/>
      <c r="C595" s="244"/>
      <c r="D595" s="244"/>
      <c r="E595" s="244"/>
      <c r="F595" s="244"/>
      <c r="G595" s="244"/>
      <c r="H595" s="244"/>
      <c r="I595" s="244"/>
      <c r="J595" s="244"/>
      <c r="K595" s="244"/>
      <c r="L595" s="244"/>
      <c r="M595" s="244"/>
      <c r="N595" s="244"/>
      <c r="O595" s="244"/>
      <c r="P595" s="244"/>
      <c r="Q595" s="244"/>
      <c r="R595" s="244"/>
      <c r="S595" s="244"/>
      <c r="T595" s="244"/>
      <c r="U595" s="244"/>
      <c r="V595" s="244"/>
      <c r="W595" s="244"/>
      <c r="X595" s="244"/>
      <c r="Y595" s="244"/>
      <c r="Z595" s="244"/>
    </row>
    <row r="596">
      <c r="A596" s="244"/>
      <c r="B596" s="244"/>
      <c r="C596" s="244"/>
      <c r="D596" s="244"/>
      <c r="E596" s="244"/>
      <c r="F596" s="244"/>
      <c r="G596" s="244"/>
      <c r="H596" s="244"/>
      <c r="I596" s="244"/>
      <c r="J596" s="244"/>
      <c r="K596" s="244"/>
      <c r="L596" s="244"/>
      <c r="M596" s="244"/>
      <c r="N596" s="244"/>
      <c r="O596" s="244"/>
      <c r="P596" s="244"/>
      <c r="Q596" s="244"/>
      <c r="R596" s="244"/>
      <c r="S596" s="244"/>
      <c r="T596" s="244"/>
      <c r="U596" s="244"/>
      <c r="V596" s="244"/>
      <c r="W596" s="244"/>
      <c r="X596" s="244"/>
      <c r="Y596" s="244"/>
      <c r="Z596" s="244"/>
    </row>
    <row r="597">
      <c r="A597" s="244"/>
      <c r="B597" s="244"/>
      <c r="C597" s="244"/>
      <c r="D597" s="244"/>
      <c r="E597" s="244"/>
      <c r="F597" s="244"/>
      <c r="G597" s="244"/>
      <c r="H597" s="244"/>
      <c r="I597" s="244"/>
      <c r="J597" s="244"/>
      <c r="K597" s="244"/>
      <c r="L597" s="244"/>
      <c r="M597" s="244"/>
      <c r="N597" s="244"/>
      <c r="O597" s="244"/>
      <c r="P597" s="244"/>
      <c r="Q597" s="244"/>
      <c r="R597" s="244"/>
      <c r="S597" s="244"/>
      <c r="T597" s="244"/>
      <c r="U597" s="244"/>
      <c r="V597" s="244"/>
      <c r="W597" s="244"/>
      <c r="X597" s="244"/>
      <c r="Y597" s="244"/>
      <c r="Z597" s="244"/>
    </row>
    <row r="598">
      <c r="A598" s="244"/>
      <c r="B598" s="244"/>
      <c r="C598" s="244"/>
      <c r="D598" s="244"/>
      <c r="E598" s="244"/>
      <c r="F598" s="244"/>
      <c r="G598" s="244"/>
      <c r="H598" s="244"/>
      <c r="I598" s="244"/>
      <c r="J598" s="244"/>
      <c r="K598" s="244"/>
      <c r="L598" s="244"/>
      <c r="M598" s="244"/>
      <c r="N598" s="244"/>
      <c r="O598" s="244"/>
      <c r="P598" s="244"/>
      <c r="Q598" s="244"/>
      <c r="R598" s="244"/>
      <c r="S598" s="244"/>
      <c r="T598" s="244"/>
      <c r="U598" s="244"/>
      <c r="V598" s="244"/>
      <c r="W598" s="244"/>
      <c r="X598" s="244"/>
      <c r="Y598" s="244"/>
      <c r="Z598" s="244"/>
    </row>
    <row r="599">
      <c r="A599" s="244"/>
      <c r="B599" s="244"/>
      <c r="C599" s="244"/>
      <c r="D599" s="244"/>
      <c r="E599" s="244"/>
      <c r="F599" s="244"/>
      <c r="G599" s="244"/>
      <c r="H599" s="244"/>
      <c r="I599" s="244"/>
      <c r="J599" s="244"/>
      <c r="K599" s="244"/>
      <c r="L599" s="244"/>
      <c r="M599" s="244"/>
      <c r="N599" s="244"/>
      <c r="O599" s="244"/>
      <c r="P599" s="244"/>
      <c r="Q599" s="244"/>
      <c r="R599" s="244"/>
      <c r="S599" s="244"/>
      <c r="T599" s="244"/>
      <c r="U599" s="244"/>
      <c r="V599" s="244"/>
      <c r="W599" s="244"/>
      <c r="X599" s="244"/>
      <c r="Y599" s="244"/>
      <c r="Z599" s="244"/>
    </row>
    <row r="600">
      <c r="A600" s="244"/>
      <c r="B600" s="244"/>
      <c r="C600" s="244"/>
      <c r="D600" s="244"/>
      <c r="E600" s="244"/>
      <c r="F600" s="244"/>
      <c r="G600" s="244"/>
      <c r="H600" s="244"/>
      <c r="I600" s="244"/>
      <c r="J600" s="244"/>
      <c r="K600" s="244"/>
      <c r="L600" s="244"/>
      <c r="M600" s="244"/>
      <c r="N600" s="244"/>
      <c r="O600" s="244"/>
      <c r="P600" s="244"/>
      <c r="Q600" s="244"/>
      <c r="R600" s="244"/>
      <c r="S600" s="244"/>
      <c r="T600" s="244"/>
      <c r="U600" s="244"/>
      <c r="V600" s="244"/>
      <c r="W600" s="244"/>
      <c r="X600" s="244"/>
      <c r="Y600" s="244"/>
      <c r="Z600" s="244"/>
    </row>
    <row r="601">
      <c r="A601" s="244"/>
      <c r="B601" s="244"/>
      <c r="C601" s="244"/>
      <c r="D601" s="244"/>
      <c r="E601" s="244"/>
      <c r="F601" s="244"/>
      <c r="G601" s="244"/>
      <c r="H601" s="244"/>
      <c r="I601" s="244"/>
      <c r="J601" s="244"/>
      <c r="K601" s="244"/>
      <c r="L601" s="244"/>
      <c r="M601" s="244"/>
      <c r="N601" s="244"/>
      <c r="O601" s="244"/>
      <c r="P601" s="244"/>
      <c r="Q601" s="244"/>
      <c r="R601" s="244"/>
      <c r="S601" s="244"/>
      <c r="T601" s="244"/>
      <c r="U601" s="244"/>
      <c r="V601" s="244"/>
      <c r="W601" s="244"/>
      <c r="X601" s="244"/>
      <c r="Y601" s="244"/>
      <c r="Z601" s="244"/>
    </row>
    <row r="602">
      <c r="A602" s="244"/>
      <c r="B602" s="244"/>
      <c r="C602" s="244"/>
      <c r="D602" s="244"/>
      <c r="E602" s="244"/>
      <c r="F602" s="244"/>
      <c r="G602" s="244"/>
      <c r="H602" s="244"/>
      <c r="I602" s="244"/>
      <c r="J602" s="244"/>
      <c r="K602" s="244"/>
      <c r="L602" s="244"/>
      <c r="M602" s="244"/>
      <c r="N602" s="244"/>
      <c r="O602" s="244"/>
      <c r="P602" s="244"/>
      <c r="Q602" s="244"/>
      <c r="R602" s="244"/>
      <c r="S602" s="244"/>
      <c r="T602" s="244"/>
      <c r="U602" s="244"/>
      <c r="V602" s="244"/>
      <c r="W602" s="244"/>
      <c r="X602" s="244"/>
      <c r="Y602" s="244"/>
      <c r="Z602" s="244"/>
    </row>
    <row r="603">
      <c r="A603" s="244"/>
      <c r="B603" s="244"/>
      <c r="C603" s="244"/>
      <c r="D603" s="244"/>
      <c r="E603" s="244"/>
      <c r="F603" s="244"/>
      <c r="G603" s="244"/>
      <c r="H603" s="244"/>
      <c r="I603" s="244"/>
      <c r="J603" s="244"/>
      <c r="K603" s="244"/>
      <c r="L603" s="244"/>
      <c r="M603" s="244"/>
      <c r="N603" s="244"/>
      <c r="O603" s="244"/>
      <c r="P603" s="244"/>
      <c r="Q603" s="244"/>
      <c r="R603" s="244"/>
      <c r="S603" s="244"/>
      <c r="T603" s="244"/>
      <c r="U603" s="244"/>
      <c r="V603" s="244"/>
      <c r="W603" s="244"/>
      <c r="X603" s="244"/>
      <c r="Y603" s="244"/>
      <c r="Z603" s="244"/>
    </row>
    <row r="604">
      <c r="A604" s="244"/>
      <c r="B604" s="244"/>
      <c r="C604" s="244"/>
      <c r="D604" s="244"/>
      <c r="E604" s="244"/>
      <c r="F604" s="244"/>
      <c r="G604" s="244"/>
      <c r="H604" s="244"/>
      <c r="I604" s="244"/>
      <c r="J604" s="244"/>
      <c r="K604" s="244"/>
      <c r="L604" s="244"/>
      <c r="M604" s="244"/>
      <c r="N604" s="244"/>
      <c r="O604" s="244"/>
      <c r="P604" s="244"/>
      <c r="Q604" s="244"/>
      <c r="R604" s="244"/>
      <c r="S604" s="244"/>
      <c r="T604" s="244"/>
      <c r="U604" s="244"/>
      <c r="V604" s="244"/>
      <c r="W604" s="244"/>
      <c r="X604" s="244"/>
      <c r="Y604" s="244"/>
      <c r="Z604" s="244"/>
    </row>
    <row r="605">
      <c r="A605" s="244"/>
      <c r="B605" s="244"/>
      <c r="C605" s="244"/>
      <c r="D605" s="244"/>
      <c r="E605" s="244"/>
      <c r="F605" s="244"/>
      <c r="G605" s="244"/>
      <c r="H605" s="244"/>
      <c r="I605" s="244"/>
      <c r="J605" s="244"/>
      <c r="K605" s="244"/>
      <c r="L605" s="244"/>
      <c r="M605" s="244"/>
      <c r="N605" s="244"/>
      <c r="O605" s="244"/>
      <c r="P605" s="244"/>
      <c r="Q605" s="244"/>
      <c r="R605" s="244"/>
      <c r="S605" s="244"/>
      <c r="T605" s="244"/>
      <c r="U605" s="244"/>
      <c r="V605" s="244"/>
      <c r="W605" s="244"/>
      <c r="X605" s="244"/>
      <c r="Y605" s="244"/>
      <c r="Z605" s="244"/>
    </row>
    <row r="606">
      <c r="A606" s="244"/>
      <c r="B606" s="244"/>
      <c r="C606" s="244"/>
      <c r="D606" s="244"/>
      <c r="E606" s="244"/>
      <c r="F606" s="244"/>
      <c r="G606" s="244"/>
      <c r="H606" s="244"/>
      <c r="I606" s="244"/>
      <c r="J606" s="244"/>
      <c r="K606" s="244"/>
      <c r="L606" s="244"/>
      <c r="M606" s="244"/>
      <c r="N606" s="244"/>
      <c r="O606" s="244"/>
      <c r="P606" s="244"/>
      <c r="Q606" s="244"/>
      <c r="R606" s="244"/>
      <c r="S606" s="244"/>
      <c r="T606" s="244"/>
      <c r="U606" s="244"/>
      <c r="V606" s="244"/>
      <c r="W606" s="244"/>
      <c r="X606" s="244"/>
      <c r="Y606" s="244"/>
      <c r="Z606" s="244"/>
    </row>
    <row r="607">
      <c r="A607" s="244"/>
      <c r="B607" s="244"/>
      <c r="C607" s="244"/>
      <c r="D607" s="244"/>
      <c r="E607" s="244"/>
      <c r="F607" s="244"/>
      <c r="G607" s="244"/>
      <c r="H607" s="244"/>
      <c r="I607" s="244"/>
      <c r="J607" s="244"/>
      <c r="K607" s="244"/>
      <c r="L607" s="244"/>
      <c r="M607" s="244"/>
      <c r="N607" s="244"/>
      <c r="O607" s="244"/>
      <c r="P607" s="244"/>
      <c r="Q607" s="244"/>
      <c r="R607" s="244"/>
      <c r="S607" s="244"/>
      <c r="T607" s="244"/>
      <c r="U607" s="244"/>
      <c r="V607" s="244"/>
      <c r="W607" s="244"/>
      <c r="X607" s="244"/>
      <c r="Y607" s="244"/>
      <c r="Z607" s="244"/>
    </row>
    <row r="608">
      <c r="A608" s="244"/>
      <c r="B608" s="244"/>
      <c r="C608" s="244"/>
      <c r="D608" s="244"/>
      <c r="E608" s="244"/>
      <c r="F608" s="244"/>
      <c r="G608" s="244"/>
      <c r="H608" s="244"/>
      <c r="I608" s="244"/>
      <c r="J608" s="244"/>
      <c r="K608" s="244"/>
      <c r="L608" s="244"/>
      <c r="M608" s="244"/>
      <c r="N608" s="244"/>
      <c r="O608" s="244"/>
      <c r="P608" s="244"/>
      <c r="Q608" s="244"/>
      <c r="R608" s="244"/>
      <c r="S608" s="244"/>
      <c r="T608" s="244"/>
      <c r="U608" s="244"/>
      <c r="V608" s="244"/>
      <c r="W608" s="244"/>
      <c r="X608" s="244"/>
      <c r="Y608" s="244"/>
      <c r="Z608" s="244"/>
    </row>
    <row r="609">
      <c r="A609" s="244"/>
      <c r="B609" s="244"/>
      <c r="C609" s="244"/>
      <c r="D609" s="244"/>
      <c r="E609" s="244"/>
      <c r="F609" s="244"/>
      <c r="G609" s="244"/>
      <c r="H609" s="244"/>
      <c r="I609" s="244"/>
      <c r="J609" s="244"/>
      <c r="K609" s="244"/>
      <c r="L609" s="244"/>
      <c r="M609" s="244"/>
      <c r="N609" s="244"/>
      <c r="O609" s="244"/>
      <c r="P609" s="244"/>
      <c r="Q609" s="244"/>
      <c r="R609" s="244"/>
      <c r="S609" s="244"/>
      <c r="T609" s="244"/>
      <c r="U609" s="244"/>
      <c r="V609" s="244"/>
      <c r="W609" s="244"/>
      <c r="X609" s="244"/>
      <c r="Y609" s="244"/>
      <c r="Z609" s="244"/>
    </row>
    <row r="610">
      <c r="A610" s="244"/>
      <c r="B610" s="244"/>
      <c r="C610" s="244"/>
      <c r="D610" s="244"/>
      <c r="E610" s="244"/>
      <c r="F610" s="244"/>
      <c r="G610" s="244"/>
      <c r="H610" s="244"/>
      <c r="I610" s="244"/>
      <c r="J610" s="244"/>
      <c r="K610" s="244"/>
      <c r="L610" s="244"/>
      <c r="M610" s="244"/>
      <c r="N610" s="244"/>
      <c r="O610" s="244"/>
      <c r="P610" s="244"/>
      <c r="Q610" s="244"/>
      <c r="R610" s="244"/>
      <c r="S610" s="244"/>
      <c r="T610" s="244"/>
      <c r="U610" s="244"/>
      <c r="V610" s="244"/>
      <c r="W610" s="244"/>
      <c r="X610" s="244"/>
      <c r="Y610" s="244"/>
      <c r="Z610" s="244"/>
    </row>
    <row r="611">
      <c r="A611" s="244"/>
      <c r="B611" s="244"/>
      <c r="C611" s="244"/>
      <c r="D611" s="244"/>
      <c r="E611" s="244"/>
      <c r="F611" s="244"/>
      <c r="G611" s="244"/>
      <c r="H611" s="244"/>
      <c r="I611" s="244"/>
      <c r="J611" s="244"/>
      <c r="K611" s="244"/>
      <c r="L611" s="244"/>
      <c r="M611" s="244"/>
      <c r="N611" s="244"/>
      <c r="O611" s="244"/>
      <c r="P611" s="244"/>
      <c r="Q611" s="244"/>
      <c r="R611" s="244"/>
      <c r="S611" s="244"/>
      <c r="T611" s="244"/>
      <c r="U611" s="244"/>
      <c r="V611" s="244"/>
      <c r="W611" s="244"/>
      <c r="X611" s="244"/>
      <c r="Y611" s="244"/>
      <c r="Z611" s="244"/>
    </row>
    <row r="612">
      <c r="A612" s="244"/>
      <c r="B612" s="244"/>
      <c r="C612" s="244"/>
      <c r="D612" s="244"/>
      <c r="E612" s="244"/>
      <c r="F612" s="244"/>
      <c r="G612" s="244"/>
      <c r="H612" s="244"/>
      <c r="I612" s="244"/>
      <c r="J612" s="244"/>
      <c r="K612" s="244"/>
      <c r="L612" s="244"/>
      <c r="M612" s="244"/>
      <c r="N612" s="244"/>
      <c r="O612" s="244"/>
      <c r="P612" s="244"/>
      <c r="Q612" s="244"/>
      <c r="R612" s="244"/>
      <c r="S612" s="244"/>
      <c r="T612" s="244"/>
      <c r="U612" s="244"/>
      <c r="V612" s="244"/>
      <c r="W612" s="244"/>
      <c r="X612" s="244"/>
      <c r="Y612" s="244"/>
      <c r="Z612" s="244"/>
    </row>
    <row r="613">
      <c r="A613" s="244"/>
      <c r="B613" s="244"/>
      <c r="C613" s="244"/>
      <c r="D613" s="244"/>
      <c r="E613" s="244"/>
      <c r="F613" s="244"/>
      <c r="G613" s="244"/>
      <c r="H613" s="244"/>
      <c r="I613" s="244"/>
      <c r="J613" s="244"/>
      <c r="K613" s="244"/>
      <c r="L613" s="244"/>
      <c r="M613" s="244"/>
      <c r="N613" s="244"/>
      <c r="O613" s="244"/>
      <c r="P613" s="244"/>
      <c r="Q613" s="244"/>
      <c r="R613" s="244"/>
      <c r="S613" s="244"/>
      <c r="T613" s="244"/>
      <c r="U613" s="244"/>
      <c r="V613" s="244"/>
      <c r="W613" s="244"/>
      <c r="X613" s="244"/>
      <c r="Y613" s="244"/>
      <c r="Z613" s="244"/>
    </row>
    <row r="614">
      <c r="A614" s="244"/>
      <c r="B614" s="244"/>
      <c r="C614" s="244"/>
      <c r="D614" s="244"/>
      <c r="E614" s="244"/>
      <c r="F614" s="244"/>
      <c r="G614" s="244"/>
      <c r="H614" s="244"/>
      <c r="I614" s="244"/>
      <c r="J614" s="244"/>
      <c r="K614" s="244"/>
      <c r="L614" s="244"/>
      <c r="M614" s="244"/>
      <c r="N614" s="244"/>
      <c r="O614" s="244"/>
      <c r="P614" s="244"/>
      <c r="Q614" s="244"/>
      <c r="R614" s="244"/>
      <c r="S614" s="244"/>
      <c r="T614" s="244"/>
      <c r="U614" s="244"/>
      <c r="V614" s="244"/>
      <c r="W614" s="244"/>
      <c r="X614" s="244"/>
      <c r="Y614" s="244"/>
      <c r="Z614" s="244"/>
    </row>
    <row r="615">
      <c r="A615" s="244"/>
      <c r="B615" s="244"/>
      <c r="C615" s="244"/>
      <c r="D615" s="244"/>
      <c r="E615" s="244"/>
      <c r="F615" s="244"/>
      <c r="G615" s="244"/>
      <c r="H615" s="244"/>
      <c r="I615" s="244"/>
      <c r="J615" s="244"/>
      <c r="K615" s="244"/>
      <c r="L615" s="244"/>
      <c r="M615" s="244"/>
      <c r="N615" s="244"/>
      <c r="O615" s="244"/>
      <c r="P615" s="244"/>
      <c r="Q615" s="244"/>
      <c r="R615" s="244"/>
      <c r="S615" s="244"/>
      <c r="T615" s="244"/>
      <c r="U615" s="244"/>
      <c r="V615" s="244"/>
      <c r="W615" s="244"/>
      <c r="X615" s="244"/>
      <c r="Y615" s="244"/>
      <c r="Z615" s="244"/>
    </row>
    <row r="616">
      <c r="A616" s="244"/>
      <c r="B616" s="244"/>
      <c r="C616" s="244"/>
      <c r="D616" s="244"/>
      <c r="E616" s="244"/>
      <c r="F616" s="244"/>
      <c r="G616" s="244"/>
      <c r="H616" s="244"/>
      <c r="I616" s="244"/>
      <c r="J616" s="244"/>
      <c r="K616" s="244"/>
      <c r="L616" s="244"/>
      <c r="M616" s="244"/>
      <c r="N616" s="244"/>
      <c r="O616" s="244"/>
      <c r="P616" s="244"/>
      <c r="Q616" s="244"/>
      <c r="R616" s="244"/>
      <c r="S616" s="244"/>
      <c r="T616" s="244"/>
      <c r="U616" s="244"/>
      <c r="V616" s="244"/>
      <c r="W616" s="244"/>
      <c r="X616" s="244"/>
      <c r="Y616" s="244"/>
      <c r="Z616" s="244"/>
    </row>
    <row r="617">
      <c r="A617" s="244"/>
      <c r="B617" s="244"/>
      <c r="C617" s="244"/>
      <c r="D617" s="244"/>
      <c r="E617" s="244"/>
      <c r="F617" s="244"/>
      <c r="G617" s="244"/>
      <c r="H617" s="244"/>
      <c r="I617" s="244"/>
      <c r="J617" s="244"/>
      <c r="K617" s="244"/>
      <c r="L617" s="244"/>
      <c r="M617" s="244"/>
      <c r="N617" s="244"/>
      <c r="O617" s="244"/>
      <c r="P617" s="244"/>
      <c r="Q617" s="244"/>
      <c r="R617" s="244"/>
      <c r="S617" s="244"/>
      <c r="T617" s="244"/>
      <c r="U617" s="244"/>
      <c r="V617" s="244"/>
      <c r="W617" s="244"/>
      <c r="X617" s="244"/>
      <c r="Y617" s="244"/>
      <c r="Z617" s="244"/>
    </row>
    <row r="618">
      <c r="A618" s="244"/>
      <c r="B618" s="244"/>
      <c r="C618" s="244"/>
      <c r="D618" s="244"/>
      <c r="E618" s="244"/>
      <c r="F618" s="244"/>
      <c r="G618" s="244"/>
      <c r="H618" s="244"/>
      <c r="I618" s="244"/>
      <c r="J618" s="244"/>
      <c r="K618" s="244"/>
      <c r="L618" s="244"/>
      <c r="M618" s="244"/>
      <c r="N618" s="244"/>
      <c r="O618" s="244"/>
      <c r="P618" s="244"/>
      <c r="Q618" s="244"/>
      <c r="R618" s="244"/>
      <c r="S618" s="244"/>
      <c r="T618" s="244"/>
      <c r="U618" s="244"/>
      <c r="V618" s="244"/>
      <c r="W618" s="244"/>
      <c r="X618" s="244"/>
      <c r="Y618" s="244"/>
      <c r="Z618" s="244"/>
    </row>
    <row r="619">
      <c r="A619" s="244"/>
      <c r="B619" s="244"/>
      <c r="C619" s="244"/>
      <c r="D619" s="244"/>
      <c r="E619" s="244"/>
      <c r="F619" s="244"/>
      <c r="G619" s="244"/>
      <c r="H619" s="244"/>
      <c r="I619" s="244"/>
      <c r="J619" s="244"/>
      <c r="K619" s="244"/>
      <c r="L619" s="244"/>
      <c r="M619" s="244"/>
      <c r="N619" s="244"/>
      <c r="O619" s="244"/>
      <c r="P619" s="244"/>
      <c r="Q619" s="244"/>
      <c r="R619" s="244"/>
      <c r="S619" s="244"/>
      <c r="T619" s="244"/>
      <c r="U619" s="244"/>
      <c r="V619" s="244"/>
      <c r="W619" s="244"/>
      <c r="X619" s="244"/>
      <c r="Y619" s="244"/>
      <c r="Z619" s="244"/>
    </row>
    <row r="620">
      <c r="A620" s="244"/>
      <c r="B620" s="244"/>
      <c r="C620" s="244"/>
      <c r="D620" s="244"/>
      <c r="E620" s="244"/>
      <c r="F620" s="244"/>
      <c r="G620" s="244"/>
      <c r="H620" s="244"/>
      <c r="I620" s="244"/>
      <c r="J620" s="244"/>
      <c r="K620" s="244"/>
      <c r="L620" s="244"/>
      <c r="M620" s="244"/>
      <c r="N620" s="244"/>
      <c r="O620" s="244"/>
      <c r="P620" s="244"/>
      <c r="Q620" s="244"/>
      <c r="R620" s="244"/>
      <c r="S620" s="244"/>
      <c r="T620" s="244"/>
      <c r="U620" s="244"/>
      <c r="V620" s="244"/>
      <c r="W620" s="244"/>
      <c r="X620" s="244"/>
      <c r="Y620" s="244"/>
      <c r="Z620" s="244"/>
    </row>
    <row r="621">
      <c r="A621" s="244"/>
      <c r="B621" s="244"/>
      <c r="C621" s="244"/>
      <c r="D621" s="244"/>
      <c r="E621" s="244"/>
      <c r="F621" s="244"/>
      <c r="G621" s="244"/>
      <c r="H621" s="244"/>
      <c r="I621" s="244"/>
      <c r="J621" s="244"/>
      <c r="K621" s="244"/>
      <c r="L621" s="244"/>
      <c r="M621" s="244"/>
      <c r="N621" s="244"/>
      <c r="O621" s="244"/>
      <c r="P621" s="244"/>
      <c r="Q621" s="244"/>
      <c r="R621" s="244"/>
      <c r="S621" s="244"/>
      <c r="T621" s="244"/>
      <c r="U621" s="244"/>
      <c r="V621" s="244"/>
      <c r="W621" s="244"/>
      <c r="X621" s="244"/>
      <c r="Y621" s="244"/>
      <c r="Z621" s="244"/>
    </row>
    <row r="622">
      <c r="A622" s="244"/>
      <c r="B622" s="244"/>
      <c r="C622" s="244"/>
      <c r="D622" s="244"/>
      <c r="E622" s="244"/>
      <c r="F622" s="244"/>
      <c r="G622" s="244"/>
      <c r="H622" s="244"/>
      <c r="I622" s="244"/>
      <c r="J622" s="244"/>
      <c r="K622" s="244"/>
      <c r="L622" s="244"/>
      <c r="M622" s="244"/>
      <c r="N622" s="244"/>
      <c r="O622" s="244"/>
      <c r="P622" s="244"/>
      <c r="Q622" s="244"/>
      <c r="R622" s="244"/>
      <c r="S622" s="244"/>
      <c r="T622" s="244"/>
      <c r="U622" s="244"/>
      <c r="V622" s="244"/>
      <c r="W622" s="244"/>
      <c r="X622" s="244"/>
      <c r="Y622" s="244"/>
      <c r="Z622" s="244"/>
    </row>
    <row r="623">
      <c r="A623" s="244"/>
      <c r="B623" s="244"/>
      <c r="C623" s="244"/>
      <c r="D623" s="244"/>
      <c r="E623" s="244"/>
      <c r="F623" s="244"/>
      <c r="G623" s="244"/>
      <c r="H623" s="244"/>
      <c r="I623" s="244"/>
      <c r="J623" s="244"/>
      <c r="K623" s="244"/>
      <c r="L623" s="244"/>
      <c r="M623" s="244"/>
      <c r="N623" s="244"/>
      <c r="O623" s="244"/>
      <c r="P623" s="244"/>
      <c r="Q623" s="244"/>
      <c r="R623" s="244"/>
      <c r="S623" s="244"/>
      <c r="T623" s="244"/>
      <c r="U623" s="244"/>
      <c r="V623" s="244"/>
      <c r="W623" s="244"/>
      <c r="X623" s="244"/>
      <c r="Y623" s="244"/>
      <c r="Z623" s="244"/>
    </row>
    <row r="624">
      <c r="A624" s="244"/>
      <c r="B624" s="244"/>
      <c r="C624" s="244"/>
      <c r="D624" s="244"/>
      <c r="E624" s="244"/>
      <c r="F624" s="244"/>
      <c r="G624" s="244"/>
      <c r="H624" s="244"/>
      <c r="I624" s="244"/>
      <c r="J624" s="244"/>
      <c r="K624" s="244"/>
      <c r="L624" s="244"/>
      <c r="M624" s="244"/>
      <c r="N624" s="244"/>
      <c r="O624" s="244"/>
      <c r="P624" s="244"/>
      <c r="Q624" s="244"/>
      <c r="R624" s="244"/>
      <c r="S624" s="244"/>
      <c r="T624" s="244"/>
      <c r="U624" s="244"/>
      <c r="V624" s="244"/>
      <c r="W624" s="244"/>
      <c r="X624" s="244"/>
      <c r="Y624" s="244"/>
      <c r="Z624" s="244"/>
    </row>
    <row r="625">
      <c r="A625" s="244"/>
      <c r="B625" s="244"/>
      <c r="C625" s="244"/>
      <c r="D625" s="244"/>
      <c r="E625" s="244"/>
      <c r="F625" s="244"/>
      <c r="G625" s="244"/>
      <c r="H625" s="244"/>
      <c r="I625" s="244"/>
      <c r="J625" s="244"/>
      <c r="K625" s="244"/>
      <c r="L625" s="244"/>
      <c r="M625" s="244"/>
      <c r="N625" s="244"/>
      <c r="O625" s="244"/>
      <c r="P625" s="244"/>
      <c r="Q625" s="244"/>
      <c r="R625" s="244"/>
      <c r="S625" s="244"/>
      <c r="T625" s="244"/>
      <c r="U625" s="244"/>
      <c r="V625" s="244"/>
      <c r="W625" s="244"/>
      <c r="X625" s="244"/>
      <c r="Y625" s="244"/>
      <c r="Z625" s="244"/>
    </row>
    <row r="626">
      <c r="A626" s="244"/>
      <c r="B626" s="244"/>
      <c r="C626" s="244"/>
      <c r="D626" s="244"/>
      <c r="E626" s="244"/>
      <c r="F626" s="244"/>
      <c r="G626" s="244"/>
      <c r="H626" s="244"/>
      <c r="I626" s="244"/>
      <c r="J626" s="244"/>
      <c r="K626" s="244"/>
      <c r="L626" s="244"/>
      <c r="M626" s="244"/>
      <c r="N626" s="244"/>
      <c r="O626" s="244"/>
      <c r="P626" s="244"/>
      <c r="Q626" s="244"/>
      <c r="R626" s="244"/>
      <c r="S626" s="244"/>
      <c r="T626" s="244"/>
      <c r="U626" s="244"/>
      <c r="V626" s="244"/>
      <c r="W626" s="244"/>
      <c r="X626" s="244"/>
      <c r="Y626" s="244"/>
      <c r="Z626" s="244"/>
    </row>
    <row r="627">
      <c r="A627" s="244"/>
      <c r="B627" s="244"/>
      <c r="C627" s="244"/>
      <c r="D627" s="244"/>
      <c r="E627" s="244"/>
      <c r="F627" s="244"/>
      <c r="G627" s="244"/>
      <c r="H627" s="244"/>
      <c r="I627" s="244"/>
      <c r="J627" s="244"/>
      <c r="K627" s="244"/>
      <c r="L627" s="244"/>
      <c r="M627" s="244"/>
      <c r="N627" s="244"/>
      <c r="O627" s="244"/>
      <c r="P627" s="244"/>
      <c r="Q627" s="244"/>
      <c r="R627" s="244"/>
      <c r="S627" s="244"/>
      <c r="T627" s="244"/>
      <c r="U627" s="244"/>
      <c r="V627" s="244"/>
      <c r="W627" s="244"/>
      <c r="X627" s="244"/>
      <c r="Y627" s="244"/>
      <c r="Z627" s="244"/>
    </row>
    <row r="628">
      <c r="A628" s="244"/>
      <c r="B628" s="244"/>
      <c r="C628" s="244"/>
      <c r="D628" s="244"/>
      <c r="E628" s="244"/>
      <c r="F628" s="244"/>
      <c r="G628" s="244"/>
      <c r="H628" s="244"/>
      <c r="I628" s="244"/>
      <c r="J628" s="244"/>
      <c r="K628" s="244"/>
      <c r="L628" s="244"/>
      <c r="M628" s="244"/>
      <c r="N628" s="244"/>
      <c r="O628" s="244"/>
      <c r="P628" s="244"/>
      <c r="Q628" s="244"/>
      <c r="R628" s="244"/>
      <c r="S628" s="244"/>
      <c r="T628" s="244"/>
      <c r="U628" s="244"/>
      <c r="V628" s="244"/>
      <c r="W628" s="244"/>
      <c r="X628" s="244"/>
      <c r="Y628" s="244"/>
      <c r="Z628" s="244"/>
    </row>
    <row r="629">
      <c r="A629" s="244"/>
      <c r="B629" s="244"/>
      <c r="C629" s="244"/>
      <c r="D629" s="244"/>
      <c r="E629" s="244"/>
      <c r="F629" s="244"/>
      <c r="G629" s="244"/>
      <c r="H629" s="244"/>
      <c r="I629" s="244"/>
      <c r="J629" s="244"/>
      <c r="K629" s="244"/>
      <c r="L629" s="244"/>
      <c r="M629" s="244"/>
      <c r="N629" s="244"/>
      <c r="O629" s="244"/>
      <c r="P629" s="244"/>
      <c r="Q629" s="244"/>
      <c r="R629" s="244"/>
      <c r="S629" s="244"/>
      <c r="T629" s="244"/>
      <c r="U629" s="244"/>
      <c r="V629" s="244"/>
      <c r="W629" s="244"/>
      <c r="X629" s="244"/>
      <c r="Y629" s="244"/>
      <c r="Z629" s="244"/>
    </row>
    <row r="630">
      <c r="A630" s="244"/>
      <c r="B630" s="244"/>
      <c r="C630" s="244"/>
      <c r="D630" s="244"/>
      <c r="E630" s="244"/>
      <c r="F630" s="244"/>
      <c r="G630" s="244"/>
      <c r="H630" s="244"/>
      <c r="I630" s="244"/>
      <c r="J630" s="244"/>
      <c r="K630" s="244"/>
      <c r="L630" s="244"/>
      <c r="M630" s="244"/>
      <c r="N630" s="244"/>
      <c r="O630" s="244"/>
      <c r="P630" s="244"/>
      <c r="Q630" s="244"/>
      <c r="R630" s="244"/>
      <c r="S630" s="244"/>
      <c r="T630" s="244"/>
      <c r="U630" s="244"/>
      <c r="V630" s="244"/>
      <c r="W630" s="244"/>
      <c r="X630" s="244"/>
      <c r="Y630" s="244"/>
      <c r="Z630" s="244"/>
    </row>
    <row r="631">
      <c r="A631" s="244"/>
      <c r="B631" s="244"/>
      <c r="C631" s="244"/>
      <c r="D631" s="244"/>
      <c r="E631" s="244"/>
      <c r="F631" s="244"/>
      <c r="G631" s="244"/>
      <c r="H631" s="244"/>
      <c r="I631" s="244"/>
      <c r="J631" s="244"/>
      <c r="K631" s="244"/>
      <c r="L631" s="244"/>
      <c r="M631" s="244"/>
      <c r="N631" s="244"/>
      <c r="O631" s="244"/>
      <c r="P631" s="244"/>
      <c r="Q631" s="244"/>
      <c r="R631" s="244"/>
      <c r="S631" s="244"/>
      <c r="T631" s="244"/>
      <c r="U631" s="244"/>
      <c r="V631" s="244"/>
      <c r="W631" s="244"/>
      <c r="X631" s="244"/>
      <c r="Y631" s="244"/>
      <c r="Z631" s="244"/>
    </row>
    <row r="632">
      <c r="A632" s="244"/>
      <c r="B632" s="244"/>
      <c r="C632" s="244"/>
      <c r="D632" s="244"/>
      <c r="E632" s="244"/>
      <c r="F632" s="244"/>
      <c r="G632" s="244"/>
      <c r="H632" s="244"/>
      <c r="I632" s="244"/>
      <c r="J632" s="244"/>
      <c r="K632" s="244"/>
      <c r="L632" s="244"/>
      <c r="M632" s="244"/>
      <c r="N632" s="244"/>
      <c r="O632" s="244"/>
      <c r="P632" s="244"/>
      <c r="Q632" s="244"/>
      <c r="R632" s="244"/>
      <c r="S632" s="244"/>
      <c r="T632" s="244"/>
      <c r="U632" s="244"/>
      <c r="V632" s="244"/>
      <c r="W632" s="244"/>
      <c r="X632" s="244"/>
      <c r="Y632" s="244"/>
      <c r="Z632" s="244"/>
    </row>
    <row r="633">
      <c r="A633" s="244"/>
      <c r="B633" s="244"/>
      <c r="C633" s="244"/>
      <c r="D633" s="244"/>
      <c r="E633" s="244"/>
      <c r="F633" s="244"/>
      <c r="G633" s="244"/>
      <c r="H633" s="244"/>
      <c r="I633" s="244"/>
      <c r="J633" s="244"/>
      <c r="K633" s="244"/>
      <c r="L633" s="244"/>
      <c r="M633" s="244"/>
      <c r="N633" s="244"/>
      <c r="O633" s="244"/>
      <c r="P633" s="244"/>
      <c r="Q633" s="244"/>
      <c r="R633" s="244"/>
      <c r="S633" s="244"/>
      <c r="T633" s="244"/>
      <c r="U633" s="244"/>
      <c r="V633" s="244"/>
      <c r="W633" s="244"/>
      <c r="X633" s="244"/>
      <c r="Y633" s="244"/>
      <c r="Z633" s="244"/>
    </row>
    <row r="634">
      <c r="A634" s="244"/>
      <c r="B634" s="244"/>
      <c r="C634" s="244"/>
      <c r="D634" s="244"/>
      <c r="E634" s="244"/>
      <c r="F634" s="244"/>
      <c r="G634" s="244"/>
      <c r="H634" s="244"/>
      <c r="I634" s="244"/>
      <c r="J634" s="244"/>
      <c r="K634" s="244"/>
      <c r="L634" s="244"/>
      <c r="M634" s="244"/>
      <c r="N634" s="244"/>
      <c r="O634" s="244"/>
      <c r="P634" s="244"/>
      <c r="Q634" s="244"/>
      <c r="R634" s="244"/>
      <c r="S634" s="244"/>
      <c r="T634" s="244"/>
      <c r="U634" s="244"/>
      <c r="V634" s="244"/>
      <c r="W634" s="244"/>
      <c r="X634" s="244"/>
      <c r="Y634" s="244"/>
      <c r="Z634" s="244"/>
    </row>
    <row r="635">
      <c r="A635" s="244"/>
      <c r="B635" s="244"/>
      <c r="C635" s="244"/>
      <c r="D635" s="244"/>
      <c r="E635" s="244"/>
      <c r="F635" s="244"/>
      <c r="G635" s="244"/>
      <c r="H635" s="244"/>
      <c r="I635" s="244"/>
      <c r="J635" s="244"/>
      <c r="K635" s="244"/>
      <c r="L635" s="244"/>
      <c r="M635" s="244"/>
      <c r="N635" s="244"/>
      <c r="O635" s="244"/>
      <c r="P635" s="244"/>
      <c r="Q635" s="244"/>
      <c r="R635" s="244"/>
      <c r="S635" s="244"/>
      <c r="T635" s="244"/>
      <c r="U635" s="244"/>
      <c r="V635" s="244"/>
      <c r="W635" s="244"/>
      <c r="X635" s="244"/>
      <c r="Y635" s="244"/>
      <c r="Z635" s="244"/>
    </row>
    <row r="636">
      <c r="A636" s="244"/>
      <c r="B636" s="244"/>
      <c r="C636" s="244"/>
      <c r="D636" s="244"/>
      <c r="E636" s="244"/>
      <c r="F636" s="244"/>
      <c r="G636" s="244"/>
      <c r="H636" s="244"/>
      <c r="I636" s="244"/>
      <c r="J636" s="244"/>
      <c r="K636" s="244"/>
      <c r="L636" s="244"/>
      <c r="M636" s="244"/>
      <c r="N636" s="244"/>
      <c r="O636" s="244"/>
      <c r="P636" s="244"/>
      <c r="Q636" s="244"/>
      <c r="R636" s="244"/>
      <c r="S636" s="244"/>
      <c r="T636" s="244"/>
      <c r="U636" s="244"/>
      <c r="V636" s="244"/>
      <c r="W636" s="244"/>
      <c r="X636" s="244"/>
      <c r="Y636" s="244"/>
      <c r="Z636" s="244"/>
    </row>
    <row r="637">
      <c r="A637" s="244"/>
      <c r="B637" s="244"/>
      <c r="C637" s="244"/>
      <c r="D637" s="244"/>
      <c r="E637" s="244"/>
      <c r="F637" s="244"/>
      <c r="G637" s="244"/>
      <c r="H637" s="244"/>
      <c r="I637" s="244"/>
      <c r="J637" s="244"/>
      <c r="K637" s="244"/>
      <c r="L637" s="244"/>
      <c r="M637" s="244"/>
      <c r="N637" s="244"/>
      <c r="O637" s="244"/>
      <c r="P637" s="244"/>
      <c r="Q637" s="244"/>
      <c r="R637" s="244"/>
      <c r="S637" s="244"/>
      <c r="T637" s="244"/>
      <c r="U637" s="244"/>
      <c r="V637" s="244"/>
      <c r="W637" s="244"/>
      <c r="X637" s="244"/>
      <c r="Y637" s="244"/>
      <c r="Z637" s="244"/>
    </row>
    <row r="638">
      <c r="A638" s="244"/>
      <c r="B638" s="244"/>
      <c r="C638" s="244"/>
      <c r="D638" s="244"/>
      <c r="E638" s="244"/>
      <c r="F638" s="244"/>
      <c r="G638" s="244"/>
      <c r="H638" s="244"/>
      <c r="I638" s="244"/>
      <c r="J638" s="244"/>
      <c r="K638" s="244"/>
      <c r="L638" s="244"/>
      <c r="M638" s="244"/>
      <c r="N638" s="244"/>
      <c r="O638" s="244"/>
      <c r="P638" s="244"/>
      <c r="Q638" s="244"/>
      <c r="R638" s="244"/>
      <c r="S638" s="244"/>
      <c r="T638" s="244"/>
      <c r="U638" s="244"/>
      <c r="V638" s="244"/>
      <c r="W638" s="244"/>
      <c r="X638" s="244"/>
      <c r="Y638" s="244"/>
      <c r="Z638" s="244"/>
    </row>
    <row r="639">
      <c r="A639" s="244"/>
      <c r="B639" s="244"/>
      <c r="C639" s="244"/>
      <c r="D639" s="244"/>
      <c r="E639" s="244"/>
      <c r="F639" s="244"/>
      <c r="G639" s="244"/>
      <c r="H639" s="244"/>
      <c r="I639" s="244"/>
      <c r="J639" s="244"/>
      <c r="K639" s="244"/>
      <c r="L639" s="244"/>
      <c r="M639" s="244"/>
      <c r="N639" s="244"/>
      <c r="O639" s="244"/>
      <c r="P639" s="244"/>
      <c r="Q639" s="244"/>
      <c r="R639" s="244"/>
      <c r="S639" s="244"/>
      <c r="T639" s="244"/>
      <c r="U639" s="244"/>
      <c r="V639" s="244"/>
      <c r="W639" s="244"/>
      <c r="X639" s="244"/>
      <c r="Y639" s="244"/>
      <c r="Z639" s="244"/>
    </row>
    <row r="640">
      <c r="A640" s="244"/>
      <c r="B640" s="244"/>
      <c r="C640" s="244"/>
      <c r="D640" s="244"/>
      <c r="E640" s="244"/>
      <c r="F640" s="244"/>
      <c r="G640" s="244"/>
      <c r="H640" s="244"/>
      <c r="I640" s="244"/>
      <c r="J640" s="244"/>
      <c r="K640" s="244"/>
      <c r="L640" s="244"/>
      <c r="M640" s="244"/>
      <c r="N640" s="244"/>
      <c r="O640" s="244"/>
      <c r="P640" s="244"/>
      <c r="Q640" s="244"/>
      <c r="R640" s="244"/>
      <c r="S640" s="244"/>
      <c r="T640" s="244"/>
      <c r="U640" s="244"/>
      <c r="V640" s="244"/>
      <c r="W640" s="244"/>
      <c r="X640" s="244"/>
      <c r="Y640" s="244"/>
      <c r="Z640" s="244"/>
    </row>
    <row r="641">
      <c r="A641" s="244"/>
      <c r="B641" s="244"/>
      <c r="C641" s="244"/>
      <c r="D641" s="244"/>
      <c r="E641" s="244"/>
      <c r="F641" s="244"/>
      <c r="G641" s="244"/>
      <c r="H641" s="244"/>
      <c r="I641" s="244"/>
      <c r="J641" s="244"/>
      <c r="K641" s="244"/>
      <c r="L641" s="244"/>
      <c r="M641" s="244"/>
      <c r="N641" s="244"/>
      <c r="O641" s="244"/>
      <c r="P641" s="244"/>
      <c r="Q641" s="244"/>
      <c r="R641" s="244"/>
      <c r="S641" s="244"/>
      <c r="T641" s="244"/>
      <c r="U641" s="244"/>
      <c r="V641" s="244"/>
      <c r="W641" s="244"/>
      <c r="X641" s="244"/>
      <c r="Y641" s="244"/>
      <c r="Z641" s="244"/>
    </row>
    <row r="642">
      <c r="A642" s="244"/>
      <c r="B642" s="244"/>
      <c r="C642" s="244"/>
      <c r="D642" s="244"/>
      <c r="E642" s="244"/>
      <c r="F642" s="244"/>
      <c r="G642" s="244"/>
      <c r="H642" s="244"/>
      <c r="I642" s="244"/>
      <c r="J642" s="244"/>
      <c r="K642" s="244"/>
      <c r="L642" s="244"/>
      <c r="M642" s="244"/>
      <c r="N642" s="244"/>
      <c r="O642" s="244"/>
      <c r="P642" s="244"/>
      <c r="Q642" s="244"/>
      <c r="R642" s="244"/>
      <c r="S642" s="244"/>
      <c r="T642" s="244"/>
      <c r="U642" s="244"/>
      <c r="V642" s="244"/>
      <c r="W642" s="244"/>
      <c r="X642" s="244"/>
      <c r="Y642" s="244"/>
      <c r="Z642" s="244"/>
    </row>
    <row r="643">
      <c r="A643" s="244"/>
      <c r="B643" s="244"/>
      <c r="C643" s="244"/>
      <c r="D643" s="244"/>
      <c r="E643" s="244"/>
      <c r="F643" s="244"/>
      <c r="G643" s="244"/>
      <c r="H643" s="244"/>
      <c r="I643" s="244"/>
      <c r="J643" s="244"/>
      <c r="K643" s="244"/>
      <c r="L643" s="244"/>
      <c r="M643" s="244"/>
      <c r="N643" s="244"/>
      <c r="O643" s="244"/>
      <c r="P643" s="244"/>
      <c r="Q643" s="244"/>
      <c r="R643" s="244"/>
      <c r="S643" s="244"/>
      <c r="T643" s="244"/>
      <c r="U643" s="244"/>
      <c r="V643" s="244"/>
      <c r="W643" s="244"/>
      <c r="X643" s="244"/>
      <c r="Y643" s="244"/>
      <c r="Z643" s="244"/>
    </row>
    <row r="644">
      <c r="A644" s="244"/>
      <c r="B644" s="244"/>
      <c r="C644" s="244"/>
      <c r="D644" s="244"/>
      <c r="E644" s="244"/>
      <c r="F644" s="244"/>
      <c r="G644" s="244"/>
      <c r="H644" s="244"/>
      <c r="I644" s="244"/>
      <c r="J644" s="244"/>
      <c r="K644" s="244"/>
      <c r="L644" s="244"/>
      <c r="M644" s="244"/>
      <c r="N644" s="244"/>
      <c r="O644" s="244"/>
      <c r="P644" s="244"/>
      <c r="Q644" s="244"/>
      <c r="R644" s="244"/>
      <c r="S644" s="244"/>
      <c r="T644" s="244"/>
      <c r="U644" s="244"/>
      <c r="V644" s="244"/>
      <c r="W644" s="244"/>
      <c r="X644" s="244"/>
      <c r="Y644" s="244"/>
      <c r="Z644" s="244"/>
    </row>
    <row r="645">
      <c r="A645" s="244"/>
      <c r="B645" s="244"/>
      <c r="C645" s="244"/>
      <c r="D645" s="244"/>
      <c r="E645" s="244"/>
      <c r="F645" s="244"/>
      <c r="G645" s="244"/>
      <c r="H645" s="244"/>
      <c r="I645" s="244"/>
      <c r="J645" s="244"/>
      <c r="K645" s="244"/>
      <c r="L645" s="244"/>
      <c r="M645" s="244"/>
      <c r="N645" s="244"/>
      <c r="O645" s="244"/>
      <c r="P645" s="244"/>
      <c r="Q645" s="244"/>
      <c r="R645" s="244"/>
      <c r="S645" s="244"/>
      <c r="T645" s="244"/>
      <c r="U645" s="244"/>
      <c r="V645" s="244"/>
      <c r="W645" s="244"/>
      <c r="X645" s="244"/>
      <c r="Y645" s="244"/>
      <c r="Z645" s="244"/>
    </row>
    <row r="646">
      <c r="A646" s="244"/>
      <c r="B646" s="244"/>
      <c r="C646" s="244"/>
      <c r="D646" s="244"/>
      <c r="E646" s="244"/>
      <c r="F646" s="244"/>
      <c r="G646" s="244"/>
      <c r="H646" s="244"/>
      <c r="I646" s="244"/>
      <c r="J646" s="244"/>
      <c r="K646" s="244"/>
      <c r="L646" s="244"/>
      <c r="M646" s="244"/>
      <c r="N646" s="244"/>
      <c r="O646" s="244"/>
      <c r="P646" s="244"/>
      <c r="Q646" s="244"/>
      <c r="R646" s="244"/>
      <c r="S646" s="244"/>
      <c r="T646" s="244"/>
      <c r="U646" s="244"/>
      <c r="V646" s="244"/>
      <c r="W646" s="244"/>
      <c r="X646" s="244"/>
      <c r="Y646" s="244"/>
      <c r="Z646" s="244"/>
    </row>
    <row r="647">
      <c r="A647" s="244"/>
      <c r="B647" s="244"/>
      <c r="C647" s="244"/>
      <c r="D647" s="244"/>
      <c r="E647" s="244"/>
      <c r="F647" s="244"/>
      <c r="G647" s="244"/>
      <c r="H647" s="244"/>
      <c r="I647" s="244"/>
      <c r="J647" s="244"/>
      <c r="K647" s="244"/>
      <c r="L647" s="244"/>
      <c r="M647" s="244"/>
      <c r="N647" s="244"/>
      <c r="O647" s="244"/>
      <c r="P647" s="244"/>
      <c r="Q647" s="244"/>
      <c r="R647" s="244"/>
      <c r="S647" s="244"/>
      <c r="T647" s="244"/>
      <c r="U647" s="244"/>
      <c r="V647" s="244"/>
      <c r="W647" s="244"/>
      <c r="X647" s="244"/>
      <c r="Y647" s="244"/>
      <c r="Z647" s="244"/>
    </row>
    <row r="648">
      <c r="A648" s="244"/>
      <c r="B648" s="244"/>
      <c r="C648" s="244"/>
      <c r="D648" s="244"/>
      <c r="E648" s="244"/>
      <c r="F648" s="244"/>
      <c r="G648" s="244"/>
      <c r="H648" s="244"/>
      <c r="I648" s="244"/>
      <c r="J648" s="244"/>
      <c r="K648" s="244"/>
      <c r="L648" s="244"/>
      <c r="M648" s="244"/>
      <c r="N648" s="244"/>
      <c r="O648" s="244"/>
      <c r="P648" s="244"/>
      <c r="Q648" s="244"/>
      <c r="R648" s="244"/>
      <c r="S648" s="244"/>
      <c r="T648" s="244"/>
      <c r="U648" s="244"/>
      <c r="V648" s="244"/>
      <c r="W648" s="244"/>
      <c r="X648" s="244"/>
      <c r="Y648" s="244"/>
      <c r="Z648" s="244"/>
    </row>
    <row r="649">
      <c r="A649" s="244"/>
      <c r="B649" s="244"/>
      <c r="C649" s="244"/>
      <c r="D649" s="244"/>
      <c r="E649" s="244"/>
      <c r="F649" s="244"/>
      <c r="G649" s="244"/>
      <c r="H649" s="244"/>
      <c r="I649" s="244"/>
      <c r="J649" s="244"/>
      <c r="K649" s="244"/>
      <c r="L649" s="244"/>
      <c r="M649" s="244"/>
      <c r="N649" s="244"/>
      <c r="O649" s="244"/>
      <c r="P649" s="244"/>
      <c r="Q649" s="244"/>
      <c r="R649" s="244"/>
      <c r="S649" s="244"/>
      <c r="T649" s="244"/>
      <c r="U649" s="244"/>
      <c r="V649" s="244"/>
      <c r="W649" s="244"/>
      <c r="X649" s="244"/>
      <c r="Y649" s="244"/>
      <c r="Z649" s="244"/>
    </row>
    <row r="650">
      <c r="A650" s="244"/>
      <c r="B650" s="244"/>
      <c r="C650" s="244"/>
      <c r="D650" s="244"/>
      <c r="E650" s="244"/>
      <c r="F650" s="244"/>
      <c r="G650" s="244"/>
      <c r="H650" s="244"/>
      <c r="I650" s="244"/>
      <c r="J650" s="244"/>
      <c r="K650" s="244"/>
      <c r="L650" s="244"/>
      <c r="M650" s="244"/>
      <c r="N650" s="244"/>
      <c r="O650" s="244"/>
      <c r="P650" s="244"/>
      <c r="Q650" s="244"/>
      <c r="R650" s="244"/>
      <c r="S650" s="244"/>
      <c r="T650" s="244"/>
      <c r="U650" s="244"/>
      <c r="V650" s="244"/>
      <c r="W650" s="244"/>
      <c r="X650" s="244"/>
      <c r="Y650" s="244"/>
      <c r="Z650" s="244"/>
    </row>
    <row r="651">
      <c r="A651" s="244"/>
      <c r="B651" s="244"/>
      <c r="C651" s="244"/>
      <c r="D651" s="244"/>
      <c r="E651" s="244"/>
      <c r="F651" s="244"/>
      <c r="G651" s="244"/>
      <c r="H651" s="244"/>
      <c r="I651" s="244"/>
      <c r="J651" s="244"/>
      <c r="K651" s="244"/>
      <c r="L651" s="244"/>
      <c r="M651" s="244"/>
      <c r="N651" s="244"/>
      <c r="O651" s="244"/>
      <c r="P651" s="244"/>
      <c r="Q651" s="244"/>
      <c r="R651" s="244"/>
      <c r="S651" s="244"/>
      <c r="T651" s="244"/>
      <c r="U651" s="244"/>
      <c r="V651" s="244"/>
      <c r="W651" s="244"/>
      <c r="X651" s="244"/>
      <c r="Y651" s="244"/>
      <c r="Z651" s="244"/>
    </row>
    <row r="652">
      <c r="A652" s="244"/>
      <c r="B652" s="244"/>
      <c r="C652" s="244"/>
      <c r="D652" s="244"/>
      <c r="E652" s="244"/>
      <c r="F652" s="244"/>
      <c r="G652" s="244"/>
      <c r="H652" s="244"/>
      <c r="I652" s="244"/>
      <c r="J652" s="244"/>
      <c r="K652" s="244"/>
      <c r="L652" s="244"/>
      <c r="M652" s="244"/>
      <c r="N652" s="244"/>
      <c r="O652" s="244"/>
      <c r="P652" s="244"/>
      <c r="Q652" s="244"/>
      <c r="R652" s="244"/>
      <c r="S652" s="244"/>
      <c r="T652" s="244"/>
      <c r="U652" s="244"/>
      <c r="V652" s="244"/>
      <c r="W652" s="244"/>
      <c r="X652" s="244"/>
      <c r="Y652" s="244"/>
      <c r="Z652" s="244"/>
    </row>
    <row r="653">
      <c r="A653" s="244"/>
      <c r="B653" s="244"/>
      <c r="C653" s="244"/>
      <c r="D653" s="244"/>
      <c r="E653" s="244"/>
      <c r="F653" s="244"/>
      <c r="G653" s="244"/>
      <c r="H653" s="244"/>
      <c r="I653" s="244"/>
      <c r="J653" s="244"/>
      <c r="K653" s="244"/>
      <c r="L653" s="244"/>
      <c r="M653" s="244"/>
      <c r="N653" s="244"/>
      <c r="O653" s="244"/>
      <c r="P653" s="244"/>
      <c r="Q653" s="244"/>
      <c r="R653" s="244"/>
      <c r="S653" s="244"/>
      <c r="T653" s="244"/>
      <c r="U653" s="244"/>
      <c r="V653" s="244"/>
      <c r="W653" s="244"/>
      <c r="X653" s="244"/>
      <c r="Y653" s="244"/>
      <c r="Z653" s="244"/>
    </row>
    <row r="654">
      <c r="A654" s="244"/>
      <c r="B654" s="244"/>
      <c r="C654" s="244"/>
      <c r="D654" s="244"/>
      <c r="E654" s="244"/>
      <c r="F654" s="244"/>
      <c r="G654" s="244"/>
      <c r="H654" s="244"/>
      <c r="I654" s="244"/>
      <c r="J654" s="244"/>
      <c r="K654" s="244"/>
      <c r="L654" s="244"/>
      <c r="M654" s="244"/>
      <c r="N654" s="244"/>
      <c r="O654" s="244"/>
      <c r="P654" s="244"/>
      <c r="Q654" s="244"/>
      <c r="R654" s="244"/>
      <c r="S654" s="244"/>
      <c r="T654" s="244"/>
      <c r="U654" s="244"/>
      <c r="V654" s="244"/>
      <c r="W654" s="244"/>
      <c r="X654" s="244"/>
      <c r="Y654" s="244"/>
      <c r="Z654" s="244"/>
    </row>
    <row r="655">
      <c r="A655" s="244"/>
      <c r="B655" s="244"/>
      <c r="C655" s="244"/>
      <c r="D655" s="244"/>
      <c r="E655" s="244"/>
      <c r="F655" s="244"/>
      <c r="G655" s="244"/>
      <c r="H655" s="244"/>
      <c r="I655" s="244"/>
      <c r="J655" s="244"/>
      <c r="K655" s="244"/>
      <c r="L655" s="244"/>
      <c r="M655" s="244"/>
      <c r="N655" s="244"/>
      <c r="O655" s="244"/>
      <c r="P655" s="244"/>
      <c r="Q655" s="244"/>
      <c r="R655" s="244"/>
      <c r="S655" s="244"/>
      <c r="T655" s="244"/>
      <c r="U655" s="244"/>
      <c r="V655" s="244"/>
      <c r="W655" s="244"/>
      <c r="X655" s="244"/>
      <c r="Y655" s="244"/>
      <c r="Z655" s="244"/>
    </row>
    <row r="656">
      <c r="A656" s="244"/>
      <c r="B656" s="244"/>
      <c r="C656" s="244"/>
      <c r="D656" s="244"/>
      <c r="E656" s="244"/>
      <c r="F656" s="244"/>
      <c r="G656" s="244"/>
      <c r="H656" s="244"/>
      <c r="I656" s="244"/>
      <c r="J656" s="244"/>
      <c r="K656" s="244"/>
      <c r="L656" s="244"/>
      <c r="M656" s="244"/>
      <c r="N656" s="244"/>
      <c r="O656" s="244"/>
      <c r="P656" s="244"/>
      <c r="Q656" s="244"/>
      <c r="R656" s="244"/>
      <c r="S656" s="244"/>
      <c r="T656" s="244"/>
      <c r="U656" s="244"/>
      <c r="V656" s="244"/>
      <c r="W656" s="244"/>
      <c r="X656" s="244"/>
      <c r="Y656" s="244"/>
      <c r="Z656" s="244"/>
    </row>
    <row r="657">
      <c r="A657" s="244"/>
      <c r="B657" s="244"/>
      <c r="C657" s="244"/>
      <c r="D657" s="244"/>
      <c r="E657" s="244"/>
      <c r="F657" s="244"/>
      <c r="G657" s="244"/>
      <c r="H657" s="244"/>
      <c r="I657" s="244"/>
      <c r="J657" s="244"/>
      <c r="K657" s="244"/>
      <c r="L657" s="244"/>
      <c r="M657" s="244"/>
      <c r="N657" s="244"/>
      <c r="O657" s="244"/>
      <c r="P657" s="244"/>
      <c r="Q657" s="244"/>
      <c r="R657" s="244"/>
      <c r="S657" s="244"/>
      <c r="T657" s="244"/>
      <c r="U657" s="244"/>
      <c r="V657" s="244"/>
      <c r="W657" s="244"/>
      <c r="X657" s="244"/>
      <c r="Y657" s="244"/>
      <c r="Z657" s="244"/>
    </row>
    <row r="658">
      <c r="A658" s="244"/>
      <c r="B658" s="244"/>
      <c r="C658" s="244"/>
      <c r="D658" s="244"/>
      <c r="E658" s="244"/>
      <c r="F658" s="244"/>
      <c r="G658" s="244"/>
      <c r="H658" s="244"/>
      <c r="I658" s="244"/>
      <c r="J658" s="244"/>
      <c r="K658" s="244"/>
      <c r="L658" s="244"/>
      <c r="M658" s="244"/>
      <c r="N658" s="244"/>
      <c r="O658" s="244"/>
      <c r="P658" s="244"/>
      <c r="Q658" s="244"/>
      <c r="R658" s="244"/>
      <c r="S658" s="244"/>
      <c r="T658" s="244"/>
      <c r="U658" s="244"/>
      <c r="V658" s="244"/>
      <c r="W658" s="244"/>
      <c r="X658" s="244"/>
      <c r="Y658" s="244"/>
      <c r="Z658" s="244"/>
    </row>
    <row r="659">
      <c r="A659" s="244"/>
      <c r="B659" s="244"/>
      <c r="C659" s="244"/>
      <c r="D659" s="244"/>
      <c r="E659" s="244"/>
      <c r="F659" s="244"/>
      <c r="G659" s="244"/>
      <c r="H659" s="244"/>
      <c r="I659" s="244"/>
      <c r="J659" s="244"/>
      <c r="K659" s="244"/>
      <c r="L659" s="244"/>
      <c r="M659" s="244"/>
      <c r="N659" s="244"/>
      <c r="O659" s="244"/>
      <c r="P659" s="244"/>
      <c r="Q659" s="244"/>
      <c r="R659" s="244"/>
      <c r="S659" s="244"/>
      <c r="T659" s="244"/>
      <c r="U659" s="244"/>
      <c r="V659" s="244"/>
      <c r="W659" s="244"/>
      <c r="X659" s="244"/>
      <c r="Y659" s="244"/>
      <c r="Z659" s="244"/>
    </row>
    <row r="660">
      <c r="A660" s="244"/>
      <c r="B660" s="244"/>
      <c r="C660" s="244"/>
      <c r="D660" s="244"/>
      <c r="E660" s="244"/>
      <c r="F660" s="244"/>
      <c r="G660" s="244"/>
      <c r="H660" s="244"/>
      <c r="I660" s="244"/>
      <c r="J660" s="244"/>
      <c r="K660" s="244"/>
      <c r="L660" s="244"/>
      <c r="M660" s="244"/>
      <c r="N660" s="244"/>
      <c r="O660" s="244"/>
      <c r="P660" s="244"/>
      <c r="Q660" s="244"/>
      <c r="R660" s="244"/>
      <c r="S660" s="244"/>
      <c r="T660" s="244"/>
      <c r="U660" s="244"/>
      <c r="V660" s="244"/>
      <c r="W660" s="244"/>
      <c r="X660" s="244"/>
      <c r="Y660" s="244"/>
      <c r="Z660" s="244"/>
    </row>
    <row r="661">
      <c r="A661" s="244"/>
      <c r="B661" s="244"/>
      <c r="C661" s="244"/>
      <c r="D661" s="244"/>
      <c r="E661" s="244"/>
      <c r="F661" s="244"/>
      <c r="G661" s="244"/>
      <c r="H661" s="244"/>
      <c r="I661" s="244"/>
      <c r="J661" s="244"/>
      <c r="K661" s="244"/>
      <c r="L661" s="244"/>
      <c r="M661" s="244"/>
      <c r="N661" s="244"/>
      <c r="O661" s="244"/>
      <c r="P661" s="244"/>
      <c r="Q661" s="244"/>
      <c r="R661" s="244"/>
      <c r="S661" s="244"/>
      <c r="T661" s="244"/>
      <c r="U661" s="244"/>
      <c r="V661" s="244"/>
      <c r="W661" s="244"/>
      <c r="X661" s="244"/>
      <c r="Y661" s="244"/>
      <c r="Z661" s="244"/>
    </row>
    <row r="662">
      <c r="A662" s="244"/>
      <c r="B662" s="244"/>
      <c r="C662" s="244"/>
      <c r="D662" s="244"/>
      <c r="E662" s="244"/>
      <c r="F662" s="244"/>
      <c r="G662" s="244"/>
      <c r="H662" s="244"/>
      <c r="I662" s="244"/>
      <c r="J662" s="244"/>
      <c r="K662" s="244"/>
      <c r="L662" s="244"/>
      <c r="M662" s="244"/>
      <c r="N662" s="244"/>
      <c r="O662" s="244"/>
      <c r="P662" s="244"/>
      <c r="Q662" s="244"/>
      <c r="R662" s="244"/>
      <c r="S662" s="244"/>
      <c r="T662" s="244"/>
      <c r="U662" s="244"/>
      <c r="V662" s="244"/>
      <c r="W662" s="244"/>
      <c r="X662" s="244"/>
      <c r="Y662" s="244"/>
      <c r="Z662" s="244"/>
    </row>
    <row r="663">
      <c r="A663" s="244"/>
      <c r="B663" s="244"/>
      <c r="C663" s="244"/>
      <c r="D663" s="244"/>
      <c r="E663" s="244"/>
      <c r="F663" s="244"/>
      <c r="G663" s="244"/>
      <c r="H663" s="244"/>
      <c r="I663" s="244"/>
      <c r="J663" s="244"/>
      <c r="K663" s="244"/>
      <c r="L663" s="244"/>
      <c r="M663" s="244"/>
      <c r="N663" s="244"/>
      <c r="O663" s="244"/>
      <c r="P663" s="244"/>
      <c r="Q663" s="244"/>
      <c r="R663" s="244"/>
      <c r="S663" s="244"/>
      <c r="T663" s="244"/>
      <c r="U663" s="244"/>
      <c r="V663" s="244"/>
      <c r="W663" s="244"/>
      <c r="X663" s="244"/>
      <c r="Y663" s="244"/>
      <c r="Z663" s="244"/>
    </row>
    <row r="664">
      <c r="A664" s="244"/>
      <c r="B664" s="244"/>
      <c r="C664" s="244"/>
      <c r="D664" s="244"/>
      <c r="E664" s="244"/>
      <c r="F664" s="244"/>
      <c r="G664" s="244"/>
      <c r="H664" s="244"/>
      <c r="I664" s="244"/>
      <c r="J664" s="244"/>
      <c r="K664" s="244"/>
      <c r="L664" s="244"/>
      <c r="M664" s="244"/>
      <c r="N664" s="244"/>
      <c r="O664" s="244"/>
      <c r="P664" s="244"/>
      <c r="Q664" s="244"/>
      <c r="R664" s="244"/>
      <c r="S664" s="244"/>
      <c r="T664" s="244"/>
      <c r="U664" s="244"/>
      <c r="V664" s="244"/>
      <c r="W664" s="244"/>
      <c r="X664" s="244"/>
      <c r="Y664" s="244"/>
      <c r="Z664" s="244"/>
    </row>
    <row r="665">
      <c r="A665" s="244"/>
      <c r="B665" s="244"/>
      <c r="C665" s="244"/>
      <c r="D665" s="244"/>
      <c r="E665" s="244"/>
      <c r="F665" s="244"/>
      <c r="G665" s="244"/>
      <c r="H665" s="244"/>
      <c r="I665" s="244"/>
      <c r="J665" s="244"/>
      <c r="K665" s="244"/>
      <c r="L665" s="244"/>
      <c r="M665" s="244"/>
      <c r="N665" s="244"/>
      <c r="O665" s="244"/>
      <c r="P665" s="244"/>
      <c r="Q665" s="244"/>
      <c r="R665" s="244"/>
      <c r="S665" s="244"/>
      <c r="T665" s="244"/>
      <c r="U665" s="244"/>
      <c r="V665" s="244"/>
      <c r="W665" s="244"/>
      <c r="X665" s="244"/>
      <c r="Y665" s="244"/>
      <c r="Z665" s="244"/>
    </row>
    <row r="666">
      <c r="A666" s="244"/>
      <c r="B666" s="244"/>
      <c r="C666" s="244"/>
      <c r="D666" s="244"/>
      <c r="E666" s="244"/>
      <c r="F666" s="244"/>
      <c r="G666" s="244"/>
      <c r="H666" s="244"/>
      <c r="I666" s="244"/>
      <c r="J666" s="244"/>
      <c r="K666" s="244"/>
      <c r="L666" s="244"/>
      <c r="M666" s="244"/>
      <c r="N666" s="244"/>
      <c r="O666" s="244"/>
      <c r="P666" s="244"/>
      <c r="Q666" s="244"/>
      <c r="R666" s="244"/>
      <c r="S666" s="244"/>
      <c r="T666" s="244"/>
      <c r="U666" s="244"/>
      <c r="V666" s="244"/>
      <c r="W666" s="244"/>
      <c r="X666" s="244"/>
      <c r="Y666" s="244"/>
      <c r="Z666" s="244"/>
    </row>
    <row r="667">
      <c r="A667" s="244"/>
      <c r="B667" s="244"/>
      <c r="C667" s="244"/>
      <c r="D667" s="244"/>
      <c r="E667" s="244"/>
      <c r="F667" s="244"/>
      <c r="G667" s="244"/>
      <c r="H667" s="244"/>
      <c r="I667" s="244"/>
      <c r="J667" s="244"/>
      <c r="K667" s="244"/>
      <c r="L667" s="244"/>
      <c r="M667" s="244"/>
      <c r="N667" s="244"/>
      <c r="O667" s="244"/>
      <c r="P667" s="244"/>
      <c r="Q667" s="244"/>
      <c r="R667" s="244"/>
      <c r="S667" s="244"/>
      <c r="T667" s="244"/>
      <c r="U667" s="244"/>
      <c r="V667" s="244"/>
      <c r="W667" s="244"/>
      <c r="X667" s="244"/>
      <c r="Y667" s="244"/>
      <c r="Z667" s="244"/>
    </row>
    <row r="668">
      <c r="A668" s="244"/>
      <c r="B668" s="244"/>
      <c r="C668" s="244"/>
      <c r="D668" s="244"/>
      <c r="E668" s="244"/>
      <c r="F668" s="244"/>
      <c r="G668" s="244"/>
      <c r="H668" s="244"/>
      <c r="I668" s="244"/>
      <c r="J668" s="244"/>
      <c r="K668" s="244"/>
      <c r="L668" s="244"/>
      <c r="M668" s="244"/>
      <c r="N668" s="244"/>
      <c r="O668" s="244"/>
      <c r="P668" s="244"/>
      <c r="Q668" s="244"/>
      <c r="R668" s="244"/>
      <c r="S668" s="244"/>
      <c r="T668" s="244"/>
      <c r="U668" s="244"/>
      <c r="V668" s="244"/>
      <c r="W668" s="244"/>
      <c r="X668" s="244"/>
      <c r="Y668" s="244"/>
      <c r="Z668" s="244"/>
    </row>
    <row r="669">
      <c r="A669" s="244"/>
      <c r="B669" s="244"/>
      <c r="C669" s="244"/>
      <c r="D669" s="244"/>
      <c r="E669" s="244"/>
      <c r="F669" s="244"/>
      <c r="G669" s="244"/>
      <c r="H669" s="244"/>
      <c r="I669" s="244"/>
      <c r="J669" s="244"/>
      <c r="K669" s="244"/>
      <c r="L669" s="244"/>
      <c r="M669" s="244"/>
      <c r="N669" s="244"/>
      <c r="O669" s="244"/>
      <c r="P669" s="244"/>
      <c r="Q669" s="244"/>
      <c r="R669" s="244"/>
      <c r="S669" s="244"/>
      <c r="T669" s="244"/>
      <c r="U669" s="244"/>
      <c r="V669" s="244"/>
      <c r="W669" s="244"/>
      <c r="X669" s="244"/>
      <c r="Y669" s="244"/>
      <c r="Z669" s="244"/>
    </row>
    <row r="670">
      <c r="A670" s="244"/>
      <c r="B670" s="244"/>
      <c r="C670" s="244"/>
      <c r="D670" s="244"/>
      <c r="E670" s="244"/>
      <c r="F670" s="244"/>
      <c r="G670" s="244"/>
      <c r="H670" s="244"/>
      <c r="I670" s="244"/>
      <c r="J670" s="244"/>
      <c r="K670" s="244"/>
      <c r="L670" s="244"/>
      <c r="M670" s="244"/>
      <c r="N670" s="244"/>
      <c r="O670" s="244"/>
      <c r="P670" s="244"/>
      <c r="Q670" s="244"/>
      <c r="R670" s="244"/>
      <c r="S670" s="244"/>
      <c r="T670" s="244"/>
      <c r="U670" s="244"/>
      <c r="V670" s="244"/>
      <c r="W670" s="244"/>
      <c r="X670" s="244"/>
      <c r="Y670" s="244"/>
      <c r="Z670" s="244"/>
    </row>
    <row r="671">
      <c r="A671" s="244"/>
      <c r="B671" s="244"/>
      <c r="C671" s="244"/>
      <c r="D671" s="244"/>
      <c r="E671" s="244"/>
      <c r="F671" s="244"/>
      <c r="G671" s="244"/>
      <c r="H671" s="244"/>
      <c r="I671" s="244"/>
      <c r="J671" s="244"/>
      <c r="K671" s="244"/>
      <c r="L671" s="244"/>
      <c r="M671" s="244"/>
      <c r="N671" s="244"/>
      <c r="O671" s="244"/>
      <c r="P671" s="244"/>
      <c r="Q671" s="244"/>
      <c r="R671" s="244"/>
      <c r="S671" s="244"/>
      <c r="T671" s="244"/>
      <c r="U671" s="244"/>
      <c r="V671" s="244"/>
      <c r="W671" s="244"/>
      <c r="X671" s="244"/>
      <c r="Y671" s="244"/>
      <c r="Z671" s="244"/>
    </row>
    <row r="672">
      <c r="A672" s="244"/>
      <c r="B672" s="244"/>
      <c r="C672" s="244"/>
      <c r="D672" s="244"/>
      <c r="E672" s="244"/>
      <c r="F672" s="244"/>
      <c r="G672" s="244"/>
      <c r="H672" s="244"/>
      <c r="I672" s="244"/>
      <c r="J672" s="244"/>
      <c r="K672" s="244"/>
      <c r="L672" s="244"/>
      <c r="M672" s="244"/>
      <c r="N672" s="244"/>
      <c r="O672" s="244"/>
      <c r="P672" s="244"/>
      <c r="Q672" s="244"/>
      <c r="R672" s="244"/>
      <c r="S672" s="244"/>
      <c r="T672" s="244"/>
      <c r="U672" s="244"/>
      <c r="V672" s="244"/>
      <c r="W672" s="244"/>
      <c r="X672" s="244"/>
      <c r="Y672" s="244"/>
      <c r="Z672" s="244"/>
    </row>
    <row r="673">
      <c r="A673" s="244"/>
      <c r="B673" s="244"/>
      <c r="C673" s="244"/>
      <c r="D673" s="244"/>
      <c r="E673" s="244"/>
      <c r="F673" s="244"/>
      <c r="G673" s="244"/>
      <c r="H673" s="244"/>
      <c r="I673" s="244"/>
      <c r="J673" s="244"/>
      <c r="K673" s="244"/>
      <c r="L673" s="244"/>
      <c r="M673" s="244"/>
      <c r="N673" s="244"/>
      <c r="O673" s="244"/>
      <c r="P673" s="244"/>
      <c r="Q673" s="244"/>
      <c r="R673" s="244"/>
      <c r="S673" s="244"/>
      <c r="T673" s="244"/>
      <c r="U673" s="244"/>
      <c r="V673" s="244"/>
      <c r="W673" s="244"/>
      <c r="X673" s="244"/>
      <c r="Y673" s="244"/>
      <c r="Z673" s="244"/>
    </row>
    <row r="674">
      <c r="A674" s="244"/>
      <c r="B674" s="244"/>
      <c r="C674" s="244"/>
      <c r="D674" s="244"/>
      <c r="E674" s="244"/>
      <c r="F674" s="244"/>
      <c r="G674" s="244"/>
      <c r="H674" s="244"/>
      <c r="I674" s="244"/>
      <c r="J674" s="244"/>
      <c r="K674" s="244"/>
      <c r="L674" s="244"/>
      <c r="M674" s="244"/>
      <c r="N674" s="244"/>
      <c r="O674" s="244"/>
      <c r="P674" s="244"/>
      <c r="Q674" s="244"/>
      <c r="R674" s="244"/>
      <c r="S674" s="244"/>
      <c r="T674" s="244"/>
      <c r="U674" s="244"/>
      <c r="V674" s="244"/>
      <c r="W674" s="244"/>
      <c r="X674" s="244"/>
      <c r="Y674" s="244"/>
      <c r="Z674" s="244"/>
    </row>
    <row r="675">
      <c r="A675" s="244"/>
      <c r="B675" s="244"/>
      <c r="C675" s="244"/>
      <c r="D675" s="244"/>
      <c r="E675" s="244"/>
      <c r="F675" s="244"/>
      <c r="G675" s="244"/>
      <c r="H675" s="244"/>
      <c r="I675" s="244"/>
      <c r="J675" s="244"/>
      <c r="K675" s="244"/>
      <c r="L675" s="244"/>
      <c r="M675" s="244"/>
      <c r="N675" s="244"/>
      <c r="O675" s="244"/>
      <c r="P675" s="244"/>
      <c r="Q675" s="244"/>
      <c r="R675" s="244"/>
      <c r="S675" s="244"/>
      <c r="T675" s="244"/>
      <c r="U675" s="244"/>
      <c r="V675" s="244"/>
      <c r="W675" s="244"/>
      <c r="X675" s="244"/>
      <c r="Y675" s="244"/>
      <c r="Z675" s="244"/>
    </row>
    <row r="676">
      <c r="A676" s="244"/>
      <c r="B676" s="244"/>
      <c r="C676" s="244"/>
      <c r="D676" s="244"/>
      <c r="E676" s="244"/>
      <c r="F676" s="244"/>
      <c r="G676" s="244"/>
      <c r="H676" s="244"/>
      <c r="I676" s="244"/>
      <c r="J676" s="244"/>
      <c r="K676" s="244"/>
      <c r="L676" s="244"/>
      <c r="M676" s="244"/>
      <c r="N676" s="244"/>
      <c r="O676" s="244"/>
      <c r="P676" s="244"/>
      <c r="Q676" s="244"/>
      <c r="R676" s="244"/>
      <c r="S676" s="244"/>
      <c r="T676" s="244"/>
      <c r="U676" s="244"/>
      <c r="V676" s="244"/>
      <c r="W676" s="244"/>
      <c r="X676" s="244"/>
      <c r="Y676" s="244"/>
      <c r="Z676" s="244"/>
    </row>
    <row r="677">
      <c r="A677" s="244"/>
      <c r="B677" s="244"/>
      <c r="C677" s="244"/>
      <c r="D677" s="244"/>
      <c r="E677" s="244"/>
      <c r="F677" s="244"/>
      <c r="G677" s="244"/>
      <c r="H677" s="244"/>
      <c r="I677" s="244"/>
      <c r="J677" s="244"/>
      <c r="K677" s="244"/>
      <c r="L677" s="244"/>
      <c r="M677" s="244"/>
      <c r="N677" s="244"/>
      <c r="O677" s="244"/>
      <c r="P677" s="244"/>
      <c r="Q677" s="244"/>
      <c r="R677" s="244"/>
      <c r="S677" s="244"/>
      <c r="T677" s="244"/>
      <c r="U677" s="244"/>
      <c r="V677" s="244"/>
      <c r="W677" s="244"/>
      <c r="X677" s="244"/>
      <c r="Y677" s="244"/>
      <c r="Z677" s="244"/>
    </row>
    <row r="678">
      <c r="A678" s="244"/>
      <c r="B678" s="244"/>
      <c r="C678" s="244"/>
      <c r="D678" s="244"/>
      <c r="E678" s="244"/>
      <c r="F678" s="244"/>
      <c r="G678" s="244"/>
      <c r="H678" s="244"/>
      <c r="I678" s="244"/>
      <c r="J678" s="244"/>
      <c r="K678" s="244"/>
      <c r="L678" s="244"/>
      <c r="M678" s="244"/>
      <c r="N678" s="244"/>
      <c r="O678" s="244"/>
      <c r="P678" s="244"/>
      <c r="Q678" s="244"/>
      <c r="R678" s="244"/>
      <c r="S678" s="244"/>
      <c r="T678" s="244"/>
      <c r="U678" s="244"/>
      <c r="V678" s="244"/>
      <c r="W678" s="244"/>
      <c r="X678" s="244"/>
      <c r="Y678" s="244"/>
      <c r="Z678" s="244"/>
    </row>
    <row r="679">
      <c r="A679" s="244"/>
      <c r="B679" s="244"/>
      <c r="C679" s="244"/>
      <c r="D679" s="244"/>
      <c r="E679" s="244"/>
      <c r="F679" s="244"/>
      <c r="G679" s="244"/>
      <c r="H679" s="244"/>
      <c r="I679" s="244"/>
      <c r="J679" s="244"/>
      <c r="K679" s="244"/>
      <c r="L679" s="244"/>
      <c r="M679" s="244"/>
      <c r="N679" s="244"/>
      <c r="O679" s="244"/>
      <c r="P679" s="244"/>
      <c r="Q679" s="244"/>
      <c r="R679" s="244"/>
      <c r="S679" s="244"/>
      <c r="T679" s="244"/>
      <c r="U679" s="244"/>
      <c r="V679" s="244"/>
      <c r="W679" s="244"/>
      <c r="X679" s="244"/>
      <c r="Y679" s="244"/>
      <c r="Z679" s="244"/>
    </row>
    <row r="680">
      <c r="A680" s="244"/>
      <c r="B680" s="244"/>
      <c r="C680" s="244"/>
      <c r="D680" s="244"/>
      <c r="E680" s="244"/>
      <c r="F680" s="244"/>
      <c r="G680" s="244"/>
      <c r="H680" s="244"/>
      <c r="I680" s="244"/>
      <c r="J680" s="244"/>
      <c r="K680" s="244"/>
      <c r="L680" s="244"/>
      <c r="M680" s="244"/>
      <c r="N680" s="244"/>
      <c r="O680" s="244"/>
      <c r="P680" s="244"/>
      <c r="Q680" s="244"/>
      <c r="R680" s="244"/>
      <c r="S680" s="244"/>
      <c r="T680" s="244"/>
      <c r="U680" s="244"/>
      <c r="V680" s="244"/>
      <c r="W680" s="244"/>
      <c r="X680" s="244"/>
      <c r="Y680" s="244"/>
      <c r="Z680" s="244"/>
    </row>
    <row r="681">
      <c r="A681" s="244"/>
      <c r="B681" s="244"/>
      <c r="C681" s="244"/>
      <c r="D681" s="244"/>
      <c r="E681" s="244"/>
      <c r="F681" s="244"/>
      <c r="G681" s="244"/>
      <c r="H681" s="244"/>
      <c r="I681" s="244"/>
      <c r="J681" s="244"/>
      <c r="K681" s="244"/>
      <c r="L681" s="244"/>
      <c r="M681" s="244"/>
      <c r="N681" s="244"/>
      <c r="O681" s="244"/>
      <c r="P681" s="244"/>
      <c r="Q681" s="244"/>
      <c r="R681" s="244"/>
      <c r="S681" s="244"/>
      <c r="T681" s="244"/>
      <c r="U681" s="244"/>
      <c r="V681" s="244"/>
      <c r="W681" s="244"/>
      <c r="X681" s="244"/>
      <c r="Y681" s="244"/>
      <c r="Z681" s="244"/>
    </row>
    <row r="682">
      <c r="A682" s="244"/>
      <c r="B682" s="244"/>
      <c r="C682" s="244"/>
      <c r="D682" s="244"/>
      <c r="E682" s="244"/>
      <c r="F682" s="244"/>
      <c r="G682" s="244"/>
      <c r="H682" s="244"/>
      <c r="I682" s="244"/>
      <c r="J682" s="244"/>
      <c r="K682" s="244"/>
      <c r="L682" s="244"/>
      <c r="M682" s="244"/>
      <c r="N682" s="244"/>
      <c r="O682" s="244"/>
      <c r="P682" s="244"/>
      <c r="Q682" s="244"/>
      <c r="R682" s="244"/>
      <c r="S682" s="244"/>
      <c r="T682" s="244"/>
      <c r="U682" s="244"/>
      <c r="V682" s="244"/>
      <c r="W682" s="244"/>
      <c r="X682" s="244"/>
      <c r="Y682" s="244"/>
      <c r="Z682" s="244"/>
    </row>
    <row r="683">
      <c r="A683" s="244"/>
      <c r="B683" s="244"/>
      <c r="C683" s="244"/>
      <c r="D683" s="244"/>
      <c r="E683" s="244"/>
      <c r="F683" s="244"/>
      <c r="G683" s="244"/>
      <c r="H683" s="244"/>
      <c r="I683" s="244"/>
      <c r="J683" s="244"/>
      <c r="K683" s="244"/>
      <c r="L683" s="244"/>
      <c r="M683" s="244"/>
      <c r="N683" s="244"/>
      <c r="O683" s="244"/>
      <c r="P683" s="244"/>
      <c r="Q683" s="244"/>
      <c r="R683" s="244"/>
      <c r="S683" s="244"/>
      <c r="T683" s="244"/>
      <c r="U683" s="244"/>
      <c r="V683" s="244"/>
      <c r="W683" s="244"/>
      <c r="X683" s="244"/>
      <c r="Y683" s="244"/>
      <c r="Z683" s="244"/>
    </row>
    <row r="684">
      <c r="A684" s="244"/>
      <c r="B684" s="244"/>
      <c r="C684" s="244"/>
      <c r="D684" s="244"/>
      <c r="E684" s="244"/>
      <c r="F684" s="244"/>
      <c r="G684" s="244"/>
      <c r="H684" s="244"/>
      <c r="I684" s="244"/>
      <c r="J684" s="244"/>
      <c r="K684" s="244"/>
      <c r="L684" s="244"/>
      <c r="M684" s="244"/>
      <c r="N684" s="244"/>
      <c r="O684" s="244"/>
      <c r="P684" s="244"/>
      <c r="Q684" s="244"/>
      <c r="R684" s="244"/>
      <c r="S684" s="244"/>
      <c r="T684" s="244"/>
      <c r="U684" s="244"/>
      <c r="V684" s="244"/>
      <c r="W684" s="244"/>
      <c r="X684" s="244"/>
      <c r="Y684" s="244"/>
      <c r="Z684" s="244"/>
    </row>
    <row r="685">
      <c r="A685" s="244"/>
      <c r="B685" s="244"/>
      <c r="C685" s="244"/>
      <c r="D685" s="244"/>
      <c r="E685" s="244"/>
      <c r="F685" s="244"/>
      <c r="G685" s="244"/>
      <c r="H685" s="244"/>
      <c r="I685" s="244"/>
      <c r="J685" s="244"/>
      <c r="K685" s="244"/>
      <c r="L685" s="244"/>
      <c r="M685" s="244"/>
      <c r="N685" s="244"/>
      <c r="O685" s="244"/>
      <c r="P685" s="244"/>
      <c r="Q685" s="244"/>
      <c r="R685" s="244"/>
      <c r="S685" s="244"/>
      <c r="T685" s="244"/>
      <c r="U685" s="244"/>
      <c r="V685" s="244"/>
      <c r="W685" s="244"/>
      <c r="X685" s="244"/>
      <c r="Y685" s="244"/>
      <c r="Z685" s="244"/>
    </row>
    <row r="686">
      <c r="A686" s="244"/>
      <c r="B686" s="244"/>
      <c r="C686" s="244"/>
      <c r="D686" s="244"/>
      <c r="E686" s="244"/>
      <c r="F686" s="244"/>
      <c r="G686" s="244"/>
      <c r="H686" s="244"/>
      <c r="I686" s="244"/>
      <c r="J686" s="244"/>
      <c r="K686" s="244"/>
      <c r="L686" s="244"/>
      <c r="M686" s="244"/>
      <c r="N686" s="244"/>
      <c r="O686" s="244"/>
      <c r="P686" s="244"/>
      <c r="Q686" s="244"/>
      <c r="R686" s="244"/>
      <c r="S686" s="244"/>
      <c r="T686" s="244"/>
      <c r="U686" s="244"/>
      <c r="V686" s="244"/>
      <c r="W686" s="244"/>
      <c r="X686" s="244"/>
      <c r="Y686" s="244"/>
      <c r="Z686" s="244"/>
    </row>
    <row r="687">
      <c r="A687" s="244"/>
      <c r="B687" s="244"/>
      <c r="C687" s="244"/>
      <c r="D687" s="244"/>
      <c r="E687" s="244"/>
      <c r="F687" s="244"/>
      <c r="G687" s="244"/>
      <c r="H687" s="244"/>
      <c r="I687" s="244"/>
      <c r="J687" s="244"/>
      <c r="K687" s="244"/>
      <c r="L687" s="244"/>
      <c r="M687" s="244"/>
      <c r="N687" s="244"/>
      <c r="O687" s="244"/>
      <c r="P687" s="244"/>
      <c r="Q687" s="244"/>
      <c r="R687" s="244"/>
      <c r="S687" s="244"/>
      <c r="T687" s="244"/>
      <c r="U687" s="244"/>
      <c r="V687" s="244"/>
      <c r="W687" s="244"/>
      <c r="X687" s="244"/>
      <c r="Y687" s="244"/>
      <c r="Z687" s="244"/>
    </row>
    <row r="688">
      <c r="A688" s="244"/>
      <c r="B688" s="244"/>
      <c r="C688" s="244"/>
      <c r="D688" s="244"/>
      <c r="E688" s="244"/>
      <c r="F688" s="244"/>
      <c r="G688" s="244"/>
      <c r="H688" s="244"/>
      <c r="I688" s="244"/>
      <c r="J688" s="244"/>
      <c r="K688" s="244"/>
      <c r="L688" s="244"/>
      <c r="M688" s="244"/>
      <c r="N688" s="244"/>
      <c r="O688" s="244"/>
      <c r="P688" s="244"/>
      <c r="Q688" s="244"/>
      <c r="R688" s="244"/>
      <c r="S688" s="244"/>
      <c r="T688" s="244"/>
      <c r="U688" s="244"/>
      <c r="V688" s="244"/>
      <c r="W688" s="244"/>
      <c r="X688" s="244"/>
      <c r="Y688" s="244"/>
      <c r="Z688" s="244"/>
    </row>
    <row r="689">
      <c r="A689" s="244"/>
      <c r="B689" s="244"/>
      <c r="C689" s="244"/>
      <c r="D689" s="244"/>
      <c r="E689" s="244"/>
      <c r="F689" s="244"/>
      <c r="G689" s="244"/>
      <c r="H689" s="244"/>
      <c r="I689" s="244"/>
      <c r="J689" s="244"/>
      <c r="K689" s="244"/>
      <c r="L689" s="244"/>
      <c r="M689" s="244"/>
      <c r="N689" s="244"/>
      <c r="O689" s="244"/>
      <c r="P689" s="244"/>
      <c r="Q689" s="244"/>
      <c r="R689" s="244"/>
      <c r="S689" s="244"/>
      <c r="T689" s="244"/>
      <c r="U689" s="244"/>
      <c r="V689" s="244"/>
      <c r="W689" s="244"/>
      <c r="X689" s="244"/>
      <c r="Y689" s="244"/>
      <c r="Z689" s="244"/>
    </row>
    <row r="690">
      <c r="A690" s="244"/>
      <c r="B690" s="244"/>
      <c r="C690" s="244"/>
      <c r="D690" s="244"/>
      <c r="E690" s="244"/>
      <c r="F690" s="244"/>
      <c r="G690" s="244"/>
      <c r="H690" s="244"/>
      <c r="I690" s="244"/>
      <c r="J690" s="244"/>
      <c r="K690" s="244"/>
      <c r="L690" s="244"/>
      <c r="M690" s="244"/>
      <c r="N690" s="244"/>
      <c r="O690" s="244"/>
      <c r="P690" s="244"/>
      <c r="Q690" s="244"/>
      <c r="R690" s="244"/>
      <c r="S690" s="244"/>
      <c r="T690" s="244"/>
      <c r="U690" s="244"/>
      <c r="V690" s="244"/>
      <c r="W690" s="244"/>
      <c r="X690" s="244"/>
      <c r="Y690" s="244"/>
      <c r="Z690" s="244"/>
    </row>
    <row r="691">
      <c r="A691" s="244"/>
      <c r="B691" s="244"/>
      <c r="C691" s="244"/>
      <c r="D691" s="244"/>
      <c r="E691" s="244"/>
      <c r="F691" s="244"/>
      <c r="G691" s="244"/>
      <c r="H691" s="244"/>
      <c r="I691" s="244"/>
      <c r="J691" s="244"/>
      <c r="K691" s="244"/>
      <c r="L691" s="244"/>
      <c r="M691" s="244"/>
      <c r="N691" s="244"/>
      <c r="O691" s="244"/>
      <c r="P691" s="244"/>
      <c r="Q691" s="244"/>
      <c r="R691" s="244"/>
      <c r="S691" s="244"/>
      <c r="T691" s="244"/>
      <c r="U691" s="244"/>
      <c r="V691" s="244"/>
      <c r="W691" s="244"/>
      <c r="X691" s="244"/>
      <c r="Y691" s="244"/>
      <c r="Z691" s="244"/>
    </row>
    <row r="692">
      <c r="A692" s="244"/>
      <c r="B692" s="244"/>
      <c r="C692" s="244"/>
      <c r="D692" s="244"/>
      <c r="E692" s="244"/>
      <c r="F692" s="244"/>
      <c r="G692" s="244"/>
      <c r="H692" s="244"/>
      <c r="I692" s="244"/>
      <c r="J692" s="244"/>
      <c r="K692" s="244"/>
      <c r="L692" s="244"/>
      <c r="M692" s="244"/>
      <c r="N692" s="244"/>
      <c r="O692" s="244"/>
      <c r="P692" s="244"/>
      <c r="Q692" s="244"/>
      <c r="R692" s="244"/>
      <c r="S692" s="244"/>
      <c r="T692" s="244"/>
      <c r="U692" s="244"/>
      <c r="V692" s="244"/>
      <c r="W692" s="244"/>
      <c r="X692" s="244"/>
      <c r="Y692" s="244"/>
      <c r="Z692" s="244"/>
    </row>
    <row r="693">
      <c r="A693" s="244"/>
      <c r="B693" s="244"/>
      <c r="C693" s="244"/>
      <c r="D693" s="244"/>
      <c r="E693" s="244"/>
      <c r="F693" s="244"/>
      <c r="G693" s="244"/>
      <c r="H693" s="244"/>
      <c r="I693" s="244"/>
      <c r="J693" s="244"/>
      <c r="K693" s="244"/>
      <c r="L693" s="244"/>
      <c r="M693" s="244"/>
      <c r="N693" s="244"/>
      <c r="O693" s="244"/>
      <c r="P693" s="244"/>
      <c r="Q693" s="244"/>
      <c r="R693" s="244"/>
      <c r="S693" s="244"/>
      <c r="T693" s="244"/>
      <c r="U693" s="244"/>
      <c r="V693" s="244"/>
      <c r="W693" s="244"/>
      <c r="X693" s="244"/>
      <c r="Y693" s="244"/>
      <c r="Z693" s="244"/>
    </row>
    <row r="694">
      <c r="A694" s="244"/>
      <c r="B694" s="244"/>
      <c r="C694" s="244"/>
      <c r="D694" s="244"/>
      <c r="E694" s="244"/>
      <c r="F694" s="244"/>
      <c r="G694" s="244"/>
      <c r="H694" s="244"/>
      <c r="I694" s="244"/>
      <c r="J694" s="244"/>
      <c r="K694" s="244"/>
      <c r="L694" s="244"/>
      <c r="M694" s="244"/>
      <c r="N694" s="244"/>
      <c r="O694" s="244"/>
      <c r="P694" s="244"/>
      <c r="Q694" s="244"/>
      <c r="R694" s="244"/>
      <c r="S694" s="244"/>
      <c r="T694" s="244"/>
      <c r="U694" s="244"/>
      <c r="V694" s="244"/>
      <c r="W694" s="244"/>
      <c r="X694" s="244"/>
      <c r="Y694" s="244"/>
      <c r="Z694" s="244"/>
    </row>
    <row r="695">
      <c r="A695" s="244"/>
      <c r="B695" s="244"/>
      <c r="C695" s="244"/>
      <c r="D695" s="244"/>
      <c r="E695" s="244"/>
      <c r="F695" s="244"/>
      <c r="G695" s="244"/>
      <c r="H695" s="244"/>
      <c r="I695" s="244"/>
      <c r="J695" s="244"/>
      <c r="K695" s="244"/>
      <c r="L695" s="244"/>
      <c r="M695" s="244"/>
      <c r="N695" s="244"/>
      <c r="O695" s="244"/>
      <c r="P695" s="244"/>
      <c r="Q695" s="244"/>
      <c r="R695" s="244"/>
      <c r="S695" s="244"/>
      <c r="T695" s="244"/>
      <c r="U695" s="244"/>
      <c r="V695" s="244"/>
      <c r="W695" s="244"/>
      <c r="X695" s="244"/>
      <c r="Y695" s="244"/>
      <c r="Z695" s="244"/>
    </row>
    <row r="696">
      <c r="A696" s="244"/>
      <c r="B696" s="244"/>
      <c r="C696" s="244"/>
      <c r="D696" s="244"/>
      <c r="E696" s="244"/>
      <c r="F696" s="244"/>
      <c r="G696" s="244"/>
      <c r="H696" s="244"/>
      <c r="I696" s="244"/>
      <c r="J696" s="244"/>
      <c r="K696" s="244"/>
      <c r="L696" s="244"/>
      <c r="M696" s="244"/>
      <c r="N696" s="244"/>
      <c r="O696" s="244"/>
      <c r="P696" s="244"/>
      <c r="Q696" s="244"/>
      <c r="R696" s="244"/>
      <c r="S696" s="244"/>
      <c r="T696" s="244"/>
      <c r="U696" s="244"/>
      <c r="V696" s="244"/>
      <c r="W696" s="244"/>
      <c r="X696" s="244"/>
      <c r="Y696" s="244"/>
      <c r="Z696" s="244"/>
    </row>
    <row r="697">
      <c r="A697" s="244"/>
      <c r="B697" s="244"/>
      <c r="C697" s="244"/>
      <c r="D697" s="244"/>
      <c r="E697" s="244"/>
      <c r="F697" s="244"/>
      <c r="G697" s="244"/>
      <c r="H697" s="244"/>
      <c r="I697" s="244"/>
      <c r="J697" s="244"/>
      <c r="K697" s="244"/>
      <c r="L697" s="244"/>
      <c r="M697" s="244"/>
      <c r="N697" s="244"/>
      <c r="O697" s="244"/>
      <c r="P697" s="244"/>
      <c r="Q697" s="244"/>
      <c r="R697" s="244"/>
      <c r="S697" s="244"/>
      <c r="T697" s="244"/>
      <c r="U697" s="244"/>
      <c r="V697" s="244"/>
      <c r="W697" s="244"/>
      <c r="X697" s="244"/>
      <c r="Y697" s="244"/>
      <c r="Z697" s="244"/>
    </row>
    <row r="698">
      <c r="A698" s="244"/>
      <c r="B698" s="244"/>
      <c r="C698" s="244"/>
      <c r="D698" s="244"/>
      <c r="E698" s="244"/>
      <c r="F698" s="244"/>
      <c r="G698" s="244"/>
      <c r="H698" s="244"/>
      <c r="I698" s="244"/>
      <c r="J698" s="244"/>
      <c r="K698" s="244"/>
      <c r="L698" s="244"/>
      <c r="M698" s="244"/>
      <c r="N698" s="244"/>
      <c r="O698" s="244"/>
      <c r="P698" s="244"/>
      <c r="Q698" s="244"/>
      <c r="R698" s="244"/>
      <c r="S698" s="244"/>
      <c r="T698" s="244"/>
      <c r="U698" s="244"/>
      <c r="V698" s="244"/>
      <c r="W698" s="244"/>
      <c r="X698" s="244"/>
      <c r="Y698" s="244"/>
      <c r="Z698" s="244"/>
    </row>
    <row r="699">
      <c r="A699" s="244"/>
      <c r="B699" s="244"/>
      <c r="C699" s="244"/>
      <c r="D699" s="244"/>
      <c r="E699" s="244"/>
      <c r="F699" s="244"/>
      <c r="G699" s="244"/>
      <c r="H699" s="244"/>
      <c r="I699" s="244"/>
      <c r="J699" s="244"/>
      <c r="K699" s="244"/>
      <c r="L699" s="244"/>
      <c r="M699" s="244"/>
      <c r="N699" s="244"/>
      <c r="O699" s="244"/>
      <c r="P699" s="244"/>
      <c r="Q699" s="244"/>
      <c r="R699" s="244"/>
      <c r="S699" s="244"/>
      <c r="T699" s="244"/>
      <c r="U699" s="244"/>
      <c r="V699" s="244"/>
      <c r="W699" s="244"/>
      <c r="X699" s="244"/>
      <c r="Y699" s="244"/>
      <c r="Z699" s="244"/>
    </row>
    <row r="700">
      <c r="A700" s="244"/>
      <c r="B700" s="244"/>
      <c r="C700" s="244"/>
      <c r="D700" s="244"/>
      <c r="E700" s="244"/>
      <c r="F700" s="244"/>
      <c r="G700" s="244"/>
      <c r="H700" s="244"/>
      <c r="I700" s="244"/>
      <c r="J700" s="244"/>
      <c r="K700" s="244"/>
      <c r="L700" s="244"/>
      <c r="M700" s="244"/>
      <c r="N700" s="244"/>
      <c r="O700" s="244"/>
      <c r="P700" s="244"/>
      <c r="Q700" s="244"/>
      <c r="R700" s="244"/>
      <c r="S700" s="244"/>
      <c r="T700" s="244"/>
      <c r="U700" s="244"/>
      <c r="V700" s="244"/>
      <c r="W700" s="244"/>
      <c r="X700" s="244"/>
      <c r="Y700" s="244"/>
      <c r="Z700" s="244"/>
    </row>
    <row r="701">
      <c r="A701" s="244"/>
      <c r="B701" s="244"/>
      <c r="C701" s="244"/>
      <c r="D701" s="244"/>
      <c r="E701" s="244"/>
      <c r="F701" s="244"/>
      <c r="G701" s="244"/>
      <c r="H701" s="244"/>
      <c r="I701" s="244"/>
      <c r="J701" s="244"/>
      <c r="K701" s="244"/>
      <c r="L701" s="244"/>
      <c r="M701" s="244"/>
      <c r="N701" s="244"/>
      <c r="O701" s="244"/>
      <c r="P701" s="244"/>
      <c r="Q701" s="244"/>
      <c r="R701" s="244"/>
      <c r="S701" s="244"/>
      <c r="T701" s="244"/>
      <c r="U701" s="244"/>
      <c r="V701" s="244"/>
      <c r="W701" s="244"/>
      <c r="X701" s="244"/>
      <c r="Y701" s="244"/>
      <c r="Z701" s="244"/>
    </row>
    <row r="702">
      <c r="A702" s="244"/>
      <c r="B702" s="244"/>
      <c r="C702" s="244"/>
      <c r="D702" s="244"/>
      <c r="E702" s="244"/>
      <c r="F702" s="244"/>
      <c r="G702" s="244"/>
      <c r="H702" s="244"/>
      <c r="I702" s="244"/>
      <c r="J702" s="244"/>
      <c r="K702" s="244"/>
      <c r="L702" s="244"/>
      <c r="M702" s="244"/>
      <c r="N702" s="244"/>
      <c r="O702" s="244"/>
      <c r="P702" s="244"/>
      <c r="Q702" s="244"/>
      <c r="R702" s="244"/>
      <c r="S702" s="244"/>
      <c r="T702" s="244"/>
      <c r="U702" s="244"/>
      <c r="V702" s="244"/>
      <c r="W702" s="244"/>
      <c r="X702" s="244"/>
      <c r="Y702" s="244"/>
      <c r="Z702" s="244"/>
    </row>
    <row r="703">
      <c r="A703" s="244"/>
      <c r="B703" s="244"/>
      <c r="C703" s="244"/>
      <c r="D703" s="244"/>
      <c r="E703" s="244"/>
      <c r="F703" s="244"/>
      <c r="G703" s="244"/>
      <c r="H703" s="244"/>
      <c r="I703" s="244"/>
      <c r="J703" s="244"/>
      <c r="K703" s="244"/>
      <c r="L703" s="244"/>
      <c r="M703" s="244"/>
      <c r="N703" s="244"/>
      <c r="O703" s="244"/>
      <c r="P703" s="244"/>
      <c r="Q703" s="244"/>
      <c r="R703" s="244"/>
      <c r="S703" s="244"/>
      <c r="T703" s="244"/>
      <c r="U703" s="244"/>
      <c r="V703" s="244"/>
      <c r="W703" s="244"/>
      <c r="X703" s="244"/>
      <c r="Y703" s="244"/>
      <c r="Z703" s="244"/>
    </row>
    <row r="704">
      <c r="A704" s="244"/>
      <c r="B704" s="244"/>
      <c r="C704" s="244"/>
      <c r="D704" s="244"/>
      <c r="E704" s="244"/>
      <c r="F704" s="244"/>
      <c r="G704" s="244"/>
      <c r="H704" s="244"/>
      <c r="I704" s="244"/>
      <c r="J704" s="244"/>
      <c r="K704" s="244"/>
      <c r="L704" s="244"/>
      <c r="M704" s="244"/>
      <c r="N704" s="244"/>
      <c r="O704" s="244"/>
      <c r="P704" s="244"/>
      <c r="Q704" s="244"/>
      <c r="R704" s="244"/>
      <c r="S704" s="244"/>
      <c r="T704" s="244"/>
      <c r="U704" s="244"/>
      <c r="V704" s="244"/>
      <c r="W704" s="244"/>
      <c r="X704" s="244"/>
      <c r="Y704" s="244"/>
      <c r="Z704" s="244"/>
    </row>
    <row r="705">
      <c r="A705" s="244"/>
      <c r="B705" s="244"/>
      <c r="C705" s="244"/>
      <c r="D705" s="244"/>
      <c r="E705" s="244"/>
      <c r="F705" s="244"/>
      <c r="G705" s="244"/>
      <c r="H705" s="244"/>
      <c r="I705" s="244"/>
      <c r="J705" s="244"/>
      <c r="K705" s="244"/>
      <c r="L705" s="244"/>
      <c r="M705" s="244"/>
      <c r="N705" s="244"/>
      <c r="O705" s="244"/>
      <c r="P705" s="244"/>
      <c r="Q705" s="244"/>
      <c r="R705" s="244"/>
      <c r="S705" s="244"/>
      <c r="T705" s="244"/>
      <c r="U705" s="244"/>
      <c r="V705" s="244"/>
      <c r="W705" s="244"/>
      <c r="X705" s="244"/>
      <c r="Y705" s="244"/>
      <c r="Z705" s="244"/>
    </row>
    <row r="706">
      <c r="A706" s="244"/>
      <c r="B706" s="244"/>
      <c r="C706" s="244"/>
      <c r="D706" s="244"/>
      <c r="E706" s="244"/>
      <c r="F706" s="244"/>
      <c r="G706" s="244"/>
      <c r="H706" s="244"/>
      <c r="I706" s="244"/>
      <c r="J706" s="244"/>
      <c r="K706" s="244"/>
      <c r="L706" s="244"/>
      <c r="M706" s="244"/>
      <c r="N706" s="244"/>
      <c r="O706" s="244"/>
      <c r="P706" s="244"/>
      <c r="Q706" s="244"/>
      <c r="R706" s="244"/>
      <c r="S706" s="244"/>
      <c r="T706" s="244"/>
      <c r="U706" s="244"/>
      <c r="V706" s="244"/>
      <c r="W706" s="244"/>
      <c r="X706" s="244"/>
      <c r="Y706" s="244"/>
      <c r="Z706" s="244"/>
    </row>
    <row r="707">
      <c r="A707" s="244"/>
      <c r="B707" s="244"/>
      <c r="C707" s="244"/>
      <c r="D707" s="244"/>
      <c r="E707" s="244"/>
      <c r="F707" s="244"/>
      <c r="G707" s="244"/>
      <c r="H707" s="244"/>
      <c r="I707" s="244"/>
      <c r="J707" s="244"/>
      <c r="K707" s="244"/>
      <c r="L707" s="244"/>
      <c r="M707" s="244"/>
      <c r="N707" s="244"/>
      <c r="O707" s="244"/>
      <c r="P707" s="244"/>
      <c r="Q707" s="244"/>
      <c r="R707" s="244"/>
      <c r="S707" s="244"/>
      <c r="T707" s="244"/>
      <c r="U707" s="244"/>
      <c r="V707" s="244"/>
      <c r="W707" s="244"/>
      <c r="X707" s="244"/>
      <c r="Y707" s="244"/>
      <c r="Z707" s="244"/>
    </row>
    <row r="708">
      <c r="A708" s="244"/>
      <c r="B708" s="244"/>
      <c r="C708" s="244"/>
      <c r="D708" s="244"/>
      <c r="E708" s="244"/>
      <c r="F708" s="244"/>
      <c r="G708" s="244"/>
      <c r="H708" s="244"/>
      <c r="I708" s="244"/>
      <c r="J708" s="244"/>
      <c r="K708" s="244"/>
      <c r="L708" s="244"/>
      <c r="M708" s="244"/>
      <c r="N708" s="244"/>
      <c r="O708" s="244"/>
      <c r="P708" s="244"/>
      <c r="Q708" s="244"/>
      <c r="R708" s="244"/>
      <c r="S708" s="244"/>
      <c r="T708" s="244"/>
      <c r="U708" s="244"/>
      <c r="V708" s="244"/>
      <c r="W708" s="244"/>
      <c r="X708" s="244"/>
      <c r="Y708" s="244"/>
      <c r="Z708" s="244"/>
    </row>
    <row r="709">
      <c r="A709" s="244"/>
      <c r="B709" s="244"/>
      <c r="C709" s="244"/>
      <c r="D709" s="244"/>
      <c r="E709" s="244"/>
      <c r="F709" s="244"/>
      <c r="G709" s="244"/>
      <c r="H709" s="244"/>
      <c r="I709" s="244"/>
      <c r="J709" s="244"/>
      <c r="K709" s="244"/>
      <c r="L709" s="244"/>
      <c r="M709" s="244"/>
      <c r="N709" s="244"/>
      <c r="O709" s="244"/>
      <c r="P709" s="244"/>
      <c r="Q709" s="244"/>
      <c r="R709" s="244"/>
      <c r="S709" s="244"/>
      <c r="T709" s="244"/>
      <c r="U709" s="244"/>
      <c r="V709" s="244"/>
      <c r="W709" s="244"/>
      <c r="X709" s="244"/>
      <c r="Y709" s="244"/>
      <c r="Z709" s="244"/>
    </row>
    <row r="710">
      <c r="A710" s="244"/>
      <c r="B710" s="244"/>
      <c r="C710" s="244"/>
      <c r="D710" s="244"/>
      <c r="E710" s="244"/>
      <c r="F710" s="244"/>
      <c r="G710" s="244"/>
      <c r="H710" s="244"/>
      <c r="I710" s="244"/>
      <c r="J710" s="244"/>
      <c r="K710" s="244"/>
      <c r="L710" s="244"/>
      <c r="M710" s="244"/>
      <c r="N710" s="244"/>
      <c r="O710" s="244"/>
      <c r="P710" s="244"/>
      <c r="Q710" s="244"/>
      <c r="R710" s="244"/>
      <c r="S710" s="244"/>
      <c r="T710" s="244"/>
      <c r="U710" s="244"/>
      <c r="V710" s="244"/>
      <c r="W710" s="244"/>
      <c r="X710" s="244"/>
      <c r="Y710" s="244"/>
      <c r="Z710" s="244"/>
    </row>
    <row r="711">
      <c r="A711" s="244"/>
      <c r="B711" s="244"/>
      <c r="C711" s="244"/>
      <c r="D711" s="244"/>
      <c r="E711" s="244"/>
      <c r="F711" s="244"/>
      <c r="G711" s="244"/>
      <c r="H711" s="244"/>
      <c r="I711" s="244"/>
      <c r="J711" s="244"/>
      <c r="K711" s="244"/>
      <c r="L711" s="244"/>
      <c r="M711" s="244"/>
      <c r="N711" s="244"/>
      <c r="O711" s="244"/>
      <c r="P711" s="244"/>
      <c r="Q711" s="244"/>
      <c r="R711" s="244"/>
      <c r="S711" s="244"/>
      <c r="T711" s="244"/>
      <c r="U711" s="244"/>
      <c r="V711" s="244"/>
      <c r="W711" s="244"/>
      <c r="X711" s="244"/>
      <c r="Y711" s="244"/>
      <c r="Z711" s="244"/>
    </row>
    <row r="712">
      <c r="A712" s="244"/>
      <c r="B712" s="244"/>
      <c r="C712" s="244"/>
      <c r="D712" s="244"/>
      <c r="E712" s="244"/>
      <c r="F712" s="244"/>
      <c r="G712" s="244"/>
      <c r="H712" s="244"/>
      <c r="I712" s="244"/>
      <c r="J712" s="244"/>
      <c r="K712" s="244"/>
      <c r="L712" s="244"/>
      <c r="M712" s="244"/>
      <c r="N712" s="244"/>
      <c r="O712" s="244"/>
      <c r="P712" s="244"/>
      <c r="Q712" s="244"/>
      <c r="R712" s="244"/>
      <c r="S712" s="244"/>
      <c r="T712" s="244"/>
      <c r="U712" s="244"/>
      <c r="V712" s="244"/>
      <c r="W712" s="244"/>
      <c r="X712" s="244"/>
      <c r="Y712" s="244"/>
      <c r="Z712" s="244"/>
    </row>
    <row r="713">
      <c r="A713" s="244"/>
      <c r="B713" s="244"/>
      <c r="C713" s="244"/>
      <c r="D713" s="244"/>
      <c r="E713" s="244"/>
      <c r="F713" s="244"/>
      <c r="G713" s="244"/>
      <c r="H713" s="244"/>
      <c r="I713" s="244"/>
      <c r="J713" s="244"/>
      <c r="K713" s="244"/>
      <c r="L713" s="244"/>
      <c r="M713" s="244"/>
      <c r="N713" s="244"/>
      <c r="O713" s="244"/>
      <c r="P713" s="244"/>
      <c r="Q713" s="244"/>
      <c r="R713" s="244"/>
      <c r="S713" s="244"/>
      <c r="T713" s="244"/>
      <c r="U713" s="244"/>
      <c r="V713" s="244"/>
      <c r="W713" s="244"/>
      <c r="X713" s="244"/>
      <c r="Y713" s="244"/>
      <c r="Z713" s="244"/>
    </row>
    <row r="714">
      <c r="A714" s="244"/>
      <c r="B714" s="244"/>
      <c r="C714" s="244"/>
      <c r="D714" s="244"/>
      <c r="E714" s="244"/>
      <c r="F714" s="244"/>
      <c r="G714" s="244"/>
      <c r="H714" s="244"/>
      <c r="I714" s="244"/>
      <c r="J714" s="244"/>
      <c r="K714" s="244"/>
      <c r="L714" s="244"/>
      <c r="M714" s="244"/>
      <c r="N714" s="244"/>
      <c r="O714" s="244"/>
      <c r="P714" s="244"/>
      <c r="Q714" s="244"/>
      <c r="R714" s="244"/>
      <c r="S714" s="244"/>
      <c r="T714" s="244"/>
      <c r="U714" s="244"/>
      <c r="V714" s="244"/>
      <c r="W714" s="244"/>
      <c r="X714" s="244"/>
      <c r="Y714" s="244"/>
      <c r="Z714" s="244"/>
    </row>
    <row r="715">
      <c r="A715" s="244"/>
      <c r="B715" s="244"/>
      <c r="C715" s="244"/>
      <c r="D715" s="244"/>
      <c r="E715" s="244"/>
      <c r="F715" s="244"/>
      <c r="G715" s="244"/>
      <c r="H715" s="244"/>
      <c r="I715" s="244"/>
      <c r="J715" s="244"/>
      <c r="K715" s="244"/>
      <c r="L715" s="244"/>
      <c r="M715" s="244"/>
      <c r="N715" s="244"/>
      <c r="O715" s="244"/>
      <c r="P715" s="244"/>
      <c r="Q715" s="244"/>
      <c r="R715" s="244"/>
      <c r="S715" s="244"/>
      <c r="T715" s="244"/>
      <c r="U715" s="244"/>
      <c r="V715" s="244"/>
      <c r="W715" s="244"/>
      <c r="X715" s="244"/>
      <c r="Y715" s="244"/>
      <c r="Z715" s="244"/>
    </row>
    <row r="716">
      <c r="A716" s="244"/>
      <c r="B716" s="244"/>
      <c r="C716" s="244"/>
      <c r="D716" s="244"/>
      <c r="E716" s="244"/>
      <c r="F716" s="244"/>
      <c r="G716" s="244"/>
      <c r="H716" s="244"/>
      <c r="I716" s="244"/>
      <c r="J716" s="244"/>
      <c r="K716" s="244"/>
      <c r="L716" s="244"/>
      <c r="M716" s="244"/>
      <c r="N716" s="244"/>
      <c r="O716" s="244"/>
      <c r="P716" s="244"/>
      <c r="Q716" s="244"/>
      <c r="R716" s="244"/>
      <c r="S716" s="244"/>
      <c r="T716" s="244"/>
      <c r="U716" s="244"/>
      <c r="V716" s="244"/>
      <c r="W716" s="244"/>
      <c r="X716" s="244"/>
      <c r="Y716" s="244"/>
      <c r="Z716" s="244"/>
    </row>
    <row r="717">
      <c r="A717" s="244"/>
      <c r="B717" s="244"/>
      <c r="C717" s="244"/>
      <c r="D717" s="244"/>
      <c r="E717" s="244"/>
      <c r="F717" s="244"/>
      <c r="G717" s="244"/>
      <c r="H717" s="244"/>
      <c r="I717" s="244"/>
      <c r="J717" s="244"/>
      <c r="K717" s="244"/>
      <c r="L717" s="244"/>
      <c r="M717" s="244"/>
      <c r="N717" s="244"/>
      <c r="O717" s="244"/>
      <c r="P717" s="244"/>
      <c r="Q717" s="244"/>
      <c r="R717" s="244"/>
      <c r="S717" s="244"/>
      <c r="T717" s="244"/>
      <c r="U717" s="244"/>
      <c r="V717" s="244"/>
      <c r="W717" s="244"/>
      <c r="X717" s="244"/>
      <c r="Y717" s="244"/>
      <c r="Z717" s="244"/>
    </row>
    <row r="718">
      <c r="A718" s="244"/>
      <c r="B718" s="244"/>
      <c r="C718" s="244"/>
      <c r="D718" s="244"/>
      <c r="E718" s="244"/>
      <c r="F718" s="244"/>
      <c r="G718" s="244"/>
      <c r="H718" s="244"/>
      <c r="I718" s="244"/>
      <c r="J718" s="244"/>
      <c r="K718" s="244"/>
      <c r="L718" s="244"/>
      <c r="M718" s="244"/>
      <c r="N718" s="244"/>
      <c r="O718" s="244"/>
      <c r="P718" s="244"/>
      <c r="Q718" s="244"/>
      <c r="R718" s="244"/>
      <c r="S718" s="244"/>
      <c r="T718" s="244"/>
      <c r="U718" s="244"/>
      <c r="V718" s="244"/>
      <c r="W718" s="244"/>
      <c r="X718" s="244"/>
      <c r="Y718" s="244"/>
      <c r="Z718" s="244"/>
    </row>
    <row r="719">
      <c r="A719" s="244"/>
      <c r="B719" s="244"/>
      <c r="C719" s="244"/>
      <c r="D719" s="244"/>
      <c r="E719" s="244"/>
      <c r="F719" s="244"/>
      <c r="G719" s="244"/>
      <c r="H719" s="244"/>
      <c r="I719" s="244"/>
      <c r="J719" s="244"/>
      <c r="K719" s="244"/>
      <c r="L719" s="244"/>
      <c r="M719" s="244"/>
      <c r="N719" s="244"/>
      <c r="O719" s="244"/>
      <c r="P719" s="244"/>
      <c r="Q719" s="244"/>
      <c r="R719" s="244"/>
      <c r="S719" s="244"/>
      <c r="T719" s="244"/>
      <c r="U719" s="244"/>
      <c r="V719" s="244"/>
      <c r="W719" s="244"/>
      <c r="X719" s="244"/>
      <c r="Y719" s="244"/>
      <c r="Z719" s="244"/>
    </row>
    <row r="720">
      <c r="A720" s="244"/>
      <c r="B720" s="244"/>
      <c r="C720" s="244"/>
      <c r="D720" s="244"/>
      <c r="E720" s="244"/>
      <c r="F720" s="244"/>
      <c r="G720" s="244"/>
      <c r="H720" s="244"/>
      <c r="I720" s="244"/>
      <c r="J720" s="244"/>
      <c r="K720" s="244"/>
      <c r="L720" s="244"/>
      <c r="M720" s="244"/>
      <c r="N720" s="244"/>
      <c r="O720" s="244"/>
      <c r="P720" s="244"/>
      <c r="Q720" s="244"/>
      <c r="R720" s="244"/>
      <c r="S720" s="244"/>
      <c r="T720" s="244"/>
      <c r="U720" s="244"/>
      <c r="V720" s="244"/>
      <c r="W720" s="244"/>
      <c r="X720" s="244"/>
      <c r="Y720" s="244"/>
      <c r="Z720" s="244"/>
    </row>
    <row r="721">
      <c r="A721" s="244"/>
      <c r="B721" s="244"/>
      <c r="C721" s="244"/>
      <c r="D721" s="244"/>
      <c r="E721" s="244"/>
      <c r="F721" s="244"/>
      <c r="G721" s="244"/>
      <c r="H721" s="244"/>
      <c r="I721" s="244"/>
      <c r="J721" s="244"/>
      <c r="K721" s="244"/>
      <c r="L721" s="244"/>
      <c r="M721" s="244"/>
      <c r="N721" s="244"/>
      <c r="O721" s="244"/>
      <c r="P721" s="244"/>
      <c r="Q721" s="244"/>
      <c r="R721" s="244"/>
      <c r="S721" s="244"/>
      <c r="T721" s="244"/>
      <c r="U721" s="244"/>
      <c r="V721" s="244"/>
      <c r="W721" s="244"/>
      <c r="X721" s="244"/>
      <c r="Y721" s="244"/>
      <c r="Z721" s="244"/>
    </row>
    <row r="722">
      <c r="A722" s="244"/>
      <c r="B722" s="244"/>
      <c r="C722" s="244"/>
      <c r="D722" s="244"/>
      <c r="E722" s="244"/>
      <c r="F722" s="244"/>
      <c r="G722" s="244"/>
      <c r="H722" s="244"/>
      <c r="I722" s="244"/>
      <c r="J722" s="244"/>
      <c r="K722" s="244"/>
      <c r="L722" s="244"/>
      <c r="M722" s="244"/>
      <c r="N722" s="244"/>
      <c r="O722" s="244"/>
      <c r="P722" s="244"/>
      <c r="Q722" s="244"/>
      <c r="R722" s="244"/>
      <c r="S722" s="244"/>
      <c r="T722" s="244"/>
      <c r="U722" s="244"/>
      <c r="V722" s="244"/>
      <c r="W722" s="244"/>
      <c r="X722" s="244"/>
      <c r="Y722" s="244"/>
      <c r="Z722" s="244"/>
    </row>
    <row r="723">
      <c r="A723" s="244"/>
      <c r="B723" s="244"/>
      <c r="C723" s="244"/>
      <c r="D723" s="244"/>
      <c r="E723" s="244"/>
      <c r="F723" s="244"/>
      <c r="G723" s="244"/>
      <c r="H723" s="244"/>
      <c r="I723" s="244"/>
      <c r="J723" s="244"/>
      <c r="K723" s="244"/>
      <c r="L723" s="244"/>
      <c r="M723" s="244"/>
      <c r="N723" s="244"/>
      <c r="O723" s="244"/>
      <c r="P723" s="244"/>
      <c r="Q723" s="244"/>
      <c r="R723" s="244"/>
      <c r="S723" s="244"/>
      <c r="T723" s="244"/>
      <c r="U723" s="244"/>
      <c r="V723" s="244"/>
      <c r="W723" s="244"/>
      <c r="X723" s="244"/>
      <c r="Y723" s="244"/>
      <c r="Z723" s="244"/>
    </row>
    <row r="724">
      <c r="A724" s="244"/>
      <c r="B724" s="244"/>
      <c r="C724" s="244"/>
      <c r="D724" s="244"/>
      <c r="E724" s="244"/>
      <c r="F724" s="244"/>
      <c r="G724" s="244"/>
      <c r="H724" s="244"/>
      <c r="I724" s="244"/>
      <c r="J724" s="244"/>
      <c r="K724" s="244"/>
      <c r="L724" s="244"/>
      <c r="M724" s="244"/>
      <c r="N724" s="244"/>
      <c r="O724" s="244"/>
      <c r="P724" s="244"/>
      <c r="Q724" s="244"/>
      <c r="R724" s="244"/>
      <c r="S724" s="244"/>
      <c r="T724" s="244"/>
      <c r="U724" s="244"/>
      <c r="V724" s="244"/>
      <c r="W724" s="244"/>
      <c r="X724" s="244"/>
      <c r="Y724" s="244"/>
      <c r="Z724" s="244"/>
    </row>
    <row r="725">
      <c r="A725" s="244"/>
      <c r="B725" s="244"/>
      <c r="C725" s="244"/>
      <c r="D725" s="244"/>
      <c r="E725" s="244"/>
      <c r="F725" s="244"/>
      <c r="G725" s="244"/>
      <c r="H725" s="244"/>
      <c r="I725" s="244"/>
      <c r="J725" s="244"/>
      <c r="K725" s="244"/>
      <c r="L725" s="244"/>
      <c r="M725" s="244"/>
      <c r="N725" s="244"/>
      <c r="O725" s="244"/>
      <c r="P725" s="244"/>
      <c r="Q725" s="244"/>
      <c r="R725" s="244"/>
      <c r="S725" s="244"/>
      <c r="T725" s="244"/>
      <c r="U725" s="244"/>
      <c r="V725" s="244"/>
      <c r="W725" s="244"/>
      <c r="X725" s="244"/>
      <c r="Y725" s="244"/>
      <c r="Z725" s="244"/>
    </row>
    <row r="726">
      <c r="A726" s="244"/>
      <c r="B726" s="244"/>
      <c r="C726" s="244"/>
      <c r="D726" s="244"/>
      <c r="E726" s="244"/>
      <c r="F726" s="244"/>
      <c r="G726" s="244"/>
      <c r="H726" s="244"/>
      <c r="I726" s="244"/>
      <c r="J726" s="244"/>
      <c r="K726" s="244"/>
      <c r="L726" s="244"/>
      <c r="M726" s="244"/>
      <c r="N726" s="244"/>
      <c r="O726" s="244"/>
      <c r="P726" s="244"/>
      <c r="Q726" s="244"/>
      <c r="R726" s="244"/>
      <c r="S726" s="244"/>
      <c r="T726" s="244"/>
      <c r="U726" s="244"/>
      <c r="V726" s="244"/>
      <c r="W726" s="244"/>
      <c r="X726" s="244"/>
      <c r="Y726" s="244"/>
      <c r="Z726" s="244"/>
    </row>
    <row r="727">
      <c r="A727" s="244"/>
      <c r="B727" s="244"/>
      <c r="C727" s="244"/>
      <c r="D727" s="244"/>
      <c r="E727" s="244"/>
      <c r="F727" s="244"/>
      <c r="G727" s="244"/>
      <c r="H727" s="244"/>
      <c r="I727" s="244"/>
      <c r="J727" s="244"/>
      <c r="K727" s="244"/>
      <c r="L727" s="244"/>
      <c r="M727" s="244"/>
      <c r="N727" s="244"/>
      <c r="O727" s="244"/>
      <c r="P727" s="244"/>
      <c r="Q727" s="244"/>
      <c r="R727" s="244"/>
      <c r="S727" s="244"/>
      <c r="T727" s="244"/>
      <c r="U727" s="244"/>
      <c r="V727" s="244"/>
      <c r="W727" s="244"/>
      <c r="X727" s="244"/>
      <c r="Y727" s="244"/>
      <c r="Z727" s="244"/>
    </row>
    <row r="728">
      <c r="A728" s="244"/>
      <c r="B728" s="244"/>
      <c r="C728" s="244"/>
      <c r="D728" s="244"/>
      <c r="E728" s="244"/>
      <c r="F728" s="244"/>
      <c r="G728" s="244"/>
      <c r="H728" s="244"/>
      <c r="I728" s="244"/>
      <c r="J728" s="244"/>
      <c r="K728" s="244"/>
      <c r="L728" s="244"/>
      <c r="M728" s="244"/>
      <c r="N728" s="244"/>
      <c r="O728" s="244"/>
      <c r="P728" s="244"/>
      <c r="Q728" s="244"/>
      <c r="R728" s="244"/>
      <c r="S728" s="244"/>
      <c r="T728" s="244"/>
      <c r="U728" s="244"/>
      <c r="V728" s="244"/>
      <c r="W728" s="244"/>
      <c r="X728" s="244"/>
      <c r="Y728" s="244"/>
      <c r="Z728" s="244"/>
    </row>
    <row r="729">
      <c r="A729" s="244"/>
      <c r="B729" s="244"/>
      <c r="C729" s="244"/>
      <c r="D729" s="244"/>
      <c r="E729" s="244"/>
      <c r="F729" s="244"/>
      <c r="G729" s="244"/>
      <c r="H729" s="244"/>
      <c r="I729" s="244"/>
      <c r="J729" s="244"/>
      <c r="K729" s="244"/>
      <c r="L729" s="244"/>
      <c r="M729" s="244"/>
      <c r="N729" s="244"/>
      <c r="O729" s="244"/>
      <c r="P729" s="244"/>
      <c r="Q729" s="244"/>
      <c r="R729" s="244"/>
      <c r="S729" s="244"/>
      <c r="T729" s="244"/>
      <c r="U729" s="244"/>
      <c r="V729" s="244"/>
      <c r="W729" s="244"/>
      <c r="X729" s="244"/>
      <c r="Y729" s="244"/>
      <c r="Z729" s="244"/>
    </row>
    <row r="730">
      <c r="A730" s="244"/>
      <c r="B730" s="244"/>
      <c r="C730" s="244"/>
      <c r="D730" s="244"/>
      <c r="E730" s="244"/>
      <c r="F730" s="244"/>
      <c r="G730" s="244"/>
      <c r="H730" s="244"/>
      <c r="I730" s="244"/>
      <c r="J730" s="244"/>
      <c r="K730" s="244"/>
      <c r="L730" s="244"/>
      <c r="M730" s="244"/>
      <c r="N730" s="244"/>
      <c r="O730" s="244"/>
      <c r="P730" s="244"/>
      <c r="Q730" s="244"/>
      <c r="R730" s="244"/>
      <c r="S730" s="244"/>
      <c r="T730" s="244"/>
      <c r="U730" s="244"/>
      <c r="V730" s="244"/>
      <c r="W730" s="244"/>
      <c r="X730" s="244"/>
      <c r="Y730" s="244"/>
      <c r="Z730" s="244"/>
    </row>
    <row r="731">
      <c r="A731" s="244"/>
      <c r="B731" s="244"/>
      <c r="C731" s="244"/>
      <c r="D731" s="244"/>
      <c r="E731" s="244"/>
      <c r="F731" s="244"/>
      <c r="G731" s="244"/>
      <c r="H731" s="244"/>
      <c r="I731" s="244"/>
      <c r="J731" s="244"/>
      <c r="K731" s="244"/>
      <c r="L731" s="244"/>
      <c r="M731" s="244"/>
      <c r="N731" s="244"/>
      <c r="O731" s="244"/>
      <c r="P731" s="244"/>
      <c r="Q731" s="244"/>
      <c r="R731" s="244"/>
      <c r="S731" s="244"/>
      <c r="T731" s="244"/>
      <c r="U731" s="244"/>
      <c r="V731" s="244"/>
      <c r="W731" s="244"/>
      <c r="X731" s="244"/>
      <c r="Y731" s="244"/>
      <c r="Z731" s="244"/>
    </row>
    <row r="732">
      <c r="A732" s="244"/>
      <c r="B732" s="244"/>
      <c r="C732" s="244"/>
      <c r="D732" s="244"/>
      <c r="E732" s="244"/>
      <c r="F732" s="244"/>
      <c r="G732" s="244"/>
      <c r="H732" s="244"/>
      <c r="I732" s="244"/>
      <c r="J732" s="244"/>
      <c r="K732" s="244"/>
      <c r="L732" s="244"/>
      <c r="M732" s="244"/>
      <c r="N732" s="244"/>
      <c r="O732" s="244"/>
      <c r="P732" s="244"/>
      <c r="Q732" s="244"/>
      <c r="R732" s="244"/>
      <c r="S732" s="244"/>
      <c r="T732" s="244"/>
      <c r="U732" s="244"/>
      <c r="V732" s="244"/>
      <c r="W732" s="244"/>
      <c r="X732" s="244"/>
      <c r="Y732" s="244"/>
      <c r="Z732" s="244"/>
    </row>
    <row r="733">
      <c r="A733" s="244"/>
      <c r="B733" s="244"/>
      <c r="C733" s="244"/>
      <c r="D733" s="244"/>
      <c r="E733" s="244"/>
      <c r="F733" s="244"/>
      <c r="G733" s="244"/>
      <c r="H733" s="244"/>
      <c r="I733" s="244"/>
      <c r="J733" s="244"/>
      <c r="K733" s="244"/>
      <c r="L733" s="244"/>
      <c r="M733" s="244"/>
      <c r="N733" s="244"/>
      <c r="O733" s="244"/>
      <c r="P733" s="244"/>
      <c r="Q733" s="244"/>
      <c r="R733" s="244"/>
      <c r="S733" s="244"/>
      <c r="T733" s="244"/>
      <c r="U733" s="244"/>
      <c r="V733" s="244"/>
      <c r="W733" s="244"/>
      <c r="X733" s="244"/>
      <c r="Y733" s="244"/>
      <c r="Z733" s="244"/>
    </row>
    <row r="734">
      <c r="A734" s="244"/>
      <c r="B734" s="244"/>
      <c r="C734" s="244"/>
      <c r="D734" s="244"/>
      <c r="E734" s="244"/>
      <c r="F734" s="244"/>
      <c r="G734" s="244"/>
      <c r="H734" s="244"/>
      <c r="I734" s="244"/>
      <c r="J734" s="244"/>
      <c r="K734" s="244"/>
      <c r="L734" s="244"/>
      <c r="M734" s="244"/>
      <c r="N734" s="244"/>
      <c r="O734" s="244"/>
      <c r="P734" s="244"/>
      <c r="Q734" s="244"/>
      <c r="R734" s="244"/>
      <c r="S734" s="244"/>
      <c r="T734" s="244"/>
      <c r="U734" s="244"/>
      <c r="V734" s="244"/>
      <c r="W734" s="244"/>
      <c r="X734" s="244"/>
      <c r="Y734" s="244"/>
      <c r="Z734" s="244"/>
    </row>
    <row r="735">
      <c r="A735" s="244"/>
      <c r="B735" s="244"/>
      <c r="C735" s="244"/>
      <c r="D735" s="244"/>
      <c r="E735" s="244"/>
      <c r="F735" s="244"/>
      <c r="G735" s="244"/>
      <c r="H735" s="244"/>
      <c r="I735" s="244"/>
      <c r="J735" s="244"/>
      <c r="K735" s="244"/>
      <c r="L735" s="244"/>
      <c r="M735" s="244"/>
      <c r="N735" s="244"/>
      <c r="O735" s="244"/>
      <c r="P735" s="244"/>
      <c r="Q735" s="244"/>
      <c r="R735" s="244"/>
      <c r="S735" s="244"/>
      <c r="T735" s="244"/>
      <c r="U735" s="244"/>
      <c r="V735" s="244"/>
      <c r="W735" s="244"/>
      <c r="X735" s="244"/>
      <c r="Y735" s="244"/>
      <c r="Z735" s="244"/>
    </row>
    <row r="736">
      <c r="A736" s="244"/>
      <c r="B736" s="244"/>
      <c r="C736" s="244"/>
      <c r="D736" s="244"/>
      <c r="E736" s="244"/>
      <c r="F736" s="244"/>
      <c r="G736" s="244"/>
      <c r="H736" s="244"/>
      <c r="I736" s="244"/>
      <c r="J736" s="244"/>
      <c r="K736" s="244"/>
      <c r="L736" s="244"/>
      <c r="M736" s="244"/>
      <c r="N736" s="244"/>
      <c r="O736" s="244"/>
      <c r="P736" s="244"/>
      <c r="Q736" s="244"/>
      <c r="R736" s="244"/>
      <c r="S736" s="244"/>
      <c r="T736" s="244"/>
      <c r="U736" s="244"/>
      <c r="V736" s="244"/>
      <c r="W736" s="244"/>
      <c r="X736" s="244"/>
      <c r="Y736" s="244"/>
      <c r="Z736" s="244"/>
    </row>
    <row r="737">
      <c r="A737" s="244"/>
      <c r="B737" s="244"/>
      <c r="C737" s="244"/>
      <c r="D737" s="244"/>
      <c r="E737" s="244"/>
      <c r="F737" s="244"/>
      <c r="G737" s="244"/>
      <c r="H737" s="244"/>
      <c r="I737" s="244"/>
      <c r="J737" s="244"/>
      <c r="K737" s="244"/>
      <c r="L737" s="244"/>
      <c r="M737" s="244"/>
      <c r="N737" s="244"/>
      <c r="O737" s="244"/>
      <c r="P737" s="244"/>
      <c r="Q737" s="244"/>
      <c r="R737" s="244"/>
      <c r="S737" s="244"/>
      <c r="T737" s="244"/>
      <c r="U737" s="244"/>
      <c r="V737" s="244"/>
      <c r="W737" s="244"/>
      <c r="X737" s="244"/>
      <c r="Y737" s="244"/>
      <c r="Z737" s="244"/>
    </row>
    <row r="738">
      <c r="A738" s="244"/>
      <c r="B738" s="244"/>
      <c r="C738" s="244"/>
      <c r="D738" s="244"/>
      <c r="E738" s="244"/>
      <c r="F738" s="244"/>
      <c r="G738" s="244"/>
      <c r="H738" s="244"/>
      <c r="I738" s="244"/>
      <c r="J738" s="244"/>
      <c r="K738" s="244"/>
      <c r="L738" s="244"/>
      <c r="M738" s="244"/>
      <c r="N738" s="244"/>
      <c r="O738" s="244"/>
      <c r="P738" s="244"/>
      <c r="Q738" s="244"/>
      <c r="R738" s="244"/>
      <c r="S738" s="244"/>
      <c r="T738" s="244"/>
      <c r="U738" s="244"/>
      <c r="V738" s="244"/>
      <c r="W738" s="244"/>
      <c r="X738" s="244"/>
      <c r="Y738" s="244"/>
      <c r="Z738" s="244"/>
    </row>
    <row r="739">
      <c r="A739" s="244"/>
      <c r="B739" s="244"/>
      <c r="C739" s="244"/>
      <c r="D739" s="244"/>
      <c r="E739" s="244"/>
      <c r="F739" s="244"/>
      <c r="G739" s="244"/>
      <c r="H739" s="244"/>
      <c r="I739" s="244"/>
      <c r="J739" s="244"/>
      <c r="K739" s="244"/>
      <c r="L739" s="244"/>
      <c r="M739" s="244"/>
      <c r="N739" s="244"/>
      <c r="O739" s="244"/>
      <c r="P739" s="244"/>
      <c r="Q739" s="244"/>
      <c r="R739" s="244"/>
      <c r="S739" s="244"/>
      <c r="T739" s="244"/>
      <c r="U739" s="244"/>
      <c r="V739" s="244"/>
      <c r="W739" s="244"/>
      <c r="X739" s="244"/>
      <c r="Y739" s="244"/>
      <c r="Z739" s="244"/>
    </row>
    <row r="740">
      <c r="A740" s="244"/>
      <c r="B740" s="244"/>
      <c r="C740" s="244"/>
      <c r="D740" s="244"/>
      <c r="E740" s="244"/>
      <c r="F740" s="244"/>
      <c r="G740" s="244"/>
      <c r="H740" s="244"/>
      <c r="I740" s="244"/>
      <c r="J740" s="244"/>
      <c r="K740" s="244"/>
      <c r="L740" s="244"/>
      <c r="M740" s="244"/>
      <c r="N740" s="244"/>
      <c r="O740" s="244"/>
      <c r="P740" s="244"/>
      <c r="Q740" s="244"/>
      <c r="R740" s="244"/>
      <c r="S740" s="244"/>
      <c r="T740" s="244"/>
      <c r="U740" s="244"/>
      <c r="V740" s="244"/>
      <c r="W740" s="244"/>
      <c r="X740" s="244"/>
      <c r="Y740" s="244"/>
      <c r="Z740" s="244"/>
    </row>
    <row r="741">
      <c r="A741" s="244"/>
      <c r="B741" s="244"/>
      <c r="C741" s="244"/>
      <c r="D741" s="244"/>
      <c r="E741" s="244"/>
      <c r="F741" s="244"/>
      <c r="G741" s="244"/>
      <c r="H741" s="244"/>
      <c r="I741" s="244"/>
      <c r="J741" s="244"/>
      <c r="K741" s="244"/>
      <c r="L741" s="244"/>
      <c r="M741" s="244"/>
      <c r="N741" s="244"/>
      <c r="O741" s="244"/>
      <c r="P741" s="244"/>
      <c r="Q741" s="244"/>
      <c r="R741" s="244"/>
      <c r="S741" s="244"/>
      <c r="T741" s="244"/>
      <c r="U741" s="244"/>
      <c r="V741" s="244"/>
      <c r="W741" s="244"/>
      <c r="X741" s="244"/>
      <c r="Y741" s="244"/>
      <c r="Z741" s="244"/>
    </row>
    <row r="742">
      <c r="A742" s="244"/>
      <c r="B742" s="244"/>
      <c r="C742" s="244"/>
      <c r="D742" s="244"/>
      <c r="E742" s="244"/>
      <c r="F742" s="244"/>
      <c r="G742" s="244"/>
      <c r="H742" s="244"/>
      <c r="I742" s="244"/>
      <c r="J742" s="244"/>
      <c r="K742" s="244"/>
      <c r="L742" s="244"/>
      <c r="M742" s="244"/>
      <c r="N742" s="244"/>
      <c r="O742" s="244"/>
      <c r="P742" s="244"/>
      <c r="Q742" s="244"/>
      <c r="R742" s="244"/>
      <c r="S742" s="244"/>
      <c r="T742" s="244"/>
      <c r="U742" s="244"/>
      <c r="V742" s="244"/>
      <c r="W742" s="244"/>
      <c r="X742" s="244"/>
      <c r="Y742" s="244"/>
      <c r="Z742" s="244"/>
    </row>
    <row r="743">
      <c r="A743" s="244"/>
      <c r="B743" s="244"/>
      <c r="C743" s="244"/>
      <c r="D743" s="244"/>
      <c r="E743" s="244"/>
      <c r="F743" s="244"/>
      <c r="G743" s="244"/>
      <c r="H743" s="244"/>
      <c r="I743" s="244"/>
      <c r="J743" s="244"/>
      <c r="K743" s="244"/>
      <c r="L743" s="244"/>
      <c r="M743" s="244"/>
      <c r="N743" s="244"/>
      <c r="O743" s="244"/>
      <c r="P743" s="244"/>
      <c r="Q743" s="244"/>
      <c r="R743" s="244"/>
      <c r="S743" s="244"/>
      <c r="T743" s="244"/>
      <c r="U743" s="244"/>
      <c r="V743" s="244"/>
      <c r="W743" s="244"/>
      <c r="X743" s="244"/>
      <c r="Y743" s="244"/>
      <c r="Z743" s="244"/>
    </row>
    <row r="744">
      <c r="A744" s="244"/>
      <c r="B744" s="244"/>
      <c r="C744" s="244"/>
      <c r="D744" s="244"/>
      <c r="E744" s="244"/>
      <c r="F744" s="244"/>
      <c r="G744" s="244"/>
      <c r="H744" s="244"/>
      <c r="I744" s="244"/>
      <c r="J744" s="244"/>
      <c r="K744" s="244"/>
      <c r="L744" s="244"/>
      <c r="M744" s="244"/>
      <c r="N744" s="244"/>
      <c r="O744" s="244"/>
      <c r="P744" s="244"/>
      <c r="Q744" s="244"/>
      <c r="R744" s="244"/>
      <c r="S744" s="244"/>
      <c r="T744" s="244"/>
      <c r="U744" s="244"/>
      <c r="V744" s="244"/>
      <c r="W744" s="244"/>
      <c r="X744" s="244"/>
      <c r="Y744" s="244"/>
      <c r="Z744" s="244"/>
    </row>
    <row r="745">
      <c r="A745" s="244"/>
      <c r="B745" s="244"/>
      <c r="C745" s="244"/>
      <c r="D745" s="244"/>
      <c r="E745" s="244"/>
      <c r="F745" s="244"/>
      <c r="G745" s="244"/>
      <c r="H745" s="244"/>
      <c r="I745" s="244"/>
      <c r="J745" s="244"/>
      <c r="K745" s="244"/>
      <c r="L745" s="244"/>
      <c r="M745" s="244"/>
      <c r="N745" s="244"/>
      <c r="O745" s="244"/>
      <c r="P745" s="244"/>
      <c r="Q745" s="244"/>
      <c r="R745" s="244"/>
      <c r="S745" s="244"/>
      <c r="T745" s="244"/>
      <c r="U745" s="244"/>
      <c r="V745" s="244"/>
      <c r="W745" s="244"/>
      <c r="X745" s="244"/>
      <c r="Y745" s="244"/>
      <c r="Z745" s="244"/>
    </row>
    <row r="746">
      <c r="A746" s="244"/>
      <c r="B746" s="244"/>
      <c r="C746" s="244"/>
      <c r="D746" s="244"/>
      <c r="E746" s="244"/>
      <c r="F746" s="244"/>
      <c r="G746" s="244"/>
      <c r="H746" s="244"/>
      <c r="I746" s="244"/>
      <c r="J746" s="244"/>
      <c r="K746" s="244"/>
      <c r="L746" s="244"/>
      <c r="M746" s="244"/>
      <c r="N746" s="244"/>
      <c r="O746" s="244"/>
      <c r="P746" s="244"/>
      <c r="Q746" s="244"/>
      <c r="R746" s="244"/>
      <c r="S746" s="244"/>
      <c r="T746" s="244"/>
      <c r="U746" s="244"/>
      <c r="V746" s="244"/>
      <c r="W746" s="244"/>
      <c r="X746" s="244"/>
      <c r="Y746" s="244"/>
      <c r="Z746" s="244"/>
    </row>
    <row r="747">
      <c r="A747" s="244"/>
      <c r="B747" s="244"/>
      <c r="C747" s="244"/>
      <c r="D747" s="244"/>
      <c r="E747" s="244"/>
      <c r="F747" s="244"/>
      <c r="G747" s="244"/>
      <c r="H747" s="244"/>
      <c r="I747" s="244"/>
      <c r="J747" s="244"/>
      <c r="K747" s="244"/>
      <c r="L747" s="244"/>
      <c r="M747" s="244"/>
      <c r="N747" s="244"/>
      <c r="O747" s="244"/>
      <c r="P747" s="244"/>
      <c r="Q747" s="244"/>
      <c r="R747" s="244"/>
      <c r="S747" s="244"/>
      <c r="T747" s="244"/>
      <c r="U747" s="244"/>
      <c r="V747" s="244"/>
      <c r="W747" s="244"/>
      <c r="X747" s="244"/>
      <c r="Y747" s="244"/>
      <c r="Z747" s="244"/>
    </row>
    <row r="748">
      <c r="A748" s="244"/>
      <c r="B748" s="244"/>
      <c r="C748" s="244"/>
      <c r="D748" s="244"/>
      <c r="E748" s="244"/>
      <c r="F748" s="244"/>
      <c r="G748" s="244"/>
      <c r="H748" s="244"/>
      <c r="I748" s="244"/>
      <c r="J748" s="244"/>
      <c r="K748" s="244"/>
      <c r="L748" s="244"/>
      <c r="M748" s="244"/>
      <c r="N748" s="244"/>
      <c r="O748" s="244"/>
      <c r="P748" s="244"/>
      <c r="Q748" s="244"/>
      <c r="R748" s="244"/>
      <c r="S748" s="244"/>
      <c r="T748" s="244"/>
      <c r="U748" s="244"/>
      <c r="V748" s="244"/>
      <c r="W748" s="244"/>
      <c r="X748" s="244"/>
      <c r="Y748" s="244"/>
      <c r="Z748" s="244"/>
    </row>
    <row r="749">
      <c r="A749" s="244"/>
      <c r="B749" s="244"/>
      <c r="C749" s="244"/>
      <c r="D749" s="244"/>
      <c r="E749" s="244"/>
      <c r="F749" s="244"/>
      <c r="G749" s="244"/>
      <c r="H749" s="244"/>
      <c r="I749" s="244"/>
      <c r="J749" s="244"/>
      <c r="K749" s="244"/>
      <c r="L749" s="244"/>
      <c r="M749" s="244"/>
      <c r="N749" s="244"/>
      <c r="O749" s="244"/>
      <c r="P749" s="244"/>
      <c r="Q749" s="244"/>
      <c r="R749" s="244"/>
      <c r="S749" s="244"/>
      <c r="T749" s="244"/>
      <c r="U749" s="244"/>
      <c r="V749" s="244"/>
      <c r="W749" s="244"/>
      <c r="X749" s="244"/>
      <c r="Y749" s="244"/>
      <c r="Z749" s="244"/>
    </row>
    <row r="750">
      <c r="A750" s="244"/>
      <c r="B750" s="244"/>
      <c r="C750" s="244"/>
      <c r="D750" s="244"/>
      <c r="E750" s="244"/>
      <c r="F750" s="244"/>
      <c r="G750" s="244"/>
      <c r="H750" s="244"/>
      <c r="I750" s="244"/>
      <c r="J750" s="244"/>
      <c r="K750" s="244"/>
      <c r="L750" s="244"/>
      <c r="M750" s="244"/>
      <c r="N750" s="244"/>
      <c r="O750" s="244"/>
      <c r="P750" s="244"/>
      <c r="Q750" s="244"/>
      <c r="R750" s="244"/>
      <c r="S750" s="244"/>
      <c r="T750" s="244"/>
      <c r="U750" s="244"/>
      <c r="V750" s="244"/>
      <c r="W750" s="244"/>
      <c r="X750" s="244"/>
      <c r="Y750" s="244"/>
      <c r="Z750" s="244"/>
    </row>
    <row r="751">
      <c r="A751" s="244"/>
      <c r="B751" s="244"/>
      <c r="C751" s="244"/>
      <c r="D751" s="244"/>
      <c r="E751" s="244"/>
      <c r="F751" s="244"/>
      <c r="G751" s="244"/>
      <c r="H751" s="244"/>
      <c r="I751" s="244"/>
      <c r="J751" s="244"/>
      <c r="K751" s="244"/>
      <c r="L751" s="244"/>
      <c r="M751" s="244"/>
      <c r="N751" s="244"/>
      <c r="O751" s="244"/>
      <c r="P751" s="244"/>
      <c r="Q751" s="244"/>
      <c r="R751" s="244"/>
      <c r="S751" s="244"/>
      <c r="T751" s="244"/>
      <c r="U751" s="244"/>
      <c r="V751" s="244"/>
      <c r="W751" s="244"/>
      <c r="X751" s="244"/>
      <c r="Y751" s="244"/>
      <c r="Z751" s="244"/>
    </row>
    <row r="752">
      <c r="A752" s="244"/>
      <c r="B752" s="244"/>
      <c r="C752" s="244"/>
      <c r="D752" s="244"/>
      <c r="E752" s="244"/>
      <c r="F752" s="244"/>
      <c r="G752" s="244"/>
      <c r="H752" s="244"/>
      <c r="I752" s="244"/>
      <c r="J752" s="244"/>
      <c r="K752" s="244"/>
      <c r="L752" s="244"/>
      <c r="M752" s="244"/>
      <c r="N752" s="244"/>
      <c r="O752" s="244"/>
      <c r="P752" s="244"/>
      <c r="Q752" s="244"/>
      <c r="R752" s="244"/>
      <c r="S752" s="244"/>
      <c r="T752" s="244"/>
      <c r="U752" s="244"/>
      <c r="V752" s="244"/>
      <c r="W752" s="244"/>
      <c r="X752" s="244"/>
      <c r="Y752" s="244"/>
      <c r="Z752" s="244"/>
    </row>
    <row r="753">
      <c r="A753" s="244"/>
      <c r="B753" s="244"/>
      <c r="C753" s="244"/>
      <c r="D753" s="244"/>
      <c r="E753" s="244"/>
      <c r="F753" s="244"/>
      <c r="G753" s="244"/>
      <c r="H753" s="244"/>
      <c r="I753" s="244"/>
      <c r="J753" s="244"/>
      <c r="K753" s="244"/>
      <c r="L753" s="244"/>
      <c r="M753" s="244"/>
      <c r="N753" s="244"/>
      <c r="O753" s="244"/>
      <c r="P753" s="244"/>
      <c r="Q753" s="244"/>
      <c r="R753" s="244"/>
      <c r="S753" s="244"/>
      <c r="T753" s="244"/>
      <c r="U753" s="244"/>
      <c r="V753" s="244"/>
      <c r="W753" s="244"/>
      <c r="X753" s="244"/>
      <c r="Y753" s="244"/>
      <c r="Z753" s="244"/>
    </row>
    <row r="754">
      <c r="A754" s="244"/>
      <c r="B754" s="244"/>
      <c r="C754" s="244"/>
      <c r="D754" s="244"/>
      <c r="E754" s="244"/>
      <c r="F754" s="244"/>
      <c r="G754" s="244"/>
      <c r="H754" s="244"/>
      <c r="I754" s="244"/>
      <c r="J754" s="244"/>
      <c r="K754" s="244"/>
      <c r="L754" s="244"/>
      <c r="M754" s="244"/>
      <c r="N754" s="244"/>
      <c r="O754" s="244"/>
      <c r="P754" s="244"/>
      <c r="Q754" s="244"/>
      <c r="R754" s="244"/>
      <c r="S754" s="244"/>
      <c r="T754" s="244"/>
      <c r="U754" s="244"/>
      <c r="V754" s="244"/>
      <c r="W754" s="244"/>
      <c r="X754" s="244"/>
      <c r="Y754" s="244"/>
      <c r="Z754" s="244"/>
    </row>
    <row r="755">
      <c r="A755" s="244"/>
      <c r="B755" s="244"/>
      <c r="C755" s="244"/>
      <c r="D755" s="244"/>
      <c r="E755" s="244"/>
      <c r="F755" s="244"/>
      <c r="G755" s="244"/>
      <c r="H755" s="244"/>
      <c r="I755" s="244"/>
      <c r="J755" s="244"/>
      <c r="K755" s="244"/>
      <c r="L755" s="244"/>
      <c r="M755" s="244"/>
      <c r="N755" s="244"/>
      <c r="O755" s="244"/>
      <c r="P755" s="244"/>
      <c r="Q755" s="244"/>
      <c r="R755" s="244"/>
      <c r="S755" s="244"/>
      <c r="T755" s="244"/>
      <c r="U755" s="244"/>
      <c r="V755" s="244"/>
      <c r="W755" s="244"/>
      <c r="X755" s="244"/>
      <c r="Y755" s="244"/>
      <c r="Z755" s="244"/>
    </row>
    <row r="756">
      <c r="A756" s="244"/>
      <c r="B756" s="244"/>
      <c r="C756" s="244"/>
      <c r="D756" s="244"/>
      <c r="E756" s="244"/>
      <c r="F756" s="244"/>
      <c r="G756" s="244"/>
      <c r="H756" s="244"/>
      <c r="I756" s="244"/>
      <c r="J756" s="244"/>
      <c r="K756" s="244"/>
      <c r="L756" s="244"/>
      <c r="M756" s="244"/>
      <c r="N756" s="244"/>
      <c r="O756" s="244"/>
      <c r="P756" s="244"/>
      <c r="Q756" s="244"/>
      <c r="R756" s="244"/>
      <c r="S756" s="244"/>
      <c r="T756" s="244"/>
      <c r="U756" s="244"/>
      <c r="V756" s="244"/>
      <c r="W756" s="244"/>
      <c r="X756" s="244"/>
      <c r="Y756" s="244"/>
      <c r="Z756" s="244"/>
    </row>
    <row r="757">
      <c r="A757" s="244"/>
      <c r="B757" s="244"/>
      <c r="C757" s="244"/>
      <c r="D757" s="244"/>
      <c r="E757" s="244"/>
      <c r="F757" s="244"/>
      <c r="G757" s="244"/>
      <c r="H757" s="244"/>
      <c r="I757" s="244"/>
      <c r="J757" s="244"/>
      <c r="K757" s="244"/>
      <c r="L757" s="244"/>
      <c r="M757" s="244"/>
      <c r="N757" s="244"/>
      <c r="O757" s="244"/>
      <c r="P757" s="244"/>
      <c r="Q757" s="244"/>
      <c r="R757" s="244"/>
      <c r="S757" s="244"/>
      <c r="T757" s="244"/>
      <c r="U757" s="244"/>
      <c r="V757" s="244"/>
      <c r="W757" s="244"/>
      <c r="X757" s="244"/>
      <c r="Y757" s="244"/>
      <c r="Z757" s="244"/>
    </row>
    <row r="758">
      <c r="A758" s="244"/>
      <c r="B758" s="244"/>
      <c r="C758" s="244"/>
      <c r="D758" s="244"/>
      <c r="E758" s="244"/>
      <c r="F758" s="244"/>
      <c r="G758" s="244"/>
      <c r="H758" s="244"/>
      <c r="I758" s="244"/>
      <c r="J758" s="244"/>
      <c r="K758" s="244"/>
      <c r="L758" s="244"/>
      <c r="M758" s="244"/>
      <c r="N758" s="244"/>
      <c r="O758" s="244"/>
      <c r="P758" s="244"/>
      <c r="Q758" s="244"/>
      <c r="R758" s="244"/>
      <c r="S758" s="244"/>
      <c r="T758" s="244"/>
      <c r="U758" s="244"/>
      <c r="V758" s="244"/>
      <c r="W758" s="244"/>
      <c r="X758" s="244"/>
      <c r="Y758" s="244"/>
      <c r="Z758" s="244"/>
    </row>
    <row r="759">
      <c r="A759" s="244"/>
      <c r="B759" s="244"/>
      <c r="C759" s="244"/>
      <c r="D759" s="244"/>
      <c r="E759" s="244"/>
      <c r="F759" s="244"/>
      <c r="G759" s="244"/>
      <c r="H759" s="244"/>
      <c r="I759" s="244"/>
      <c r="J759" s="244"/>
      <c r="K759" s="244"/>
      <c r="L759" s="244"/>
      <c r="M759" s="244"/>
      <c r="N759" s="244"/>
      <c r="O759" s="244"/>
      <c r="P759" s="244"/>
      <c r="Q759" s="244"/>
      <c r="R759" s="244"/>
      <c r="S759" s="244"/>
      <c r="T759" s="244"/>
      <c r="U759" s="244"/>
      <c r="V759" s="244"/>
      <c r="W759" s="244"/>
      <c r="X759" s="244"/>
      <c r="Y759" s="244"/>
      <c r="Z759" s="244"/>
    </row>
    <row r="760">
      <c r="A760" s="244"/>
      <c r="B760" s="244"/>
      <c r="C760" s="244"/>
      <c r="D760" s="244"/>
      <c r="E760" s="244"/>
      <c r="F760" s="244"/>
      <c r="G760" s="244"/>
      <c r="H760" s="244"/>
      <c r="I760" s="244"/>
      <c r="J760" s="244"/>
      <c r="K760" s="244"/>
      <c r="L760" s="244"/>
      <c r="M760" s="244"/>
      <c r="N760" s="244"/>
      <c r="O760" s="244"/>
      <c r="P760" s="244"/>
      <c r="Q760" s="244"/>
      <c r="R760" s="244"/>
      <c r="S760" s="244"/>
      <c r="T760" s="244"/>
      <c r="U760" s="244"/>
      <c r="V760" s="244"/>
      <c r="W760" s="244"/>
      <c r="X760" s="244"/>
      <c r="Y760" s="244"/>
      <c r="Z760" s="244"/>
    </row>
    <row r="761">
      <c r="A761" s="244"/>
      <c r="B761" s="244"/>
      <c r="C761" s="244"/>
      <c r="D761" s="244"/>
      <c r="E761" s="244"/>
      <c r="F761" s="244"/>
      <c r="G761" s="244"/>
      <c r="H761" s="244"/>
      <c r="I761" s="244"/>
      <c r="J761" s="244"/>
      <c r="K761" s="244"/>
      <c r="L761" s="244"/>
      <c r="M761" s="244"/>
      <c r="N761" s="244"/>
      <c r="O761" s="244"/>
      <c r="P761" s="244"/>
      <c r="Q761" s="244"/>
      <c r="R761" s="244"/>
      <c r="S761" s="244"/>
      <c r="T761" s="244"/>
      <c r="U761" s="244"/>
      <c r="V761" s="244"/>
      <c r="W761" s="244"/>
      <c r="X761" s="244"/>
      <c r="Y761" s="244"/>
      <c r="Z761" s="244"/>
    </row>
    <row r="762">
      <c r="A762" s="244"/>
      <c r="B762" s="244"/>
      <c r="C762" s="244"/>
      <c r="D762" s="244"/>
      <c r="E762" s="244"/>
      <c r="F762" s="244"/>
      <c r="G762" s="244"/>
      <c r="H762" s="244"/>
      <c r="I762" s="244"/>
      <c r="J762" s="244"/>
      <c r="K762" s="244"/>
      <c r="L762" s="244"/>
      <c r="M762" s="244"/>
      <c r="N762" s="244"/>
      <c r="O762" s="244"/>
      <c r="P762" s="244"/>
      <c r="Q762" s="244"/>
      <c r="R762" s="244"/>
      <c r="S762" s="244"/>
      <c r="T762" s="244"/>
      <c r="U762" s="244"/>
      <c r="V762" s="244"/>
      <c r="W762" s="244"/>
      <c r="X762" s="244"/>
      <c r="Y762" s="244"/>
      <c r="Z762" s="244"/>
    </row>
    <row r="763">
      <c r="A763" s="244"/>
      <c r="B763" s="244"/>
      <c r="C763" s="244"/>
      <c r="D763" s="244"/>
      <c r="E763" s="244"/>
      <c r="F763" s="244"/>
      <c r="G763" s="244"/>
      <c r="H763" s="244"/>
      <c r="I763" s="244"/>
      <c r="J763" s="244"/>
      <c r="K763" s="244"/>
      <c r="L763" s="244"/>
      <c r="M763" s="244"/>
      <c r="N763" s="244"/>
      <c r="O763" s="244"/>
      <c r="P763" s="244"/>
      <c r="Q763" s="244"/>
      <c r="R763" s="244"/>
      <c r="S763" s="244"/>
      <c r="T763" s="244"/>
      <c r="U763" s="244"/>
      <c r="V763" s="244"/>
      <c r="W763" s="244"/>
      <c r="X763" s="244"/>
      <c r="Y763" s="244"/>
      <c r="Z763" s="244"/>
    </row>
    <row r="764">
      <c r="A764" s="244"/>
      <c r="B764" s="244"/>
      <c r="C764" s="244"/>
      <c r="D764" s="244"/>
      <c r="E764" s="244"/>
      <c r="F764" s="244"/>
      <c r="G764" s="244"/>
      <c r="H764" s="244"/>
      <c r="I764" s="244"/>
      <c r="J764" s="244"/>
      <c r="K764" s="244"/>
      <c r="L764" s="244"/>
      <c r="M764" s="244"/>
      <c r="N764" s="244"/>
      <c r="O764" s="244"/>
      <c r="P764" s="244"/>
      <c r="Q764" s="244"/>
      <c r="R764" s="244"/>
      <c r="S764" s="244"/>
      <c r="T764" s="244"/>
      <c r="U764" s="244"/>
      <c r="V764" s="244"/>
      <c r="W764" s="244"/>
      <c r="X764" s="244"/>
      <c r="Y764" s="244"/>
      <c r="Z764" s="244"/>
    </row>
    <row r="765">
      <c r="A765" s="244"/>
      <c r="B765" s="244"/>
      <c r="C765" s="244"/>
      <c r="D765" s="244"/>
      <c r="E765" s="244"/>
      <c r="F765" s="244"/>
      <c r="G765" s="244"/>
      <c r="H765" s="244"/>
      <c r="I765" s="244"/>
      <c r="J765" s="244"/>
      <c r="K765" s="244"/>
      <c r="L765" s="244"/>
      <c r="M765" s="244"/>
      <c r="N765" s="244"/>
      <c r="O765" s="244"/>
      <c r="P765" s="244"/>
      <c r="Q765" s="244"/>
      <c r="R765" s="244"/>
      <c r="S765" s="244"/>
      <c r="T765" s="244"/>
      <c r="U765" s="244"/>
      <c r="V765" s="244"/>
      <c r="W765" s="244"/>
      <c r="X765" s="244"/>
      <c r="Y765" s="244"/>
      <c r="Z765" s="244"/>
    </row>
    <row r="766">
      <c r="A766" s="244"/>
      <c r="B766" s="244"/>
      <c r="C766" s="244"/>
      <c r="D766" s="244"/>
      <c r="E766" s="244"/>
      <c r="F766" s="244"/>
      <c r="G766" s="244"/>
      <c r="H766" s="244"/>
      <c r="I766" s="244"/>
      <c r="J766" s="244"/>
      <c r="K766" s="244"/>
      <c r="L766" s="244"/>
      <c r="M766" s="244"/>
      <c r="N766" s="244"/>
      <c r="O766" s="244"/>
      <c r="P766" s="244"/>
      <c r="Q766" s="244"/>
      <c r="R766" s="244"/>
      <c r="S766" s="244"/>
      <c r="T766" s="244"/>
      <c r="U766" s="244"/>
      <c r="V766" s="244"/>
      <c r="W766" s="244"/>
      <c r="X766" s="244"/>
      <c r="Y766" s="244"/>
      <c r="Z766" s="244"/>
    </row>
    <row r="767">
      <c r="A767" s="244"/>
      <c r="B767" s="244"/>
      <c r="C767" s="244"/>
      <c r="D767" s="244"/>
      <c r="E767" s="244"/>
      <c r="F767" s="244"/>
      <c r="G767" s="244"/>
      <c r="H767" s="244"/>
      <c r="I767" s="244"/>
      <c r="J767" s="244"/>
      <c r="K767" s="244"/>
      <c r="L767" s="244"/>
      <c r="M767" s="244"/>
      <c r="N767" s="244"/>
      <c r="O767" s="244"/>
      <c r="P767" s="244"/>
      <c r="Q767" s="244"/>
      <c r="R767" s="244"/>
      <c r="S767" s="244"/>
      <c r="T767" s="244"/>
      <c r="U767" s="244"/>
      <c r="V767" s="244"/>
      <c r="W767" s="244"/>
      <c r="X767" s="244"/>
      <c r="Y767" s="244"/>
      <c r="Z767" s="244"/>
    </row>
    <row r="768">
      <c r="A768" s="244"/>
      <c r="B768" s="244"/>
      <c r="C768" s="244"/>
      <c r="D768" s="244"/>
      <c r="E768" s="244"/>
      <c r="F768" s="244"/>
      <c r="G768" s="244"/>
      <c r="H768" s="244"/>
      <c r="I768" s="244"/>
      <c r="J768" s="244"/>
      <c r="K768" s="244"/>
      <c r="L768" s="244"/>
      <c r="M768" s="244"/>
      <c r="N768" s="244"/>
      <c r="O768" s="244"/>
      <c r="P768" s="244"/>
      <c r="Q768" s="244"/>
      <c r="R768" s="244"/>
      <c r="S768" s="244"/>
      <c r="T768" s="244"/>
      <c r="U768" s="244"/>
      <c r="V768" s="244"/>
      <c r="W768" s="244"/>
      <c r="X768" s="244"/>
      <c r="Y768" s="244"/>
      <c r="Z768" s="244"/>
    </row>
    <row r="769">
      <c r="A769" s="244"/>
      <c r="B769" s="244"/>
      <c r="C769" s="244"/>
      <c r="D769" s="244"/>
      <c r="E769" s="244"/>
      <c r="F769" s="244"/>
      <c r="G769" s="244"/>
      <c r="H769" s="244"/>
      <c r="I769" s="244"/>
      <c r="J769" s="244"/>
      <c r="K769" s="244"/>
      <c r="L769" s="244"/>
      <c r="M769" s="244"/>
      <c r="N769" s="244"/>
      <c r="O769" s="244"/>
      <c r="P769" s="244"/>
      <c r="Q769" s="244"/>
      <c r="R769" s="244"/>
      <c r="S769" s="244"/>
      <c r="T769" s="244"/>
      <c r="U769" s="244"/>
      <c r="V769" s="244"/>
      <c r="W769" s="244"/>
      <c r="X769" s="244"/>
      <c r="Y769" s="244"/>
      <c r="Z769" s="244"/>
    </row>
    <row r="770">
      <c r="A770" s="244"/>
      <c r="B770" s="244"/>
      <c r="C770" s="244"/>
      <c r="D770" s="244"/>
      <c r="E770" s="244"/>
      <c r="F770" s="244"/>
      <c r="G770" s="244"/>
      <c r="H770" s="244"/>
      <c r="I770" s="244"/>
      <c r="J770" s="244"/>
      <c r="K770" s="244"/>
      <c r="L770" s="244"/>
      <c r="M770" s="244"/>
      <c r="N770" s="244"/>
      <c r="O770" s="244"/>
      <c r="P770" s="244"/>
      <c r="Q770" s="244"/>
      <c r="R770" s="244"/>
      <c r="S770" s="244"/>
      <c r="T770" s="244"/>
      <c r="U770" s="244"/>
      <c r="V770" s="244"/>
      <c r="W770" s="244"/>
      <c r="X770" s="244"/>
      <c r="Y770" s="244"/>
      <c r="Z770" s="244"/>
    </row>
    <row r="771">
      <c r="A771" s="244"/>
      <c r="B771" s="244"/>
      <c r="C771" s="244"/>
      <c r="D771" s="244"/>
      <c r="E771" s="244"/>
      <c r="F771" s="244"/>
      <c r="G771" s="244"/>
      <c r="H771" s="244"/>
      <c r="I771" s="244"/>
      <c r="J771" s="244"/>
      <c r="K771" s="244"/>
      <c r="L771" s="244"/>
      <c r="M771" s="244"/>
      <c r="N771" s="244"/>
      <c r="O771" s="244"/>
      <c r="P771" s="244"/>
      <c r="Q771" s="244"/>
      <c r="R771" s="244"/>
      <c r="S771" s="244"/>
      <c r="T771" s="244"/>
      <c r="U771" s="244"/>
      <c r="V771" s="244"/>
      <c r="W771" s="244"/>
      <c r="X771" s="244"/>
      <c r="Y771" s="244"/>
      <c r="Z771" s="244"/>
    </row>
    <row r="772">
      <c r="A772" s="244"/>
      <c r="B772" s="244"/>
      <c r="C772" s="244"/>
      <c r="D772" s="244"/>
      <c r="E772" s="244"/>
      <c r="F772" s="244"/>
      <c r="G772" s="244"/>
      <c r="H772" s="244"/>
      <c r="I772" s="244"/>
      <c r="J772" s="244"/>
      <c r="K772" s="244"/>
      <c r="L772" s="244"/>
      <c r="M772" s="244"/>
      <c r="N772" s="244"/>
      <c r="O772" s="244"/>
      <c r="P772" s="244"/>
      <c r="Q772" s="244"/>
      <c r="R772" s="244"/>
      <c r="S772" s="244"/>
      <c r="T772" s="244"/>
      <c r="U772" s="244"/>
      <c r="V772" s="244"/>
      <c r="W772" s="244"/>
      <c r="X772" s="244"/>
      <c r="Y772" s="244"/>
      <c r="Z772" s="244"/>
    </row>
    <row r="773">
      <c r="A773" s="244"/>
      <c r="B773" s="244"/>
      <c r="C773" s="244"/>
      <c r="D773" s="244"/>
      <c r="E773" s="244"/>
      <c r="F773" s="244"/>
      <c r="G773" s="244"/>
      <c r="H773" s="244"/>
      <c r="I773" s="244"/>
      <c r="J773" s="244"/>
      <c r="K773" s="244"/>
      <c r="L773" s="244"/>
      <c r="M773" s="244"/>
      <c r="N773" s="244"/>
      <c r="O773" s="244"/>
      <c r="P773" s="244"/>
      <c r="Q773" s="244"/>
      <c r="R773" s="244"/>
      <c r="S773" s="244"/>
      <c r="T773" s="244"/>
      <c r="U773" s="244"/>
      <c r="V773" s="244"/>
      <c r="W773" s="244"/>
      <c r="X773" s="244"/>
      <c r="Y773" s="244"/>
      <c r="Z773" s="244"/>
    </row>
    <row r="774">
      <c r="A774" s="244"/>
      <c r="B774" s="244"/>
      <c r="C774" s="244"/>
      <c r="D774" s="244"/>
      <c r="E774" s="244"/>
      <c r="F774" s="244"/>
      <c r="G774" s="244"/>
      <c r="H774" s="244"/>
      <c r="I774" s="244"/>
      <c r="J774" s="244"/>
      <c r="K774" s="244"/>
      <c r="L774" s="244"/>
      <c r="M774" s="244"/>
      <c r="N774" s="244"/>
      <c r="O774" s="244"/>
      <c r="P774" s="244"/>
      <c r="Q774" s="244"/>
      <c r="R774" s="244"/>
      <c r="S774" s="244"/>
      <c r="T774" s="244"/>
      <c r="U774" s="244"/>
      <c r="V774" s="244"/>
      <c r="W774" s="244"/>
      <c r="X774" s="244"/>
      <c r="Y774" s="244"/>
      <c r="Z774" s="244"/>
    </row>
    <row r="775">
      <c r="A775" s="244"/>
      <c r="B775" s="244"/>
      <c r="C775" s="244"/>
      <c r="D775" s="244"/>
      <c r="E775" s="244"/>
      <c r="F775" s="244"/>
      <c r="G775" s="244"/>
      <c r="H775" s="244"/>
      <c r="I775" s="244"/>
      <c r="J775" s="244"/>
      <c r="K775" s="244"/>
      <c r="L775" s="244"/>
      <c r="M775" s="244"/>
      <c r="N775" s="244"/>
      <c r="O775" s="244"/>
      <c r="P775" s="244"/>
      <c r="Q775" s="244"/>
      <c r="R775" s="244"/>
      <c r="S775" s="244"/>
      <c r="T775" s="244"/>
      <c r="U775" s="244"/>
      <c r="V775" s="244"/>
      <c r="W775" s="244"/>
      <c r="X775" s="244"/>
      <c r="Y775" s="244"/>
      <c r="Z775" s="244"/>
    </row>
    <row r="776">
      <c r="A776" s="244"/>
      <c r="B776" s="244"/>
      <c r="C776" s="244"/>
      <c r="D776" s="244"/>
      <c r="E776" s="244"/>
      <c r="F776" s="244"/>
      <c r="G776" s="244"/>
      <c r="H776" s="244"/>
      <c r="I776" s="244"/>
      <c r="J776" s="244"/>
      <c r="K776" s="244"/>
      <c r="L776" s="244"/>
      <c r="M776" s="244"/>
      <c r="N776" s="244"/>
      <c r="O776" s="244"/>
      <c r="P776" s="244"/>
      <c r="Q776" s="244"/>
      <c r="R776" s="244"/>
      <c r="S776" s="244"/>
      <c r="T776" s="244"/>
      <c r="U776" s="244"/>
      <c r="V776" s="244"/>
      <c r="W776" s="244"/>
      <c r="X776" s="244"/>
      <c r="Y776" s="244"/>
      <c r="Z776" s="244"/>
    </row>
    <row r="777">
      <c r="A777" s="244"/>
      <c r="B777" s="244"/>
      <c r="C777" s="244"/>
      <c r="D777" s="244"/>
      <c r="E777" s="244"/>
      <c r="F777" s="244"/>
      <c r="G777" s="244"/>
      <c r="H777" s="244"/>
      <c r="I777" s="244"/>
      <c r="J777" s="244"/>
      <c r="K777" s="244"/>
      <c r="L777" s="244"/>
      <c r="M777" s="244"/>
      <c r="N777" s="244"/>
      <c r="O777" s="244"/>
      <c r="P777" s="244"/>
      <c r="Q777" s="244"/>
      <c r="R777" s="244"/>
      <c r="S777" s="244"/>
      <c r="T777" s="244"/>
      <c r="U777" s="244"/>
      <c r="V777" s="244"/>
      <c r="W777" s="244"/>
      <c r="X777" s="244"/>
      <c r="Y777" s="244"/>
      <c r="Z777" s="244"/>
    </row>
    <row r="778">
      <c r="A778" s="244"/>
      <c r="B778" s="244"/>
      <c r="C778" s="244"/>
      <c r="D778" s="244"/>
      <c r="E778" s="244"/>
      <c r="F778" s="244"/>
      <c r="G778" s="244"/>
      <c r="H778" s="244"/>
      <c r="I778" s="244"/>
      <c r="J778" s="244"/>
      <c r="K778" s="244"/>
      <c r="L778" s="244"/>
      <c r="M778" s="244"/>
      <c r="N778" s="244"/>
      <c r="O778" s="244"/>
      <c r="P778" s="244"/>
      <c r="Q778" s="244"/>
      <c r="R778" s="244"/>
      <c r="S778" s="244"/>
      <c r="T778" s="244"/>
      <c r="U778" s="244"/>
      <c r="V778" s="244"/>
      <c r="W778" s="244"/>
      <c r="X778" s="244"/>
      <c r="Y778" s="244"/>
      <c r="Z778" s="244"/>
    </row>
    <row r="779">
      <c r="A779" s="244"/>
      <c r="B779" s="244"/>
      <c r="C779" s="244"/>
      <c r="D779" s="244"/>
      <c r="E779" s="244"/>
      <c r="F779" s="244"/>
      <c r="G779" s="244"/>
      <c r="H779" s="244"/>
      <c r="I779" s="244"/>
      <c r="J779" s="244"/>
      <c r="K779" s="244"/>
      <c r="L779" s="244"/>
      <c r="M779" s="244"/>
      <c r="N779" s="244"/>
      <c r="O779" s="244"/>
      <c r="P779" s="244"/>
      <c r="Q779" s="244"/>
      <c r="R779" s="244"/>
      <c r="S779" s="244"/>
      <c r="T779" s="244"/>
      <c r="U779" s="244"/>
      <c r="V779" s="244"/>
      <c r="W779" s="244"/>
      <c r="X779" s="244"/>
      <c r="Y779" s="244"/>
      <c r="Z779" s="244"/>
    </row>
    <row r="780">
      <c r="A780" s="244"/>
      <c r="B780" s="244"/>
      <c r="C780" s="244"/>
      <c r="D780" s="244"/>
      <c r="E780" s="244"/>
      <c r="F780" s="244"/>
      <c r="G780" s="244"/>
      <c r="H780" s="244"/>
      <c r="I780" s="244"/>
      <c r="J780" s="244"/>
      <c r="K780" s="244"/>
      <c r="L780" s="244"/>
      <c r="M780" s="244"/>
      <c r="N780" s="244"/>
      <c r="O780" s="244"/>
      <c r="P780" s="244"/>
      <c r="Q780" s="244"/>
      <c r="R780" s="244"/>
      <c r="S780" s="244"/>
      <c r="T780" s="244"/>
      <c r="U780" s="244"/>
      <c r="V780" s="244"/>
      <c r="W780" s="244"/>
      <c r="X780" s="244"/>
      <c r="Y780" s="244"/>
      <c r="Z780" s="244"/>
    </row>
    <row r="781">
      <c r="A781" s="244"/>
      <c r="B781" s="244"/>
      <c r="C781" s="244"/>
      <c r="D781" s="244"/>
      <c r="E781" s="244"/>
      <c r="F781" s="244"/>
      <c r="G781" s="244"/>
      <c r="H781" s="244"/>
      <c r="I781" s="244"/>
      <c r="J781" s="244"/>
      <c r="K781" s="244"/>
      <c r="L781" s="244"/>
      <c r="M781" s="244"/>
      <c r="N781" s="244"/>
      <c r="O781" s="244"/>
      <c r="P781" s="244"/>
      <c r="Q781" s="244"/>
      <c r="R781" s="244"/>
      <c r="S781" s="244"/>
      <c r="T781" s="244"/>
      <c r="U781" s="244"/>
      <c r="V781" s="244"/>
      <c r="W781" s="244"/>
      <c r="X781" s="244"/>
      <c r="Y781" s="244"/>
      <c r="Z781" s="244"/>
    </row>
    <row r="782">
      <c r="A782" s="244"/>
      <c r="B782" s="244"/>
      <c r="C782" s="244"/>
      <c r="D782" s="244"/>
      <c r="E782" s="244"/>
      <c r="F782" s="244"/>
      <c r="G782" s="244"/>
      <c r="H782" s="244"/>
      <c r="I782" s="244"/>
      <c r="J782" s="244"/>
      <c r="K782" s="244"/>
      <c r="L782" s="244"/>
      <c r="M782" s="244"/>
      <c r="N782" s="244"/>
      <c r="O782" s="244"/>
      <c r="P782" s="244"/>
      <c r="Q782" s="244"/>
      <c r="R782" s="244"/>
      <c r="S782" s="244"/>
      <c r="T782" s="244"/>
      <c r="U782" s="244"/>
      <c r="V782" s="244"/>
      <c r="W782" s="244"/>
      <c r="X782" s="244"/>
      <c r="Y782" s="244"/>
      <c r="Z782" s="244"/>
    </row>
    <row r="783">
      <c r="A783" s="244"/>
      <c r="B783" s="244"/>
      <c r="C783" s="244"/>
      <c r="D783" s="244"/>
      <c r="E783" s="244"/>
      <c r="F783" s="244"/>
      <c r="G783" s="244"/>
      <c r="H783" s="244"/>
      <c r="I783" s="244"/>
      <c r="J783" s="244"/>
      <c r="K783" s="244"/>
      <c r="L783" s="244"/>
      <c r="M783" s="244"/>
      <c r="N783" s="244"/>
      <c r="O783" s="244"/>
      <c r="P783" s="244"/>
      <c r="Q783" s="244"/>
      <c r="R783" s="244"/>
      <c r="S783" s="244"/>
      <c r="T783" s="244"/>
      <c r="U783" s="244"/>
      <c r="V783" s="244"/>
      <c r="W783" s="244"/>
      <c r="X783" s="244"/>
      <c r="Y783" s="244"/>
      <c r="Z783" s="244"/>
    </row>
    <row r="784">
      <c r="A784" s="244"/>
      <c r="B784" s="244"/>
      <c r="C784" s="244"/>
      <c r="D784" s="244"/>
      <c r="E784" s="244"/>
      <c r="F784" s="244"/>
      <c r="G784" s="244"/>
      <c r="H784" s="244"/>
      <c r="I784" s="244"/>
      <c r="J784" s="244"/>
      <c r="K784" s="244"/>
      <c r="L784" s="244"/>
      <c r="M784" s="244"/>
      <c r="N784" s="244"/>
      <c r="O784" s="244"/>
      <c r="P784" s="244"/>
      <c r="Q784" s="244"/>
      <c r="R784" s="244"/>
      <c r="S784" s="244"/>
      <c r="T784" s="244"/>
      <c r="U784" s="244"/>
      <c r="V784" s="244"/>
      <c r="W784" s="244"/>
      <c r="X784" s="244"/>
      <c r="Y784" s="244"/>
      <c r="Z784" s="244"/>
    </row>
    <row r="785">
      <c r="A785" s="244"/>
      <c r="B785" s="244"/>
      <c r="C785" s="244"/>
      <c r="D785" s="244"/>
      <c r="E785" s="244"/>
      <c r="F785" s="244"/>
      <c r="G785" s="244"/>
      <c r="H785" s="244"/>
      <c r="I785" s="244"/>
      <c r="J785" s="244"/>
      <c r="K785" s="244"/>
      <c r="L785" s="244"/>
      <c r="M785" s="244"/>
      <c r="N785" s="244"/>
      <c r="O785" s="244"/>
      <c r="P785" s="244"/>
      <c r="Q785" s="244"/>
      <c r="R785" s="244"/>
      <c r="S785" s="244"/>
      <c r="T785" s="244"/>
      <c r="U785" s="244"/>
      <c r="V785" s="244"/>
      <c r="W785" s="244"/>
      <c r="X785" s="244"/>
      <c r="Y785" s="244"/>
      <c r="Z785" s="244"/>
    </row>
    <row r="786">
      <c r="A786" s="244"/>
      <c r="B786" s="244"/>
      <c r="C786" s="244"/>
      <c r="D786" s="244"/>
      <c r="E786" s="244"/>
      <c r="F786" s="244"/>
      <c r="G786" s="244"/>
      <c r="H786" s="244"/>
      <c r="I786" s="244"/>
      <c r="J786" s="244"/>
      <c r="K786" s="244"/>
      <c r="L786" s="244"/>
      <c r="M786" s="244"/>
      <c r="N786" s="244"/>
      <c r="O786" s="244"/>
      <c r="P786" s="244"/>
      <c r="Q786" s="244"/>
      <c r="R786" s="244"/>
      <c r="S786" s="244"/>
      <c r="T786" s="244"/>
      <c r="U786" s="244"/>
      <c r="V786" s="244"/>
      <c r="W786" s="244"/>
      <c r="X786" s="244"/>
      <c r="Y786" s="244"/>
      <c r="Z786" s="244"/>
    </row>
    <row r="787">
      <c r="A787" s="244"/>
      <c r="B787" s="244"/>
      <c r="C787" s="244"/>
      <c r="D787" s="244"/>
      <c r="E787" s="244"/>
      <c r="F787" s="244"/>
      <c r="G787" s="244"/>
      <c r="H787" s="244"/>
      <c r="I787" s="244"/>
      <c r="J787" s="244"/>
      <c r="K787" s="244"/>
      <c r="L787" s="244"/>
      <c r="M787" s="244"/>
      <c r="N787" s="244"/>
      <c r="O787" s="244"/>
      <c r="P787" s="244"/>
      <c r="Q787" s="244"/>
      <c r="R787" s="244"/>
      <c r="S787" s="244"/>
      <c r="T787" s="244"/>
      <c r="U787" s="244"/>
      <c r="V787" s="244"/>
      <c r="W787" s="244"/>
      <c r="X787" s="244"/>
      <c r="Y787" s="244"/>
      <c r="Z787" s="244"/>
    </row>
    <row r="788">
      <c r="A788" s="244"/>
      <c r="B788" s="244"/>
      <c r="C788" s="244"/>
      <c r="D788" s="244"/>
      <c r="E788" s="244"/>
      <c r="F788" s="244"/>
      <c r="G788" s="244"/>
      <c r="H788" s="244"/>
      <c r="I788" s="244"/>
      <c r="J788" s="244"/>
      <c r="K788" s="244"/>
      <c r="L788" s="244"/>
      <c r="M788" s="244"/>
      <c r="N788" s="244"/>
      <c r="O788" s="244"/>
      <c r="P788" s="244"/>
      <c r="Q788" s="244"/>
      <c r="R788" s="244"/>
      <c r="S788" s="244"/>
      <c r="T788" s="244"/>
      <c r="U788" s="244"/>
      <c r="V788" s="244"/>
      <c r="W788" s="244"/>
      <c r="X788" s="244"/>
      <c r="Y788" s="244"/>
      <c r="Z788" s="244"/>
    </row>
    <row r="789">
      <c r="A789" s="244"/>
      <c r="B789" s="244"/>
      <c r="C789" s="244"/>
      <c r="D789" s="244"/>
      <c r="E789" s="244"/>
      <c r="F789" s="244"/>
      <c r="G789" s="244"/>
      <c r="H789" s="244"/>
      <c r="I789" s="244"/>
      <c r="J789" s="244"/>
      <c r="K789" s="244"/>
      <c r="L789" s="244"/>
      <c r="M789" s="244"/>
      <c r="N789" s="244"/>
      <c r="O789" s="244"/>
      <c r="P789" s="244"/>
      <c r="Q789" s="244"/>
      <c r="R789" s="244"/>
      <c r="S789" s="244"/>
      <c r="T789" s="244"/>
      <c r="U789" s="244"/>
      <c r="V789" s="244"/>
      <c r="W789" s="244"/>
      <c r="X789" s="244"/>
      <c r="Y789" s="244"/>
      <c r="Z789" s="244"/>
    </row>
    <row r="790">
      <c r="A790" s="244"/>
      <c r="B790" s="244"/>
      <c r="C790" s="244"/>
      <c r="D790" s="244"/>
      <c r="E790" s="244"/>
      <c r="F790" s="244"/>
      <c r="G790" s="244"/>
      <c r="H790" s="244"/>
      <c r="I790" s="244"/>
      <c r="J790" s="244"/>
      <c r="K790" s="244"/>
      <c r="L790" s="244"/>
      <c r="M790" s="244"/>
      <c r="N790" s="244"/>
      <c r="O790" s="244"/>
      <c r="P790" s="244"/>
      <c r="Q790" s="244"/>
      <c r="R790" s="244"/>
      <c r="S790" s="244"/>
      <c r="T790" s="244"/>
      <c r="U790" s="244"/>
      <c r="V790" s="244"/>
      <c r="W790" s="244"/>
      <c r="X790" s="244"/>
      <c r="Y790" s="244"/>
      <c r="Z790" s="244"/>
    </row>
    <row r="791">
      <c r="A791" s="244"/>
      <c r="B791" s="244"/>
      <c r="C791" s="244"/>
      <c r="D791" s="244"/>
      <c r="E791" s="244"/>
      <c r="F791" s="244"/>
      <c r="G791" s="244"/>
      <c r="H791" s="244"/>
      <c r="I791" s="244"/>
      <c r="J791" s="244"/>
      <c r="K791" s="244"/>
      <c r="L791" s="244"/>
      <c r="M791" s="244"/>
      <c r="N791" s="244"/>
      <c r="O791" s="244"/>
      <c r="P791" s="244"/>
      <c r="Q791" s="244"/>
      <c r="R791" s="244"/>
      <c r="S791" s="244"/>
      <c r="T791" s="244"/>
      <c r="U791" s="244"/>
      <c r="V791" s="244"/>
      <c r="W791" s="244"/>
      <c r="X791" s="244"/>
      <c r="Y791" s="244"/>
      <c r="Z791" s="244"/>
    </row>
    <row r="792">
      <c r="A792" s="244"/>
      <c r="B792" s="244"/>
      <c r="C792" s="244"/>
      <c r="D792" s="244"/>
      <c r="E792" s="244"/>
      <c r="F792" s="244"/>
      <c r="G792" s="244"/>
      <c r="H792" s="244"/>
      <c r="I792" s="244"/>
      <c r="J792" s="244"/>
      <c r="K792" s="244"/>
      <c r="L792" s="244"/>
      <c r="M792" s="244"/>
      <c r="N792" s="244"/>
      <c r="O792" s="244"/>
      <c r="P792" s="244"/>
      <c r="Q792" s="244"/>
      <c r="R792" s="244"/>
      <c r="S792" s="244"/>
      <c r="T792" s="244"/>
      <c r="U792" s="244"/>
      <c r="V792" s="244"/>
      <c r="W792" s="244"/>
      <c r="X792" s="244"/>
      <c r="Y792" s="244"/>
      <c r="Z792" s="244"/>
    </row>
    <row r="793">
      <c r="A793" s="244"/>
      <c r="B793" s="244"/>
      <c r="C793" s="244"/>
      <c r="D793" s="244"/>
      <c r="E793" s="244"/>
      <c r="F793" s="244"/>
      <c r="G793" s="244"/>
      <c r="H793" s="244"/>
      <c r="I793" s="244"/>
      <c r="J793" s="244"/>
      <c r="K793" s="244"/>
      <c r="L793" s="244"/>
      <c r="M793" s="244"/>
      <c r="N793" s="244"/>
      <c r="O793" s="244"/>
      <c r="P793" s="244"/>
      <c r="Q793" s="244"/>
      <c r="R793" s="244"/>
      <c r="S793" s="244"/>
      <c r="T793" s="244"/>
      <c r="U793" s="244"/>
      <c r="V793" s="244"/>
      <c r="W793" s="244"/>
      <c r="X793" s="244"/>
      <c r="Y793" s="244"/>
      <c r="Z793" s="244"/>
    </row>
    <row r="794">
      <c r="A794" s="244"/>
      <c r="B794" s="244"/>
      <c r="C794" s="244"/>
      <c r="D794" s="244"/>
      <c r="E794" s="244"/>
      <c r="F794" s="244"/>
      <c r="G794" s="244"/>
      <c r="H794" s="244"/>
      <c r="I794" s="244"/>
      <c r="J794" s="244"/>
      <c r="K794" s="244"/>
      <c r="L794" s="244"/>
      <c r="M794" s="244"/>
      <c r="N794" s="244"/>
      <c r="O794" s="244"/>
      <c r="P794" s="244"/>
      <c r="Q794" s="244"/>
      <c r="R794" s="244"/>
      <c r="S794" s="244"/>
      <c r="T794" s="244"/>
      <c r="U794" s="244"/>
      <c r="V794" s="244"/>
      <c r="W794" s="244"/>
      <c r="X794" s="244"/>
      <c r="Y794" s="244"/>
      <c r="Z794" s="244"/>
    </row>
    <row r="795">
      <c r="A795" s="244"/>
      <c r="B795" s="244"/>
      <c r="C795" s="244"/>
      <c r="D795" s="244"/>
      <c r="E795" s="244"/>
      <c r="F795" s="244"/>
      <c r="G795" s="244"/>
      <c r="H795" s="244"/>
      <c r="I795" s="244"/>
      <c r="J795" s="244"/>
      <c r="K795" s="244"/>
      <c r="L795" s="244"/>
      <c r="M795" s="244"/>
      <c r="N795" s="244"/>
      <c r="O795" s="244"/>
      <c r="P795" s="244"/>
      <c r="Q795" s="244"/>
      <c r="R795" s="244"/>
      <c r="S795" s="244"/>
      <c r="T795" s="244"/>
      <c r="U795" s="244"/>
      <c r="V795" s="244"/>
      <c r="W795" s="244"/>
      <c r="X795" s="244"/>
      <c r="Y795" s="244"/>
      <c r="Z795" s="244"/>
    </row>
    <row r="796">
      <c r="A796" s="244"/>
      <c r="B796" s="244"/>
      <c r="C796" s="244"/>
      <c r="D796" s="244"/>
      <c r="E796" s="244"/>
      <c r="F796" s="244"/>
      <c r="G796" s="244"/>
      <c r="H796" s="244"/>
      <c r="I796" s="244"/>
      <c r="J796" s="244"/>
      <c r="K796" s="244"/>
      <c r="L796" s="244"/>
      <c r="M796" s="244"/>
      <c r="N796" s="244"/>
      <c r="O796" s="244"/>
      <c r="P796" s="244"/>
      <c r="Q796" s="244"/>
      <c r="R796" s="244"/>
      <c r="S796" s="244"/>
      <c r="T796" s="244"/>
      <c r="U796" s="244"/>
      <c r="V796" s="244"/>
      <c r="W796" s="244"/>
      <c r="X796" s="244"/>
      <c r="Y796" s="244"/>
      <c r="Z796" s="244"/>
    </row>
    <row r="797">
      <c r="A797" s="244"/>
      <c r="B797" s="244"/>
      <c r="C797" s="244"/>
      <c r="D797" s="244"/>
      <c r="E797" s="244"/>
      <c r="F797" s="244"/>
      <c r="G797" s="244"/>
      <c r="H797" s="244"/>
      <c r="I797" s="244"/>
      <c r="J797" s="244"/>
      <c r="K797" s="244"/>
      <c r="L797" s="244"/>
      <c r="M797" s="244"/>
      <c r="N797" s="244"/>
      <c r="O797" s="244"/>
      <c r="P797" s="244"/>
      <c r="Q797" s="244"/>
      <c r="R797" s="244"/>
      <c r="S797" s="244"/>
      <c r="T797" s="244"/>
      <c r="U797" s="244"/>
      <c r="V797" s="244"/>
      <c r="W797" s="244"/>
      <c r="X797" s="244"/>
      <c r="Y797" s="244"/>
      <c r="Z797" s="244"/>
    </row>
    <row r="798">
      <c r="A798" s="244"/>
      <c r="B798" s="244"/>
      <c r="C798" s="244"/>
      <c r="D798" s="244"/>
      <c r="E798" s="244"/>
      <c r="F798" s="244"/>
      <c r="G798" s="244"/>
      <c r="H798" s="244"/>
      <c r="I798" s="244"/>
      <c r="J798" s="244"/>
      <c r="K798" s="244"/>
      <c r="L798" s="244"/>
      <c r="M798" s="244"/>
      <c r="N798" s="244"/>
      <c r="O798" s="244"/>
      <c r="P798" s="244"/>
      <c r="Q798" s="244"/>
      <c r="R798" s="244"/>
      <c r="S798" s="244"/>
      <c r="T798" s="244"/>
      <c r="U798" s="244"/>
      <c r="V798" s="244"/>
      <c r="W798" s="244"/>
      <c r="X798" s="244"/>
      <c r="Y798" s="244"/>
      <c r="Z798" s="244"/>
    </row>
    <row r="799">
      <c r="A799" s="244"/>
      <c r="B799" s="244"/>
      <c r="C799" s="244"/>
      <c r="D799" s="244"/>
      <c r="E799" s="244"/>
      <c r="F799" s="244"/>
      <c r="G799" s="244"/>
      <c r="H799" s="244"/>
      <c r="I799" s="244"/>
      <c r="J799" s="244"/>
      <c r="K799" s="244"/>
      <c r="L799" s="244"/>
      <c r="M799" s="244"/>
      <c r="N799" s="244"/>
      <c r="O799" s="244"/>
      <c r="P799" s="244"/>
      <c r="Q799" s="244"/>
      <c r="R799" s="244"/>
      <c r="S799" s="244"/>
      <c r="T799" s="244"/>
      <c r="U799" s="244"/>
      <c r="V799" s="244"/>
      <c r="W799" s="244"/>
      <c r="X799" s="244"/>
      <c r="Y799" s="244"/>
      <c r="Z799" s="244"/>
    </row>
    <row r="800">
      <c r="A800" s="244"/>
      <c r="B800" s="244"/>
      <c r="C800" s="244"/>
      <c r="D800" s="244"/>
      <c r="E800" s="244"/>
      <c r="F800" s="244"/>
      <c r="G800" s="244"/>
      <c r="H800" s="244"/>
      <c r="I800" s="244"/>
      <c r="J800" s="244"/>
      <c r="K800" s="244"/>
      <c r="L800" s="244"/>
      <c r="M800" s="244"/>
      <c r="N800" s="244"/>
      <c r="O800" s="244"/>
      <c r="P800" s="244"/>
      <c r="Q800" s="244"/>
      <c r="R800" s="244"/>
      <c r="S800" s="244"/>
      <c r="T800" s="244"/>
      <c r="U800" s="244"/>
      <c r="V800" s="244"/>
      <c r="W800" s="244"/>
      <c r="X800" s="244"/>
      <c r="Y800" s="244"/>
      <c r="Z800" s="244"/>
    </row>
    <row r="801">
      <c r="A801" s="244"/>
      <c r="B801" s="244"/>
      <c r="C801" s="244"/>
      <c r="D801" s="244"/>
      <c r="E801" s="244"/>
      <c r="F801" s="244"/>
      <c r="G801" s="244"/>
      <c r="H801" s="244"/>
      <c r="I801" s="244"/>
      <c r="J801" s="244"/>
      <c r="K801" s="244"/>
      <c r="L801" s="244"/>
      <c r="M801" s="244"/>
      <c r="N801" s="244"/>
      <c r="O801" s="244"/>
      <c r="P801" s="244"/>
      <c r="Q801" s="244"/>
      <c r="R801" s="244"/>
      <c r="S801" s="244"/>
      <c r="T801" s="244"/>
      <c r="U801" s="244"/>
      <c r="V801" s="244"/>
      <c r="W801" s="244"/>
      <c r="X801" s="244"/>
      <c r="Y801" s="244"/>
      <c r="Z801" s="244"/>
    </row>
    <row r="802">
      <c r="A802" s="244"/>
      <c r="B802" s="244"/>
      <c r="C802" s="244"/>
      <c r="D802" s="244"/>
      <c r="E802" s="244"/>
      <c r="F802" s="244"/>
      <c r="G802" s="244"/>
      <c r="H802" s="244"/>
      <c r="I802" s="244"/>
      <c r="J802" s="244"/>
      <c r="K802" s="244"/>
      <c r="L802" s="244"/>
      <c r="M802" s="244"/>
      <c r="N802" s="244"/>
      <c r="O802" s="244"/>
      <c r="P802" s="244"/>
      <c r="Q802" s="244"/>
      <c r="R802" s="244"/>
      <c r="S802" s="244"/>
      <c r="T802" s="244"/>
      <c r="U802" s="244"/>
      <c r="V802" s="244"/>
      <c r="W802" s="244"/>
      <c r="X802" s="244"/>
      <c r="Y802" s="244"/>
      <c r="Z802" s="244"/>
    </row>
    <row r="803">
      <c r="A803" s="244"/>
      <c r="B803" s="244"/>
      <c r="C803" s="244"/>
      <c r="D803" s="244"/>
      <c r="E803" s="244"/>
      <c r="F803" s="244"/>
      <c r="G803" s="244"/>
      <c r="H803" s="244"/>
      <c r="I803" s="244"/>
      <c r="J803" s="244"/>
      <c r="K803" s="244"/>
      <c r="L803" s="244"/>
      <c r="M803" s="244"/>
      <c r="N803" s="244"/>
      <c r="O803" s="244"/>
      <c r="P803" s="244"/>
      <c r="Q803" s="244"/>
      <c r="R803" s="244"/>
      <c r="S803" s="244"/>
      <c r="T803" s="244"/>
      <c r="U803" s="244"/>
      <c r="V803" s="244"/>
      <c r="W803" s="244"/>
      <c r="X803" s="244"/>
      <c r="Y803" s="244"/>
      <c r="Z803" s="244"/>
    </row>
    <row r="804">
      <c r="A804" s="244"/>
      <c r="B804" s="244"/>
      <c r="C804" s="244"/>
      <c r="D804" s="244"/>
      <c r="E804" s="244"/>
      <c r="F804" s="244"/>
      <c r="G804" s="244"/>
      <c r="H804" s="244"/>
      <c r="I804" s="244"/>
      <c r="J804" s="244"/>
      <c r="K804" s="244"/>
      <c r="L804" s="244"/>
      <c r="M804" s="244"/>
      <c r="N804" s="244"/>
      <c r="O804" s="244"/>
      <c r="P804" s="244"/>
      <c r="Q804" s="244"/>
      <c r="R804" s="244"/>
      <c r="S804" s="244"/>
      <c r="T804" s="244"/>
      <c r="U804" s="244"/>
      <c r="V804" s="244"/>
      <c r="W804" s="244"/>
      <c r="X804" s="244"/>
      <c r="Y804" s="244"/>
      <c r="Z804" s="244"/>
    </row>
    <row r="805">
      <c r="A805" s="244"/>
      <c r="B805" s="244"/>
      <c r="C805" s="244"/>
      <c r="D805" s="244"/>
      <c r="E805" s="244"/>
      <c r="F805" s="244"/>
      <c r="G805" s="244"/>
      <c r="H805" s="244"/>
      <c r="I805" s="244"/>
      <c r="J805" s="244"/>
      <c r="K805" s="244"/>
      <c r="L805" s="244"/>
      <c r="M805" s="244"/>
      <c r="N805" s="244"/>
      <c r="O805" s="244"/>
      <c r="P805" s="244"/>
      <c r="Q805" s="244"/>
      <c r="R805" s="244"/>
      <c r="S805" s="244"/>
      <c r="T805" s="244"/>
      <c r="U805" s="244"/>
      <c r="V805" s="244"/>
      <c r="W805" s="244"/>
      <c r="X805" s="244"/>
      <c r="Y805" s="244"/>
      <c r="Z805" s="244"/>
    </row>
    <row r="806">
      <c r="A806" s="244"/>
      <c r="B806" s="244"/>
      <c r="C806" s="244"/>
      <c r="D806" s="244"/>
      <c r="E806" s="244"/>
      <c r="F806" s="244"/>
      <c r="G806" s="244"/>
      <c r="H806" s="244"/>
      <c r="I806" s="244"/>
      <c r="J806" s="244"/>
      <c r="K806" s="244"/>
      <c r="L806" s="244"/>
      <c r="M806" s="244"/>
      <c r="N806" s="244"/>
      <c r="O806" s="244"/>
      <c r="P806" s="244"/>
      <c r="Q806" s="244"/>
      <c r="R806" s="244"/>
      <c r="S806" s="244"/>
      <c r="T806" s="244"/>
      <c r="U806" s="244"/>
      <c r="V806" s="244"/>
      <c r="W806" s="244"/>
      <c r="X806" s="244"/>
      <c r="Y806" s="244"/>
      <c r="Z806" s="244"/>
    </row>
    <row r="807">
      <c r="A807" s="244"/>
      <c r="B807" s="244"/>
      <c r="C807" s="244"/>
      <c r="D807" s="244"/>
      <c r="E807" s="244"/>
      <c r="F807" s="244"/>
      <c r="G807" s="244"/>
      <c r="H807" s="244"/>
      <c r="I807" s="244"/>
      <c r="J807" s="244"/>
      <c r="K807" s="244"/>
      <c r="L807" s="244"/>
      <c r="M807" s="244"/>
      <c r="N807" s="244"/>
      <c r="O807" s="244"/>
      <c r="P807" s="244"/>
      <c r="Q807" s="244"/>
      <c r="R807" s="244"/>
      <c r="S807" s="244"/>
      <c r="T807" s="244"/>
      <c r="U807" s="244"/>
      <c r="V807" s="244"/>
      <c r="W807" s="244"/>
      <c r="X807" s="244"/>
      <c r="Y807" s="244"/>
      <c r="Z807" s="244"/>
    </row>
    <row r="808">
      <c r="A808" s="244"/>
      <c r="B808" s="244"/>
      <c r="C808" s="244"/>
      <c r="D808" s="244"/>
      <c r="E808" s="244"/>
      <c r="F808" s="244"/>
      <c r="G808" s="244"/>
      <c r="H808" s="244"/>
      <c r="I808" s="244"/>
      <c r="J808" s="244"/>
      <c r="K808" s="244"/>
      <c r="L808" s="244"/>
      <c r="M808" s="244"/>
      <c r="N808" s="244"/>
      <c r="O808" s="244"/>
      <c r="P808" s="244"/>
      <c r="Q808" s="244"/>
      <c r="R808" s="244"/>
      <c r="S808" s="244"/>
      <c r="T808" s="244"/>
      <c r="U808" s="244"/>
      <c r="V808" s="244"/>
      <c r="W808" s="244"/>
      <c r="X808" s="244"/>
      <c r="Y808" s="244"/>
      <c r="Z808" s="244"/>
    </row>
    <row r="809">
      <c r="A809" s="244"/>
      <c r="B809" s="244"/>
      <c r="C809" s="244"/>
      <c r="D809" s="244"/>
      <c r="E809" s="244"/>
      <c r="F809" s="244"/>
      <c r="G809" s="244"/>
      <c r="H809" s="244"/>
      <c r="I809" s="244"/>
      <c r="J809" s="244"/>
      <c r="K809" s="244"/>
      <c r="L809" s="244"/>
      <c r="M809" s="244"/>
      <c r="N809" s="244"/>
      <c r="O809" s="244"/>
      <c r="P809" s="244"/>
      <c r="Q809" s="244"/>
      <c r="R809" s="244"/>
      <c r="S809" s="244"/>
      <c r="T809" s="244"/>
      <c r="U809" s="244"/>
      <c r="V809" s="244"/>
      <c r="W809" s="244"/>
      <c r="X809" s="244"/>
      <c r="Y809" s="244"/>
      <c r="Z809" s="244"/>
    </row>
    <row r="810">
      <c r="A810" s="244"/>
      <c r="B810" s="244"/>
      <c r="C810" s="244"/>
      <c r="D810" s="244"/>
      <c r="E810" s="244"/>
      <c r="F810" s="244"/>
      <c r="G810" s="244"/>
      <c r="H810" s="244"/>
      <c r="I810" s="244"/>
      <c r="J810" s="244"/>
      <c r="K810" s="244"/>
      <c r="L810" s="244"/>
      <c r="M810" s="244"/>
      <c r="N810" s="244"/>
      <c r="O810" s="244"/>
      <c r="P810" s="244"/>
      <c r="Q810" s="244"/>
      <c r="R810" s="244"/>
      <c r="S810" s="244"/>
      <c r="T810" s="244"/>
      <c r="U810" s="244"/>
      <c r="V810" s="244"/>
      <c r="W810" s="244"/>
      <c r="X810" s="244"/>
      <c r="Y810" s="244"/>
      <c r="Z810" s="244"/>
    </row>
    <row r="811">
      <c r="A811" s="244"/>
      <c r="B811" s="244"/>
      <c r="C811" s="244"/>
      <c r="D811" s="244"/>
      <c r="E811" s="244"/>
      <c r="F811" s="244"/>
      <c r="G811" s="244"/>
      <c r="H811" s="244"/>
      <c r="I811" s="244"/>
      <c r="J811" s="244"/>
      <c r="K811" s="244"/>
      <c r="L811" s="244"/>
      <c r="M811" s="244"/>
      <c r="N811" s="244"/>
      <c r="O811" s="244"/>
      <c r="P811" s="244"/>
      <c r="Q811" s="244"/>
      <c r="R811" s="244"/>
      <c r="S811" s="244"/>
      <c r="T811" s="244"/>
      <c r="U811" s="244"/>
      <c r="V811" s="244"/>
      <c r="W811" s="244"/>
      <c r="X811" s="244"/>
      <c r="Y811" s="244"/>
      <c r="Z811" s="244"/>
    </row>
    <row r="812">
      <c r="A812" s="244"/>
      <c r="B812" s="244"/>
      <c r="C812" s="244"/>
      <c r="D812" s="244"/>
      <c r="E812" s="244"/>
      <c r="F812" s="244"/>
      <c r="G812" s="244"/>
      <c r="H812" s="244"/>
      <c r="I812" s="244"/>
      <c r="J812" s="244"/>
      <c r="K812" s="244"/>
      <c r="L812" s="244"/>
      <c r="M812" s="244"/>
      <c r="N812" s="244"/>
      <c r="O812" s="244"/>
      <c r="P812" s="244"/>
      <c r="Q812" s="244"/>
      <c r="R812" s="244"/>
      <c r="S812" s="244"/>
      <c r="T812" s="244"/>
      <c r="U812" s="244"/>
      <c r="V812" s="244"/>
      <c r="W812" s="244"/>
      <c r="X812" s="244"/>
      <c r="Y812" s="244"/>
      <c r="Z812" s="244"/>
    </row>
    <row r="813">
      <c r="A813" s="244"/>
      <c r="B813" s="244"/>
      <c r="C813" s="244"/>
      <c r="D813" s="244"/>
      <c r="E813" s="244"/>
      <c r="F813" s="244"/>
      <c r="G813" s="244"/>
      <c r="H813" s="244"/>
      <c r="I813" s="244"/>
      <c r="J813" s="244"/>
      <c r="K813" s="244"/>
      <c r="L813" s="244"/>
      <c r="M813" s="244"/>
      <c r="N813" s="244"/>
      <c r="O813" s="244"/>
      <c r="P813" s="244"/>
      <c r="Q813" s="244"/>
      <c r="R813" s="244"/>
      <c r="S813" s="244"/>
      <c r="T813" s="244"/>
      <c r="U813" s="244"/>
      <c r="V813" s="244"/>
      <c r="W813" s="244"/>
      <c r="X813" s="244"/>
      <c r="Y813" s="244"/>
      <c r="Z813" s="244"/>
    </row>
    <row r="814">
      <c r="A814" s="244"/>
      <c r="B814" s="244"/>
      <c r="C814" s="244"/>
      <c r="D814" s="244"/>
      <c r="E814" s="244"/>
      <c r="F814" s="244"/>
      <c r="G814" s="244"/>
      <c r="H814" s="244"/>
      <c r="I814" s="244"/>
      <c r="J814" s="244"/>
      <c r="K814" s="244"/>
      <c r="L814" s="244"/>
      <c r="M814" s="244"/>
      <c r="N814" s="244"/>
      <c r="O814" s="244"/>
      <c r="P814" s="244"/>
      <c r="Q814" s="244"/>
      <c r="R814" s="244"/>
      <c r="S814" s="244"/>
      <c r="T814" s="244"/>
      <c r="U814" s="244"/>
      <c r="V814" s="244"/>
      <c r="W814" s="244"/>
      <c r="X814" s="244"/>
      <c r="Y814" s="244"/>
      <c r="Z814" s="244"/>
    </row>
    <row r="815">
      <c r="A815" s="244"/>
      <c r="B815" s="244"/>
      <c r="C815" s="244"/>
      <c r="D815" s="244"/>
      <c r="E815" s="244"/>
      <c r="F815" s="244"/>
      <c r="G815" s="244"/>
      <c r="H815" s="244"/>
      <c r="I815" s="244"/>
      <c r="J815" s="244"/>
      <c r="K815" s="244"/>
      <c r="L815" s="244"/>
      <c r="M815" s="244"/>
      <c r="N815" s="244"/>
      <c r="O815" s="244"/>
      <c r="P815" s="244"/>
      <c r="Q815" s="244"/>
      <c r="R815" s="244"/>
      <c r="S815" s="244"/>
      <c r="T815" s="244"/>
      <c r="U815" s="244"/>
      <c r="V815" s="244"/>
      <c r="W815" s="244"/>
      <c r="X815" s="244"/>
      <c r="Y815" s="244"/>
      <c r="Z815" s="244"/>
    </row>
    <row r="816">
      <c r="A816" s="244"/>
      <c r="B816" s="244"/>
      <c r="C816" s="244"/>
      <c r="D816" s="244"/>
      <c r="E816" s="244"/>
      <c r="F816" s="244"/>
      <c r="G816" s="244"/>
      <c r="H816" s="244"/>
      <c r="I816" s="244"/>
      <c r="J816" s="244"/>
      <c r="K816" s="244"/>
      <c r="L816" s="244"/>
      <c r="M816" s="244"/>
      <c r="N816" s="244"/>
      <c r="O816" s="244"/>
      <c r="P816" s="244"/>
      <c r="Q816" s="244"/>
      <c r="R816" s="244"/>
      <c r="S816" s="244"/>
      <c r="T816" s="244"/>
      <c r="U816" s="244"/>
      <c r="V816" s="244"/>
      <c r="W816" s="244"/>
      <c r="X816" s="244"/>
      <c r="Y816" s="244"/>
      <c r="Z816" s="244"/>
    </row>
    <row r="817">
      <c r="A817" s="244"/>
      <c r="B817" s="244"/>
      <c r="C817" s="244"/>
      <c r="D817" s="244"/>
      <c r="E817" s="244"/>
      <c r="F817" s="244"/>
      <c r="G817" s="244"/>
      <c r="H817" s="244"/>
      <c r="I817" s="244"/>
      <c r="J817" s="244"/>
      <c r="K817" s="244"/>
      <c r="L817" s="244"/>
      <c r="M817" s="244"/>
      <c r="N817" s="244"/>
      <c r="O817" s="244"/>
      <c r="P817" s="244"/>
      <c r="Q817" s="244"/>
      <c r="R817" s="244"/>
      <c r="S817" s="244"/>
      <c r="T817" s="244"/>
      <c r="U817" s="244"/>
      <c r="V817" s="244"/>
      <c r="W817" s="244"/>
      <c r="X817" s="244"/>
      <c r="Y817" s="244"/>
      <c r="Z817" s="244"/>
    </row>
    <row r="818">
      <c r="A818" s="244"/>
      <c r="B818" s="244"/>
      <c r="C818" s="244"/>
      <c r="D818" s="244"/>
      <c r="E818" s="244"/>
      <c r="F818" s="244"/>
      <c r="G818" s="244"/>
      <c r="H818" s="244"/>
      <c r="I818" s="244"/>
      <c r="J818" s="244"/>
      <c r="K818" s="244"/>
      <c r="L818" s="244"/>
      <c r="M818" s="244"/>
      <c r="N818" s="244"/>
      <c r="O818" s="244"/>
      <c r="P818" s="244"/>
      <c r="Q818" s="244"/>
      <c r="R818" s="244"/>
      <c r="S818" s="244"/>
      <c r="T818" s="244"/>
      <c r="U818" s="244"/>
      <c r="V818" s="244"/>
      <c r="W818" s="244"/>
      <c r="X818" s="244"/>
      <c r="Y818" s="244"/>
      <c r="Z818" s="244"/>
    </row>
    <row r="819">
      <c r="A819" s="244"/>
      <c r="B819" s="244"/>
      <c r="C819" s="244"/>
      <c r="D819" s="244"/>
      <c r="E819" s="244"/>
      <c r="F819" s="244"/>
      <c r="G819" s="244"/>
      <c r="H819" s="244"/>
      <c r="I819" s="244"/>
      <c r="J819" s="244"/>
      <c r="K819" s="244"/>
      <c r="L819" s="244"/>
      <c r="M819" s="244"/>
      <c r="N819" s="244"/>
      <c r="O819" s="244"/>
      <c r="P819" s="244"/>
      <c r="Q819" s="244"/>
      <c r="R819" s="244"/>
      <c r="S819" s="244"/>
      <c r="T819" s="244"/>
      <c r="U819" s="244"/>
      <c r="V819" s="244"/>
      <c r="W819" s="244"/>
      <c r="X819" s="244"/>
      <c r="Y819" s="244"/>
      <c r="Z819" s="244"/>
    </row>
    <row r="820">
      <c r="A820" s="244"/>
      <c r="B820" s="244"/>
      <c r="C820" s="244"/>
      <c r="D820" s="244"/>
      <c r="E820" s="244"/>
      <c r="F820" s="244"/>
      <c r="G820" s="244"/>
      <c r="H820" s="244"/>
      <c r="I820" s="244"/>
      <c r="J820" s="244"/>
      <c r="K820" s="244"/>
      <c r="L820" s="244"/>
      <c r="M820" s="244"/>
      <c r="N820" s="244"/>
      <c r="O820" s="244"/>
      <c r="P820" s="244"/>
      <c r="Q820" s="244"/>
      <c r="R820" s="244"/>
      <c r="S820" s="244"/>
      <c r="T820" s="244"/>
      <c r="U820" s="244"/>
      <c r="V820" s="244"/>
      <c r="W820" s="244"/>
      <c r="X820" s="244"/>
      <c r="Y820" s="244"/>
      <c r="Z820" s="244"/>
    </row>
    <row r="821">
      <c r="A821" s="244"/>
      <c r="B821" s="244"/>
      <c r="C821" s="244"/>
      <c r="D821" s="244"/>
      <c r="E821" s="244"/>
      <c r="F821" s="244"/>
      <c r="G821" s="244"/>
      <c r="H821" s="244"/>
      <c r="I821" s="244"/>
      <c r="J821" s="244"/>
      <c r="K821" s="244"/>
      <c r="L821" s="244"/>
      <c r="M821" s="244"/>
      <c r="N821" s="244"/>
      <c r="O821" s="244"/>
      <c r="P821" s="244"/>
      <c r="Q821" s="244"/>
      <c r="R821" s="244"/>
      <c r="S821" s="244"/>
      <c r="T821" s="244"/>
      <c r="U821" s="244"/>
      <c r="V821" s="244"/>
      <c r="W821" s="244"/>
      <c r="X821" s="244"/>
      <c r="Y821" s="244"/>
      <c r="Z821" s="244"/>
    </row>
    <row r="822">
      <c r="A822" s="244"/>
      <c r="B822" s="244"/>
      <c r="C822" s="244"/>
      <c r="D822" s="244"/>
      <c r="E822" s="244"/>
      <c r="F822" s="244"/>
      <c r="G822" s="244"/>
      <c r="H822" s="244"/>
      <c r="I822" s="244"/>
      <c r="J822" s="244"/>
      <c r="K822" s="244"/>
      <c r="L822" s="244"/>
      <c r="M822" s="244"/>
      <c r="N822" s="244"/>
      <c r="O822" s="244"/>
      <c r="P822" s="244"/>
      <c r="Q822" s="244"/>
      <c r="R822" s="244"/>
      <c r="S822" s="244"/>
      <c r="T822" s="244"/>
      <c r="U822" s="244"/>
      <c r="V822" s="244"/>
      <c r="W822" s="244"/>
      <c r="X822" s="244"/>
      <c r="Y822" s="244"/>
      <c r="Z822" s="244"/>
    </row>
    <row r="823">
      <c r="A823" s="244"/>
      <c r="B823" s="244"/>
      <c r="C823" s="244"/>
      <c r="D823" s="244"/>
      <c r="E823" s="244"/>
      <c r="F823" s="244"/>
      <c r="G823" s="244"/>
      <c r="H823" s="244"/>
      <c r="I823" s="244"/>
      <c r="J823" s="244"/>
      <c r="K823" s="244"/>
      <c r="L823" s="244"/>
      <c r="M823" s="244"/>
      <c r="N823" s="244"/>
      <c r="O823" s="244"/>
      <c r="P823" s="244"/>
      <c r="Q823" s="244"/>
      <c r="R823" s="244"/>
      <c r="S823" s="244"/>
      <c r="T823" s="244"/>
      <c r="U823" s="244"/>
      <c r="V823" s="244"/>
      <c r="W823" s="244"/>
      <c r="X823" s="244"/>
      <c r="Y823" s="244"/>
      <c r="Z823" s="244"/>
    </row>
    <row r="824">
      <c r="A824" s="244"/>
      <c r="B824" s="244"/>
      <c r="C824" s="244"/>
      <c r="D824" s="244"/>
      <c r="E824" s="244"/>
      <c r="F824" s="244"/>
      <c r="G824" s="244"/>
      <c r="H824" s="244"/>
      <c r="I824" s="244"/>
      <c r="J824" s="244"/>
      <c r="K824" s="244"/>
      <c r="L824" s="244"/>
      <c r="M824" s="244"/>
      <c r="N824" s="244"/>
      <c r="O824" s="244"/>
      <c r="P824" s="244"/>
      <c r="Q824" s="244"/>
      <c r="R824" s="244"/>
      <c r="S824" s="244"/>
      <c r="T824" s="244"/>
      <c r="U824" s="244"/>
      <c r="V824" s="244"/>
      <c r="W824" s="244"/>
      <c r="X824" s="244"/>
      <c r="Y824" s="244"/>
      <c r="Z824" s="244"/>
    </row>
    <row r="825">
      <c r="A825" s="244"/>
      <c r="B825" s="244"/>
      <c r="C825" s="244"/>
      <c r="D825" s="244"/>
      <c r="E825" s="244"/>
      <c r="F825" s="244"/>
      <c r="G825" s="244"/>
      <c r="H825" s="244"/>
      <c r="I825" s="244"/>
      <c r="J825" s="244"/>
      <c r="K825" s="244"/>
      <c r="L825" s="244"/>
      <c r="M825" s="244"/>
      <c r="N825" s="244"/>
      <c r="O825" s="244"/>
      <c r="P825" s="244"/>
      <c r="Q825" s="244"/>
      <c r="R825" s="244"/>
      <c r="S825" s="244"/>
      <c r="T825" s="244"/>
      <c r="U825" s="244"/>
      <c r="V825" s="244"/>
      <c r="W825" s="244"/>
      <c r="X825" s="244"/>
      <c r="Y825" s="244"/>
      <c r="Z825" s="244"/>
    </row>
    <row r="826">
      <c r="A826" s="244"/>
      <c r="B826" s="244"/>
      <c r="C826" s="244"/>
      <c r="D826" s="244"/>
      <c r="E826" s="244"/>
      <c r="F826" s="244"/>
      <c r="G826" s="244"/>
      <c r="H826" s="244"/>
      <c r="I826" s="244"/>
      <c r="J826" s="244"/>
      <c r="K826" s="244"/>
      <c r="L826" s="244"/>
      <c r="M826" s="244"/>
      <c r="N826" s="244"/>
      <c r="O826" s="244"/>
      <c r="P826" s="244"/>
      <c r="Q826" s="244"/>
      <c r="R826" s="244"/>
      <c r="S826" s="244"/>
      <c r="T826" s="244"/>
      <c r="U826" s="244"/>
      <c r="V826" s="244"/>
      <c r="W826" s="244"/>
      <c r="X826" s="244"/>
      <c r="Y826" s="244"/>
      <c r="Z826" s="244"/>
    </row>
    <row r="827">
      <c r="A827" s="244"/>
      <c r="B827" s="244"/>
      <c r="C827" s="244"/>
      <c r="D827" s="244"/>
      <c r="E827" s="244"/>
      <c r="F827" s="244"/>
      <c r="G827" s="244"/>
      <c r="H827" s="244"/>
      <c r="I827" s="244"/>
      <c r="J827" s="244"/>
      <c r="K827" s="244"/>
      <c r="L827" s="244"/>
      <c r="M827" s="244"/>
      <c r="N827" s="244"/>
      <c r="O827" s="244"/>
      <c r="P827" s="244"/>
      <c r="Q827" s="244"/>
      <c r="R827" s="244"/>
      <c r="S827" s="244"/>
      <c r="T827" s="244"/>
      <c r="U827" s="244"/>
      <c r="V827" s="244"/>
      <c r="W827" s="244"/>
      <c r="X827" s="244"/>
      <c r="Y827" s="244"/>
      <c r="Z827" s="244"/>
    </row>
    <row r="828">
      <c r="A828" s="244"/>
      <c r="B828" s="244"/>
      <c r="C828" s="244"/>
      <c r="D828" s="244"/>
      <c r="E828" s="244"/>
      <c r="F828" s="244"/>
      <c r="G828" s="244"/>
      <c r="H828" s="244"/>
      <c r="I828" s="244"/>
      <c r="J828" s="244"/>
      <c r="K828" s="244"/>
      <c r="L828" s="244"/>
      <c r="M828" s="244"/>
      <c r="N828" s="244"/>
      <c r="O828" s="244"/>
      <c r="P828" s="244"/>
      <c r="Q828" s="244"/>
      <c r="R828" s="244"/>
      <c r="S828" s="244"/>
      <c r="T828" s="244"/>
      <c r="U828" s="244"/>
      <c r="V828" s="244"/>
      <c r="W828" s="244"/>
      <c r="X828" s="244"/>
      <c r="Y828" s="244"/>
      <c r="Z828" s="244"/>
    </row>
    <row r="829">
      <c r="A829" s="244"/>
      <c r="B829" s="244"/>
      <c r="C829" s="244"/>
      <c r="D829" s="244"/>
      <c r="E829" s="244"/>
      <c r="F829" s="244"/>
      <c r="G829" s="244"/>
      <c r="H829" s="244"/>
      <c r="I829" s="244"/>
      <c r="J829" s="244"/>
      <c r="K829" s="244"/>
      <c r="L829" s="244"/>
      <c r="M829" s="244"/>
      <c r="N829" s="244"/>
      <c r="O829" s="244"/>
      <c r="P829" s="244"/>
      <c r="Q829" s="244"/>
      <c r="R829" s="244"/>
      <c r="S829" s="244"/>
      <c r="T829" s="244"/>
      <c r="U829" s="244"/>
      <c r="V829" s="244"/>
      <c r="W829" s="244"/>
      <c r="X829" s="244"/>
      <c r="Y829" s="244"/>
      <c r="Z829" s="244"/>
    </row>
    <row r="830">
      <c r="A830" s="244"/>
      <c r="B830" s="244"/>
      <c r="C830" s="244"/>
      <c r="D830" s="244"/>
      <c r="E830" s="244"/>
      <c r="F830" s="244"/>
      <c r="G830" s="244"/>
      <c r="H830" s="244"/>
      <c r="I830" s="244"/>
      <c r="J830" s="244"/>
      <c r="K830" s="244"/>
      <c r="L830" s="244"/>
      <c r="M830" s="244"/>
      <c r="N830" s="244"/>
      <c r="O830" s="244"/>
      <c r="P830" s="244"/>
      <c r="Q830" s="244"/>
      <c r="R830" s="244"/>
      <c r="S830" s="244"/>
      <c r="T830" s="244"/>
      <c r="U830" s="244"/>
      <c r="V830" s="244"/>
      <c r="W830" s="244"/>
      <c r="X830" s="244"/>
      <c r="Y830" s="244"/>
      <c r="Z830" s="244"/>
    </row>
    <row r="831">
      <c r="A831" s="244"/>
      <c r="B831" s="244"/>
      <c r="C831" s="244"/>
      <c r="D831" s="244"/>
      <c r="E831" s="244"/>
      <c r="F831" s="244"/>
      <c r="G831" s="244"/>
      <c r="H831" s="244"/>
      <c r="I831" s="244"/>
      <c r="J831" s="244"/>
      <c r="K831" s="244"/>
      <c r="L831" s="244"/>
      <c r="M831" s="244"/>
      <c r="N831" s="244"/>
      <c r="O831" s="244"/>
      <c r="P831" s="244"/>
      <c r="Q831" s="244"/>
      <c r="R831" s="244"/>
      <c r="S831" s="244"/>
      <c r="T831" s="244"/>
      <c r="U831" s="244"/>
      <c r="V831" s="244"/>
      <c r="W831" s="244"/>
      <c r="X831" s="244"/>
      <c r="Y831" s="244"/>
      <c r="Z831" s="244"/>
    </row>
    <row r="832">
      <c r="A832" s="244"/>
      <c r="B832" s="244"/>
      <c r="C832" s="244"/>
      <c r="D832" s="244"/>
      <c r="E832" s="244"/>
      <c r="F832" s="244"/>
      <c r="G832" s="244"/>
      <c r="H832" s="244"/>
      <c r="I832" s="244"/>
      <c r="J832" s="244"/>
      <c r="K832" s="244"/>
      <c r="L832" s="244"/>
      <c r="M832" s="244"/>
      <c r="N832" s="244"/>
      <c r="O832" s="244"/>
      <c r="P832" s="244"/>
      <c r="Q832" s="244"/>
      <c r="R832" s="244"/>
      <c r="S832" s="244"/>
      <c r="T832" s="244"/>
      <c r="U832" s="244"/>
      <c r="V832" s="244"/>
      <c r="W832" s="244"/>
      <c r="X832" s="244"/>
      <c r="Y832" s="244"/>
      <c r="Z832" s="244"/>
    </row>
    <row r="833">
      <c r="A833" s="244"/>
      <c r="B833" s="244"/>
      <c r="C833" s="244"/>
      <c r="D833" s="244"/>
      <c r="E833" s="244"/>
      <c r="F833" s="244"/>
      <c r="G833" s="244"/>
      <c r="H833" s="244"/>
      <c r="I833" s="244"/>
      <c r="J833" s="244"/>
      <c r="K833" s="244"/>
      <c r="L833" s="244"/>
      <c r="M833" s="244"/>
      <c r="N833" s="244"/>
      <c r="O833" s="244"/>
      <c r="P833" s="244"/>
      <c r="Q833" s="244"/>
      <c r="R833" s="244"/>
      <c r="S833" s="244"/>
      <c r="T833" s="244"/>
      <c r="U833" s="244"/>
      <c r="V833" s="244"/>
      <c r="W833" s="244"/>
      <c r="X833" s="244"/>
      <c r="Y833" s="244"/>
      <c r="Z833" s="244"/>
    </row>
    <row r="834">
      <c r="A834" s="244"/>
      <c r="B834" s="244"/>
      <c r="C834" s="244"/>
      <c r="D834" s="244"/>
      <c r="E834" s="244"/>
      <c r="F834" s="244"/>
      <c r="G834" s="244"/>
      <c r="H834" s="244"/>
      <c r="I834" s="244"/>
      <c r="J834" s="244"/>
      <c r="K834" s="244"/>
      <c r="L834" s="244"/>
      <c r="M834" s="244"/>
      <c r="N834" s="244"/>
      <c r="O834" s="244"/>
      <c r="P834" s="244"/>
      <c r="Q834" s="244"/>
      <c r="R834" s="244"/>
      <c r="S834" s="244"/>
      <c r="T834" s="244"/>
      <c r="U834" s="244"/>
      <c r="V834" s="244"/>
      <c r="W834" s="244"/>
      <c r="X834" s="244"/>
      <c r="Y834" s="244"/>
      <c r="Z834" s="244"/>
    </row>
    <row r="835">
      <c r="A835" s="244"/>
      <c r="B835" s="244"/>
      <c r="C835" s="244"/>
      <c r="D835" s="244"/>
      <c r="E835" s="244"/>
      <c r="F835" s="244"/>
      <c r="G835" s="244"/>
      <c r="H835" s="244"/>
      <c r="I835" s="244"/>
      <c r="J835" s="244"/>
      <c r="K835" s="244"/>
      <c r="L835" s="244"/>
      <c r="M835" s="244"/>
      <c r="N835" s="244"/>
      <c r="O835" s="244"/>
      <c r="P835" s="244"/>
      <c r="Q835" s="244"/>
      <c r="R835" s="244"/>
      <c r="S835" s="244"/>
      <c r="T835" s="244"/>
      <c r="U835" s="244"/>
      <c r="V835" s="244"/>
      <c r="W835" s="244"/>
      <c r="X835" s="244"/>
      <c r="Y835" s="244"/>
      <c r="Z835" s="244"/>
    </row>
    <row r="836">
      <c r="A836" s="244"/>
      <c r="B836" s="244"/>
      <c r="C836" s="244"/>
      <c r="D836" s="244"/>
      <c r="E836" s="244"/>
      <c r="F836" s="244"/>
      <c r="G836" s="244"/>
      <c r="H836" s="244"/>
      <c r="I836" s="244"/>
      <c r="J836" s="244"/>
      <c r="K836" s="244"/>
      <c r="L836" s="244"/>
      <c r="M836" s="244"/>
      <c r="N836" s="244"/>
      <c r="O836" s="244"/>
      <c r="P836" s="244"/>
      <c r="Q836" s="244"/>
      <c r="R836" s="244"/>
      <c r="S836" s="244"/>
      <c r="T836" s="244"/>
      <c r="U836" s="244"/>
      <c r="V836" s="244"/>
      <c r="W836" s="244"/>
      <c r="X836" s="244"/>
      <c r="Y836" s="244"/>
      <c r="Z836" s="244"/>
    </row>
    <row r="837">
      <c r="A837" s="244"/>
      <c r="B837" s="244"/>
      <c r="C837" s="244"/>
      <c r="D837" s="244"/>
      <c r="E837" s="244"/>
      <c r="F837" s="244"/>
      <c r="G837" s="244"/>
      <c r="H837" s="244"/>
      <c r="I837" s="244"/>
      <c r="J837" s="244"/>
      <c r="K837" s="244"/>
      <c r="L837" s="244"/>
      <c r="M837" s="244"/>
      <c r="N837" s="244"/>
      <c r="O837" s="244"/>
      <c r="P837" s="244"/>
      <c r="Q837" s="244"/>
      <c r="R837" s="244"/>
      <c r="S837" s="244"/>
      <c r="T837" s="244"/>
      <c r="U837" s="244"/>
      <c r="V837" s="244"/>
      <c r="W837" s="244"/>
      <c r="X837" s="244"/>
      <c r="Y837" s="244"/>
      <c r="Z837" s="244"/>
    </row>
    <row r="838">
      <c r="A838" s="244"/>
      <c r="B838" s="244"/>
      <c r="C838" s="244"/>
      <c r="D838" s="244"/>
      <c r="E838" s="244"/>
      <c r="F838" s="244"/>
      <c r="G838" s="244"/>
      <c r="H838" s="244"/>
      <c r="I838" s="244"/>
      <c r="J838" s="244"/>
      <c r="K838" s="244"/>
      <c r="L838" s="244"/>
      <c r="M838" s="244"/>
      <c r="N838" s="244"/>
      <c r="O838" s="244"/>
      <c r="P838" s="244"/>
      <c r="Q838" s="244"/>
      <c r="R838" s="244"/>
      <c r="S838" s="244"/>
      <c r="T838" s="244"/>
      <c r="U838" s="244"/>
      <c r="V838" s="244"/>
      <c r="W838" s="244"/>
      <c r="X838" s="244"/>
      <c r="Y838" s="244"/>
      <c r="Z838" s="244"/>
    </row>
    <row r="839">
      <c r="A839" s="244"/>
      <c r="B839" s="244"/>
      <c r="C839" s="244"/>
      <c r="D839" s="244"/>
      <c r="E839" s="244"/>
      <c r="F839" s="244"/>
      <c r="G839" s="244"/>
      <c r="H839" s="244"/>
      <c r="I839" s="244"/>
      <c r="J839" s="244"/>
      <c r="K839" s="244"/>
      <c r="L839" s="244"/>
      <c r="M839" s="244"/>
      <c r="N839" s="244"/>
      <c r="O839" s="244"/>
      <c r="P839" s="244"/>
      <c r="Q839" s="244"/>
      <c r="R839" s="244"/>
      <c r="S839" s="244"/>
      <c r="T839" s="244"/>
      <c r="U839" s="244"/>
      <c r="V839" s="244"/>
      <c r="W839" s="244"/>
      <c r="X839" s="244"/>
      <c r="Y839" s="244"/>
      <c r="Z839" s="244"/>
    </row>
    <row r="840">
      <c r="A840" s="244"/>
      <c r="B840" s="244"/>
      <c r="C840" s="244"/>
      <c r="D840" s="244"/>
      <c r="E840" s="244"/>
      <c r="F840" s="244"/>
      <c r="G840" s="244"/>
      <c r="H840" s="244"/>
      <c r="I840" s="244"/>
      <c r="J840" s="244"/>
      <c r="K840" s="244"/>
      <c r="L840" s="244"/>
      <c r="M840" s="244"/>
      <c r="N840" s="244"/>
      <c r="O840" s="244"/>
      <c r="P840" s="244"/>
      <c r="Q840" s="244"/>
      <c r="R840" s="244"/>
      <c r="S840" s="244"/>
      <c r="T840" s="244"/>
      <c r="U840" s="244"/>
      <c r="V840" s="244"/>
      <c r="W840" s="244"/>
      <c r="X840" s="244"/>
      <c r="Y840" s="244"/>
      <c r="Z840" s="244"/>
    </row>
    <row r="841">
      <c r="A841" s="244"/>
      <c r="B841" s="244"/>
      <c r="C841" s="244"/>
      <c r="D841" s="244"/>
      <c r="E841" s="244"/>
      <c r="F841" s="244"/>
      <c r="G841" s="244"/>
      <c r="H841" s="244"/>
      <c r="I841" s="244"/>
      <c r="J841" s="244"/>
      <c r="K841" s="244"/>
      <c r="L841" s="244"/>
      <c r="M841" s="244"/>
      <c r="N841" s="244"/>
      <c r="O841" s="244"/>
      <c r="P841" s="244"/>
      <c r="Q841" s="244"/>
      <c r="R841" s="244"/>
      <c r="S841" s="244"/>
      <c r="T841" s="244"/>
      <c r="U841" s="244"/>
      <c r="V841" s="244"/>
      <c r="W841" s="244"/>
      <c r="X841" s="244"/>
      <c r="Y841" s="244"/>
      <c r="Z841" s="244"/>
    </row>
    <row r="842">
      <c r="A842" s="244"/>
      <c r="B842" s="244"/>
      <c r="C842" s="244"/>
      <c r="D842" s="244"/>
      <c r="E842" s="244"/>
      <c r="F842" s="244"/>
      <c r="G842" s="244"/>
      <c r="H842" s="244"/>
      <c r="I842" s="244"/>
      <c r="J842" s="244"/>
      <c r="K842" s="244"/>
      <c r="L842" s="244"/>
      <c r="M842" s="244"/>
      <c r="N842" s="244"/>
      <c r="O842" s="244"/>
      <c r="P842" s="244"/>
      <c r="Q842" s="244"/>
      <c r="R842" s="244"/>
      <c r="S842" s="244"/>
      <c r="T842" s="244"/>
      <c r="U842" s="244"/>
      <c r="V842" s="244"/>
      <c r="W842" s="244"/>
      <c r="X842" s="244"/>
      <c r="Y842" s="244"/>
      <c r="Z842" s="244"/>
    </row>
    <row r="843">
      <c r="A843" s="244"/>
      <c r="B843" s="244"/>
      <c r="C843" s="244"/>
      <c r="D843" s="244"/>
      <c r="E843" s="244"/>
      <c r="F843" s="244"/>
      <c r="G843" s="244"/>
      <c r="H843" s="244"/>
      <c r="I843" s="244"/>
      <c r="J843" s="244"/>
      <c r="K843" s="244"/>
      <c r="L843" s="244"/>
      <c r="M843" s="244"/>
      <c r="N843" s="244"/>
      <c r="O843" s="244"/>
      <c r="P843" s="244"/>
      <c r="Q843" s="244"/>
      <c r="R843" s="244"/>
      <c r="S843" s="244"/>
      <c r="T843" s="244"/>
      <c r="U843" s="244"/>
      <c r="V843" s="244"/>
      <c r="W843" s="244"/>
      <c r="X843" s="244"/>
      <c r="Y843" s="244"/>
      <c r="Z843" s="244"/>
    </row>
    <row r="844">
      <c r="A844" s="244"/>
      <c r="B844" s="244"/>
      <c r="C844" s="244"/>
      <c r="D844" s="244"/>
      <c r="E844" s="244"/>
      <c r="F844" s="244"/>
      <c r="G844" s="244"/>
      <c r="H844" s="244"/>
      <c r="I844" s="244"/>
      <c r="J844" s="244"/>
      <c r="K844" s="244"/>
      <c r="L844" s="244"/>
      <c r="M844" s="244"/>
      <c r="N844" s="244"/>
      <c r="O844" s="244"/>
      <c r="P844" s="244"/>
      <c r="Q844" s="244"/>
      <c r="R844" s="244"/>
      <c r="S844" s="244"/>
      <c r="T844" s="244"/>
      <c r="U844" s="244"/>
      <c r="V844" s="244"/>
      <c r="W844" s="244"/>
      <c r="X844" s="244"/>
      <c r="Y844" s="244"/>
      <c r="Z844" s="244"/>
    </row>
    <row r="845">
      <c r="A845" s="244"/>
      <c r="B845" s="244"/>
      <c r="C845" s="244"/>
      <c r="D845" s="244"/>
      <c r="E845" s="244"/>
      <c r="F845" s="244"/>
      <c r="G845" s="244"/>
      <c r="H845" s="244"/>
      <c r="I845" s="244"/>
      <c r="J845" s="244"/>
      <c r="K845" s="244"/>
      <c r="L845" s="244"/>
      <c r="M845" s="244"/>
      <c r="N845" s="244"/>
      <c r="O845" s="244"/>
      <c r="P845" s="244"/>
      <c r="Q845" s="244"/>
      <c r="R845" s="244"/>
      <c r="S845" s="244"/>
      <c r="T845" s="244"/>
      <c r="U845" s="244"/>
      <c r="V845" s="244"/>
      <c r="W845" s="244"/>
      <c r="X845" s="244"/>
      <c r="Y845" s="244"/>
      <c r="Z845" s="244"/>
    </row>
    <row r="846">
      <c r="A846" s="244"/>
      <c r="B846" s="244"/>
      <c r="C846" s="244"/>
      <c r="D846" s="244"/>
      <c r="E846" s="244"/>
      <c r="F846" s="244"/>
      <c r="G846" s="244"/>
      <c r="H846" s="244"/>
      <c r="I846" s="244"/>
      <c r="J846" s="244"/>
      <c r="K846" s="244"/>
      <c r="L846" s="244"/>
      <c r="M846" s="244"/>
      <c r="N846" s="244"/>
      <c r="O846" s="244"/>
      <c r="P846" s="244"/>
      <c r="Q846" s="244"/>
      <c r="R846" s="244"/>
      <c r="S846" s="244"/>
      <c r="T846" s="244"/>
      <c r="U846" s="244"/>
      <c r="V846" s="244"/>
      <c r="W846" s="244"/>
      <c r="X846" s="244"/>
      <c r="Y846" s="244"/>
      <c r="Z846" s="244"/>
    </row>
    <row r="847">
      <c r="A847" s="244"/>
      <c r="B847" s="244"/>
      <c r="C847" s="244"/>
      <c r="D847" s="244"/>
      <c r="E847" s="244"/>
      <c r="F847" s="244"/>
      <c r="G847" s="244"/>
      <c r="H847" s="244"/>
      <c r="I847" s="244"/>
      <c r="J847" s="244"/>
      <c r="K847" s="244"/>
      <c r="L847" s="244"/>
      <c r="M847" s="244"/>
      <c r="N847" s="244"/>
      <c r="O847" s="244"/>
      <c r="P847" s="244"/>
      <c r="Q847" s="244"/>
      <c r="R847" s="244"/>
      <c r="S847" s="244"/>
      <c r="T847" s="244"/>
      <c r="U847" s="244"/>
      <c r="V847" s="244"/>
      <c r="W847" s="244"/>
      <c r="X847" s="244"/>
      <c r="Y847" s="244"/>
      <c r="Z847" s="244"/>
    </row>
    <row r="848">
      <c r="A848" s="244"/>
      <c r="B848" s="244"/>
      <c r="C848" s="244"/>
      <c r="D848" s="244"/>
      <c r="E848" s="244"/>
      <c r="F848" s="244"/>
      <c r="G848" s="244"/>
      <c r="H848" s="244"/>
      <c r="I848" s="244"/>
      <c r="J848" s="244"/>
      <c r="K848" s="244"/>
      <c r="L848" s="244"/>
      <c r="M848" s="244"/>
      <c r="N848" s="244"/>
      <c r="O848" s="244"/>
      <c r="P848" s="244"/>
      <c r="Q848" s="244"/>
      <c r="R848" s="244"/>
      <c r="S848" s="244"/>
      <c r="T848" s="244"/>
      <c r="U848" s="244"/>
      <c r="V848" s="244"/>
      <c r="W848" s="244"/>
      <c r="X848" s="244"/>
      <c r="Y848" s="244"/>
      <c r="Z848" s="244"/>
    </row>
    <row r="849">
      <c r="A849" s="244"/>
      <c r="B849" s="244"/>
      <c r="C849" s="244"/>
      <c r="D849" s="244"/>
      <c r="E849" s="244"/>
      <c r="F849" s="244"/>
      <c r="G849" s="244"/>
      <c r="H849" s="244"/>
      <c r="I849" s="244"/>
      <c r="J849" s="244"/>
      <c r="K849" s="244"/>
      <c r="L849" s="244"/>
      <c r="M849" s="244"/>
      <c r="N849" s="244"/>
      <c r="O849" s="244"/>
      <c r="P849" s="244"/>
      <c r="Q849" s="244"/>
      <c r="R849" s="244"/>
      <c r="S849" s="244"/>
      <c r="T849" s="244"/>
      <c r="U849" s="244"/>
      <c r="V849" s="244"/>
      <c r="W849" s="244"/>
      <c r="X849" s="244"/>
      <c r="Y849" s="244"/>
      <c r="Z849" s="244"/>
    </row>
    <row r="850">
      <c r="A850" s="244"/>
      <c r="B850" s="244"/>
      <c r="C850" s="244"/>
      <c r="D850" s="244"/>
      <c r="E850" s="244"/>
      <c r="F850" s="244"/>
      <c r="G850" s="244"/>
      <c r="H850" s="244"/>
      <c r="I850" s="244"/>
      <c r="J850" s="244"/>
      <c r="K850" s="244"/>
      <c r="L850" s="244"/>
      <c r="M850" s="244"/>
      <c r="N850" s="244"/>
      <c r="O850" s="244"/>
      <c r="P850" s="244"/>
      <c r="Q850" s="244"/>
      <c r="R850" s="244"/>
      <c r="S850" s="244"/>
      <c r="T850" s="244"/>
      <c r="U850" s="244"/>
      <c r="V850" s="244"/>
      <c r="W850" s="244"/>
      <c r="X850" s="244"/>
      <c r="Y850" s="244"/>
      <c r="Z850" s="244"/>
    </row>
    <row r="851">
      <c r="A851" s="244"/>
      <c r="B851" s="244"/>
      <c r="C851" s="244"/>
      <c r="D851" s="244"/>
      <c r="E851" s="244"/>
      <c r="F851" s="244"/>
      <c r="G851" s="244"/>
      <c r="H851" s="244"/>
      <c r="I851" s="244"/>
      <c r="J851" s="244"/>
      <c r="K851" s="244"/>
      <c r="L851" s="244"/>
      <c r="M851" s="244"/>
      <c r="N851" s="244"/>
      <c r="O851" s="244"/>
      <c r="P851" s="244"/>
      <c r="Q851" s="244"/>
      <c r="R851" s="244"/>
      <c r="S851" s="244"/>
      <c r="T851" s="244"/>
      <c r="U851" s="244"/>
      <c r="V851" s="244"/>
      <c r="W851" s="244"/>
      <c r="X851" s="244"/>
      <c r="Y851" s="244"/>
      <c r="Z851" s="244"/>
    </row>
    <row r="852">
      <c r="A852" s="244"/>
      <c r="B852" s="244"/>
      <c r="C852" s="244"/>
      <c r="D852" s="244"/>
      <c r="E852" s="244"/>
      <c r="F852" s="244"/>
      <c r="G852" s="244"/>
      <c r="H852" s="244"/>
      <c r="I852" s="244"/>
      <c r="J852" s="244"/>
      <c r="K852" s="244"/>
      <c r="L852" s="244"/>
      <c r="M852" s="244"/>
      <c r="N852" s="244"/>
      <c r="O852" s="244"/>
      <c r="P852" s="244"/>
      <c r="Q852" s="244"/>
      <c r="R852" s="244"/>
      <c r="S852" s="244"/>
      <c r="T852" s="244"/>
      <c r="U852" s="244"/>
      <c r="V852" s="244"/>
      <c r="W852" s="244"/>
      <c r="X852" s="244"/>
      <c r="Y852" s="244"/>
      <c r="Z852" s="244"/>
    </row>
    <row r="853">
      <c r="A853" s="244"/>
      <c r="B853" s="244"/>
      <c r="C853" s="244"/>
      <c r="D853" s="244"/>
      <c r="E853" s="244"/>
      <c r="F853" s="244"/>
      <c r="G853" s="244"/>
      <c r="H853" s="244"/>
      <c r="I853" s="244"/>
      <c r="J853" s="244"/>
      <c r="K853" s="244"/>
      <c r="L853" s="244"/>
      <c r="M853" s="244"/>
      <c r="N853" s="244"/>
      <c r="O853" s="244"/>
      <c r="P853" s="244"/>
      <c r="Q853" s="244"/>
      <c r="R853" s="244"/>
      <c r="S853" s="244"/>
      <c r="T853" s="244"/>
      <c r="U853" s="244"/>
      <c r="V853" s="244"/>
      <c r="W853" s="244"/>
      <c r="X853" s="244"/>
      <c r="Y853" s="244"/>
      <c r="Z853" s="244"/>
    </row>
    <row r="854">
      <c r="A854" s="244"/>
      <c r="B854" s="244"/>
      <c r="C854" s="244"/>
      <c r="D854" s="244"/>
      <c r="E854" s="244"/>
      <c r="F854" s="244"/>
      <c r="G854" s="244"/>
      <c r="H854" s="244"/>
      <c r="I854" s="244"/>
      <c r="J854" s="244"/>
      <c r="K854" s="244"/>
      <c r="L854" s="244"/>
      <c r="M854" s="244"/>
      <c r="N854" s="244"/>
      <c r="O854" s="244"/>
      <c r="P854" s="244"/>
      <c r="Q854" s="244"/>
      <c r="R854" s="244"/>
      <c r="S854" s="244"/>
      <c r="T854" s="244"/>
      <c r="U854" s="244"/>
      <c r="V854" s="244"/>
      <c r="W854" s="244"/>
      <c r="X854" s="244"/>
      <c r="Y854" s="244"/>
      <c r="Z854" s="244"/>
    </row>
    <row r="855">
      <c r="A855" s="244"/>
      <c r="B855" s="244"/>
      <c r="C855" s="244"/>
      <c r="D855" s="244"/>
      <c r="E855" s="244"/>
      <c r="F855" s="244"/>
      <c r="G855" s="244"/>
      <c r="H855" s="244"/>
      <c r="I855" s="244"/>
      <c r="J855" s="244"/>
      <c r="K855" s="244"/>
      <c r="L855" s="244"/>
      <c r="M855" s="244"/>
      <c r="N855" s="244"/>
      <c r="O855" s="244"/>
      <c r="P855" s="244"/>
      <c r="Q855" s="244"/>
      <c r="R855" s="244"/>
      <c r="S855" s="244"/>
      <c r="T855" s="244"/>
      <c r="U855" s="244"/>
      <c r="V855" s="244"/>
      <c r="W855" s="244"/>
      <c r="X855" s="244"/>
      <c r="Y855" s="244"/>
      <c r="Z855" s="244"/>
    </row>
    <row r="856">
      <c r="A856" s="244"/>
      <c r="B856" s="244"/>
      <c r="C856" s="244"/>
      <c r="D856" s="244"/>
      <c r="E856" s="244"/>
      <c r="F856" s="244"/>
      <c r="G856" s="244"/>
      <c r="H856" s="244"/>
      <c r="I856" s="244"/>
      <c r="J856" s="244"/>
      <c r="K856" s="244"/>
      <c r="L856" s="244"/>
      <c r="M856" s="244"/>
      <c r="N856" s="244"/>
      <c r="O856" s="244"/>
      <c r="P856" s="244"/>
      <c r="Q856" s="244"/>
      <c r="R856" s="244"/>
      <c r="S856" s="244"/>
      <c r="T856" s="244"/>
      <c r="U856" s="244"/>
      <c r="V856" s="244"/>
      <c r="W856" s="244"/>
      <c r="X856" s="244"/>
      <c r="Y856" s="244"/>
      <c r="Z856" s="244"/>
    </row>
    <row r="857">
      <c r="A857" s="244"/>
      <c r="B857" s="244"/>
      <c r="C857" s="244"/>
      <c r="D857" s="244"/>
      <c r="E857" s="244"/>
      <c r="F857" s="244"/>
      <c r="G857" s="244"/>
      <c r="H857" s="244"/>
      <c r="I857" s="244"/>
      <c r="J857" s="244"/>
      <c r="K857" s="244"/>
      <c r="L857" s="244"/>
      <c r="M857" s="244"/>
      <c r="N857" s="244"/>
      <c r="O857" s="244"/>
      <c r="P857" s="244"/>
      <c r="Q857" s="244"/>
      <c r="R857" s="244"/>
      <c r="S857" s="244"/>
      <c r="T857" s="244"/>
      <c r="U857" s="244"/>
      <c r="V857" s="244"/>
      <c r="W857" s="244"/>
      <c r="X857" s="244"/>
      <c r="Y857" s="244"/>
      <c r="Z857" s="244"/>
    </row>
    <row r="858">
      <c r="A858" s="244"/>
      <c r="B858" s="244"/>
      <c r="C858" s="244"/>
      <c r="D858" s="244"/>
      <c r="E858" s="244"/>
      <c r="F858" s="244"/>
      <c r="G858" s="244"/>
      <c r="H858" s="244"/>
      <c r="I858" s="244"/>
      <c r="J858" s="244"/>
      <c r="K858" s="244"/>
      <c r="L858" s="244"/>
      <c r="M858" s="244"/>
      <c r="N858" s="244"/>
      <c r="O858" s="244"/>
      <c r="P858" s="244"/>
      <c r="Q858" s="244"/>
      <c r="R858" s="244"/>
      <c r="S858" s="244"/>
      <c r="T858" s="244"/>
      <c r="U858" s="244"/>
      <c r="V858" s="244"/>
      <c r="W858" s="244"/>
      <c r="X858" s="244"/>
      <c r="Y858" s="244"/>
      <c r="Z858" s="244"/>
    </row>
    <row r="859">
      <c r="A859" s="244"/>
      <c r="B859" s="244"/>
      <c r="C859" s="244"/>
      <c r="D859" s="244"/>
      <c r="E859" s="244"/>
      <c r="F859" s="244"/>
      <c r="G859" s="244"/>
      <c r="H859" s="244"/>
      <c r="I859" s="244"/>
      <c r="J859" s="244"/>
      <c r="K859" s="244"/>
      <c r="L859" s="244"/>
      <c r="M859" s="244"/>
      <c r="N859" s="244"/>
      <c r="O859" s="244"/>
      <c r="P859" s="244"/>
      <c r="Q859" s="244"/>
      <c r="R859" s="244"/>
      <c r="S859" s="244"/>
      <c r="T859" s="244"/>
      <c r="U859" s="244"/>
      <c r="V859" s="244"/>
      <c r="W859" s="244"/>
      <c r="X859" s="244"/>
      <c r="Y859" s="244"/>
      <c r="Z859" s="244"/>
    </row>
    <row r="860">
      <c r="A860" s="244"/>
      <c r="B860" s="244"/>
      <c r="C860" s="244"/>
      <c r="D860" s="244"/>
      <c r="E860" s="244"/>
      <c r="F860" s="244"/>
      <c r="G860" s="244"/>
      <c r="H860" s="244"/>
      <c r="I860" s="244"/>
      <c r="J860" s="244"/>
      <c r="K860" s="244"/>
      <c r="L860" s="244"/>
      <c r="M860" s="244"/>
      <c r="N860" s="244"/>
      <c r="O860" s="244"/>
      <c r="P860" s="244"/>
      <c r="Q860" s="244"/>
      <c r="R860" s="244"/>
      <c r="S860" s="244"/>
      <c r="T860" s="244"/>
      <c r="U860" s="244"/>
      <c r="V860" s="244"/>
      <c r="W860" s="244"/>
      <c r="X860" s="244"/>
      <c r="Y860" s="244"/>
      <c r="Z860" s="244"/>
    </row>
    <row r="861">
      <c r="A861" s="244"/>
      <c r="B861" s="244"/>
      <c r="C861" s="244"/>
      <c r="D861" s="244"/>
      <c r="E861" s="244"/>
      <c r="F861" s="244"/>
      <c r="G861" s="244"/>
      <c r="H861" s="244"/>
      <c r="I861" s="244"/>
      <c r="J861" s="244"/>
      <c r="K861" s="244"/>
      <c r="L861" s="244"/>
      <c r="M861" s="244"/>
      <c r="N861" s="244"/>
      <c r="O861" s="244"/>
      <c r="P861" s="244"/>
      <c r="Q861" s="244"/>
      <c r="R861" s="244"/>
      <c r="S861" s="244"/>
      <c r="T861" s="244"/>
      <c r="U861" s="244"/>
      <c r="V861" s="244"/>
      <c r="W861" s="244"/>
      <c r="X861" s="244"/>
      <c r="Y861" s="244"/>
      <c r="Z861" s="244"/>
    </row>
    <row r="862">
      <c r="A862" s="244"/>
      <c r="B862" s="244"/>
      <c r="C862" s="244"/>
      <c r="D862" s="244"/>
      <c r="E862" s="244"/>
      <c r="F862" s="244"/>
      <c r="G862" s="244"/>
      <c r="H862" s="244"/>
      <c r="I862" s="244"/>
      <c r="J862" s="244"/>
      <c r="K862" s="244"/>
      <c r="L862" s="244"/>
      <c r="M862" s="244"/>
      <c r="N862" s="244"/>
      <c r="O862" s="244"/>
      <c r="P862" s="244"/>
      <c r="Q862" s="244"/>
      <c r="R862" s="244"/>
      <c r="S862" s="244"/>
      <c r="T862" s="244"/>
      <c r="U862" s="244"/>
      <c r="V862" s="244"/>
      <c r="W862" s="244"/>
      <c r="X862" s="244"/>
      <c r="Y862" s="244"/>
      <c r="Z862" s="244"/>
    </row>
    <row r="863">
      <c r="A863" s="244"/>
      <c r="B863" s="244"/>
      <c r="C863" s="244"/>
      <c r="D863" s="244"/>
      <c r="E863" s="244"/>
      <c r="F863" s="244"/>
      <c r="G863" s="244"/>
      <c r="H863" s="244"/>
      <c r="I863" s="244"/>
      <c r="J863" s="244"/>
      <c r="K863" s="244"/>
      <c r="L863" s="244"/>
      <c r="M863" s="244"/>
      <c r="N863" s="244"/>
      <c r="O863" s="244"/>
      <c r="P863" s="244"/>
      <c r="Q863" s="244"/>
      <c r="R863" s="244"/>
      <c r="S863" s="244"/>
      <c r="T863" s="244"/>
      <c r="U863" s="244"/>
      <c r="V863" s="244"/>
      <c r="W863" s="244"/>
      <c r="X863" s="244"/>
      <c r="Y863" s="244"/>
      <c r="Z863" s="244"/>
    </row>
    <row r="864">
      <c r="A864" s="244"/>
      <c r="B864" s="244"/>
      <c r="C864" s="244"/>
      <c r="D864" s="244"/>
      <c r="E864" s="244"/>
      <c r="F864" s="244"/>
      <c r="G864" s="244"/>
      <c r="H864" s="244"/>
      <c r="I864" s="244"/>
      <c r="J864" s="244"/>
      <c r="K864" s="244"/>
      <c r="L864" s="244"/>
      <c r="M864" s="244"/>
      <c r="N864" s="244"/>
      <c r="O864" s="244"/>
      <c r="P864" s="244"/>
      <c r="Q864" s="244"/>
      <c r="R864" s="244"/>
      <c r="S864" s="244"/>
      <c r="T864" s="244"/>
      <c r="U864" s="244"/>
      <c r="V864" s="244"/>
      <c r="W864" s="244"/>
      <c r="X864" s="244"/>
      <c r="Y864" s="244"/>
      <c r="Z864" s="244"/>
    </row>
    <row r="865">
      <c r="A865" s="244"/>
      <c r="B865" s="244"/>
      <c r="C865" s="244"/>
      <c r="D865" s="244"/>
      <c r="E865" s="244"/>
      <c r="F865" s="244"/>
      <c r="G865" s="244"/>
      <c r="H865" s="244"/>
      <c r="I865" s="244"/>
      <c r="J865" s="244"/>
      <c r="K865" s="244"/>
      <c r="L865" s="244"/>
      <c r="M865" s="244"/>
      <c r="N865" s="244"/>
      <c r="O865" s="244"/>
      <c r="P865" s="244"/>
      <c r="Q865" s="244"/>
      <c r="R865" s="244"/>
      <c r="S865" s="244"/>
      <c r="T865" s="244"/>
      <c r="U865" s="244"/>
      <c r="V865" s="244"/>
      <c r="W865" s="244"/>
      <c r="X865" s="244"/>
      <c r="Y865" s="244"/>
      <c r="Z865" s="244"/>
    </row>
    <row r="866">
      <c r="A866" s="244"/>
      <c r="B866" s="244"/>
      <c r="C866" s="244"/>
      <c r="D866" s="244"/>
      <c r="E866" s="244"/>
      <c r="F866" s="244"/>
      <c r="G866" s="244"/>
      <c r="H866" s="244"/>
      <c r="I866" s="244"/>
      <c r="J866" s="244"/>
      <c r="K866" s="244"/>
      <c r="L866" s="244"/>
      <c r="M866" s="244"/>
      <c r="N866" s="244"/>
      <c r="O866" s="244"/>
      <c r="P866" s="244"/>
      <c r="Q866" s="244"/>
      <c r="R866" s="244"/>
      <c r="S866" s="244"/>
      <c r="T866" s="244"/>
      <c r="U866" s="244"/>
      <c r="V866" s="244"/>
      <c r="W866" s="244"/>
      <c r="X866" s="244"/>
      <c r="Y866" s="244"/>
      <c r="Z866" s="244"/>
    </row>
    <row r="867">
      <c r="A867" s="244"/>
      <c r="B867" s="244"/>
      <c r="C867" s="244"/>
      <c r="D867" s="244"/>
      <c r="E867" s="244"/>
      <c r="F867" s="244"/>
      <c r="G867" s="244"/>
      <c r="H867" s="244"/>
      <c r="I867" s="244"/>
      <c r="J867" s="244"/>
      <c r="K867" s="244"/>
      <c r="L867" s="244"/>
      <c r="M867" s="244"/>
      <c r="N867" s="244"/>
      <c r="O867" s="244"/>
      <c r="P867" s="244"/>
      <c r="Q867" s="244"/>
      <c r="R867" s="244"/>
      <c r="S867" s="244"/>
      <c r="T867" s="244"/>
      <c r="U867" s="244"/>
      <c r="V867" s="244"/>
      <c r="W867" s="244"/>
      <c r="X867" s="244"/>
      <c r="Y867" s="244"/>
      <c r="Z867" s="244"/>
    </row>
    <row r="868">
      <c r="A868" s="244"/>
      <c r="B868" s="244"/>
      <c r="C868" s="244"/>
      <c r="D868" s="244"/>
      <c r="E868" s="244"/>
      <c r="F868" s="244"/>
      <c r="G868" s="244"/>
      <c r="H868" s="244"/>
      <c r="I868" s="244"/>
      <c r="J868" s="244"/>
      <c r="K868" s="244"/>
      <c r="L868" s="244"/>
      <c r="M868" s="244"/>
      <c r="N868" s="244"/>
      <c r="O868" s="244"/>
      <c r="P868" s="244"/>
      <c r="Q868" s="244"/>
      <c r="R868" s="244"/>
      <c r="S868" s="244"/>
      <c r="T868" s="244"/>
      <c r="U868" s="244"/>
      <c r="V868" s="244"/>
      <c r="W868" s="244"/>
      <c r="X868" s="244"/>
      <c r="Y868" s="244"/>
      <c r="Z868" s="244"/>
    </row>
    <row r="869">
      <c r="A869" s="244"/>
      <c r="B869" s="244"/>
      <c r="C869" s="244"/>
      <c r="D869" s="244"/>
      <c r="E869" s="244"/>
      <c r="F869" s="244"/>
      <c r="G869" s="244"/>
      <c r="H869" s="244"/>
      <c r="I869" s="244"/>
      <c r="J869" s="244"/>
      <c r="K869" s="244"/>
      <c r="L869" s="244"/>
      <c r="M869" s="244"/>
      <c r="N869" s="244"/>
      <c r="O869" s="244"/>
      <c r="P869" s="244"/>
      <c r="Q869" s="244"/>
      <c r="R869" s="244"/>
      <c r="S869" s="244"/>
      <c r="T869" s="244"/>
      <c r="U869" s="244"/>
      <c r="V869" s="244"/>
      <c r="W869" s="244"/>
      <c r="X869" s="244"/>
      <c r="Y869" s="244"/>
      <c r="Z869" s="244"/>
    </row>
    <row r="870">
      <c r="A870" s="244"/>
      <c r="B870" s="244"/>
      <c r="C870" s="244"/>
      <c r="D870" s="244"/>
      <c r="E870" s="244"/>
      <c r="F870" s="244"/>
      <c r="G870" s="244"/>
      <c r="H870" s="244"/>
      <c r="I870" s="244"/>
      <c r="J870" s="244"/>
      <c r="K870" s="244"/>
      <c r="L870" s="244"/>
      <c r="M870" s="244"/>
      <c r="N870" s="244"/>
      <c r="O870" s="244"/>
      <c r="P870" s="244"/>
      <c r="Q870" s="244"/>
      <c r="R870" s="244"/>
      <c r="S870" s="244"/>
      <c r="T870" s="244"/>
      <c r="U870" s="244"/>
      <c r="V870" s="244"/>
      <c r="W870" s="244"/>
      <c r="X870" s="244"/>
      <c r="Y870" s="244"/>
      <c r="Z870" s="244"/>
    </row>
    <row r="871">
      <c r="A871" s="244"/>
      <c r="B871" s="244"/>
      <c r="C871" s="244"/>
      <c r="D871" s="244"/>
      <c r="E871" s="244"/>
      <c r="F871" s="244"/>
      <c r="G871" s="244"/>
      <c r="H871" s="244"/>
      <c r="I871" s="244"/>
      <c r="J871" s="244"/>
      <c r="K871" s="244"/>
      <c r="L871" s="244"/>
      <c r="M871" s="244"/>
      <c r="N871" s="244"/>
      <c r="O871" s="244"/>
      <c r="P871" s="244"/>
      <c r="Q871" s="244"/>
      <c r="R871" s="244"/>
      <c r="S871" s="244"/>
      <c r="T871" s="244"/>
      <c r="U871" s="244"/>
      <c r="V871" s="244"/>
      <c r="W871" s="244"/>
      <c r="X871" s="244"/>
      <c r="Y871" s="244"/>
      <c r="Z871" s="244"/>
    </row>
    <row r="872">
      <c r="A872" s="244"/>
      <c r="B872" s="244"/>
      <c r="C872" s="244"/>
      <c r="D872" s="244"/>
      <c r="E872" s="244"/>
      <c r="F872" s="244"/>
      <c r="G872" s="244"/>
      <c r="H872" s="244"/>
      <c r="I872" s="244"/>
      <c r="J872" s="244"/>
      <c r="K872" s="244"/>
      <c r="L872" s="244"/>
      <c r="M872" s="244"/>
      <c r="N872" s="244"/>
      <c r="O872" s="244"/>
      <c r="P872" s="244"/>
      <c r="Q872" s="244"/>
      <c r="R872" s="244"/>
      <c r="S872" s="244"/>
      <c r="T872" s="244"/>
      <c r="U872" s="244"/>
      <c r="V872" s="244"/>
      <c r="W872" s="244"/>
      <c r="X872" s="244"/>
      <c r="Y872" s="244"/>
      <c r="Z872" s="244"/>
    </row>
    <row r="873">
      <c r="A873" s="244"/>
      <c r="B873" s="244"/>
      <c r="C873" s="244"/>
      <c r="D873" s="244"/>
      <c r="E873" s="244"/>
      <c r="F873" s="244"/>
      <c r="G873" s="244"/>
      <c r="H873" s="244"/>
      <c r="I873" s="244"/>
      <c r="J873" s="244"/>
      <c r="K873" s="244"/>
      <c r="L873" s="244"/>
      <c r="M873" s="244"/>
      <c r="N873" s="244"/>
      <c r="O873" s="244"/>
      <c r="P873" s="244"/>
      <c r="Q873" s="244"/>
      <c r="R873" s="244"/>
      <c r="S873" s="244"/>
      <c r="T873" s="244"/>
      <c r="U873" s="244"/>
      <c r="V873" s="244"/>
      <c r="W873" s="244"/>
      <c r="X873" s="244"/>
      <c r="Y873" s="244"/>
      <c r="Z873" s="244"/>
    </row>
    <row r="874">
      <c r="A874" s="244"/>
      <c r="B874" s="244"/>
      <c r="C874" s="244"/>
      <c r="D874" s="244"/>
      <c r="E874" s="244"/>
      <c r="F874" s="244"/>
      <c r="G874" s="244"/>
      <c r="H874" s="244"/>
      <c r="I874" s="244"/>
      <c r="J874" s="244"/>
      <c r="K874" s="244"/>
      <c r="L874" s="244"/>
      <c r="M874" s="244"/>
      <c r="N874" s="244"/>
      <c r="O874" s="244"/>
      <c r="P874" s="244"/>
      <c r="Q874" s="244"/>
      <c r="R874" s="244"/>
      <c r="S874" s="244"/>
      <c r="T874" s="244"/>
      <c r="U874" s="244"/>
      <c r="V874" s="244"/>
      <c r="W874" s="244"/>
      <c r="X874" s="244"/>
      <c r="Y874" s="244"/>
      <c r="Z874" s="244"/>
    </row>
    <row r="875">
      <c r="A875" s="244"/>
      <c r="B875" s="244"/>
      <c r="C875" s="244"/>
      <c r="D875" s="244"/>
      <c r="E875" s="244"/>
      <c r="F875" s="244"/>
      <c r="G875" s="244"/>
      <c r="H875" s="244"/>
      <c r="I875" s="244"/>
      <c r="J875" s="244"/>
      <c r="K875" s="244"/>
      <c r="L875" s="244"/>
      <c r="M875" s="244"/>
      <c r="N875" s="244"/>
      <c r="O875" s="244"/>
      <c r="P875" s="244"/>
      <c r="Q875" s="244"/>
      <c r="R875" s="244"/>
      <c r="S875" s="244"/>
      <c r="T875" s="244"/>
      <c r="U875" s="244"/>
      <c r="V875" s="244"/>
      <c r="W875" s="244"/>
      <c r="X875" s="244"/>
      <c r="Y875" s="244"/>
      <c r="Z875" s="244"/>
    </row>
    <row r="876">
      <c r="A876" s="244"/>
      <c r="B876" s="244"/>
      <c r="C876" s="244"/>
      <c r="D876" s="244"/>
      <c r="E876" s="244"/>
      <c r="F876" s="244"/>
      <c r="G876" s="244"/>
      <c r="H876" s="244"/>
      <c r="I876" s="244"/>
      <c r="J876" s="244"/>
      <c r="K876" s="244"/>
      <c r="L876" s="244"/>
      <c r="M876" s="244"/>
      <c r="N876" s="244"/>
      <c r="O876" s="244"/>
      <c r="P876" s="244"/>
      <c r="Q876" s="244"/>
      <c r="R876" s="244"/>
      <c r="S876" s="244"/>
      <c r="T876" s="244"/>
      <c r="U876" s="244"/>
      <c r="V876" s="244"/>
      <c r="W876" s="244"/>
      <c r="X876" s="244"/>
      <c r="Y876" s="244"/>
      <c r="Z876" s="244"/>
    </row>
    <row r="877">
      <c r="A877" s="244"/>
      <c r="B877" s="244"/>
      <c r="C877" s="244"/>
      <c r="D877" s="244"/>
      <c r="E877" s="244"/>
      <c r="F877" s="244"/>
      <c r="G877" s="244"/>
      <c r="H877" s="244"/>
      <c r="I877" s="244"/>
      <c r="J877" s="244"/>
      <c r="K877" s="244"/>
      <c r="L877" s="244"/>
      <c r="M877" s="244"/>
      <c r="N877" s="244"/>
      <c r="O877" s="244"/>
      <c r="P877" s="244"/>
      <c r="Q877" s="244"/>
      <c r="R877" s="244"/>
      <c r="S877" s="244"/>
      <c r="T877" s="244"/>
      <c r="U877" s="244"/>
      <c r="V877" s="244"/>
      <c r="W877" s="244"/>
      <c r="X877" s="244"/>
      <c r="Y877" s="244"/>
      <c r="Z877" s="244"/>
    </row>
    <row r="878">
      <c r="A878" s="244"/>
      <c r="B878" s="244"/>
      <c r="C878" s="244"/>
      <c r="D878" s="244"/>
      <c r="E878" s="244"/>
      <c r="F878" s="244"/>
      <c r="G878" s="244"/>
      <c r="H878" s="244"/>
      <c r="I878" s="244"/>
      <c r="J878" s="244"/>
      <c r="K878" s="244"/>
      <c r="L878" s="244"/>
      <c r="M878" s="244"/>
      <c r="N878" s="244"/>
      <c r="O878" s="244"/>
      <c r="P878" s="244"/>
      <c r="Q878" s="244"/>
      <c r="R878" s="244"/>
      <c r="S878" s="244"/>
      <c r="T878" s="244"/>
      <c r="U878" s="244"/>
      <c r="V878" s="244"/>
      <c r="W878" s="244"/>
      <c r="X878" s="244"/>
      <c r="Y878" s="244"/>
      <c r="Z878" s="244"/>
    </row>
    <row r="879">
      <c r="A879" s="244"/>
      <c r="B879" s="244"/>
      <c r="C879" s="244"/>
      <c r="D879" s="244"/>
      <c r="E879" s="244"/>
      <c r="F879" s="244"/>
      <c r="G879" s="244"/>
      <c r="H879" s="244"/>
      <c r="I879" s="244"/>
      <c r="J879" s="244"/>
      <c r="K879" s="244"/>
      <c r="L879" s="244"/>
      <c r="M879" s="244"/>
      <c r="N879" s="244"/>
      <c r="O879" s="244"/>
      <c r="P879" s="244"/>
      <c r="Q879" s="244"/>
      <c r="R879" s="244"/>
      <c r="S879" s="244"/>
      <c r="T879" s="244"/>
      <c r="U879" s="244"/>
      <c r="V879" s="244"/>
      <c r="W879" s="244"/>
      <c r="X879" s="244"/>
      <c r="Y879" s="244"/>
      <c r="Z879" s="244"/>
    </row>
    <row r="880">
      <c r="A880" s="244"/>
      <c r="B880" s="244"/>
      <c r="C880" s="244"/>
      <c r="D880" s="244"/>
      <c r="E880" s="244"/>
      <c r="F880" s="244"/>
      <c r="G880" s="244"/>
      <c r="H880" s="244"/>
      <c r="I880" s="244"/>
      <c r="J880" s="244"/>
      <c r="K880" s="244"/>
      <c r="L880" s="244"/>
      <c r="M880" s="244"/>
      <c r="N880" s="244"/>
      <c r="O880" s="244"/>
      <c r="P880" s="244"/>
      <c r="Q880" s="244"/>
      <c r="R880" s="244"/>
      <c r="S880" s="244"/>
      <c r="T880" s="244"/>
      <c r="U880" s="244"/>
      <c r="V880" s="244"/>
      <c r="W880" s="244"/>
      <c r="X880" s="244"/>
      <c r="Y880" s="244"/>
      <c r="Z880" s="244"/>
    </row>
    <row r="881">
      <c r="A881" s="244"/>
      <c r="B881" s="244"/>
      <c r="C881" s="244"/>
      <c r="D881" s="244"/>
      <c r="E881" s="244"/>
      <c r="F881" s="244"/>
      <c r="G881" s="244"/>
      <c r="H881" s="244"/>
      <c r="I881" s="244"/>
      <c r="J881" s="244"/>
      <c r="K881" s="244"/>
      <c r="L881" s="244"/>
      <c r="M881" s="244"/>
      <c r="N881" s="244"/>
      <c r="O881" s="244"/>
      <c r="P881" s="244"/>
      <c r="Q881" s="244"/>
      <c r="R881" s="244"/>
      <c r="S881" s="244"/>
      <c r="T881" s="244"/>
      <c r="U881" s="244"/>
      <c r="V881" s="244"/>
      <c r="W881" s="244"/>
      <c r="X881" s="244"/>
      <c r="Y881" s="244"/>
      <c r="Z881" s="244"/>
    </row>
    <row r="882">
      <c r="A882" s="244"/>
      <c r="B882" s="244"/>
      <c r="C882" s="244"/>
      <c r="D882" s="244"/>
      <c r="E882" s="244"/>
      <c r="F882" s="244"/>
      <c r="G882" s="244"/>
      <c r="H882" s="244"/>
      <c r="I882" s="244"/>
      <c r="J882" s="244"/>
      <c r="K882" s="244"/>
      <c r="L882" s="244"/>
      <c r="M882" s="244"/>
      <c r="N882" s="244"/>
      <c r="O882" s="244"/>
      <c r="P882" s="244"/>
      <c r="Q882" s="244"/>
      <c r="R882" s="244"/>
      <c r="S882" s="244"/>
      <c r="T882" s="244"/>
      <c r="U882" s="244"/>
      <c r="V882" s="244"/>
      <c r="W882" s="244"/>
      <c r="X882" s="244"/>
      <c r="Y882" s="244"/>
      <c r="Z882" s="244"/>
    </row>
    <row r="883">
      <c r="A883" s="244"/>
      <c r="B883" s="244"/>
      <c r="C883" s="244"/>
      <c r="D883" s="244"/>
      <c r="E883" s="244"/>
      <c r="F883" s="244"/>
      <c r="G883" s="244"/>
      <c r="H883" s="244"/>
      <c r="I883" s="244"/>
      <c r="J883" s="244"/>
      <c r="K883" s="244"/>
      <c r="L883" s="244"/>
      <c r="M883" s="244"/>
      <c r="N883" s="244"/>
      <c r="O883" s="244"/>
      <c r="P883" s="244"/>
      <c r="Q883" s="244"/>
      <c r="R883" s="244"/>
      <c r="S883" s="244"/>
      <c r="T883" s="244"/>
      <c r="U883" s="244"/>
      <c r="V883" s="244"/>
      <c r="W883" s="244"/>
      <c r="X883" s="244"/>
      <c r="Y883" s="244"/>
      <c r="Z883" s="244"/>
    </row>
    <row r="884">
      <c r="A884" s="244"/>
      <c r="B884" s="244"/>
      <c r="C884" s="244"/>
      <c r="D884" s="244"/>
      <c r="E884" s="244"/>
      <c r="F884" s="244"/>
      <c r="G884" s="244"/>
      <c r="H884" s="244"/>
      <c r="I884" s="244"/>
      <c r="J884" s="244"/>
      <c r="K884" s="244"/>
      <c r="L884" s="244"/>
      <c r="M884" s="244"/>
      <c r="N884" s="244"/>
      <c r="O884" s="244"/>
      <c r="P884" s="244"/>
      <c r="Q884" s="244"/>
      <c r="R884" s="244"/>
      <c r="S884" s="244"/>
      <c r="T884" s="244"/>
      <c r="U884" s="244"/>
      <c r="V884" s="244"/>
      <c r="W884" s="244"/>
      <c r="X884" s="244"/>
      <c r="Y884" s="244"/>
      <c r="Z884" s="244"/>
    </row>
    <row r="885">
      <c r="A885" s="244"/>
      <c r="B885" s="244"/>
      <c r="C885" s="244"/>
      <c r="D885" s="244"/>
      <c r="E885" s="244"/>
      <c r="F885" s="244"/>
      <c r="G885" s="244"/>
      <c r="H885" s="244"/>
      <c r="I885" s="244"/>
      <c r="J885" s="244"/>
      <c r="K885" s="244"/>
      <c r="L885" s="244"/>
      <c r="M885" s="244"/>
      <c r="N885" s="244"/>
      <c r="O885" s="244"/>
      <c r="P885" s="244"/>
      <c r="Q885" s="244"/>
      <c r="R885" s="244"/>
      <c r="S885" s="244"/>
      <c r="T885" s="244"/>
      <c r="U885" s="244"/>
      <c r="V885" s="244"/>
      <c r="W885" s="244"/>
      <c r="X885" s="244"/>
      <c r="Y885" s="244"/>
      <c r="Z885" s="244"/>
    </row>
    <row r="886">
      <c r="A886" s="244"/>
      <c r="B886" s="244"/>
      <c r="C886" s="244"/>
      <c r="D886" s="244"/>
      <c r="E886" s="244"/>
      <c r="F886" s="244"/>
      <c r="G886" s="244"/>
      <c r="H886" s="244"/>
      <c r="I886" s="244"/>
      <c r="J886" s="244"/>
      <c r="K886" s="244"/>
      <c r="L886" s="244"/>
      <c r="M886" s="244"/>
      <c r="N886" s="244"/>
      <c r="O886" s="244"/>
      <c r="P886" s="244"/>
      <c r="Q886" s="244"/>
      <c r="R886" s="244"/>
      <c r="S886" s="244"/>
      <c r="T886" s="244"/>
      <c r="U886" s="244"/>
      <c r="V886" s="244"/>
      <c r="W886" s="244"/>
      <c r="X886" s="244"/>
      <c r="Y886" s="244"/>
      <c r="Z886" s="244"/>
    </row>
    <row r="887">
      <c r="A887" s="244"/>
      <c r="B887" s="244"/>
      <c r="C887" s="244"/>
      <c r="D887" s="244"/>
      <c r="E887" s="244"/>
      <c r="F887" s="244"/>
      <c r="G887" s="244"/>
      <c r="H887" s="244"/>
      <c r="I887" s="244"/>
      <c r="J887" s="244"/>
      <c r="K887" s="244"/>
      <c r="L887" s="244"/>
      <c r="M887" s="244"/>
      <c r="N887" s="244"/>
      <c r="O887" s="244"/>
      <c r="P887" s="244"/>
      <c r="Q887" s="244"/>
      <c r="R887" s="244"/>
      <c r="S887" s="244"/>
      <c r="T887" s="244"/>
      <c r="U887" s="244"/>
      <c r="V887" s="244"/>
      <c r="W887" s="244"/>
      <c r="X887" s="244"/>
      <c r="Y887" s="244"/>
      <c r="Z887" s="244"/>
    </row>
    <row r="888">
      <c r="A888" s="244"/>
      <c r="B888" s="244"/>
      <c r="C888" s="244"/>
      <c r="D888" s="244"/>
      <c r="E888" s="244"/>
      <c r="F888" s="244"/>
      <c r="G888" s="244"/>
      <c r="H888" s="244"/>
      <c r="I888" s="244"/>
      <c r="J888" s="244"/>
      <c r="K888" s="244"/>
      <c r="L888" s="244"/>
      <c r="M888" s="244"/>
      <c r="N888" s="244"/>
      <c r="O888" s="244"/>
      <c r="P888" s="244"/>
      <c r="Q888" s="244"/>
      <c r="R888" s="244"/>
      <c r="S888" s="244"/>
      <c r="T888" s="244"/>
      <c r="U888" s="244"/>
      <c r="V888" s="244"/>
      <c r="W888" s="244"/>
      <c r="X888" s="244"/>
      <c r="Y888" s="244"/>
      <c r="Z888" s="244"/>
    </row>
    <row r="889">
      <c r="A889" s="244"/>
      <c r="B889" s="244"/>
      <c r="C889" s="244"/>
      <c r="D889" s="244"/>
      <c r="E889" s="244"/>
      <c r="F889" s="244"/>
      <c r="G889" s="244"/>
      <c r="H889" s="244"/>
      <c r="I889" s="244"/>
      <c r="J889" s="244"/>
      <c r="K889" s="244"/>
      <c r="L889" s="244"/>
      <c r="M889" s="244"/>
      <c r="N889" s="244"/>
      <c r="O889" s="244"/>
      <c r="P889" s="244"/>
      <c r="Q889" s="244"/>
      <c r="R889" s="244"/>
      <c r="S889" s="244"/>
      <c r="T889" s="244"/>
      <c r="U889" s="244"/>
      <c r="V889" s="244"/>
      <c r="W889" s="244"/>
      <c r="X889" s="244"/>
      <c r="Y889" s="244"/>
      <c r="Z889" s="244"/>
    </row>
    <row r="890">
      <c r="A890" s="244"/>
      <c r="B890" s="244"/>
      <c r="C890" s="244"/>
      <c r="D890" s="244"/>
      <c r="E890" s="244"/>
      <c r="F890" s="244"/>
      <c r="G890" s="244"/>
      <c r="H890" s="244"/>
      <c r="I890" s="244"/>
      <c r="J890" s="244"/>
      <c r="K890" s="244"/>
      <c r="L890" s="244"/>
      <c r="M890" s="244"/>
      <c r="N890" s="244"/>
      <c r="O890" s="244"/>
      <c r="P890" s="244"/>
      <c r="Q890" s="244"/>
      <c r="R890" s="244"/>
      <c r="S890" s="244"/>
      <c r="T890" s="244"/>
      <c r="U890" s="244"/>
      <c r="V890" s="244"/>
      <c r="W890" s="244"/>
      <c r="X890" s="244"/>
      <c r="Y890" s="244"/>
      <c r="Z890" s="244"/>
    </row>
    <row r="891">
      <c r="A891" s="244"/>
      <c r="B891" s="244"/>
      <c r="C891" s="244"/>
      <c r="D891" s="244"/>
      <c r="E891" s="244"/>
      <c r="F891" s="244"/>
      <c r="G891" s="244"/>
      <c r="H891" s="244"/>
      <c r="I891" s="244"/>
      <c r="J891" s="244"/>
      <c r="K891" s="244"/>
      <c r="L891" s="244"/>
      <c r="M891" s="244"/>
      <c r="N891" s="244"/>
      <c r="O891" s="244"/>
      <c r="P891" s="244"/>
      <c r="Q891" s="244"/>
      <c r="R891" s="244"/>
      <c r="S891" s="244"/>
      <c r="T891" s="244"/>
      <c r="U891" s="244"/>
      <c r="V891" s="244"/>
      <c r="W891" s="244"/>
      <c r="X891" s="244"/>
      <c r="Y891" s="244"/>
      <c r="Z891" s="244"/>
    </row>
    <row r="892">
      <c r="A892" s="244"/>
      <c r="B892" s="244"/>
      <c r="C892" s="244"/>
      <c r="D892" s="244"/>
      <c r="E892" s="244"/>
      <c r="F892" s="244"/>
      <c r="G892" s="244"/>
      <c r="H892" s="244"/>
      <c r="I892" s="244"/>
      <c r="J892" s="244"/>
      <c r="K892" s="244"/>
      <c r="L892" s="244"/>
      <c r="M892" s="244"/>
      <c r="N892" s="244"/>
      <c r="O892" s="244"/>
      <c r="P892" s="244"/>
      <c r="Q892" s="244"/>
      <c r="R892" s="244"/>
      <c r="S892" s="244"/>
      <c r="T892" s="244"/>
      <c r="U892" s="244"/>
      <c r="V892" s="244"/>
      <c r="W892" s="244"/>
      <c r="X892" s="244"/>
      <c r="Y892" s="244"/>
      <c r="Z892" s="244"/>
    </row>
    <row r="893">
      <c r="A893" s="244"/>
      <c r="B893" s="244"/>
      <c r="C893" s="244"/>
      <c r="D893" s="244"/>
      <c r="E893" s="244"/>
      <c r="F893" s="244"/>
      <c r="G893" s="244"/>
      <c r="H893" s="244"/>
      <c r="I893" s="244"/>
      <c r="J893" s="244"/>
      <c r="K893" s="244"/>
      <c r="L893" s="244"/>
      <c r="M893" s="244"/>
      <c r="N893" s="244"/>
      <c r="O893" s="244"/>
      <c r="P893" s="244"/>
      <c r="Q893" s="244"/>
      <c r="R893" s="244"/>
      <c r="S893" s="244"/>
      <c r="T893" s="244"/>
      <c r="U893" s="244"/>
      <c r="V893" s="244"/>
      <c r="W893" s="244"/>
      <c r="X893" s="244"/>
      <c r="Y893" s="244"/>
      <c r="Z893" s="244"/>
    </row>
    <row r="894">
      <c r="A894" s="244"/>
      <c r="B894" s="244"/>
      <c r="C894" s="244"/>
      <c r="D894" s="244"/>
      <c r="E894" s="244"/>
      <c r="F894" s="244"/>
      <c r="G894" s="244"/>
      <c r="H894" s="244"/>
      <c r="I894" s="244"/>
      <c r="J894" s="244"/>
      <c r="K894" s="244"/>
      <c r="L894" s="244"/>
      <c r="M894" s="244"/>
      <c r="N894" s="244"/>
      <c r="O894" s="244"/>
      <c r="P894" s="244"/>
      <c r="Q894" s="244"/>
      <c r="R894" s="244"/>
      <c r="S894" s="244"/>
      <c r="T894" s="244"/>
      <c r="U894" s="244"/>
      <c r="V894" s="244"/>
      <c r="W894" s="244"/>
      <c r="X894" s="244"/>
      <c r="Y894" s="244"/>
      <c r="Z894" s="244"/>
    </row>
    <row r="895">
      <c r="A895" s="244"/>
      <c r="B895" s="244"/>
      <c r="C895" s="244"/>
      <c r="D895" s="244"/>
      <c r="E895" s="244"/>
      <c r="F895" s="244"/>
      <c r="G895" s="244"/>
      <c r="H895" s="244"/>
      <c r="I895" s="244"/>
      <c r="J895" s="244"/>
      <c r="K895" s="244"/>
      <c r="L895" s="244"/>
      <c r="M895" s="244"/>
      <c r="N895" s="244"/>
      <c r="O895" s="244"/>
      <c r="P895" s="244"/>
      <c r="Q895" s="244"/>
      <c r="R895" s="244"/>
      <c r="S895" s="244"/>
      <c r="T895" s="244"/>
      <c r="U895" s="244"/>
      <c r="V895" s="244"/>
      <c r="W895" s="244"/>
      <c r="X895" s="244"/>
      <c r="Y895" s="244"/>
      <c r="Z895" s="244"/>
    </row>
    <row r="896">
      <c r="A896" s="244"/>
      <c r="B896" s="244"/>
      <c r="C896" s="244"/>
      <c r="D896" s="244"/>
      <c r="E896" s="244"/>
      <c r="F896" s="244"/>
      <c r="G896" s="244"/>
      <c r="H896" s="244"/>
      <c r="I896" s="244"/>
      <c r="J896" s="244"/>
      <c r="K896" s="244"/>
      <c r="L896" s="244"/>
      <c r="M896" s="244"/>
      <c r="N896" s="244"/>
      <c r="O896" s="244"/>
      <c r="P896" s="244"/>
      <c r="Q896" s="244"/>
      <c r="R896" s="244"/>
      <c r="S896" s="244"/>
      <c r="T896" s="244"/>
      <c r="U896" s="244"/>
      <c r="V896" s="244"/>
      <c r="W896" s="244"/>
      <c r="X896" s="244"/>
      <c r="Y896" s="244"/>
      <c r="Z896" s="244"/>
    </row>
    <row r="897">
      <c r="A897" s="244"/>
      <c r="B897" s="244"/>
      <c r="C897" s="244"/>
      <c r="D897" s="244"/>
      <c r="E897" s="244"/>
      <c r="F897" s="244"/>
      <c r="G897" s="244"/>
      <c r="H897" s="244"/>
      <c r="I897" s="244"/>
      <c r="J897" s="244"/>
      <c r="K897" s="244"/>
      <c r="L897" s="244"/>
      <c r="M897" s="244"/>
      <c r="N897" s="244"/>
      <c r="O897" s="244"/>
      <c r="P897" s="244"/>
      <c r="Q897" s="244"/>
      <c r="R897" s="244"/>
      <c r="S897" s="244"/>
      <c r="T897" s="244"/>
      <c r="U897" s="244"/>
      <c r="V897" s="244"/>
      <c r="W897" s="244"/>
      <c r="X897" s="244"/>
      <c r="Y897" s="244"/>
      <c r="Z897" s="244"/>
    </row>
    <row r="898">
      <c r="A898" s="244"/>
      <c r="B898" s="244"/>
      <c r="C898" s="244"/>
      <c r="D898" s="244"/>
      <c r="E898" s="244"/>
      <c r="F898" s="244"/>
      <c r="G898" s="244"/>
      <c r="H898" s="244"/>
      <c r="I898" s="244"/>
      <c r="J898" s="244"/>
      <c r="K898" s="244"/>
      <c r="L898" s="244"/>
      <c r="M898" s="244"/>
      <c r="N898" s="244"/>
      <c r="O898" s="244"/>
      <c r="P898" s="244"/>
      <c r="Q898" s="244"/>
      <c r="R898" s="244"/>
      <c r="S898" s="244"/>
      <c r="T898" s="244"/>
      <c r="U898" s="244"/>
      <c r="V898" s="244"/>
      <c r="W898" s="244"/>
      <c r="X898" s="244"/>
      <c r="Y898" s="244"/>
      <c r="Z898" s="244"/>
    </row>
    <row r="899">
      <c r="A899" s="244"/>
      <c r="B899" s="244"/>
      <c r="C899" s="244"/>
      <c r="D899" s="244"/>
      <c r="E899" s="244"/>
      <c r="F899" s="244"/>
      <c r="G899" s="244"/>
      <c r="H899" s="244"/>
      <c r="I899" s="244"/>
      <c r="J899" s="244"/>
      <c r="K899" s="244"/>
      <c r="L899" s="244"/>
      <c r="M899" s="244"/>
      <c r="N899" s="244"/>
      <c r="O899" s="244"/>
      <c r="P899" s="244"/>
      <c r="Q899" s="244"/>
      <c r="R899" s="244"/>
      <c r="S899" s="244"/>
      <c r="T899" s="244"/>
      <c r="U899" s="244"/>
      <c r="V899" s="244"/>
      <c r="W899" s="244"/>
      <c r="X899" s="244"/>
      <c r="Y899" s="244"/>
      <c r="Z899" s="244"/>
    </row>
    <row r="900">
      <c r="A900" s="244"/>
      <c r="B900" s="244"/>
      <c r="C900" s="244"/>
      <c r="D900" s="244"/>
      <c r="E900" s="244"/>
      <c r="F900" s="244"/>
      <c r="G900" s="244"/>
      <c r="H900" s="244"/>
      <c r="I900" s="244"/>
      <c r="J900" s="244"/>
      <c r="K900" s="244"/>
      <c r="L900" s="244"/>
      <c r="M900" s="244"/>
      <c r="N900" s="244"/>
      <c r="O900" s="244"/>
      <c r="P900" s="244"/>
      <c r="Q900" s="244"/>
      <c r="R900" s="244"/>
      <c r="S900" s="244"/>
      <c r="T900" s="244"/>
      <c r="U900" s="244"/>
      <c r="V900" s="244"/>
      <c r="W900" s="244"/>
      <c r="X900" s="244"/>
      <c r="Y900" s="244"/>
      <c r="Z900" s="244"/>
    </row>
    <row r="901">
      <c r="A901" s="244"/>
      <c r="B901" s="244"/>
      <c r="C901" s="244"/>
      <c r="D901" s="244"/>
      <c r="E901" s="244"/>
      <c r="F901" s="244"/>
      <c r="G901" s="244"/>
      <c r="H901" s="244"/>
      <c r="I901" s="244"/>
      <c r="J901" s="244"/>
      <c r="K901" s="244"/>
      <c r="L901" s="244"/>
      <c r="M901" s="244"/>
      <c r="N901" s="244"/>
      <c r="O901" s="244"/>
      <c r="P901" s="244"/>
      <c r="Q901" s="244"/>
      <c r="R901" s="244"/>
      <c r="S901" s="244"/>
      <c r="T901" s="244"/>
      <c r="U901" s="244"/>
      <c r="V901" s="244"/>
      <c r="W901" s="244"/>
      <c r="X901" s="244"/>
      <c r="Y901" s="244"/>
      <c r="Z901" s="244"/>
    </row>
    <row r="902">
      <c r="A902" s="244"/>
      <c r="B902" s="244"/>
      <c r="C902" s="244"/>
      <c r="D902" s="244"/>
      <c r="E902" s="244"/>
      <c r="F902" s="244"/>
      <c r="G902" s="244"/>
      <c r="H902" s="244"/>
      <c r="I902" s="244"/>
      <c r="J902" s="244"/>
      <c r="K902" s="244"/>
      <c r="L902" s="244"/>
      <c r="M902" s="244"/>
      <c r="N902" s="244"/>
      <c r="O902" s="244"/>
      <c r="P902" s="244"/>
      <c r="Q902" s="244"/>
      <c r="R902" s="244"/>
      <c r="S902" s="244"/>
      <c r="T902" s="244"/>
      <c r="U902" s="244"/>
      <c r="V902" s="244"/>
      <c r="W902" s="244"/>
      <c r="X902" s="244"/>
      <c r="Y902" s="244"/>
      <c r="Z902" s="244"/>
    </row>
    <row r="903">
      <c r="A903" s="244"/>
      <c r="B903" s="244"/>
      <c r="C903" s="244"/>
      <c r="D903" s="244"/>
      <c r="E903" s="244"/>
      <c r="F903" s="244"/>
      <c r="G903" s="244"/>
      <c r="H903" s="244"/>
      <c r="I903" s="244"/>
      <c r="J903" s="244"/>
      <c r="K903" s="244"/>
      <c r="L903" s="244"/>
      <c r="M903" s="244"/>
      <c r="N903" s="244"/>
      <c r="O903" s="244"/>
      <c r="P903" s="244"/>
      <c r="Q903" s="244"/>
      <c r="R903" s="244"/>
      <c r="S903" s="244"/>
      <c r="T903" s="244"/>
      <c r="U903" s="244"/>
      <c r="V903" s="244"/>
      <c r="W903" s="244"/>
      <c r="X903" s="244"/>
      <c r="Y903" s="244"/>
      <c r="Z903" s="244"/>
    </row>
    <row r="904">
      <c r="A904" s="244"/>
      <c r="B904" s="244"/>
      <c r="C904" s="244"/>
      <c r="D904" s="244"/>
      <c r="E904" s="244"/>
      <c r="F904" s="244"/>
      <c r="G904" s="244"/>
      <c r="H904" s="244"/>
      <c r="I904" s="244"/>
      <c r="J904" s="244"/>
      <c r="K904" s="244"/>
      <c r="L904" s="244"/>
      <c r="M904" s="244"/>
      <c r="N904" s="244"/>
      <c r="O904" s="244"/>
      <c r="P904" s="244"/>
      <c r="Q904" s="244"/>
      <c r="R904" s="244"/>
      <c r="S904" s="244"/>
      <c r="T904" s="244"/>
      <c r="U904" s="244"/>
      <c r="V904" s="244"/>
      <c r="W904" s="244"/>
      <c r="X904" s="244"/>
      <c r="Y904" s="244"/>
      <c r="Z904" s="244"/>
    </row>
    <row r="905">
      <c r="A905" s="244"/>
      <c r="B905" s="244"/>
      <c r="C905" s="244"/>
      <c r="D905" s="244"/>
      <c r="E905" s="244"/>
      <c r="F905" s="244"/>
      <c r="G905" s="244"/>
      <c r="H905" s="244"/>
      <c r="I905" s="244"/>
      <c r="J905" s="244"/>
      <c r="K905" s="244"/>
      <c r="L905" s="244"/>
      <c r="M905" s="244"/>
      <c r="N905" s="244"/>
      <c r="O905" s="244"/>
      <c r="P905" s="244"/>
      <c r="Q905" s="244"/>
      <c r="R905" s="244"/>
      <c r="S905" s="244"/>
      <c r="T905" s="244"/>
      <c r="U905" s="244"/>
      <c r="V905" s="244"/>
      <c r="W905" s="244"/>
      <c r="X905" s="244"/>
      <c r="Y905" s="244"/>
      <c r="Z905" s="244"/>
    </row>
    <row r="906">
      <c r="A906" s="244"/>
      <c r="B906" s="244"/>
      <c r="C906" s="244"/>
      <c r="D906" s="244"/>
      <c r="E906" s="244"/>
      <c r="F906" s="244"/>
      <c r="G906" s="244"/>
      <c r="H906" s="244"/>
      <c r="I906" s="244"/>
      <c r="J906" s="244"/>
      <c r="K906" s="244"/>
      <c r="L906" s="244"/>
      <c r="M906" s="244"/>
      <c r="N906" s="244"/>
      <c r="O906" s="244"/>
      <c r="P906" s="244"/>
      <c r="Q906" s="244"/>
      <c r="R906" s="244"/>
      <c r="S906" s="244"/>
      <c r="T906" s="244"/>
      <c r="U906" s="244"/>
      <c r="V906" s="244"/>
      <c r="W906" s="244"/>
      <c r="X906" s="244"/>
      <c r="Y906" s="244"/>
      <c r="Z906" s="244"/>
    </row>
    <row r="907">
      <c r="A907" s="244"/>
      <c r="B907" s="244"/>
      <c r="C907" s="244"/>
      <c r="D907" s="244"/>
      <c r="E907" s="244"/>
      <c r="F907" s="244"/>
      <c r="G907" s="244"/>
      <c r="H907" s="244"/>
      <c r="I907" s="244"/>
      <c r="J907" s="244"/>
      <c r="K907" s="244"/>
      <c r="L907" s="244"/>
      <c r="M907" s="244"/>
      <c r="N907" s="244"/>
      <c r="O907" s="244"/>
      <c r="P907" s="244"/>
      <c r="Q907" s="244"/>
      <c r="R907" s="244"/>
      <c r="S907" s="244"/>
      <c r="T907" s="244"/>
      <c r="U907" s="244"/>
      <c r="V907" s="244"/>
      <c r="W907" s="244"/>
      <c r="X907" s="244"/>
      <c r="Y907" s="244"/>
      <c r="Z907" s="244"/>
    </row>
    <row r="908">
      <c r="A908" s="244"/>
      <c r="B908" s="244"/>
      <c r="C908" s="244"/>
      <c r="D908" s="244"/>
      <c r="E908" s="244"/>
      <c r="F908" s="244"/>
      <c r="G908" s="244"/>
      <c r="H908" s="244"/>
      <c r="I908" s="244"/>
      <c r="J908" s="244"/>
      <c r="K908" s="244"/>
      <c r="L908" s="244"/>
      <c r="M908" s="244"/>
      <c r="N908" s="244"/>
      <c r="O908" s="244"/>
      <c r="P908" s="244"/>
      <c r="Q908" s="244"/>
      <c r="R908" s="244"/>
      <c r="S908" s="244"/>
      <c r="T908" s="244"/>
      <c r="U908" s="244"/>
      <c r="V908" s="244"/>
      <c r="W908" s="244"/>
      <c r="X908" s="244"/>
      <c r="Y908" s="244"/>
      <c r="Z908" s="244"/>
    </row>
    <row r="909">
      <c r="A909" s="244"/>
      <c r="B909" s="244"/>
      <c r="C909" s="244"/>
      <c r="D909" s="244"/>
      <c r="E909" s="244"/>
      <c r="F909" s="244"/>
      <c r="G909" s="244"/>
      <c r="H909" s="244"/>
      <c r="I909" s="244"/>
      <c r="J909" s="244"/>
      <c r="K909" s="244"/>
      <c r="L909" s="244"/>
      <c r="M909" s="244"/>
      <c r="N909" s="244"/>
      <c r="O909" s="244"/>
      <c r="P909" s="244"/>
      <c r="Q909" s="244"/>
      <c r="R909" s="244"/>
      <c r="S909" s="244"/>
      <c r="T909" s="244"/>
      <c r="U909" s="244"/>
      <c r="V909" s="244"/>
      <c r="W909" s="244"/>
      <c r="X909" s="244"/>
      <c r="Y909" s="244"/>
      <c r="Z909" s="244"/>
    </row>
    <row r="910">
      <c r="A910" s="244"/>
      <c r="B910" s="244"/>
      <c r="C910" s="244"/>
      <c r="D910" s="244"/>
      <c r="E910" s="244"/>
      <c r="F910" s="244"/>
      <c r="G910" s="244"/>
      <c r="H910" s="244"/>
      <c r="I910" s="244"/>
      <c r="J910" s="244"/>
      <c r="K910" s="244"/>
      <c r="L910" s="244"/>
      <c r="M910" s="244"/>
      <c r="N910" s="244"/>
      <c r="O910" s="244"/>
      <c r="P910" s="244"/>
      <c r="Q910" s="244"/>
      <c r="R910" s="244"/>
      <c r="S910" s="244"/>
      <c r="T910" s="244"/>
      <c r="U910" s="244"/>
      <c r="V910" s="244"/>
      <c r="W910" s="244"/>
      <c r="X910" s="244"/>
      <c r="Y910" s="244"/>
      <c r="Z910" s="244"/>
    </row>
    <row r="911">
      <c r="A911" s="244"/>
      <c r="B911" s="244"/>
      <c r="C911" s="244"/>
      <c r="D911" s="244"/>
      <c r="E911" s="244"/>
      <c r="F911" s="244"/>
      <c r="G911" s="244"/>
      <c r="H911" s="244"/>
      <c r="I911" s="244"/>
      <c r="J911" s="244"/>
      <c r="K911" s="244"/>
      <c r="L911" s="244"/>
      <c r="M911" s="244"/>
      <c r="N911" s="244"/>
      <c r="O911" s="244"/>
      <c r="P911" s="244"/>
      <c r="Q911" s="244"/>
      <c r="R911" s="244"/>
      <c r="S911" s="244"/>
      <c r="T911" s="244"/>
      <c r="U911" s="244"/>
      <c r="V911" s="244"/>
      <c r="W911" s="244"/>
      <c r="X911" s="244"/>
      <c r="Y911" s="244"/>
      <c r="Z911" s="244"/>
    </row>
    <row r="912">
      <c r="A912" s="244"/>
      <c r="B912" s="244"/>
      <c r="C912" s="244"/>
      <c r="D912" s="244"/>
      <c r="E912" s="244"/>
      <c r="F912" s="244"/>
      <c r="G912" s="244"/>
      <c r="H912" s="244"/>
      <c r="I912" s="244"/>
      <c r="J912" s="244"/>
      <c r="K912" s="244"/>
      <c r="L912" s="244"/>
      <c r="M912" s="244"/>
      <c r="N912" s="244"/>
      <c r="O912" s="244"/>
      <c r="P912" s="244"/>
      <c r="Q912" s="244"/>
      <c r="R912" s="244"/>
      <c r="S912" s="244"/>
      <c r="T912" s="244"/>
      <c r="U912" s="244"/>
      <c r="V912" s="244"/>
      <c r="W912" s="244"/>
      <c r="X912" s="244"/>
      <c r="Y912" s="244"/>
      <c r="Z912" s="244"/>
    </row>
    <row r="913">
      <c r="A913" s="244"/>
      <c r="B913" s="244"/>
      <c r="C913" s="244"/>
      <c r="D913" s="244"/>
      <c r="E913" s="244"/>
      <c r="F913" s="244"/>
      <c r="G913" s="244"/>
      <c r="H913" s="244"/>
      <c r="I913" s="244"/>
      <c r="J913" s="244"/>
      <c r="K913" s="244"/>
      <c r="L913" s="244"/>
      <c r="M913" s="244"/>
      <c r="N913" s="244"/>
      <c r="O913" s="244"/>
      <c r="P913" s="244"/>
      <c r="Q913" s="244"/>
      <c r="R913" s="244"/>
      <c r="S913" s="244"/>
      <c r="T913" s="244"/>
      <c r="U913" s="244"/>
      <c r="V913" s="244"/>
      <c r="W913" s="244"/>
      <c r="X913" s="244"/>
      <c r="Y913" s="244"/>
      <c r="Z913" s="244"/>
    </row>
    <row r="914">
      <c r="A914" s="244"/>
      <c r="B914" s="244"/>
      <c r="C914" s="244"/>
      <c r="D914" s="244"/>
      <c r="E914" s="244"/>
      <c r="F914" s="244"/>
      <c r="G914" s="244"/>
      <c r="H914" s="244"/>
      <c r="I914" s="244"/>
      <c r="J914" s="244"/>
      <c r="K914" s="244"/>
      <c r="L914" s="244"/>
      <c r="M914" s="244"/>
      <c r="N914" s="244"/>
      <c r="O914" s="244"/>
      <c r="P914" s="244"/>
      <c r="Q914" s="244"/>
      <c r="R914" s="244"/>
      <c r="S914" s="244"/>
      <c r="T914" s="244"/>
      <c r="U914" s="244"/>
      <c r="V914" s="244"/>
      <c r="W914" s="244"/>
      <c r="X914" s="244"/>
      <c r="Y914" s="244"/>
      <c r="Z914" s="244"/>
    </row>
    <row r="915">
      <c r="A915" s="244"/>
      <c r="B915" s="244"/>
      <c r="C915" s="244"/>
      <c r="D915" s="244"/>
      <c r="E915" s="244"/>
      <c r="F915" s="244"/>
      <c r="G915" s="244"/>
      <c r="H915" s="244"/>
      <c r="I915" s="244"/>
      <c r="J915" s="244"/>
      <c r="K915" s="244"/>
      <c r="L915" s="244"/>
      <c r="M915" s="244"/>
      <c r="N915" s="244"/>
      <c r="O915" s="244"/>
      <c r="P915" s="244"/>
      <c r="Q915" s="244"/>
      <c r="R915" s="244"/>
      <c r="S915" s="244"/>
      <c r="T915" s="244"/>
      <c r="U915" s="244"/>
      <c r="V915" s="244"/>
      <c r="W915" s="244"/>
      <c r="X915" s="244"/>
      <c r="Y915" s="244"/>
      <c r="Z915" s="244"/>
    </row>
    <row r="916">
      <c r="A916" s="244"/>
      <c r="B916" s="244"/>
      <c r="C916" s="244"/>
      <c r="D916" s="244"/>
      <c r="E916" s="244"/>
      <c r="F916" s="244"/>
      <c r="G916" s="244"/>
      <c r="H916" s="244"/>
      <c r="I916" s="244"/>
      <c r="J916" s="244"/>
      <c r="K916" s="244"/>
      <c r="L916" s="244"/>
      <c r="M916" s="244"/>
      <c r="N916" s="244"/>
      <c r="O916" s="244"/>
      <c r="P916" s="244"/>
      <c r="Q916" s="244"/>
      <c r="R916" s="244"/>
      <c r="S916" s="244"/>
      <c r="T916" s="244"/>
      <c r="U916" s="244"/>
      <c r="V916" s="244"/>
      <c r="W916" s="244"/>
      <c r="X916" s="244"/>
      <c r="Y916" s="244"/>
      <c r="Z916" s="244"/>
    </row>
    <row r="917">
      <c r="A917" s="244"/>
      <c r="B917" s="244"/>
      <c r="C917" s="244"/>
      <c r="D917" s="244"/>
      <c r="E917" s="244"/>
      <c r="F917" s="244"/>
      <c r="G917" s="244"/>
      <c r="H917" s="244"/>
      <c r="I917" s="244"/>
      <c r="J917" s="244"/>
      <c r="K917" s="244"/>
      <c r="L917" s="244"/>
      <c r="M917" s="244"/>
      <c r="N917" s="244"/>
      <c r="O917" s="244"/>
      <c r="P917" s="244"/>
      <c r="Q917" s="244"/>
      <c r="R917" s="244"/>
      <c r="S917" s="244"/>
      <c r="T917" s="244"/>
      <c r="U917" s="244"/>
      <c r="V917" s="244"/>
      <c r="W917" s="244"/>
      <c r="X917" s="244"/>
      <c r="Y917" s="244"/>
      <c r="Z917" s="244"/>
    </row>
    <row r="918">
      <c r="A918" s="244"/>
      <c r="B918" s="244"/>
      <c r="C918" s="244"/>
      <c r="D918" s="244"/>
      <c r="E918" s="244"/>
      <c r="F918" s="244"/>
      <c r="G918" s="244"/>
      <c r="H918" s="244"/>
      <c r="I918" s="244"/>
      <c r="J918" s="244"/>
      <c r="K918" s="244"/>
      <c r="L918" s="244"/>
      <c r="M918" s="244"/>
      <c r="N918" s="244"/>
      <c r="O918" s="244"/>
      <c r="P918" s="244"/>
      <c r="Q918" s="244"/>
      <c r="R918" s="244"/>
      <c r="S918" s="244"/>
      <c r="T918" s="244"/>
      <c r="U918" s="244"/>
      <c r="V918" s="244"/>
      <c r="W918" s="244"/>
      <c r="X918" s="244"/>
      <c r="Y918" s="244"/>
      <c r="Z918" s="244"/>
    </row>
    <row r="919">
      <c r="A919" s="244"/>
      <c r="B919" s="244"/>
      <c r="C919" s="244"/>
      <c r="D919" s="244"/>
      <c r="E919" s="244"/>
      <c r="F919" s="244"/>
      <c r="G919" s="244"/>
      <c r="H919" s="244"/>
      <c r="I919" s="244"/>
      <c r="J919" s="244"/>
      <c r="K919" s="244"/>
      <c r="L919" s="244"/>
      <c r="M919" s="244"/>
      <c r="N919" s="244"/>
      <c r="O919" s="244"/>
      <c r="P919" s="244"/>
      <c r="Q919" s="244"/>
      <c r="R919" s="244"/>
      <c r="S919" s="244"/>
      <c r="T919" s="244"/>
      <c r="U919" s="244"/>
      <c r="V919" s="244"/>
      <c r="W919" s="244"/>
      <c r="X919" s="244"/>
      <c r="Y919" s="244"/>
      <c r="Z919" s="244"/>
    </row>
    <row r="920">
      <c r="A920" s="244"/>
      <c r="B920" s="244"/>
      <c r="C920" s="244"/>
      <c r="D920" s="244"/>
      <c r="E920" s="244"/>
      <c r="F920" s="244"/>
      <c r="G920" s="244"/>
      <c r="H920" s="244"/>
      <c r="I920" s="244"/>
      <c r="J920" s="244"/>
      <c r="K920" s="244"/>
      <c r="L920" s="244"/>
      <c r="M920" s="244"/>
      <c r="N920" s="244"/>
      <c r="O920" s="244"/>
      <c r="P920" s="244"/>
      <c r="Q920" s="244"/>
      <c r="R920" s="244"/>
      <c r="S920" s="244"/>
      <c r="T920" s="244"/>
      <c r="U920" s="244"/>
      <c r="V920" s="244"/>
      <c r="W920" s="244"/>
      <c r="X920" s="244"/>
      <c r="Y920" s="244"/>
      <c r="Z920" s="244"/>
    </row>
    <row r="921">
      <c r="A921" s="244"/>
      <c r="B921" s="244"/>
      <c r="C921" s="244"/>
      <c r="D921" s="244"/>
      <c r="E921" s="244"/>
      <c r="F921" s="244"/>
      <c r="G921" s="244"/>
      <c r="H921" s="244"/>
      <c r="I921" s="244"/>
      <c r="J921" s="244"/>
      <c r="K921" s="244"/>
      <c r="L921" s="244"/>
      <c r="M921" s="244"/>
      <c r="N921" s="244"/>
      <c r="O921" s="244"/>
      <c r="P921" s="244"/>
      <c r="Q921" s="244"/>
      <c r="R921" s="244"/>
      <c r="S921" s="244"/>
      <c r="T921" s="244"/>
      <c r="U921" s="244"/>
      <c r="V921" s="244"/>
      <c r="W921" s="244"/>
      <c r="X921" s="244"/>
      <c r="Y921" s="244"/>
      <c r="Z921" s="244"/>
    </row>
    <row r="922">
      <c r="A922" s="244"/>
      <c r="B922" s="244"/>
      <c r="C922" s="244"/>
      <c r="D922" s="244"/>
      <c r="E922" s="244"/>
      <c r="F922" s="244"/>
      <c r="G922" s="244"/>
      <c r="H922" s="244"/>
      <c r="I922" s="244"/>
      <c r="J922" s="244"/>
      <c r="K922" s="244"/>
      <c r="L922" s="244"/>
      <c r="M922" s="244"/>
      <c r="N922" s="244"/>
      <c r="O922" s="244"/>
      <c r="P922" s="244"/>
      <c r="Q922" s="244"/>
      <c r="R922" s="244"/>
      <c r="S922" s="244"/>
      <c r="T922" s="244"/>
      <c r="U922" s="244"/>
      <c r="V922" s="244"/>
      <c r="W922" s="244"/>
      <c r="X922" s="244"/>
      <c r="Y922" s="244"/>
      <c r="Z922" s="244"/>
    </row>
    <row r="923">
      <c r="A923" s="244"/>
      <c r="B923" s="244"/>
      <c r="C923" s="244"/>
      <c r="D923" s="244"/>
      <c r="E923" s="244"/>
      <c r="F923" s="244"/>
      <c r="G923" s="244"/>
      <c r="H923" s="244"/>
      <c r="I923" s="244"/>
      <c r="J923" s="244"/>
      <c r="K923" s="244"/>
      <c r="L923" s="244"/>
      <c r="M923" s="244"/>
      <c r="N923" s="244"/>
      <c r="O923" s="244"/>
      <c r="P923" s="244"/>
      <c r="Q923" s="244"/>
      <c r="R923" s="244"/>
      <c r="S923" s="244"/>
      <c r="T923" s="244"/>
      <c r="U923" s="244"/>
      <c r="V923" s="244"/>
      <c r="W923" s="244"/>
      <c r="X923" s="244"/>
      <c r="Y923" s="244"/>
      <c r="Z923" s="244"/>
    </row>
    <row r="924">
      <c r="A924" s="244"/>
      <c r="B924" s="244"/>
      <c r="C924" s="244"/>
      <c r="D924" s="244"/>
      <c r="E924" s="244"/>
      <c r="F924" s="244"/>
      <c r="G924" s="244"/>
      <c r="H924" s="244"/>
      <c r="I924" s="244"/>
      <c r="J924" s="244"/>
      <c r="K924" s="244"/>
      <c r="L924" s="244"/>
      <c r="M924" s="244"/>
      <c r="N924" s="244"/>
      <c r="O924" s="244"/>
      <c r="P924" s="244"/>
      <c r="Q924" s="244"/>
      <c r="R924" s="244"/>
      <c r="S924" s="244"/>
      <c r="T924" s="244"/>
      <c r="U924" s="244"/>
      <c r="V924" s="244"/>
      <c r="W924" s="244"/>
      <c r="X924" s="244"/>
      <c r="Y924" s="244"/>
      <c r="Z924" s="244"/>
    </row>
    <row r="925">
      <c r="A925" s="244"/>
      <c r="B925" s="244"/>
      <c r="C925" s="244"/>
      <c r="D925" s="244"/>
      <c r="E925" s="244"/>
      <c r="F925" s="244"/>
      <c r="G925" s="244"/>
      <c r="H925" s="244"/>
      <c r="I925" s="244"/>
      <c r="J925" s="244"/>
      <c r="K925" s="244"/>
      <c r="L925" s="244"/>
      <c r="M925" s="244"/>
      <c r="N925" s="244"/>
      <c r="O925" s="244"/>
      <c r="P925" s="244"/>
      <c r="Q925" s="244"/>
      <c r="R925" s="244"/>
      <c r="S925" s="244"/>
      <c r="T925" s="244"/>
      <c r="U925" s="244"/>
      <c r="V925" s="244"/>
      <c r="W925" s="244"/>
      <c r="X925" s="244"/>
      <c r="Y925" s="244"/>
      <c r="Z925" s="244"/>
    </row>
    <row r="926">
      <c r="A926" s="244"/>
      <c r="B926" s="244"/>
      <c r="C926" s="244"/>
      <c r="D926" s="244"/>
      <c r="E926" s="244"/>
      <c r="F926" s="244"/>
      <c r="G926" s="244"/>
      <c r="H926" s="244"/>
      <c r="I926" s="244"/>
      <c r="J926" s="244"/>
      <c r="K926" s="244"/>
      <c r="L926" s="244"/>
      <c r="M926" s="244"/>
      <c r="N926" s="244"/>
      <c r="O926" s="244"/>
      <c r="P926" s="244"/>
      <c r="Q926" s="244"/>
      <c r="R926" s="244"/>
      <c r="S926" s="244"/>
      <c r="T926" s="244"/>
      <c r="U926" s="244"/>
      <c r="V926" s="244"/>
      <c r="W926" s="244"/>
      <c r="X926" s="244"/>
      <c r="Y926" s="244"/>
      <c r="Z926" s="244"/>
    </row>
    <row r="927">
      <c r="A927" s="244"/>
      <c r="B927" s="244"/>
      <c r="C927" s="244"/>
      <c r="D927" s="244"/>
      <c r="E927" s="244"/>
      <c r="F927" s="244"/>
      <c r="G927" s="244"/>
      <c r="H927" s="244"/>
      <c r="I927" s="244"/>
      <c r="J927" s="244"/>
      <c r="K927" s="244"/>
      <c r="L927" s="244"/>
      <c r="M927" s="244"/>
      <c r="N927" s="244"/>
      <c r="O927" s="244"/>
      <c r="P927" s="244"/>
      <c r="Q927" s="244"/>
      <c r="R927" s="244"/>
      <c r="S927" s="244"/>
      <c r="T927" s="244"/>
      <c r="U927" s="244"/>
      <c r="V927" s="244"/>
      <c r="W927" s="244"/>
      <c r="X927" s="244"/>
      <c r="Y927" s="244"/>
      <c r="Z927" s="244"/>
    </row>
    <row r="928">
      <c r="A928" s="244"/>
      <c r="B928" s="244"/>
      <c r="C928" s="244"/>
      <c r="D928" s="244"/>
      <c r="E928" s="244"/>
      <c r="F928" s="244"/>
      <c r="G928" s="244"/>
      <c r="H928" s="244"/>
      <c r="I928" s="244"/>
      <c r="J928" s="244"/>
      <c r="K928" s="244"/>
      <c r="L928" s="244"/>
      <c r="M928" s="244"/>
      <c r="N928" s="244"/>
      <c r="O928" s="244"/>
      <c r="P928" s="244"/>
      <c r="Q928" s="244"/>
      <c r="R928" s="244"/>
      <c r="S928" s="244"/>
      <c r="T928" s="244"/>
      <c r="U928" s="244"/>
      <c r="V928" s="244"/>
      <c r="W928" s="244"/>
      <c r="X928" s="244"/>
      <c r="Y928" s="244"/>
      <c r="Z928" s="244"/>
    </row>
    <row r="929">
      <c r="A929" s="244"/>
      <c r="B929" s="244"/>
      <c r="C929" s="244"/>
      <c r="D929" s="244"/>
      <c r="E929" s="244"/>
      <c r="F929" s="244"/>
      <c r="G929" s="244"/>
      <c r="H929" s="244"/>
      <c r="I929" s="244"/>
      <c r="J929" s="244"/>
      <c r="K929" s="244"/>
      <c r="L929" s="244"/>
      <c r="M929" s="244"/>
      <c r="N929" s="244"/>
      <c r="O929" s="244"/>
      <c r="P929" s="244"/>
      <c r="Q929" s="244"/>
      <c r="R929" s="244"/>
      <c r="S929" s="244"/>
      <c r="T929" s="244"/>
      <c r="U929" s="244"/>
      <c r="V929" s="244"/>
      <c r="W929" s="244"/>
      <c r="X929" s="244"/>
      <c r="Y929" s="244"/>
      <c r="Z929" s="244"/>
    </row>
    <row r="930">
      <c r="A930" s="244"/>
      <c r="B930" s="244"/>
      <c r="C930" s="244"/>
      <c r="D930" s="244"/>
      <c r="E930" s="244"/>
      <c r="F930" s="244"/>
      <c r="G930" s="244"/>
      <c r="H930" s="244"/>
      <c r="I930" s="244"/>
      <c r="J930" s="244"/>
      <c r="K930" s="244"/>
      <c r="L930" s="244"/>
      <c r="M930" s="244"/>
      <c r="N930" s="244"/>
      <c r="O930" s="244"/>
      <c r="P930" s="244"/>
      <c r="Q930" s="244"/>
      <c r="R930" s="244"/>
      <c r="S930" s="244"/>
      <c r="T930" s="244"/>
      <c r="U930" s="244"/>
      <c r="V930" s="244"/>
      <c r="W930" s="244"/>
      <c r="X930" s="244"/>
      <c r="Y930" s="244"/>
      <c r="Z930" s="244"/>
    </row>
    <row r="931">
      <c r="A931" s="244"/>
      <c r="B931" s="244"/>
      <c r="C931" s="244"/>
      <c r="D931" s="244"/>
      <c r="E931" s="244"/>
      <c r="F931" s="244"/>
      <c r="G931" s="244"/>
      <c r="H931" s="244"/>
      <c r="I931" s="244"/>
      <c r="J931" s="244"/>
      <c r="K931" s="244"/>
      <c r="L931" s="244"/>
      <c r="M931" s="244"/>
      <c r="N931" s="244"/>
      <c r="O931" s="244"/>
      <c r="P931" s="244"/>
      <c r="Q931" s="244"/>
      <c r="R931" s="244"/>
      <c r="S931" s="244"/>
      <c r="T931" s="244"/>
      <c r="U931" s="244"/>
      <c r="V931" s="244"/>
      <c r="W931" s="244"/>
      <c r="X931" s="244"/>
      <c r="Y931" s="244"/>
      <c r="Z931" s="244"/>
    </row>
    <row r="932">
      <c r="A932" s="244"/>
      <c r="B932" s="244"/>
      <c r="C932" s="244"/>
      <c r="D932" s="244"/>
      <c r="E932" s="244"/>
      <c r="F932" s="244"/>
      <c r="G932" s="244"/>
      <c r="H932" s="244"/>
      <c r="I932" s="244"/>
      <c r="J932" s="244"/>
      <c r="K932" s="244"/>
      <c r="L932" s="244"/>
      <c r="M932" s="244"/>
      <c r="N932" s="244"/>
      <c r="O932" s="244"/>
      <c r="P932" s="244"/>
      <c r="Q932" s="244"/>
      <c r="R932" s="244"/>
      <c r="S932" s="244"/>
      <c r="T932" s="244"/>
      <c r="U932" s="244"/>
      <c r="V932" s="244"/>
      <c r="W932" s="244"/>
      <c r="X932" s="244"/>
      <c r="Y932" s="244"/>
      <c r="Z932" s="244"/>
    </row>
    <row r="933">
      <c r="A933" s="244"/>
      <c r="B933" s="244"/>
      <c r="C933" s="244"/>
      <c r="D933" s="244"/>
      <c r="E933" s="244"/>
      <c r="F933" s="244"/>
      <c r="G933" s="244"/>
      <c r="H933" s="244"/>
      <c r="I933" s="244"/>
      <c r="J933" s="244"/>
      <c r="K933" s="244"/>
      <c r="L933" s="244"/>
      <c r="M933" s="244"/>
      <c r="N933" s="244"/>
      <c r="O933" s="244"/>
      <c r="P933" s="244"/>
      <c r="Q933" s="244"/>
      <c r="R933" s="244"/>
      <c r="S933" s="244"/>
      <c r="T933" s="244"/>
      <c r="U933" s="244"/>
      <c r="V933" s="244"/>
      <c r="W933" s="244"/>
      <c r="X933" s="244"/>
      <c r="Y933" s="244"/>
      <c r="Z933" s="244"/>
    </row>
    <row r="934">
      <c r="A934" s="244"/>
      <c r="B934" s="244"/>
      <c r="C934" s="244"/>
      <c r="D934" s="244"/>
      <c r="E934" s="244"/>
      <c r="F934" s="244"/>
      <c r="G934" s="244"/>
      <c r="H934" s="244"/>
      <c r="I934" s="244"/>
      <c r="J934" s="244"/>
      <c r="K934" s="244"/>
      <c r="L934" s="244"/>
      <c r="M934" s="244"/>
      <c r="N934" s="244"/>
      <c r="O934" s="244"/>
      <c r="P934" s="244"/>
      <c r="Q934" s="244"/>
      <c r="R934" s="244"/>
      <c r="S934" s="244"/>
      <c r="T934" s="244"/>
      <c r="U934" s="244"/>
      <c r="V934" s="244"/>
      <c r="W934" s="244"/>
      <c r="X934" s="244"/>
      <c r="Y934" s="244"/>
      <c r="Z934" s="244"/>
    </row>
    <row r="935">
      <c r="A935" s="244"/>
      <c r="B935" s="244"/>
      <c r="C935" s="244"/>
      <c r="D935" s="244"/>
      <c r="E935" s="244"/>
      <c r="F935" s="244"/>
      <c r="G935" s="244"/>
      <c r="H935" s="244"/>
      <c r="I935" s="244"/>
      <c r="J935" s="244"/>
      <c r="K935" s="244"/>
      <c r="L935" s="244"/>
      <c r="M935" s="244"/>
      <c r="N935" s="244"/>
      <c r="O935" s="244"/>
      <c r="P935" s="244"/>
      <c r="Q935" s="244"/>
      <c r="R935" s="244"/>
      <c r="S935" s="244"/>
      <c r="T935" s="244"/>
      <c r="U935" s="244"/>
      <c r="V935" s="244"/>
      <c r="W935" s="244"/>
      <c r="X935" s="244"/>
      <c r="Y935" s="244"/>
      <c r="Z935" s="244"/>
    </row>
    <row r="936">
      <c r="A936" s="244"/>
      <c r="B936" s="244"/>
      <c r="C936" s="244"/>
      <c r="D936" s="244"/>
      <c r="E936" s="244"/>
      <c r="F936" s="244"/>
      <c r="G936" s="244"/>
      <c r="H936" s="244"/>
      <c r="I936" s="244"/>
      <c r="J936" s="244"/>
      <c r="K936" s="244"/>
      <c r="L936" s="244"/>
      <c r="M936" s="244"/>
      <c r="N936" s="244"/>
      <c r="O936" s="244"/>
      <c r="P936" s="244"/>
      <c r="Q936" s="244"/>
      <c r="R936" s="244"/>
      <c r="S936" s="244"/>
      <c r="T936" s="244"/>
      <c r="U936" s="244"/>
      <c r="V936" s="244"/>
      <c r="W936" s="244"/>
      <c r="X936" s="244"/>
      <c r="Y936" s="244"/>
      <c r="Z936" s="244"/>
    </row>
    <row r="937">
      <c r="A937" s="244"/>
      <c r="B937" s="244"/>
      <c r="C937" s="244"/>
      <c r="D937" s="244"/>
      <c r="E937" s="244"/>
      <c r="F937" s="244"/>
      <c r="G937" s="244"/>
      <c r="H937" s="244"/>
      <c r="I937" s="244"/>
      <c r="J937" s="244"/>
      <c r="K937" s="244"/>
      <c r="L937" s="244"/>
      <c r="M937" s="244"/>
      <c r="N937" s="244"/>
      <c r="O937" s="244"/>
      <c r="P937" s="244"/>
      <c r="Q937" s="244"/>
      <c r="R937" s="244"/>
      <c r="S937" s="244"/>
      <c r="T937" s="244"/>
      <c r="U937" s="244"/>
      <c r="V937" s="244"/>
      <c r="W937" s="244"/>
      <c r="X937" s="244"/>
      <c r="Y937" s="244"/>
      <c r="Z937" s="244"/>
    </row>
    <row r="938">
      <c r="A938" s="244"/>
      <c r="B938" s="244"/>
      <c r="C938" s="244"/>
      <c r="D938" s="244"/>
      <c r="E938" s="244"/>
      <c r="F938" s="244"/>
      <c r="G938" s="244"/>
      <c r="H938" s="244"/>
      <c r="I938" s="244"/>
      <c r="J938" s="244"/>
      <c r="K938" s="244"/>
      <c r="L938" s="244"/>
      <c r="M938" s="244"/>
      <c r="N938" s="244"/>
      <c r="O938" s="244"/>
      <c r="P938" s="244"/>
      <c r="Q938" s="244"/>
      <c r="R938" s="244"/>
      <c r="S938" s="244"/>
      <c r="T938" s="244"/>
      <c r="U938" s="244"/>
      <c r="V938" s="244"/>
      <c r="W938" s="244"/>
      <c r="X938" s="244"/>
      <c r="Y938" s="244"/>
      <c r="Z938" s="244"/>
    </row>
    <row r="939">
      <c r="A939" s="244"/>
      <c r="B939" s="244"/>
      <c r="C939" s="244"/>
      <c r="D939" s="244"/>
      <c r="E939" s="244"/>
      <c r="F939" s="244"/>
      <c r="G939" s="244"/>
      <c r="H939" s="244"/>
      <c r="I939" s="244"/>
      <c r="J939" s="244"/>
      <c r="K939" s="244"/>
      <c r="L939" s="244"/>
      <c r="M939" s="244"/>
      <c r="N939" s="244"/>
      <c r="O939" s="244"/>
      <c r="P939" s="244"/>
      <c r="Q939" s="244"/>
      <c r="R939" s="244"/>
      <c r="S939" s="244"/>
      <c r="T939" s="244"/>
      <c r="U939" s="244"/>
      <c r="V939" s="244"/>
      <c r="W939" s="244"/>
      <c r="X939" s="244"/>
      <c r="Y939" s="244"/>
      <c r="Z939" s="244"/>
    </row>
    <row r="940">
      <c r="A940" s="244"/>
      <c r="B940" s="244"/>
      <c r="C940" s="244"/>
      <c r="D940" s="244"/>
      <c r="E940" s="244"/>
      <c r="F940" s="244"/>
      <c r="G940" s="244"/>
      <c r="H940" s="244"/>
      <c r="I940" s="244"/>
      <c r="J940" s="244"/>
      <c r="K940" s="244"/>
      <c r="L940" s="244"/>
      <c r="M940" s="244"/>
      <c r="N940" s="244"/>
      <c r="O940" s="244"/>
      <c r="P940" s="244"/>
      <c r="Q940" s="244"/>
      <c r="R940" s="244"/>
      <c r="S940" s="244"/>
      <c r="T940" s="244"/>
      <c r="U940" s="244"/>
      <c r="V940" s="244"/>
      <c r="W940" s="244"/>
      <c r="X940" s="244"/>
      <c r="Y940" s="244"/>
      <c r="Z940" s="244"/>
    </row>
    <row r="941">
      <c r="A941" s="244"/>
      <c r="B941" s="244"/>
      <c r="C941" s="244"/>
      <c r="D941" s="244"/>
      <c r="E941" s="244"/>
      <c r="F941" s="244"/>
      <c r="G941" s="244"/>
      <c r="H941" s="244"/>
      <c r="I941" s="244"/>
      <c r="J941" s="244"/>
      <c r="K941" s="244"/>
      <c r="L941" s="244"/>
      <c r="M941" s="244"/>
      <c r="N941" s="244"/>
      <c r="O941" s="244"/>
      <c r="P941" s="244"/>
      <c r="Q941" s="244"/>
      <c r="R941" s="244"/>
      <c r="S941" s="244"/>
      <c r="T941" s="244"/>
      <c r="U941" s="244"/>
      <c r="V941" s="244"/>
      <c r="W941" s="244"/>
      <c r="X941" s="244"/>
      <c r="Y941" s="244"/>
      <c r="Z941" s="244"/>
    </row>
    <row r="942">
      <c r="A942" s="244"/>
      <c r="B942" s="244"/>
      <c r="C942" s="244"/>
      <c r="D942" s="244"/>
      <c r="E942" s="244"/>
      <c r="F942" s="244"/>
      <c r="G942" s="244"/>
      <c r="H942" s="244"/>
      <c r="I942" s="244"/>
      <c r="J942" s="244"/>
      <c r="K942" s="244"/>
      <c r="L942" s="244"/>
      <c r="M942" s="244"/>
      <c r="N942" s="244"/>
      <c r="O942" s="244"/>
      <c r="P942" s="244"/>
      <c r="Q942" s="244"/>
      <c r="R942" s="244"/>
      <c r="S942" s="244"/>
      <c r="T942" s="244"/>
      <c r="U942" s="244"/>
      <c r="V942" s="244"/>
      <c r="W942" s="244"/>
      <c r="X942" s="244"/>
      <c r="Y942" s="244"/>
      <c r="Z942" s="244"/>
    </row>
    <row r="943">
      <c r="A943" s="244"/>
      <c r="B943" s="244"/>
      <c r="C943" s="244"/>
      <c r="D943" s="244"/>
      <c r="E943" s="244"/>
      <c r="F943" s="244"/>
      <c r="G943" s="244"/>
      <c r="H943" s="244"/>
      <c r="I943" s="244"/>
      <c r="J943" s="244"/>
      <c r="K943" s="244"/>
      <c r="L943" s="244"/>
      <c r="M943" s="244"/>
      <c r="N943" s="244"/>
      <c r="O943" s="244"/>
      <c r="P943" s="244"/>
      <c r="Q943" s="244"/>
      <c r="R943" s="244"/>
      <c r="S943" s="244"/>
      <c r="T943" s="244"/>
      <c r="U943" s="244"/>
      <c r="V943" s="244"/>
      <c r="W943" s="244"/>
      <c r="X943" s="244"/>
      <c r="Y943" s="244"/>
      <c r="Z943" s="244"/>
    </row>
    <row r="944">
      <c r="A944" s="244"/>
      <c r="B944" s="244"/>
      <c r="C944" s="244"/>
      <c r="D944" s="244"/>
      <c r="E944" s="244"/>
      <c r="F944" s="244"/>
      <c r="G944" s="244"/>
      <c r="H944" s="244"/>
      <c r="I944" s="244"/>
      <c r="J944" s="244"/>
      <c r="K944" s="244"/>
      <c r="L944" s="244"/>
      <c r="M944" s="244"/>
      <c r="N944" s="244"/>
      <c r="O944" s="244"/>
      <c r="P944" s="244"/>
      <c r="Q944" s="244"/>
      <c r="R944" s="244"/>
      <c r="S944" s="244"/>
      <c r="T944" s="244"/>
      <c r="U944" s="244"/>
      <c r="V944" s="244"/>
      <c r="W944" s="244"/>
      <c r="X944" s="244"/>
      <c r="Y944" s="244"/>
      <c r="Z944" s="244"/>
    </row>
    <row r="945">
      <c r="A945" s="244"/>
      <c r="B945" s="244"/>
      <c r="C945" s="244"/>
      <c r="D945" s="244"/>
      <c r="E945" s="244"/>
      <c r="F945" s="244"/>
      <c r="G945" s="244"/>
      <c r="H945" s="244"/>
      <c r="I945" s="244"/>
      <c r="J945" s="244"/>
      <c r="K945" s="244"/>
      <c r="L945" s="244"/>
      <c r="M945" s="244"/>
      <c r="N945" s="244"/>
      <c r="O945" s="244"/>
      <c r="P945" s="244"/>
      <c r="Q945" s="244"/>
      <c r="R945" s="244"/>
      <c r="S945" s="244"/>
      <c r="T945" s="244"/>
      <c r="U945" s="244"/>
      <c r="V945" s="244"/>
      <c r="W945" s="244"/>
      <c r="X945" s="244"/>
      <c r="Y945" s="244"/>
      <c r="Z945" s="244"/>
    </row>
    <row r="946">
      <c r="A946" s="244"/>
      <c r="B946" s="244"/>
      <c r="C946" s="244"/>
      <c r="D946" s="244"/>
      <c r="E946" s="244"/>
      <c r="F946" s="244"/>
      <c r="G946" s="244"/>
      <c r="H946" s="244"/>
      <c r="I946" s="244"/>
      <c r="J946" s="244"/>
      <c r="K946" s="244"/>
      <c r="L946" s="244"/>
      <c r="M946" s="244"/>
      <c r="N946" s="244"/>
      <c r="O946" s="244"/>
      <c r="P946" s="244"/>
      <c r="Q946" s="244"/>
      <c r="R946" s="244"/>
      <c r="S946" s="244"/>
      <c r="T946" s="244"/>
      <c r="U946" s="244"/>
      <c r="V946" s="244"/>
      <c r="W946" s="244"/>
      <c r="X946" s="244"/>
      <c r="Y946" s="244"/>
      <c r="Z946" s="244"/>
    </row>
    <row r="947">
      <c r="A947" s="244"/>
      <c r="B947" s="244"/>
      <c r="C947" s="244"/>
      <c r="D947" s="244"/>
      <c r="E947" s="244"/>
      <c r="F947" s="244"/>
      <c r="G947" s="244"/>
      <c r="H947" s="244"/>
      <c r="I947" s="244"/>
      <c r="J947" s="244"/>
      <c r="K947" s="244"/>
      <c r="L947" s="244"/>
      <c r="M947" s="244"/>
      <c r="N947" s="244"/>
      <c r="O947" s="244"/>
      <c r="P947" s="244"/>
      <c r="Q947" s="244"/>
      <c r="R947" s="244"/>
      <c r="S947" s="244"/>
      <c r="T947" s="244"/>
      <c r="U947" s="244"/>
      <c r="V947" s="244"/>
      <c r="W947" s="244"/>
      <c r="X947" s="244"/>
      <c r="Y947" s="244"/>
      <c r="Z947" s="244"/>
    </row>
    <row r="948">
      <c r="A948" s="244"/>
      <c r="B948" s="244"/>
      <c r="C948" s="244"/>
      <c r="D948" s="244"/>
      <c r="E948" s="244"/>
      <c r="F948" s="244"/>
      <c r="G948" s="244"/>
      <c r="H948" s="244"/>
      <c r="I948" s="244"/>
      <c r="J948" s="244"/>
      <c r="K948" s="244"/>
      <c r="L948" s="244"/>
      <c r="M948" s="244"/>
      <c r="N948" s="244"/>
      <c r="O948" s="244"/>
      <c r="P948" s="244"/>
      <c r="Q948" s="244"/>
      <c r="R948" s="244"/>
      <c r="S948" s="244"/>
      <c r="T948" s="244"/>
      <c r="U948" s="244"/>
      <c r="V948" s="244"/>
      <c r="W948" s="244"/>
      <c r="X948" s="244"/>
      <c r="Y948" s="244"/>
      <c r="Z948" s="244"/>
    </row>
    <row r="949">
      <c r="A949" s="244"/>
      <c r="B949" s="244"/>
      <c r="C949" s="244"/>
      <c r="D949" s="244"/>
      <c r="E949" s="244"/>
      <c r="F949" s="244"/>
      <c r="G949" s="244"/>
      <c r="H949" s="244"/>
      <c r="I949" s="244"/>
      <c r="J949" s="244"/>
      <c r="K949" s="244"/>
      <c r="L949" s="244"/>
      <c r="M949" s="244"/>
      <c r="N949" s="244"/>
      <c r="O949" s="244"/>
      <c r="P949" s="244"/>
      <c r="Q949" s="244"/>
      <c r="R949" s="244"/>
      <c r="S949" s="244"/>
      <c r="T949" s="244"/>
      <c r="U949" s="244"/>
      <c r="V949" s="244"/>
      <c r="W949" s="244"/>
      <c r="X949" s="244"/>
      <c r="Y949" s="244"/>
      <c r="Z949" s="244"/>
    </row>
    <row r="950">
      <c r="A950" s="244"/>
      <c r="B950" s="244"/>
      <c r="C950" s="244"/>
      <c r="D950" s="244"/>
      <c r="E950" s="244"/>
      <c r="F950" s="244"/>
      <c r="G950" s="244"/>
      <c r="H950" s="244"/>
      <c r="I950" s="244"/>
      <c r="J950" s="244"/>
      <c r="K950" s="244"/>
      <c r="L950" s="244"/>
      <c r="M950" s="244"/>
      <c r="N950" s="244"/>
      <c r="O950" s="244"/>
      <c r="P950" s="244"/>
      <c r="Q950" s="244"/>
      <c r="R950" s="244"/>
      <c r="S950" s="244"/>
      <c r="T950" s="244"/>
      <c r="U950" s="244"/>
      <c r="V950" s="244"/>
      <c r="W950" s="244"/>
      <c r="X950" s="244"/>
      <c r="Y950" s="244"/>
      <c r="Z950" s="244"/>
    </row>
    <row r="951">
      <c r="A951" s="244"/>
      <c r="B951" s="244"/>
      <c r="C951" s="244"/>
      <c r="D951" s="244"/>
      <c r="E951" s="244"/>
      <c r="F951" s="244"/>
      <c r="G951" s="244"/>
      <c r="H951" s="244"/>
      <c r="I951" s="244"/>
      <c r="J951" s="244"/>
      <c r="K951" s="244"/>
      <c r="L951" s="244"/>
      <c r="M951" s="244"/>
      <c r="N951" s="244"/>
      <c r="O951" s="244"/>
      <c r="P951" s="244"/>
      <c r="Q951" s="244"/>
      <c r="R951" s="244"/>
      <c r="S951" s="244"/>
      <c r="T951" s="244"/>
      <c r="U951" s="244"/>
      <c r="V951" s="244"/>
      <c r="W951" s="244"/>
      <c r="X951" s="244"/>
      <c r="Y951" s="244"/>
      <c r="Z951" s="244"/>
    </row>
    <row r="952">
      <c r="A952" s="244"/>
      <c r="B952" s="244"/>
      <c r="C952" s="244"/>
      <c r="D952" s="244"/>
      <c r="E952" s="244"/>
      <c r="F952" s="244"/>
      <c r="G952" s="244"/>
      <c r="H952" s="244"/>
      <c r="I952" s="244"/>
      <c r="J952" s="244"/>
      <c r="K952" s="244"/>
      <c r="L952" s="244"/>
      <c r="M952" s="244"/>
      <c r="N952" s="244"/>
      <c r="O952" s="244"/>
      <c r="P952" s="244"/>
      <c r="Q952" s="244"/>
      <c r="R952" s="244"/>
      <c r="S952" s="244"/>
      <c r="T952" s="244"/>
      <c r="U952" s="244"/>
      <c r="V952" s="244"/>
      <c r="W952" s="244"/>
      <c r="X952" s="244"/>
      <c r="Y952" s="244"/>
      <c r="Z952" s="244"/>
    </row>
    <row r="953">
      <c r="A953" s="244"/>
      <c r="B953" s="244"/>
      <c r="C953" s="244"/>
      <c r="D953" s="244"/>
      <c r="E953" s="244"/>
      <c r="F953" s="244"/>
      <c r="G953" s="244"/>
      <c r="H953" s="244"/>
      <c r="I953" s="244"/>
      <c r="J953" s="244"/>
      <c r="K953" s="244"/>
      <c r="L953" s="244"/>
      <c r="M953" s="244"/>
      <c r="N953" s="244"/>
      <c r="O953" s="244"/>
      <c r="P953" s="244"/>
      <c r="Q953" s="244"/>
      <c r="R953" s="244"/>
      <c r="S953" s="244"/>
      <c r="T953" s="244"/>
      <c r="U953" s="244"/>
      <c r="V953" s="244"/>
      <c r="W953" s="244"/>
      <c r="X953" s="244"/>
      <c r="Y953" s="244"/>
      <c r="Z953" s="244"/>
    </row>
    <row r="954">
      <c r="A954" s="244"/>
      <c r="B954" s="244"/>
      <c r="C954" s="244"/>
      <c r="D954" s="244"/>
      <c r="E954" s="244"/>
      <c r="F954" s="244"/>
      <c r="G954" s="244"/>
      <c r="H954" s="244"/>
      <c r="I954" s="244"/>
      <c r="J954" s="244"/>
      <c r="K954" s="244"/>
      <c r="L954" s="244"/>
      <c r="M954" s="244"/>
      <c r="N954" s="244"/>
      <c r="O954" s="244"/>
      <c r="P954" s="244"/>
      <c r="Q954" s="244"/>
      <c r="R954" s="244"/>
      <c r="S954" s="244"/>
      <c r="T954" s="244"/>
      <c r="U954" s="244"/>
      <c r="V954" s="244"/>
      <c r="W954" s="244"/>
      <c r="X954" s="244"/>
      <c r="Y954" s="244"/>
      <c r="Z954" s="244"/>
    </row>
    <row r="955">
      <c r="A955" s="244"/>
      <c r="B955" s="244"/>
      <c r="C955" s="244"/>
      <c r="D955" s="244"/>
      <c r="E955" s="244"/>
      <c r="F955" s="244"/>
      <c r="G955" s="244"/>
      <c r="H955" s="244"/>
      <c r="I955" s="244"/>
      <c r="J955" s="244"/>
      <c r="K955" s="244"/>
      <c r="L955" s="244"/>
      <c r="M955" s="244"/>
      <c r="N955" s="244"/>
      <c r="O955" s="244"/>
      <c r="P955" s="244"/>
      <c r="Q955" s="244"/>
      <c r="R955" s="244"/>
      <c r="S955" s="244"/>
      <c r="T955" s="244"/>
      <c r="U955" s="244"/>
      <c r="V955" s="244"/>
      <c r="W955" s="244"/>
      <c r="X955" s="244"/>
      <c r="Y955" s="244"/>
      <c r="Z955" s="244"/>
    </row>
    <row r="956">
      <c r="A956" s="244"/>
      <c r="B956" s="244"/>
      <c r="C956" s="244"/>
      <c r="D956" s="244"/>
      <c r="E956" s="244"/>
      <c r="F956" s="244"/>
      <c r="G956" s="244"/>
      <c r="H956" s="244"/>
      <c r="I956" s="244"/>
      <c r="J956" s="244"/>
      <c r="K956" s="244"/>
      <c r="L956" s="244"/>
      <c r="M956" s="244"/>
      <c r="N956" s="244"/>
      <c r="O956" s="244"/>
      <c r="P956" s="244"/>
      <c r="Q956" s="244"/>
      <c r="R956" s="244"/>
      <c r="S956" s="244"/>
      <c r="T956" s="244"/>
      <c r="U956" s="244"/>
      <c r="V956" s="244"/>
      <c r="W956" s="244"/>
      <c r="X956" s="244"/>
      <c r="Y956" s="244"/>
      <c r="Z956" s="244"/>
    </row>
    <row r="957">
      <c r="A957" s="244"/>
      <c r="B957" s="244"/>
      <c r="C957" s="244"/>
      <c r="D957" s="244"/>
      <c r="E957" s="244"/>
      <c r="F957" s="244"/>
      <c r="G957" s="244"/>
      <c r="H957" s="244"/>
      <c r="I957" s="244"/>
      <c r="J957" s="244"/>
      <c r="K957" s="244"/>
      <c r="L957" s="244"/>
      <c r="M957" s="244"/>
      <c r="N957" s="244"/>
      <c r="O957" s="244"/>
      <c r="P957" s="244"/>
      <c r="Q957" s="244"/>
      <c r="R957" s="244"/>
      <c r="S957" s="244"/>
      <c r="T957" s="244"/>
      <c r="U957" s="244"/>
      <c r="V957" s="244"/>
      <c r="W957" s="244"/>
      <c r="X957" s="244"/>
      <c r="Y957" s="244"/>
      <c r="Z957" s="244"/>
    </row>
    <row r="958">
      <c r="A958" s="244"/>
      <c r="B958" s="244"/>
      <c r="C958" s="244"/>
      <c r="D958" s="244"/>
      <c r="E958" s="244"/>
      <c r="F958" s="244"/>
      <c r="G958" s="244"/>
      <c r="H958" s="244"/>
      <c r="I958" s="244"/>
      <c r="J958" s="244"/>
      <c r="K958" s="244"/>
      <c r="L958" s="244"/>
      <c r="M958" s="244"/>
      <c r="N958" s="244"/>
      <c r="O958" s="244"/>
      <c r="P958" s="244"/>
      <c r="Q958" s="244"/>
      <c r="R958" s="244"/>
      <c r="S958" s="244"/>
      <c r="T958" s="244"/>
      <c r="U958" s="244"/>
      <c r="V958" s="244"/>
      <c r="W958" s="244"/>
      <c r="X958" s="244"/>
      <c r="Y958" s="244"/>
      <c r="Z958" s="244"/>
    </row>
    <row r="959">
      <c r="A959" s="244"/>
      <c r="B959" s="244"/>
      <c r="C959" s="244"/>
      <c r="D959" s="244"/>
      <c r="E959" s="244"/>
      <c r="F959" s="244"/>
      <c r="G959" s="244"/>
      <c r="H959" s="244"/>
      <c r="I959" s="244"/>
      <c r="J959" s="244"/>
      <c r="K959" s="244"/>
      <c r="L959" s="244"/>
      <c r="M959" s="244"/>
      <c r="N959" s="244"/>
      <c r="O959" s="244"/>
      <c r="P959" s="244"/>
      <c r="Q959" s="244"/>
      <c r="R959" s="244"/>
      <c r="S959" s="244"/>
      <c r="T959" s="244"/>
      <c r="U959" s="244"/>
      <c r="V959" s="244"/>
      <c r="W959" s="244"/>
      <c r="X959" s="244"/>
      <c r="Y959" s="244"/>
      <c r="Z959" s="244"/>
    </row>
    <row r="960">
      <c r="A960" s="244"/>
      <c r="B960" s="244"/>
      <c r="C960" s="244"/>
      <c r="D960" s="244"/>
      <c r="E960" s="244"/>
      <c r="F960" s="244"/>
      <c r="G960" s="244"/>
      <c r="H960" s="244"/>
      <c r="I960" s="244"/>
      <c r="J960" s="244"/>
      <c r="K960" s="244"/>
      <c r="L960" s="244"/>
      <c r="M960" s="244"/>
      <c r="N960" s="244"/>
      <c r="O960" s="244"/>
      <c r="P960" s="244"/>
      <c r="Q960" s="244"/>
      <c r="R960" s="244"/>
      <c r="S960" s="244"/>
      <c r="T960" s="244"/>
      <c r="U960" s="244"/>
      <c r="V960" s="244"/>
      <c r="W960" s="244"/>
      <c r="X960" s="244"/>
      <c r="Y960" s="244"/>
      <c r="Z960" s="244"/>
    </row>
    <row r="961">
      <c r="A961" s="244"/>
      <c r="B961" s="244"/>
      <c r="C961" s="244"/>
      <c r="D961" s="244"/>
      <c r="E961" s="244"/>
      <c r="F961" s="244"/>
      <c r="G961" s="244"/>
      <c r="H961" s="244"/>
      <c r="I961" s="244"/>
      <c r="J961" s="244"/>
      <c r="K961" s="244"/>
      <c r="L961" s="244"/>
      <c r="M961" s="244"/>
      <c r="N961" s="244"/>
      <c r="O961" s="244"/>
      <c r="P961" s="244"/>
      <c r="Q961" s="244"/>
      <c r="R961" s="244"/>
      <c r="S961" s="244"/>
      <c r="T961" s="244"/>
      <c r="U961" s="244"/>
      <c r="V961" s="244"/>
      <c r="W961" s="244"/>
      <c r="X961" s="244"/>
      <c r="Y961" s="244"/>
      <c r="Z961" s="244"/>
    </row>
    <row r="962">
      <c r="A962" s="244"/>
      <c r="B962" s="244"/>
      <c r="C962" s="244"/>
      <c r="D962" s="244"/>
      <c r="E962" s="244"/>
      <c r="F962" s="244"/>
      <c r="G962" s="244"/>
      <c r="H962" s="244"/>
      <c r="I962" s="244"/>
      <c r="J962" s="244"/>
      <c r="K962" s="244"/>
      <c r="L962" s="244"/>
      <c r="M962" s="244"/>
      <c r="N962" s="244"/>
      <c r="O962" s="244"/>
      <c r="P962" s="244"/>
      <c r="Q962" s="244"/>
      <c r="R962" s="244"/>
      <c r="S962" s="244"/>
      <c r="T962" s="244"/>
      <c r="U962" s="244"/>
      <c r="V962" s="244"/>
      <c r="W962" s="244"/>
      <c r="X962" s="244"/>
      <c r="Y962" s="244"/>
      <c r="Z962" s="244"/>
    </row>
    <row r="963">
      <c r="A963" s="244"/>
      <c r="B963" s="244"/>
      <c r="C963" s="244"/>
      <c r="D963" s="244"/>
      <c r="E963" s="244"/>
      <c r="F963" s="244"/>
      <c r="G963" s="244"/>
      <c r="H963" s="244"/>
      <c r="I963" s="244"/>
      <c r="J963" s="244"/>
      <c r="K963" s="244"/>
      <c r="L963" s="244"/>
      <c r="M963" s="244"/>
      <c r="N963" s="244"/>
      <c r="O963" s="244"/>
      <c r="P963" s="244"/>
      <c r="Q963" s="244"/>
      <c r="R963" s="244"/>
      <c r="S963" s="244"/>
      <c r="T963" s="244"/>
      <c r="U963" s="244"/>
      <c r="V963" s="244"/>
      <c r="W963" s="244"/>
      <c r="X963" s="244"/>
      <c r="Y963" s="244"/>
      <c r="Z963" s="244"/>
    </row>
    <row r="964">
      <c r="A964" s="244"/>
      <c r="B964" s="244"/>
      <c r="C964" s="244"/>
      <c r="D964" s="244"/>
      <c r="E964" s="244"/>
      <c r="F964" s="244"/>
      <c r="G964" s="244"/>
      <c r="H964" s="244"/>
      <c r="I964" s="244"/>
      <c r="J964" s="244"/>
      <c r="K964" s="244"/>
      <c r="L964" s="244"/>
      <c r="M964" s="244"/>
      <c r="N964" s="244"/>
      <c r="O964" s="244"/>
      <c r="P964" s="244"/>
      <c r="Q964" s="244"/>
      <c r="R964" s="244"/>
      <c r="S964" s="244"/>
      <c r="T964" s="244"/>
      <c r="U964" s="244"/>
      <c r="V964" s="244"/>
      <c r="W964" s="244"/>
      <c r="X964" s="244"/>
      <c r="Y964" s="244"/>
      <c r="Z964" s="244"/>
    </row>
    <row r="965">
      <c r="A965" s="244"/>
      <c r="B965" s="244"/>
      <c r="C965" s="244"/>
      <c r="D965" s="244"/>
      <c r="E965" s="244"/>
      <c r="F965" s="244"/>
      <c r="G965" s="244"/>
      <c r="H965" s="244"/>
      <c r="I965" s="244"/>
      <c r="J965" s="244"/>
      <c r="K965" s="244"/>
      <c r="L965" s="244"/>
      <c r="M965" s="244"/>
      <c r="N965" s="244"/>
      <c r="O965" s="244"/>
      <c r="P965" s="244"/>
      <c r="Q965" s="244"/>
      <c r="R965" s="244"/>
      <c r="S965" s="244"/>
      <c r="T965" s="244"/>
      <c r="U965" s="244"/>
      <c r="V965" s="244"/>
      <c r="W965" s="244"/>
      <c r="X965" s="244"/>
      <c r="Y965" s="244"/>
      <c r="Z965" s="244"/>
    </row>
    <row r="966">
      <c r="A966" s="244"/>
      <c r="B966" s="244"/>
      <c r="C966" s="244"/>
      <c r="D966" s="244"/>
      <c r="E966" s="244"/>
      <c r="F966" s="244"/>
      <c r="G966" s="244"/>
      <c r="H966" s="244"/>
      <c r="I966" s="244"/>
      <c r="J966" s="244"/>
      <c r="K966" s="244"/>
      <c r="L966" s="244"/>
      <c r="M966" s="244"/>
      <c r="N966" s="244"/>
      <c r="O966" s="244"/>
      <c r="P966" s="244"/>
      <c r="Q966" s="244"/>
      <c r="R966" s="244"/>
      <c r="S966" s="244"/>
      <c r="T966" s="244"/>
      <c r="U966" s="244"/>
      <c r="V966" s="244"/>
      <c r="W966" s="244"/>
      <c r="X966" s="244"/>
      <c r="Y966" s="244"/>
      <c r="Z966" s="244"/>
    </row>
    <row r="967">
      <c r="A967" s="244"/>
      <c r="B967" s="244"/>
      <c r="C967" s="244"/>
      <c r="D967" s="244"/>
      <c r="E967" s="244"/>
      <c r="F967" s="244"/>
      <c r="G967" s="244"/>
      <c r="H967" s="244"/>
      <c r="I967" s="244"/>
      <c r="J967" s="244"/>
      <c r="K967" s="244"/>
      <c r="L967" s="244"/>
      <c r="M967" s="244"/>
      <c r="N967" s="244"/>
      <c r="O967" s="244"/>
      <c r="P967" s="244"/>
      <c r="Q967" s="244"/>
      <c r="R967" s="244"/>
      <c r="S967" s="244"/>
      <c r="T967" s="244"/>
      <c r="U967" s="244"/>
      <c r="V967" s="244"/>
      <c r="W967" s="244"/>
      <c r="X967" s="244"/>
      <c r="Y967" s="244"/>
      <c r="Z967" s="244"/>
    </row>
    <row r="968">
      <c r="A968" s="244"/>
      <c r="B968" s="244"/>
      <c r="C968" s="244"/>
      <c r="D968" s="244"/>
      <c r="E968" s="244"/>
      <c r="F968" s="244"/>
      <c r="G968" s="244"/>
      <c r="H968" s="244"/>
      <c r="I968" s="244"/>
      <c r="J968" s="244"/>
      <c r="K968" s="244"/>
      <c r="L968" s="244"/>
      <c r="M968" s="244"/>
      <c r="N968" s="244"/>
      <c r="O968" s="244"/>
      <c r="P968" s="244"/>
      <c r="Q968" s="244"/>
      <c r="R968" s="244"/>
      <c r="S968" s="244"/>
      <c r="T968" s="244"/>
      <c r="U968" s="244"/>
      <c r="V968" s="244"/>
      <c r="W968" s="244"/>
      <c r="X968" s="244"/>
      <c r="Y968" s="244"/>
      <c r="Z968" s="244"/>
    </row>
    <row r="969">
      <c r="A969" s="244"/>
      <c r="B969" s="244"/>
      <c r="C969" s="244"/>
      <c r="D969" s="244"/>
      <c r="E969" s="244"/>
      <c r="F969" s="244"/>
      <c r="G969" s="244"/>
      <c r="H969" s="244"/>
      <c r="I969" s="244"/>
      <c r="J969" s="244"/>
      <c r="K969" s="244"/>
      <c r="L969" s="244"/>
      <c r="M969" s="244"/>
      <c r="N969" s="244"/>
      <c r="O969" s="244"/>
      <c r="P969" s="244"/>
      <c r="Q969" s="244"/>
      <c r="R969" s="244"/>
      <c r="S969" s="244"/>
      <c r="T969" s="244"/>
      <c r="U969" s="244"/>
      <c r="V969" s="244"/>
      <c r="W969" s="244"/>
      <c r="X969" s="244"/>
      <c r="Y969" s="244"/>
      <c r="Z969" s="244"/>
    </row>
    <row r="970">
      <c r="A970" s="244"/>
      <c r="B970" s="244"/>
      <c r="C970" s="244"/>
      <c r="D970" s="244"/>
      <c r="E970" s="244"/>
      <c r="F970" s="244"/>
      <c r="G970" s="244"/>
      <c r="H970" s="244"/>
      <c r="I970" s="244"/>
      <c r="J970" s="244"/>
      <c r="K970" s="244"/>
      <c r="L970" s="244"/>
      <c r="M970" s="244"/>
      <c r="N970" s="244"/>
      <c r="O970" s="244"/>
      <c r="P970" s="244"/>
      <c r="Q970" s="244"/>
      <c r="R970" s="244"/>
      <c r="S970" s="244"/>
      <c r="T970" s="244"/>
      <c r="U970" s="244"/>
      <c r="V970" s="244"/>
      <c r="W970" s="244"/>
      <c r="X970" s="244"/>
      <c r="Y970" s="244"/>
      <c r="Z970" s="244"/>
    </row>
    <row r="971">
      <c r="A971" s="244"/>
      <c r="B971" s="244"/>
      <c r="C971" s="244"/>
      <c r="D971" s="244"/>
      <c r="E971" s="244"/>
      <c r="F971" s="244"/>
      <c r="G971" s="244"/>
      <c r="H971" s="244"/>
      <c r="I971" s="244"/>
      <c r="J971" s="244"/>
      <c r="K971" s="244"/>
      <c r="L971" s="244"/>
      <c r="M971" s="244"/>
      <c r="N971" s="244"/>
      <c r="O971" s="244"/>
      <c r="P971" s="244"/>
      <c r="Q971" s="244"/>
      <c r="R971" s="244"/>
      <c r="S971" s="244"/>
      <c r="T971" s="244"/>
      <c r="U971" s="244"/>
      <c r="V971" s="244"/>
      <c r="W971" s="244"/>
      <c r="X971" s="244"/>
      <c r="Y971" s="244"/>
      <c r="Z971" s="244"/>
    </row>
    <row r="972">
      <c r="A972" s="244"/>
      <c r="B972" s="244"/>
      <c r="C972" s="244"/>
      <c r="D972" s="244"/>
      <c r="E972" s="244"/>
      <c r="F972" s="244"/>
      <c r="G972" s="244"/>
      <c r="H972" s="244"/>
      <c r="I972" s="244"/>
      <c r="J972" s="244"/>
      <c r="K972" s="244"/>
      <c r="L972" s="244"/>
      <c r="M972" s="244"/>
      <c r="N972" s="244"/>
      <c r="O972" s="244"/>
      <c r="P972" s="244"/>
      <c r="Q972" s="244"/>
      <c r="R972" s="244"/>
      <c r="S972" s="244"/>
      <c r="T972" s="244"/>
      <c r="U972" s="244"/>
      <c r="V972" s="244"/>
      <c r="W972" s="244"/>
      <c r="X972" s="244"/>
      <c r="Y972" s="244"/>
      <c r="Z972" s="244"/>
    </row>
    <row r="973">
      <c r="A973" s="244"/>
      <c r="B973" s="244"/>
      <c r="C973" s="244"/>
      <c r="D973" s="244"/>
      <c r="E973" s="244"/>
      <c r="F973" s="244"/>
      <c r="G973" s="244"/>
      <c r="H973" s="244"/>
      <c r="I973" s="244"/>
      <c r="J973" s="244"/>
      <c r="K973" s="244"/>
      <c r="L973" s="244"/>
      <c r="M973" s="244"/>
      <c r="N973" s="244"/>
      <c r="O973" s="244"/>
      <c r="P973" s="244"/>
      <c r="Q973" s="244"/>
      <c r="R973" s="244"/>
      <c r="S973" s="244"/>
      <c r="T973" s="244"/>
      <c r="U973" s="244"/>
      <c r="V973" s="244"/>
      <c r="W973" s="244"/>
      <c r="X973" s="244"/>
      <c r="Y973" s="244"/>
      <c r="Z973" s="244"/>
    </row>
    <row r="974">
      <c r="A974" s="244"/>
      <c r="B974" s="244"/>
      <c r="C974" s="244"/>
      <c r="D974" s="244"/>
      <c r="E974" s="244"/>
      <c r="F974" s="244"/>
      <c r="G974" s="244"/>
      <c r="H974" s="244"/>
      <c r="I974" s="244"/>
      <c r="J974" s="244"/>
      <c r="K974" s="244"/>
      <c r="L974" s="244"/>
      <c r="M974" s="244"/>
      <c r="N974" s="244"/>
      <c r="O974" s="244"/>
      <c r="P974" s="244"/>
      <c r="Q974" s="244"/>
      <c r="R974" s="244"/>
      <c r="S974" s="244"/>
      <c r="T974" s="244"/>
      <c r="U974" s="244"/>
      <c r="V974" s="244"/>
      <c r="W974" s="244"/>
      <c r="X974" s="244"/>
      <c r="Y974" s="244"/>
      <c r="Z974" s="244"/>
    </row>
    <row r="975">
      <c r="A975" s="244"/>
      <c r="B975" s="244"/>
      <c r="C975" s="244"/>
      <c r="D975" s="244"/>
      <c r="E975" s="244"/>
      <c r="F975" s="244"/>
      <c r="G975" s="244"/>
      <c r="H975" s="244"/>
      <c r="I975" s="244"/>
      <c r="J975" s="244"/>
      <c r="K975" s="244"/>
      <c r="L975" s="244"/>
      <c r="M975" s="244"/>
      <c r="N975" s="244"/>
      <c r="O975" s="244"/>
      <c r="P975" s="244"/>
      <c r="Q975" s="244"/>
      <c r="R975" s="244"/>
      <c r="S975" s="244"/>
      <c r="T975" s="244"/>
      <c r="U975" s="244"/>
      <c r="V975" s="244"/>
      <c r="W975" s="244"/>
      <c r="X975" s="244"/>
      <c r="Y975" s="244"/>
      <c r="Z975" s="244"/>
    </row>
    <row r="976">
      <c r="A976" s="244"/>
      <c r="B976" s="244"/>
      <c r="C976" s="244"/>
      <c r="D976" s="244"/>
      <c r="E976" s="244"/>
      <c r="F976" s="244"/>
      <c r="G976" s="244"/>
      <c r="H976" s="244"/>
      <c r="I976" s="244"/>
      <c r="J976" s="244"/>
      <c r="K976" s="244"/>
      <c r="L976" s="244"/>
      <c r="M976" s="244"/>
      <c r="N976" s="244"/>
      <c r="O976" s="244"/>
      <c r="P976" s="244"/>
      <c r="Q976" s="244"/>
      <c r="R976" s="244"/>
      <c r="S976" s="244"/>
      <c r="T976" s="244"/>
      <c r="U976" s="244"/>
      <c r="V976" s="244"/>
      <c r="W976" s="244"/>
      <c r="X976" s="244"/>
      <c r="Y976" s="244"/>
      <c r="Z976" s="244"/>
    </row>
    <row r="977">
      <c r="A977" s="244"/>
      <c r="B977" s="244"/>
      <c r="C977" s="244"/>
      <c r="D977" s="244"/>
      <c r="E977" s="244"/>
      <c r="F977" s="244"/>
      <c r="G977" s="244"/>
      <c r="H977" s="244"/>
      <c r="I977" s="244"/>
      <c r="J977" s="244"/>
      <c r="K977" s="244"/>
      <c r="L977" s="244"/>
      <c r="M977" s="244"/>
      <c r="N977" s="244"/>
      <c r="O977" s="244"/>
      <c r="P977" s="244"/>
      <c r="Q977" s="244"/>
      <c r="R977" s="244"/>
      <c r="S977" s="244"/>
      <c r="T977" s="244"/>
      <c r="U977" s="244"/>
      <c r="V977" s="244"/>
      <c r="W977" s="244"/>
      <c r="X977" s="244"/>
      <c r="Y977" s="244"/>
      <c r="Z977" s="244"/>
    </row>
    <row r="978">
      <c r="A978" s="244"/>
      <c r="B978" s="244"/>
      <c r="C978" s="244"/>
      <c r="D978" s="244"/>
      <c r="E978" s="244"/>
      <c r="F978" s="244"/>
      <c r="G978" s="244"/>
      <c r="H978" s="244"/>
      <c r="I978" s="244"/>
      <c r="J978" s="244"/>
      <c r="K978" s="244"/>
      <c r="L978" s="244"/>
      <c r="M978" s="244"/>
      <c r="N978" s="244"/>
      <c r="O978" s="244"/>
      <c r="P978" s="244"/>
      <c r="Q978" s="244"/>
      <c r="R978" s="244"/>
      <c r="S978" s="244"/>
      <c r="T978" s="244"/>
      <c r="U978" s="244"/>
      <c r="V978" s="244"/>
      <c r="W978" s="244"/>
      <c r="X978" s="244"/>
      <c r="Y978" s="244"/>
      <c r="Z978" s="244"/>
    </row>
    <row r="979">
      <c r="A979" s="244"/>
      <c r="B979" s="244"/>
      <c r="C979" s="244"/>
      <c r="D979" s="244"/>
      <c r="E979" s="244"/>
      <c r="F979" s="244"/>
      <c r="G979" s="244"/>
      <c r="H979" s="244"/>
      <c r="I979" s="244"/>
      <c r="J979" s="244"/>
      <c r="K979" s="244"/>
      <c r="L979" s="244"/>
      <c r="M979" s="244"/>
      <c r="N979" s="244"/>
      <c r="O979" s="244"/>
      <c r="P979" s="244"/>
      <c r="Q979" s="244"/>
      <c r="R979" s="244"/>
      <c r="S979" s="244"/>
      <c r="T979" s="244"/>
      <c r="U979" s="244"/>
      <c r="V979" s="244"/>
      <c r="W979" s="244"/>
      <c r="X979" s="244"/>
      <c r="Y979" s="244"/>
      <c r="Z979" s="244"/>
    </row>
    <row r="980">
      <c r="A980" s="244"/>
      <c r="B980" s="244"/>
      <c r="C980" s="244"/>
      <c r="D980" s="244"/>
      <c r="E980" s="244"/>
      <c r="F980" s="244"/>
      <c r="G980" s="244"/>
      <c r="H980" s="244"/>
      <c r="I980" s="244"/>
      <c r="J980" s="244"/>
      <c r="K980" s="244"/>
      <c r="L980" s="244"/>
      <c r="M980" s="244"/>
      <c r="N980" s="244"/>
      <c r="O980" s="244"/>
      <c r="P980" s="244"/>
      <c r="Q980" s="244"/>
      <c r="R980" s="244"/>
      <c r="S980" s="244"/>
      <c r="T980" s="244"/>
      <c r="U980" s="244"/>
      <c r="V980" s="244"/>
      <c r="W980" s="244"/>
      <c r="X980" s="244"/>
      <c r="Y980" s="244"/>
      <c r="Z980" s="244"/>
    </row>
    <row r="981">
      <c r="A981" s="244"/>
      <c r="B981" s="244"/>
      <c r="C981" s="244"/>
      <c r="D981" s="244"/>
      <c r="E981" s="244"/>
      <c r="F981" s="244"/>
      <c r="G981" s="244"/>
      <c r="H981" s="244"/>
      <c r="I981" s="244"/>
      <c r="J981" s="244"/>
      <c r="K981" s="244"/>
      <c r="L981" s="244"/>
      <c r="M981" s="244"/>
      <c r="N981" s="244"/>
      <c r="O981" s="244"/>
      <c r="P981" s="244"/>
      <c r="Q981" s="244"/>
      <c r="R981" s="244"/>
      <c r="S981" s="244"/>
      <c r="T981" s="244"/>
      <c r="U981" s="244"/>
      <c r="V981" s="244"/>
      <c r="W981" s="244"/>
      <c r="X981" s="244"/>
      <c r="Y981" s="244"/>
      <c r="Z981" s="244"/>
    </row>
    <row r="982">
      <c r="A982" s="244"/>
      <c r="B982" s="244"/>
      <c r="C982" s="244"/>
      <c r="D982" s="244"/>
      <c r="E982" s="244"/>
      <c r="F982" s="244"/>
      <c r="G982" s="244"/>
      <c r="H982" s="244"/>
      <c r="I982" s="244"/>
      <c r="J982" s="244"/>
      <c r="K982" s="244"/>
      <c r="L982" s="244"/>
      <c r="M982" s="244"/>
      <c r="N982" s="244"/>
      <c r="O982" s="244"/>
      <c r="P982" s="244"/>
      <c r="Q982" s="244"/>
      <c r="R982" s="244"/>
      <c r="S982" s="244"/>
      <c r="T982" s="244"/>
      <c r="U982" s="244"/>
      <c r="V982" s="244"/>
      <c r="W982" s="244"/>
      <c r="X982" s="244"/>
      <c r="Y982" s="244"/>
      <c r="Z982" s="244"/>
    </row>
    <row r="983">
      <c r="A983" s="244"/>
      <c r="B983" s="244"/>
      <c r="C983" s="244"/>
      <c r="D983" s="244"/>
      <c r="E983" s="244"/>
      <c r="F983" s="244"/>
      <c r="G983" s="244"/>
      <c r="H983" s="244"/>
      <c r="I983" s="244"/>
      <c r="J983" s="244"/>
      <c r="K983" s="244"/>
      <c r="L983" s="244"/>
      <c r="M983" s="244"/>
      <c r="N983" s="244"/>
      <c r="O983" s="244"/>
      <c r="P983" s="244"/>
      <c r="Q983" s="244"/>
      <c r="R983" s="244"/>
      <c r="S983" s="244"/>
      <c r="T983" s="244"/>
      <c r="U983" s="244"/>
      <c r="V983" s="244"/>
      <c r="W983" s="244"/>
      <c r="X983" s="244"/>
      <c r="Y983" s="244"/>
      <c r="Z983" s="244"/>
    </row>
    <row r="984">
      <c r="A984" s="244"/>
      <c r="B984" s="244"/>
      <c r="C984" s="244"/>
      <c r="D984" s="244"/>
      <c r="E984" s="244"/>
      <c r="F984" s="244"/>
      <c r="G984" s="244"/>
      <c r="H984" s="244"/>
      <c r="I984" s="244"/>
      <c r="J984" s="244"/>
      <c r="K984" s="244"/>
      <c r="L984" s="244"/>
      <c r="M984" s="244"/>
      <c r="N984" s="244"/>
      <c r="O984" s="244"/>
      <c r="P984" s="244"/>
      <c r="Q984" s="244"/>
      <c r="R984" s="244"/>
      <c r="S984" s="244"/>
      <c r="T984" s="244"/>
      <c r="U984" s="244"/>
      <c r="V984" s="244"/>
      <c r="W984" s="244"/>
      <c r="X984" s="244"/>
      <c r="Y984" s="244"/>
      <c r="Z984" s="244"/>
    </row>
    <row r="985">
      <c r="A985" s="244"/>
      <c r="B985" s="244"/>
      <c r="C985" s="244"/>
      <c r="D985" s="244"/>
      <c r="E985" s="244"/>
      <c r="F985" s="244"/>
      <c r="G985" s="244"/>
      <c r="H985" s="244"/>
      <c r="I985" s="244"/>
      <c r="J985" s="244"/>
      <c r="K985" s="244"/>
      <c r="L985" s="244"/>
      <c r="M985" s="244"/>
      <c r="N985" s="244"/>
      <c r="O985" s="244"/>
      <c r="P985" s="244"/>
      <c r="Q985" s="244"/>
      <c r="R985" s="244"/>
      <c r="S985" s="244"/>
      <c r="T985" s="244"/>
      <c r="U985" s="244"/>
      <c r="V985" s="244"/>
      <c r="W985" s="244"/>
      <c r="X985" s="244"/>
      <c r="Y985" s="244"/>
      <c r="Z985" s="244"/>
    </row>
    <row r="986">
      <c r="A986" s="244"/>
      <c r="B986" s="244"/>
      <c r="C986" s="244"/>
      <c r="D986" s="244"/>
      <c r="E986" s="244"/>
      <c r="F986" s="244"/>
      <c r="G986" s="244"/>
      <c r="H986" s="244"/>
      <c r="I986" s="244"/>
      <c r="J986" s="244"/>
      <c r="K986" s="244"/>
      <c r="L986" s="244"/>
      <c r="M986" s="244"/>
      <c r="N986" s="244"/>
      <c r="O986" s="244"/>
      <c r="P986" s="244"/>
      <c r="Q986" s="244"/>
      <c r="R986" s="244"/>
      <c r="S986" s="244"/>
      <c r="T986" s="244"/>
      <c r="U986" s="244"/>
      <c r="V986" s="244"/>
      <c r="W986" s="244"/>
      <c r="X986" s="244"/>
      <c r="Y986" s="244"/>
      <c r="Z986" s="244"/>
    </row>
    <row r="987">
      <c r="A987" s="244"/>
      <c r="B987" s="244"/>
      <c r="C987" s="244"/>
      <c r="D987" s="244"/>
      <c r="E987" s="244"/>
      <c r="F987" s="244"/>
      <c r="G987" s="244"/>
      <c r="H987" s="244"/>
      <c r="I987" s="244"/>
      <c r="J987" s="244"/>
      <c r="K987" s="244"/>
      <c r="L987" s="244"/>
      <c r="M987" s="244"/>
      <c r="N987" s="244"/>
      <c r="O987" s="244"/>
      <c r="P987" s="244"/>
      <c r="Q987" s="244"/>
      <c r="R987" s="244"/>
      <c r="S987" s="244"/>
      <c r="T987" s="244"/>
      <c r="U987" s="244"/>
      <c r="V987" s="244"/>
      <c r="W987" s="244"/>
      <c r="X987" s="244"/>
      <c r="Y987" s="244"/>
      <c r="Z987" s="244"/>
    </row>
    <row r="988">
      <c r="A988" s="244"/>
      <c r="B988" s="244"/>
      <c r="C988" s="244"/>
      <c r="D988" s="244"/>
      <c r="E988" s="244"/>
      <c r="F988" s="244"/>
      <c r="G988" s="244"/>
      <c r="H988" s="244"/>
      <c r="I988" s="244"/>
      <c r="J988" s="244"/>
      <c r="K988" s="244"/>
      <c r="L988" s="244"/>
      <c r="M988" s="244"/>
      <c r="N988" s="244"/>
      <c r="O988" s="244"/>
      <c r="P988" s="244"/>
      <c r="Q988" s="244"/>
      <c r="R988" s="244"/>
      <c r="S988" s="244"/>
      <c r="T988" s="244"/>
      <c r="U988" s="244"/>
      <c r="V988" s="244"/>
      <c r="W988" s="244"/>
      <c r="X988" s="244"/>
      <c r="Y988" s="244"/>
      <c r="Z988" s="244"/>
    </row>
    <row r="989">
      <c r="A989" s="244"/>
      <c r="B989" s="244"/>
      <c r="C989" s="244"/>
      <c r="D989" s="244"/>
      <c r="E989" s="244"/>
      <c r="F989" s="244"/>
      <c r="G989" s="244"/>
      <c r="H989" s="244"/>
      <c r="I989" s="244"/>
      <c r="J989" s="244"/>
      <c r="K989" s="244"/>
      <c r="L989" s="244"/>
      <c r="M989" s="244"/>
      <c r="N989" s="244"/>
      <c r="O989" s="244"/>
      <c r="P989" s="244"/>
      <c r="Q989" s="244"/>
      <c r="R989" s="244"/>
      <c r="S989" s="244"/>
      <c r="T989" s="244"/>
      <c r="U989" s="244"/>
      <c r="V989" s="244"/>
      <c r="W989" s="244"/>
      <c r="X989" s="244"/>
      <c r="Y989" s="244"/>
      <c r="Z989" s="244"/>
    </row>
    <row r="990">
      <c r="A990" s="244"/>
      <c r="B990" s="244"/>
      <c r="C990" s="244"/>
      <c r="D990" s="244"/>
      <c r="E990" s="244"/>
      <c r="F990" s="244"/>
      <c r="G990" s="244"/>
      <c r="H990" s="244"/>
      <c r="I990" s="244"/>
      <c r="J990" s="244"/>
      <c r="K990" s="244"/>
      <c r="L990" s="244"/>
      <c r="M990" s="244"/>
      <c r="N990" s="244"/>
      <c r="O990" s="244"/>
      <c r="P990" s="244"/>
      <c r="Q990" s="244"/>
      <c r="R990" s="244"/>
      <c r="S990" s="244"/>
      <c r="T990" s="244"/>
      <c r="U990" s="244"/>
      <c r="V990" s="244"/>
      <c r="W990" s="244"/>
      <c r="X990" s="244"/>
      <c r="Y990" s="244"/>
      <c r="Z990" s="244"/>
    </row>
    <row r="991">
      <c r="A991" s="244"/>
      <c r="B991" s="244"/>
      <c r="C991" s="244"/>
      <c r="D991" s="244"/>
      <c r="E991" s="244"/>
      <c r="F991" s="244"/>
      <c r="G991" s="244"/>
      <c r="H991" s="244"/>
      <c r="I991" s="244"/>
      <c r="J991" s="244"/>
      <c r="K991" s="244"/>
      <c r="L991" s="244"/>
      <c r="M991" s="244"/>
      <c r="N991" s="244"/>
      <c r="O991" s="244"/>
      <c r="P991" s="244"/>
      <c r="Q991" s="244"/>
      <c r="R991" s="244"/>
      <c r="S991" s="244"/>
      <c r="T991" s="244"/>
      <c r="U991" s="244"/>
      <c r="V991" s="244"/>
      <c r="W991" s="244"/>
      <c r="X991" s="244"/>
      <c r="Y991" s="244"/>
      <c r="Z991" s="244"/>
    </row>
    <row r="992">
      <c r="A992" s="244"/>
      <c r="B992" s="244"/>
      <c r="C992" s="244"/>
      <c r="D992" s="244"/>
      <c r="E992" s="244"/>
      <c r="F992" s="244"/>
      <c r="G992" s="244"/>
      <c r="H992" s="244"/>
      <c r="I992" s="244"/>
      <c r="J992" s="244"/>
      <c r="K992" s="244"/>
      <c r="L992" s="244"/>
      <c r="M992" s="244"/>
      <c r="N992" s="244"/>
      <c r="O992" s="244"/>
      <c r="P992" s="244"/>
      <c r="Q992" s="244"/>
      <c r="R992" s="244"/>
      <c r="S992" s="244"/>
      <c r="T992" s="244"/>
      <c r="U992" s="244"/>
      <c r="V992" s="244"/>
      <c r="W992" s="244"/>
      <c r="X992" s="244"/>
      <c r="Y992" s="244"/>
      <c r="Z992" s="244"/>
    </row>
    <row r="993">
      <c r="A993" s="244"/>
      <c r="B993" s="244"/>
      <c r="C993" s="244"/>
      <c r="D993" s="244"/>
      <c r="E993" s="244"/>
      <c r="F993" s="244"/>
      <c r="G993" s="244"/>
      <c r="H993" s="244"/>
      <c r="I993" s="244"/>
      <c r="J993" s="244"/>
      <c r="K993" s="244"/>
      <c r="L993" s="244"/>
      <c r="M993" s="244"/>
      <c r="N993" s="244"/>
      <c r="O993" s="244"/>
      <c r="P993" s="244"/>
      <c r="Q993" s="244"/>
      <c r="R993" s="244"/>
      <c r="S993" s="244"/>
      <c r="T993" s="244"/>
      <c r="U993" s="244"/>
      <c r="V993" s="244"/>
      <c r="W993" s="244"/>
      <c r="X993" s="244"/>
      <c r="Y993" s="244"/>
      <c r="Z993" s="244"/>
    </row>
    <row r="994">
      <c r="A994" s="244"/>
      <c r="B994" s="244"/>
      <c r="C994" s="244"/>
      <c r="D994" s="244"/>
      <c r="E994" s="244"/>
      <c r="F994" s="244"/>
      <c r="G994" s="244"/>
      <c r="H994" s="244"/>
      <c r="I994" s="244"/>
      <c r="J994" s="244"/>
      <c r="K994" s="244"/>
      <c r="L994" s="244"/>
      <c r="M994" s="244"/>
      <c r="N994" s="244"/>
      <c r="O994" s="244"/>
      <c r="P994" s="244"/>
      <c r="Q994" s="244"/>
      <c r="R994" s="244"/>
      <c r="S994" s="244"/>
      <c r="T994" s="244"/>
      <c r="U994" s="244"/>
      <c r="V994" s="244"/>
      <c r="W994" s="244"/>
      <c r="X994" s="244"/>
      <c r="Y994" s="244"/>
      <c r="Z994" s="244"/>
    </row>
    <row r="995">
      <c r="A995" s="244"/>
      <c r="B995" s="244"/>
      <c r="C995" s="244"/>
      <c r="D995" s="244"/>
      <c r="E995" s="244"/>
      <c r="F995" s="244"/>
      <c r="G995" s="244"/>
      <c r="H995" s="244"/>
      <c r="I995" s="244"/>
      <c r="J995" s="244"/>
      <c r="K995" s="244"/>
      <c r="L995" s="244"/>
      <c r="M995" s="244"/>
      <c r="N995" s="244"/>
      <c r="O995" s="244"/>
      <c r="P995" s="244"/>
      <c r="Q995" s="244"/>
      <c r="R995" s="244"/>
      <c r="S995" s="244"/>
      <c r="T995" s="244"/>
      <c r="U995" s="244"/>
      <c r="V995" s="244"/>
      <c r="W995" s="244"/>
      <c r="X995" s="244"/>
      <c r="Y995" s="244"/>
      <c r="Z995" s="244"/>
    </row>
    <row r="996">
      <c r="A996" s="244"/>
      <c r="B996" s="244"/>
      <c r="C996" s="244"/>
      <c r="D996" s="244"/>
      <c r="E996" s="244"/>
      <c r="F996" s="244"/>
      <c r="G996" s="244"/>
      <c r="H996" s="244"/>
      <c r="I996" s="244"/>
      <c r="J996" s="244"/>
      <c r="K996" s="244"/>
      <c r="L996" s="244"/>
      <c r="M996" s="244"/>
      <c r="N996" s="244"/>
      <c r="O996" s="244"/>
      <c r="P996" s="244"/>
      <c r="Q996" s="244"/>
      <c r="R996" s="244"/>
      <c r="S996" s="244"/>
      <c r="T996" s="244"/>
      <c r="U996" s="244"/>
      <c r="V996" s="244"/>
      <c r="W996" s="244"/>
      <c r="X996" s="244"/>
      <c r="Y996" s="244"/>
      <c r="Z996" s="244"/>
    </row>
    <row r="997">
      <c r="A997" s="244"/>
      <c r="B997" s="244"/>
      <c r="C997" s="244"/>
      <c r="D997" s="244"/>
      <c r="E997" s="244"/>
      <c r="F997" s="244"/>
      <c r="G997" s="244"/>
      <c r="H997" s="244"/>
      <c r="I997" s="244"/>
      <c r="J997" s="244"/>
      <c r="K997" s="244"/>
      <c r="L997" s="244"/>
      <c r="M997" s="244"/>
      <c r="N997" s="244"/>
      <c r="O997" s="244"/>
      <c r="P997" s="244"/>
      <c r="Q997" s="244"/>
      <c r="R997" s="244"/>
      <c r="S997" s="244"/>
      <c r="T997" s="244"/>
      <c r="U997" s="244"/>
      <c r="V997" s="244"/>
      <c r="W997" s="244"/>
      <c r="X997" s="244"/>
      <c r="Y997" s="244"/>
      <c r="Z997" s="244"/>
    </row>
    <row r="998">
      <c r="A998" s="244"/>
      <c r="B998" s="244"/>
      <c r="C998" s="244"/>
      <c r="D998" s="244"/>
      <c r="E998" s="244"/>
      <c r="F998" s="244"/>
      <c r="G998" s="244"/>
      <c r="H998" s="244"/>
      <c r="I998" s="244"/>
      <c r="J998" s="244"/>
      <c r="K998" s="244"/>
      <c r="L998" s="244"/>
      <c r="M998" s="244"/>
      <c r="N998" s="244"/>
      <c r="O998" s="244"/>
      <c r="P998" s="244"/>
      <c r="Q998" s="244"/>
      <c r="R998" s="244"/>
      <c r="S998" s="244"/>
      <c r="T998" s="244"/>
      <c r="U998" s="244"/>
      <c r="V998" s="244"/>
      <c r="W998" s="244"/>
      <c r="X998" s="244"/>
      <c r="Y998" s="244"/>
      <c r="Z998" s="244"/>
    </row>
    <row r="999">
      <c r="A999" s="244"/>
      <c r="B999" s="244"/>
      <c r="C999" s="244"/>
      <c r="D999" s="244"/>
      <c r="E999" s="244"/>
      <c r="F999" s="244"/>
      <c r="G999" s="244"/>
      <c r="H999" s="244"/>
      <c r="I999" s="244"/>
      <c r="J999" s="244"/>
      <c r="K999" s="244"/>
      <c r="L999" s="244"/>
      <c r="M999" s="244"/>
      <c r="N999" s="244"/>
      <c r="O999" s="244"/>
      <c r="P999" s="244"/>
      <c r="Q999" s="244"/>
      <c r="R999" s="244"/>
      <c r="S999" s="244"/>
      <c r="T999" s="244"/>
      <c r="U999" s="244"/>
      <c r="V999" s="244"/>
      <c r="W999" s="244"/>
      <c r="X999" s="244"/>
      <c r="Y999" s="244"/>
      <c r="Z999" s="244"/>
    </row>
    <row r="1000">
      <c r="A1000" s="244"/>
      <c r="B1000" s="244"/>
      <c r="C1000" s="244"/>
      <c r="D1000" s="244"/>
      <c r="E1000" s="244"/>
      <c r="F1000" s="244"/>
      <c r="G1000" s="244"/>
      <c r="H1000" s="244"/>
      <c r="I1000" s="244"/>
      <c r="J1000" s="244"/>
      <c r="K1000" s="244"/>
      <c r="L1000" s="244"/>
      <c r="M1000" s="244"/>
      <c r="N1000" s="244"/>
      <c r="O1000" s="244"/>
      <c r="P1000" s="244"/>
      <c r="Q1000" s="244"/>
      <c r="R1000" s="244"/>
      <c r="S1000" s="244"/>
      <c r="T1000" s="244"/>
      <c r="U1000" s="244"/>
      <c r="V1000" s="244"/>
      <c r="W1000" s="244"/>
      <c r="X1000" s="244"/>
      <c r="Y1000" s="244"/>
      <c r="Z1000" s="244"/>
    </row>
    <row r="1001">
      <c r="A1001" s="244"/>
      <c r="B1001" s="244"/>
      <c r="C1001" s="244"/>
      <c r="D1001" s="244"/>
      <c r="E1001" s="244"/>
      <c r="F1001" s="244"/>
      <c r="G1001" s="244"/>
      <c r="H1001" s="244"/>
      <c r="I1001" s="244"/>
      <c r="J1001" s="244"/>
      <c r="K1001" s="244"/>
      <c r="L1001" s="244"/>
      <c r="M1001" s="244"/>
      <c r="N1001" s="244"/>
      <c r="O1001" s="244"/>
      <c r="P1001" s="244"/>
      <c r="Q1001" s="244"/>
      <c r="R1001" s="244"/>
      <c r="S1001" s="244"/>
      <c r="T1001" s="244"/>
      <c r="U1001" s="244"/>
      <c r="V1001" s="244"/>
      <c r="W1001" s="244"/>
      <c r="X1001" s="244"/>
      <c r="Y1001" s="244"/>
      <c r="Z1001" s="244"/>
    </row>
    <row r="1002">
      <c r="A1002" s="244"/>
      <c r="B1002" s="244"/>
      <c r="C1002" s="244"/>
      <c r="D1002" s="244"/>
      <c r="E1002" s="244"/>
      <c r="F1002" s="244"/>
      <c r="G1002" s="244"/>
      <c r="H1002" s="244"/>
      <c r="I1002" s="244"/>
      <c r="J1002" s="244"/>
      <c r="K1002" s="244"/>
      <c r="L1002" s="244"/>
      <c r="M1002" s="244"/>
      <c r="N1002" s="244"/>
      <c r="O1002" s="244"/>
      <c r="P1002" s="244"/>
      <c r="Q1002" s="244"/>
      <c r="R1002" s="244"/>
      <c r="S1002" s="244"/>
      <c r="T1002" s="244"/>
      <c r="U1002" s="244"/>
      <c r="V1002" s="244"/>
      <c r="W1002" s="244"/>
      <c r="X1002" s="244"/>
      <c r="Y1002" s="244"/>
      <c r="Z1002" s="244"/>
    </row>
    <row r="1003">
      <c r="A1003" s="244"/>
      <c r="B1003" s="244"/>
      <c r="C1003" s="244"/>
      <c r="D1003" s="244"/>
      <c r="E1003" s="244"/>
      <c r="F1003" s="244"/>
      <c r="G1003" s="244"/>
      <c r="H1003" s="244"/>
      <c r="I1003" s="244"/>
      <c r="J1003" s="244"/>
      <c r="K1003" s="244"/>
      <c r="L1003" s="244"/>
      <c r="M1003" s="244"/>
      <c r="N1003" s="244"/>
      <c r="O1003" s="244"/>
      <c r="P1003" s="244"/>
      <c r="Q1003" s="244"/>
      <c r="R1003" s="244"/>
      <c r="S1003" s="244"/>
      <c r="T1003" s="244"/>
      <c r="U1003" s="244"/>
      <c r="V1003" s="244"/>
      <c r="W1003" s="244"/>
      <c r="X1003" s="244"/>
      <c r="Y1003" s="244"/>
      <c r="Z1003" s="244"/>
    </row>
    <row r="1004">
      <c r="A1004" s="244"/>
      <c r="B1004" s="244"/>
      <c r="C1004" s="244"/>
      <c r="D1004" s="244"/>
      <c r="E1004" s="244"/>
      <c r="F1004" s="244"/>
      <c r="G1004" s="244"/>
      <c r="H1004" s="244"/>
      <c r="I1004" s="244"/>
      <c r="J1004" s="244"/>
      <c r="K1004" s="244"/>
      <c r="L1004" s="244"/>
      <c r="M1004" s="244"/>
      <c r="N1004" s="244"/>
      <c r="O1004" s="244"/>
      <c r="P1004" s="244"/>
      <c r="Q1004" s="244"/>
      <c r="R1004" s="244"/>
      <c r="S1004" s="244"/>
      <c r="T1004" s="244"/>
      <c r="U1004" s="244"/>
      <c r="V1004" s="244"/>
      <c r="W1004" s="244"/>
      <c r="X1004" s="244"/>
      <c r="Y1004" s="244"/>
      <c r="Z1004" s="244"/>
    </row>
    <row r="1005">
      <c r="A1005" s="244"/>
      <c r="B1005" s="244"/>
      <c r="C1005" s="244"/>
      <c r="D1005" s="244"/>
      <c r="E1005" s="244"/>
      <c r="F1005" s="244"/>
      <c r="G1005" s="244"/>
      <c r="H1005" s="244"/>
      <c r="I1005" s="244"/>
      <c r="J1005" s="244"/>
      <c r="K1005" s="244"/>
      <c r="L1005" s="244"/>
      <c r="M1005" s="244"/>
      <c r="N1005" s="244"/>
      <c r="O1005" s="244"/>
      <c r="P1005" s="244"/>
      <c r="Q1005" s="244"/>
      <c r="R1005" s="244"/>
      <c r="S1005" s="244"/>
      <c r="T1005" s="244"/>
      <c r="U1005" s="244"/>
      <c r="V1005" s="244"/>
      <c r="W1005" s="244"/>
      <c r="X1005" s="244"/>
      <c r="Y1005" s="244"/>
      <c r="Z1005" s="244"/>
    </row>
    <row r="1006">
      <c r="A1006" s="244"/>
      <c r="B1006" s="244"/>
      <c r="C1006" s="244"/>
      <c r="D1006" s="244"/>
      <c r="E1006" s="244"/>
      <c r="F1006" s="244"/>
      <c r="G1006" s="244"/>
      <c r="H1006" s="244"/>
      <c r="I1006" s="244"/>
      <c r="J1006" s="244"/>
      <c r="K1006" s="244"/>
      <c r="L1006" s="244"/>
      <c r="M1006" s="244"/>
      <c r="N1006" s="244"/>
      <c r="O1006" s="244"/>
      <c r="P1006" s="244"/>
      <c r="Q1006" s="244"/>
      <c r="R1006" s="244"/>
      <c r="S1006" s="244"/>
      <c r="T1006" s="244"/>
      <c r="U1006" s="244"/>
      <c r="V1006" s="244"/>
      <c r="W1006" s="244"/>
      <c r="X1006" s="244"/>
      <c r="Y1006" s="244"/>
      <c r="Z1006" s="244"/>
    </row>
    <row r="1007">
      <c r="A1007" s="244"/>
      <c r="B1007" s="244"/>
      <c r="C1007" s="244"/>
      <c r="D1007" s="244"/>
      <c r="E1007" s="244"/>
      <c r="F1007" s="244"/>
      <c r="G1007" s="244"/>
      <c r="H1007" s="244"/>
      <c r="I1007" s="244"/>
      <c r="J1007" s="244"/>
      <c r="K1007" s="244"/>
      <c r="L1007" s="244"/>
      <c r="M1007" s="244"/>
      <c r="N1007" s="244"/>
      <c r="O1007" s="244"/>
      <c r="P1007" s="244"/>
      <c r="Q1007" s="244"/>
      <c r="R1007" s="244"/>
      <c r="S1007" s="244"/>
      <c r="T1007" s="244"/>
      <c r="U1007" s="244"/>
      <c r="V1007" s="244"/>
      <c r="W1007" s="244"/>
      <c r="X1007" s="244"/>
      <c r="Y1007" s="244"/>
      <c r="Z1007" s="244"/>
    </row>
    <row r="1008">
      <c r="A1008" s="244"/>
      <c r="B1008" s="244"/>
      <c r="C1008" s="244"/>
      <c r="D1008" s="244"/>
      <c r="E1008" s="244"/>
      <c r="F1008" s="244"/>
      <c r="G1008" s="244"/>
      <c r="H1008" s="244"/>
      <c r="I1008" s="244"/>
      <c r="J1008" s="244"/>
      <c r="K1008" s="244"/>
      <c r="L1008" s="244"/>
      <c r="M1008" s="244"/>
      <c r="N1008" s="244"/>
      <c r="O1008" s="244"/>
      <c r="P1008" s="244"/>
      <c r="Q1008" s="244"/>
      <c r="R1008" s="244"/>
      <c r="S1008" s="244"/>
      <c r="T1008" s="244"/>
      <c r="U1008" s="244"/>
      <c r="V1008" s="244"/>
      <c r="W1008" s="244"/>
      <c r="X1008" s="244"/>
      <c r="Y1008" s="244"/>
      <c r="Z1008" s="244"/>
    </row>
    <row r="1009">
      <c r="A1009" s="244"/>
      <c r="B1009" s="244"/>
      <c r="C1009" s="244"/>
      <c r="D1009" s="244"/>
      <c r="E1009" s="244"/>
      <c r="F1009" s="244"/>
      <c r="G1009" s="244"/>
      <c r="H1009" s="244"/>
      <c r="I1009" s="244"/>
      <c r="J1009" s="244"/>
      <c r="K1009" s="244"/>
      <c r="L1009" s="244"/>
      <c r="M1009" s="244"/>
      <c r="N1009" s="244"/>
      <c r="O1009" s="244"/>
      <c r="P1009" s="244"/>
      <c r="Q1009" s="244"/>
      <c r="R1009" s="244"/>
      <c r="S1009" s="244"/>
      <c r="T1009" s="244"/>
      <c r="U1009" s="244"/>
      <c r="V1009" s="244"/>
      <c r="W1009" s="244"/>
      <c r="X1009" s="244"/>
      <c r="Y1009" s="244"/>
      <c r="Z1009" s="244"/>
    </row>
    <row r="1010">
      <c r="A1010" s="244"/>
      <c r="B1010" s="244"/>
      <c r="C1010" s="244"/>
      <c r="D1010" s="244"/>
      <c r="E1010" s="244"/>
      <c r="F1010" s="244"/>
      <c r="G1010" s="244"/>
      <c r="H1010" s="244"/>
      <c r="I1010" s="244"/>
      <c r="J1010" s="244"/>
      <c r="K1010" s="244"/>
      <c r="L1010" s="244"/>
      <c r="M1010" s="244"/>
      <c r="N1010" s="244"/>
      <c r="O1010" s="244"/>
      <c r="P1010" s="244"/>
      <c r="Q1010" s="244"/>
      <c r="R1010" s="244"/>
      <c r="S1010" s="244"/>
      <c r="T1010" s="244"/>
      <c r="U1010" s="244"/>
      <c r="V1010" s="244"/>
      <c r="W1010" s="244"/>
      <c r="X1010" s="244"/>
      <c r="Y1010" s="244"/>
      <c r="Z1010" s="244"/>
    </row>
    <row r="1011">
      <c r="A1011" s="244"/>
      <c r="B1011" s="244"/>
      <c r="C1011" s="244"/>
      <c r="D1011" s="244"/>
      <c r="E1011" s="244"/>
      <c r="F1011" s="244"/>
      <c r="G1011" s="244"/>
      <c r="H1011" s="244"/>
      <c r="I1011" s="244"/>
      <c r="J1011" s="244"/>
      <c r="K1011" s="244"/>
      <c r="L1011" s="244"/>
      <c r="M1011" s="244"/>
      <c r="N1011" s="244"/>
      <c r="O1011" s="244"/>
      <c r="P1011" s="244"/>
      <c r="Q1011" s="244"/>
      <c r="R1011" s="244"/>
      <c r="S1011" s="244"/>
      <c r="T1011" s="244"/>
      <c r="U1011" s="244"/>
      <c r="V1011" s="244"/>
      <c r="W1011" s="244"/>
      <c r="X1011" s="244"/>
      <c r="Y1011" s="244"/>
      <c r="Z1011" s="244"/>
    </row>
    <row r="1012">
      <c r="A1012" s="244"/>
      <c r="B1012" s="244"/>
      <c r="C1012" s="244"/>
      <c r="D1012" s="244"/>
      <c r="E1012" s="244"/>
      <c r="F1012" s="244"/>
      <c r="G1012" s="244"/>
      <c r="H1012" s="244"/>
      <c r="I1012" s="244"/>
      <c r="J1012" s="244"/>
      <c r="K1012" s="244"/>
      <c r="L1012" s="244"/>
      <c r="M1012" s="244"/>
      <c r="N1012" s="244"/>
      <c r="O1012" s="244"/>
      <c r="P1012" s="244"/>
      <c r="Q1012" s="244"/>
      <c r="R1012" s="244"/>
      <c r="S1012" s="244"/>
      <c r="T1012" s="244"/>
      <c r="U1012" s="244"/>
      <c r="V1012" s="244"/>
      <c r="W1012" s="244"/>
      <c r="X1012" s="244"/>
      <c r="Y1012" s="244"/>
      <c r="Z1012" s="244"/>
    </row>
    <row r="1013">
      <c r="A1013" s="244"/>
      <c r="B1013" s="244"/>
      <c r="C1013" s="244"/>
      <c r="D1013" s="244"/>
      <c r="E1013" s="244"/>
      <c r="F1013" s="244"/>
      <c r="G1013" s="244"/>
      <c r="H1013" s="244"/>
      <c r="I1013" s="244"/>
      <c r="J1013" s="244"/>
      <c r="K1013" s="244"/>
      <c r="L1013" s="244"/>
      <c r="M1013" s="244"/>
      <c r="N1013" s="244"/>
      <c r="O1013" s="244"/>
      <c r="P1013" s="244"/>
      <c r="Q1013" s="244"/>
      <c r="R1013" s="244"/>
      <c r="S1013" s="244"/>
      <c r="T1013" s="244"/>
      <c r="U1013" s="244"/>
      <c r="V1013" s="244"/>
      <c r="W1013" s="244"/>
      <c r="X1013" s="244"/>
      <c r="Y1013" s="244"/>
      <c r="Z1013" s="244"/>
    </row>
    <row r="1014">
      <c r="A1014" s="244"/>
      <c r="B1014" s="244"/>
      <c r="C1014" s="244"/>
      <c r="D1014" s="244"/>
      <c r="E1014" s="244"/>
      <c r="F1014" s="244"/>
      <c r="G1014" s="244"/>
      <c r="H1014" s="244"/>
      <c r="I1014" s="244"/>
      <c r="J1014" s="244"/>
      <c r="K1014" s="244"/>
      <c r="L1014" s="244"/>
      <c r="M1014" s="244"/>
      <c r="N1014" s="244"/>
      <c r="O1014" s="244"/>
      <c r="P1014" s="244"/>
      <c r="Q1014" s="244"/>
      <c r="R1014" s="244"/>
      <c r="S1014" s="244"/>
      <c r="T1014" s="244"/>
      <c r="U1014" s="244"/>
      <c r="V1014" s="244"/>
      <c r="W1014" s="244"/>
      <c r="X1014" s="244"/>
      <c r="Y1014" s="244"/>
      <c r="Z1014" s="244"/>
    </row>
    <row r="1015">
      <c r="A1015" s="244"/>
      <c r="B1015" s="244"/>
      <c r="C1015" s="244"/>
      <c r="D1015" s="244"/>
      <c r="E1015" s="244"/>
      <c r="F1015" s="244"/>
      <c r="G1015" s="244"/>
      <c r="H1015" s="244"/>
      <c r="I1015" s="244"/>
      <c r="J1015" s="244"/>
      <c r="K1015" s="244"/>
      <c r="L1015" s="244"/>
      <c r="M1015" s="244"/>
      <c r="N1015" s="244"/>
      <c r="O1015" s="244"/>
      <c r="P1015" s="244"/>
      <c r="Q1015" s="244"/>
      <c r="R1015" s="244"/>
      <c r="S1015" s="244"/>
      <c r="T1015" s="244"/>
      <c r="U1015" s="244"/>
      <c r="V1015" s="244"/>
      <c r="W1015" s="244"/>
      <c r="X1015" s="244"/>
      <c r="Y1015" s="244"/>
      <c r="Z1015" s="244"/>
    </row>
    <row r="1016">
      <c r="A1016" s="244"/>
      <c r="B1016" s="244"/>
      <c r="C1016" s="244"/>
      <c r="D1016" s="244"/>
      <c r="E1016" s="244"/>
      <c r="F1016" s="244"/>
      <c r="G1016" s="244"/>
      <c r="H1016" s="244"/>
      <c r="I1016" s="244"/>
      <c r="J1016" s="244"/>
      <c r="K1016" s="244"/>
      <c r="L1016" s="244"/>
      <c r="M1016" s="244"/>
      <c r="N1016" s="244"/>
      <c r="O1016" s="244"/>
      <c r="P1016" s="244"/>
      <c r="Q1016" s="244"/>
      <c r="R1016" s="244"/>
      <c r="S1016" s="244"/>
      <c r="T1016" s="244"/>
      <c r="U1016" s="244"/>
      <c r="V1016" s="244"/>
      <c r="W1016" s="244"/>
      <c r="X1016" s="244"/>
      <c r="Y1016" s="244"/>
      <c r="Z1016" s="244"/>
    </row>
    <row r="1017">
      <c r="A1017" s="244"/>
      <c r="B1017" s="244"/>
      <c r="C1017" s="244"/>
      <c r="D1017" s="244"/>
      <c r="E1017" s="244"/>
      <c r="F1017" s="244"/>
      <c r="G1017" s="244"/>
      <c r="H1017" s="244"/>
      <c r="I1017" s="244"/>
      <c r="J1017" s="244"/>
      <c r="K1017" s="244"/>
      <c r="L1017" s="244"/>
      <c r="M1017" s="244"/>
      <c r="N1017" s="244"/>
      <c r="O1017" s="244"/>
      <c r="P1017" s="244"/>
      <c r="Q1017" s="244"/>
      <c r="R1017" s="244"/>
      <c r="S1017" s="244"/>
      <c r="T1017" s="244"/>
      <c r="U1017" s="244"/>
      <c r="V1017" s="244"/>
      <c r="W1017" s="244"/>
      <c r="X1017" s="244"/>
      <c r="Y1017" s="244"/>
      <c r="Z1017" s="244"/>
    </row>
    <row r="1018">
      <c r="A1018" s="244"/>
      <c r="B1018" s="244"/>
      <c r="C1018" s="244"/>
      <c r="D1018" s="244"/>
      <c r="E1018" s="244"/>
      <c r="F1018" s="244"/>
      <c r="G1018" s="244"/>
      <c r="H1018" s="244"/>
      <c r="I1018" s="244"/>
      <c r="J1018" s="244"/>
      <c r="K1018" s="244"/>
      <c r="L1018" s="244"/>
      <c r="M1018" s="244"/>
      <c r="N1018" s="244"/>
      <c r="O1018" s="244"/>
      <c r="P1018" s="244"/>
      <c r="Q1018" s="244"/>
      <c r="R1018" s="244"/>
      <c r="S1018" s="244"/>
      <c r="T1018" s="244"/>
      <c r="U1018" s="244"/>
      <c r="V1018" s="244"/>
      <c r="W1018" s="244"/>
      <c r="X1018" s="244"/>
      <c r="Y1018" s="244"/>
      <c r="Z1018" s="244"/>
    </row>
    <row r="1019">
      <c r="A1019" s="244"/>
      <c r="B1019" s="244"/>
      <c r="C1019" s="244"/>
      <c r="D1019" s="244"/>
      <c r="E1019" s="244"/>
      <c r="F1019" s="244"/>
      <c r="G1019" s="244"/>
      <c r="H1019" s="244"/>
      <c r="I1019" s="244"/>
      <c r="J1019" s="244"/>
      <c r="K1019" s="244"/>
      <c r="L1019" s="244"/>
      <c r="M1019" s="244"/>
      <c r="N1019" s="244"/>
      <c r="O1019" s="244"/>
      <c r="P1019" s="244"/>
      <c r="Q1019" s="244"/>
      <c r="R1019" s="244"/>
      <c r="S1019" s="244"/>
      <c r="T1019" s="244"/>
      <c r="U1019" s="244"/>
      <c r="V1019" s="244"/>
      <c r="W1019" s="244"/>
      <c r="X1019" s="244"/>
      <c r="Y1019" s="244"/>
      <c r="Z1019" s="244"/>
    </row>
    <row r="1020">
      <c r="A1020" s="244"/>
      <c r="B1020" s="244"/>
      <c r="C1020" s="244"/>
      <c r="D1020" s="244"/>
      <c r="E1020" s="244"/>
      <c r="F1020" s="244"/>
      <c r="G1020" s="244"/>
      <c r="H1020" s="244"/>
      <c r="I1020" s="244"/>
      <c r="J1020" s="244"/>
      <c r="K1020" s="244"/>
      <c r="L1020" s="244"/>
      <c r="M1020" s="244"/>
      <c r="N1020" s="244"/>
      <c r="O1020" s="244"/>
      <c r="P1020" s="244"/>
      <c r="Q1020" s="244"/>
      <c r="R1020" s="244"/>
      <c r="S1020" s="244"/>
      <c r="T1020" s="244"/>
      <c r="U1020" s="244"/>
      <c r="V1020" s="244"/>
      <c r="W1020" s="244"/>
      <c r="X1020" s="244"/>
      <c r="Y1020" s="244"/>
      <c r="Z1020" s="244"/>
    </row>
    <row r="1021">
      <c r="A1021" s="244"/>
      <c r="B1021" s="244"/>
      <c r="C1021" s="244"/>
      <c r="D1021" s="244"/>
      <c r="E1021" s="244"/>
      <c r="F1021" s="244"/>
      <c r="G1021" s="244"/>
      <c r="H1021" s="244"/>
      <c r="I1021" s="244"/>
      <c r="J1021" s="244"/>
      <c r="K1021" s="244"/>
      <c r="L1021" s="244"/>
      <c r="M1021" s="244"/>
      <c r="N1021" s="244"/>
      <c r="O1021" s="244"/>
      <c r="P1021" s="244"/>
      <c r="Q1021" s="244"/>
      <c r="R1021" s="244"/>
      <c r="S1021" s="244"/>
      <c r="T1021" s="244"/>
      <c r="U1021" s="244"/>
      <c r="V1021" s="244"/>
      <c r="W1021" s="244"/>
      <c r="X1021" s="244"/>
      <c r="Y1021" s="244"/>
      <c r="Z1021" s="244"/>
    </row>
    <row r="1022">
      <c r="A1022" s="244"/>
      <c r="B1022" s="244"/>
      <c r="C1022" s="244"/>
      <c r="D1022" s="244"/>
      <c r="E1022" s="244"/>
      <c r="F1022" s="244"/>
      <c r="G1022" s="244"/>
      <c r="H1022" s="244"/>
      <c r="I1022" s="244"/>
      <c r="J1022" s="244"/>
      <c r="K1022" s="244"/>
      <c r="L1022" s="244"/>
      <c r="M1022" s="244"/>
      <c r="N1022" s="244"/>
      <c r="O1022" s="244"/>
      <c r="P1022" s="244"/>
      <c r="Q1022" s="244"/>
      <c r="R1022" s="244"/>
      <c r="S1022" s="244"/>
      <c r="T1022" s="244"/>
      <c r="U1022" s="244"/>
      <c r="V1022" s="244"/>
      <c r="W1022" s="244"/>
      <c r="X1022" s="244"/>
      <c r="Y1022" s="244"/>
      <c r="Z1022" s="244"/>
    </row>
    <row r="1023">
      <c r="A1023" s="244"/>
      <c r="B1023" s="244"/>
      <c r="C1023" s="244"/>
      <c r="D1023" s="244"/>
      <c r="E1023" s="244"/>
      <c r="F1023" s="244"/>
      <c r="G1023" s="244"/>
      <c r="H1023" s="244"/>
      <c r="I1023" s="244"/>
      <c r="J1023" s="244"/>
      <c r="K1023" s="244"/>
      <c r="L1023" s="244"/>
      <c r="M1023" s="244"/>
      <c r="N1023" s="244"/>
      <c r="O1023" s="244"/>
      <c r="P1023" s="244"/>
      <c r="Q1023" s="244"/>
      <c r="R1023" s="244"/>
      <c r="S1023" s="244"/>
      <c r="T1023" s="244"/>
      <c r="U1023" s="244"/>
      <c r="V1023" s="244"/>
      <c r="W1023" s="244"/>
      <c r="X1023" s="244"/>
      <c r="Y1023" s="244"/>
      <c r="Z1023" s="244"/>
    </row>
    <row r="1024">
      <c r="A1024" s="244"/>
      <c r="B1024" s="244"/>
      <c r="C1024" s="244"/>
      <c r="D1024" s="244"/>
      <c r="E1024" s="244"/>
      <c r="F1024" s="244"/>
      <c r="G1024" s="244"/>
      <c r="H1024" s="244"/>
      <c r="I1024" s="244"/>
      <c r="J1024" s="244"/>
      <c r="K1024" s="244"/>
      <c r="L1024" s="244"/>
      <c r="M1024" s="244"/>
      <c r="N1024" s="244"/>
      <c r="O1024" s="244"/>
      <c r="P1024" s="244"/>
      <c r="Q1024" s="244"/>
      <c r="R1024" s="244"/>
      <c r="S1024" s="244"/>
      <c r="T1024" s="244"/>
      <c r="U1024" s="244"/>
      <c r="V1024" s="244"/>
      <c r="W1024" s="244"/>
      <c r="X1024" s="244"/>
      <c r="Y1024" s="244"/>
      <c r="Z1024" s="244"/>
    </row>
    <row r="1025">
      <c r="A1025" s="244"/>
      <c r="B1025" s="244"/>
      <c r="C1025" s="244"/>
      <c r="D1025" s="244"/>
      <c r="E1025" s="244"/>
      <c r="F1025" s="244"/>
      <c r="G1025" s="244"/>
      <c r="H1025" s="244"/>
      <c r="I1025" s="244"/>
      <c r="J1025" s="244"/>
      <c r="K1025" s="244"/>
      <c r="L1025" s="244"/>
      <c r="M1025" s="244"/>
      <c r="N1025" s="244"/>
      <c r="O1025" s="244"/>
      <c r="P1025" s="244"/>
      <c r="Q1025" s="244"/>
      <c r="R1025" s="244"/>
      <c r="S1025" s="244"/>
      <c r="T1025" s="244"/>
      <c r="U1025" s="244"/>
      <c r="V1025" s="244"/>
      <c r="W1025" s="244"/>
      <c r="X1025" s="244"/>
      <c r="Y1025" s="244"/>
      <c r="Z1025" s="244"/>
    </row>
    <row r="1026">
      <c r="A1026" s="244"/>
      <c r="B1026" s="244"/>
      <c r="C1026" s="244"/>
      <c r="D1026" s="244"/>
      <c r="E1026" s="244"/>
      <c r="F1026" s="244"/>
      <c r="G1026" s="244"/>
      <c r="H1026" s="244"/>
      <c r="I1026" s="244"/>
      <c r="J1026" s="244"/>
      <c r="K1026" s="244"/>
      <c r="L1026" s="244"/>
      <c r="M1026" s="244"/>
      <c r="N1026" s="244"/>
      <c r="O1026" s="244"/>
      <c r="P1026" s="244"/>
      <c r="Q1026" s="244"/>
      <c r="R1026" s="244"/>
      <c r="S1026" s="244"/>
      <c r="T1026" s="244"/>
      <c r="U1026" s="244"/>
      <c r="V1026" s="244"/>
      <c r="W1026" s="244"/>
      <c r="X1026" s="244"/>
      <c r="Y1026" s="244"/>
      <c r="Z1026" s="244"/>
    </row>
    <row r="1027">
      <c r="A1027" s="244"/>
      <c r="B1027" s="244"/>
      <c r="C1027" s="244"/>
      <c r="D1027" s="244"/>
      <c r="E1027" s="244"/>
      <c r="F1027" s="244"/>
      <c r="G1027" s="244"/>
      <c r="H1027" s="244"/>
      <c r="I1027" s="244"/>
      <c r="J1027" s="244"/>
      <c r="K1027" s="244"/>
      <c r="L1027" s="244"/>
      <c r="M1027" s="244"/>
      <c r="N1027" s="244"/>
      <c r="O1027" s="244"/>
      <c r="P1027" s="244"/>
      <c r="Q1027" s="244"/>
      <c r="R1027" s="244"/>
      <c r="S1027" s="244"/>
      <c r="T1027" s="244"/>
      <c r="U1027" s="244"/>
      <c r="V1027" s="244"/>
      <c r="W1027" s="244"/>
      <c r="X1027" s="244"/>
      <c r="Y1027" s="244"/>
      <c r="Z1027" s="244"/>
    </row>
    <row r="1028">
      <c r="A1028" s="244"/>
      <c r="B1028" s="244"/>
      <c r="C1028" s="244"/>
      <c r="D1028" s="244"/>
      <c r="E1028" s="244"/>
      <c r="F1028" s="244"/>
      <c r="G1028" s="244"/>
      <c r="H1028" s="244"/>
      <c r="I1028" s="244"/>
      <c r="J1028" s="244"/>
      <c r="K1028" s="244"/>
      <c r="L1028" s="244"/>
      <c r="M1028" s="244"/>
      <c r="N1028" s="244"/>
      <c r="O1028" s="244"/>
      <c r="P1028" s="244"/>
      <c r="Q1028" s="244"/>
      <c r="R1028" s="244"/>
      <c r="S1028" s="244"/>
      <c r="T1028" s="244"/>
      <c r="U1028" s="244"/>
      <c r="V1028" s="244"/>
      <c r="W1028" s="244"/>
      <c r="X1028" s="244"/>
      <c r="Y1028" s="244"/>
      <c r="Z1028" s="244"/>
    </row>
    <row r="1029">
      <c r="A1029" s="244"/>
      <c r="B1029" s="244"/>
      <c r="C1029" s="244"/>
      <c r="D1029" s="244"/>
      <c r="E1029" s="244"/>
      <c r="F1029" s="244"/>
      <c r="G1029" s="244"/>
      <c r="H1029" s="244"/>
      <c r="I1029" s="244"/>
      <c r="J1029" s="244"/>
      <c r="K1029" s="244"/>
      <c r="L1029" s="244"/>
      <c r="M1029" s="244"/>
      <c r="N1029" s="244"/>
      <c r="O1029" s="244"/>
      <c r="P1029" s="244"/>
      <c r="Q1029" s="244"/>
      <c r="R1029" s="244"/>
      <c r="S1029" s="244"/>
      <c r="T1029" s="244"/>
      <c r="U1029" s="244"/>
      <c r="V1029" s="244"/>
      <c r="W1029" s="244"/>
      <c r="X1029" s="244"/>
      <c r="Y1029" s="244"/>
      <c r="Z1029" s="244"/>
    </row>
    <row r="1030">
      <c r="A1030" s="244"/>
      <c r="B1030" s="244"/>
      <c r="C1030" s="244"/>
      <c r="D1030" s="244"/>
      <c r="E1030" s="244"/>
      <c r="F1030" s="244"/>
      <c r="G1030" s="244"/>
      <c r="H1030" s="244"/>
      <c r="I1030" s="244"/>
      <c r="J1030" s="244"/>
      <c r="K1030" s="244"/>
      <c r="L1030" s="244"/>
      <c r="M1030" s="244"/>
      <c r="N1030" s="244"/>
      <c r="O1030" s="244"/>
      <c r="P1030" s="244"/>
      <c r="Q1030" s="244"/>
      <c r="R1030" s="244"/>
      <c r="S1030" s="244"/>
      <c r="T1030" s="244"/>
      <c r="U1030" s="244"/>
      <c r="V1030" s="244"/>
      <c r="W1030" s="244"/>
      <c r="X1030" s="244"/>
      <c r="Y1030" s="244"/>
      <c r="Z1030" s="244"/>
    </row>
    <row r="1031">
      <c r="A1031" s="244"/>
      <c r="B1031" s="244"/>
      <c r="C1031" s="244"/>
      <c r="D1031" s="244"/>
      <c r="E1031" s="244"/>
      <c r="F1031" s="244"/>
      <c r="G1031" s="244"/>
      <c r="H1031" s="244"/>
      <c r="I1031" s="244"/>
      <c r="J1031" s="244"/>
      <c r="K1031" s="244"/>
      <c r="L1031" s="244"/>
      <c r="M1031" s="244"/>
      <c r="N1031" s="244"/>
      <c r="O1031" s="244"/>
      <c r="P1031" s="244"/>
      <c r="Q1031" s="244"/>
      <c r="R1031" s="244"/>
      <c r="S1031" s="244"/>
      <c r="T1031" s="244"/>
      <c r="U1031" s="244"/>
      <c r="V1031" s="244"/>
      <c r="W1031" s="244"/>
      <c r="X1031" s="244"/>
      <c r="Y1031" s="244"/>
      <c r="Z1031" s="244"/>
    </row>
    <row r="1032">
      <c r="A1032" s="244"/>
      <c r="B1032" s="244"/>
      <c r="C1032" s="244"/>
      <c r="D1032" s="244"/>
      <c r="E1032" s="244"/>
      <c r="F1032" s="244"/>
      <c r="G1032" s="244"/>
      <c r="H1032" s="244"/>
      <c r="I1032" s="244"/>
      <c r="J1032" s="244"/>
      <c r="K1032" s="244"/>
      <c r="L1032" s="244"/>
      <c r="M1032" s="244"/>
      <c r="N1032" s="244"/>
      <c r="O1032" s="244"/>
      <c r="P1032" s="244"/>
      <c r="Q1032" s="244"/>
      <c r="R1032" s="244"/>
      <c r="S1032" s="244"/>
      <c r="T1032" s="244"/>
      <c r="U1032" s="244"/>
      <c r="V1032" s="244"/>
      <c r="W1032" s="244"/>
      <c r="X1032" s="244"/>
      <c r="Y1032" s="244"/>
      <c r="Z1032" s="244"/>
    </row>
    <row r="1033">
      <c r="A1033" s="244"/>
      <c r="B1033" s="244"/>
      <c r="C1033" s="244"/>
      <c r="D1033" s="244"/>
      <c r="E1033" s="244"/>
      <c r="F1033" s="244"/>
      <c r="G1033" s="244"/>
      <c r="H1033" s="244"/>
      <c r="I1033" s="244"/>
      <c r="J1033" s="244"/>
      <c r="K1033" s="244"/>
      <c r="L1033" s="244"/>
      <c r="M1033" s="244"/>
      <c r="N1033" s="244"/>
      <c r="O1033" s="244"/>
      <c r="P1033" s="244"/>
      <c r="Q1033" s="244"/>
      <c r="R1033" s="244"/>
      <c r="S1033" s="244"/>
      <c r="T1033" s="244"/>
      <c r="U1033" s="244"/>
      <c r="V1033" s="244"/>
      <c r="W1033" s="244"/>
      <c r="X1033" s="244"/>
      <c r="Y1033" s="244"/>
      <c r="Z1033" s="244"/>
    </row>
    <row r="1034">
      <c r="A1034" s="244"/>
      <c r="B1034" s="244"/>
      <c r="C1034" s="244"/>
      <c r="D1034" s="244"/>
      <c r="E1034" s="244"/>
      <c r="F1034" s="244"/>
      <c r="G1034" s="244"/>
      <c r="H1034" s="244"/>
      <c r="I1034" s="244"/>
      <c r="J1034" s="244"/>
      <c r="K1034" s="244"/>
      <c r="L1034" s="244"/>
      <c r="M1034" s="244"/>
      <c r="N1034" s="244"/>
      <c r="O1034" s="244"/>
      <c r="P1034" s="244"/>
      <c r="Q1034" s="244"/>
      <c r="R1034" s="244"/>
      <c r="S1034" s="244"/>
      <c r="T1034" s="244"/>
      <c r="U1034" s="244"/>
      <c r="V1034" s="244"/>
      <c r="W1034" s="244"/>
      <c r="X1034" s="244"/>
      <c r="Y1034" s="244"/>
      <c r="Z1034" s="244"/>
    </row>
    <row r="1035">
      <c r="A1035" s="244"/>
      <c r="B1035" s="244"/>
      <c r="C1035" s="244"/>
      <c r="D1035" s="244"/>
      <c r="E1035" s="244"/>
      <c r="F1035" s="244"/>
      <c r="G1035" s="244"/>
      <c r="H1035" s="244"/>
      <c r="I1035" s="244"/>
      <c r="J1035" s="244"/>
      <c r="K1035" s="244"/>
      <c r="L1035" s="244"/>
      <c r="M1035" s="244"/>
      <c r="N1035" s="244"/>
      <c r="O1035" s="244"/>
      <c r="P1035" s="244"/>
      <c r="Q1035" s="244"/>
      <c r="R1035" s="244"/>
      <c r="S1035" s="244"/>
      <c r="T1035" s="244"/>
      <c r="U1035" s="244"/>
      <c r="V1035" s="244"/>
      <c r="W1035" s="244"/>
      <c r="X1035" s="244"/>
      <c r="Y1035" s="244"/>
      <c r="Z1035" s="244"/>
    </row>
    <row r="1036">
      <c r="A1036" s="244"/>
      <c r="B1036" s="244"/>
      <c r="C1036" s="244"/>
      <c r="D1036" s="244"/>
      <c r="E1036" s="244"/>
      <c r="F1036" s="244"/>
      <c r="G1036" s="244"/>
      <c r="H1036" s="244"/>
      <c r="I1036" s="244"/>
      <c r="J1036" s="244"/>
      <c r="K1036" s="244"/>
      <c r="L1036" s="244"/>
      <c r="M1036" s="244"/>
      <c r="N1036" s="244"/>
      <c r="O1036" s="244"/>
      <c r="P1036" s="244"/>
      <c r="Q1036" s="244"/>
      <c r="R1036" s="244"/>
      <c r="S1036" s="244"/>
      <c r="T1036" s="244"/>
      <c r="U1036" s="244"/>
      <c r="V1036" s="244"/>
      <c r="W1036" s="244"/>
      <c r="X1036" s="244"/>
      <c r="Y1036" s="244"/>
      <c r="Z1036" s="244"/>
    </row>
    <row r="1037">
      <c r="A1037" s="244"/>
      <c r="B1037" s="244"/>
      <c r="C1037" s="244"/>
      <c r="D1037" s="244"/>
      <c r="E1037" s="244"/>
      <c r="F1037" s="244"/>
      <c r="G1037" s="244"/>
      <c r="H1037" s="244"/>
      <c r="I1037" s="244"/>
      <c r="J1037" s="244"/>
      <c r="K1037" s="244"/>
      <c r="L1037" s="244"/>
      <c r="M1037" s="244"/>
      <c r="N1037" s="244"/>
      <c r="O1037" s="244"/>
      <c r="P1037" s="244"/>
      <c r="Q1037" s="244"/>
      <c r="R1037" s="244"/>
      <c r="S1037" s="244"/>
      <c r="T1037" s="244"/>
      <c r="U1037" s="244"/>
      <c r="V1037" s="244"/>
      <c r="W1037" s="244"/>
      <c r="X1037" s="244"/>
      <c r="Y1037" s="244"/>
      <c r="Z1037" s="244"/>
    </row>
    <row r="1038">
      <c r="A1038" s="244"/>
      <c r="B1038" s="244"/>
      <c r="C1038" s="244"/>
      <c r="D1038" s="244"/>
      <c r="E1038" s="244"/>
      <c r="F1038" s="244"/>
      <c r="G1038" s="244"/>
      <c r="H1038" s="244"/>
      <c r="I1038" s="244"/>
      <c r="J1038" s="244"/>
      <c r="K1038" s="244"/>
      <c r="L1038" s="244"/>
      <c r="M1038" s="244"/>
      <c r="N1038" s="244"/>
      <c r="O1038" s="244"/>
      <c r="P1038" s="244"/>
      <c r="Q1038" s="244"/>
      <c r="R1038" s="244"/>
      <c r="S1038" s="244"/>
      <c r="T1038" s="244"/>
      <c r="U1038" s="244"/>
      <c r="V1038" s="244"/>
      <c r="W1038" s="244"/>
      <c r="X1038" s="244"/>
      <c r="Y1038" s="244"/>
      <c r="Z1038" s="244"/>
    </row>
    <row r="1039">
      <c r="A1039" s="244"/>
      <c r="B1039" s="244"/>
      <c r="C1039" s="244"/>
      <c r="D1039" s="244"/>
      <c r="E1039" s="244"/>
      <c r="F1039" s="244"/>
      <c r="G1039" s="244"/>
      <c r="H1039" s="244"/>
      <c r="I1039" s="244"/>
      <c r="J1039" s="244"/>
      <c r="K1039" s="244"/>
      <c r="L1039" s="244"/>
      <c r="M1039" s="244"/>
      <c r="N1039" s="244"/>
      <c r="O1039" s="244"/>
      <c r="P1039" s="244"/>
      <c r="Q1039" s="244"/>
      <c r="R1039" s="244"/>
      <c r="S1039" s="244"/>
      <c r="T1039" s="244"/>
      <c r="U1039" s="244"/>
      <c r="V1039" s="244"/>
      <c r="W1039" s="244"/>
      <c r="X1039" s="244"/>
      <c r="Y1039" s="244"/>
      <c r="Z1039" s="244"/>
    </row>
    <row r="1040">
      <c r="A1040" s="244"/>
      <c r="B1040" s="244"/>
      <c r="C1040" s="244"/>
      <c r="D1040" s="244"/>
      <c r="E1040" s="244"/>
      <c r="F1040" s="244"/>
      <c r="G1040" s="244"/>
      <c r="H1040" s="244"/>
      <c r="I1040" s="244"/>
      <c r="J1040" s="244"/>
      <c r="K1040" s="244"/>
      <c r="L1040" s="244"/>
      <c r="M1040" s="244"/>
      <c r="N1040" s="244"/>
      <c r="O1040" s="244"/>
      <c r="P1040" s="244"/>
      <c r="Q1040" s="244"/>
      <c r="R1040" s="244"/>
      <c r="S1040" s="244"/>
      <c r="T1040" s="244"/>
      <c r="U1040" s="244"/>
      <c r="V1040" s="244"/>
      <c r="W1040" s="244"/>
      <c r="X1040" s="244"/>
      <c r="Y1040" s="244"/>
      <c r="Z1040" s="244"/>
    </row>
    <row r="1041">
      <c r="A1041" s="244"/>
      <c r="B1041" s="244"/>
      <c r="C1041" s="244"/>
      <c r="D1041" s="244"/>
      <c r="E1041" s="244"/>
      <c r="F1041" s="244"/>
      <c r="G1041" s="244"/>
      <c r="H1041" s="244"/>
      <c r="I1041" s="244"/>
      <c r="J1041" s="244"/>
      <c r="K1041" s="244"/>
      <c r="L1041" s="244"/>
      <c r="M1041" s="244"/>
      <c r="N1041" s="244"/>
      <c r="O1041" s="244"/>
      <c r="P1041" s="244"/>
      <c r="Q1041" s="244"/>
      <c r="R1041" s="244"/>
      <c r="S1041" s="244"/>
      <c r="T1041" s="244"/>
      <c r="U1041" s="244"/>
      <c r="V1041" s="244"/>
      <c r="W1041" s="244"/>
      <c r="X1041" s="244"/>
      <c r="Y1041" s="244"/>
      <c r="Z1041" s="244"/>
    </row>
    <row r="1042">
      <c r="A1042" s="244"/>
      <c r="B1042" s="244"/>
      <c r="C1042" s="244"/>
      <c r="D1042" s="244"/>
      <c r="E1042" s="244"/>
      <c r="F1042" s="244"/>
      <c r="G1042" s="244"/>
      <c r="H1042" s="244"/>
      <c r="I1042" s="244"/>
      <c r="J1042" s="244"/>
      <c r="K1042" s="244"/>
      <c r="L1042" s="244"/>
      <c r="M1042" s="244"/>
      <c r="N1042" s="244"/>
      <c r="O1042" s="244"/>
      <c r="P1042" s="244"/>
      <c r="Q1042" s="244"/>
      <c r="R1042" s="244"/>
      <c r="S1042" s="244"/>
      <c r="T1042" s="244"/>
      <c r="U1042" s="244"/>
      <c r="V1042" s="244"/>
      <c r="W1042" s="244"/>
      <c r="X1042" s="244"/>
      <c r="Y1042" s="244"/>
      <c r="Z1042" s="244"/>
    </row>
    <row r="1043">
      <c r="A1043" s="244"/>
      <c r="B1043" s="244"/>
      <c r="C1043" s="244"/>
      <c r="D1043" s="244"/>
      <c r="E1043" s="244"/>
      <c r="F1043" s="244"/>
      <c r="G1043" s="244"/>
      <c r="H1043" s="244"/>
      <c r="I1043" s="244"/>
      <c r="J1043" s="244"/>
      <c r="K1043" s="244"/>
      <c r="L1043" s="244"/>
      <c r="M1043" s="244"/>
      <c r="N1043" s="244"/>
      <c r="O1043" s="244"/>
      <c r="P1043" s="244"/>
      <c r="Q1043" s="244"/>
      <c r="R1043" s="244"/>
      <c r="S1043" s="244"/>
      <c r="T1043" s="244"/>
      <c r="U1043" s="244"/>
      <c r="V1043" s="244"/>
      <c r="W1043" s="244"/>
      <c r="X1043" s="244"/>
      <c r="Y1043" s="244"/>
      <c r="Z1043" s="244"/>
    </row>
    <row r="1044">
      <c r="A1044" s="244"/>
      <c r="B1044" s="244"/>
      <c r="C1044" s="244"/>
      <c r="D1044" s="244"/>
      <c r="E1044" s="244"/>
      <c r="F1044" s="244"/>
      <c r="G1044" s="244"/>
      <c r="H1044" s="244"/>
      <c r="I1044" s="244"/>
      <c r="J1044" s="244"/>
      <c r="K1044" s="244"/>
      <c r="L1044" s="244"/>
      <c r="M1044" s="244"/>
      <c r="N1044" s="244"/>
      <c r="O1044" s="244"/>
      <c r="P1044" s="244"/>
      <c r="Q1044" s="244"/>
      <c r="R1044" s="244"/>
      <c r="S1044" s="244"/>
      <c r="T1044" s="244"/>
      <c r="U1044" s="244"/>
      <c r="V1044" s="244"/>
      <c r="W1044" s="244"/>
      <c r="X1044" s="244"/>
      <c r="Y1044" s="244"/>
      <c r="Z1044" s="244"/>
    </row>
    <row r="1045">
      <c r="A1045" s="244"/>
      <c r="B1045" s="244"/>
      <c r="C1045" s="244"/>
      <c r="D1045" s="244"/>
      <c r="E1045" s="244"/>
      <c r="F1045" s="244"/>
      <c r="G1045" s="244"/>
      <c r="H1045" s="244"/>
      <c r="I1045" s="244"/>
      <c r="J1045" s="244"/>
      <c r="K1045" s="244"/>
      <c r="L1045" s="244"/>
      <c r="M1045" s="244"/>
      <c r="N1045" s="244"/>
      <c r="O1045" s="244"/>
      <c r="P1045" s="244"/>
      <c r="Q1045" s="244"/>
      <c r="R1045" s="244"/>
      <c r="S1045" s="244"/>
      <c r="T1045" s="244"/>
      <c r="U1045" s="244"/>
      <c r="V1045" s="244"/>
      <c r="W1045" s="244"/>
      <c r="X1045" s="244"/>
      <c r="Y1045" s="244"/>
      <c r="Z1045" s="244"/>
    </row>
    <row r="1046">
      <c r="A1046" s="244"/>
      <c r="B1046" s="244"/>
      <c r="C1046" s="244"/>
      <c r="D1046" s="244"/>
      <c r="E1046" s="244"/>
      <c r="F1046" s="244"/>
      <c r="G1046" s="244"/>
      <c r="H1046" s="244"/>
      <c r="I1046" s="244"/>
      <c r="J1046" s="244"/>
      <c r="K1046" s="244"/>
      <c r="L1046" s="244"/>
      <c r="M1046" s="244"/>
      <c r="N1046" s="244"/>
      <c r="O1046" s="244"/>
      <c r="P1046" s="244"/>
      <c r="Q1046" s="244"/>
      <c r="R1046" s="244"/>
      <c r="S1046" s="244"/>
      <c r="T1046" s="244"/>
      <c r="U1046" s="244"/>
      <c r="V1046" s="244"/>
      <c r="W1046" s="244"/>
      <c r="X1046" s="244"/>
      <c r="Y1046" s="244"/>
      <c r="Z1046" s="244"/>
    </row>
    <row r="1047">
      <c r="A1047" s="244"/>
      <c r="B1047" s="244"/>
      <c r="C1047" s="244"/>
      <c r="D1047" s="244"/>
      <c r="E1047" s="244"/>
      <c r="F1047" s="244"/>
      <c r="G1047" s="244"/>
      <c r="H1047" s="244"/>
      <c r="I1047" s="244"/>
      <c r="J1047" s="244"/>
      <c r="K1047" s="244"/>
      <c r="L1047" s="244"/>
      <c r="M1047" s="244"/>
      <c r="N1047" s="244"/>
      <c r="O1047" s="244"/>
      <c r="P1047" s="244"/>
      <c r="Q1047" s="244"/>
      <c r="R1047" s="244"/>
      <c r="S1047" s="244"/>
      <c r="T1047" s="244"/>
      <c r="U1047" s="244"/>
      <c r="V1047" s="244"/>
      <c r="W1047" s="244"/>
      <c r="X1047" s="244"/>
      <c r="Y1047" s="244"/>
      <c r="Z1047" s="244"/>
    </row>
    <row r="1048">
      <c r="A1048" s="244"/>
      <c r="B1048" s="244"/>
      <c r="C1048" s="244"/>
      <c r="D1048" s="244"/>
      <c r="E1048" s="244"/>
      <c r="F1048" s="244"/>
      <c r="G1048" s="244"/>
      <c r="H1048" s="244"/>
      <c r="I1048" s="244"/>
      <c r="J1048" s="244"/>
      <c r="K1048" s="244"/>
      <c r="L1048" s="244"/>
      <c r="M1048" s="244"/>
      <c r="N1048" s="244"/>
      <c r="O1048" s="244"/>
      <c r="P1048" s="244"/>
      <c r="Q1048" s="244"/>
      <c r="R1048" s="244"/>
      <c r="S1048" s="244"/>
      <c r="T1048" s="244"/>
      <c r="U1048" s="244"/>
      <c r="V1048" s="244"/>
      <c r="W1048" s="244"/>
      <c r="X1048" s="244"/>
      <c r="Y1048" s="244"/>
      <c r="Z1048" s="244"/>
    </row>
    <row r="1049">
      <c r="A1049" s="244"/>
      <c r="B1049" s="244"/>
      <c r="C1049" s="244"/>
      <c r="D1049" s="244"/>
      <c r="E1049" s="244"/>
      <c r="F1049" s="244"/>
      <c r="G1049" s="244"/>
      <c r="H1049" s="244"/>
      <c r="I1049" s="244"/>
      <c r="J1049" s="244"/>
      <c r="K1049" s="244"/>
      <c r="L1049" s="244"/>
      <c r="M1049" s="244"/>
      <c r="N1049" s="244"/>
      <c r="O1049" s="244"/>
      <c r="P1049" s="244"/>
      <c r="Q1049" s="244"/>
      <c r="R1049" s="244"/>
      <c r="S1049" s="244"/>
      <c r="T1049" s="244"/>
      <c r="U1049" s="244"/>
      <c r="V1049" s="244"/>
      <c r="W1049" s="244"/>
      <c r="X1049" s="244"/>
      <c r="Y1049" s="244"/>
      <c r="Z1049" s="244"/>
    </row>
    <row r="1050">
      <c r="A1050" s="244"/>
      <c r="B1050" s="244"/>
      <c r="C1050" s="244"/>
      <c r="D1050" s="244"/>
      <c r="E1050" s="244"/>
      <c r="F1050" s="244"/>
      <c r="G1050" s="244"/>
      <c r="H1050" s="244"/>
      <c r="I1050" s="244"/>
      <c r="J1050" s="244"/>
      <c r="K1050" s="244"/>
      <c r="L1050" s="244"/>
      <c r="M1050" s="244"/>
      <c r="N1050" s="244"/>
      <c r="O1050" s="244"/>
      <c r="P1050" s="244"/>
      <c r="Q1050" s="244"/>
      <c r="R1050" s="244"/>
      <c r="S1050" s="244"/>
      <c r="T1050" s="244"/>
      <c r="U1050" s="244"/>
      <c r="V1050" s="244"/>
      <c r="W1050" s="244"/>
      <c r="X1050" s="244"/>
      <c r="Y1050" s="244"/>
      <c r="Z1050" s="244"/>
    </row>
    <row r="1051">
      <c r="A1051" s="244"/>
      <c r="B1051" s="244"/>
      <c r="C1051" s="244"/>
      <c r="D1051" s="244"/>
      <c r="E1051" s="244"/>
      <c r="F1051" s="244"/>
      <c r="G1051" s="244"/>
      <c r="H1051" s="244"/>
      <c r="I1051" s="244"/>
      <c r="J1051" s="244"/>
      <c r="K1051" s="244"/>
      <c r="L1051" s="244"/>
      <c r="M1051" s="244"/>
      <c r="N1051" s="244"/>
      <c r="O1051" s="244"/>
      <c r="P1051" s="244"/>
      <c r="Q1051" s="244"/>
      <c r="R1051" s="244"/>
      <c r="S1051" s="244"/>
      <c r="T1051" s="244"/>
      <c r="U1051" s="244"/>
      <c r="V1051" s="244"/>
      <c r="W1051" s="244"/>
      <c r="X1051" s="244"/>
      <c r="Y1051" s="244"/>
      <c r="Z1051" s="244"/>
    </row>
    <row r="1052">
      <c r="A1052" s="244"/>
      <c r="B1052" s="244"/>
      <c r="C1052" s="244"/>
      <c r="D1052" s="244"/>
      <c r="E1052" s="244"/>
      <c r="F1052" s="244"/>
      <c r="G1052" s="244"/>
      <c r="H1052" s="244"/>
      <c r="I1052" s="244"/>
      <c r="J1052" s="244"/>
      <c r="K1052" s="244"/>
      <c r="L1052" s="244"/>
      <c r="M1052" s="244"/>
      <c r="N1052" s="244"/>
      <c r="O1052" s="244"/>
      <c r="P1052" s="244"/>
      <c r="Q1052" s="244"/>
      <c r="R1052" s="244"/>
      <c r="S1052" s="244"/>
      <c r="T1052" s="244"/>
      <c r="U1052" s="244"/>
      <c r="V1052" s="244"/>
      <c r="W1052" s="244"/>
      <c r="X1052" s="244"/>
      <c r="Y1052" s="244"/>
      <c r="Z1052" s="244"/>
    </row>
    <row r="1053">
      <c r="A1053" s="244"/>
      <c r="B1053" s="244"/>
      <c r="C1053" s="244"/>
      <c r="D1053" s="244"/>
      <c r="E1053" s="244"/>
      <c r="F1053" s="244"/>
      <c r="G1053" s="244"/>
      <c r="H1053" s="244"/>
      <c r="I1053" s="244"/>
      <c r="J1053" s="244"/>
      <c r="K1053" s="244"/>
      <c r="L1053" s="244"/>
      <c r="M1053" s="244"/>
      <c r="N1053" s="244"/>
      <c r="O1053" s="244"/>
      <c r="P1053" s="244"/>
      <c r="Q1053" s="244"/>
      <c r="R1053" s="244"/>
      <c r="S1053" s="244"/>
      <c r="T1053" s="244"/>
      <c r="U1053" s="244"/>
      <c r="V1053" s="244"/>
      <c r="W1053" s="244"/>
      <c r="X1053" s="244"/>
      <c r="Y1053" s="244"/>
      <c r="Z1053" s="244"/>
    </row>
    <row r="1054">
      <c r="A1054" s="244"/>
      <c r="B1054" s="244"/>
      <c r="C1054" s="244"/>
      <c r="D1054" s="244"/>
      <c r="E1054" s="244"/>
      <c r="F1054" s="244"/>
      <c r="G1054" s="244"/>
      <c r="H1054" s="244"/>
      <c r="I1054" s="244"/>
      <c r="J1054" s="244"/>
      <c r="K1054" s="244"/>
      <c r="L1054" s="244"/>
      <c r="M1054" s="244"/>
      <c r="N1054" s="244"/>
      <c r="O1054" s="244"/>
      <c r="P1054" s="244"/>
      <c r="Q1054" s="244"/>
      <c r="R1054" s="244"/>
      <c r="S1054" s="244"/>
      <c r="T1054" s="244"/>
      <c r="U1054" s="244"/>
      <c r="V1054" s="244"/>
      <c r="W1054" s="244"/>
      <c r="X1054" s="244"/>
      <c r="Y1054" s="244"/>
      <c r="Z1054" s="244"/>
    </row>
    <row r="1055">
      <c r="A1055" s="244"/>
      <c r="B1055" s="244"/>
      <c r="C1055" s="244"/>
      <c r="D1055" s="244"/>
      <c r="E1055" s="244"/>
      <c r="F1055" s="244"/>
      <c r="G1055" s="244"/>
      <c r="H1055" s="244"/>
      <c r="I1055" s="244"/>
      <c r="J1055" s="244"/>
      <c r="K1055" s="244"/>
      <c r="L1055" s="244"/>
      <c r="M1055" s="244"/>
      <c r="N1055" s="244"/>
      <c r="O1055" s="244"/>
      <c r="P1055" s="244"/>
      <c r="Q1055" s="244"/>
      <c r="R1055" s="244"/>
      <c r="S1055" s="244"/>
      <c r="T1055" s="244"/>
      <c r="U1055" s="244"/>
      <c r="V1055" s="244"/>
      <c r="W1055" s="244"/>
      <c r="X1055" s="244"/>
      <c r="Y1055" s="244"/>
      <c r="Z1055" s="244"/>
    </row>
    <row r="1056">
      <c r="A1056" s="244"/>
      <c r="B1056" s="244"/>
      <c r="C1056" s="244"/>
      <c r="D1056" s="244"/>
      <c r="E1056" s="244"/>
      <c r="F1056" s="244"/>
      <c r="G1056" s="244"/>
      <c r="H1056" s="244"/>
      <c r="I1056" s="244"/>
      <c r="J1056" s="244"/>
      <c r="K1056" s="244"/>
      <c r="L1056" s="244"/>
      <c r="M1056" s="244"/>
      <c r="N1056" s="244"/>
      <c r="O1056" s="244"/>
      <c r="P1056" s="244"/>
      <c r="Q1056" s="244"/>
      <c r="R1056" s="244"/>
      <c r="S1056" s="244"/>
      <c r="T1056" s="244"/>
      <c r="U1056" s="244"/>
      <c r="V1056" s="244"/>
      <c r="W1056" s="244"/>
      <c r="X1056" s="244"/>
      <c r="Y1056" s="244"/>
      <c r="Z1056" s="244"/>
    </row>
    <row r="1057">
      <c r="A1057" s="244"/>
      <c r="B1057" s="244"/>
      <c r="C1057" s="244"/>
      <c r="D1057" s="244"/>
      <c r="E1057" s="244"/>
      <c r="F1057" s="244"/>
      <c r="G1057" s="244"/>
      <c r="H1057" s="244"/>
      <c r="I1057" s="244"/>
      <c r="J1057" s="244"/>
      <c r="K1057" s="244"/>
      <c r="L1057" s="244"/>
      <c r="M1057" s="244"/>
      <c r="N1057" s="244"/>
      <c r="O1057" s="244"/>
      <c r="P1057" s="244"/>
      <c r="Q1057" s="244"/>
      <c r="R1057" s="244"/>
      <c r="S1057" s="244"/>
      <c r="T1057" s="244"/>
      <c r="U1057" s="244"/>
      <c r="V1057" s="244"/>
      <c r="W1057" s="244"/>
      <c r="X1057" s="244"/>
      <c r="Y1057" s="244"/>
      <c r="Z1057" s="244"/>
    </row>
    <row r="1058">
      <c r="A1058" s="244"/>
      <c r="B1058" s="244"/>
      <c r="C1058" s="244"/>
      <c r="D1058" s="244"/>
      <c r="E1058" s="244"/>
      <c r="F1058" s="244"/>
      <c r="G1058" s="244"/>
      <c r="H1058" s="244"/>
      <c r="I1058" s="244"/>
      <c r="J1058" s="244"/>
      <c r="K1058" s="244"/>
      <c r="L1058" s="244"/>
      <c r="M1058" s="244"/>
      <c r="N1058" s="244"/>
      <c r="O1058" s="244"/>
      <c r="P1058" s="244"/>
      <c r="Q1058" s="244"/>
      <c r="R1058" s="244"/>
      <c r="S1058" s="244"/>
      <c r="T1058" s="244"/>
      <c r="U1058" s="244"/>
      <c r="V1058" s="244"/>
      <c r="W1058" s="244"/>
      <c r="X1058" s="244"/>
      <c r="Y1058" s="244"/>
      <c r="Z1058" s="244"/>
    </row>
    <row r="1059">
      <c r="A1059" s="244"/>
      <c r="B1059" s="244"/>
      <c r="C1059" s="244"/>
      <c r="D1059" s="244"/>
      <c r="E1059" s="244"/>
      <c r="F1059" s="244"/>
      <c r="G1059" s="244"/>
      <c r="H1059" s="244"/>
      <c r="I1059" s="244"/>
      <c r="J1059" s="244"/>
      <c r="K1059" s="244"/>
      <c r="L1059" s="244"/>
      <c r="M1059" s="244"/>
      <c r="N1059" s="244"/>
      <c r="O1059" s="244"/>
      <c r="P1059" s="244"/>
      <c r="Q1059" s="244"/>
      <c r="R1059" s="244"/>
      <c r="S1059" s="244"/>
      <c r="T1059" s="244"/>
      <c r="U1059" s="244"/>
      <c r="V1059" s="244"/>
      <c r="W1059" s="244"/>
      <c r="X1059" s="244"/>
      <c r="Y1059" s="244"/>
      <c r="Z1059" s="244"/>
    </row>
  </sheetData>
  <mergeCells count="5">
    <mergeCell ref="B4:D4"/>
    <mergeCell ref="B32:D32"/>
    <mergeCell ref="B64:D64"/>
    <mergeCell ref="B89:D89"/>
    <mergeCell ref="B127:D127"/>
  </mergeCells>
  <printOptions gridLines="1" horizontalCentered="1"/>
  <pageMargins bottom="0.75" footer="0.0" header="0.0" left="0.7" right="0.7" top="0.75"/>
  <pageSetup fitToHeight="0" cellComments="atEnd" orientation="landscape" pageOrder="overThenDown"/>
  <drawing r:id="rId1"/>
</worksheet>
</file>